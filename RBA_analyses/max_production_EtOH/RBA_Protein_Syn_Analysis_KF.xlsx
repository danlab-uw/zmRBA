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irstenfisher/Desktop/max_production_EtOH/"/>
    </mc:Choice>
  </mc:AlternateContent>
  <xr:revisionPtr revIDLastSave="0" documentId="13_ncr:1_{72D769DA-08A1-924F-A092-17480DB46D9E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Sheet1" sheetId="1" r:id="rId1"/>
    <sheet name="ProteinComp_An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B35" i="2" s="1"/>
  <c r="B36" i="2" s="1"/>
  <c r="G28" i="2"/>
  <c r="G29" i="2"/>
  <c r="G30" i="2"/>
  <c r="G8" i="2"/>
  <c r="K85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5" i="1"/>
  <c r="L26" i="1"/>
  <c r="L27" i="1"/>
  <c r="L28" i="1"/>
  <c r="L29" i="1"/>
  <c r="L30" i="1"/>
  <c r="L31" i="1"/>
  <c r="L9" i="1"/>
  <c r="B39" i="2"/>
  <c r="B40" i="2" s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6" i="1"/>
  <c r="K87" i="1"/>
  <c r="K88" i="1"/>
  <c r="K89" i="1"/>
  <c r="L37" i="1"/>
  <c r="K37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5" i="1"/>
  <c r="M26" i="1"/>
  <c r="M27" i="1"/>
  <c r="M28" i="1"/>
  <c r="M29" i="1"/>
  <c r="M30" i="1"/>
  <c r="M31" i="1"/>
  <c r="M9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37" i="1"/>
  <c r="W2" i="1"/>
  <c r="G49" i="2"/>
  <c r="O8" i="2"/>
  <c r="O30" i="2"/>
  <c r="O29" i="2"/>
  <c r="O28" i="2"/>
  <c r="O27" i="2"/>
  <c r="O26" i="2"/>
  <c r="O25" i="2"/>
  <c r="O24" i="2"/>
  <c r="O22" i="2"/>
  <c r="O21" i="2"/>
  <c r="O20" i="2"/>
  <c r="O18" i="2"/>
  <c r="O17" i="2"/>
  <c r="O16" i="2"/>
  <c r="O15" i="2"/>
  <c r="O14" i="2"/>
  <c r="O13" i="2"/>
  <c r="O12" i="2"/>
  <c r="O11" i="2"/>
  <c r="O10" i="2"/>
  <c r="O9" i="2"/>
  <c r="X2" i="1"/>
  <c r="W7" i="1"/>
  <c r="W3" i="1"/>
  <c r="X3" i="1"/>
  <c r="W4" i="1"/>
  <c r="X4" i="1"/>
  <c r="W5" i="1"/>
  <c r="X5" i="1"/>
  <c r="W6" i="1"/>
  <c r="X6" i="1"/>
  <c r="X7" i="1"/>
  <c r="W8" i="1"/>
  <c r="X8" i="1"/>
  <c r="W9" i="1"/>
  <c r="X9" i="1"/>
  <c r="W10" i="1"/>
  <c r="X10" i="1"/>
  <c r="W11" i="1"/>
  <c r="X11" i="1"/>
  <c r="W12" i="1"/>
  <c r="X12" i="1"/>
  <c r="W13" i="1"/>
  <c r="X13" i="1"/>
  <c r="W14" i="1"/>
  <c r="X14" i="1"/>
  <c r="W15" i="1"/>
  <c r="X15" i="1"/>
  <c r="W16" i="1"/>
  <c r="X16" i="1"/>
  <c r="W17" i="1"/>
  <c r="X17" i="1"/>
  <c r="W18" i="1"/>
  <c r="X18" i="1"/>
  <c r="W19" i="1"/>
  <c r="X19" i="1"/>
  <c r="W20" i="1"/>
  <c r="X20" i="1"/>
  <c r="W21" i="1"/>
  <c r="X21" i="1"/>
  <c r="W22" i="1"/>
  <c r="X22" i="1"/>
  <c r="W23" i="1"/>
  <c r="X23" i="1"/>
  <c r="W24" i="1"/>
  <c r="X24" i="1"/>
  <c r="W25" i="1"/>
  <c r="X25" i="1"/>
  <c r="W26" i="1"/>
  <c r="X26" i="1"/>
  <c r="W27" i="1"/>
  <c r="X27" i="1"/>
  <c r="W28" i="1"/>
  <c r="X28" i="1"/>
  <c r="W29" i="1"/>
  <c r="X29" i="1"/>
  <c r="W30" i="1"/>
  <c r="X30" i="1"/>
  <c r="W31" i="1"/>
  <c r="X31" i="1"/>
  <c r="W32" i="1"/>
  <c r="X32" i="1"/>
  <c r="W33" i="1"/>
  <c r="X33" i="1"/>
  <c r="W34" i="1"/>
  <c r="X34" i="1"/>
  <c r="W35" i="1"/>
  <c r="X35" i="1"/>
  <c r="W36" i="1"/>
  <c r="X36" i="1"/>
  <c r="W37" i="1"/>
  <c r="X37" i="1"/>
  <c r="W38" i="1"/>
  <c r="X38" i="1"/>
  <c r="W39" i="1"/>
  <c r="X39" i="1"/>
  <c r="W40" i="1"/>
  <c r="X40" i="1"/>
  <c r="W41" i="1"/>
  <c r="X41" i="1"/>
  <c r="W42" i="1"/>
  <c r="X42" i="1"/>
  <c r="W43" i="1"/>
  <c r="X43" i="1"/>
  <c r="W44" i="1"/>
  <c r="X44" i="1"/>
  <c r="W45" i="1"/>
  <c r="X45" i="1"/>
  <c r="W46" i="1"/>
  <c r="X46" i="1"/>
  <c r="W47" i="1"/>
  <c r="X47" i="1"/>
  <c r="W48" i="1"/>
  <c r="X48" i="1"/>
  <c r="W49" i="1"/>
  <c r="X49" i="1"/>
  <c r="W50" i="1"/>
  <c r="X50" i="1"/>
  <c r="W51" i="1"/>
  <c r="X51" i="1"/>
  <c r="W52" i="1"/>
  <c r="X52" i="1"/>
  <c r="W53" i="1"/>
  <c r="X53" i="1"/>
  <c r="W54" i="1"/>
  <c r="X54" i="1"/>
  <c r="W55" i="1"/>
  <c r="X55" i="1"/>
  <c r="W56" i="1"/>
  <c r="X56" i="1"/>
  <c r="W57" i="1"/>
  <c r="X57" i="1"/>
  <c r="W58" i="1"/>
  <c r="X58" i="1"/>
  <c r="W59" i="1"/>
  <c r="X59" i="1"/>
  <c r="W60" i="1"/>
  <c r="X60" i="1"/>
  <c r="W61" i="1"/>
  <c r="X61" i="1"/>
  <c r="W62" i="1"/>
  <c r="X62" i="1"/>
  <c r="W63" i="1"/>
  <c r="X63" i="1"/>
  <c r="W64" i="1"/>
  <c r="X64" i="1"/>
  <c r="W65" i="1"/>
  <c r="X65" i="1"/>
  <c r="W66" i="1"/>
  <c r="X66" i="1"/>
  <c r="W67" i="1"/>
  <c r="X67" i="1"/>
  <c r="W68" i="1"/>
  <c r="X68" i="1"/>
  <c r="W69" i="1"/>
  <c r="X69" i="1"/>
  <c r="W70" i="1"/>
  <c r="X70" i="1"/>
  <c r="W71" i="1"/>
  <c r="X71" i="1"/>
  <c r="W72" i="1"/>
  <c r="X72" i="1"/>
  <c r="W73" i="1"/>
  <c r="X73" i="1"/>
  <c r="W74" i="1"/>
  <c r="X74" i="1"/>
  <c r="W75" i="1"/>
  <c r="X75" i="1"/>
  <c r="W76" i="1"/>
  <c r="X76" i="1"/>
  <c r="W77" i="1"/>
  <c r="X77" i="1"/>
  <c r="W78" i="1"/>
  <c r="X78" i="1"/>
  <c r="W79" i="1"/>
  <c r="X79" i="1"/>
  <c r="W80" i="1"/>
  <c r="X80" i="1"/>
  <c r="W81" i="1"/>
  <c r="X81" i="1"/>
  <c r="W82" i="1"/>
  <c r="X82" i="1"/>
  <c r="W83" i="1"/>
  <c r="X83" i="1"/>
  <c r="W84" i="1"/>
  <c r="X84" i="1"/>
  <c r="W85" i="1"/>
  <c r="X85" i="1"/>
  <c r="W86" i="1"/>
  <c r="X86" i="1"/>
  <c r="W87" i="1"/>
  <c r="X87" i="1"/>
  <c r="W88" i="1"/>
  <c r="X88" i="1"/>
  <c r="W89" i="1"/>
  <c r="X89" i="1"/>
  <c r="W90" i="1"/>
  <c r="X90" i="1"/>
  <c r="W91" i="1"/>
  <c r="X91" i="1"/>
  <c r="W92" i="1"/>
  <c r="X92" i="1"/>
  <c r="W93" i="1"/>
  <c r="X93" i="1"/>
  <c r="W94" i="1"/>
  <c r="X94" i="1"/>
  <c r="W95" i="1"/>
  <c r="X95" i="1"/>
  <c r="W96" i="1"/>
  <c r="X96" i="1"/>
  <c r="W97" i="1"/>
  <c r="X97" i="1"/>
  <c r="W98" i="1"/>
  <c r="X98" i="1"/>
  <c r="W99" i="1"/>
  <c r="X99" i="1"/>
  <c r="W100" i="1"/>
  <c r="X100" i="1"/>
  <c r="W101" i="1"/>
  <c r="X101" i="1"/>
  <c r="W102" i="1"/>
  <c r="X102" i="1"/>
  <c r="W103" i="1"/>
  <c r="X103" i="1"/>
  <c r="W104" i="1"/>
  <c r="X104" i="1"/>
  <c r="W105" i="1"/>
  <c r="X105" i="1"/>
  <c r="W106" i="1"/>
  <c r="X106" i="1"/>
  <c r="W107" i="1"/>
  <c r="X107" i="1"/>
  <c r="W108" i="1"/>
  <c r="X108" i="1"/>
  <c r="W109" i="1"/>
  <c r="X109" i="1"/>
  <c r="W110" i="1"/>
  <c r="X110" i="1"/>
  <c r="W111" i="1"/>
  <c r="X111" i="1"/>
  <c r="W112" i="1"/>
  <c r="X112" i="1"/>
  <c r="W113" i="1"/>
  <c r="X113" i="1"/>
  <c r="W114" i="1"/>
  <c r="X114" i="1"/>
  <c r="W115" i="1"/>
  <c r="X115" i="1"/>
  <c r="W116" i="1"/>
  <c r="X116" i="1"/>
  <c r="W117" i="1"/>
  <c r="X117" i="1"/>
  <c r="W118" i="1"/>
  <c r="X118" i="1"/>
  <c r="W119" i="1"/>
  <c r="X119" i="1"/>
  <c r="W120" i="1"/>
  <c r="X120" i="1"/>
  <c r="W121" i="1"/>
  <c r="X121" i="1"/>
  <c r="W122" i="1"/>
  <c r="X122" i="1"/>
  <c r="W123" i="1"/>
  <c r="X123" i="1"/>
  <c r="W124" i="1"/>
  <c r="X124" i="1"/>
  <c r="W125" i="1"/>
  <c r="X125" i="1"/>
  <c r="W126" i="1"/>
  <c r="X126" i="1"/>
  <c r="W127" i="1"/>
  <c r="X127" i="1"/>
  <c r="W128" i="1"/>
  <c r="X128" i="1"/>
  <c r="W129" i="1"/>
  <c r="X129" i="1"/>
  <c r="W130" i="1"/>
  <c r="X130" i="1"/>
  <c r="W131" i="1"/>
  <c r="X131" i="1"/>
  <c r="W132" i="1"/>
  <c r="X132" i="1"/>
  <c r="W133" i="1"/>
  <c r="X133" i="1"/>
  <c r="W134" i="1"/>
  <c r="X134" i="1"/>
  <c r="W135" i="1"/>
  <c r="X135" i="1"/>
  <c r="W136" i="1"/>
  <c r="X136" i="1"/>
  <c r="W137" i="1"/>
  <c r="X137" i="1"/>
  <c r="W138" i="1"/>
  <c r="X138" i="1"/>
  <c r="W139" i="1"/>
  <c r="X139" i="1"/>
  <c r="W140" i="1"/>
  <c r="X140" i="1"/>
  <c r="W141" i="1"/>
  <c r="X141" i="1"/>
  <c r="W142" i="1"/>
  <c r="X142" i="1"/>
  <c r="W143" i="1"/>
  <c r="X143" i="1"/>
  <c r="W144" i="1"/>
  <c r="X144" i="1"/>
  <c r="W145" i="1"/>
  <c r="X145" i="1"/>
  <c r="W146" i="1"/>
  <c r="X146" i="1"/>
  <c r="W147" i="1"/>
  <c r="X147" i="1"/>
  <c r="W148" i="1"/>
  <c r="X148" i="1"/>
  <c r="W149" i="1"/>
  <c r="X149" i="1"/>
  <c r="W150" i="1"/>
  <c r="X150" i="1"/>
  <c r="W151" i="1"/>
  <c r="X151" i="1"/>
  <c r="W152" i="1"/>
  <c r="X152" i="1"/>
  <c r="W153" i="1"/>
  <c r="X153" i="1"/>
  <c r="W154" i="1"/>
  <c r="X154" i="1"/>
  <c r="W155" i="1"/>
  <c r="X155" i="1"/>
  <c r="W156" i="1"/>
  <c r="X156" i="1"/>
  <c r="W157" i="1"/>
  <c r="X157" i="1"/>
  <c r="W158" i="1"/>
  <c r="X158" i="1"/>
  <c r="W159" i="1"/>
  <c r="X159" i="1"/>
  <c r="W160" i="1"/>
  <c r="X160" i="1"/>
  <c r="W161" i="1"/>
  <c r="X161" i="1"/>
  <c r="W162" i="1"/>
  <c r="X162" i="1"/>
  <c r="W163" i="1"/>
  <c r="X163" i="1"/>
  <c r="W164" i="1"/>
  <c r="X164" i="1"/>
  <c r="W165" i="1"/>
  <c r="X165" i="1"/>
  <c r="W166" i="1"/>
  <c r="X166" i="1"/>
  <c r="W167" i="1"/>
  <c r="X167" i="1"/>
  <c r="W168" i="1"/>
  <c r="X168" i="1"/>
  <c r="W169" i="1"/>
  <c r="X169" i="1"/>
  <c r="W170" i="1"/>
  <c r="X170" i="1"/>
  <c r="W171" i="1"/>
  <c r="X171" i="1"/>
  <c r="W172" i="1"/>
  <c r="X172" i="1"/>
  <c r="W173" i="1"/>
  <c r="X173" i="1"/>
  <c r="W174" i="1"/>
  <c r="X174" i="1"/>
  <c r="W175" i="1"/>
  <c r="X175" i="1"/>
  <c r="W176" i="1"/>
  <c r="X176" i="1"/>
  <c r="W177" i="1"/>
  <c r="X177" i="1"/>
  <c r="W178" i="1"/>
  <c r="X178" i="1"/>
  <c r="W179" i="1"/>
  <c r="X179" i="1"/>
  <c r="W180" i="1"/>
  <c r="X180" i="1"/>
  <c r="W181" i="1"/>
  <c r="X181" i="1"/>
  <c r="W182" i="1"/>
  <c r="X182" i="1"/>
  <c r="W183" i="1"/>
  <c r="X183" i="1"/>
  <c r="W184" i="1"/>
  <c r="X184" i="1"/>
  <c r="W185" i="1"/>
  <c r="X185" i="1"/>
  <c r="W186" i="1"/>
  <c r="X186" i="1"/>
  <c r="W187" i="1"/>
  <c r="X187" i="1"/>
  <c r="W188" i="1"/>
  <c r="X188" i="1"/>
  <c r="W189" i="1"/>
  <c r="X189" i="1"/>
  <c r="W190" i="1"/>
  <c r="X190" i="1"/>
  <c r="W191" i="1"/>
  <c r="X191" i="1"/>
  <c r="W192" i="1"/>
  <c r="X192" i="1"/>
  <c r="W193" i="1"/>
  <c r="X193" i="1"/>
  <c r="W194" i="1"/>
  <c r="X194" i="1"/>
  <c r="W195" i="1"/>
  <c r="X195" i="1"/>
  <c r="W196" i="1"/>
  <c r="X196" i="1"/>
  <c r="W197" i="1"/>
  <c r="X197" i="1"/>
  <c r="W198" i="1"/>
  <c r="X198" i="1"/>
  <c r="W199" i="1"/>
  <c r="X199" i="1"/>
  <c r="W200" i="1"/>
  <c r="X200" i="1"/>
  <c r="W201" i="1"/>
  <c r="X201" i="1"/>
  <c r="W202" i="1"/>
  <c r="X202" i="1"/>
  <c r="W203" i="1"/>
  <c r="X203" i="1"/>
  <c r="W204" i="1"/>
  <c r="X204" i="1"/>
  <c r="W205" i="1"/>
  <c r="X205" i="1"/>
  <c r="W206" i="1"/>
  <c r="X206" i="1"/>
  <c r="W207" i="1"/>
  <c r="X207" i="1"/>
  <c r="W208" i="1"/>
  <c r="X208" i="1"/>
  <c r="W209" i="1"/>
  <c r="X209" i="1"/>
  <c r="W210" i="1"/>
  <c r="X210" i="1"/>
  <c r="W211" i="1"/>
  <c r="X211" i="1"/>
  <c r="W212" i="1"/>
  <c r="X212" i="1"/>
  <c r="W213" i="1"/>
  <c r="X213" i="1"/>
  <c r="W214" i="1"/>
  <c r="X214" i="1"/>
  <c r="W215" i="1"/>
  <c r="X215" i="1"/>
  <c r="W216" i="1"/>
  <c r="X216" i="1"/>
  <c r="W217" i="1"/>
  <c r="X217" i="1"/>
  <c r="W218" i="1"/>
  <c r="X218" i="1"/>
  <c r="W219" i="1"/>
  <c r="X219" i="1"/>
  <c r="W220" i="1"/>
  <c r="X220" i="1"/>
  <c r="W221" i="1"/>
  <c r="X221" i="1"/>
  <c r="W222" i="1"/>
  <c r="X222" i="1"/>
  <c r="W223" i="1"/>
  <c r="X223" i="1"/>
  <c r="W224" i="1"/>
  <c r="X224" i="1"/>
  <c r="W225" i="1"/>
  <c r="X225" i="1"/>
  <c r="W226" i="1"/>
  <c r="X226" i="1"/>
  <c r="W227" i="1"/>
  <c r="X227" i="1"/>
  <c r="W228" i="1"/>
  <c r="X228" i="1"/>
  <c r="W229" i="1"/>
  <c r="X229" i="1"/>
  <c r="W230" i="1"/>
  <c r="X230" i="1"/>
  <c r="W231" i="1"/>
  <c r="X231" i="1"/>
  <c r="W232" i="1"/>
  <c r="X232" i="1"/>
  <c r="W233" i="1"/>
  <c r="X233" i="1"/>
  <c r="W234" i="1"/>
  <c r="X234" i="1"/>
  <c r="W235" i="1"/>
  <c r="X235" i="1"/>
  <c r="W236" i="1"/>
  <c r="X236" i="1"/>
  <c r="W237" i="1"/>
  <c r="X237" i="1"/>
  <c r="W238" i="1"/>
  <c r="X238" i="1"/>
  <c r="W239" i="1"/>
  <c r="X239" i="1"/>
  <c r="W240" i="1"/>
  <c r="X240" i="1"/>
  <c r="W241" i="1"/>
  <c r="X241" i="1"/>
  <c r="W242" i="1"/>
  <c r="X242" i="1"/>
  <c r="W243" i="1"/>
  <c r="X243" i="1"/>
  <c r="W244" i="1"/>
  <c r="X244" i="1"/>
  <c r="W245" i="1"/>
  <c r="X245" i="1"/>
  <c r="W246" i="1"/>
  <c r="X246" i="1"/>
  <c r="W247" i="1"/>
  <c r="X247" i="1"/>
  <c r="W248" i="1"/>
  <c r="X248" i="1"/>
  <c r="W249" i="1"/>
  <c r="X249" i="1"/>
  <c r="W250" i="1"/>
  <c r="X250" i="1"/>
  <c r="W251" i="1"/>
  <c r="X251" i="1"/>
  <c r="W252" i="1"/>
  <c r="X252" i="1"/>
  <c r="W253" i="1"/>
  <c r="X253" i="1"/>
  <c r="W254" i="1"/>
  <c r="X254" i="1"/>
  <c r="W255" i="1"/>
  <c r="X255" i="1"/>
  <c r="W256" i="1"/>
  <c r="X256" i="1"/>
  <c r="W257" i="1"/>
  <c r="X257" i="1"/>
  <c r="W258" i="1"/>
  <c r="X258" i="1"/>
  <c r="W259" i="1"/>
  <c r="X259" i="1"/>
  <c r="W260" i="1"/>
  <c r="X260" i="1"/>
  <c r="W261" i="1"/>
  <c r="X261" i="1"/>
  <c r="W262" i="1"/>
  <c r="X262" i="1"/>
  <c r="W263" i="1"/>
  <c r="X263" i="1"/>
  <c r="W264" i="1"/>
  <c r="X264" i="1"/>
  <c r="W265" i="1"/>
  <c r="X265" i="1"/>
  <c r="W266" i="1"/>
  <c r="X266" i="1"/>
  <c r="W267" i="1"/>
  <c r="X267" i="1"/>
  <c r="W268" i="1"/>
  <c r="X268" i="1"/>
  <c r="W269" i="1"/>
  <c r="X269" i="1"/>
  <c r="W270" i="1"/>
  <c r="X270" i="1"/>
  <c r="W271" i="1"/>
  <c r="X271" i="1"/>
  <c r="W272" i="1"/>
  <c r="X272" i="1"/>
  <c r="W273" i="1"/>
  <c r="X273" i="1"/>
  <c r="W274" i="1"/>
  <c r="X274" i="1"/>
  <c r="W275" i="1"/>
  <c r="X275" i="1"/>
  <c r="W276" i="1"/>
  <c r="X276" i="1"/>
  <c r="W277" i="1"/>
  <c r="X277" i="1"/>
  <c r="W278" i="1"/>
  <c r="X278" i="1"/>
  <c r="W279" i="1"/>
  <c r="X279" i="1"/>
  <c r="W280" i="1"/>
  <c r="X280" i="1"/>
  <c r="W281" i="1"/>
  <c r="X281" i="1"/>
  <c r="W282" i="1"/>
  <c r="X282" i="1"/>
  <c r="W283" i="1"/>
  <c r="X283" i="1"/>
  <c r="W284" i="1"/>
  <c r="X284" i="1"/>
  <c r="W285" i="1"/>
  <c r="X285" i="1"/>
  <c r="W286" i="1"/>
  <c r="X286" i="1"/>
  <c r="W287" i="1"/>
  <c r="X287" i="1"/>
  <c r="W288" i="1"/>
  <c r="X288" i="1"/>
  <c r="W289" i="1"/>
  <c r="X289" i="1"/>
  <c r="W290" i="1"/>
  <c r="X290" i="1"/>
  <c r="W291" i="1"/>
  <c r="X291" i="1"/>
  <c r="W292" i="1"/>
  <c r="X292" i="1"/>
  <c r="W293" i="1"/>
  <c r="X293" i="1"/>
  <c r="W294" i="1"/>
  <c r="X294" i="1"/>
  <c r="W295" i="1"/>
  <c r="X295" i="1"/>
  <c r="W296" i="1"/>
  <c r="X296" i="1"/>
  <c r="W297" i="1"/>
  <c r="X297" i="1"/>
  <c r="W298" i="1"/>
  <c r="X298" i="1"/>
  <c r="W299" i="1"/>
  <c r="X299" i="1"/>
  <c r="W300" i="1"/>
  <c r="X300" i="1"/>
  <c r="W301" i="1"/>
  <c r="X301" i="1"/>
  <c r="W302" i="1"/>
  <c r="X302" i="1"/>
  <c r="W303" i="1"/>
  <c r="X303" i="1"/>
  <c r="W304" i="1"/>
  <c r="X304" i="1"/>
  <c r="W305" i="1"/>
  <c r="X305" i="1"/>
  <c r="W306" i="1"/>
  <c r="X306" i="1"/>
  <c r="W307" i="1"/>
  <c r="X307" i="1"/>
  <c r="W308" i="1"/>
  <c r="X308" i="1"/>
  <c r="W309" i="1"/>
  <c r="X309" i="1"/>
  <c r="W310" i="1"/>
  <c r="X310" i="1"/>
  <c r="W311" i="1"/>
  <c r="X311" i="1"/>
  <c r="W312" i="1"/>
  <c r="X312" i="1"/>
  <c r="W313" i="1"/>
  <c r="X313" i="1"/>
  <c r="W314" i="1"/>
  <c r="X314" i="1"/>
  <c r="W315" i="1"/>
  <c r="X315" i="1"/>
  <c r="W316" i="1"/>
  <c r="X316" i="1"/>
  <c r="W317" i="1"/>
  <c r="X317" i="1"/>
  <c r="W318" i="1"/>
  <c r="X318" i="1"/>
  <c r="W319" i="1"/>
  <c r="X319" i="1"/>
  <c r="W320" i="1"/>
  <c r="X320" i="1"/>
  <c r="W321" i="1"/>
  <c r="X321" i="1"/>
  <c r="W322" i="1"/>
  <c r="X322" i="1"/>
  <c r="W323" i="1"/>
  <c r="X323" i="1"/>
  <c r="W324" i="1"/>
  <c r="X324" i="1"/>
  <c r="W325" i="1"/>
  <c r="X325" i="1"/>
  <c r="W326" i="1"/>
  <c r="X326" i="1"/>
  <c r="W327" i="1"/>
  <c r="X327" i="1"/>
  <c r="W328" i="1"/>
  <c r="X328" i="1"/>
  <c r="W329" i="1"/>
  <c r="X329" i="1"/>
  <c r="W330" i="1"/>
  <c r="X330" i="1"/>
  <c r="W331" i="1"/>
  <c r="X331" i="1"/>
  <c r="W332" i="1"/>
  <c r="X332" i="1"/>
  <c r="W333" i="1"/>
  <c r="X333" i="1"/>
  <c r="W334" i="1"/>
  <c r="X334" i="1"/>
  <c r="W335" i="1"/>
  <c r="X335" i="1"/>
  <c r="W336" i="1"/>
  <c r="X336" i="1"/>
  <c r="W337" i="1"/>
  <c r="X337" i="1"/>
  <c r="W338" i="1"/>
  <c r="X338" i="1"/>
  <c r="W339" i="1"/>
  <c r="X339" i="1"/>
  <c r="W340" i="1"/>
  <c r="X340" i="1"/>
  <c r="W341" i="1"/>
  <c r="X341" i="1"/>
  <c r="W342" i="1"/>
  <c r="X342" i="1"/>
  <c r="W343" i="1"/>
  <c r="X343" i="1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K90" i="1" l="1"/>
  <c r="L90" i="1"/>
  <c r="O19" i="2"/>
  <c r="P8" i="2"/>
  <c r="K92" i="1" l="1"/>
</calcChain>
</file>

<file path=xl/sharedStrings.xml><?xml version="1.0" encoding="utf-8"?>
<sst xmlns="http://schemas.openxmlformats.org/spreadsheetml/2006/main" count="579" uniqueCount="422">
  <si>
    <t>Gene</t>
  </si>
  <si>
    <t>Exp_PROSYN</t>
  </si>
  <si>
    <t>Model_PROSYN</t>
  </si>
  <si>
    <t>Model_PROWASTE</t>
  </si>
  <si>
    <t>Active_Protein</t>
  </si>
  <si>
    <t>Utilization_%</t>
  </si>
  <si>
    <t>Model Use vs Exp</t>
  </si>
  <si>
    <t>ZMO0177</t>
  </si>
  <si>
    <t>ZMO0342</t>
  </si>
  <si>
    <t>ZMO1360</t>
  </si>
  <si>
    <t>ZMO0152</t>
  </si>
  <si>
    <t>ZMO0519</t>
  </si>
  <si>
    <t>ZMO1227</t>
  </si>
  <si>
    <t>ZMO1910</t>
  </si>
  <si>
    <t>ZMO1145</t>
  </si>
  <si>
    <t>ZMO1076</t>
  </si>
  <si>
    <t>ZMO2002</t>
  </si>
  <si>
    <t>ZMO0518</t>
  </si>
  <si>
    <t>ZMO0540</t>
  </si>
  <si>
    <t>ZMO0520</t>
  </si>
  <si>
    <t>ZMO0521</t>
  </si>
  <si>
    <t>ZMO0523</t>
  </si>
  <si>
    <t>ZMO1225</t>
  </si>
  <si>
    <t>ZMO0209</t>
  </si>
  <si>
    <t>ZMO1516</t>
  </si>
  <si>
    <t>ZMO1079</t>
  </si>
  <si>
    <t>ZMO1515</t>
  </si>
  <si>
    <t>ZMO0517</t>
  </si>
  <si>
    <t>ZMO1226</t>
  </si>
  <si>
    <t>ZMO1713</t>
  </si>
  <si>
    <t>ZMO1798</t>
  </si>
  <si>
    <t>ZMO2004</t>
  </si>
  <si>
    <t>ZMO2003</t>
  </si>
  <si>
    <t>ZMO0533</t>
  </si>
  <si>
    <t>ZMO2031</t>
  </si>
  <si>
    <t>ZMO0294</t>
  </si>
  <si>
    <t>ZMO0524</t>
  </si>
  <si>
    <t>ZMO0530</t>
  </si>
  <si>
    <t>ZMO0884</t>
  </si>
  <si>
    <t>ZMO0526</t>
  </si>
  <si>
    <t>ZMO0726</t>
  </si>
  <si>
    <t>ZMO0725</t>
  </si>
  <si>
    <t>ZMO0550</t>
  </si>
  <si>
    <t>ZMO0542</t>
  </si>
  <si>
    <t>ZMO0539</t>
  </si>
  <si>
    <t>ZMO0536</t>
  </si>
  <si>
    <t>ZMO1246</t>
  </si>
  <si>
    <t>inf</t>
  </si>
  <si>
    <t>ZMO0727</t>
  </si>
  <si>
    <t>ZMO1358</t>
  </si>
  <si>
    <t>ZMO1366</t>
  </si>
  <si>
    <t>ZMO1156</t>
  </si>
  <si>
    <t>ZMO0514</t>
  </si>
  <si>
    <t>ZMO0534</t>
  </si>
  <si>
    <t>ZMO0522</t>
  </si>
  <si>
    <t>ZMO0532</t>
  </si>
  <si>
    <t>ZMO0531</t>
  </si>
  <si>
    <t>ZMO0525</t>
  </si>
  <si>
    <t>ZMO0528</t>
  </si>
  <si>
    <t>ZMO0728</t>
  </si>
  <si>
    <t>ZMO0529</t>
  </si>
  <si>
    <t>ZMO0527</t>
  </si>
  <si>
    <t>ZMO0211</t>
  </si>
  <si>
    <t>ZMO0249</t>
  </si>
  <si>
    <t>ZMO1608</t>
  </si>
  <si>
    <t>ZMO1240</t>
  </si>
  <si>
    <t>ZMO0493</t>
  </si>
  <si>
    <t>ZMO1000</t>
  </si>
  <si>
    <t>ZMO0178</t>
  </si>
  <si>
    <t>ZMO1201</t>
  </si>
  <si>
    <t>ZMO0997</t>
  </si>
  <si>
    <t>ZMO0367</t>
  </si>
  <si>
    <t>ZMO0368</t>
  </si>
  <si>
    <t>ZMO1236</t>
  </si>
  <si>
    <t>ZMO1036</t>
  </si>
  <si>
    <t>ZMO1141</t>
  </si>
  <si>
    <t>ZMO0784</t>
  </si>
  <si>
    <t>ZMO1137</t>
  </si>
  <si>
    <t>ZMO1551</t>
  </si>
  <si>
    <t>ZMO0273</t>
  </si>
  <si>
    <t>ZMO0018</t>
  </si>
  <si>
    <t>ZMO1321</t>
  </si>
  <si>
    <t>ZMO0369</t>
  </si>
  <si>
    <t>ZMO1278</t>
  </si>
  <si>
    <t>ZMO0454</t>
  </si>
  <si>
    <t>ZMO1407</t>
  </si>
  <si>
    <t>ZMO1140</t>
  </si>
  <si>
    <t>ZMO1279</t>
  </si>
  <si>
    <t>ZMO0460</t>
  </si>
  <si>
    <t>ZMO1223</t>
  </si>
  <si>
    <t>ZMO0676</t>
  </si>
  <si>
    <t>ZMO0409</t>
  </si>
  <si>
    <t>ZMO1685</t>
  </si>
  <si>
    <t>ZMO1692</t>
  </si>
  <si>
    <t>ZMO1222</t>
  </si>
  <si>
    <t>ZMO0875</t>
  </si>
  <si>
    <t>ZMO1519</t>
  </si>
  <si>
    <t>ZMO1052</t>
  </si>
  <si>
    <t>ZMO1684</t>
  </si>
  <si>
    <t>ZMO1117</t>
  </si>
  <si>
    <t>ZMO1116</t>
  </si>
  <si>
    <t>ZMO0913</t>
  </si>
  <si>
    <t>ZMO1267</t>
  </si>
  <si>
    <t>ZMO1212</t>
  </si>
  <si>
    <t>ZMO0366</t>
  </si>
  <si>
    <t>ZMO1891</t>
  </si>
  <si>
    <t>ZMO1687</t>
  </si>
  <si>
    <t>ZMO0973</t>
  </si>
  <si>
    <t>ZMO0187</t>
  </si>
  <si>
    <t>ZMO0475</t>
  </si>
  <si>
    <t>ZMO0182</t>
  </si>
  <si>
    <t>ZMO0180</t>
  </si>
  <si>
    <t>ZMO0408</t>
  </si>
  <si>
    <t>ZMO0008</t>
  </si>
  <si>
    <t>ZMO0009</t>
  </si>
  <si>
    <t>ZMO1653</t>
  </si>
  <si>
    <t>ZMO1133</t>
  </si>
  <si>
    <t>ZMO1682</t>
  </si>
  <si>
    <t>ZMO0186</t>
  </si>
  <si>
    <t>ZMO1797</t>
  </si>
  <si>
    <t>ZMO1557</t>
  </si>
  <si>
    <t>ZMO0339</t>
  </si>
  <si>
    <t>ZMO1146</t>
  </si>
  <si>
    <t>ZMO0792</t>
  </si>
  <si>
    <t>ZMO0587</t>
  </si>
  <si>
    <t>ZMO0563</t>
  </si>
  <si>
    <t>ZMO0715</t>
  </si>
  <si>
    <t>ZMO0483</t>
  </si>
  <si>
    <t>ZMO0543</t>
  </si>
  <si>
    <t>ZMO0677</t>
  </si>
  <si>
    <t>ZMO0914</t>
  </si>
  <si>
    <t>ZMO0662</t>
  </si>
  <si>
    <t>ZMO0855</t>
  </si>
  <si>
    <t>ZMO0734</t>
  </si>
  <si>
    <t>ZMO0593</t>
  </si>
  <si>
    <t>ZMO0843</t>
  </si>
  <si>
    <t>ZMO0120</t>
  </si>
  <si>
    <t>ZMO0431</t>
  </si>
  <si>
    <t>ZMO1513</t>
  </si>
  <si>
    <t>ZMO1514</t>
  </si>
  <si>
    <t>ZMO1955</t>
  </si>
  <si>
    <t>ZMO0765</t>
  </si>
  <si>
    <t>ZMO1059</t>
  </si>
  <si>
    <t>ZMO1767</t>
  </si>
  <si>
    <t>ZMO1770</t>
  </si>
  <si>
    <t>ZMO1707</t>
  </si>
  <si>
    <t>ZMO0327</t>
  </si>
  <si>
    <t>ZMO1617</t>
  </si>
  <si>
    <t>ZMO1618</t>
  </si>
  <si>
    <t>ZMO0709</t>
  </si>
  <si>
    <t>ZMO1275</t>
  </si>
  <si>
    <t>ZMO1092</t>
  </si>
  <si>
    <t>ZMO1508</t>
  </si>
  <si>
    <t>ZMO0005</t>
  </si>
  <si>
    <t>ZMO0004</t>
  </si>
  <si>
    <t>ZMO1478</t>
  </si>
  <si>
    <t>ZMO1640</t>
  </si>
  <si>
    <t>ZMO1128</t>
  </si>
  <si>
    <t>ZMO0144</t>
  </si>
  <si>
    <t>ZMO1796</t>
  </si>
  <si>
    <t>ZMO0544</t>
  </si>
  <si>
    <t>ZMO0027</t>
  </si>
  <si>
    <t>ZMO0206</t>
  </si>
  <si>
    <t>ZMO0056</t>
  </si>
  <si>
    <t>ZMO0986</t>
  </si>
  <si>
    <t>ZMO1420</t>
  </si>
  <si>
    <t>ZMO1435</t>
  </si>
  <si>
    <t>ZMO1518</t>
  </si>
  <si>
    <t>ZMO0512</t>
  </si>
  <si>
    <t>ZMO0510</t>
  </si>
  <si>
    <t>ZMO1606</t>
  </si>
  <si>
    <t>ZMO1605</t>
  </si>
  <si>
    <t>ZMO0462</t>
  </si>
  <si>
    <t>ZMO0845</t>
  </si>
  <si>
    <t>ZMO1150</t>
  </si>
  <si>
    <t>ZMO1724</t>
  </si>
  <si>
    <t>ZMO0442</t>
  </si>
  <si>
    <t>ZMO1693</t>
  </si>
  <si>
    <t>ZMO1421</t>
  </si>
  <si>
    <t>ZMO0538</t>
  </si>
  <si>
    <t>ZMO1698</t>
  </si>
  <si>
    <t>ZMO1550</t>
  </si>
  <si>
    <t>ZMO0323</t>
  </si>
  <si>
    <t>ZMO0833</t>
  </si>
  <si>
    <t>ZMO1501</t>
  </si>
  <si>
    <t>ZMO0200</t>
  </si>
  <si>
    <t>ZMO1661</t>
  </si>
  <si>
    <t>ZMO1496</t>
  </si>
  <si>
    <t>ZMO0567</t>
  </si>
  <si>
    <t>ZMO1481</t>
  </si>
  <si>
    <t>ZMO0832</t>
  </si>
  <si>
    <t>ZMO0834</t>
  </si>
  <si>
    <t>ZMO0468</t>
  </si>
  <si>
    <t>ZMO0201</t>
  </si>
  <si>
    <t>ZMO0105</t>
  </si>
  <si>
    <t>ZMO0106</t>
  </si>
  <si>
    <t>ZMO1200</t>
  </si>
  <si>
    <t>ZMO1643</t>
  </si>
  <si>
    <t>ZMO0473</t>
  </si>
  <si>
    <t>ZMO1444</t>
  </si>
  <si>
    <t>ZMO1446</t>
  </si>
  <si>
    <t>ZMO1792</t>
  </si>
  <si>
    <t>ZMO0433</t>
  </si>
  <si>
    <t>ZMO0176</t>
  </si>
  <si>
    <t>ZMO1531</t>
  </si>
  <si>
    <t>ZMO1532</t>
  </si>
  <si>
    <t>ZMO0820</t>
  </si>
  <si>
    <t>ZMO0903</t>
  </si>
  <si>
    <t>ZMO1502</t>
  </si>
  <si>
    <t>ZMO1500</t>
  </si>
  <si>
    <t>ZMO0299</t>
  </si>
  <si>
    <t>ZMO0890</t>
  </si>
  <si>
    <t>ZMO1963</t>
  </si>
  <si>
    <t>ZMO1600</t>
  </si>
  <si>
    <t>ZMO1871</t>
  </si>
  <si>
    <t>ZMO1878</t>
  </si>
  <si>
    <t>ZMO0974</t>
  </si>
  <si>
    <t>ZMO0498</t>
  </si>
  <si>
    <t>ZMO0421</t>
  </si>
  <si>
    <t>ZMO0582</t>
  </si>
  <si>
    <t>ZMO0707</t>
  </si>
  <si>
    <t>ZMO0007</t>
  </si>
  <si>
    <t>ZMO1708</t>
  </si>
  <si>
    <t>ZMO1313</t>
  </si>
  <si>
    <t>ZMO1598</t>
  </si>
  <si>
    <t>ZMO0420</t>
  </si>
  <si>
    <t>ZMO1178</t>
  </si>
  <si>
    <t>ZMO1229</t>
  </si>
  <si>
    <t>ZMO0708</t>
  </si>
  <si>
    <t>ZMO1503</t>
  </si>
  <si>
    <t>ZMO0831</t>
  </si>
  <si>
    <t>ZMO0586</t>
  </si>
  <si>
    <t>ZMO0736</t>
  </si>
  <si>
    <t>ZMO0735</t>
  </si>
  <si>
    <t>ZMO0599</t>
  </si>
  <si>
    <t>ZMO0583</t>
  </si>
  <si>
    <t>ZMO0426</t>
  </si>
  <si>
    <t>ZMO0425</t>
  </si>
  <si>
    <t>ZMO0423</t>
  </si>
  <si>
    <t>ZMO1730</t>
  </si>
  <si>
    <t>ZMO0041</t>
  </si>
  <si>
    <t>ZMO1678</t>
  </si>
  <si>
    <t>ZMO1211</t>
  </si>
  <si>
    <t>ZMO1008</t>
  </si>
  <si>
    <t>ZMO1002</t>
  </si>
  <si>
    <t>ZMO0827</t>
  </si>
  <si>
    <t>ZMO1747</t>
  </si>
  <si>
    <t>ZMO0465</t>
  </si>
  <si>
    <t>ZMO1190</t>
  </si>
  <si>
    <t>ZMO1753</t>
  </si>
  <si>
    <t>ZMO1033</t>
  </si>
  <si>
    <t>ZMO1870</t>
  </si>
  <si>
    <t>ZMO0826</t>
  </si>
  <si>
    <t>ZMO0003</t>
  </si>
  <si>
    <t>ZMO1755</t>
  </si>
  <si>
    <t>ZMO1899</t>
  </si>
  <si>
    <t>ZMO1768</t>
  </si>
  <si>
    <t>ZMO1025</t>
  </si>
  <si>
    <t>ZMO0938</t>
  </si>
  <si>
    <t>ZMO1209</t>
  </si>
  <si>
    <t>ZMO1160</t>
  </si>
  <si>
    <t>ZMO1182</t>
  </si>
  <si>
    <t>ZMO0427</t>
  </si>
  <si>
    <t>ZMO1067</t>
  </si>
  <si>
    <t>ZMO1329</t>
  </si>
  <si>
    <t>ZMO1233</t>
  </si>
  <si>
    <t>ZMO0114</t>
  </si>
  <si>
    <t>ZMO0113</t>
  </si>
  <si>
    <t>ZMO0584</t>
  </si>
  <si>
    <t>ZMO0585</t>
  </si>
  <si>
    <t>ZMO0791</t>
  </si>
  <si>
    <t>ZMO0225</t>
  </si>
  <si>
    <t>ZMO0322</t>
  </si>
  <si>
    <t>ZMO1072</t>
  </si>
  <si>
    <t>ZMO0829</t>
  </si>
  <si>
    <t>ZMO1499</t>
  </si>
  <si>
    <t>ZMO0429</t>
  </si>
  <si>
    <t>ZMO0899</t>
  </si>
  <si>
    <t>ZMO1853</t>
  </si>
  <si>
    <t>ZMO0874</t>
  </si>
  <si>
    <t>ZMO0866</t>
  </si>
  <si>
    <t>ZMO1592</t>
  </si>
  <si>
    <t>ZMO1307</t>
  </si>
  <si>
    <t>ZMO0547</t>
  </si>
  <si>
    <t>ZMO0737</t>
  </si>
  <si>
    <t>ZMO1905</t>
  </si>
  <si>
    <t>ZMO1006</t>
  </si>
  <si>
    <t>ZMO0594</t>
  </si>
  <si>
    <t>ZMO1632</t>
  </si>
  <si>
    <t>ZMO1090</t>
  </si>
  <si>
    <t>ZMO1195</t>
  </si>
  <si>
    <t>ZMO1277</t>
  </si>
  <si>
    <t>ZMO0545</t>
  </si>
  <si>
    <t>ZMO0419</t>
  </si>
  <si>
    <t>ZMO0238</t>
  </si>
  <si>
    <t>ZMO0242</t>
  </si>
  <si>
    <t>ZMO0667</t>
  </si>
  <si>
    <t>ZMO0668</t>
  </si>
  <si>
    <t>ZMO0669</t>
  </si>
  <si>
    <t>ZMO0241</t>
  </si>
  <si>
    <t>ZMO0240</t>
  </si>
  <si>
    <t>ZMO0671</t>
  </si>
  <si>
    <t>ZMO0239</t>
  </si>
  <si>
    <t>ZMO1867</t>
  </si>
  <si>
    <t>ZMO0972</t>
  </si>
  <si>
    <t>ZMO1553</t>
  </si>
  <si>
    <t>ZMO1541</t>
  </si>
  <si>
    <t>ZMO1197</t>
  </si>
  <si>
    <t>ZMO1569</t>
  </si>
  <si>
    <t>ZMO1570</t>
  </si>
  <si>
    <t>ZMO0854</t>
  </si>
  <si>
    <t>ZMO1975</t>
  </si>
  <si>
    <t>ZMO1020</t>
  </si>
  <si>
    <t>ZMO0314</t>
  </si>
  <si>
    <t>ZMO0873</t>
  </si>
  <si>
    <t>ZMO0546</t>
  </si>
  <si>
    <t>ZMO0040</t>
  </si>
  <si>
    <t>ZMO1152</t>
  </si>
  <si>
    <t>ZMO0321</t>
  </si>
  <si>
    <t>ZMO0476</t>
  </si>
  <si>
    <t>ZMO1662</t>
  </si>
  <si>
    <t>ZMO0969</t>
  </si>
  <si>
    <t>ZMO1159</t>
  </si>
  <si>
    <t>ZMO0474</t>
  </si>
  <si>
    <t>ZMO1050</t>
  </si>
  <si>
    <t>ZMO1047</t>
  </si>
  <si>
    <t>ZMO1048</t>
  </si>
  <si>
    <t>ZMO1049</t>
  </si>
  <si>
    <t>ZMO1647</t>
  </si>
  <si>
    <t>ZMO0828</t>
  </si>
  <si>
    <t>ZMO1151</t>
  </si>
  <si>
    <t>ZMO1089</t>
  </si>
  <si>
    <t>ZMO1639</t>
  </si>
  <si>
    <t>ZMO0825</t>
  </si>
  <si>
    <t>ZMO0719</t>
  </si>
  <si>
    <t>ZMO0359</t>
  </si>
  <si>
    <t>ZMO0197</t>
  </si>
  <si>
    <t>ZMO0422</t>
  </si>
  <si>
    <t>ZMO1851</t>
  </si>
  <si>
    <t>Glucokinase</t>
  </si>
  <si>
    <t>GLK</t>
  </si>
  <si>
    <t>Glucose 6-phospahte dehydrogenase</t>
  </si>
  <si>
    <t>G6PDH</t>
  </si>
  <si>
    <t xml:space="preserve">6-phosphogluconolactonase </t>
  </si>
  <si>
    <t>PGL</t>
  </si>
  <si>
    <t xml:space="preserve">6-phosphogluconate dehydratase </t>
  </si>
  <si>
    <t>EDD</t>
  </si>
  <si>
    <t xml:space="preserve">2-dehydro-3-deoxyphosphogluconate aldolase </t>
  </si>
  <si>
    <t>EDA</t>
  </si>
  <si>
    <t xml:space="preserve">Phosphoglucose isomerase </t>
  </si>
  <si>
    <t>PGI</t>
  </si>
  <si>
    <t xml:space="preserve">Triose phosphate isomerase </t>
  </si>
  <si>
    <t>TPI</t>
  </si>
  <si>
    <t xml:space="preserve">Glyceraldehyde 3-phosphate dehydrogenase </t>
  </si>
  <si>
    <t>GAPDH</t>
  </si>
  <si>
    <t xml:space="preserve">Phosphoglycerate kinase </t>
  </si>
  <si>
    <t>PGK</t>
  </si>
  <si>
    <t xml:space="preserve">Phosphoglycerate mutase </t>
  </si>
  <si>
    <t>PGM</t>
  </si>
  <si>
    <t xml:space="preserve">Enolase </t>
  </si>
  <si>
    <t>ENO</t>
  </si>
  <si>
    <t xml:space="preserve">Pyruvate kinase </t>
  </si>
  <si>
    <t>PYK</t>
  </si>
  <si>
    <t>Pyruvate decarboxylase</t>
  </si>
  <si>
    <t>PDC</t>
  </si>
  <si>
    <t>Alcohol dehydrogenase I/II</t>
  </si>
  <si>
    <t>ADHA/B</t>
  </si>
  <si>
    <t>ZMO1234                (DXS1)</t>
  </si>
  <si>
    <t>ZMO1598                 (DXS2)</t>
  </si>
  <si>
    <t>ZM01150 (DXR)</t>
  </si>
  <si>
    <t>ZMO1128 (IspDF)</t>
  </si>
  <si>
    <t>ZMO1182                   (IspE)</t>
  </si>
  <si>
    <t>ZMO0180                 (IspG)</t>
  </si>
  <si>
    <t>ZMO0875                  (IspH)</t>
  </si>
  <si>
    <t>ZMO0855      (FPPS/IspA?)</t>
  </si>
  <si>
    <t>ZMO0870 (HpnD)</t>
  </si>
  <si>
    <t>ZMO0869                (HpnC)</t>
  </si>
  <si>
    <t>ZMO0871 (HpnE)</t>
  </si>
  <si>
    <t>ZMO0872 (HpnF/Shc?)</t>
  </si>
  <si>
    <t>ZMO1548 (HpnF/Shc?)</t>
  </si>
  <si>
    <t>ZMO0874 (HpnH)</t>
  </si>
  <si>
    <t>ZMO0873                (HpnG)</t>
  </si>
  <si>
    <t>ZMO0972                 (HpnI)</t>
  </si>
  <si>
    <t>ZMO0974 (HpnK)</t>
  </si>
  <si>
    <t>ZMO0973 (HpnJ)</t>
  </si>
  <si>
    <t>ZMO1234</t>
  </si>
  <si>
    <t>DXS1</t>
  </si>
  <si>
    <t>DXS2</t>
  </si>
  <si>
    <t>DXR</t>
  </si>
  <si>
    <t>ISPDF</t>
  </si>
  <si>
    <t>ISPE</t>
  </si>
  <si>
    <t>ISPG</t>
  </si>
  <si>
    <t>ISPH</t>
  </si>
  <si>
    <t>Model/Exp</t>
  </si>
  <si>
    <t>Model Prosyn</t>
  </si>
  <si>
    <t>mmol/gDW/h</t>
  </si>
  <si>
    <t>Model Pro Con</t>
  </si>
  <si>
    <t>mmol/gDW</t>
  </si>
  <si>
    <t>Exp</t>
  </si>
  <si>
    <t>St Dev</t>
  </si>
  <si>
    <t>g/gDCW</t>
  </si>
  <si>
    <t>MW (g/mmol)</t>
  </si>
  <si>
    <t>mmol/gDCW</t>
  </si>
  <si>
    <t>ZMO0311</t>
  </si>
  <si>
    <t>ZMO1596</t>
  </si>
  <si>
    <t>ADH</t>
  </si>
  <si>
    <t>exp vglc 51</t>
  </si>
  <si>
    <t>u 0.36</t>
  </si>
  <si>
    <t>ZMO0883</t>
  </si>
  <si>
    <t>Model</t>
  </si>
  <si>
    <t>ZMO0821</t>
  </si>
  <si>
    <t>ZMO1964</t>
  </si>
  <si>
    <t>ZMO1548</t>
  </si>
  <si>
    <t>vglc was 55.1</t>
  </si>
  <si>
    <t>ZMO1873</t>
  </si>
  <si>
    <t>ZMO0863</t>
  </si>
  <si>
    <t>ZMO0687</t>
  </si>
  <si>
    <t>ZMO0870</t>
  </si>
  <si>
    <t>ZMO1191</t>
  </si>
  <si>
    <t>ZMO0712</t>
  </si>
  <si>
    <t>u was 0.36</t>
  </si>
  <si>
    <t>ZMO0860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</si>
</sst>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0" borderId="0" xfId="0" applyFont="1"/>
    <xf numFmtId="0" fontId="0" fillId="3" borderId="0" xfId="0" applyFill="1"/>
    <xf numFmtId="11" fontId="0" fillId="0" borderId="0" xfId="0" applyNumberFormat="1"/>
    <xf numFmtId="11" fontId="0" fillId="4" borderId="0" xfId="0" applyNumberFormat="1" applyFill="1"/>
    <xf numFmtId="11" fontId="0" fillId="3" borderId="0" xfId="0" applyNumberFormat="1" applyFill="1"/>
    <xf numFmtId="0" fontId="4" fillId="0" borderId="1" xfId="0" applyFont="1" applyBorder="1" applyAlignment="1">
      <alignment horizontal="center" vertical="top"/>
    </xf>
    <xf numFmtId="0" fontId="5" fillId="5" borderId="0" xfId="0" applyFont="1" applyFill="1"/>
    <xf numFmtId="0" fontId="5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517030106262407"/>
                  <c:y val="7.85027902043075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Sheet1!$W$5:$W$343</c:f>
              <c:numCache>
                <c:formatCode>General</c:formatCode>
                <c:ptCount val="339"/>
                <c:pt idx="0">
                  <c:v>-4.1016002037114303</c:v>
                </c:pt>
                <c:pt idx="1">
                  <c:v>-4.1582865153413788</c:v>
                </c:pt>
                <c:pt idx="2">
                  <c:v>-4.2711841723871355</c:v>
                </c:pt>
                <c:pt idx="3">
                  <c:v>-4.3952379777337409</c:v>
                </c:pt>
                <c:pt idx="4">
                  <c:v>-5.9265436828222064</c:v>
                </c:pt>
                <c:pt idx="5">
                  <c:v>-4.8032854725826146</c:v>
                </c:pt>
                <c:pt idx="6">
                  <c:v>-4.5985152548595893</c:v>
                </c:pt>
                <c:pt idx="7">
                  <c:v>-4.6095743324579788</c:v>
                </c:pt>
                <c:pt idx="8">
                  <c:v>-4.6481153008293843</c:v>
                </c:pt>
                <c:pt idx="9">
                  <c:v>-5.3191618206680547</c:v>
                </c:pt>
                <c:pt idx="10">
                  <c:v>-5.0662216970254672</c:v>
                </c:pt>
                <c:pt idx="11">
                  <c:v>-4.7447345980890736</c:v>
                </c:pt>
                <c:pt idx="12">
                  <c:v>-5.3955068608180685</c:v>
                </c:pt>
                <c:pt idx="13">
                  <c:v>-6.8836735008594792</c:v>
                </c:pt>
                <c:pt idx="14">
                  <c:v>-4.7721863239136608</c:v>
                </c:pt>
                <c:pt idx="15">
                  <c:v>-4.6173683201366034</c:v>
                </c:pt>
                <c:pt idx="16">
                  <c:v>-5.0363553893119173</c:v>
                </c:pt>
                <c:pt idx="17">
                  <c:v>-4.3378141334249776</c:v>
                </c:pt>
                <c:pt idx="18">
                  <c:v>-4.8155282473688841</c:v>
                </c:pt>
                <c:pt idx="19">
                  <c:v>-4.4753144982686281</c:v>
                </c:pt>
                <c:pt idx="20">
                  <c:v>-4.6997481708342956</c:v>
                </c:pt>
                <c:pt idx="21">
                  <c:v>-4.6194638313676979</c:v>
                </c:pt>
                <c:pt idx="22">
                  <c:v>-4.8442054659856186</c:v>
                </c:pt>
                <c:pt idx="23">
                  <c:v>-4.5690283740242741</c:v>
                </c:pt>
                <c:pt idx="24">
                  <c:v>-4.6160237339482828</c:v>
                </c:pt>
                <c:pt idx="25">
                  <c:v>-5.1000572338804977</c:v>
                </c:pt>
                <c:pt idx="26">
                  <c:v>-4.6167950361393677</c:v>
                </c:pt>
                <c:pt idx="27">
                  <c:v>-4.9355891268408989</c:v>
                </c:pt>
                <c:pt idx="28">
                  <c:v>-4.579420073605859</c:v>
                </c:pt>
                <c:pt idx="29">
                  <c:v>-4.7376367142711215</c:v>
                </c:pt>
                <c:pt idx="30">
                  <c:v>-4.6111609222551708</c:v>
                </c:pt>
                <c:pt idx="31">
                  <c:v>-4.6491122454619855</c:v>
                </c:pt>
                <c:pt idx="32">
                  <c:v>-5.527340341342005</c:v>
                </c:pt>
                <c:pt idx="33">
                  <c:v>-4.4577443844795654</c:v>
                </c:pt>
                <c:pt idx="34">
                  <c:v>-4.7405496834295224</c:v>
                </c:pt>
                <c:pt idx="35">
                  <c:v>-4.7555749199556709</c:v>
                </c:pt>
                <c:pt idx="36">
                  <c:v>-4.7974985329806401</c:v>
                </c:pt>
                <c:pt idx="37">
                  <c:v>-4.7327461800854635</c:v>
                </c:pt>
                <c:pt idx="38">
                  <c:v>-4.7656387712137924</c:v>
                </c:pt>
                <c:pt idx="39">
                  <c:v>-4.6975212153309913</c:v>
                </c:pt>
                <c:pt idx="40">
                  <c:v>-4.848496359234681</c:v>
                </c:pt>
                <c:pt idx="41">
                  <c:v>-5.0810371883794776</c:v>
                </c:pt>
                <c:pt idx="42">
                  <c:v>-4.4309976474157402</c:v>
                </c:pt>
                <c:pt idx="43">
                  <c:v>0</c:v>
                </c:pt>
                <c:pt idx="44">
                  <c:v>-4.5066554610384504</c:v>
                </c:pt>
                <c:pt idx="45">
                  <c:v>-4.9923599685410363</c:v>
                </c:pt>
                <c:pt idx="46">
                  <c:v>-4.5188294049143911</c:v>
                </c:pt>
                <c:pt idx="47">
                  <c:v>-4.5920260157987141</c:v>
                </c:pt>
                <c:pt idx="48">
                  <c:v>-4.7279339694831215</c:v>
                </c:pt>
                <c:pt idx="49">
                  <c:v>-4.627943261666581</c:v>
                </c:pt>
                <c:pt idx="50">
                  <c:v>-4.7013981572690628</c:v>
                </c:pt>
                <c:pt idx="51">
                  <c:v>-4.6723180801440183</c:v>
                </c:pt>
                <c:pt idx="52">
                  <c:v>-4.6939150617294256</c:v>
                </c:pt>
                <c:pt idx="53">
                  <c:v>-5.0021145447469371</c:v>
                </c:pt>
                <c:pt idx="54">
                  <c:v>-4.7053187309098812</c:v>
                </c:pt>
                <c:pt idx="55">
                  <c:v>-5.1383238739373942</c:v>
                </c:pt>
                <c:pt idx="56">
                  <c:v>-4.8115522550966858</c:v>
                </c:pt>
                <c:pt idx="57">
                  <c:v>-4.5957302732019016</c:v>
                </c:pt>
                <c:pt idx="58">
                  <c:v>-4.3890840104938995</c:v>
                </c:pt>
                <c:pt idx="59">
                  <c:v>-4.9338635176864356</c:v>
                </c:pt>
                <c:pt idx="60">
                  <c:v>-4.7330263742227139</c:v>
                </c:pt>
                <c:pt idx="61">
                  <c:v>-4.9197903839552311</c:v>
                </c:pt>
                <c:pt idx="62">
                  <c:v>-4.7434158355097784</c:v>
                </c:pt>
                <c:pt idx="63">
                  <c:v>-4.978126974162091</c:v>
                </c:pt>
                <c:pt idx="64">
                  <c:v>-6.4642654315011265</c:v>
                </c:pt>
                <c:pt idx="65">
                  <c:v>-4.7768630388277185</c:v>
                </c:pt>
                <c:pt idx="66">
                  <c:v>-4.8016468044110665</c:v>
                </c:pt>
                <c:pt idx="67">
                  <c:v>-4.8241656734312004</c:v>
                </c:pt>
                <c:pt idx="68">
                  <c:v>-5.0037209325747671</c:v>
                </c:pt>
                <c:pt idx="69">
                  <c:v>-4.9506824137626051</c:v>
                </c:pt>
                <c:pt idx="70">
                  <c:v>-5.137423726939093</c:v>
                </c:pt>
                <c:pt idx="71">
                  <c:v>-5.0286793779519652</c:v>
                </c:pt>
                <c:pt idx="72">
                  <c:v>-5.000418388336958</c:v>
                </c:pt>
                <c:pt idx="73">
                  <c:v>-4.9876522553999143</c:v>
                </c:pt>
                <c:pt idx="74">
                  <c:v>-5.0408659488918737</c:v>
                </c:pt>
                <c:pt idx="75">
                  <c:v>-5.0429380841549118</c:v>
                </c:pt>
                <c:pt idx="76">
                  <c:v>-5.2475929354844384</c:v>
                </c:pt>
                <c:pt idx="77">
                  <c:v>-5.5735217815386431</c:v>
                </c:pt>
                <c:pt idx="78">
                  <c:v>-5.6362077567421789</c:v>
                </c:pt>
                <c:pt idx="79">
                  <c:v>-5.0866375541059616</c:v>
                </c:pt>
                <c:pt idx="80">
                  <c:v>-5.1201500073860977</c:v>
                </c:pt>
                <c:pt idx="81">
                  <c:v>-5.3326105026642292</c:v>
                </c:pt>
                <c:pt idx="82">
                  <c:v>-5.2162904766549056</c:v>
                </c:pt>
                <c:pt idx="83">
                  <c:v>-5.2406809068027185</c:v>
                </c:pt>
                <c:pt idx="84">
                  <c:v>-5.2070935002782255</c:v>
                </c:pt>
                <c:pt idx="85">
                  <c:v>-5.3891029445302188</c:v>
                </c:pt>
                <c:pt idx="86">
                  <c:v>-5.3706030088903294</c:v>
                </c:pt>
                <c:pt idx="87">
                  <c:v>-5.1939576616264356</c:v>
                </c:pt>
                <c:pt idx="88">
                  <c:v>-5.2617661085279259</c:v>
                </c:pt>
                <c:pt idx="89">
                  <c:v>-5.2879960968498123</c:v>
                </c:pt>
                <c:pt idx="90">
                  <c:v>-5.3007182013561609</c:v>
                </c:pt>
                <c:pt idx="91">
                  <c:v>-5.2916921000594055</c:v>
                </c:pt>
                <c:pt idx="92">
                  <c:v>-5.2651499281510006</c:v>
                </c:pt>
                <c:pt idx="93">
                  <c:v>-6.1750155332006287</c:v>
                </c:pt>
                <c:pt idx="94">
                  <c:v>-5.225279757471287</c:v>
                </c:pt>
                <c:pt idx="95">
                  <c:v>-5.3571733657303069</c:v>
                </c:pt>
                <c:pt idx="96">
                  <c:v>-5.3400148966586887</c:v>
                </c:pt>
                <c:pt idx="97">
                  <c:v>-5.3275409890607959</c:v>
                </c:pt>
                <c:pt idx="98">
                  <c:v>-5.3344696988789675</c:v>
                </c:pt>
                <c:pt idx="99">
                  <c:v>-5.1265439164223983</c:v>
                </c:pt>
                <c:pt idx="100">
                  <c:v>-5.3206989715610238</c:v>
                </c:pt>
                <c:pt idx="101">
                  <c:v>-5.6226157363732883</c:v>
                </c:pt>
                <c:pt idx="102">
                  <c:v>-5.3457292132200145</c:v>
                </c:pt>
                <c:pt idx="103">
                  <c:v>-5.3544655153681253</c:v>
                </c:pt>
                <c:pt idx="104">
                  <c:v>-5.395327125038003</c:v>
                </c:pt>
                <c:pt idx="105">
                  <c:v>-5.3823465637327423</c:v>
                </c:pt>
                <c:pt idx="106">
                  <c:v>-5.3786371064362459</c:v>
                </c:pt>
                <c:pt idx="107">
                  <c:v>-5.6080091962828824</c:v>
                </c:pt>
                <c:pt idx="108">
                  <c:v>-5.4698915675554947</c:v>
                </c:pt>
                <c:pt idx="109">
                  <c:v>-5.3820593703685029</c:v>
                </c:pt>
                <c:pt idx="110">
                  <c:v>-5.9515407071869522</c:v>
                </c:pt>
                <c:pt idx="111">
                  <c:v>-5.4277879855582576</c:v>
                </c:pt>
                <c:pt idx="112">
                  <c:v>-5.5428167237096835</c:v>
                </c:pt>
                <c:pt idx="113">
                  <c:v>-5.6532622050902477</c:v>
                </c:pt>
                <c:pt idx="114">
                  <c:v>-6.8768900910252144</c:v>
                </c:pt>
                <c:pt idx="115">
                  <c:v>-5.934814233151541</c:v>
                </c:pt>
                <c:pt idx="116">
                  <c:v>-5.4143804898667298</c:v>
                </c:pt>
                <c:pt idx="117">
                  <c:v>-5.2182296030217037</c:v>
                </c:pt>
                <c:pt idx="118">
                  <c:v>-5.4166811904402277</c:v>
                </c:pt>
                <c:pt idx="119">
                  <c:v>-5.5406184603326736</c:v>
                </c:pt>
                <c:pt idx="120">
                  <c:v>-5.4559519037387441</c:v>
                </c:pt>
                <c:pt idx="121">
                  <c:v>-5.5985820476695531</c:v>
                </c:pt>
                <c:pt idx="122">
                  <c:v>-5.4598570861720139</c:v>
                </c:pt>
                <c:pt idx="123">
                  <c:v>-5.6303558740735511</c:v>
                </c:pt>
                <c:pt idx="124">
                  <c:v>-5.2812353405995252</c:v>
                </c:pt>
                <c:pt idx="125">
                  <c:v>-5.5680120454423667</c:v>
                </c:pt>
                <c:pt idx="126">
                  <c:v>-5.709253179986951</c:v>
                </c:pt>
                <c:pt idx="127">
                  <c:v>-5.719470522132136</c:v>
                </c:pt>
                <c:pt idx="128">
                  <c:v>-5.5278446557505134</c:v>
                </c:pt>
                <c:pt idx="129">
                  <c:v>-5.5162606800636906</c:v>
                </c:pt>
                <c:pt idx="130">
                  <c:v>-5.6513685230088972</c:v>
                </c:pt>
                <c:pt idx="131">
                  <c:v>-5.769885508570515</c:v>
                </c:pt>
                <c:pt idx="132">
                  <c:v>-5.5318761765243147</c:v>
                </c:pt>
                <c:pt idx="133">
                  <c:v>-5.746883705913854</c:v>
                </c:pt>
                <c:pt idx="134">
                  <c:v>-5.5377387369574587</c:v>
                </c:pt>
                <c:pt idx="135">
                  <c:v>-5.5410796125675006</c:v>
                </c:pt>
                <c:pt idx="136">
                  <c:v>-5.5134541263775629</c:v>
                </c:pt>
                <c:pt idx="137">
                  <c:v>-5.913718461120804</c:v>
                </c:pt>
                <c:pt idx="138">
                  <c:v>-5.5585638016740315</c:v>
                </c:pt>
                <c:pt idx="139">
                  <c:v>-5.5463916272330618</c:v>
                </c:pt>
                <c:pt idx="140">
                  <c:v>-5.8175238470184629</c:v>
                </c:pt>
                <c:pt idx="141">
                  <c:v>-5.555976454751594</c:v>
                </c:pt>
                <c:pt idx="142">
                  <c:v>-5.5594752371548593</c:v>
                </c:pt>
                <c:pt idx="143">
                  <c:v>-5.5929223982686125</c:v>
                </c:pt>
                <c:pt idx="144">
                  <c:v>-5.5754112018276683</c:v>
                </c:pt>
                <c:pt idx="145">
                  <c:v>-5.6583160952896945</c:v>
                </c:pt>
                <c:pt idx="146">
                  <c:v>-5.5843618396077845</c:v>
                </c:pt>
                <c:pt idx="147">
                  <c:v>-5.7943857041116251</c:v>
                </c:pt>
                <c:pt idx="148">
                  <c:v>-5.8046466766805773</c:v>
                </c:pt>
                <c:pt idx="149">
                  <c:v>-5.6662137557677594</c:v>
                </c:pt>
                <c:pt idx="150">
                  <c:v>-5.3588211052502288</c:v>
                </c:pt>
                <c:pt idx="151">
                  <c:v>-5.4186715204054394</c:v>
                </c:pt>
                <c:pt idx="152">
                  <c:v>-5.6197109461308097</c:v>
                </c:pt>
                <c:pt idx="153">
                  <c:v>-5.6206587226023528</c:v>
                </c:pt>
                <c:pt idx="154">
                  <c:v>-5.6230043048629721</c:v>
                </c:pt>
                <c:pt idx="155">
                  <c:v>-5.6487213380522263</c:v>
                </c:pt>
                <c:pt idx="156">
                  <c:v>-5.714815520849176</c:v>
                </c:pt>
                <c:pt idx="157">
                  <c:v>-5.7254453552321536</c:v>
                </c:pt>
                <c:pt idx="158">
                  <c:v>-5.7228158410984538</c:v>
                </c:pt>
                <c:pt idx="159">
                  <c:v>-5.5756622488161121</c:v>
                </c:pt>
                <c:pt idx="160">
                  <c:v>-6.3575047995032454</c:v>
                </c:pt>
                <c:pt idx="161">
                  <c:v>-5.9326584458593707</c:v>
                </c:pt>
                <c:pt idx="162">
                  <c:v>-5.7594870800595999</c:v>
                </c:pt>
                <c:pt idx="163">
                  <c:v>-5.6499654109081767</c:v>
                </c:pt>
                <c:pt idx="164">
                  <c:v>-5.5889175313198001</c:v>
                </c:pt>
                <c:pt idx="165">
                  <c:v>-5.6849141408767929</c:v>
                </c:pt>
                <c:pt idx="166">
                  <c:v>-5.6871953685500936</c:v>
                </c:pt>
                <c:pt idx="167">
                  <c:v>-5.6981237217779723</c:v>
                </c:pt>
                <c:pt idx="168">
                  <c:v>-5.7194145158852008</c:v>
                </c:pt>
                <c:pt idx="169">
                  <c:v>-5.6856174335168923</c:v>
                </c:pt>
                <c:pt idx="170">
                  <c:v>-6.2185467413230064</c:v>
                </c:pt>
                <c:pt idx="171">
                  <c:v>-5.7237633247072335</c:v>
                </c:pt>
                <c:pt idx="172">
                  <c:v>-5.4651435599106355</c:v>
                </c:pt>
                <c:pt idx="173">
                  <c:v>-5.7268510555068657</c:v>
                </c:pt>
                <c:pt idx="174">
                  <c:v>-5.7625258416518603</c:v>
                </c:pt>
                <c:pt idx="175">
                  <c:v>-5.7377248256140421</c:v>
                </c:pt>
                <c:pt idx="176">
                  <c:v>-5.7395690293325714</c:v>
                </c:pt>
                <c:pt idx="177">
                  <c:v>-5.9840326518278877</c:v>
                </c:pt>
                <c:pt idx="178">
                  <c:v>-5.7046922327508609</c:v>
                </c:pt>
                <c:pt idx="179">
                  <c:v>-5.749740193567674</c:v>
                </c:pt>
                <c:pt idx="180">
                  <c:v>-5.7531807562865502</c:v>
                </c:pt>
                <c:pt idx="181">
                  <c:v>-5.7962326574394663</c:v>
                </c:pt>
                <c:pt idx="182">
                  <c:v>-5.7760159146125751</c:v>
                </c:pt>
                <c:pt idx="183">
                  <c:v>-5.7988076564982656</c:v>
                </c:pt>
                <c:pt idx="184">
                  <c:v>-5.7508108205479784</c:v>
                </c:pt>
                <c:pt idx="185">
                  <c:v>-5.8093865523672639</c:v>
                </c:pt>
                <c:pt idx="186">
                  <c:v>-5.8136635623466004</c:v>
                </c:pt>
                <c:pt idx="187">
                  <c:v>-5.9472099178354529</c:v>
                </c:pt>
                <c:pt idx="188">
                  <c:v>-6.1053643306211773</c:v>
                </c:pt>
                <c:pt idx="189">
                  <c:v>-5.6637028402080558</c:v>
                </c:pt>
                <c:pt idx="190">
                  <c:v>-5.7919052820724284</c:v>
                </c:pt>
                <c:pt idx="191">
                  <c:v>-5.8194986326190881</c:v>
                </c:pt>
                <c:pt idx="192">
                  <c:v>-5.8541724395742518</c:v>
                </c:pt>
                <c:pt idx="193">
                  <c:v>-5.5384567636354785</c:v>
                </c:pt>
                <c:pt idx="194">
                  <c:v>-5.7695709115278468</c:v>
                </c:pt>
                <c:pt idx="195">
                  <c:v>-5.866024976954014</c:v>
                </c:pt>
                <c:pt idx="196">
                  <c:v>-5.8903111129218146</c:v>
                </c:pt>
                <c:pt idx="197">
                  <c:v>-5.8356381046392372</c:v>
                </c:pt>
                <c:pt idx="198">
                  <c:v>-5.993921517236446</c:v>
                </c:pt>
                <c:pt idx="199">
                  <c:v>-6.0892411629195182</c:v>
                </c:pt>
                <c:pt idx="200">
                  <c:v>-6.250055625548705</c:v>
                </c:pt>
                <c:pt idx="201">
                  <c:v>-5.7922283625435407</c:v>
                </c:pt>
                <c:pt idx="202">
                  <c:v>-5.8922537498382814</c:v>
                </c:pt>
                <c:pt idx="203">
                  <c:v>-5.8936664908782221</c:v>
                </c:pt>
                <c:pt idx="204">
                  <c:v>-6.1085311877209136</c:v>
                </c:pt>
                <c:pt idx="205">
                  <c:v>-5.930779814573194</c:v>
                </c:pt>
                <c:pt idx="206">
                  <c:v>-6.2133716777155827</c:v>
                </c:pt>
                <c:pt idx="207">
                  <c:v>-5.913028652632268</c:v>
                </c:pt>
                <c:pt idx="208">
                  <c:v>-5.9305626080655989</c:v>
                </c:pt>
                <c:pt idx="209">
                  <c:v>-5.9612223277739815</c:v>
                </c:pt>
                <c:pt idx="210">
                  <c:v>-5.94708502215145</c:v>
                </c:pt>
                <c:pt idx="211">
                  <c:v>-5.9320497057803614</c:v>
                </c:pt>
                <c:pt idx="212">
                  <c:v>-5.6006550099294632</c:v>
                </c:pt>
                <c:pt idx="213">
                  <c:v>-5.952312576977894</c:v>
                </c:pt>
                <c:pt idx="214">
                  <c:v>-5.7622790740646881</c:v>
                </c:pt>
                <c:pt idx="215">
                  <c:v>-6.0102073104142963</c:v>
                </c:pt>
                <c:pt idx="216">
                  <c:v>-5.7854854968908453</c:v>
                </c:pt>
                <c:pt idx="217">
                  <c:v>-6.1962906629568382</c:v>
                </c:pt>
                <c:pt idx="218">
                  <c:v>-5.9735163716464648</c:v>
                </c:pt>
                <c:pt idx="219">
                  <c:v>-5.994258595821548</c:v>
                </c:pt>
                <c:pt idx="220">
                  <c:v>-6.0133597201638072</c:v>
                </c:pt>
                <c:pt idx="221">
                  <c:v>-6.2373014621223568</c:v>
                </c:pt>
                <c:pt idx="222">
                  <c:v>-5.6020631365892566</c:v>
                </c:pt>
                <c:pt idx="223">
                  <c:v>-6.0420703925708734</c:v>
                </c:pt>
                <c:pt idx="224">
                  <c:v>-6.0188683491948662</c:v>
                </c:pt>
                <c:pt idx="225">
                  <c:v>-5.8135030007601465</c:v>
                </c:pt>
                <c:pt idx="226">
                  <c:v>-6.2951038019452819</c:v>
                </c:pt>
                <c:pt idx="227">
                  <c:v>-6.0269982119062648</c:v>
                </c:pt>
                <c:pt idx="228">
                  <c:v>-6.2386239206329241</c:v>
                </c:pt>
                <c:pt idx="229">
                  <c:v>-5.6482815360722602</c:v>
                </c:pt>
                <c:pt idx="230">
                  <c:v>-6.0306024969286396</c:v>
                </c:pt>
                <c:pt idx="231">
                  <c:v>-6.0326788620299503</c:v>
                </c:pt>
                <c:pt idx="232">
                  <c:v>-6.0530334079525341</c:v>
                </c:pt>
                <c:pt idx="233">
                  <c:v>-6.0579646905682587</c:v>
                </c:pt>
                <c:pt idx="234">
                  <c:v>-6.0678555160129566</c:v>
                </c:pt>
                <c:pt idx="235">
                  <c:v>-6.057951401799941</c:v>
                </c:pt>
                <c:pt idx="236">
                  <c:v>-5.4277218701466472</c:v>
                </c:pt>
                <c:pt idx="237">
                  <c:v>-5.5202818381625907</c:v>
                </c:pt>
                <c:pt idx="238">
                  <c:v>-5.6320108285285455</c:v>
                </c:pt>
                <c:pt idx="239">
                  <c:v>-6.0835196590491485</c:v>
                </c:pt>
                <c:pt idx="240">
                  <c:v>-6.0804281783765575</c:v>
                </c:pt>
                <c:pt idx="241">
                  <c:v>-6.102612128164167</c:v>
                </c:pt>
                <c:pt idx="242">
                  <c:v>-6.098726343430938</c:v>
                </c:pt>
                <c:pt idx="243">
                  <c:v>-6.100818581522538</c:v>
                </c:pt>
                <c:pt idx="244">
                  <c:v>-6.1170642523807706</c:v>
                </c:pt>
                <c:pt idx="245">
                  <c:v>-6.1188861047703433</c:v>
                </c:pt>
                <c:pt idx="246">
                  <c:v>-6.120561165158338</c:v>
                </c:pt>
                <c:pt idx="247">
                  <c:v>-6.1234220550268654</c:v>
                </c:pt>
                <c:pt idx="248">
                  <c:v>-6.3425539510870861</c:v>
                </c:pt>
                <c:pt idx="249">
                  <c:v>-6.3382513159269642</c:v>
                </c:pt>
                <c:pt idx="250">
                  <c:v>-5.8794342659040062</c:v>
                </c:pt>
                <c:pt idx="251">
                  <c:v>-6.1465441035928432</c:v>
                </c:pt>
                <c:pt idx="252">
                  <c:v>-6.1541221402097328</c:v>
                </c:pt>
                <c:pt idx="253">
                  <c:v>-6.3600243050829137</c:v>
                </c:pt>
                <c:pt idx="254">
                  <c:v>-5.961358620616604</c:v>
                </c:pt>
                <c:pt idx="255">
                  <c:v>-5.7128839093491157</c:v>
                </c:pt>
                <c:pt idx="256">
                  <c:v>-5.5683265662106267</c:v>
                </c:pt>
                <c:pt idx="257">
                  <c:v>-5.9907124323387153</c:v>
                </c:pt>
                <c:pt idx="258">
                  <c:v>-6.1930018533490783</c:v>
                </c:pt>
                <c:pt idx="259">
                  <c:v>-6.1952410614619771</c:v>
                </c:pt>
                <c:pt idx="260">
                  <c:v>-6.0155933743394572</c:v>
                </c:pt>
                <c:pt idx="261">
                  <c:v>-6.0020893186614455</c:v>
                </c:pt>
                <c:pt idx="262">
                  <c:v>-6.2527464481660742</c:v>
                </c:pt>
                <c:pt idx="263">
                  <c:v>-6.2283373019533217</c:v>
                </c:pt>
                <c:pt idx="264">
                  <c:v>-6.6161393579586054</c:v>
                </c:pt>
                <c:pt idx="265">
                  <c:v>-7.2047753318233658</c:v>
                </c:pt>
                <c:pt idx="266">
                  <c:v>-4.8181765926820024</c:v>
                </c:pt>
                <c:pt idx="267">
                  <c:v>-5.3167517762626932</c:v>
                </c:pt>
                <c:pt idx="268">
                  <c:v>-5.7086474898764239</c:v>
                </c:pt>
                <c:pt idx="269">
                  <c:v>-6.1458950966373633</c:v>
                </c:pt>
                <c:pt idx="270">
                  <c:v>-5.4741998562603831</c:v>
                </c:pt>
                <c:pt idx="271">
                  <c:v>-6.1734719992408325</c:v>
                </c:pt>
                <c:pt idx="272">
                  <c:v>-5.4321754733711254</c:v>
                </c:pt>
                <c:pt idx="273">
                  <c:v>-4.7385943537928403</c:v>
                </c:pt>
                <c:pt idx="274">
                  <c:v>-5.402392640208654</c:v>
                </c:pt>
                <c:pt idx="275">
                  <c:v>-6.2751710991799889</c:v>
                </c:pt>
                <c:pt idx="276">
                  <c:v>-6.2893052775338525</c:v>
                </c:pt>
                <c:pt idx="277">
                  <c:v>-6.5098622969519724</c:v>
                </c:pt>
                <c:pt idx="278">
                  <c:v>-6.2980143302581792</c:v>
                </c:pt>
                <c:pt idx="279">
                  <c:v>-6.5123468008889747</c:v>
                </c:pt>
                <c:pt idx="280">
                  <c:v>-6.3124072126206334</c:v>
                </c:pt>
                <c:pt idx="281">
                  <c:v>-6.5408681175257772</c:v>
                </c:pt>
                <c:pt idx="282">
                  <c:v>-6.4165212313332614</c:v>
                </c:pt>
                <c:pt idx="283">
                  <c:v>-6.3375736306943908</c:v>
                </c:pt>
                <c:pt idx="284">
                  <c:v>-6.6313282578020525</c:v>
                </c:pt>
                <c:pt idx="285">
                  <c:v>-6.5855842121434298</c:v>
                </c:pt>
                <c:pt idx="286">
                  <c:v>-6.3989234030121906</c:v>
                </c:pt>
                <c:pt idx="287">
                  <c:v>-6.423192439327063</c:v>
                </c:pt>
                <c:pt idx="288">
                  <c:v>-6.4246269644305132</c:v>
                </c:pt>
                <c:pt idx="289">
                  <c:v>-6.1414677153752617</c:v>
                </c:pt>
                <c:pt idx="290">
                  <c:v>-6.4402273215427757</c:v>
                </c:pt>
                <c:pt idx="291">
                  <c:v>-5.3230959875041641</c:v>
                </c:pt>
                <c:pt idx="292">
                  <c:v>-6.474260313251861</c:v>
                </c:pt>
                <c:pt idx="293">
                  <c:v>-6.4972232970473796</c:v>
                </c:pt>
                <c:pt idx="294">
                  <c:v>-6.5366809114517075</c:v>
                </c:pt>
                <c:pt idx="295">
                  <c:v>-6.5688642991830326</c:v>
                </c:pt>
                <c:pt idx="296">
                  <c:v>-6.5705144911507549</c:v>
                </c:pt>
                <c:pt idx="297">
                  <c:v>-6.5959929433006224</c:v>
                </c:pt>
                <c:pt idx="298">
                  <c:v>-6.5980483206225218</c:v>
                </c:pt>
                <c:pt idx="299">
                  <c:v>-6.8865363906026857</c:v>
                </c:pt>
                <c:pt idx="300">
                  <c:v>-6.65315411293391</c:v>
                </c:pt>
                <c:pt idx="301">
                  <c:v>-6.6534669543486427</c:v>
                </c:pt>
                <c:pt idx="302">
                  <c:v>-6.8056421477817484</c:v>
                </c:pt>
                <c:pt idx="303">
                  <c:v>-6.7062757888310065</c:v>
                </c:pt>
                <c:pt idx="304">
                  <c:v>-6.7106237197831309</c:v>
                </c:pt>
                <c:pt idx="305">
                  <c:v>-6.7926633163317103</c:v>
                </c:pt>
                <c:pt idx="306">
                  <c:v>-6.8198046459427584</c:v>
                </c:pt>
                <c:pt idx="307">
                  <c:v>-5.9163109910974745</c:v>
                </c:pt>
                <c:pt idx="308">
                  <c:v>-6.8648720466937334</c:v>
                </c:pt>
                <c:pt idx="309">
                  <c:v>-6.898116809704721</c:v>
                </c:pt>
                <c:pt idx="310">
                  <c:v>-6.9747810073304075</c:v>
                </c:pt>
                <c:pt idx="311">
                  <c:v>-6.980631065022683</c:v>
                </c:pt>
                <c:pt idx="312">
                  <c:v>-7.0432975523191077</c:v>
                </c:pt>
                <c:pt idx="313">
                  <c:v>-7.0548896928715275</c:v>
                </c:pt>
                <c:pt idx="314">
                  <c:v>-7.0747932912644815</c:v>
                </c:pt>
                <c:pt idx="315">
                  <c:v>-7.0822635032614114</c:v>
                </c:pt>
                <c:pt idx="316">
                  <c:v>-7.0854767281561415</c:v>
                </c:pt>
                <c:pt idx="317">
                  <c:v>-6.152125092526278</c:v>
                </c:pt>
                <c:pt idx="318">
                  <c:v>-7.0903453908946243</c:v>
                </c:pt>
                <c:pt idx="319">
                  <c:v>-6.5417580426069595</c:v>
                </c:pt>
                <c:pt idx="320">
                  <c:v>-5.8403049898961932</c:v>
                </c:pt>
                <c:pt idx="321">
                  <c:v>-7.1295512002313828</c:v>
                </c:pt>
                <c:pt idx="322">
                  <c:v>-7.4280068058907274</c:v>
                </c:pt>
                <c:pt idx="323">
                  <c:v>-5.7287098421961993</c:v>
                </c:pt>
                <c:pt idx="324">
                  <c:v>-5.6164349701326541</c:v>
                </c:pt>
                <c:pt idx="325">
                  <c:v>-7.2680486979776351</c:v>
                </c:pt>
                <c:pt idx="326">
                  <c:v>-5.7910779793007352</c:v>
                </c:pt>
                <c:pt idx="327">
                  <c:v>-7.3167754144760719</c:v>
                </c:pt>
                <c:pt idx="328">
                  <c:v>-7.375798209946395</c:v>
                </c:pt>
                <c:pt idx="329">
                  <c:v>-5.587724539527982</c:v>
                </c:pt>
                <c:pt idx="330">
                  <c:v>-7.4192624229044162</c:v>
                </c:pt>
                <c:pt idx="331">
                  <c:v>-7.8706360128920396</c:v>
                </c:pt>
                <c:pt idx="332">
                  <c:v>-7.2672051759046283</c:v>
                </c:pt>
                <c:pt idx="333">
                  <c:v>-7.4135345088582945</c:v>
                </c:pt>
                <c:pt idx="334">
                  <c:v>-6.435225700500868</c:v>
                </c:pt>
                <c:pt idx="335">
                  <c:v>-6.6750762772668288</c:v>
                </c:pt>
                <c:pt idx="336">
                  <c:v>-5.6594314391956111</c:v>
                </c:pt>
                <c:pt idx="337">
                  <c:v>-8.0843761924563804</c:v>
                </c:pt>
                <c:pt idx="338">
                  <c:v>-6.4292769837328176</c:v>
                </c:pt>
              </c:numCache>
            </c:numRef>
          </c:xVal>
          <c:yVal>
            <c:numRef>
              <c:f>Sheet1!$X$5:$X$343</c:f>
              <c:numCache>
                <c:formatCode>General</c:formatCode>
                <c:ptCount val="339"/>
                <c:pt idx="0">
                  <c:v>-4.100084278614605</c:v>
                </c:pt>
                <c:pt idx="1">
                  <c:v>-4.1561385268879949</c:v>
                </c:pt>
                <c:pt idx="2">
                  <c:v>-4.2725454496629753</c:v>
                </c:pt>
                <c:pt idx="3">
                  <c:v>-4.3941389419850214</c:v>
                </c:pt>
                <c:pt idx="4">
                  <c:v>-4.5636555208613085</c:v>
                </c:pt>
                <c:pt idx="5">
                  <c:v>-4.5935375241161811</c:v>
                </c:pt>
                <c:pt idx="6">
                  <c:v>-4.5980596610185209</c:v>
                </c:pt>
                <c:pt idx="7">
                  <c:v>-4.6084752967023066</c:v>
                </c:pt>
                <c:pt idx="8">
                  <c:v>-4.6465993692315548</c:v>
                </c:pt>
                <c:pt idx="9">
                  <c:v>-4.7261106718900523</c:v>
                </c:pt>
                <c:pt idx="10">
                  <c:v>-4.7261106718900523</c:v>
                </c:pt>
                <c:pt idx="11">
                  <c:v>-4.7261106718900523</c:v>
                </c:pt>
                <c:pt idx="12">
                  <c:v>-4.7261106718900523</c:v>
                </c:pt>
                <c:pt idx="13">
                  <c:v>-4.7261106718900523</c:v>
                </c:pt>
                <c:pt idx="14">
                  <c:v>-4.7261106718900523</c:v>
                </c:pt>
                <c:pt idx="15">
                  <c:v>-4.7261106718900523</c:v>
                </c:pt>
                <c:pt idx="16">
                  <c:v>-4.7261106718900523</c:v>
                </c:pt>
                <c:pt idx="17">
                  <c:v>-4.7261106718900523</c:v>
                </c:pt>
                <c:pt idx="18">
                  <c:v>-4.7261106718900523</c:v>
                </c:pt>
                <c:pt idx="19">
                  <c:v>-4.7261106718900523</c:v>
                </c:pt>
                <c:pt idx="20">
                  <c:v>-4.7261106718900523</c:v>
                </c:pt>
                <c:pt idx="21">
                  <c:v>-4.7261106718900523</c:v>
                </c:pt>
                <c:pt idx="22">
                  <c:v>-4.7261106718900523</c:v>
                </c:pt>
                <c:pt idx="23">
                  <c:v>-4.7261106718900523</c:v>
                </c:pt>
                <c:pt idx="24">
                  <c:v>-4.7261106718900523</c:v>
                </c:pt>
                <c:pt idx="25">
                  <c:v>-4.7261106718900523</c:v>
                </c:pt>
                <c:pt idx="26">
                  <c:v>-4.7261106718900523</c:v>
                </c:pt>
                <c:pt idx="27">
                  <c:v>-4.7261106718900523</c:v>
                </c:pt>
                <c:pt idx="28">
                  <c:v>-4.7261106718900523</c:v>
                </c:pt>
                <c:pt idx="29">
                  <c:v>-4.7261106718900523</c:v>
                </c:pt>
                <c:pt idx="30">
                  <c:v>-4.7261106718900523</c:v>
                </c:pt>
                <c:pt idx="31">
                  <c:v>-4.7261106718900523</c:v>
                </c:pt>
                <c:pt idx="32">
                  <c:v>-4.7261106718900523</c:v>
                </c:pt>
                <c:pt idx="33">
                  <c:v>-4.7261106718900523</c:v>
                </c:pt>
                <c:pt idx="34">
                  <c:v>-4.7261106718900523</c:v>
                </c:pt>
                <c:pt idx="35">
                  <c:v>-4.7261106718900523</c:v>
                </c:pt>
                <c:pt idx="36">
                  <c:v>-4.7261106718900523</c:v>
                </c:pt>
                <c:pt idx="37">
                  <c:v>-4.7261106718900523</c:v>
                </c:pt>
                <c:pt idx="38">
                  <c:v>-4.7261106718900523</c:v>
                </c:pt>
                <c:pt idx="39">
                  <c:v>-4.7261106718900523</c:v>
                </c:pt>
                <c:pt idx="40">
                  <c:v>-4.7261106718900523</c:v>
                </c:pt>
                <c:pt idx="41">
                  <c:v>-4.7261106718900523</c:v>
                </c:pt>
                <c:pt idx="42">
                  <c:v>-4.7261106718900523</c:v>
                </c:pt>
                <c:pt idx="43">
                  <c:v>-4.7261106718900523</c:v>
                </c:pt>
                <c:pt idx="44">
                  <c:v>-4.7261106718900523</c:v>
                </c:pt>
                <c:pt idx="45">
                  <c:v>-4.7261106718900523</c:v>
                </c:pt>
                <c:pt idx="46">
                  <c:v>-4.7261106718900523</c:v>
                </c:pt>
                <c:pt idx="47">
                  <c:v>-4.7261106718900523</c:v>
                </c:pt>
                <c:pt idx="48">
                  <c:v>-4.7261106718900523</c:v>
                </c:pt>
                <c:pt idx="49">
                  <c:v>-4.7261106718900523</c:v>
                </c:pt>
                <c:pt idx="50">
                  <c:v>-4.7261106718900523</c:v>
                </c:pt>
                <c:pt idx="51">
                  <c:v>-4.7261106718900523</c:v>
                </c:pt>
                <c:pt idx="52">
                  <c:v>-4.7261106718900523</c:v>
                </c:pt>
                <c:pt idx="53">
                  <c:v>-4.7261106718900523</c:v>
                </c:pt>
                <c:pt idx="54">
                  <c:v>-4.7261106718900523</c:v>
                </c:pt>
                <c:pt idx="55">
                  <c:v>-4.7261106718900523</c:v>
                </c:pt>
                <c:pt idx="56">
                  <c:v>-4.7261106718900523</c:v>
                </c:pt>
                <c:pt idx="57">
                  <c:v>-4.7261106718900523</c:v>
                </c:pt>
                <c:pt idx="58">
                  <c:v>-4.7261106718900523</c:v>
                </c:pt>
                <c:pt idx="59">
                  <c:v>-4.7261106718900523</c:v>
                </c:pt>
                <c:pt idx="60">
                  <c:v>-4.7261106718900523</c:v>
                </c:pt>
                <c:pt idx="61">
                  <c:v>-4.7261106718900523</c:v>
                </c:pt>
                <c:pt idx="62">
                  <c:v>-4.7418309032482977</c:v>
                </c:pt>
                <c:pt idx="63">
                  <c:v>-4.7440709564499102</c:v>
                </c:pt>
                <c:pt idx="64">
                  <c:v>-4.7642056988753447</c:v>
                </c:pt>
                <c:pt idx="65">
                  <c:v>-4.7752781065524132</c:v>
                </c:pt>
                <c:pt idx="66">
                  <c:v>-4.8000618721567507</c:v>
                </c:pt>
                <c:pt idx="67">
                  <c:v>-4.8543723997413348</c:v>
                </c:pt>
                <c:pt idx="68">
                  <c:v>-4.9334376022356068</c:v>
                </c:pt>
                <c:pt idx="69">
                  <c:v>-4.9506824138596155</c:v>
                </c:pt>
                <c:pt idx="70">
                  <c:v>-4.968977812243474</c:v>
                </c:pt>
                <c:pt idx="71">
                  <c:v>-4.991203024221563</c:v>
                </c:pt>
                <c:pt idx="72">
                  <c:v>-5.0299317623634838</c:v>
                </c:pt>
                <c:pt idx="73">
                  <c:v>-5.035052978892117</c:v>
                </c:pt>
                <c:pt idx="74">
                  <c:v>-5.0408774172337258</c:v>
                </c:pt>
                <c:pt idx="75">
                  <c:v>-5.041276326381543</c:v>
                </c:pt>
                <c:pt idx="76">
                  <c:v>-5.0434244342817713</c:v>
                </c:pt>
                <c:pt idx="77">
                  <c:v>-5.0823462728132762</c:v>
                </c:pt>
                <c:pt idx="78">
                  <c:v>-5.0823462728132762</c:v>
                </c:pt>
                <c:pt idx="79">
                  <c:v>-5.0866375541443096</c:v>
                </c:pt>
                <c:pt idx="80">
                  <c:v>-5.1201500073638631</c:v>
                </c:pt>
                <c:pt idx="81">
                  <c:v>-5.1216783400693453</c:v>
                </c:pt>
                <c:pt idx="82">
                  <c:v>-5.1460071462763102</c:v>
                </c:pt>
                <c:pt idx="83">
                  <c:v>-5.1704476767469805</c:v>
                </c:pt>
                <c:pt idx="84">
                  <c:v>-5.2067302985418698</c:v>
                </c:pt>
                <c:pt idx="85">
                  <c:v>-5.2206570299145154</c:v>
                </c:pt>
                <c:pt idx="86">
                  <c:v>-5.2418642803344033</c:v>
                </c:pt>
                <c:pt idx="87">
                  <c:v>-5.2719990996669477</c:v>
                </c:pt>
                <c:pt idx="88">
                  <c:v>-5.2719990996669477</c:v>
                </c:pt>
                <c:pt idx="89">
                  <c:v>-5.2762081794390534</c:v>
                </c:pt>
                <c:pt idx="90">
                  <c:v>-5.2874005605150787</c:v>
                </c:pt>
                <c:pt idx="91">
                  <c:v>-5.2900303423078299</c:v>
                </c:pt>
                <c:pt idx="92">
                  <c:v>-5.3125506516363394</c:v>
                </c:pt>
                <c:pt idx="93">
                  <c:v>-5.3141451724976791</c:v>
                </c:pt>
                <c:pt idx="94">
                  <c:v>-5.3169285105889124</c:v>
                </c:pt>
                <c:pt idx="95">
                  <c:v>-5.3210741163009931</c:v>
                </c:pt>
                <c:pt idx="96">
                  <c:v>-5.3267223269405308</c:v>
                </c:pt>
                <c:pt idx="97">
                  <c:v>-5.3275409890156071</c:v>
                </c:pt>
                <c:pt idx="98">
                  <c:v>-5.3344696988899836</c:v>
                </c:pt>
                <c:pt idx="99">
                  <c:v>-5.3344696988899836</c:v>
                </c:pt>
                <c:pt idx="100">
                  <c:v>-5.3350321885806995</c:v>
                </c:pt>
                <c:pt idx="101">
                  <c:v>-5.337711342341148</c:v>
                </c:pt>
                <c:pt idx="102">
                  <c:v>-5.345729215082784</c:v>
                </c:pt>
                <c:pt idx="103">
                  <c:v>-5.3544655157912899</c:v>
                </c:pt>
                <c:pt idx="104">
                  <c:v>-5.3643907177002994</c:v>
                </c:pt>
                <c:pt idx="105">
                  <c:v>-5.3654144728118416</c:v>
                </c:pt>
                <c:pt idx="106">
                  <c:v>-5.3791530323436287</c:v>
                </c:pt>
                <c:pt idx="107">
                  <c:v>-5.3795878238235035</c:v>
                </c:pt>
                <c:pt idx="108">
                  <c:v>-5.3795878238235035</c:v>
                </c:pt>
                <c:pt idx="109">
                  <c:v>-5.3820593703518922</c:v>
                </c:pt>
                <c:pt idx="110">
                  <c:v>-5.3852148678038851</c:v>
                </c:pt>
                <c:pt idx="111">
                  <c:v>-5.3872124582542567</c:v>
                </c:pt>
                <c:pt idx="112">
                  <c:v>-5.3948548316717098</c:v>
                </c:pt>
                <c:pt idx="113">
                  <c:v>-5.3948548316717098</c:v>
                </c:pt>
                <c:pt idx="114">
                  <c:v>-5.4012207818676981</c:v>
                </c:pt>
                <c:pt idx="115">
                  <c:v>-5.4068910761642055</c:v>
                </c:pt>
                <c:pt idx="116">
                  <c:v>-5.4089231131922393</c:v>
                </c:pt>
                <c:pt idx="117">
                  <c:v>-5.4121614517199275</c:v>
                </c:pt>
                <c:pt idx="118">
                  <c:v>-5.4166926588383806</c:v>
                </c:pt>
                <c:pt idx="119">
                  <c:v>-5.4215447961497096</c:v>
                </c:pt>
                <c:pt idx="120">
                  <c:v>-5.4250154963771875</c:v>
                </c:pt>
                <c:pt idx="121">
                  <c:v>-5.4301361330308211</c:v>
                </c:pt>
                <c:pt idx="122">
                  <c:v>-5.4594938843841492</c:v>
                </c:pt>
                <c:pt idx="123">
                  <c:v>-5.4619099593680325</c:v>
                </c:pt>
                <c:pt idx="124">
                  <c:v>-5.475167189349003</c:v>
                </c:pt>
                <c:pt idx="125">
                  <c:v>-5.4779290960728906</c:v>
                </c:pt>
                <c:pt idx="126">
                  <c:v>-5.4983210172205963</c:v>
                </c:pt>
                <c:pt idx="127">
                  <c:v>-5.5085383594686448</c:v>
                </c:pt>
                <c:pt idx="128">
                  <c:v>-5.5120760061798206</c:v>
                </c:pt>
                <c:pt idx="129">
                  <c:v>-5.5221420371843033</c:v>
                </c:pt>
                <c:pt idx="130">
                  <c:v>-5.5262727025499805</c:v>
                </c:pt>
                <c:pt idx="131">
                  <c:v>-5.530950554287946</c:v>
                </c:pt>
                <c:pt idx="132">
                  <c:v>-5.5318761764768496</c:v>
                </c:pt>
                <c:pt idx="133">
                  <c:v>-5.5359515432123709</c:v>
                </c:pt>
                <c:pt idx="134">
                  <c:v>-5.5377387369808817</c:v>
                </c:pt>
                <c:pt idx="135">
                  <c:v>-5.5410796125101252</c:v>
                </c:pt>
                <c:pt idx="136">
                  <c:v>-5.5414777451848156</c:v>
                </c:pt>
                <c:pt idx="137">
                  <c:v>-5.5446224052885755</c:v>
                </c:pt>
                <c:pt idx="138">
                  <c:v>-5.545271231906975</c:v>
                </c:pt>
                <c:pt idx="139">
                  <c:v>-5.54602842542291</c:v>
                </c:pt>
                <c:pt idx="140">
                  <c:v>-5.5545104139134525</c:v>
                </c:pt>
                <c:pt idx="141">
                  <c:v>-5.5559764547245596</c:v>
                </c:pt>
                <c:pt idx="142">
                  <c:v>-5.5578903049269517</c:v>
                </c:pt>
                <c:pt idx="143">
                  <c:v>-5.5704189460125599</c:v>
                </c:pt>
                <c:pt idx="144">
                  <c:v>-5.5754112018625648</c:v>
                </c:pt>
                <c:pt idx="145">
                  <c:v>-5.5787497821893117</c:v>
                </c:pt>
                <c:pt idx="146">
                  <c:v>-5.5884166039199368</c:v>
                </c:pt>
                <c:pt idx="147">
                  <c:v>-5.5888736790447258</c:v>
                </c:pt>
                <c:pt idx="148">
                  <c:v>-5.6004781754372246</c:v>
                </c:pt>
                <c:pt idx="149">
                  <c:v>-5.6065605194320396</c:v>
                </c:pt>
                <c:pt idx="150">
                  <c:v>-5.6126033691743951</c:v>
                </c:pt>
                <c:pt idx="151">
                  <c:v>-5.6126033691743951</c:v>
                </c:pt>
                <c:pt idx="152">
                  <c:v>-5.6197109460219012</c:v>
                </c:pt>
                <c:pt idx="153">
                  <c:v>-5.6206587225177733</c:v>
                </c:pt>
                <c:pt idx="154">
                  <c:v>-5.6235202308570589</c:v>
                </c:pt>
                <c:pt idx="155">
                  <c:v>-5.648721338937448</c:v>
                </c:pt>
                <c:pt idx="156">
                  <c:v>-5.6517899989789466</c:v>
                </c:pt>
                <c:pt idx="157">
                  <c:v>-5.6624198333805316</c:v>
                </c:pt>
                <c:pt idx="158">
                  <c:v>-5.6658781957613327</c:v>
                </c:pt>
                <c:pt idx="159">
                  <c:v>-5.6658781957613327</c:v>
                </c:pt>
                <c:pt idx="160">
                  <c:v>-5.6663477197920926</c:v>
                </c:pt>
                <c:pt idx="161">
                  <c:v>-5.6696450127932865</c:v>
                </c:pt>
                <c:pt idx="162">
                  <c:v>-5.6696450127932865</c:v>
                </c:pt>
                <c:pt idx="163">
                  <c:v>-5.6763748921643176</c:v>
                </c:pt>
                <c:pt idx="164">
                  <c:v>-5.6805662844677789</c:v>
                </c:pt>
                <c:pt idx="165">
                  <c:v>-5.6849141407867432</c:v>
                </c:pt>
                <c:pt idx="166">
                  <c:v>-5.6871953685537573</c:v>
                </c:pt>
                <c:pt idx="167">
                  <c:v>-5.6981237217479332</c:v>
                </c:pt>
                <c:pt idx="168">
                  <c:v>-5.7061302815818911</c:v>
                </c:pt>
                <c:pt idx="169">
                  <c:v>-5.7158241599008166</c:v>
                </c:pt>
                <c:pt idx="170">
                  <c:v>-5.7220406130599395</c:v>
                </c:pt>
                <c:pt idx="171">
                  <c:v>-5.7237633246403288</c:v>
                </c:pt>
                <c:pt idx="172">
                  <c:v>-5.7240282870314037</c:v>
                </c:pt>
                <c:pt idx="173">
                  <c:v>-5.7270887230767311</c:v>
                </c:pt>
                <c:pt idx="174">
                  <c:v>-5.7357145199980311</c:v>
                </c:pt>
                <c:pt idx="175">
                  <c:v>-5.7373616237852509</c:v>
                </c:pt>
                <c:pt idx="176">
                  <c:v>-5.7395690293101262</c:v>
                </c:pt>
                <c:pt idx="177">
                  <c:v>-5.7450976975928061</c:v>
                </c:pt>
                <c:pt idx="178">
                  <c:v>-5.7528175546174785</c:v>
                </c:pt>
                <c:pt idx="179">
                  <c:v>-5.7528175546174785</c:v>
                </c:pt>
                <c:pt idx="180">
                  <c:v>-5.7528175546174785</c:v>
                </c:pt>
                <c:pt idx="181">
                  <c:v>-5.76942133566632</c:v>
                </c:pt>
                <c:pt idx="182">
                  <c:v>-5.7760159146874077</c:v>
                </c:pt>
                <c:pt idx="183">
                  <c:v>-5.7988076566527145</c:v>
                </c:pt>
                <c:pt idx="184">
                  <c:v>-5.8007211421685838</c:v>
                </c:pt>
                <c:pt idx="185">
                  <c:v>-5.8093844139565949</c:v>
                </c:pt>
                <c:pt idx="186">
                  <c:v>-5.8133003606989115</c:v>
                </c:pt>
                <c:pt idx="187">
                  <c:v>-5.8263507352034427</c:v>
                </c:pt>
                <c:pt idx="188">
                  <c:v>-5.8423508974191876</c:v>
                </c:pt>
                <c:pt idx="189">
                  <c:v>-5.8439082519334438</c:v>
                </c:pt>
                <c:pt idx="190">
                  <c:v>-5.8439082519334438</c:v>
                </c:pt>
                <c:pt idx="191">
                  <c:v>-5.8483246898092265</c:v>
                </c:pt>
                <c:pt idx="192">
                  <c:v>-5.8546883653867452</c:v>
                </c:pt>
                <c:pt idx="193">
                  <c:v>-5.861219664723861</c:v>
                </c:pt>
                <c:pt idx="194">
                  <c:v>-5.861219664723861</c:v>
                </c:pt>
                <c:pt idx="195">
                  <c:v>-5.8660249769244128</c:v>
                </c:pt>
                <c:pt idx="196">
                  <c:v>-5.8688698570581668</c:v>
                </c:pt>
                <c:pt idx="197">
                  <c:v>-5.8711014608078962</c:v>
                </c:pt>
                <c:pt idx="198">
                  <c:v>-5.8730623344262662</c:v>
                </c:pt>
                <c:pt idx="199">
                  <c:v>-5.8783090003023899</c:v>
                </c:pt>
                <c:pt idx="200">
                  <c:v>-5.8809595696020072</c:v>
                </c:pt>
                <c:pt idx="201">
                  <c:v>-5.8838771155373832</c:v>
                </c:pt>
                <c:pt idx="202">
                  <c:v>-5.8922537497098686</c:v>
                </c:pt>
                <c:pt idx="203">
                  <c:v>-5.8936664908550256</c:v>
                </c:pt>
                <c:pt idx="204">
                  <c:v>-5.9075871195324385</c:v>
                </c:pt>
                <c:pt idx="205">
                  <c:v>-5.9075871195324385</c:v>
                </c:pt>
                <c:pt idx="206">
                  <c:v>-5.9075871195324385</c:v>
                </c:pt>
                <c:pt idx="207">
                  <c:v>-5.9126654508918897</c:v>
                </c:pt>
                <c:pt idx="208">
                  <c:v>-5.9301994061462171</c:v>
                </c:pt>
                <c:pt idx="209">
                  <c:v>-5.9344110061070703</c:v>
                </c:pt>
                <c:pt idx="210">
                  <c:v>-5.9419368069938585</c:v>
                </c:pt>
                <c:pt idx="211">
                  <c:v>-5.9419368069938585</c:v>
                </c:pt>
                <c:pt idx="212">
                  <c:v>-5.9488388481104879</c:v>
                </c:pt>
                <c:pt idx="213">
                  <c:v>-5.9523125743782215</c:v>
                </c:pt>
                <c:pt idx="214">
                  <c:v>-5.9523125743782215</c:v>
                </c:pt>
                <c:pt idx="215">
                  <c:v>-5.9792709030620932</c:v>
                </c:pt>
                <c:pt idx="216">
                  <c:v>-5.9794173457561115</c:v>
                </c:pt>
                <c:pt idx="217">
                  <c:v>-5.9853585001947573</c:v>
                </c:pt>
                <c:pt idx="218">
                  <c:v>-5.9878495885413923</c:v>
                </c:pt>
                <c:pt idx="219">
                  <c:v>-5.9942585958974357</c:v>
                </c:pt>
                <c:pt idx="220">
                  <c:v>-6.0000420795279803</c:v>
                </c:pt>
                <c:pt idx="221">
                  <c:v>-6.0088800894898791</c:v>
                </c:pt>
                <c:pt idx="222">
                  <c:v>-6.0152590708156541</c:v>
                </c:pt>
                <c:pt idx="223">
                  <c:v>-6.0152590708156541</c:v>
                </c:pt>
                <c:pt idx="224">
                  <c:v>-6.0188683498259792</c:v>
                </c:pt>
                <c:pt idx="225">
                  <c:v>-6.0219506282849631</c:v>
                </c:pt>
                <c:pt idx="226">
                  <c:v>-6.0255834493600657</c:v>
                </c:pt>
                <c:pt idx="227">
                  <c:v>-6.0269982117385545</c:v>
                </c:pt>
                <c:pt idx="228">
                  <c:v>-6.0276917579927716</c:v>
                </c:pt>
                <c:pt idx="229">
                  <c:v>-6.0276917579927716</c:v>
                </c:pt>
                <c:pt idx="230">
                  <c:v>-6.0306024966236293</c:v>
                </c:pt>
                <c:pt idx="231">
                  <c:v>-6.0326788619490825</c:v>
                </c:pt>
                <c:pt idx="232">
                  <c:v>-6.0530448764143001</c:v>
                </c:pt>
                <c:pt idx="233">
                  <c:v>-6.0533087805785932</c:v>
                </c:pt>
                <c:pt idx="234">
                  <c:v>-6.0545712816815618</c:v>
                </c:pt>
                <c:pt idx="235">
                  <c:v>-6.057951401648543</c:v>
                </c:pt>
                <c:pt idx="236">
                  <c:v>-6.0745275931664411</c:v>
                </c:pt>
                <c:pt idx="237">
                  <c:v>-6.0745275931664411</c:v>
                </c:pt>
                <c:pt idx="238">
                  <c:v>-6.0745275931664411</c:v>
                </c:pt>
                <c:pt idx="239">
                  <c:v>-6.0745275931664411</c:v>
                </c:pt>
                <c:pt idx="240">
                  <c:v>-6.0804281794513511</c:v>
                </c:pt>
                <c:pt idx="241">
                  <c:v>-6.0893195581985333</c:v>
                </c:pt>
                <c:pt idx="242">
                  <c:v>-6.098726343145211</c:v>
                </c:pt>
                <c:pt idx="243">
                  <c:v>-6.1008185817366023</c:v>
                </c:pt>
                <c:pt idx="244">
                  <c:v>-6.1170642524088477</c:v>
                </c:pt>
                <c:pt idx="245">
                  <c:v>-6.118886103790552</c:v>
                </c:pt>
                <c:pt idx="246">
                  <c:v>-6.1205611650292395</c:v>
                </c:pt>
                <c:pt idx="247">
                  <c:v>-6.1234220551181551</c:v>
                </c:pt>
                <c:pt idx="248">
                  <c:v>-6.1316217881319943</c:v>
                </c:pt>
                <c:pt idx="249">
                  <c:v>-6.1394620399686177</c:v>
                </c:pt>
                <c:pt idx="250">
                  <c:v>-6.1406218137609621</c:v>
                </c:pt>
                <c:pt idx="251">
                  <c:v>-6.1465441039354323</c:v>
                </c:pt>
                <c:pt idx="252">
                  <c:v>-6.1541221402805055</c:v>
                </c:pt>
                <c:pt idx="253">
                  <c:v>-6.1610159477338176</c:v>
                </c:pt>
                <c:pt idx="254">
                  <c:v>-6.1698062479336695</c:v>
                </c:pt>
                <c:pt idx="255">
                  <c:v>-6.1794488902784046</c:v>
                </c:pt>
                <c:pt idx="256">
                  <c:v>-6.1794488902784046</c:v>
                </c:pt>
                <c:pt idx="257">
                  <c:v>-6.1846442813780955</c:v>
                </c:pt>
                <c:pt idx="258">
                  <c:v>-6.1930018535068942</c:v>
                </c:pt>
                <c:pt idx="259">
                  <c:v>-6.1952410608319113</c:v>
                </c:pt>
                <c:pt idx="260">
                  <c:v>-6.2095252230062972</c:v>
                </c:pt>
                <c:pt idx="261">
                  <c:v>-6.2133716773355054</c:v>
                </c:pt>
                <c:pt idx="262">
                  <c:v>-6.2259351262660738</c:v>
                </c:pt>
                <c:pt idx="263">
                  <c:v>-6.2283373023011084</c:v>
                </c:pt>
                <c:pt idx="264">
                  <c:v>-6.2513129336189515</c:v>
                </c:pt>
                <c:pt idx="265">
                  <c:v>-6.2524197488242237</c:v>
                </c:pt>
                <c:pt idx="266">
                  <c:v>-6.2727838787642805</c:v>
                </c:pt>
                <c:pt idx="267">
                  <c:v>-6.2727838787642805</c:v>
                </c:pt>
                <c:pt idx="268">
                  <c:v>-6.2727838787642805</c:v>
                </c:pt>
                <c:pt idx="269">
                  <c:v>-6.2727838787642805</c:v>
                </c:pt>
                <c:pt idx="270">
                  <c:v>-6.2727838787642805</c:v>
                </c:pt>
                <c:pt idx="271">
                  <c:v>-6.2727838787642805</c:v>
                </c:pt>
                <c:pt idx="272">
                  <c:v>-6.2727838787642805</c:v>
                </c:pt>
                <c:pt idx="273">
                  <c:v>-6.2727838787642805</c:v>
                </c:pt>
                <c:pt idx="274">
                  <c:v>-6.2727838787642805</c:v>
                </c:pt>
                <c:pt idx="275">
                  <c:v>-6.275171098899647</c:v>
                </c:pt>
                <c:pt idx="276">
                  <c:v>-6.2893052776444032</c:v>
                </c:pt>
                <c:pt idx="277">
                  <c:v>-6.2966675369867904</c:v>
                </c:pt>
                <c:pt idx="278">
                  <c:v>-6.2980143304602354</c:v>
                </c:pt>
                <c:pt idx="279">
                  <c:v>-6.3081782998744726</c:v>
                </c:pt>
                <c:pt idx="280">
                  <c:v>-6.3124072128881297</c:v>
                </c:pt>
                <c:pt idx="281">
                  <c:v>-6.3242630236384016</c:v>
                </c:pt>
                <c:pt idx="282">
                  <c:v>-6.3369549180564047</c:v>
                </c:pt>
                <c:pt idx="283">
                  <c:v>-6.3375736303091532</c:v>
                </c:pt>
                <c:pt idx="284">
                  <c:v>-6.36831482427319</c:v>
                </c:pt>
                <c:pt idx="285">
                  <c:v>-6.3746520494881844</c:v>
                </c:pt>
                <c:pt idx="286">
                  <c:v>-6.3994393288878637</c:v>
                </c:pt>
                <c:pt idx="287">
                  <c:v>-6.4231924390471082</c:v>
                </c:pt>
                <c:pt idx="288">
                  <c:v>-6.4246269645005132</c:v>
                </c:pt>
                <c:pt idx="289">
                  <c:v>-6.4402273210290417</c:v>
                </c:pt>
                <c:pt idx="290">
                  <c:v>-6.4402273210290417</c:v>
                </c:pt>
                <c:pt idx="291">
                  <c:v>-6.4709050301629611</c:v>
                </c:pt>
                <c:pt idx="292">
                  <c:v>-6.4742603140633932</c:v>
                </c:pt>
                <c:pt idx="293">
                  <c:v>-6.4972232976073894</c:v>
                </c:pt>
                <c:pt idx="294">
                  <c:v>-6.5366809109734172</c:v>
                </c:pt>
                <c:pt idx="295">
                  <c:v>-6.5688642987068331</c:v>
                </c:pt>
                <c:pt idx="296">
                  <c:v>-6.5705144910160387</c:v>
                </c:pt>
                <c:pt idx="297">
                  <c:v>-6.5959929438577847</c:v>
                </c:pt>
                <c:pt idx="298">
                  <c:v>-6.5980483205727625</c:v>
                </c:pt>
                <c:pt idx="299">
                  <c:v>-6.6476014364912333</c:v>
                </c:pt>
                <c:pt idx="300">
                  <c:v>-6.6531541131287906</c:v>
                </c:pt>
                <c:pt idx="301">
                  <c:v>-6.6534669539218347</c:v>
                </c:pt>
                <c:pt idx="302">
                  <c:v>-6.689860405996642</c:v>
                </c:pt>
                <c:pt idx="303">
                  <c:v>-6.7062757899321559</c:v>
                </c:pt>
                <c:pt idx="304">
                  <c:v>-6.7106237187736131</c:v>
                </c:pt>
                <c:pt idx="305">
                  <c:v>-6.7926633165279995</c:v>
                </c:pt>
                <c:pt idx="306">
                  <c:v>-6.8198046461452826</c:v>
                </c:pt>
                <c:pt idx="307">
                  <c:v>-6.827074403980026</c:v>
                </c:pt>
                <c:pt idx="308">
                  <c:v>-6.827074403980026</c:v>
                </c:pt>
                <c:pt idx="309">
                  <c:v>-6.8981168111839253</c:v>
                </c:pt>
                <c:pt idx="310">
                  <c:v>-6.9614884371679704</c:v>
                </c:pt>
                <c:pt idx="311">
                  <c:v>-6.9806310652240242</c:v>
                </c:pt>
                <c:pt idx="312">
                  <c:v>-7.043297552424665</c:v>
                </c:pt>
                <c:pt idx="313">
                  <c:v>-7.0548896930676612</c:v>
                </c:pt>
                <c:pt idx="314">
                  <c:v>-7.0747932918548946</c:v>
                </c:pt>
                <c:pt idx="315">
                  <c:v>-7.0822635040699815</c:v>
                </c:pt>
                <c:pt idx="316">
                  <c:v>-7.085476730016663</c:v>
                </c:pt>
                <c:pt idx="317">
                  <c:v>-7.0903756549781551</c:v>
                </c:pt>
                <c:pt idx="318">
                  <c:v>-7.0903756549781551</c:v>
                </c:pt>
                <c:pt idx="319">
                  <c:v>-7.0903756549781551</c:v>
                </c:pt>
                <c:pt idx="320">
                  <c:v>-7.0903756549781551</c:v>
                </c:pt>
                <c:pt idx="321">
                  <c:v>-7.1295511984841244</c:v>
                </c:pt>
                <c:pt idx="322">
                  <c:v>-7.186852301157689</c:v>
                </c:pt>
                <c:pt idx="323">
                  <c:v>-7.2680486979076537</c:v>
                </c:pt>
                <c:pt idx="324">
                  <c:v>-7.2680486979076537</c:v>
                </c:pt>
                <c:pt idx="325">
                  <c:v>-7.2680486979076537</c:v>
                </c:pt>
                <c:pt idx="326">
                  <c:v>-7.2680486979076537</c:v>
                </c:pt>
                <c:pt idx="327">
                  <c:v>-7.3167754148643214</c:v>
                </c:pt>
                <c:pt idx="328">
                  <c:v>-7.3757982096466526</c:v>
                </c:pt>
                <c:pt idx="329">
                  <c:v>-7.4127500357148444</c:v>
                </c:pt>
                <c:pt idx="330">
                  <c:v>-7.4192624269143543</c:v>
                </c:pt>
                <c:pt idx="331">
                  <c:v>-7.8706360153523072</c:v>
                </c:pt>
                <c:pt idx="332">
                  <c:v>-8.0843762152392955</c:v>
                </c:pt>
                <c:pt idx="333">
                  <c:v>-8.0843762152392955</c:v>
                </c:pt>
                <c:pt idx="334">
                  <c:v>-8.0843762152392955</c:v>
                </c:pt>
                <c:pt idx="335">
                  <c:v>-8.0843762152392955</c:v>
                </c:pt>
                <c:pt idx="336">
                  <c:v>-8.0843762152392955</c:v>
                </c:pt>
                <c:pt idx="337">
                  <c:v>-8.0843762152392955</c:v>
                </c:pt>
                <c:pt idx="338">
                  <c:v>-5.1491606548264519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57-E246-B933-B6E32612D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173408"/>
        <c:axId val="830247888"/>
      </c:scatterChart>
      <c:valAx>
        <c:axId val="83017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247888"/>
        <c:crosses val="autoZero"/>
        <c:crossBetween val="midCat"/>
      </c:valAx>
      <c:valAx>
        <c:axId val="83024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17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ProteinComp_Anal!$D$36:$D$49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ProteinComp_Anal!$E$36:$E$49</c:f>
              <c:numCache>
                <c:formatCode>General</c:formatCode>
                <c:ptCount val="14"/>
                <c:pt idx="0">
                  <c:v>2.5259291966666667E-5</c:v>
                </c:pt>
                <c:pt idx="1">
                  <c:v>4.660359212777778E-5</c:v>
                </c:pt>
                <c:pt idx="2">
                  <c:v>7.6878905944444451E-6</c:v>
                </c:pt>
                <c:pt idx="3">
                  <c:v>4.4018539313888888E-5</c:v>
                </c:pt>
                <c:pt idx="4">
                  <c:v>5.033459701944445E-5</c:v>
                </c:pt>
                <c:pt idx="5">
                  <c:v>1.4705822502777779E-5</c:v>
                </c:pt>
                <c:pt idx="6">
                  <c:v>2.2023123666666668E-6</c:v>
                </c:pt>
                <c:pt idx="7">
                  <c:v>2.2060391760833335E-4</c:v>
                </c:pt>
                <c:pt idx="8">
                  <c:v>6.2675546575000001E-5</c:v>
                </c:pt>
                <c:pt idx="9">
                  <c:v>6.8426165352777774E-5</c:v>
                </c:pt>
                <c:pt idx="10">
                  <c:v>1.1208785474166667E-4</c:v>
                </c:pt>
                <c:pt idx="11">
                  <c:v>1.4830372160833333E-4</c:v>
                </c:pt>
                <c:pt idx="12">
                  <c:v>1.9389159012222224E-4</c:v>
                </c:pt>
                <c:pt idx="13">
                  <c:v>7.5865090175000001E-5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3-C845-A99B-53B18B13F6A4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plus>
            <c:minus>
              <c:numRef>
                <c:f>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ProteinComp_Anal!$D$36:$D$49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ProteinComp_Anal!$F$36:$F$49</c:f>
              <c:numCache>
                <c:formatCode>General</c:formatCode>
                <c:ptCount val="14"/>
                <c:pt idx="0">
                  <c:v>2.5162826034217326E-5</c:v>
                </c:pt>
                <c:pt idx="1">
                  <c:v>4.6433825013844236E-5</c:v>
                </c:pt>
                <c:pt idx="2">
                  <c:v>7.6598852218989575E-6</c:v>
                </c:pt>
                <c:pt idx="3">
                  <c:v>4.3858189007422885E-5</c:v>
                </c:pt>
                <c:pt idx="4">
                  <c:v>5.0151238638631813E-5</c:v>
                </c:pt>
                <c:pt idx="5">
                  <c:v>1.4312035420422808E-5</c:v>
                </c:pt>
                <c:pt idx="6">
                  <c:v>2.2023123677521908E-6</c:v>
                </c:pt>
                <c:pt idx="7">
                  <c:v>2.1983523171661431E-4</c:v>
                </c:pt>
                <c:pt idx="8">
                  <c:v>6.2457155101361755E-5</c:v>
                </c:pt>
                <c:pt idx="9">
                  <c:v>6.8253223418885916E-5</c:v>
                </c:pt>
                <c:pt idx="10">
                  <c:v>1.1180456120706036E-4</c:v>
                </c:pt>
                <c:pt idx="11">
                  <c:v>1.4876930250187686E-4</c:v>
                </c:pt>
                <c:pt idx="12">
                  <c:v>1.9293498422922166E-4</c:v>
                </c:pt>
                <c:pt idx="13" formatCode="0.00E+00">
                  <c:v>7.5507071431189882E-5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E3-C845-A99B-53B18B13F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ProteinComp_Anal!$C$24:$C$30</c:f>
              <c:strCache>
                <c:ptCount val="7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</c:strCache>
            </c:strRef>
          </c:cat>
          <c:val>
            <c:numRef>
              <c:f>ProteinComp_Anal!$G$24:$G$30</c:f>
              <c:numCache>
                <c:formatCode>0.00E+00</c:formatCode>
                <c:ptCount val="7"/>
                <c:pt idx="0">
                  <c:v>#N/A</c:v>
                </c:pt>
                <c:pt idx="1">
                  <c:v>3.7568827583333336E-6</c:v>
                </c:pt>
                <c:pt idx="2">
                  <c:v>5.5663918750000009E-6</c:v>
                </c:pt>
                <c:pt idx="3">
                  <c:v>5.7383014388888883E-6</c:v>
                </c:pt>
                <c:pt idx="4">
                  <c:v>1.3985666527777778E-6</c:v>
                </c:pt>
                <c:pt idx="5">
                  <c:v>1.1524925558333335E-5</c:v>
                </c:pt>
                <c:pt idx="6">
                  <c:v>2.2754114811111115E-5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7-1E4E-BC85-8FFF37B60FA1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ProteinComp_Anal!$P$24:$P$30</c:f>
                <c:numCache>
                  <c:formatCode>General</c:formatCode>
                  <c:ptCount val="7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</c:numCache>
              </c:numRef>
            </c:plus>
            <c:minus>
              <c:numRef>
                <c:f>ProteinComp_Anal!$P$24:$P$30</c:f>
                <c:numCache>
                  <c:formatCode>General</c:formatCode>
                  <c:ptCount val="7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ProteinComp_Anal!$C$24:$C$30</c:f>
              <c:strCache>
                <c:ptCount val="7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</c:strCache>
            </c:strRef>
          </c:cat>
          <c:val>
            <c:numRef>
              <c:f>ProteinComp_Anal!$O$24:$O$30</c:f>
              <c:numCache>
                <c:formatCode>0.00E+00</c:formatCode>
                <c:ptCount val="7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67-1E4E-BC85-8FFF37B60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107326233939134"/>
          <c:y val="0.2316962589471196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/>
    <cx:plotArea>
      <cx:plotAreaRegion/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101600</xdr:colOff>
      <xdr:row>2</xdr:row>
      <xdr:rowOff>48010</xdr:rowOff>
    </xdr:from>
    <xdr:to>
      <xdr:col>32</xdr:col>
      <xdr:colOff>404726</xdr:colOff>
      <xdr:row>20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260A4D-F639-6BDD-7F2D-9B05B89B6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363297</xdr:colOff>
      <xdr:row>25</xdr:row>
      <xdr:rowOff>53109</xdr:rowOff>
    </xdr:from>
    <xdr:to>
      <xdr:col>33</xdr:col>
      <xdr:colOff>649625</xdr:colOff>
      <xdr:row>47</xdr:row>
      <xdr:rowOff>49261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808D71C6-EAE8-6342-EDBC-2FA176436F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98997" y="4815609"/>
              <a:ext cx="5671128" cy="41871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661104</xdr:colOff>
      <xdr:row>1</xdr:row>
      <xdr:rowOff>114157</xdr:rowOff>
    </xdr:from>
    <xdr:to>
      <xdr:col>29</xdr:col>
      <xdr:colOff>656403</xdr:colOff>
      <xdr:row>26</xdr:row>
      <xdr:rowOff>111478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03CF1E-6C7B-1AF5-80E4-C7C675B64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20818</xdr:colOff>
      <xdr:row>31</xdr:row>
      <xdr:rowOff>39141</xdr:rowOff>
    </xdr:from>
    <xdr:to>
      <xdr:col>28</xdr:col>
      <xdr:colOff>104931</xdr:colOff>
      <xdr:row>63</xdr:row>
      <xdr:rowOff>124918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4FFDF7-446C-EA13-E685-645037736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4"/>
  <sheetViews>
    <sheetView zoomScale="99" workbookViewId="0">
      <selection activeCell="I8" sqref="I8:M31"/>
    </sheetView>
  </sheetViews>
  <sheetFormatPr baseColWidth="10" defaultColWidth="8.83203125" defaultRowHeight="15" x14ac:dyDescent="0.2"/>
  <cols>
    <col min="10" max="10" width="26.83203125" customWidth="1"/>
    <col min="11" max="11" width="12" bestFit="1" customWidth="1"/>
    <col min="12" max="12" width="10.6640625" customWidth="1"/>
    <col min="13" max="13" width="12.6640625" bestFit="1" customWidth="1"/>
    <col min="23" max="23" width="9.33203125" bestFit="1" customWidth="1"/>
    <col min="24" max="24" width="9.1640625" bestFit="1" customWidth="1"/>
  </cols>
  <sheetData>
    <row r="1" spans="1:24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24" x14ac:dyDescent="0.2">
      <c r="A2" t="s">
        <v>414</v>
      </c>
      <c r="B2">
        <v>2.5153930592011149E-6</v>
      </c>
      <c r="C2">
        <v>3.2978753153130001E-3</v>
      </c>
      <c r="D2">
        <v>0</v>
      </c>
      <c r="E2">
        <v>3.2978753153130001E-3</v>
      </c>
      <c r="F2">
        <v>100</v>
      </c>
      <c r="G2">
        <v>1311.077528519698</v>
      </c>
      <c r="W2">
        <f t="shared" ref="W2:W33" si="0">LOG(B2)</f>
        <v>-5.5993941417793387</v>
      </c>
      <c r="X2">
        <f t="shared" ref="X2:X33" si="1">LOG(C2)</f>
        <v>-2.4817657680047707</v>
      </c>
    </row>
    <row r="3" spans="1:24" x14ac:dyDescent="0.2">
      <c r="A3" t="s">
        <v>415</v>
      </c>
      <c r="B3">
        <v>2.1414950514644888E-6</v>
      </c>
      <c r="C3">
        <v>2.42551208845E-4</v>
      </c>
      <c r="D3">
        <v>0</v>
      </c>
      <c r="E3">
        <v>2.42551208845E-4</v>
      </c>
      <c r="F3">
        <v>100</v>
      </c>
      <c r="G3">
        <v>113.262558640576</v>
      </c>
      <c r="I3" t="s">
        <v>413</v>
      </c>
      <c r="W3">
        <f t="shared" si="0"/>
        <v>-5.6692829248276029</v>
      </c>
      <c r="X3">
        <f t="shared" si="1"/>
        <v>-3.6151965565629447</v>
      </c>
    </row>
    <row r="4" spans="1:24" x14ac:dyDescent="0.2">
      <c r="A4" t="s">
        <v>8</v>
      </c>
      <c r="B4">
        <v>5.1293242219424909E-6</v>
      </c>
      <c r="C4">
        <v>8.0152725216000006E-5</v>
      </c>
      <c r="D4">
        <v>0</v>
      </c>
      <c r="E4">
        <v>8.0152725216000006E-5</v>
      </c>
      <c r="F4">
        <v>100</v>
      </c>
      <c r="G4">
        <v>15.62637137912213</v>
      </c>
      <c r="I4" t="s">
        <v>420</v>
      </c>
      <c r="W4">
        <f t="shared" si="0"/>
        <v>-5.2899398485360702</v>
      </c>
      <c r="X4">
        <f t="shared" si="1"/>
        <v>-4.0960817069199411</v>
      </c>
    </row>
    <row r="5" spans="1:24" x14ac:dyDescent="0.2">
      <c r="A5" t="s">
        <v>7</v>
      </c>
      <c r="B5">
        <v>7.9140683417981147E-5</v>
      </c>
      <c r="C5">
        <v>7.9417410339000004E-5</v>
      </c>
      <c r="D5">
        <v>0</v>
      </c>
      <c r="E5">
        <v>7.9417410339000004E-5</v>
      </c>
      <c r="F5">
        <v>100</v>
      </c>
      <c r="G5">
        <v>1.0034966455818599</v>
      </c>
      <c r="W5">
        <f t="shared" si="0"/>
        <v>-4.1016002037114303</v>
      </c>
      <c r="X5">
        <f t="shared" si="1"/>
        <v>-4.100084278614605</v>
      </c>
    </row>
    <row r="6" spans="1:24" x14ac:dyDescent="0.2">
      <c r="A6" t="s">
        <v>9</v>
      </c>
      <c r="B6">
        <v>6.9456594322519794E-5</v>
      </c>
      <c r="C6">
        <v>6.9800972444000002E-5</v>
      </c>
      <c r="D6">
        <v>0</v>
      </c>
      <c r="E6">
        <v>6.9800972444000002E-5</v>
      </c>
      <c r="F6">
        <v>100</v>
      </c>
      <c r="G6">
        <v>1.0049581774752889</v>
      </c>
      <c r="W6">
        <f t="shared" si="0"/>
        <v>-4.1582865153413788</v>
      </c>
      <c r="X6">
        <f t="shared" si="1"/>
        <v>-4.1561385268879949</v>
      </c>
    </row>
    <row r="7" spans="1:24" x14ac:dyDescent="0.2">
      <c r="A7" t="s">
        <v>10</v>
      </c>
      <c r="B7">
        <v>5.3556948900675673E-5</v>
      </c>
      <c r="C7">
        <v>5.3389339779E-5</v>
      </c>
      <c r="D7">
        <v>0</v>
      </c>
      <c r="E7">
        <v>5.3389339779E-5</v>
      </c>
      <c r="F7">
        <v>100</v>
      </c>
      <c r="G7">
        <v>0.9968704505182604</v>
      </c>
      <c r="W7">
        <f t="shared" si="0"/>
        <v>-4.2711841723871355</v>
      </c>
      <c r="X7">
        <f t="shared" si="1"/>
        <v>-4.2725454496629753</v>
      </c>
    </row>
    <row r="8" spans="1:24" x14ac:dyDescent="0.2">
      <c r="A8" t="s">
        <v>64</v>
      </c>
      <c r="B8">
        <v>4.0249642034541729E-5</v>
      </c>
      <c r="C8">
        <v>4.0351627706999999E-5</v>
      </c>
      <c r="D8">
        <v>0</v>
      </c>
      <c r="E8">
        <v>4.0351627706999999E-5</v>
      </c>
      <c r="F8">
        <v>100</v>
      </c>
      <c r="G8">
        <v>1.002533828061644</v>
      </c>
      <c r="L8" t="s">
        <v>393</v>
      </c>
      <c r="M8" t="s">
        <v>394</v>
      </c>
      <c r="W8">
        <f t="shared" si="0"/>
        <v>-4.3952379777337409</v>
      </c>
      <c r="X8">
        <f t="shared" si="1"/>
        <v>-4.3941389419850214</v>
      </c>
    </row>
    <row r="9" spans="1:24" x14ac:dyDescent="0.2">
      <c r="A9" t="s">
        <v>73</v>
      </c>
      <c r="B9">
        <v>1.184285241552041E-6</v>
      </c>
      <c r="C9">
        <v>2.7311432463000001E-5</v>
      </c>
      <c r="D9">
        <v>0</v>
      </c>
      <c r="E9">
        <v>2.7311432463000001E-5</v>
      </c>
      <c r="F9">
        <v>100</v>
      </c>
      <c r="G9">
        <v>23.061532395022969</v>
      </c>
      <c r="I9" s="1" t="s">
        <v>82</v>
      </c>
      <c r="J9" s="1" t="s">
        <v>339</v>
      </c>
      <c r="K9" t="s">
        <v>340</v>
      </c>
      <c r="L9">
        <f>_xlfn.XLOOKUP(I9,A:A,G:G)</f>
        <v>1.0038336684567211</v>
      </c>
      <c r="M9">
        <f>_xlfn.XLOOKUP(I9,A:A,C:C)</f>
        <v>9.0933451080000004E-6</v>
      </c>
      <c r="W9">
        <f t="shared" si="0"/>
        <v>-5.9265436828222064</v>
      </c>
      <c r="X9">
        <f t="shared" si="1"/>
        <v>-4.5636555208613085</v>
      </c>
    </row>
    <row r="10" spans="1:24" x14ac:dyDescent="0.2">
      <c r="A10" t="s">
        <v>67</v>
      </c>
      <c r="B10">
        <v>1.572948586282125E-5</v>
      </c>
      <c r="C10">
        <v>2.5495437914E-5</v>
      </c>
      <c r="D10">
        <v>0</v>
      </c>
      <c r="E10">
        <v>2.5495437914E-5</v>
      </c>
      <c r="F10">
        <v>100</v>
      </c>
      <c r="G10">
        <v>1.6208691203481671</v>
      </c>
      <c r="I10" s="2" t="s">
        <v>71</v>
      </c>
      <c r="J10" s="1" t="s">
        <v>341</v>
      </c>
      <c r="K10" t="s">
        <v>342</v>
      </c>
      <c r="L10">
        <f t="shared" ref="L10:L31" si="2">_xlfn.XLOOKUP(I10,A:A,G:G)</f>
        <v>1.0036561087500959</v>
      </c>
      <c r="M10">
        <f t="shared" ref="M10:M31" si="3">_xlfn.XLOOKUP(I10,A:A,C:C)</f>
        <v>1.6777293165999999E-5</v>
      </c>
      <c r="W10">
        <f t="shared" si="0"/>
        <v>-4.8032854725826146</v>
      </c>
      <c r="X10">
        <f t="shared" si="1"/>
        <v>-4.5935375241161811</v>
      </c>
    </row>
    <row r="11" spans="1:24" x14ac:dyDescent="0.2">
      <c r="A11" t="s">
        <v>66</v>
      </c>
      <c r="B11">
        <v>2.520488644377294E-5</v>
      </c>
      <c r="C11">
        <v>2.5231341342E-5</v>
      </c>
      <c r="D11">
        <v>0</v>
      </c>
      <c r="E11">
        <v>2.5231341342E-5</v>
      </c>
      <c r="F11">
        <v>100</v>
      </c>
      <c r="G11">
        <v>1.0010495940255899</v>
      </c>
      <c r="I11" s="2" t="s">
        <v>155</v>
      </c>
      <c r="J11" s="1" t="s">
        <v>343</v>
      </c>
      <c r="K11" t="s">
        <v>344</v>
      </c>
      <c r="L11">
        <f t="shared" si="2"/>
        <v>1.0036561086405611</v>
      </c>
      <c r="M11">
        <f t="shared" si="3"/>
        <v>2.7676406140000001E-6</v>
      </c>
      <c r="W11">
        <f t="shared" si="0"/>
        <v>-4.5985152548595893</v>
      </c>
      <c r="X11">
        <f t="shared" si="1"/>
        <v>-4.5980596610185209</v>
      </c>
    </row>
    <row r="12" spans="1:24" x14ac:dyDescent="0.2">
      <c r="A12" t="s">
        <v>65</v>
      </c>
      <c r="B12">
        <v>2.4571160430798931E-5</v>
      </c>
      <c r="C12">
        <v>2.4633419526999999E-5</v>
      </c>
      <c r="D12">
        <v>0</v>
      </c>
      <c r="E12">
        <v>2.4633419526999999E-5</v>
      </c>
      <c r="F12">
        <v>100</v>
      </c>
      <c r="G12">
        <v>1.0025338280776941</v>
      </c>
      <c r="I12" s="2" t="s">
        <v>72</v>
      </c>
      <c r="J12" s="1" t="s">
        <v>345</v>
      </c>
      <c r="K12" t="s">
        <v>346</v>
      </c>
      <c r="L12">
        <f t="shared" si="2"/>
        <v>1.0036561087015901</v>
      </c>
      <c r="M12">
        <f t="shared" si="3"/>
        <v>1.5846674152999999E-5</v>
      </c>
      <c r="W12">
        <f t="shared" si="0"/>
        <v>-4.6095743324579788</v>
      </c>
      <c r="X12">
        <f t="shared" si="1"/>
        <v>-4.6084752967023066</v>
      </c>
    </row>
    <row r="13" spans="1:24" x14ac:dyDescent="0.2">
      <c r="A13" t="s">
        <v>68</v>
      </c>
      <c r="B13">
        <v>2.2484575836490229E-5</v>
      </c>
      <c r="C13">
        <v>2.2563196766999999E-5</v>
      </c>
      <c r="D13">
        <v>0</v>
      </c>
      <c r="E13">
        <v>2.2563196766999999E-5</v>
      </c>
      <c r="F13">
        <v>100</v>
      </c>
      <c r="G13">
        <v>1.003496660603318</v>
      </c>
      <c r="I13" s="2" t="s">
        <v>70</v>
      </c>
      <c r="J13" s="1" t="s">
        <v>347</v>
      </c>
      <c r="K13" t="s">
        <v>348</v>
      </c>
      <c r="L13">
        <f t="shared" si="2"/>
        <v>1.0036561087181479</v>
      </c>
      <c r="M13">
        <f t="shared" si="3"/>
        <v>1.8120454927000001E-5</v>
      </c>
      <c r="W13">
        <f t="shared" si="0"/>
        <v>-4.6481153008293843</v>
      </c>
      <c r="X13">
        <f t="shared" si="1"/>
        <v>-4.6465993692315548</v>
      </c>
    </row>
    <row r="14" spans="1:24" x14ac:dyDescent="0.2">
      <c r="A14" t="s">
        <v>32</v>
      </c>
      <c r="B14">
        <v>4.7955473044123879E-6</v>
      </c>
      <c r="C14">
        <v>1.8788379688000001E-5</v>
      </c>
      <c r="D14">
        <v>0</v>
      </c>
      <c r="E14">
        <v>1.8788379688000001E-5</v>
      </c>
      <c r="F14">
        <v>100</v>
      </c>
      <c r="G14">
        <v>3.917880169946983</v>
      </c>
      <c r="I14" s="2" t="s">
        <v>103</v>
      </c>
      <c r="J14" s="1" t="s">
        <v>349</v>
      </c>
      <c r="K14" t="s">
        <v>350</v>
      </c>
      <c r="L14">
        <f t="shared" si="2"/>
        <v>1.0275144010469019</v>
      </c>
      <c r="M14">
        <f t="shared" si="3"/>
        <v>5.294096101E-6</v>
      </c>
      <c r="W14">
        <f t="shared" si="0"/>
        <v>-5.3191618206680547</v>
      </c>
      <c r="X14">
        <f t="shared" si="1"/>
        <v>-4.7261106718900523</v>
      </c>
    </row>
    <row r="15" spans="1:24" x14ac:dyDescent="0.2">
      <c r="A15" t="s">
        <v>31</v>
      </c>
      <c r="B15">
        <v>8.5857512739490604E-6</v>
      </c>
      <c r="C15">
        <v>1.8788379688000001E-5</v>
      </c>
      <c r="D15">
        <v>0</v>
      </c>
      <c r="E15">
        <v>1.8788379688000001E-5</v>
      </c>
      <c r="F15">
        <v>100</v>
      </c>
      <c r="G15">
        <v>2.1883209853758312</v>
      </c>
      <c r="I15" s="2" t="s">
        <v>247</v>
      </c>
      <c r="J15" s="1" t="s">
        <v>351</v>
      </c>
      <c r="K15" t="s">
        <v>352</v>
      </c>
      <c r="L15">
        <f t="shared" si="2"/>
        <v>0.99999999950709817</v>
      </c>
      <c r="M15">
        <f t="shared" si="3"/>
        <v>7.9283245200000004E-7</v>
      </c>
      <c r="W15">
        <f t="shared" si="0"/>
        <v>-5.0662216970254672</v>
      </c>
      <c r="X15">
        <f t="shared" si="1"/>
        <v>-4.7261106718900523</v>
      </c>
    </row>
    <row r="16" spans="1:24" x14ac:dyDescent="0.2">
      <c r="A16" t="s">
        <v>30</v>
      </c>
      <c r="B16">
        <v>1.7999705599719628E-5</v>
      </c>
      <c r="C16">
        <v>1.8788379688000001E-5</v>
      </c>
      <c r="D16">
        <v>0</v>
      </c>
      <c r="E16">
        <v>1.8788379688000001E-5</v>
      </c>
      <c r="F16">
        <v>100</v>
      </c>
      <c r="G16">
        <v>1.043815943761472</v>
      </c>
      <c r="I16" s="2" t="s">
        <v>7</v>
      </c>
      <c r="J16" s="1" t="s">
        <v>353</v>
      </c>
      <c r="K16" t="s">
        <v>354</v>
      </c>
      <c r="L16">
        <f t="shared" si="2"/>
        <v>1.0034966455818599</v>
      </c>
      <c r="M16">
        <f t="shared" si="3"/>
        <v>7.9417410339000004E-5</v>
      </c>
      <c r="S16" s="16" t="s">
        <v>367</v>
      </c>
      <c r="W16">
        <f t="shared" si="0"/>
        <v>-4.7447345980890736</v>
      </c>
      <c r="X16">
        <f t="shared" si="1"/>
        <v>-4.7261106718900523</v>
      </c>
    </row>
    <row r="17" spans="1:24" x14ac:dyDescent="0.2">
      <c r="A17" t="s">
        <v>42</v>
      </c>
      <c r="B17">
        <v>4.0224730139951734E-6</v>
      </c>
      <c r="C17">
        <v>1.8788379688000001E-5</v>
      </c>
      <c r="D17">
        <v>0</v>
      </c>
      <c r="E17">
        <v>1.8788379688000001E-5</v>
      </c>
      <c r="F17">
        <v>100</v>
      </c>
      <c r="G17">
        <v>4.6708528864284746</v>
      </c>
      <c r="I17" s="2" t="s">
        <v>68</v>
      </c>
      <c r="J17" s="1" t="s">
        <v>355</v>
      </c>
      <c r="K17" t="s">
        <v>356</v>
      </c>
      <c r="L17">
        <f t="shared" si="2"/>
        <v>1.003496660603318</v>
      </c>
      <c r="M17">
        <f t="shared" si="3"/>
        <v>2.2563196766999999E-5</v>
      </c>
      <c r="S17" s="16"/>
      <c r="W17">
        <f t="shared" si="0"/>
        <v>-5.3955068608180685</v>
      </c>
      <c r="X17">
        <f t="shared" si="1"/>
        <v>-4.7261106718900523</v>
      </c>
    </row>
    <row r="18" spans="1:24" x14ac:dyDescent="0.2">
      <c r="A18" t="s">
        <v>34</v>
      </c>
      <c r="B18">
        <v>1.3071532262372181E-7</v>
      </c>
      <c r="C18">
        <v>1.8788379688000001E-5</v>
      </c>
      <c r="D18">
        <v>0</v>
      </c>
      <c r="E18">
        <v>1.8788379688000001E-5</v>
      </c>
      <c r="F18">
        <v>100</v>
      </c>
      <c r="G18">
        <v>143.7350978514155</v>
      </c>
      <c r="I18" s="2" t="s">
        <v>65</v>
      </c>
      <c r="J18" s="1" t="s">
        <v>357</v>
      </c>
      <c r="K18" t="s">
        <v>358</v>
      </c>
      <c r="L18">
        <f t="shared" si="2"/>
        <v>1.0025338280776941</v>
      </c>
      <c r="M18">
        <f t="shared" si="3"/>
        <v>2.4633419526999999E-5</v>
      </c>
      <c r="S18" s="16"/>
      <c r="W18">
        <f t="shared" si="0"/>
        <v>-6.8836735008594792</v>
      </c>
      <c r="X18">
        <f t="shared" si="1"/>
        <v>-4.7261106718900523</v>
      </c>
    </row>
    <row r="19" spans="1:24" x14ac:dyDescent="0.2">
      <c r="A19" t="s">
        <v>35</v>
      </c>
      <c r="B19">
        <v>1.689715842958496E-5</v>
      </c>
      <c r="C19">
        <v>1.8788379688000001E-5</v>
      </c>
      <c r="D19">
        <v>0</v>
      </c>
      <c r="E19">
        <v>1.8788379688000001E-5</v>
      </c>
      <c r="F19">
        <v>100</v>
      </c>
      <c r="G19">
        <v>1.111925402504585</v>
      </c>
      <c r="I19" s="2" t="s">
        <v>64</v>
      </c>
      <c r="J19" s="1" t="s">
        <v>359</v>
      </c>
      <c r="K19" t="s">
        <v>360</v>
      </c>
      <c r="L19">
        <f t="shared" si="2"/>
        <v>1.002533828061644</v>
      </c>
      <c r="M19">
        <f t="shared" si="3"/>
        <v>4.0351627706999999E-5</v>
      </c>
      <c r="W19">
        <f t="shared" si="0"/>
        <v>-4.7721863239136608</v>
      </c>
      <c r="X19">
        <f t="shared" si="1"/>
        <v>-4.7261106718900523</v>
      </c>
    </row>
    <row r="20" spans="1:24" x14ac:dyDescent="0.2">
      <c r="A20" t="s">
        <v>23</v>
      </c>
      <c r="B20">
        <v>2.4134131784147979E-5</v>
      </c>
      <c r="C20">
        <v>1.8788379688000001E-5</v>
      </c>
      <c r="D20">
        <v>0</v>
      </c>
      <c r="E20">
        <v>1.8788379688000001E-5</v>
      </c>
      <c r="F20">
        <v>100</v>
      </c>
      <c r="G20">
        <v>0.77849826362267438</v>
      </c>
      <c r="I20" s="2" t="s">
        <v>10</v>
      </c>
      <c r="J20" s="1" t="s">
        <v>361</v>
      </c>
      <c r="K20" t="s">
        <v>362</v>
      </c>
      <c r="L20">
        <f t="shared" si="2"/>
        <v>0.9968704505182604</v>
      </c>
      <c r="M20">
        <f t="shared" si="3"/>
        <v>5.3389339779E-5</v>
      </c>
      <c r="W20">
        <f t="shared" si="0"/>
        <v>-4.6173683201366034</v>
      </c>
      <c r="X20">
        <f t="shared" si="1"/>
        <v>-4.7261106718900523</v>
      </c>
    </row>
    <row r="21" spans="1:24" x14ac:dyDescent="0.2">
      <c r="A21" t="s">
        <v>62</v>
      </c>
      <c r="B21">
        <v>9.1969666296093531E-6</v>
      </c>
      <c r="C21">
        <v>1.8788379688000001E-5</v>
      </c>
      <c r="D21">
        <v>0</v>
      </c>
      <c r="E21">
        <v>1.8788379688000001E-5</v>
      </c>
      <c r="F21">
        <v>100</v>
      </c>
      <c r="G21">
        <v>2.042888752853727</v>
      </c>
      <c r="I21" s="2" t="s">
        <v>9</v>
      </c>
      <c r="J21" s="1" t="s">
        <v>363</v>
      </c>
      <c r="K21" t="s">
        <v>364</v>
      </c>
      <c r="L21">
        <f t="shared" si="2"/>
        <v>1.0049581774752889</v>
      </c>
      <c r="M21">
        <f t="shared" si="3"/>
        <v>6.9800972444000002E-5</v>
      </c>
      <c r="S21" s="16" t="s">
        <v>368</v>
      </c>
      <c r="W21">
        <f t="shared" si="0"/>
        <v>-5.0363553893119173</v>
      </c>
      <c r="X21">
        <f t="shared" si="1"/>
        <v>-4.7261106718900523</v>
      </c>
    </row>
    <row r="22" spans="1:24" x14ac:dyDescent="0.2">
      <c r="A22" t="s">
        <v>63</v>
      </c>
      <c r="B22">
        <v>4.5939457952547752E-5</v>
      </c>
      <c r="C22">
        <v>1.8788379688000001E-5</v>
      </c>
      <c r="D22">
        <v>0</v>
      </c>
      <c r="E22">
        <v>1.8788379688000001E-5</v>
      </c>
      <c r="F22">
        <v>100</v>
      </c>
      <c r="G22">
        <v>0.40898130986671821</v>
      </c>
      <c r="I22" s="2" t="s">
        <v>73</v>
      </c>
      <c r="J22" s="1" t="s">
        <v>365</v>
      </c>
      <c r="K22" t="s">
        <v>366</v>
      </c>
      <c r="L22">
        <f t="shared" si="2"/>
        <v>23.061532395022969</v>
      </c>
      <c r="M22">
        <f t="shared" si="3"/>
        <v>2.7311432463000001E-5</v>
      </c>
      <c r="S22" s="16"/>
      <c r="W22">
        <f t="shared" si="0"/>
        <v>-4.3378141334249776</v>
      </c>
      <c r="X22">
        <f t="shared" si="1"/>
        <v>-4.7261106718900523</v>
      </c>
    </row>
    <row r="23" spans="1:24" x14ac:dyDescent="0.2">
      <c r="A23" t="s">
        <v>27</v>
      </c>
      <c r="B23">
        <v>1.5292262792934869E-5</v>
      </c>
      <c r="C23">
        <v>1.8788379688000001E-5</v>
      </c>
      <c r="D23">
        <v>0</v>
      </c>
      <c r="E23">
        <v>1.8788379688000001E-5</v>
      </c>
      <c r="F23">
        <v>100</v>
      </c>
      <c r="G23">
        <v>1.2286199853091959</v>
      </c>
      <c r="I23" s="2" t="s">
        <v>404</v>
      </c>
      <c r="J23" s="1" t="s">
        <v>405</v>
      </c>
      <c r="L23" t="e">
        <f t="shared" si="2"/>
        <v>#N/A</v>
      </c>
      <c r="M23" t="e">
        <f t="shared" si="3"/>
        <v>#N/A</v>
      </c>
      <c r="S23" s="16"/>
      <c r="W23">
        <f t="shared" si="0"/>
        <v>-4.8155282473688841</v>
      </c>
      <c r="X23">
        <f t="shared" si="1"/>
        <v>-4.7261106718900523</v>
      </c>
    </row>
    <row r="24" spans="1:24" x14ac:dyDescent="0.2">
      <c r="A24" t="s">
        <v>17</v>
      </c>
      <c r="B24">
        <v>3.347229587197548E-5</v>
      </c>
      <c r="C24">
        <v>1.8788379688000001E-5</v>
      </c>
      <c r="D24">
        <v>0</v>
      </c>
      <c r="E24">
        <v>1.8788379688000001E-5</v>
      </c>
      <c r="F24">
        <v>100</v>
      </c>
      <c r="G24">
        <v>0.56131135312204505</v>
      </c>
      <c r="I24" s="2"/>
      <c r="J24" s="1"/>
      <c r="S24" s="16"/>
      <c r="W24">
        <f t="shared" si="0"/>
        <v>-4.4753144982686281</v>
      </c>
      <c r="X24">
        <f t="shared" si="1"/>
        <v>-4.7261106718900523</v>
      </c>
    </row>
    <row r="25" spans="1:24" x14ac:dyDescent="0.2">
      <c r="A25" t="s">
        <v>33</v>
      </c>
      <c r="B25">
        <v>1.996419619453535E-5</v>
      </c>
      <c r="C25">
        <v>1.8788379688000001E-5</v>
      </c>
      <c r="D25">
        <v>0</v>
      </c>
      <c r="E25">
        <v>1.8788379688000001E-5</v>
      </c>
      <c r="F25">
        <v>100</v>
      </c>
      <c r="G25">
        <v>0.94110373915994694</v>
      </c>
      <c r="I25" s="2" t="s">
        <v>385</v>
      </c>
      <c r="J25" s="1" t="s">
        <v>386</v>
      </c>
      <c r="L25" t="e">
        <f t="shared" si="2"/>
        <v>#N/A</v>
      </c>
      <c r="M25" t="e">
        <f t="shared" si="3"/>
        <v>#N/A</v>
      </c>
      <c r="S25" s="16"/>
      <c r="W25">
        <f t="shared" si="0"/>
        <v>-4.6997481708342956</v>
      </c>
      <c r="X25">
        <f t="shared" si="1"/>
        <v>-4.7261106718900523</v>
      </c>
    </row>
    <row r="26" spans="1:24" x14ac:dyDescent="0.2">
      <c r="A26" t="s">
        <v>20</v>
      </c>
      <c r="B26">
        <v>2.4017962844023299E-5</v>
      </c>
      <c r="C26">
        <v>1.8788379688000001E-5</v>
      </c>
      <c r="D26">
        <v>0</v>
      </c>
      <c r="E26">
        <v>1.8788379688000001E-5</v>
      </c>
      <c r="F26">
        <v>100</v>
      </c>
      <c r="G26">
        <v>0.78226366699019856</v>
      </c>
      <c r="I26" s="2" t="s">
        <v>224</v>
      </c>
      <c r="J26" s="1" t="s">
        <v>387</v>
      </c>
      <c r="L26">
        <f t="shared" si="2"/>
        <v>1.050609336291868</v>
      </c>
      <c r="M26">
        <f t="shared" si="3"/>
        <v>1.352477793E-6</v>
      </c>
      <c r="W26">
        <f t="shared" si="0"/>
        <v>-4.6194638313676979</v>
      </c>
      <c r="X26">
        <f t="shared" si="1"/>
        <v>-4.7261106718900523</v>
      </c>
    </row>
    <row r="27" spans="1:24" x14ac:dyDescent="0.2">
      <c r="A27" t="s">
        <v>11</v>
      </c>
      <c r="B27">
        <v>1.431510487258141E-5</v>
      </c>
      <c r="C27">
        <v>1.8788379688000001E-5</v>
      </c>
      <c r="D27">
        <v>0</v>
      </c>
      <c r="E27">
        <v>1.8788379688000001E-5</v>
      </c>
      <c r="F27">
        <v>100</v>
      </c>
      <c r="G27">
        <v>1.312486346082349</v>
      </c>
      <c r="I27" s="2" t="s">
        <v>174</v>
      </c>
      <c r="J27" s="1" t="s">
        <v>388</v>
      </c>
      <c r="L27">
        <f t="shared" si="2"/>
        <v>1.000000000069168</v>
      </c>
      <c r="M27">
        <f t="shared" si="3"/>
        <v>2.0039010750000002E-6</v>
      </c>
      <c r="S27" s="3" t="s">
        <v>369</v>
      </c>
      <c r="W27">
        <f t="shared" si="0"/>
        <v>-4.8442054659856186</v>
      </c>
      <c r="X27">
        <f t="shared" si="1"/>
        <v>-4.7261106718900523</v>
      </c>
    </row>
    <row r="28" spans="1:24" x14ac:dyDescent="0.2">
      <c r="A28" t="s">
        <v>61</v>
      </c>
      <c r="B28">
        <v>2.6975631851590762E-5</v>
      </c>
      <c r="C28">
        <v>1.8788379688000001E-5</v>
      </c>
      <c r="D28">
        <v>0</v>
      </c>
      <c r="E28">
        <v>1.8788379688000001E-5</v>
      </c>
      <c r="F28">
        <v>100</v>
      </c>
      <c r="G28">
        <v>0.69649451739874801</v>
      </c>
      <c r="I28" s="2" t="s">
        <v>157</v>
      </c>
      <c r="J28" s="1" t="s">
        <v>389</v>
      </c>
      <c r="L28">
        <f t="shared" si="2"/>
        <v>1.000000000207347</v>
      </c>
      <c r="M28">
        <f t="shared" si="3"/>
        <v>2.0657885179999998E-6</v>
      </c>
      <c r="W28">
        <f t="shared" si="0"/>
        <v>-4.5690283740242741</v>
      </c>
      <c r="X28">
        <f t="shared" si="1"/>
        <v>-4.7261106718900523</v>
      </c>
    </row>
    <row r="29" spans="1:24" x14ac:dyDescent="0.2">
      <c r="A29" t="s">
        <v>45</v>
      </c>
      <c r="B29">
        <v>2.4208967424806201E-5</v>
      </c>
      <c r="C29">
        <v>1.8788379688000001E-5</v>
      </c>
      <c r="D29">
        <v>0</v>
      </c>
      <c r="E29">
        <v>1.8788379688000001E-5</v>
      </c>
      <c r="F29">
        <v>100</v>
      </c>
      <c r="G29">
        <v>0.77609174147378601</v>
      </c>
      <c r="I29" s="2" t="s">
        <v>261</v>
      </c>
      <c r="J29" s="1" t="s">
        <v>390</v>
      </c>
      <c r="L29">
        <f t="shared" si="2"/>
        <v>0.99999999953474905</v>
      </c>
      <c r="M29">
        <f t="shared" si="3"/>
        <v>5.0348399499999999E-7</v>
      </c>
      <c r="W29">
        <f t="shared" si="0"/>
        <v>-4.6160237339482828</v>
      </c>
      <c r="X29">
        <f t="shared" si="1"/>
        <v>-4.7261106718900523</v>
      </c>
    </row>
    <row r="30" spans="1:24" x14ac:dyDescent="0.2">
      <c r="A30" t="s">
        <v>55</v>
      </c>
      <c r="B30">
        <v>7.9422356037627257E-6</v>
      </c>
      <c r="C30">
        <v>1.8788379688000001E-5</v>
      </c>
      <c r="D30">
        <v>0</v>
      </c>
      <c r="E30">
        <v>1.8788379688000001E-5</v>
      </c>
      <c r="F30">
        <v>100</v>
      </c>
      <c r="G30">
        <v>2.3656285994712611</v>
      </c>
      <c r="I30" s="2" t="s">
        <v>111</v>
      </c>
      <c r="J30" s="1" t="s">
        <v>391</v>
      </c>
      <c r="L30">
        <f t="shared" si="2"/>
        <v>1.0000000000382481</v>
      </c>
      <c r="M30">
        <f t="shared" si="3"/>
        <v>4.1489732010000001E-6</v>
      </c>
      <c r="S30" s="3" t="s">
        <v>370</v>
      </c>
      <c r="W30">
        <f t="shared" si="0"/>
        <v>-5.1000572338804977</v>
      </c>
      <c r="X30">
        <f t="shared" si="1"/>
        <v>-4.7261106718900523</v>
      </c>
    </row>
    <row r="31" spans="1:24" x14ac:dyDescent="0.2">
      <c r="A31" t="s">
        <v>56</v>
      </c>
      <c r="B31">
        <v>2.4166010723320329E-5</v>
      </c>
      <c r="C31">
        <v>1.8788379688000001E-5</v>
      </c>
      <c r="D31">
        <v>0</v>
      </c>
      <c r="E31">
        <v>1.8788379688000001E-5</v>
      </c>
      <c r="F31">
        <v>100</v>
      </c>
      <c r="G31">
        <v>0.7774712964878856</v>
      </c>
      <c r="I31" s="2" t="s">
        <v>95</v>
      </c>
      <c r="J31" s="1" t="s">
        <v>392</v>
      </c>
      <c r="L31">
        <f t="shared" si="2"/>
        <v>0.99999999991170174</v>
      </c>
      <c r="M31">
        <f t="shared" si="3"/>
        <v>8.1914813320000007E-6</v>
      </c>
      <c r="W31">
        <f t="shared" si="0"/>
        <v>-4.6167950361393677</v>
      </c>
      <c r="X31">
        <f t="shared" si="1"/>
        <v>-4.7261106718900523</v>
      </c>
    </row>
    <row r="32" spans="1:24" x14ac:dyDescent="0.2">
      <c r="A32" t="s">
        <v>58</v>
      </c>
      <c r="B32">
        <v>1.159874159869983E-5</v>
      </c>
      <c r="C32">
        <v>1.8788379688000001E-5</v>
      </c>
      <c r="D32">
        <v>0</v>
      </c>
      <c r="E32">
        <v>1.8788379688000001E-5</v>
      </c>
      <c r="F32">
        <v>100</v>
      </c>
      <c r="G32">
        <v>1.619863631594836</v>
      </c>
      <c r="I32" s="2"/>
      <c r="J32" s="1"/>
      <c r="W32">
        <f t="shared" si="0"/>
        <v>-4.9355891268408989</v>
      </c>
      <c r="X32">
        <f t="shared" si="1"/>
        <v>-4.7261106718900523</v>
      </c>
    </row>
    <row r="33" spans="1:24" x14ac:dyDescent="0.2">
      <c r="A33" t="s">
        <v>16</v>
      </c>
      <c r="B33">
        <v>2.6337826133788269E-5</v>
      </c>
      <c r="C33">
        <v>1.8788379688000001E-5</v>
      </c>
      <c r="D33">
        <v>0</v>
      </c>
      <c r="E33">
        <v>1.8788379688000001E-5</v>
      </c>
      <c r="F33">
        <v>100</v>
      </c>
      <c r="G33">
        <v>0.71336106452220693</v>
      </c>
      <c r="S33" s="16" t="s">
        <v>371</v>
      </c>
      <c r="W33">
        <f t="shared" si="0"/>
        <v>-4.579420073605859</v>
      </c>
      <c r="X33">
        <f t="shared" si="1"/>
        <v>-4.7261106718900523</v>
      </c>
    </row>
    <row r="34" spans="1:24" x14ac:dyDescent="0.2">
      <c r="A34" t="s">
        <v>44</v>
      </c>
      <c r="B34">
        <v>1.8296300549796079E-5</v>
      </c>
      <c r="C34">
        <v>1.8788379688000001E-5</v>
      </c>
      <c r="D34">
        <v>0</v>
      </c>
      <c r="E34">
        <v>1.8788379688000001E-5</v>
      </c>
      <c r="F34">
        <v>100</v>
      </c>
      <c r="G34">
        <v>1.0268950073740131</v>
      </c>
      <c r="I34" s="2"/>
      <c r="S34" s="16"/>
      <c r="W34">
        <f t="shared" ref="W34:W66" si="4">LOG(B34)</f>
        <v>-4.7376367142711215</v>
      </c>
      <c r="X34">
        <f t="shared" ref="X34:X66" si="5">LOG(C34)</f>
        <v>-4.7261106718900523</v>
      </c>
    </row>
    <row r="35" spans="1:24" x14ac:dyDescent="0.2">
      <c r="A35" t="s">
        <v>39</v>
      </c>
      <c r="B35">
        <v>2.448155940947796E-5</v>
      </c>
      <c r="C35">
        <v>1.8788379688000001E-5</v>
      </c>
      <c r="D35">
        <v>0</v>
      </c>
      <c r="E35">
        <v>1.8788379688000001E-5</v>
      </c>
      <c r="F35">
        <v>100</v>
      </c>
      <c r="G35">
        <v>0.76745028262889747</v>
      </c>
      <c r="I35" s="2"/>
      <c r="S35" s="16"/>
      <c r="W35">
        <f t="shared" si="4"/>
        <v>-4.6111609222551708</v>
      </c>
      <c r="X35">
        <f t="shared" si="5"/>
        <v>-4.7261106718900523</v>
      </c>
    </row>
    <row r="36" spans="1:24" x14ac:dyDescent="0.2">
      <c r="A36" t="s">
        <v>40</v>
      </c>
      <c r="B36">
        <v>2.243302056829462E-5</v>
      </c>
      <c r="C36">
        <v>1.8788379688000001E-5</v>
      </c>
      <c r="D36">
        <v>0</v>
      </c>
      <c r="E36">
        <v>1.8788379688000001E-5</v>
      </c>
      <c r="F36">
        <v>100</v>
      </c>
      <c r="G36">
        <v>0.83753231673822304</v>
      </c>
      <c r="I36" s="2"/>
      <c r="K36" t="s">
        <v>409</v>
      </c>
      <c r="L36" t="s">
        <v>398</v>
      </c>
      <c r="S36" s="16"/>
      <c r="W36">
        <f t="shared" si="4"/>
        <v>-4.6491122454619855</v>
      </c>
      <c r="X36">
        <f t="shared" si="5"/>
        <v>-4.7261106718900523</v>
      </c>
    </row>
    <row r="37" spans="1:24" x14ac:dyDescent="0.2">
      <c r="A37" t="s">
        <v>36</v>
      </c>
      <c r="B37">
        <v>2.9693381536298769E-6</v>
      </c>
      <c r="C37">
        <v>1.8788379688000001E-5</v>
      </c>
      <c r="D37">
        <v>0</v>
      </c>
      <c r="E37">
        <v>1.8788379688000001E-5</v>
      </c>
      <c r="F37">
        <v>100</v>
      </c>
      <c r="G37">
        <v>6.3274638036870563</v>
      </c>
      <c r="I37" s="11" t="s">
        <v>16</v>
      </c>
      <c r="J37">
        <f t="shared" ref="J37:J68" si="6">_xlfn.XLOOKUP(I37,A:A,G:G)</f>
        <v>0.71336106452220693</v>
      </c>
      <c r="K37">
        <f>_xlfn.XLOOKUP(I37,A:A,C:C)</f>
        <v>1.8788379688000001E-5</v>
      </c>
      <c r="L37">
        <f t="shared" ref="L37:L68" si="7">_xlfn.XLOOKUP(I37,A:A,B:B)</f>
        <v>2.6337826133788269E-5</v>
      </c>
      <c r="S37" s="16"/>
      <c r="W37">
        <f t="shared" si="4"/>
        <v>-5.527340341342005</v>
      </c>
      <c r="X37">
        <f t="shared" si="5"/>
        <v>-4.7261106718900523</v>
      </c>
    </row>
    <row r="38" spans="1:24" x14ac:dyDescent="0.2">
      <c r="A38" t="s">
        <v>21</v>
      </c>
      <c r="B38">
        <v>3.4854239853689131E-5</v>
      </c>
      <c r="C38">
        <v>1.8788379688000001E-5</v>
      </c>
      <c r="D38">
        <v>0</v>
      </c>
      <c r="E38">
        <v>1.8788379688000001E-5</v>
      </c>
      <c r="F38">
        <v>100</v>
      </c>
      <c r="G38">
        <v>0.53905578681014765</v>
      </c>
      <c r="I38" s="12" t="s">
        <v>13</v>
      </c>
      <c r="J38">
        <f t="shared" si="6"/>
        <v>1.0701982785601829</v>
      </c>
      <c r="K38">
        <f t="shared" ref="K38:K89" si="8">_xlfn.XLOOKUP(I38,A:A,C:C)</f>
        <v>1.8788379688000001E-5</v>
      </c>
      <c r="L38">
        <f t="shared" si="7"/>
        <v>1.7555980106113982E-5</v>
      </c>
      <c r="S38" s="16"/>
      <c r="W38">
        <f t="shared" si="4"/>
        <v>-4.4577443844795654</v>
      </c>
      <c r="X38">
        <f t="shared" si="5"/>
        <v>-4.7261106718900523</v>
      </c>
    </row>
    <row r="39" spans="1:24" x14ac:dyDescent="0.2">
      <c r="A39" t="s">
        <v>43</v>
      </c>
      <c r="B39">
        <v>1.8173991331524889E-5</v>
      </c>
      <c r="C39">
        <v>1.8788379688000001E-5</v>
      </c>
      <c r="D39">
        <v>0</v>
      </c>
      <c r="E39">
        <v>1.8788379688000001E-5</v>
      </c>
      <c r="F39">
        <v>100</v>
      </c>
      <c r="G39">
        <v>1.03380591226592</v>
      </c>
      <c r="I39" s="11" t="s">
        <v>24</v>
      </c>
      <c r="J39">
        <f t="shared" si="6"/>
        <v>1.1786581433588139</v>
      </c>
      <c r="K39">
        <f t="shared" si="8"/>
        <v>1.8788379688000001E-5</v>
      </c>
      <c r="L39">
        <f t="shared" si="7"/>
        <v>1.5940482652975939E-5</v>
      </c>
      <c r="W39">
        <f t="shared" si="4"/>
        <v>-4.7405496834295224</v>
      </c>
      <c r="X39">
        <f t="shared" si="5"/>
        <v>-4.7261106718900523</v>
      </c>
    </row>
    <row r="40" spans="1:24" x14ac:dyDescent="0.2">
      <c r="A40" t="s">
        <v>13</v>
      </c>
      <c r="B40">
        <v>1.7555980106113982E-5</v>
      </c>
      <c r="C40">
        <v>1.8788379688000001E-5</v>
      </c>
      <c r="D40">
        <v>0</v>
      </c>
      <c r="E40">
        <v>1.8788379688000001E-5</v>
      </c>
      <c r="F40">
        <v>100</v>
      </c>
      <c r="G40">
        <v>1.0701982785601829</v>
      </c>
      <c r="I40" s="12" t="s">
        <v>26</v>
      </c>
      <c r="J40">
        <f t="shared" si="6"/>
        <v>2.2642611575811298</v>
      </c>
      <c r="K40">
        <f t="shared" si="8"/>
        <v>1.8788379688000001E-5</v>
      </c>
      <c r="L40">
        <f t="shared" si="7"/>
        <v>8.2977971092660056E-6</v>
      </c>
      <c r="W40">
        <f t="shared" si="4"/>
        <v>-4.7555749199556709</v>
      </c>
      <c r="X40">
        <f t="shared" si="5"/>
        <v>-4.7261106718900523</v>
      </c>
    </row>
    <row r="41" spans="1:24" x14ac:dyDescent="0.2">
      <c r="A41" t="s">
        <v>24</v>
      </c>
      <c r="B41">
        <v>1.5940482652975939E-5</v>
      </c>
      <c r="C41">
        <v>1.8788379688000001E-5</v>
      </c>
      <c r="D41">
        <v>0</v>
      </c>
      <c r="E41">
        <v>1.8788379688000001E-5</v>
      </c>
      <c r="F41">
        <v>100</v>
      </c>
      <c r="G41">
        <v>1.1786581433588139</v>
      </c>
      <c r="I41" s="11" t="s">
        <v>12</v>
      </c>
      <c r="J41">
        <f t="shared" si="6"/>
        <v>0.92854806613634255</v>
      </c>
      <c r="K41">
        <f t="shared" si="8"/>
        <v>1.8788379688000001E-5</v>
      </c>
      <c r="L41">
        <f t="shared" si="7"/>
        <v>2.023414874598557E-5</v>
      </c>
      <c r="S41" s="16" t="s">
        <v>372</v>
      </c>
      <c r="W41">
        <f t="shared" si="4"/>
        <v>-4.7974985329806401</v>
      </c>
      <c r="X41">
        <f t="shared" si="5"/>
        <v>-4.7261106718900523</v>
      </c>
    </row>
    <row r="42" spans="1:24" x14ac:dyDescent="0.2">
      <c r="A42" t="s">
        <v>19</v>
      </c>
      <c r="B42">
        <v>1.8503497250297242E-5</v>
      </c>
      <c r="C42">
        <v>1.8788379688000001E-5</v>
      </c>
      <c r="D42">
        <v>0</v>
      </c>
      <c r="E42">
        <v>1.8788379688000001E-5</v>
      </c>
      <c r="F42">
        <v>100</v>
      </c>
      <c r="G42">
        <v>1.015396140191724</v>
      </c>
      <c r="I42" s="12" t="s">
        <v>14</v>
      </c>
      <c r="J42">
        <f t="shared" si="6"/>
        <v>0.73437070489880873</v>
      </c>
      <c r="K42">
        <f t="shared" si="8"/>
        <v>1.8788379688000001E-5</v>
      </c>
      <c r="L42">
        <f t="shared" si="7"/>
        <v>2.5584326230154989E-5</v>
      </c>
      <c r="S42" s="16"/>
      <c r="W42">
        <f t="shared" si="4"/>
        <v>-4.7327461800854635</v>
      </c>
      <c r="X42">
        <f t="shared" si="5"/>
        <v>-4.7261106718900523</v>
      </c>
    </row>
    <row r="43" spans="1:24" x14ac:dyDescent="0.2">
      <c r="A43" t="s">
        <v>29</v>
      </c>
      <c r="B43">
        <v>1.7153835017132889E-5</v>
      </c>
      <c r="C43">
        <v>1.8788379688000001E-5</v>
      </c>
      <c r="D43">
        <v>0</v>
      </c>
      <c r="E43">
        <v>1.8788379688000001E-5</v>
      </c>
      <c r="F43">
        <v>100</v>
      </c>
      <c r="G43">
        <v>1.0952874193575119</v>
      </c>
      <c r="I43" s="11" t="s">
        <v>25</v>
      </c>
      <c r="J43">
        <f t="shared" si="6"/>
        <v>0.5068587818862923</v>
      </c>
      <c r="K43">
        <f t="shared" si="8"/>
        <v>1.8788379688000001E-5</v>
      </c>
      <c r="L43">
        <f t="shared" si="7"/>
        <v>3.7068272977491683E-5</v>
      </c>
      <c r="S43" s="16"/>
      <c r="W43">
        <f t="shared" si="4"/>
        <v>-4.7656387712137924</v>
      </c>
      <c r="X43">
        <f t="shared" si="5"/>
        <v>-4.7261106718900523</v>
      </c>
    </row>
    <row r="44" spans="1:24" x14ac:dyDescent="0.2">
      <c r="A44" t="s">
        <v>41</v>
      </c>
      <c r="B44">
        <v>2.0066830609458499E-5</v>
      </c>
      <c r="C44">
        <v>1.8788379688000001E-5</v>
      </c>
      <c r="D44">
        <v>0</v>
      </c>
      <c r="E44">
        <v>1.8788379688000001E-5</v>
      </c>
      <c r="F44">
        <v>100</v>
      </c>
      <c r="G44">
        <v>0.93629034169173198</v>
      </c>
      <c r="I44" s="12" t="s">
        <v>38</v>
      </c>
      <c r="J44">
        <f t="shared" si="6"/>
        <v>1.3255181760813199</v>
      </c>
      <c r="K44">
        <f t="shared" si="8"/>
        <v>1.8788379688000001E-5</v>
      </c>
      <c r="L44">
        <f t="shared" si="7"/>
        <v>1.4174365940076971E-5</v>
      </c>
      <c r="W44">
        <f t="shared" si="4"/>
        <v>-4.6975212153309913</v>
      </c>
      <c r="X44">
        <f t="shared" si="5"/>
        <v>-4.7261106718900523</v>
      </c>
    </row>
    <row r="45" spans="1:24" x14ac:dyDescent="0.2">
      <c r="A45" t="s">
        <v>38</v>
      </c>
      <c r="B45">
        <v>1.4174365940076971E-5</v>
      </c>
      <c r="C45">
        <v>1.8788379688000001E-5</v>
      </c>
      <c r="D45">
        <v>0</v>
      </c>
      <c r="E45">
        <v>1.8788379688000001E-5</v>
      </c>
      <c r="F45">
        <v>100</v>
      </c>
      <c r="G45">
        <v>1.3255181760813199</v>
      </c>
      <c r="I45" s="11" t="s">
        <v>59</v>
      </c>
      <c r="J45">
        <f t="shared" si="6"/>
        <v>0.46022831923621188</v>
      </c>
      <c r="K45">
        <f t="shared" si="8"/>
        <v>1.8788379688000001E-5</v>
      </c>
      <c r="L45">
        <f t="shared" si="7"/>
        <v>4.0824040813439983E-5</v>
      </c>
      <c r="W45">
        <f t="shared" si="4"/>
        <v>-4.848496359234681</v>
      </c>
      <c r="X45">
        <f t="shared" si="5"/>
        <v>-4.7261106718900523</v>
      </c>
    </row>
    <row r="46" spans="1:24" x14ac:dyDescent="0.2">
      <c r="A46" t="s">
        <v>26</v>
      </c>
      <c r="B46">
        <v>8.2977971092660056E-6</v>
      </c>
      <c r="C46">
        <v>1.8788379688000001E-5</v>
      </c>
      <c r="D46">
        <v>0</v>
      </c>
      <c r="E46">
        <v>1.8788379688000001E-5</v>
      </c>
      <c r="F46">
        <v>100</v>
      </c>
      <c r="G46">
        <v>2.2642611575811298</v>
      </c>
      <c r="I46" s="12" t="s">
        <v>48</v>
      </c>
      <c r="J46">
        <f t="shared" si="6"/>
        <v>1.5619952615226851</v>
      </c>
      <c r="K46">
        <f t="shared" si="8"/>
        <v>1.8788379688000001E-5</v>
      </c>
      <c r="L46">
        <f t="shared" si="7"/>
        <v>1.20284485816458E-5</v>
      </c>
      <c r="S46" s="16" t="s">
        <v>373</v>
      </c>
      <c r="W46">
        <f t="shared" si="4"/>
        <v>-5.0810371883794776</v>
      </c>
      <c r="X46">
        <f t="shared" si="5"/>
        <v>-4.7261106718900523</v>
      </c>
    </row>
    <row r="47" spans="1:24" x14ac:dyDescent="0.2">
      <c r="A47" t="s">
        <v>25</v>
      </c>
      <c r="B47">
        <v>3.7068272977491683E-5</v>
      </c>
      <c r="C47">
        <v>1.8788379688000001E-5</v>
      </c>
      <c r="D47">
        <v>0</v>
      </c>
      <c r="E47">
        <v>1.8788379688000001E-5</v>
      </c>
      <c r="F47">
        <v>100</v>
      </c>
      <c r="G47">
        <v>0.5068587818862923</v>
      </c>
      <c r="I47" s="11" t="s">
        <v>40</v>
      </c>
      <c r="J47">
        <f t="shared" si="6"/>
        <v>0.83753231673822304</v>
      </c>
      <c r="K47">
        <f t="shared" si="8"/>
        <v>1.8788379688000001E-5</v>
      </c>
      <c r="L47">
        <f t="shared" si="7"/>
        <v>2.243302056829462E-5</v>
      </c>
      <c r="S47" s="16"/>
      <c r="W47">
        <f t="shared" si="4"/>
        <v>-4.4309976474157402</v>
      </c>
      <c r="X47">
        <f t="shared" si="5"/>
        <v>-4.7261106718900523</v>
      </c>
    </row>
    <row r="48" spans="1:24" x14ac:dyDescent="0.2">
      <c r="A48" t="s">
        <v>46</v>
      </c>
      <c r="B48">
        <v>0</v>
      </c>
      <c r="C48">
        <v>1.8788379688000001E-5</v>
      </c>
      <c r="D48">
        <v>0</v>
      </c>
      <c r="E48">
        <v>1.8788379688000001E-5</v>
      </c>
      <c r="F48">
        <v>100</v>
      </c>
      <c r="G48" t="s">
        <v>47</v>
      </c>
      <c r="I48" s="12" t="s">
        <v>41</v>
      </c>
      <c r="J48">
        <f t="shared" si="6"/>
        <v>0.93629034169173198</v>
      </c>
      <c r="K48">
        <f t="shared" si="8"/>
        <v>1.8788379688000001E-5</v>
      </c>
      <c r="L48">
        <f t="shared" si="7"/>
        <v>2.0066830609458499E-5</v>
      </c>
      <c r="S48" s="16"/>
      <c r="W48" t="e">
        <f t="shared" si="4"/>
        <v>#NUM!</v>
      </c>
      <c r="X48">
        <f t="shared" si="5"/>
        <v>-4.7261106718900523</v>
      </c>
    </row>
    <row r="49" spans="1:24" x14ac:dyDescent="0.2">
      <c r="A49" t="s">
        <v>408</v>
      </c>
      <c r="B49">
        <v>3.1141859353631277E-5</v>
      </c>
      <c r="C49">
        <v>1.8788379688000001E-5</v>
      </c>
      <c r="D49">
        <v>0</v>
      </c>
      <c r="E49">
        <v>1.8788379688000001E-5</v>
      </c>
      <c r="F49">
        <v>100</v>
      </c>
      <c r="G49">
        <v>0.60331592518765875</v>
      </c>
      <c r="I49" s="11" t="s">
        <v>42</v>
      </c>
      <c r="J49">
        <f t="shared" si="6"/>
        <v>4.6708528864284746</v>
      </c>
      <c r="K49">
        <f t="shared" si="8"/>
        <v>1.8788379688000001E-5</v>
      </c>
      <c r="L49">
        <f t="shared" si="7"/>
        <v>4.0224730139951734E-6</v>
      </c>
      <c r="S49" s="16"/>
      <c r="W49">
        <f t="shared" si="4"/>
        <v>-4.5066554610384504</v>
      </c>
      <c r="X49">
        <f t="shared" si="5"/>
        <v>-4.7261106718900523</v>
      </c>
    </row>
    <row r="50" spans="1:24" x14ac:dyDescent="0.2">
      <c r="A50" t="s">
        <v>49</v>
      </c>
      <c r="B50">
        <v>1.017747470025709E-5</v>
      </c>
      <c r="C50">
        <v>1.8788379688000001E-5</v>
      </c>
      <c r="D50">
        <v>0</v>
      </c>
      <c r="E50">
        <v>1.8788379688000001E-5</v>
      </c>
      <c r="F50">
        <v>100</v>
      </c>
      <c r="G50">
        <v>1.8460748114191221</v>
      </c>
      <c r="I50" s="12" t="s">
        <v>43</v>
      </c>
      <c r="J50">
        <f t="shared" si="6"/>
        <v>1.03380591226592</v>
      </c>
      <c r="K50">
        <f t="shared" si="8"/>
        <v>1.8788379688000001E-5</v>
      </c>
      <c r="L50">
        <f t="shared" si="7"/>
        <v>1.8173991331524889E-5</v>
      </c>
      <c r="W50">
        <f t="shared" si="4"/>
        <v>-4.9923599685410363</v>
      </c>
      <c r="X50">
        <f t="shared" si="5"/>
        <v>-4.7261106718900523</v>
      </c>
    </row>
    <row r="51" spans="1:24" x14ac:dyDescent="0.2">
      <c r="A51" t="s">
        <v>50</v>
      </c>
      <c r="B51">
        <v>3.0281026626162721E-5</v>
      </c>
      <c r="C51">
        <v>1.8788379688000001E-5</v>
      </c>
      <c r="D51">
        <v>0</v>
      </c>
      <c r="E51">
        <v>1.8788379688000001E-5</v>
      </c>
      <c r="F51">
        <v>100</v>
      </c>
      <c r="G51">
        <v>0.62046706407790342</v>
      </c>
      <c r="I51" s="11" t="s">
        <v>44</v>
      </c>
      <c r="J51">
        <f t="shared" si="6"/>
        <v>1.0268950073740131</v>
      </c>
      <c r="K51">
        <f t="shared" si="8"/>
        <v>1.8788379688000001E-5</v>
      </c>
      <c r="L51">
        <f t="shared" si="7"/>
        <v>1.8296300549796079E-5</v>
      </c>
      <c r="W51">
        <f t="shared" si="4"/>
        <v>-4.5188294049143911</v>
      </c>
      <c r="X51">
        <f t="shared" si="5"/>
        <v>-4.7261106718900523</v>
      </c>
    </row>
    <row r="52" spans="1:24" x14ac:dyDescent="0.2">
      <c r="A52" t="s">
        <v>14</v>
      </c>
      <c r="B52">
        <v>2.5584326230154989E-5</v>
      </c>
      <c r="C52">
        <v>1.8788379688000001E-5</v>
      </c>
      <c r="D52">
        <v>0</v>
      </c>
      <c r="E52">
        <v>1.8788379688000001E-5</v>
      </c>
      <c r="F52">
        <v>100</v>
      </c>
      <c r="G52">
        <v>0.73437070489880873</v>
      </c>
      <c r="I52" s="12" t="s">
        <v>45</v>
      </c>
      <c r="J52">
        <f t="shared" si="6"/>
        <v>0.77609174147378601</v>
      </c>
      <c r="K52">
        <f t="shared" si="8"/>
        <v>1.8788379688000001E-5</v>
      </c>
      <c r="L52">
        <f t="shared" si="7"/>
        <v>2.4208967424806201E-5</v>
      </c>
      <c r="W52">
        <f t="shared" si="4"/>
        <v>-4.5920260157987141</v>
      </c>
      <c r="X52">
        <f t="shared" si="5"/>
        <v>-4.7261106718900523</v>
      </c>
    </row>
    <row r="53" spans="1:24" x14ac:dyDescent="0.2">
      <c r="A53" t="s">
        <v>51</v>
      </c>
      <c r="B53">
        <v>1.8709665821546599E-5</v>
      </c>
      <c r="C53">
        <v>1.8788379688000001E-5</v>
      </c>
      <c r="D53">
        <v>0</v>
      </c>
      <c r="E53">
        <v>1.8788379688000001E-5</v>
      </c>
      <c r="F53">
        <v>100</v>
      </c>
      <c r="G53">
        <v>1.004207123056295</v>
      </c>
      <c r="I53" s="11" t="s">
        <v>53</v>
      </c>
      <c r="J53">
        <f t="shared" si="6"/>
        <v>2.583528174317697</v>
      </c>
      <c r="K53">
        <f t="shared" si="8"/>
        <v>1.8788379688000001E-5</v>
      </c>
      <c r="L53">
        <f t="shared" si="7"/>
        <v>7.2723726703549367E-6</v>
      </c>
      <c r="W53">
        <f t="shared" si="4"/>
        <v>-4.7279339694831215</v>
      </c>
      <c r="X53">
        <f t="shared" si="5"/>
        <v>-4.7261106718900523</v>
      </c>
    </row>
    <row r="54" spans="1:24" x14ac:dyDescent="0.2">
      <c r="A54" t="s">
        <v>52</v>
      </c>
      <c r="B54">
        <v>2.3553569790335719E-5</v>
      </c>
      <c r="C54">
        <v>1.8788379688000001E-5</v>
      </c>
      <c r="D54">
        <v>0</v>
      </c>
      <c r="E54">
        <v>1.8788379688000001E-5</v>
      </c>
      <c r="F54">
        <v>100</v>
      </c>
      <c r="G54">
        <v>0.79768713852067863</v>
      </c>
      <c r="I54" s="12" t="s">
        <v>55</v>
      </c>
      <c r="J54">
        <f t="shared" si="6"/>
        <v>2.3656285994712611</v>
      </c>
      <c r="K54">
        <f t="shared" si="8"/>
        <v>1.8788379688000001E-5</v>
      </c>
      <c r="L54">
        <f t="shared" si="7"/>
        <v>7.9422356037627257E-6</v>
      </c>
      <c r="S54" s="16" t="s">
        <v>374</v>
      </c>
      <c r="W54">
        <f t="shared" si="4"/>
        <v>-4.627943261666581</v>
      </c>
      <c r="X54">
        <f t="shared" si="5"/>
        <v>-4.7261106718900523</v>
      </c>
    </row>
    <row r="55" spans="1:24" x14ac:dyDescent="0.2">
      <c r="A55" t="s">
        <v>54</v>
      </c>
      <c r="B55">
        <v>1.9888491439317389E-5</v>
      </c>
      <c r="C55">
        <v>1.8788379688000001E-5</v>
      </c>
      <c r="D55">
        <v>0</v>
      </c>
      <c r="E55">
        <v>1.8788379688000001E-5</v>
      </c>
      <c r="F55">
        <v>100</v>
      </c>
      <c r="G55">
        <v>0.94468601328190305</v>
      </c>
      <c r="I55" s="11" t="s">
        <v>56</v>
      </c>
      <c r="J55">
        <f t="shared" si="6"/>
        <v>0.7774712964878856</v>
      </c>
      <c r="K55">
        <f t="shared" si="8"/>
        <v>1.8788379688000001E-5</v>
      </c>
      <c r="L55">
        <f t="shared" si="7"/>
        <v>2.4166010723320329E-5</v>
      </c>
      <c r="S55" s="16"/>
      <c r="W55">
        <f t="shared" si="4"/>
        <v>-4.7013981572690628</v>
      </c>
      <c r="X55">
        <f t="shared" si="5"/>
        <v>-4.7261106718900523</v>
      </c>
    </row>
    <row r="56" spans="1:24" x14ac:dyDescent="0.2">
      <c r="A56" t="s">
        <v>57</v>
      </c>
      <c r="B56">
        <v>2.1265809535522229E-5</v>
      </c>
      <c r="C56">
        <v>1.8788379688000001E-5</v>
      </c>
      <c r="D56">
        <v>0</v>
      </c>
      <c r="E56">
        <v>1.8788379688000001E-5</v>
      </c>
      <c r="F56">
        <v>100</v>
      </c>
      <c r="G56">
        <v>0.8835017381593705</v>
      </c>
      <c r="I56" s="12" t="s">
        <v>58</v>
      </c>
      <c r="J56">
        <f t="shared" si="6"/>
        <v>1.619863631594836</v>
      </c>
      <c r="K56">
        <f t="shared" si="8"/>
        <v>1.8788379688000001E-5</v>
      </c>
      <c r="L56">
        <f t="shared" si="7"/>
        <v>1.159874159869983E-5</v>
      </c>
      <c r="S56" s="16"/>
      <c r="W56">
        <f t="shared" si="4"/>
        <v>-4.6723180801440183</v>
      </c>
      <c r="X56">
        <f t="shared" si="5"/>
        <v>-4.7261106718900523</v>
      </c>
    </row>
    <row r="57" spans="1:24" x14ac:dyDescent="0.2">
      <c r="A57" t="s">
        <v>12</v>
      </c>
      <c r="B57">
        <v>2.023414874598557E-5</v>
      </c>
      <c r="C57">
        <v>1.8788379688000001E-5</v>
      </c>
      <c r="D57">
        <v>0</v>
      </c>
      <c r="E57">
        <v>1.8788379688000001E-5</v>
      </c>
      <c r="F57">
        <v>100</v>
      </c>
      <c r="G57">
        <v>0.92854806613634255</v>
      </c>
      <c r="I57" s="11" t="s">
        <v>61</v>
      </c>
      <c r="J57">
        <f t="shared" si="6"/>
        <v>0.69649451739874801</v>
      </c>
      <c r="K57">
        <f t="shared" si="8"/>
        <v>1.8788379688000001E-5</v>
      </c>
      <c r="L57">
        <f t="shared" si="7"/>
        <v>2.6975631851590762E-5</v>
      </c>
      <c r="W57">
        <f t="shared" si="4"/>
        <v>-4.6939150617294256</v>
      </c>
      <c r="X57">
        <f t="shared" si="5"/>
        <v>-4.7261106718900523</v>
      </c>
    </row>
    <row r="58" spans="1:24" x14ac:dyDescent="0.2">
      <c r="A58" t="s">
        <v>60</v>
      </c>
      <c r="B58">
        <v>9.9514291476037482E-6</v>
      </c>
      <c r="C58">
        <v>1.8788379688000001E-5</v>
      </c>
      <c r="D58">
        <v>0</v>
      </c>
      <c r="E58">
        <v>1.8788379688000001E-5</v>
      </c>
      <c r="F58">
        <v>100</v>
      </c>
      <c r="G58">
        <v>1.888008185490035</v>
      </c>
      <c r="I58" s="12" t="s">
        <v>39</v>
      </c>
      <c r="J58">
        <f t="shared" si="6"/>
        <v>0.76745028262889747</v>
      </c>
      <c r="K58">
        <f t="shared" si="8"/>
        <v>1.8788379688000001E-5</v>
      </c>
      <c r="L58">
        <f t="shared" si="7"/>
        <v>2.448155940947796E-5</v>
      </c>
      <c r="S58" s="3" t="s">
        <v>375</v>
      </c>
      <c r="W58">
        <f t="shared" si="4"/>
        <v>-5.0021145447469371</v>
      </c>
      <c r="X58">
        <f t="shared" si="5"/>
        <v>-4.7261106718900523</v>
      </c>
    </row>
    <row r="59" spans="1:24" x14ac:dyDescent="0.2">
      <c r="A59" t="s">
        <v>37</v>
      </c>
      <c r="B59">
        <v>1.970975696184218E-5</v>
      </c>
      <c r="C59">
        <v>1.8788379688000001E-5</v>
      </c>
      <c r="D59">
        <v>0</v>
      </c>
      <c r="E59">
        <v>1.8788379688000001E-5</v>
      </c>
      <c r="F59">
        <v>100</v>
      </c>
      <c r="G59">
        <v>0.95325273286596313</v>
      </c>
      <c r="I59" s="11" t="s">
        <v>36</v>
      </c>
      <c r="J59">
        <f t="shared" si="6"/>
        <v>6.3274638036870563</v>
      </c>
      <c r="K59">
        <f t="shared" si="8"/>
        <v>1.8788379688000001E-5</v>
      </c>
      <c r="L59">
        <f t="shared" si="7"/>
        <v>2.9693381536298769E-6</v>
      </c>
      <c r="W59">
        <f t="shared" si="4"/>
        <v>-4.7053187309098812</v>
      </c>
      <c r="X59">
        <f t="shared" si="5"/>
        <v>-4.7261106718900523</v>
      </c>
    </row>
    <row r="60" spans="1:24" x14ac:dyDescent="0.2">
      <c r="A60" t="s">
        <v>53</v>
      </c>
      <c r="B60">
        <v>7.2723726703549367E-6</v>
      </c>
      <c r="C60">
        <v>1.8788379688000001E-5</v>
      </c>
      <c r="D60">
        <v>0</v>
      </c>
      <c r="E60">
        <v>1.8788379688000001E-5</v>
      </c>
      <c r="F60">
        <v>100</v>
      </c>
      <c r="G60">
        <v>2.583528174317697</v>
      </c>
      <c r="I60" s="12" t="s">
        <v>21</v>
      </c>
      <c r="J60">
        <f t="shared" si="6"/>
        <v>0.53905578681014765</v>
      </c>
      <c r="K60">
        <f t="shared" si="8"/>
        <v>1.8788379688000001E-5</v>
      </c>
      <c r="L60">
        <f t="shared" si="7"/>
        <v>3.4854239853689131E-5</v>
      </c>
      <c r="W60">
        <f t="shared" si="4"/>
        <v>-5.1383238739373942</v>
      </c>
      <c r="X60">
        <f t="shared" si="5"/>
        <v>-4.7261106718900523</v>
      </c>
    </row>
    <row r="61" spans="1:24" x14ac:dyDescent="0.2">
      <c r="A61" t="s">
        <v>18</v>
      </c>
      <c r="B61">
        <v>1.5432907206250031E-5</v>
      </c>
      <c r="C61">
        <v>1.8788379688000001E-5</v>
      </c>
      <c r="D61">
        <v>0</v>
      </c>
      <c r="E61">
        <v>1.8788379688000001E-5</v>
      </c>
      <c r="F61">
        <v>100</v>
      </c>
      <c r="G61">
        <v>1.2174232266744309</v>
      </c>
      <c r="I61" s="11" t="s">
        <v>20</v>
      </c>
      <c r="J61">
        <f t="shared" si="6"/>
        <v>0.78226366699019856</v>
      </c>
      <c r="K61">
        <f t="shared" si="8"/>
        <v>1.8788379688000001E-5</v>
      </c>
      <c r="L61">
        <f t="shared" si="7"/>
        <v>2.4017962844023299E-5</v>
      </c>
      <c r="S61" s="16" t="s">
        <v>376</v>
      </c>
      <c r="W61">
        <f t="shared" si="4"/>
        <v>-4.8115522550966858</v>
      </c>
      <c r="X61">
        <f t="shared" si="5"/>
        <v>-4.7261106718900523</v>
      </c>
    </row>
    <row r="62" spans="1:24" x14ac:dyDescent="0.2">
      <c r="A62" t="s">
        <v>15</v>
      </c>
      <c r="B62">
        <v>2.5367036090936612E-5</v>
      </c>
      <c r="C62">
        <v>1.8788379688000001E-5</v>
      </c>
      <c r="D62">
        <v>0</v>
      </c>
      <c r="E62">
        <v>1.8788379688000001E-5</v>
      </c>
      <c r="F62">
        <v>100</v>
      </c>
      <c r="G62">
        <v>0.74066121168617349</v>
      </c>
      <c r="I62" s="12" t="s">
        <v>19</v>
      </c>
      <c r="J62">
        <f t="shared" si="6"/>
        <v>1.015396140191724</v>
      </c>
      <c r="K62">
        <f t="shared" si="8"/>
        <v>1.8788379688000001E-5</v>
      </c>
      <c r="L62">
        <f t="shared" si="7"/>
        <v>1.8503497250297242E-5</v>
      </c>
      <c r="S62" s="16"/>
      <c r="W62">
        <f t="shared" si="4"/>
        <v>-4.5957302732019016</v>
      </c>
      <c r="X62">
        <f t="shared" si="5"/>
        <v>-4.7261106718900523</v>
      </c>
    </row>
    <row r="63" spans="1:24" x14ac:dyDescent="0.2">
      <c r="A63" t="s">
        <v>59</v>
      </c>
      <c r="B63">
        <v>4.0824040813439983E-5</v>
      </c>
      <c r="C63">
        <v>1.8788379688000001E-5</v>
      </c>
      <c r="D63">
        <v>0</v>
      </c>
      <c r="E63">
        <v>1.8788379688000001E-5</v>
      </c>
      <c r="F63">
        <v>100</v>
      </c>
      <c r="G63">
        <v>0.46022831923621188</v>
      </c>
      <c r="I63" s="11" t="s">
        <v>11</v>
      </c>
      <c r="J63">
        <f t="shared" si="6"/>
        <v>1.312486346082349</v>
      </c>
      <c r="K63">
        <f t="shared" si="8"/>
        <v>1.8788379688000001E-5</v>
      </c>
      <c r="L63">
        <f t="shared" si="7"/>
        <v>1.431510487258141E-5</v>
      </c>
      <c r="W63">
        <f t="shared" si="4"/>
        <v>-4.3890840104938995</v>
      </c>
      <c r="X63">
        <f t="shared" si="5"/>
        <v>-4.7261106718900523</v>
      </c>
    </row>
    <row r="64" spans="1:24" x14ac:dyDescent="0.2">
      <c r="A64" t="s">
        <v>28</v>
      </c>
      <c r="B64">
        <v>1.164491927639474E-5</v>
      </c>
      <c r="C64">
        <v>1.8788379688000001E-5</v>
      </c>
      <c r="D64">
        <v>0</v>
      </c>
      <c r="E64">
        <v>1.8788379688000001E-5</v>
      </c>
      <c r="F64">
        <v>100</v>
      </c>
      <c r="G64">
        <v>1.6134400970975959</v>
      </c>
      <c r="I64" s="12" t="s">
        <v>17</v>
      </c>
      <c r="J64">
        <f t="shared" si="6"/>
        <v>0.56131135312204505</v>
      </c>
      <c r="K64">
        <f t="shared" si="8"/>
        <v>1.8788379688000001E-5</v>
      </c>
      <c r="L64">
        <f t="shared" si="7"/>
        <v>3.347229587197548E-5</v>
      </c>
      <c r="S64" s="3" t="s">
        <v>377</v>
      </c>
      <c r="W64">
        <f t="shared" si="4"/>
        <v>-4.9338635176864356</v>
      </c>
      <c r="X64">
        <f t="shared" si="5"/>
        <v>-4.7261106718900523</v>
      </c>
    </row>
    <row r="65" spans="1:24" x14ac:dyDescent="0.2">
      <c r="A65" t="s">
        <v>22</v>
      </c>
      <c r="B65">
        <v>1.8491563183537081E-5</v>
      </c>
      <c r="C65">
        <v>1.8788379688000001E-5</v>
      </c>
      <c r="D65">
        <v>0</v>
      </c>
      <c r="E65">
        <v>1.8788379688000001E-5</v>
      </c>
      <c r="F65">
        <v>100</v>
      </c>
      <c r="G65">
        <v>1.016051455548505</v>
      </c>
      <c r="I65" s="11" t="s">
        <v>27</v>
      </c>
      <c r="J65">
        <f t="shared" si="6"/>
        <v>1.2286199853091959</v>
      </c>
      <c r="K65">
        <f t="shared" si="8"/>
        <v>1.8788379688000001E-5</v>
      </c>
      <c r="L65">
        <f t="shared" si="7"/>
        <v>1.5292262792934869E-5</v>
      </c>
      <c r="W65">
        <f t="shared" si="4"/>
        <v>-4.7330263742227139</v>
      </c>
      <c r="X65">
        <f t="shared" si="5"/>
        <v>-4.7261106718900523</v>
      </c>
    </row>
    <row r="66" spans="1:24" x14ac:dyDescent="0.2">
      <c r="A66" t="s">
        <v>48</v>
      </c>
      <c r="B66">
        <v>1.20284485816458E-5</v>
      </c>
      <c r="C66">
        <v>1.8788379688000001E-5</v>
      </c>
      <c r="D66">
        <v>0</v>
      </c>
      <c r="E66">
        <v>1.8788379688000001E-5</v>
      </c>
      <c r="F66">
        <v>100</v>
      </c>
      <c r="G66">
        <v>1.5619952615226851</v>
      </c>
      <c r="I66" s="12" t="s">
        <v>63</v>
      </c>
      <c r="J66">
        <f t="shared" si="6"/>
        <v>0.40898130986671821</v>
      </c>
      <c r="K66">
        <f t="shared" si="8"/>
        <v>1.8788379688000001E-5</v>
      </c>
      <c r="L66">
        <f t="shared" si="7"/>
        <v>4.5939457952547752E-5</v>
      </c>
      <c r="W66">
        <f t="shared" si="4"/>
        <v>-4.9197903839552311</v>
      </c>
      <c r="X66">
        <f t="shared" si="5"/>
        <v>-4.7261106718900523</v>
      </c>
    </row>
    <row r="67" spans="1:24" x14ac:dyDescent="0.2">
      <c r="A67" t="s">
        <v>70</v>
      </c>
      <c r="B67">
        <v>1.8054445909907452E-5</v>
      </c>
      <c r="C67">
        <v>1.8120454927000001E-5</v>
      </c>
      <c r="D67">
        <v>0</v>
      </c>
      <c r="E67">
        <v>1.8120454927000001E-5</v>
      </c>
      <c r="F67">
        <v>100</v>
      </c>
      <c r="G67">
        <v>1.0036561087181479</v>
      </c>
      <c r="I67" s="11" t="s">
        <v>62</v>
      </c>
      <c r="J67">
        <f t="shared" si="6"/>
        <v>2.042888752853727</v>
      </c>
      <c r="K67">
        <f t="shared" si="8"/>
        <v>1.8788379688000001E-5</v>
      </c>
      <c r="L67">
        <f t="shared" si="7"/>
        <v>9.1969666296093531E-6</v>
      </c>
      <c r="S67" s="3" t="s">
        <v>378</v>
      </c>
      <c r="W67">
        <f t="shared" ref="W67:W130" si="9">LOG(B67)</f>
        <v>-4.7434158355097784</v>
      </c>
      <c r="X67">
        <f t="shared" ref="X67:X130" si="10">LOG(C67)</f>
        <v>-4.7418309032482977</v>
      </c>
    </row>
    <row r="68" spans="1:24" x14ac:dyDescent="0.2">
      <c r="A68" t="s">
        <v>69</v>
      </c>
      <c r="B68">
        <v>1.0516543579352531E-5</v>
      </c>
      <c r="C68">
        <v>1.802723182E-5</v>
      </c>
      <c r="D68">
        <v>0</v>
      </c>
      <c r="E68">
        <v>1.802723182E-5</v>
      </c>
      <c r="F68">
        <v>100</v>
      </c>
      <c r="G68">
        <v>1.7141783974911149</v>
      </c>
      <c r="I68" s="12" t="s">
        <v>23</v>
      </c>
      <c r="J68">
        <f t="shared" si="6"/>
        <v>0.77849826362267438</v>
      </c>
      <c r="K68">
        <f t="shared" si="8"/>
        <v>1.8788379688000001E-5</v>
      </c>
      <c r="L68">
        <f t="shared" si="7"/>
        <v>2.4134131784147979E-5</v>
      </c>
      <c r="W68">
        <f t="shared" si="9"/>
        <v>-4.978126974162091</v>
      </c>
      <c r="X68">
        <f t="shared" si="10"/>
        <v>-4.7440709564499102</v>
      </c>
    </row>
    <row r="69" spans="1:24" x14ac:dyDescent="0.2">
      <c r="A69" t="s">
        <v>76</v>
      </c>
      <c r="B69">
        <v>3.4334803678130349E-7</v>
      </c>
      <c r="C69">
        <v>1.7210532237E-5</v>
      </c>
      <c r="D69">
        <v>0</v>
      </c>
      <c r="E69">
        <v>1.7210532237E-5</v>
      </c>
      <c r="F69">
        <v>100</v>
      </c>
      <c r="G69">
        <v>50.125617138630368</v>
      </c>
      <c r="I69" s="11" t="s">
        <v>35</v>
      </c>
      <c r="J69">
        <f t="shared" ref="J69:J89" si="11">_xlfn.XLOOKUP(I69,A:A,G:G)</f>
        <v>1.111925402504585</v>
      </c>
      <c r="K69">
        <f t="shared" si="8"/>
        <v>1.8788379688000001E-5</v>
      </c>
      <c r="L69">
        <f t="shared" ref="L69:L89" si="12">_xlfn.XLOOKUP(I69,A:A,B:B)</f>
        <v>1.689715842958496E-5</v>
      </c>
      <c r="W69">
        <f t="shared" si="9"/>
        <v>-6.4642654315011265</v>
      </c>
      <c r="X69">
        <f t="shared" si="10"/>
        <v>-4.7642056988753447</v>
      </c>
    </row>
    <row r="70" spans="1:24" x14ac:dyDescent="0.2">
      <c r="A70" t="s">
        <v>71</v>
      </c>
      <c r="B70">
        <v>1.671617700498392E-5</v>
      </c>
      <c r="C70">
        <v>1.6777293165999999E-5</v>
      </c>
      <c r="D70">
        <v>0</v>
      </c>
      <c r="E70">
        <v>1.6777293165999999E-5</v>
      </c>
      <c r="F70">
        <v>100</v>
      </c>
      <c r="G70">
        <v>1.0036561087500959</v>
      </c>
      <c r="I70" s="12" t="s">
        <v>34</v>
      </c>
      <c r="J70">
        <f t="shared" si="11"/>
        <v>143.7350978514155</v>
      </c>
      <c r="K70">
        <f t="shared" si="8"/>
        <v>1.8788379688000001E-5</v>
      </c>
      <c r="L70">
        <f t="shared" si="12"/>
        <v>1.3071532262372181E-7</v>
      </c>
      <c r="S70" s="3" t="s">
        <v>379</v>
      </c>
      <c r="W70">
        <f t="shared" si="9"/>
        <v>-4.7768630388277185</v>
      </c>
      <c r="X70">
        <f t="shared" si="10"/>
        <v>-4.7752781065524132</v>
      </c>
    </row>
    <row r="71" spans="1:24" x14ac:dyDescent="0.2">
      <c r="A71" t="s">
        <v>72</v>
      </c>
      <c r="B71">
        <v>1.5788948042672241E-5</v>
      </c>
      <c r="C71">
        <v>1.5846674152999999E-5</v>
      </c>
      <c r="D71">
        <v>0</v>
      </c>
      <c r="E71">
        <v>1.5846674152999999E-5</v>
      </c>
      <c r="F71">
        <v>100</v>
      </c>
      <c r="G71">
        <v>1.0036561087015901</v>
      </c>
      <c r="I71" s="11" t="s">
        <v>33</v>
      </c>
      <c r="J71">
        <f t="shared" si="11"/>
        <v>0.94110373915994694</v>
      </c>
      <c r="K71">
        <f t="shared" si="8"/>
        <v>1.8788379688000001E-5</v>
      </c>
      <c r="L71">
        <f t="shared" si="12"/>
        <v>1.996419619453535E-5</v>
      </c>
      <c r="W71">
        <f t="shared" si="9"/>
        <v>-4.8016468044110665</v>
      </c>
      <c r="X71">
        <f t="shared" si="10"/>
        <v>-4.8000618721567507</v>
      </c>
    </row>
    <row r="72" spans="1:24" x14ac:dyDescent="0.2">
      <c r="A72" t="s">
        <v>75</v>
      </c>
      <c r="B72">
        <v>1.499112849077773E-5</v>
      </c>
      <c r="C72">
        <v>1.3983877159000001E-5</v>
      </c>
      <c r="D72">
        <v>0</v>
      </c>
      <c r="E72">
        <v>1.3983877159000001E-5</v>
      </c>
      <c r="F72">
        <v>100</v>
      </c>
      <c r="G72">
        <v>0.93281017287008294</v>
      </c>
      <c r="I72" s="12" t="s">
        <v>32</v>
      </c>
      <c r="J72">
        <f t="shared" si="11"/>
        <v>3.917880169946983</v>
      </c>
      <c r="K72">
        <f t="shared" si="8"/>
        <v>1.8788379688000001E-5</v>
      </c>
      <c r="L72">
        <f t="shared" si="12"/>
        <v>4.7955473044123879E-6</v>
      </c>
      <c r="S72" s="3" t="s">
        <v>380</v>
      </c>
      <c r="W72">
        <f t="shared" si="9"/>
        <v>-4.8241656734312004</v>
      </c>
      <c r="X72">
        <f t="shared" si="10"/>
        <v>-4.8543723997413348</v>
      </c>
    </row>
    <row r="73" spans="1:24" x14ac:dyDescent="0.2">
      <c r="A73" t="s">
        <v>77</v>
      </c>
      <c r="B73">
        <v>9.9146883481267862E-6</v>
      </c>
      <c r="C73">
        <v>1.1656345127E-5</v>
      </c>
      <c r="D73">
        <v>0</v>
      </c>
      <c r="E73">
        <v>1.1656345127E-5</v>
      </c>
      <c r="F73">
        <v>100</v>
      </c>
      <c r="G73">
        <v>1.175664299039946</v>
      </c>
      <c r="I73" s="11" t="s">
        <v>31</v>
      </c>
      <c r="J73">
        <f t="shared" si="11"/>
        <v>2.1883209853758312</v>
      </c>
      <c r="K73">
        <f t="shared" si="8"/>
        <v>1.8788379688000001E-5</v>
      </c>
      <c r="L73">
        <f t="shared" si="12"/>
        <v>8.5857512739490604E-6</v>
      </c>
      <c r="W73">
        <f t="shared" si="9"/>
        <v>-5.0037209325747671</v>
      </c>
      <c r="X73">
        <f t="shared" si="10"/>
        <v>-4.9334376022356068</v>
      </c>
    </row>
    <row r="74" spans="1:24" x14ac:dyDescent="0.2">
      <c r="A74" t="s">
        <v>79</v>
      </c>
      <c r="B74">
        <v>1.120256793450235E-5</v>
      </c>
      <c r="C74">
        <v>1.1202567931999999E-5</v>
      </c>
      <c r="D74">
        <v>0</v>
      </c>
      <c r="E74">
        <v>1.1202567931999999E-5</v>
      </c>
      <c r="F74">
        <v>100</v>
      </c>
      <c r="G74">
        <v>0.99999999977662724</v>
      </c>
      <c r="I74" s="12" t="s">
        <v>30</v>
      </c>
      <c r="J74">
        <f t="shared" si="11"/>
        <v>1.043815943761472</v>
      </c>
      <c r="K74">
        <f t="shared" si="8"/>
        <v>1.8788379688000001E-5</v>
      </c>
      <c r="L74">
        <f t="shared" si="12"/>
        <v>1.7999705599719628E-5</v>
      </c>
      <c r="W74">
        <f t="shared" si="9"/>
        <v>-4.9506824137626051</v>
      </c>
      <c r="X74">
        <f t="shared" si="10"/>
        <v>-4.9506824138596155</v>
      </c>
    </row>
    <row r="75" spans="1:24" x14ac:dyDescent="0.2">
      <c r="A75" t="s">
        <v>74</v>
      </c>
      <c r="B75">
        <v>7.2874614947283827E-6</v>
      </c>
      <c r="C75">
        <v>1.074044283E-5</v>
      </c>
      <c r="D75">
        <v>0</v>
      </c>
      <c r="E75">
        <v>1.074044283E-5</v>
      </c>
      <c r="F75">
        <v>100</v>
      </c>
      <c r="G75">
        <v>1.473824985253019</v>
      </c>
      <c r="I75" s="11" t="s">
        <v>29</v>
      </c>
      <c r="J75">
        <f t="shared" si="11"/>
        <v>1.0952874193575119</v>
      </c>
      <c r="K75">
        <f t="shared" si="8"/>
        <v>1.8788379688000001E-5</v>
      </c>
      <c r="L75">
        <f t="shared" si="12"/>
        <v>1.7153835017132889E-5</v>
      </c>
      <c r="S75" s="16" t="s">
        <v>381</v>
      </c>
      <c r="W75">
        <f t="shared" si="9"/>
        <v>-5.137423726939093</v>
      </c>
      <c r="X75">
        <f t="shared" si="10"/>
        <v>-4.968977812243474</v>
      </c>
    </row>
    <row r="76" spans="1:24" x14ac:dyDescent="0.2">
      <c r="A76" t="s">
        <v>84</v>
      </c>
      <c r="B76">
        <v>9.3609650129150653E-6</v>
      </c>
      <c r="C76">
        <v>1.0204623259E-5</v>
      </c>
      <c r="D76">
        <v>0</v>
      </c>
      <c r="E76">
        <v>1.0204623259E-5</v>
      </c>
      <c r="F76">
        <v>100</v>
      </c>
      <c r="G76">
        <v>1.090125136128697</v>
      </c>
      <c r="I76" s="12" t="s">
        <v>28</v>
      </c>
      <c r="J76">
        <f t="shared" si="11"/>
        <v>1.6134400970975959</v>
      </c>
      <c r="K76">
        <f t="shared" si="8"/>
        <v>1.8788379688000001E-5</v>
      </c>
      <c r="L76">
        <f t="shared" si="12"/>
        <v>1.164491927639474E-5</v>
      </c>
      <c r="S76" s="16"/>
      <c r="W76">
        <f t="shared" si="9"/>
        <v>-5.0286793779519652</v>
      </c>
      <c r="X76">
        <f t="shared" si="10"/>
        <v>-4.991203024221563</v>
      </c>
    </row>
    <row r="77" spans="1:24" x14ac:dyDescent="0.2">
      <c r="A77" t="s">
        <v>93</v>
      </c>
      <c r="B77">
        <v>9.9903708914870944E-6</v>
      </c>
      <c r="C77">
        <v>9.3340094800000004E-6</v>
      </c>
      <c r="D77">
        <v>0</v>
      </c>
      <c r="E77">
        <v>9.3340094800000004E-6</v>
      </c>
      <c r="F77">
        <v>100</v>
      </c>
      <c r="G77">
        <v>0.93430059618243133</v>
      </c>
      <c r="I77" s="11" t="s">
        <v>22</v>
      </c>
      <c r="J77">
        <f t="shared" si="11"/>
        <v>1.016051455548505</v>
      </c>
      <c r="K77">
        <f t="shared" si="8"/>
        <v>1.8788379688000001E-5</v>
      </c>
      <c r="L77">
        <f t="shared" si="12"/>
        <v>1.8491563183537081E-5</v>
      </c>
      <c r="S77" s="16"/>
      <c r="W77">
        <f t="shared" si="9"/>
        <v>-5.000418388336958</v>
      </c>
      <c r="X77">
        <f t="shared" si="10"/>
        <v>-5.0299317623634838</v>
      </c>
    </row>
    <row r="78" spans="1:24" x14ac:dyDescent="0.2">
      <c r="A78" t="s">
        <v>85</v>
      </c>
      <c r="B78">
        <v>1.028839772270428E-5</v>
      </c>
      <c r="C78">
        <v>9.2245889099999995E-6</v>
      </c>
      <c r="D78">
        <v>0</v>
      </c>
      <c r="E78">
        <v>9.2245889099999995E-6</v>
      </c>
      <c r="F78">
        <v>100</v>
      </c>
      <c r="G78">
        <v>0.89660111891313421</v>
      </c>
      <c r="I78" s="12" t="s">
        <v>15</v>
      </c>
      <c r="J78">
        <f t="shared" si="11"/>
        <v>0.74066121168617349</v>
      </c>
      <c r="K78">
        <f t="shared" si="8"/>
        <v>1.8788379688000001E-5</v>
      </c>
      <c r="L78">
        <f t="shared" si="12"/>
        <v>2.5367036090936612E-5</v>
      </c>
      <c r="W78">
        <f t="shared" si="9"/>
        <v>-4.9876522553999143</v>
      </c>
      <c r="X78">
        <f t="shared" si="10"/>
        <v>-5.035052978892117</v>
      </c>
    </row>
    <row r="79" spans="1:24" x14ac:dyDescent="0.2">
      <c r="A79" t="s">
        <v>81</v>
      </c>
      <c r="B79">
        <v>9.1019417352818277E-6</v>
      </c>
      <c r="C79">
        <v>9.1017013850000007E-6</v>
      </c>
      <c r="D79">
        <v>0</v>
      </c>
      <c r="E79">
        <v>9.1017013850000007E-6</v>
      </c>
      <c r="F79">
        <v>100</v>
      </c>
      <c r="G79">
        <v>0.99997359351566761</v>
      </c>
      <c r="I79" s="11" t="s">
        <v>18</v>
      </c>
      <c r="J79">
        <f t="shared" si="11"/>
        <v>1.2174232266744309</v>
      </c>
      <c r="K79">
        <f t="shared" si="8"/>
        <v>1.8788379688000001E-5</v>
      </c>
      <c r="L79">
        <f t="shared" si="12"/>
        <v>1.5432907206250031E-5</v>
      </c>
      <c r="W79">
        <f t="shared" si="9"/>
        <v>-5.0408659488918737</v>
      </c>
      <c r="X79">
        <f t="shared" si="10"/>
        <v>-5.0408774172337258</v>
      </c>
    </row>
    <row r="80" spans="1:24" x14ac:dyDescent="0.2">
      <c r="A80" t="s">
        <v>82</v>
      </c>
      <c r="B80">
        <v>9.0586173723182378E-6</v>
      </c>
      <c r="C80">
        <v>9.0933451080000004E-6</v>
      </c>
      <c r="D80">
        <v>0</v>
      </c>
      <c r="E80">
        <v>9.0933451080000004E-6</v>
      </c>
      <c r="F80">
        <v>100</v>
      </c>
      <c r="G80">
        <v>1.0038336684567211</v>
      </c>
      <c r="I80" s="12" t="s">
        <v>37</v>
      </c>
      <c r="J80">
        <f t="shared" si="11"/>
        <v>0.95325273286596313</v>
      </c>
      <c r="K80">
        <f t="shared" si="8"/>
        <v>1.8788379688000001E-5</v>
      </c>
      <c r="L80">
        <f t="shared" si="12"/>
        <v>1.970975696184218E-5</v>
      </c>
      <c r="S80" s="16" t="s">
        <v>382</v>
      </c>
      <c r="W80">
        <f t="shared" si="9"/>
        <v>-5.0429380841549118</v>
      </c>
      <c r="X80">
        <f t="shared" si="10"/>
        <v>-5.041276326381543</v>
      </c>
    </row>
    <row r="81" spans="1:24" x14ac:dyDescent="0.2">
      <c r="A81" t="s">
        <v>90</v>
      </c>
      <c r="B81">
        <v>5.6546673886133104E-6</v>
      </c>
      <c r="C81">
        <v>9.0484786439999999E-6</v>
      </c>
      <c r="D81">
        <v>0</v>
      </c>
      <c r="E81">
        <v>9.0484786439999999E-6</v>
      </c>
      <c r="F81">
        <v>100</v>
      </c>
      <c r="G81">
        <v>1.6001787589170571</v>
      </c>
      <c r="I81" s="11" t="s">
        <v>60</v>
      </c>
      <c r="J81">
        <f t="shared" si="11"/>
        <v>1.888008185490035</v>
      </c>
      <c r="K81">
        <f t="shared" si="8"/>
        <v>1.8788379688000001E-5</v>
      </c>
      <c r="L81">
        <f t="shared" si="12"/>
        <v>9.9514291476037482E-6</v>
      </c>
      <c r="S81" s="16"/>
      <c r="W81">
        <f t="shared" si="9"/>
        <v>-5.2475929354844384</v>
      </c>
      <c r="X81">
        <f t="shared" si="10"/>
        <v>-5.0434244342817713</v>
      </c>
    </row>
    <row r="82" spans="1:24" x14ac:dyDescent="0.2">
      <c r="A82" t="s">
        <v>416</v>
      </c>
      <c r="B82">
        <v>2.669796863190507E-6</v>
      </c>
      <c r="C82">
        <v>8.2728228980000005E-6</v>
      </c>
      <c r="D82">
        <v>0</v>
      </c>
      <c r="E82">
        <v>8.2728228980000005E-6</v>
      </c>
      <c r="F82">
        <v>100</v>
      </c>
      <c r="G82">
        <v>3.098671292958846</v>
      </c>
      <c r="I82" s="12" t="s">
        <v>57</v>
      </c>
      <c r="J82">
        <f t="shared" si="11"/>
        <v>0.8835017381593705</v>
      </c>
      <c r="K82">
        <f t="shared" si="8"/>
        <v>1.8788379688000001E-5</v>
      </c>
      <c r="L82">
        <f t="shared" si="12"/>
        <v>2.1265809535522229E-5</v>
      </c>
      <c r="S82" s="16"/>
      <c r="W82">
        <f t="shared" si="9"/>
        <v>-5.5735217815386431</v>
      </c>
      <c r="X82">
        <f t="shared" si="10"/>
        <v>-5.0823462728132762</v>
      </c>
    </row>
    <row r="83" spans="1:24" x14ac:dyDescent="0.2">
      <c r="A83" t="s">
        <v>86</v>
      </c>
      <c r="B83">
        <v>2.3109590147324012E-6</v>
      </c>
      <c r="C83">
        <v>8.2728228980000005E-6</v>
      </c>
      <c r="D83">
        <v>0</v>
      </c>
      <c r="E83">
        <v>8.2728228980000005E-6</v>
      </c>
      <c r="F83">
        <v>100</v>
      </c>
      <c r="G83">
        <v>3.5798224223193138</v>
      </c>
      <c r="I83" s="11" t="s">
        <v>54</v>
      </c>
      <c r="J83">
        <f t="shared" si="11"/>
        <v>0.94468601328190305</v>
      </c>
      <c r="K83">
        <f t="shared" si="8"/>
        <v>1.8788379688000001E-5</v>
      </c>
      <c r="L83">
        <f t="shared" si="12"/>
        <v>1.9888491439317389E-5</v>
      </c>
      <c r="S83" s="16"/>
      <c r="W83">
        <f t="shared" si="9"/>
        <v>-5.6362077567421789</v>
      </c>
      <c r="X83">
        <f t="shared" si="10"/>
        <v>-5.0823462728132762</v>
      </c>
    </row>
    <row r="84" spans="1:24" x14ac:dyDescent="0.2">
      <c r="A84" t="s">
        <v>95</v>
      </c>
      <c r="B84">
        <v>8.191481332723294E-6</v>
      </c>
      <c r="C84">
        <v>8.1914813320000007E-6</v>
      </c>
      <c r="D84">
        <v>0</v>
      </c>
      <c r="E84">
        <v>8.1914813320000007E-6</v>
      </c>
      <c r="F84">
        <v>100</v>
      </c>
      <c r="G84">
        <v>0.99999999991170174</v>
      </c>
      <c r="I84" s="12" t="s">
        <v>52</v>
      </c>
      <c r="J84">
        <f t="shared" si="11"/>
        <v>0.79768713852067863</v>
      </c>
      <c r="K84">
        <f t="shared" si="8"/>
        <v>1.8788379688000001E-5</v>
      </c>
      <c r="L84">
        <f t="shared" si="12"/>
        <v>2.3553569790335719E-5</v>
      </c>
      <c r="S84" s="16"/>
      <c r="W84">
        <f t="shared" si="9"/>
        <v>-5.0866375541059616</v>
      </c>
      <c r="X84">
        <f t="shared" si="10"/>
        <v>-5.0866375541443096</v>
      </c>
    </row>
    <row r="85" spans="1:24" x14ac:dyDescent="0.2">
      <c r="A85" t="s">
        <v>94</v>
      </c>
      <c r="B85">
        <v>7.5831560396117636E-6</v>
      </c>
      <c r="C85">
        <v>7.5831560400000003E-6</v>
      </c>
      <c r="D85">
        <v>0</v>
      </c>
      <c r="E85">
        <v>7.5831560400000003E-6</v>
      </c>
      <c r="F85">
        <v>100</v>
      </c>
      <c r="G85">
        <v>1.000000000051197</v>
      </c>
      <c r="I85" s="11" t="s">
        <v>51</v>
      </c>
      <c r="J85">
        <f t="shared" si="11"/>
        <v>1.004207123056295</v>
      </c>
      <c r="K85">
        <f>_xlfn.XLOOKUP(I85,A:A,C:C)</f>
        <v>1.8788379688000001E-5</v>
      </c>
      <c r="L85">
        <f t="shared" si="12"/>
        <v>1.8709665821546599E-5</v>
      </c>
      <c r="S85" s="16"/>
      <c r="W85">
        <f t="shared" si="9"/>
        <v>-5.1201500073860977</v>
      </c>
      <c r="X85">
        <f t="shared" si="10"/>
        <v>-5.1201500073638631</v>
      </c>
    </row>
    <row r="86" spans="1:24" x14ac:dyDescent="0.2">
      <c r="A86" t="s">
        <v>78</v>
      </c>
      <c r="B86">
        <v>4.6493206297021656E-6</v>
      </c>
      <c r="C86">
        <v>7.5565169340000002E-6</v>
      </c>
      <c r="D86">
        <v>0</v>
      </c>
      <c r="E86">
        <v>7.5565169340000002E-6</v>
      </c>
      <c r="F86">
        <v>100</v>
      </c>
      <c r="G86">
        <v>1.625294862592445</v>
      </c>
      <c r="I86" s="12" t="s">
        <v>50</v>
      </c>
      <c r="J86">
        <f t="shared" si="11"/>
        <v>0.62046706407790342</v>
      </c>
      <c r="K86">
        <f t="shared" si="8"/>
        <v>1.8788379688000001E-5</v>
      </c>
      <c r="L86">
        <f t="shared" si="12"/>
        <v>3.0281026626162721E-5</v>
      </c>
      <c r="W86">
        <f t="shared" si="9"/>
        <v>-5.3326105026642292</v>
      </c>
      <c r="X86">
        <f t="shared" si="10"/>
        <v>-5.1216783400693453</v>
      </c>
    </row>
    <row r="87" spans="1:24" x14ac:dyDescent="0.2">
      <c r="A87" t="s">
        <v>92</v>
      </c>
      <c r="B87">
        <v>6.0772838787277643E-6</v>
      </c>
      <c r="C87">
        <v>7.1448456919999999E-6</v>
      </c>
      <c r="D87">
        <v>0</v>
      </c>
      <c r="E87">
        <v>7.1448456919999999E-6</v>
      </c>
      <c r="F87">
        <v>100</v>
      </c>
      <c r="G87">
        <v>1.1756642991466979</v>
      </c>
      <c r="I87" s="11" t="s">
        <v>49</v>
      </c>
      <c r="J87">
        <f t="shared" si="11"/>
        <v>1.8460748114191221</v>
      </c>
      <c r="K87">
        <f t="shared" si="8"/>
        <v>1.8788379688000001E-5</v>
      </c>
      <c r="L87">
        <f t="shared" si="12"/>
        <v>1.017747470025709E-5</v>
      </c>
      <c r="W87">
        <f t="shared" si="9"/>
        <v>-5.2162904766549056</v>
      </c>
      <c r="X87">
        <f t="shared" si="10"/>
        <v>-5.1460071462763102</v>
      </c>
    </row>
    <row r="88" spans="1:24" x14ac:dyDescent="0.2">
      <c r="A88" t="s">
        <v>98</v>
      </c>
      <c r="B88">
        <v>5.7453844310403773E-6</v>
      </c>
      <c r="C88">
        <v>6.7538641879999999E-6</v>
      </c>
      <c r="D88">
        <v>0</v>
      </c>
      <c r="E88">
        <v>6.7538641879999999E-6</v>
      </c>
      <c r="F88">
        <v>100</v>
      </c>
      <c r="G88">
        <v>1.1755286820340769</v>
      </c>
      <c r="I88" s="12" t="s">
        <v>408</v>
      </c>
      <c r="J88">
        <f t="shared" si="11"/>
        <v>0.60331592518765875</v>
      </c>
      <c r="K88">
        <f t="shared" si="8"/>
        <v>1.8788379688000001E-5</v>
      </c>
      <c r="L88">
        <f t="shared" si="12"/>
        <v>3.1141859353631277E-5</v>
      </c>
      <c r="S88" s="4" t="s">
        <v>383</v>
      </c>
      <c r="W88">
        <f t="shared" si="9"/>
        <v>-5.2406809068027185</v>
      </c>
      <c r="X88">
        <f t="shared" si="10"/>
        <v>-5.1704476767469805</v>
      </c>
    </row>
    <row r="89" spans="1:24" x14ac:dyDescent="0.2">
      <c r="A89" t="s">
        <v>97</v>
      </c>
      <c r="B89">
        <v>6.2073538026646286E-6</v>
      </c>
      <c r="C89">
        <v>6.2125472020000001E-6</v>
      </c>
      <c r="D89">
        <v>0</v>
      </c>
      <c r="E89">
        <v>6.2125472020000001E-6</v>
      </c>
      <c r="F89">
        <v>100</v>
      </c>
      <c r="G89">
        <v>1.0008366527026611</v>
      </c>
      <c r="I89" s="11" t="s">
        <v>46</v>
      </c>
      <c r="J89" t="str">
        <f t="shared" si="11"/>
        <v>inf</v>
      </c>
      <c r="K89">
        <f t="shared" si="8"/>
        <v>1.8788379688000001E-5</v>
      </c>
      <c r="L89">
        <f t="shared" si="12"/>
        <v>0</v>
      </c>
      <c r="W89">
        <f t="shared" si="9"/>
        <v>-5.2070935002782255</v>
      </c>
      <c r="X89">
        <f t="shared" si="10"/>
        <v>-5.2067302985418698</v>
      </c>
    </row>
    <row r="90" spans="1:24" x14ac:dyDescent="0.2">
      <c r="A90" t="s">
        <v>91</v>
      </c>
      <c r="B90">
        <v>4.082226103714911E-6</v>
      </c>
      <c r="C90">
        <v>6.0164868260000002E-6</v>
      </c>
      <c r="D90">
        <v>0</v>
      </c>
      <c r="E90">
        <v>6.0164868260000002E-6</v>
      </c>
      <c r="F90">
        <v>100</v>
      </c>
      <c r="G90">
        <v>1.473824984981815</v>
      </c>
      <c r="K90" s="7">
        <f>SUM(K37:K89)</f>
        <v>9.9578412346399878E-4</v>
      </c>
      <c r="L90" s="7">
        <f>SUM(L37:L89)</f>
        <v>9.9152150092675318E-4</v>
      </c>
      <c r="W90">
        <f t="shared" si="9"/>
        <v>-5.3891029445302188</v>
      </c>
      <c r="X90">
        <f t="shared" si="10"/>
        <v>-5.2206570299145154</v>
      </c>
    </row>
    <row r="91" spans="1:24" x14ac:dyDescent="0.2">
      <c r="A91" t="s">
        <v>88</v>
      </c>
      <c r="B91">
        <v>4.2598763298337833E-6</v>
      </c>
      <c r="C91">
        <v>5.7297506119999998E-6</v>
      </c>
      <c r="D91">
        <v>0</v>
      </c>
      <c r="E91">
        <v>5.7297506119999998E-6</v>
      </c>
      <c r="F91">
        <v>100</v>
      </c>
      <c r="G91">
        <v>1.3450509283267309</v>
      </c>
      <c r="S91" s="16" t="s">
        <v>384</v>
      </c>
      <c r="W91">
        <f t="shared" si="9"/>
        <v>-5.3706030088903294</v>
      </c>
      <c r="X91">
        <f t="shared" si="10"/>
        <v>-5.2418642803344033</v>
      </c>
    </row>
    <row r="92" spans="1:24" x14ac:dyDescent="0.2">
      <c r="A92" t="s">
        <v>99</v>
      </c>
      <c r="B92">
        <v>6.3979720480545081E-6</v>
      </c>
      <c r="C92">
        <v>5.3456546759999998E-6</v>
      </c>
      <c r="D92">
        <v>0</v>
      </c>
      <c r="E92">
        <v>5.3456546759999998E-6</v>
      </c>
      <c r="F92">
        <v>100</v>
      </c>
      <c r="G92">
        <v>0.83552329329502206</v>
      </c>
      <c r="K92" s="13">
        <f>K90/L90</f>
        <v>1.0042990722170537</v>
      </c>
      <c r="S92" s="16"/>
      <c r="W92">
        <f t="shared" si="9"/>
        <v>-5.1939576616264356</v>
      </c>
      <c r="X92">
        <f t="shared" si="10"/>
        <v>-5.2719990996669477</v>
      </c>
    </row>
    <row r="93" spans="1:24" x14ac:dyDescent="0.2">
      <c r="A93" t="s">
        <v>100</v>
      </c>
      <c r="B93">
        <v>5.4731064042806382E-6</v>
      </c>
      <c r="C93">
        <v>5.3456546759999998E-6</v>
      </c>
      <c r="D93">
        <v>0</v>
      </c>
      <c r="E93">
        <v>5.3456546759999998E-6</v>
      </c>
      <c r="F93">
        <v>100</v>
      </c>
      <c r="G93">
        <v>0.97671309145735674</v>
      </c>
      <c r="S93" s="16"/>
      <c r="W93">
        <f t="shared" si="9"/>
        <v>-5.2617661085279259</v>
      </c>
      <c r="X93">
        <f t="shared" si="10"/>
        <v>-5.2719990996669477</v>
      </c>
    </row>
    <row r="94" spans="1:24" x14ac:dyDescent="0.2">
      <c r="A94" t="s">
        <v>103</v>
      </c>
      <c r="B94">
        <v>5.1523327513522104E-6</v>
      </c>
      <c r="C94">
        <v>5.294096101E-6</v>
      </c>
      <c r="D94">
        <v>0</v>
      </c>
      <c r="E94">
        <v>5.294096101E-6</v>
      </c>
      <c r="F94">
        <v>100</v>
      </c>
      <c r="G94">
        <v>1.0275144010469019</v>
      </c>
      <c r="W94">
        <f t="shared" si="9"/>
        <v>-5.2879960968498123</v>
      </c>
      <c r="X94">
        <f t="shared" si="10"/>
        <v>-5.2762081794390534</v>
      </c>
    </row>
    <row r="95" spans="1:24" x14ac:dyDescent="0.2">
      <c r="A95" t="s">
        <v>96</v>
      </c>
      <c r="B95">
        <v>5.0035909535039748E-6</v>
      </c>
      <c r="C95">
        <v>5.1594028530000002E-6</v>
      </c>
      <c r="D95">
        <v>0</v>
      </c>
      <c r="E95">
        <v>5.1594028530000002E-6</v>
      </c>
      <c r="F95">
        <v>100</v>
      </c>
      <c r="G95">
        <v>1.031140015429701</v>
      </c>
      <c r="W95">
        <f t="shared" si="9"/>
        <v>-5.3007182013561609</v>
      </c>
      <c r="X95">
        <f t="shared" si="10"/>
        <v>-5.2874005605150787</v>
      </c>
    </row>
    <row r="96" spans="1:24" x14ac:dyDescent="0.2">
      <c r="A96" t="s">
        <v>104</v>
      </c>
      <c r="B96">
        <v>5.1086705889646481E-6</v>
      </c>
      <c r="C96">
        <v>5.128255538E-6</v>
      </c>
      <c r="D96">
        <v>0</v>
      </c>
      <c r="E96">
        <v>5.128255538E-6</v>
      </c>
      <c r="F96">
        <v>100</v>
      </c>
      <c r="G96">
        <v>1.003833668406348</v>
      </c>
      <c r="W96">
        <f t="shared" si="9"/>
        <v>-5.2916921000594055</v>
      </c>
      <c r="X96">
        <f t="shared" si="10"/>
        <v>-5.2900303423078299</v>
      </c>
    </row>
    <row r="97" spans="1:24" x14ac:dyDescent="0.2">
      <c r="A97" t="s">
        <v>115</v>
      </c>
      <c r="B97">
        <v>5.4306282171780179E-6</v>
      </c>
      <c r="C97">
        <v>4.869107336E-6</v>
      </c>
      <c r="D97">
        <v>0</v>
      </c>
      <c r="E97">
        <v>4.869107336E-6</v>
      </c>
      <c r="F97">
        <v>100</v>
      </c>
      <c r="G97">
        <v>0.89660111892730388</v>
      </c>
      <c r="W97">
        <f t="shared" si="9"/>
        <v>-5.2651499281510006</v>
      </c>
      <c r="X97">
        <f t="shared" si="10"/>
        <v>-5.3125506516363394</v>
      </c>
    </row>
    <row r="98" spans="1:24" x14ac:dyDescent="0.2">
      <c r="A98" t="s">
        <v>410</v>
      </c>
      <c r="B98">
        <v>6.6832001366253253E-7</v>
      </c>
      <c r="C98">
        <v>4.8512630889999999E-6</v>
      </c>
      <c r="D98">
        <v>0</v>
      </c>
      <c r="E98">
        <v>4.8512630889999999E-6</v>
      </c>
      <c r="F98">
        <v>100</v>
      </c>
      <c r="G98">
        <v>7.2588924315075802</v>
      </c>
      <c r="W98">
        <f t="shared" si="9"/>
        <v>-6.1750155332006287</v>
      </c>
      <c r="X98">
        <f t="shared" si="10"/>
        <v>-5.3141451724976791</v>
      </c>
    </row>
    <row r="99" spans="1:24" x14ac:dyDescent="0.2">
      <c r="A99" t="s">
        <v>129</v>
      </c>
      <c r="B99">
        <v>5.9527856215434761E-6</v>
      </c>
      <c r="C99">
        <v>4.8202713780000004E-6</v>
      </c>
      <c r="D99">
        <v>0</v>
      </c>
      <c r="E99">
        <v>4.8202713780000004E-6</v>
      </c>
      <c r="F99">
        <v>100</v>
      </c>
      <c r="G99">
        <v>0.80975054108368338</v>
      </c>
      <c r="W99">
        <f t="shared" si="9"/>
        <v>-5.225279757471287</v>
      </c>
      <c r="X99">
        <f t="shared" si="10"/>
        <v>-5.3169285105889124</v>
      </c>
    </row>
    <row r="100" spans="1:24" x14ac:dyDescent="0.2">
      <c r="A100" t="s">
        <v>126</v>
      </c>
      <c r="B100">
        <v>4.3936619012399989E-6</v>
      </c>
      <c r="C100">
        <v>4.774477859E-6</v>
      </c>
      <c r="D100">
        <v>0</v>
      </c>
      <c r="E100">
        <v>4.774477859E-6</v>
      </c>
      <c r="F100">
        <v>100</v>
      </c>
      <c r="G100">
        <v>1.086673933115456</v>
      </c>
      <c r="W100">
        <f t="shared" si="9"/>
        <v>-5.3571733657303069</v>
      </c>
      <c r="X100">
        <f t="shared" si="10"/>
        <v>-5.3210741163009931</v>
      </c>
    </row>
    <row r="101" spans="1:24" x14ac:dyDescent="0.2">
      <c r="A101" t="s">
        <v>108</v>
      </c>
      <c r="B101">
        <v>4.5707251138211418E-6</v>
      </c>
      <c r="C101">
        <v>4.7127854949999996E-6</v>
      </c>
      <c r="D101">
        <v>0</v>
      </c>
      <c r="E101">
        <v>4.7127854949999996E-6</v>
      </c>
      <c r="F101">
        <v>100</v>
      </c>
      <c r="G101">
        <v>1.0310804910908531</v>
      </c>
      <c r="W101">
        <f t="shared" si="9"/>
        <v>-5.3400148966586887</v>
      </c>
      <c r="X101">
        <f t="shared" si="10"/>
        <v>-5.3267223269405308</v>
      </c>
    </row>
    <row r="102" spans="1:24" x14ac:dyDescent="0.2">
      <c r="A102" t="s">
        <v>121</v>
      </c>
      <c r="B102">
        <v>4.70391007751055E-6</v>
      </c>
      <c r="C102">
        <v>4.7039100780000003E-6</v>
      </c>
      <c r="D102">
        <v>0</v>
      </c>
      <c r="E102">
        <v>4.7039100780000003E-6</v>
      </c>
      <c r="F102">
        <v>100</v>
      </c>
      <c r="G102">
        <v>1.0000000001040521</v>
      </c>
      <c r="W102">
        <f t="shared" si="9"/>
        <v>-5.3275409890607959</v>
      </c>
      <c r="X102">
        <f t="shared" si="10"/>
        <v>-5.3275409890156071</v>
      </c>
    </row>
    <row r="103" spans="1:24" x14ac:dyDescent="0.2">
      <c r="A103" t="s">
        <v>89</v>
      </c>
      <c r="B103">
        <v>4.6294596281174284E-6</v>
      </c>
      <c r="C103">
        <v>4.629459628E-6</v>
      </c>
      <c r="D103">
        <v>0</v>
      </c>
      <c r="E103">
        <v>4.629459628E-6</v>
      </c>
      <c r="F103">
        <v>100</v>
      </c>
      <c r="G103">
        <v>0.99999999997463451</v>
      </c>
      <c r="W103">
        <f t="shared" si="9"/>
        <v>-5.3344696988789675</v>
      </c>
      <c r="X103">
        <f t="shared" si="10"/>
        <v>-5.3344696988899836</v>
      </c>
    </row>
    <row r="104" spans="1:24" x14ac:dyDescent="0.2">
      <c r="A104" t="s">
        <v>87</v>
      </c>
      <c r="B104">
        <v>7.4723306919170039E-6</v>
      </c>
      <c r="C104">
        <v>4.629459628E-6</v>
      </c>
      <c r="D104">
        <v>0</v>
      </c>
      <c r="E104">
        <v>4.629459628E-6</v>
      </c>
      <c r="F104">
        <v>100</v>
      </c>
      <c r="G104">
        <v>0.61954694176045977</v>
      </c>
      <c r="W104">
        <f t="shared" si="9"/>
        <v>-5.1265439164223983</v>
      </c>
      <c r="X104">
        <f t="shared" si="10"/>
        <v>-5.3344696988899836</v>
      </c>
    </row>
    <row r="105" spans="1:24" x14ac:dyDescent="0.2">
      <c r="A105" t="s">
        <v>105</v>
      </c>
      <c r="B105">
        <v>4.7786038475621507E-6</v>
      </c>
      <c r="C105">
        <v>4.6234675240000002E-6</v>
      </c>
      <c r="D105">
        <v>0</v>
      </c>
      <c r="E105">
        <v>4.6234675240000002E-6</v>
      </c>
      <c r="F105">
        <v>100</v>
      </c>
      <c r="G105">
        <v>0.96753521980247537</v>
      </c>
      <c r="W105">
        <f t="shared" si="9"/>
        <v>-5.3206989715610238</v>
      </c>
      <c r="X105">
        <f t="shared" si="10"/>
        <v>-5.3350321885806995</v>
      </c>
    </row>
    <row r="106" spans="1:24" x14ac:dyDescent="0.2">
      <c r="A106" t="s">
        <v>125</v>
      </c>
      <c r="B106">
        <v>2.3844282777061768E-6</v>
      </c>
      <c r="C106">
        <v>4.5950332429999996E-6</v>
      </c>
      <c r="D106">
        <v>0</v>
      </c>
      <c r="E106">
        <v>4.5950332429999996E-6</v>
      </c>
      <c r="F106">
        <v>100</v>
      </c>
      <c r="G106">
        <v>1.9271006328697069</v>
      </c>
      <c r="W106">
        <f t="shared" si="9"/>
        <v>-5.6226157363732883</v>
      </c>
      <c r="X106">
        <f t="shared" si="10"/>
        <v>-5.337711342341148</v>
      </c>
    </row>
    <row r="107" spans="1:24" x14ac:dyDescent="0.2">
      <c r="A107" t="s">
        <v>110</v>
      </c>
      <c r="B107">
        <v>4.5109788073484206E-6</v>
      </c>
      <c r="C107">
        <v>4.5109787880000002E-6</v>
      </c>
      <c r="D107">
        <v>0</v>
      </c>
      <c r="E107">
        <v>4.5109787880000002E-6</v>
      </c>
      <c r="F107">
        <v>100</v>
      </c>
      <c r="G107">
        <v>0.99999999571081533</v>
      </c>
      <c r="W107">
        <f t="shared" si="9"/>
        <v>-5.3457292132200145</v>
      </c>
      <c r="X107">
        <f t="shared" si="10"/>
        <v>-5.345729215082784</v>
      </c>
    </row>
    <row r="108" spans="1:24" x14ac:dyDescent="0.2">
      <c r="A108" t="s">
        <v>107</v>
      </c>
      <c r="B108">
        <v>4.4211422103078333E-6</v>
      </c>
      <c r="C108">
        <v>4.4211422059999999E-6</v>
      </c>
      <c r="D108">
        <v>0</v>
      </c>
      <c r="E108">
        <v>4.4211422059999999E-6</v>
      </c>
      <c r="F108">
        <v>100</v>
      </c>
      <c r="G108">
        <v>0.99999999902562886</v>
      </c>
      <c r="W108">
        <f t="shared" si="9"/>
        <v>-5.3544655153681253</v>
      </c>
      <c r="X108">
        <f t="shared" si="10"/>
        <v>-5.3544655157912899</v>
      </c>
    </row>
    <row r="109" spans="1:24" x14ac:dyDescent="0.2">
      <c r="A109" t="s">
        <v>128</v>
      </c>
      <c r="B109">
        <v>4.0241380868463312E-6</v>
      </c>
      <c r="C109">
        <v>4.3212489030000003E-6</v>
      </c>
      <c r="D109">
        <v>0</v>
      </c>
      <c r="E109">
        <v>4.3212489030000003E-6</v>
      </c>
      <c r="F109">
        <v>100</v>
      </c>
      <c r="G109">
        <v>1.0738321622522931</v>
      </c>
      <c r="W109">
        <f t="shared" si="9"/>
        <v>-5.395327125038003</v>
      </c>
      <c r="X109">
        <f t="shared" si="10"/>
        <v>-5.3643907177002994</v>
      </c>
    </row>
    <row r="110" spans="1:24" x14ac:dyDescent="0.2">
      <c r="A110" t="s">
        <v>116</v>
      </c>
      <c r="B110">
        <v>4.1462304451138196E-6</v>
      </c>
      <c r="C110">
        <v>4.3110744920000003E-6</v>
      </c>
      <c r="D110">
        <v>0</v>
      </c>
      <c r="E110">
        <v>4.3110744920000003E-6</v>
      </c>
      <c r="F110">
        <v>100</v>
      </c>
      <c r="G110">
        <v>1.0397575699345041</v>
      </c>
      <c r="W110">
        <f t="shared" si="9"/>
        <v>-5.3823465637327423</v>
      </c>
      <c r="X110">
        <f t="shared" si="10"/>
        <v>-5.3654144728118416</v>
      </c>
    </row>
    <row r="111" spans="1:24" x14ac:dyDescent="0.2">
      <c r="A111" t="s">
        <v>145</v>
      </c>
      <c r="B111">
        <v>4.1817964881440671E-6</v>
      </c>
      <c r="C111">
        <v>4.1768316170000002E-6</v>
      </c>
      <c r="D111">
        <v>0</v>
      </c>
      <c r="E111">
        <v>4.1768316170000002E-6</v>
      </c>
      <c r="F111">
        <v>100</v>
      </c>
      <c r="G111">
        <v>0.9988127420456393</v>
      </c>
      <c r="W111">
        <f t="shared" si="9"/>
        <v>-5.3786371064362459</v>
      </c>
      <c r="X111">
        <f t="shared" si="10"/>
        <v>-5.3791530323436287</v>
      </c>
    </row>
    <row r="112" spans="1:24" x14ac:dyDescent="0.2">
      <c r="A112" t="s">
        <v>139</v>
      </c>
      <c r="B112">
        <v>2.4659871188521548E-6</v>
      </c>
      <c r="C112">
        <v>4.1726520980000004E-6</v>
      </c>
      <c r="D112">
        <v>0</v>
      </c>
      <c r="E112">
        <v>4.1726520980000004E-6</v>
      </c>
      <c r="F112">
        <v>100</v>
      </c>
      <c r="G112">
        <v>1.6920818710286889</v>
      </c>
      <c r="W112">
        <f t="shared" si="9"/>
        <v>-5.6080091962828824</v>
      </c>
      <c r="X112">
        <f t="shared" si="10"/>
        <v>-5.3795878238235035</v>
      </c>
    </row>
    <row r="113" spans="1:24" x14ac:dyDescent="0.2">
      <c r="A113" t="s">
        <v>138</v>
      </c>
      <c r="B113">
        <v>3.3892876759251431E-6</v>
      </c>
      <c r="C113">
        <v>4.1726520980000004E-6</v>
      </c>
      <c r="D113">
        <v>0</v>
      </c>
      <c r="E113">
        <v>4.1726520980000004E-6</v>
      </c>
      <c r="F113">
        <v>100</v>
      </c>
      <c r="G113">
        <v>1.2311295165763789</v>
      </c>
      <c r="W113">
        <f t="shared" si="9"/>
        <v>-5.4698915675554947</v>
      </c>
      <c r="X113">
        <f t="shared" si="10"/>
        <v>-5.3795878238235035</v>
      </c>
    </row>
    <row r="114" spans="1:24" x14ac:dyDescent="0.2">
      <c r="A114" t="s">
        <v>111</v>
      </c>
      <c r="B114">
        <v>4.148973200841311E-6</v>
      </c>
      <c r="C114">
        <v>4.1489732010000001E-6</v>
      </c>
      <c r="D114">
        <v>0</v>
      </c>
      <c r="E114">
        <v>4.1489732010000001E-6</v>
      </c>
      <c r="F114">
        <v>100</v>
      </c>
      <c r="G114">
        <v>1.0000000000382481</v>
      </c>
      <c r="W114">
        <f t="shared" si="9"/>
        <v>-5.3820593703685029</v>
      </c>
      <c r="X114">
        <f t="shared" si="10"/>
        <v>-5.3820593703518922</v>
      </c>
    </row>
    <row r="115" spans="1:24" x14ac:dyDescent="0.2">
      <c r="A115" t="s">
        <v>119</v>
      </c>
      <c r="B115">
        <v>1.118045023342824E-6</v>
      </c>
      <c r="C115">
        <v>4.1189368370000002E-6</v>
      </c>
      <c r="D115">
        <v>0</v>
      </c>
      <c r="E115">
        <v>4.1189368370000002E-6</v>
      </c>
      <c r="F115">
        <v>100</v>
      </c>
      <c r="G115">
        <v>3.684052744749815</v>
      </c>
      <c r="W115">
        <f t="shared" si="9"/>
        <v>-5.9515407071869522</v>
      </c>
      <c r="X115">
        <f t="shared" si="10"/>
        <v>-5.3852148678038851</v>
      </c>
    </row>
    <row r="116" spans="1:24" x14ac:dyDescent="0.2">
      <c r="A116" t="s">
        <v>106</v>
      </c>
      <c r="B116">
        <v>3.7343241602429591E-6</v>
      </c>
      <c r="C116">
        <v>4.1000347889999996E-6</v>
      </c>
      <c r="D116">
        <v>0</v>
      </c>
      <c r="E116">
        <v>4.1000347889999996E-6</v>
      </c>
      <c r="F116">
        <v>100</v>
      </c>
      <c r="G116">
        <v>1.097932212915669</v>
      </c>
      <c r="W116">
        <f t="shared" si="9"/>
        <v>-5.4277879855582576</v>
      </c>
      <c r="X116">
        <f t="shared" si="10"/>
        <v>-5.3872124582542567</v>
      </c>
    </row>
    <row r="117" spans="1:24" x14ac:dyDescent="0.2">
      <c r="A117" t="s">
        <v>113</v>
      </c>
      <c r="B117">
        <v>2.8653869345941338E-6</v>
      </c>
      <c r="C117">
        <v>4.0285166999999996E-6</v>
      </c>
      <c r="D117">
        <v>0</v>
      </c>
      <c r="E117">
        <v>4.0285166999999996E-6</v>
      </c>
      <c r="F117">
        <v>100</v>
      </c>
      <c r="G117">
        <v>1.4059241533362461</v>
      </c>
      <c r="W117">
        <f t="shared" si="9"/>
        <v>-5.5428167237096835</v>
      </c>
      <c r="X117">
        <f t="shared" si="10"/>
        <v>-5.3948548316717098</v>
      </c>
    </row>
    <row r="118" spans="1:24" x14ac:dyDescent="0.2">
      <c r="A118" t="s">
        <v>114</v>
      </c>
      <c r="B118">
        <v>2.2219679734768768E-6</v>
      </c>
      <c r="C118">
        <v>4.0285166999999996E-6</v>
      </c>
      <c r="D118">
        <v>0</v>
      </c>
      <c r="E118">
        <v>4.0285166999999996E-6</v>
      </c>
      <c r="F118">
        <v>100</v>
      </c>
      <c r="G118">
        <v>1.813039948409465</v>
      </c>
      <c r="W118">
        <f t="shared" si="9"/>
        <v>-5.6532622050902477</v>
      </c>
      <c r="X118">
        <f t="shared" si="10"/>
        <v>-5.3948548316717098</v>
      </c>
    </row>
    <row r="119" spans="1:24" x14ac:dyDescent="0.2">
      <c r="A119" t="s">
        <v>117</v>
      </c>
      <c r="B119">
        <v>1.3277304302840461E-7</v>
      </c>
      <c r="C119">
        <v>3.9698968089999996E-6</v>
      </c>
      <c r="D119">
        <v>0</v>
      </c>
      <c r="E119">
        <v>3.9698968089999996E-6</v>
      </c>
      <c r="F119">
        <v>100</v>
      </c>
      <c r="G119">
        <v>29.899870624722411</v>
      </c>
      <c r="W119">
        <f t="shared" si="9"/>
        <v>-6.8768900910252144</v>
      </c>
      <c r="X119">
        <f t="shared" si="10"/>
        <v>-5.4012207818676981</v>
      </c>
    </row>
    <row r="120" spans="1:24" x14ac:dyDescent="0.2">
      <c r="A120" t="s">
        <v>118</v>
      </c>
      <c r="B120">
        <v>1.161945522755708E-6</v>
      </c>
      <c r="C120">
        <v>3.9184014079999996E-6</v>
      </c>
      <c r="D120">
        <v>0</v>
      </c>
      <c r="E120">
        <v>3.9184014079999996E-6</v>
      </c>
      <c r="F120">
        <v>100</v>
      </c>
      <c r="G120">
        <v>3.3722763513963989</v>
      </c>
      <c r="W120">
        <f t="shared" si="9"/>
        <v>-5.934814233151541</v>
      </c>
      <c r="X120">
        <f t="shared" si="10"/>
        <v>-5.4068910761642055</v>
      </c>
    </row>
    <row r="121" spans="1:24" x14ac:dyDescent="0.2">
      <c r="A121" t="s">
        <v>127</v>
      </c>
      <c r="B121">
        <v>3.8514078400552881E-6</v>
      </c>
      <c r="C121">
        <v>3.9001102750000003E-6</v>
      </c>
      <c r="D121">
        <v>0</v>
      </c>
      <c r="E121">
        <v>3.9001102750000003E-6</v>
      </c>
      <c r="F121">
        <v>100</v>
      </c>
      <c r="G121">
        <v>1.012645359039414</v>
      </c>
      <c r="W121">
        <f t="shared" si="9"/>
        <v>-5.4143804898667298</v>
      </c>
      <c r="X121">
        <f t="shared" si="10"/>
        <v>-5.4089231131922393</v>
      </c>
    </row>
    <row r="122" spans="1:24" x14ac:dyDescent="0.2">
      <c r="A122" t="s">
        <v>137</v>
      </c>
      <c r="B122">
        <v>6.0502092742296481E-6</v>
      </c>
      <c r="C122">
        <v>3.8711370620000001E-6</v>
      </c>
      <c r="D122">
        <v>0</v>
      </c>
      <c r="E122">
        <v>3.8711370620000001E-6</v>
      </c>
      <c r="F122">
        <v>100</v>
      </c>
      <c r="G122">
        <v>0.63983523321892011</v>
      </c>
      <c r="W122">
        <f t="shared" si="9"/>
        <v>-5.2182296030217037</v>
      </c>
      <c r="X122">
        <f t="shared" si="10"/>
        <v>-5.4121614517199275</v>
      </c>
    </row>
    <row r="123" spans="1:24" x14ac:dyDescent="0.2">
      <c r="A123" t="s">
        <v>102</v>
      </c>
      <c r="B123">
        <v>3.8310587282889228E-6</v>
      </c>
      <c r="C123">
        <v>3.8309575629999997E-6</v>
      </c>
      <c r="D123">
        <v>0</v>
      </c>
      <c r="E123">
        <v>3.8309575629999997E-6</v>
      </c>
      <c r="F123">
        <v>100</v>
      </c>
      <c r="G123">
        <v>0.99997359338603298</v>
      </c>
      <c r="W123">
        <f t="shared" si="9"/>
        <v>-5.4166811904402277</v>
      </c>
      <c r="X123">
        <f t="shared" si="10"/>
        <v>-5.4166926588383806</v>
      </c>
    </row>
    <row r="124" spans="1:24" x14ac:dyDescent="0.2">
      <c r="A124" t="s">
        <v>123</v>
      </c>
      <c r="B124">
        <v>2.8799273992450332E-6</v>
      </c>
      <c r="C124">
        <v>3.7883945560000002E-6</v>
      </c>
      <c r="D124">
        <v>0</v>
      </c>
      <c r="E124">
        <v>3.7883945560000002E-6</v>
      </c>
      <c r="F124">
        <v>100</v>
      </c>
      <c r="G124">
        <v>1.3154479369837999</v>
      </c>
      <c r="W124">
        <f t="shared" si="9"/>
        <v>-5.5406184603326736</v>
      </c>
      <c r="X124">
        <f t="shared" si="10"/>
        <v>-5.4215447961497096</v>
      </c>
    </row>
    <row r="125" spans="1:24" x14ac:dyDescent="0.2">
      <c r="A125" t="s">
        <v>160</v>
      </c>
      <c r="B125">
        <v>3.499839241088597E-6</v>
      </c>
      <c r="C125">
        <v>3.7582399399999999E-6</v>
      </c>
      <c r="D125">
        <v>0</v>
      </c>
      <c r="E125">
        <v>3.7582399399999999E-6</v>
      </c>
      <c r="F125">
        <v>100</v>
      </c>
      <c r="G125">
        <v>1.073832162311269</v>
      </c>
      <c r="W125">
        <f t="shared" si="9"/>
        <v>-5.4559519037387441</v>
      </c>
      <c r="X125">
        <f t="shared" si="10"/>
        <v>-5.4250154963771875</v>
      </c>
    </row>
    <row r="126" spans="1:24" x14ac:dyDescent="0.2">
      <c r="A126" t="s">
        <v>144</v>
      </c>
      <c r="B126">
        <v>2.520101032789099E-6</v>
      </c>
      <c r="C126">
        <v>3.7141878670000001E-6</v>
      </c>
      <c r="D126">
        <v>0</v>
      </c>
      <c r="E126">
        <v>3.7141878670000001E-6</v>
      </c>
      <c r="F126">
        <v>100</v>
      </c>
      <c r="G126">
        <v>1.473824985059967</v>
      </c>
      <c r="W126">
        <f t="shared" si="9"/>
        <v>-5.5985820476695531</v>
      </c>
      <c r="X126">
        <f t="shared" si="10"/>
        <v>-5.4301361330308211</v>
      </c>
    </row>
    <row r="127" spans="1:24" x14ac:dyDescent="0.2">
      <c r="A127" t="s">
        <v>149</v>
      </c>
      <c r="B127">
        <v>3.468509703570578E-6</v>
      </c>
      <c r="C127">
        <v>3.471411642E-6</v>
      </c>
      <c r="D127">
        <v>0</v>
      </c>
      <c r="E127">
        <v>3.471411642E-6</v>
      </c>
      <c r="F127">
        <v>100</v>
      </c>
      <c r="G127">
        <v>1.0008366528213639</v>
      </c>
      <c r="W127">
        <f t="shared" si="9"/>
        <v>-5.4598570861720139</v>
      </c>
      <c r="X127">
        <f t="shared" si="10"/>
        <v>-5.4594938843841492</v>
      </c>
    </row>
    <row r="128" spans="1:24" x14ac:dyDescent="0.2">
      <c r="A128" t="s">
        <v>135</v>
      </c>
      <c r="B128">
        <v>2.3423086699325159E-6</v>
      </c>
      <c r="C128">
        <v>3.452153041E-6</v>
      </c>
      <c r="D128">
        <v>0</v>
      </c>
      <c r="E128">
        <v>3.452153041E-6</v>
      </c>
      <c r="F128">
        <v>100</v>
      </c>
      <c r="G128">
        <v>1.4738249852866141</v>
      </c>
      <c r="W128">
        <f t="shared" si="9"/>
        <v>-5.6303558740735511</v>
      </c>
      <c r="X128">
        <f t="shared" si="10"/>
        <v>-5.4619099593680325</v>
      </c>
    </row>
    <row r="129" spans="1:24" x14ac:dyDescent="0.2">
      <c r="A129" t="s">
        <v>112</v>
      </c>
      <c r="B129">
        <v>5.2331677868847894E-6</v>
      </c>
      <c r="C129">
        <v>3.3483651309999998E-6</v>
      </c>
      <c r="D129">
        <v>0</v>
      </c>
      <c r="E129">
        <v>3.3483651309999998E-6</v>
      </c>
      <c r="F129">
        <v>100</v>
      </c>
      <c r="G129">
        <v>0.63983523314340762</v>
      </c>
      <c r="W129">
        <f t="shared" si="9"/>
        <v>-5.2812353405995252</v>
      </c>
      <c r="X129">
        <f t="shared" si="10"/>
        <v>-5.475167189349003</v>
      </c>
    </row>
    <row r="130" spans="1:24" x14ac:dyDescent="0.2">
      <c r="A130" t="s">
        <v>164</v>
      </c>
      <c r="B130">
        <v>2.703883369089756E-6</v>
      </c>
      <c r="C130">
        <v>3.3271386849999999E-6</v>
      </c>
      <c r="D130">
        <v>0</v>
      </c>
      <c r="E130">
        <v>3.3271386849999999E-6</v>
      </c>
      <c r="F130">
        <v>100</v>
      </c>
      <c r="G130">
        <v>1.2305037721061389</v>
      </c>
      <c r="W130">
        <f t="shared" si="9"/>
        <v>-5.5680120454423667</v>
      </c>
      <c r="X130">
        <f t="shared" si="10"/>
        <v>-5.4779290960728906</v>
      </c>
    </row>
    <row r="131" spans="1:24" x14ac:dyDescent="0.2">
      <c r="A131" t="s">
        <v>152</v>
      </c>
      <c r="B131">
        <v>1.953200469533907E-6</v>
      </c>
      <c r="C131">
        <v>3.1745266899999999E-6</v>
      </c>
      <c r="D131">
        <v>0</v>
      </c>
      <c r="E131">
        <v>3.1745266899999999E-6</v>
      </c>
      <c r="F131">
        <v>100</v>
      </c>
      <c r="G131">
        <v>1.625294863234156</v>
      </c>
      <c r="W131">
        <f t="shared" ref="W131:W194" si="13">LOG(B131)</f>
        <v>-5.709253179986951</v>
      </c>
      <c r="X131">
        <f t="shared" ref="X131:X194" si="14">LOG(C131)</f>
        <v>-5.4983210172205963</v>
      </c>
    </row>
    <row r="132" spans="1:24" x14ac:dyDescent="0.2">
      <c r="A132" t="s">
        <v>184</v>
      </c>
      <c r="B132">
        <v>1.9077852110873829E-6</v>
      </c>
      <c r="C132">
        <v>3.1007135030000002E-6</v>
      </c>
      <c r="D132">
        <v>0</v>
      </c>
      <c r="E132">
        <v>3.1007135030000002E-6</v>
      </c>
      <c r="F132">
        <v>100</v>
      </c>
      <c r="G132">
        <v>1.6252948628492001</v>
      </c>
      <c r="W132">
        <f t="shared" si="13"/>
        <v>-5.719470522132136</v>
      </c>
      <c r="X132">
        <f t="shared" si="14"/>
        <v>-5.5085383594686448</v>
      </c>
    </row>
    <row r="133" spans="1:24" x14ac:dyDescent="0.2">
      <c r="A133" t="s">
        <v>131</v>
      </c>
      <c r="B133">
        <v>2.9658920796951871E-6</v>
      </c>
      <c r="C133">
        <v>3.0755585120000001E-6</v>
      </c>
      <c r="D133">
        <v>0</v>
      </c>
      <c r="E133">
        <v>3.0755585120000001E-6</v>
      </c>
      <c r="F133">
        <v>100</v>
      </c>
      <c r="G133">
        <v>1.036975867414597</v>
      </c>
      <c r="W133">
        <f t="shared" si="13"/>
        <v>-5.5278446557505134</v>
      </c>
      <c r="X133">
        <f t="shared" si="14"/>
        <v>-5.5120760061798206</v>
      </c>
    </row>
    <row r="134" spans="1:24" x14ac:dyDescent="0.2">
      <c r="A134" t="s">
        <v>179</v>
      </c>
      <c r="B134">
        <v>3.0460660760943791E-6</v>
      </c>
      <c r="C134">
        <v>3.0050933179999999E-6</v>
      </c>
      <c r="D134">
        <v>0</v>
      </c>
      <c r="E134">
        <v>3.0050933179999999E-6</v>
      </c>
      <c r="F134">
        <v>100</v>
      </c>
      <c r="G134">
        <v>0.98654895951997401</v>
      </c>
      <c r="W134">
        <f t="shared" si="13"/>
        <v>-5.5162606800636906</v>
      </c>
      <c r="X134">
        <f t="shared" si="14"/>
        <v>-5.5221420371843033</v>
      </c>
    </row>
    <row r="135" spans="1:24" x14ac:dyDescent="0.2">
      <c r="A135" t="s">
        <v>417</v>
      </c>
      <c r="B135">
        <v>2.2316777165531428E-6</v>
      </c>
      <c r="C135">
        <v>2.9766467440000002E-6</v>
      </c>
      <c r="D135">
        <v>0</v>
      </c>
      <c r="E135">
        <v>2.9766467440000002E-6</v>
      </c>
      <c r="F135">
        <v>100</v>
      </c>
      <c r="G135">
        <v>1.3338156858049699</v>
      </c>
      <c r="W135">
        <f t="shared" si="13"/>
        <v>-5.6513685230088972</v>
      </c>
      <c r="X135">
        <f t="shared" si="14"/>
        <v>-5.5262727025499805</v>
      </c>
    </row>
    <row r="136" spans="1:24" x14ac:dyDescent="0.2">
      <c r="A136" t="s">
        <v>159</v>
      </c>
      <c r="B136">
        <v>1.698691413100525E-6</v>
      </c>
      <c r="C136">
        <v>2.944756884E-6</v>
      </c>
      <c r="D136">
        <v>0</v>
      </c>
      <c r="E136">
        <v>2.944756884E-6</v>
      </c>
      <c r="F136">
        <v>100</v>
      </c>
      <c r="G136">
        <v>1.733544339654429</v>
      </c>
      <c r="W136">
        <f t="shared" si="13"/>
        <v>-5.769885508570515</v>
      </c>
      <c r="X136">
        <f t="shared" si="14"/>
        <v>-5.530950554287946</v>
      </c>
    </row>
    <row r="137" spans="1:24" x14ac:dyDescent="0.2">
      <c r="A137" t="s">
        <v>83</v>
      </c>
      <c r="B137">
        <v>2.9384873366788441E-6</v>
      </c>
      <c r="C137">
        <v>2.938487337E-6</v>
      </c>
      <c r="D137">
        <v>0</v>
      </c>
      <c r="E137">
        <v>2.938487337E-6</v>
      </c>
      <c r="F137">
        <v>100</v>
      </c>
      <c r="G137">
        <v>1.000000000109293</v>
      </c>
      <c r="W137">
        <f t="shared" si="13"/>
        <v>-5.5318761765243147</v>
      </c>
      <c r="X137">
        <f t="shared" si="14"/>
        <v>-5.5318761764768496</v>
      </c>
    </row>
    <row r="138" spans="1:24" x14ac:dyDescent="0.2">
      <c r="A138" t="s">
        <v>181</v>
      </c>
      <c r="B138">
        <v>1.7910854013543009E-6</v>
      </c>
      <c r="C138">
        <v>2.9110419019999999E-6</v>
      </c>
      <c r="D138">
        <v>0</v>
      </c>
      <c r="E138">
        <v>2.9110419019999999E-6</v>
      </c>
      <c r="F138">
        <v>100</v>
      </c>
      <c r="G138">
        <v>1.6252948629913799</v>
      </c>
      <c r="W138">
        <f t="shared" si="13"/>
        <v>-5.746883705913854</v>
      </c>
      <c r="X138">
        <f t="shared" si="14"/>
        <v>-5.5359515432123709</v>
      </c>
    </row>
    <row r="139" spans="1:24" x14ac:dyDescent="0.2">
      <c r="A139" t="s">
        <v>122</v>
      </c>
      <c r="B139">
        <v>2.8990870971563589E-6</v>
      </c>
      <c r="C139">
        <v>2.899087097E-6</v>
      </c>
      <c r="D139">
        <v>0</v>
      </c>
      <c r="E139">
        <v>2.899087097E-6</v>
      </c>
      <c r="F139">
        <v>100</v>
      </c>
      <c r="G139">
        <v>0.99999999994606614</v>
      </c>
      <c r="W139">
        <f t="shared" si="13"/>
        <v>-5.5377387369574587</v>
      </c>
      <c r="X139">
        <f t="shared" si="14"/>
        <v>-5.5377387369808817</v>
      </c>
    </row>
    <row r="140" spans="1:24" x14ac:dyDescent="0.2">
      <c r="A140" t="s">
        <v>143</v>
      </c>
      <c r="B140">
        <v>2.8768709936199359E-6</v>
      </c>
      <c r="C140">
        <v>2.876870994E-6</v>
      </c>
      <c r="D140">
        <v>0</v>
      </c>
      <c r="E140">
        <v>2.876870994E-6</v>
      </c>
      <c r="F140">
        <v>100</v>
      </c>
      <c r="G140">
        <v>1.0000000001321101</v>
      </c>
      <c r="W140">
        <f t="shared" si="13"/>
        <v>-5.5410796125675006</v>
      </c>
      <c r="X140">
        <f t="shared" si="14"/>
        <v>-5.5410796125101252</v>
      </c>
    </row>
    <row r="141" spans="1:24" x14ac:dyDescent="0.2">
      <c r="A141" t="s">
        <v>411</v>
      </c>
      <c r="B141">
        <v>3.0658144979293759E-6</v>
      </c>
      <c r="C141">
        <v>2.8742348759999998E-6</v>
      </c>
      <c r="D141">
        <v>0</v>
      </c>
      <c r="E141">
        <v>2.8742348759999998E-6</v>
      </c>
      <c r="F141">
        <v>100</v>
      </c>
      <c r="G141">
        <v>0.93751101964624173</v>
      </c>
      <c r="W141">
        <f t="shared" si="13"/>
        <v>-5.5134541263775629</v>
      </c>
      <c r="X141">
        <f t="shared" si="14"/>
        <v>-5.5414777451848156</v>
      </c>
    </row>
    <row r="142" spans="1:24" x14ac:dyDescent="0.2">
      <c r="A142" t="s">
        <v>197</v>
      </c>
      <c r="B142">
        <v>1.219780086126881E-6</v>
      </c>
      <c r="C142">
        <v>2.8534981460000001E-6</v>
      </c>
      <c r="D142">
        <v>0</v>
      </c>
      <c r="E142">
        <v>2.8534981460000001E-6</v>
      </c>
      <c r="F142">
        <v>100</v>
      </c>
      <c r="G142">
        <v>2.3393545922368668</v>
      </c>
      <c r="W142">
        <f t="shared" si="13"/>
        <v>-5.913718461120804</v>
      </c>
      <c r="X142">
        <f t="shared" si="14"/>
        <v>-5.5446224052885755</v>
      </c>
    </row>
    <row r="143" spans="1:24" x14ac:dyDescent="0.2">
      <c r="A143" t="s">
        <v>134</v>
      </c>
      <c r="B143">
        <v>2.7633519286789962E-6</v>
      </c>
      <c r="C143">
        <v>2.8492382640000001E-6</v>
      </c>
      <c r="D143">
        <v>0</v>
      </c>
      <c r="E143">
        <v>2.8492382640000001E-6</v>
      </c>
      <c r="F143">
        <v>100</v>
      </c>
      <c r="G143">
        <v>1.031080491206946</v>
      </c>
      <c r="W143">
        <f t="shared" si="13"/>
        <v>-5.5585638016740315</v>
      </c>
      <c r="X143">
        <f t="shared" si="14"/>
        <v>-5.545271231906975</v>
      </c>
    </row>
    <row r="144" spans="1:24" x14ac:dyDescent="0.2">
      <c r="A144" t="s">
        <v>120</v>
      </c>
      <c r="B144">
        <v>2.8418972564963631E-6</v>
      </c>
      <c r="C144">
        <v>2.844274938E-6</v>
      </c>
      <c r="D144">
        <v>0</v>
      </c>
      <c r="E144">
        <v>2.844274938E-6</v>
      </c>
      <c r="F144">
        <v>100</v>
      </c>
      <c r="G144">
        <v>1.0008366528727251</v>
      </c>
      <c r="W144">
        <f t="shared" si="13"/>
        <v>-5.5463916272330618</v>
      </c>
      <c r="X144">
        <f t="shared" si="14"/>
        <v>-5.54602842542291</v>
      </c>
    </row>
    <row r="145" spans="1:24" x14ac:dyDescent="0.2">
      <c r="A145" t="s">
        <v>133</v>
      </c>
      <c r="B145">
        <v>1.522215546050785E-6</v>
      </c>
      <c r="C145">
        <v>2.789263772E-6</v>
      </c>
      <c r="D145">
        <v>0</v>
      </c>
      <c r="E145">
        <v>2.789263772E-6</v>
      </c>
      <c r="F145">
        <v>100</v>
      </c>
      <c r="G145">
        <v>1.8323710983220649</v>
      </c>
      <c r="W145">
        <f t="shared" si="13"/>
        <v>-5.8175238470184629</v>
      </c>
      <c r="X145">
        <f t="shared" si="14"/>
        <v>-5.5545104139134525</v>
      </c>
    </row>
    <row r="146" spans="1:24" x14ac:dyDescent="0.2">
      <c r="A146" t="s">
        <v>183</v>
      </c>
      <c r="B146">
        <v>2.7798639738269548E-6</v>
      </c>
      <c r="C146">
        <v>2.7798639739999998E-6</v>
      </c>
      <c r="D146">
        <v>0</v>
      </c>
      <c r="E146">
        <v>2.7798639739999998E-6</v>
      </c>
      <c r="F146">
        <v>100</v>
      </c>
      <c r="G146">
        <v>1.0000000000622491</v>
      </c>
      <c r="W146">
        <f t="shared" si="13"/>
        <v>-5.555976454751594</v>
      </c>
      <c r="X146">
        <f t="shared" si="14"/>
        <v>-5.5559764547245596</v>
      </c>
    </row>
    <row r="147" spans="1:24" x14ac:dyDescent="0.2">
      <c r="A147" t="s">
        <v>155</v>
      </c>
      <c r="B147">
        <v>2.757558679883625E-6</v>
      </c>
      <c r="C147">
        <v>2.7676406140000001E-6</v>
      </c>
      <c r="D147">
        <v>0</v>
      </c>
      <c r="E147">
        <v>2.7676406140000001E-6</v>
      </c>
      <c r="F147">
        <v>100</v>
      </c>
      <c r="G147">
        <v>1.0036561086405611</v>
      </c>
      <c r="W147">
        <f t="shared" si="13"/>
        <v>-5.5594752371548593</v>
      </c>
      <c r="X147">
        <f t="shared" si="14"/>
        <v>-5.5578903049269517</v>
      </c>
    </row>
    <row r="148" spans="1:24" x14ac:dyDescent="0.2">
      <c r="A148" t="s">
        <v>161</v>
      </c>
      <c r="B148">
        <v>2.5531574718005931E-6</v>
      </c>
      <c r="C148">
        <v>2.6889396430000001E-6</v>
      </c>
      <c r="D148">
        <v>0</v>
      </c>
      <c r="E148">
        <v>2.6889396430000001E-6</v>
      </c>
      <c r="F148">
        <v>100</v>
      </c>
      <c r="G148">
        <v>1.0531820589599781</v>
      </c>
      <c r="W148">
        <f t="shared" si="13"/>
        <v>-5.5929223982686125</v>
      </c>
      <c r="X148">
        <f t="shared" si="14"/>
        <v>-5.5704189460125599</v>
      </c>
    </row>
    <row r="149" spans="1:24" x14ac:dyDescent="0.2">
      <c r="A149" t="s">
        <v>132</v>
      </c>
      <c r="B149">
        <v>2.658207005213593E-6</v>
      </c>
      <c r="C149">
        <v>2.6582070050000001E-6</v>
      </c>
      <c r="D149">
        <v>0</v>
      </c>
      <c r="E149">
        <v>2.6582070050000001E-6</v>
      </c>
      <c r="F149">
        <v>100</v>
      </c>
      <c r="G149">
        <v>0.99999999991964761</v>
      </c>
      <c r="W149">
        <f t="shared" si="13"/>
        <v>-5.5754112018276683</v>
      </c>
      <c r="X149">
        <f t="shared" si="14"/>
        <v>-5.5754112018625648</v>
      </c>
    </row>
    <row r="150" spans="1:24" x14ac:dyDescent="0.2">
      <c r="A150" t="s">
        <v>140</v>
      </c>
      <c r="B150">
        <v>2.1962607725948442E-6</v>
      </c>
      <c r="C150">
        <v>2.6378507399999998E-6</v>
      </c>
      <c r="D150">
        <v>0</v>
      </c>
      <c r="E150">
        <v>2.6378507399999998E-6</v>
      </c>
      <c r="F150">
        <v>100</v>
      </c>
      <c r="G150">
        <v>1.201064451414585</v>
      </c>
      <c r="W150">
        <f t="shared" si="13"/>
        <v>-5.6583160952896945</v>
      </c>
      <c r="X150">
        <f t="shared" si="14"/>
        <v>-5.5787497821893117</v>
      </c>
    </row>
    <row r="151" spans="1:24" x14ac:dyDescent="0.2">
      <c r="A151" t="s">
        <v>101</v>
      </c>
      <c r="B151">
        <v>2.6039830945021642E-6</v>
      </c>
      <c r="C151">
        <v>2.5797843040000001E-6</v>
      </c>
      <c r="D151">
        <v>0</v>
      </c>
      <c r="E151">
        <v>2.5797843040000001E-6</v>
      </c>
      <c r="F151">
        <v>100</v>
      </c>
      <c r="G151">
        <v>0.99070700936835765</v>
      </c>
      <c r="W151">
        <f t="shared" si="13"/>
        <v>-5.5843618396077845</v>
      </c>
      <c r="X151">
        <f t="shared" si="14"/>
        <v>-5.5884166039199368</v>
      </c>
    </row>
    <row r="152" spans="1:24" x14ac:dyDescent="0.2">
      <c r="A152" t="s">
        <v>151</v>
      </c>
      <c r="B152">
        <v>1.6055147354615869E-6</v>
      </c>
      <c r="C152">
        <v>2.5770706270000001E-6</v>
      </c>
      <c r="D152">
        <v>0</v>
      </c>
      <c r="E152">
        <v>2.5770706270000001E-6</v>
      </c>
      <c r="F152">
        <v>100</v>
      </c>
      <c r="G152">
        <v>1.605136701694045</v>
      </c>
      <c r="W152">
        <f t="shared" si="13"/>
        <v>-5.7943857041116251</v>
      </c>
      <c r="X152">
        <f t="shared" si="14"/>
        <v>-5.5888736790447258</v>
      </c>
    </row>
    <row r="153" spans="1:24" x14ac:dyDescent="0.2">
      <c r="A153" t="s">
        <v>146</v>
      </c>
      <c r="B153">
        <v>1.5680262300588369E-6</v>
      </c>
      <c r="C153">
        <v>2.5091222669999998E-6</v>
      </c>
      <c r="D153">
        <v>0</v>
      </c>
      <c r="E153">
        <v>2.5091222669999998E-6</v>
      </c>
      <c r="F153">
        <v>100</v>
      </c>
      <c r="G153">
        <v>1.6001787590669641</v>
      </c>
      <c r="W153">
        <f t="shared" si="13"/>
        <v>-5.8046466766805773</v>
      </c>
      <c r="X153">
        <f t="shared" si="14"/>
        <v>-5.6004781754372246</v>
      </c>
    </row>
    <row r="154" spans="1:24" x14ac:dyDescent="0.2">
      <c r="A154" t="s">
        <v>187</v>
      </c>
      <c r="B154">
        <v>2.1566826484258469E-6</v>
      </c>
      <c r="C154">
        <v>2.4742266510000002E-6</v>
      </c>
      <c r="D154">
        <v>0</v>
      </c>
      <c r="E154">
        <v>2.4742266510000002E-6</v>
      </c>
      <c r="F154">
        <v>100</v>
      </c>
      <c r="G154">
        <v>1.147237240864309</v>
      </c>
      <c r="W154">
        <f t="shared" si="13"/>
        <v>-5.6662137557677594</v>
      </c>
      <c r="X154">
        <f t="shared" si="14"/>
        <v>-5.6065605194320396</v>
      </c>
    </row>
    <row r="155" spans="1:24" x14ac:dyDescent="0.2">
      <c r="A155" t="s">
        <v>188</v>
      </c>
      <c r="B155">
        <v>4.3770236655595758E-6</v>
      </c>
      <c r="C155">
        <v>2.4400382299999999E-6</v>
      </c>
      <c r="D155">
        <v>0</v>
      </c>
      <c r="E155">
        <v>2.4400382299999999E-6</v>
      </c>
      <c r="F155">
        <v>100</v>
      </c>
      <c r="G155">
        <v>0.55746516730063322</v>
      </c>
      <c r="W155">
        <f t="shared" si="13"/>
        <v>-5.3588211052502288</v>
      </c>
      <c r="X155">
        <f t="shared" si="14"/>
        <v>-5.6126033691743951</v>
      </c>
    </row>
    <row r="156" spans="1:24" x14ac:dyDescent="0.2">
      <c r="A156" t="s">
        <v>189</v>
      </c>
      <c r="B156">
        <v>3.8135415239981631E-6</v>
      </c>
      <c r="C156">
        <v>2.4400382299999999E-6</v>
      </c>
      <c r="D156">
        <v>0</v>
      </c>
      <c r="E156">
        <v>2.4400382299999999E-6</v>
      </c>
      <c r="F156">
        <v>100</v>
      </c>
      <c r="G156">
        <v>0.63983523311471224</v>
      </c>
      <c r="W156">
        <f t="shared" si="13"/>
        <v>-5.4186715204054394</v>
      </c>
      <c r="X156">
        <f t="shared" si="14"/>
        <v>-5.6126033691743951</v>
      </c>
    </row>
    <row r="157" spans="1:24" x14ac:dyDescent="0.2">
      <c r="A157" t="s">
        <v>176</v>
      </c>
      <c r="B157">
        <v>2.4004300443980441E-6</v>
      </c>
      <c r="C157">
        <v>2.400430045E-6</v>
      </c>
      <c r="D157">
        <v>0</v>
      </c>
      <c r="E157">
        <v>2.400430045E-6</v>
      </c>
      <c r="F157">
        <v>100</v>
      </c>
      <c r="G157">
        <v>1.0000000002507701</v>
      </c>
      <c r="W157">
        <f t="shared" si="13"/>
        <v>-5.6197109461308097</v>
      </c>
      <c r="X157">
        <f t="shared" si="14"/>
        <v>-5.6197109460219012</v>
      </c>
    </row>
    <row r="158" spans="1:24" x14ac:dyDescent="0.2">
      <c r="A158" t="s">
        <v>255</v>
      </c>
      <c r="B158">
        <v>2.395197211533533E-6</v>
      </c>
      <c r="C158">
        <v>2.395197212E-6</v>
      </c>
      <c r="D158">
        <v>0</v>
      </c>
      <c r="E158">
        <v>2.395197212E-6</v>
      </c>
      <c r="F158">
        <v>100</v>
      </c>
      <c r="G158">
        <v>1.0000000001947511</v>
      </c>
      <c r="W158">
        <f t="shared" si="13"/>
        <v>-5.6206587226023528</v>
      </c>
      <c r="X158">
        <f t="shared" si="14"/>
        <v>-5.6206587225177733</v>
      </c>
    </row>
    <row r="159" spans="1:24" x14ac:dyDescent="0.2">
      <c r="A159" t="s">
        <v>124</v>
      </c>
      <c r="B159">
        <v>2.382295855178748E-6</v>
      </c>
      <c r="C159">
        <v>2.379467455E-6</v>
      </c>
      <c r="D159">
        <v>0</v>
      </c>
      <c r="E159">
        <v>2.379467455E-6</v>
      </c>
      <c r="F159">
        <v>100</v>
      </c>
      <c r="G159">
        <v>0.99881274184623225</v>
      </c>
      <c r="W159">
        <f t="shared" si="13"/>
        <v>-5.6230043048629721</v>
      </c>
      <c r="X159">
        <f t="shared" si="14"/>
        <v>-5.6235202308570589</v>
      </c>
    </row>
    <row r="160" spans="1:24" x14ac:dyDescent="0.2">
      <c r="A160" t="s">
        <v>109</v>
      </c>
      <c r="B160">
        <v>2.245322156576637E-6</v>
      </c>
      <c r="C160">
        <v>2.2453221519999998E-6</v>
      </c>
      <c r="D160">
        <v>0</v>
      </c>
      <c r="E160">
        <v>2.2453221519999998E-6</v>
      </c>
      <c r="F160">
        <v>100</v>
      </c>
      <c r="G160">
        <v>0.99999999796170147</v>
      </c>
      <c r="W160">
        <f t="shared" si="13"/>
        <v>-5.6487213380522263</v>
      </c>
      <c r="X160">
        <f t="shared" si="14"/>
        <v>-5.648721338937448</v>
      </c>
    </row>
    <row r="161" spans="1:24" x14ac:dyDescent="0.2">
      <c r="A161" t="s">
        <v>182</v>
      </c>
      <c r="B161">
        <v>1.9283438591086809E-6</v>
      </c>
      <c r="C161">
        <v>2.2295129590000001E-6</v>
      </c>
      <c r="D161">
        <v>0</v>
      </c>
      <c r="E161">
        <v>2.2295129590000001E-6</v>
      </c>
      <c r="F161">
        <v>100</v>
      </c>
      <c r="G161">
        <v>1.156180184601789</v>
      </c>
      <c r="W161">
        <f t="shared" si="13"/>
        <v>-5.714815520849176</v>
      </c>
      <c r="X161">
        <f t="shared" si="14"/>
        <v>-5.6517899989789466</v>
      </c>
    </row>
    <row r="162" spans="1:24" x14ac:dyDescent="0.2">
      <c r="A162" t="s">
        <v>150</v>
      </c>
      <c r="B162">
        <v>1.881718457095449E-6</v>
      </c>
      <c r="C162">
        <v>2.1756055929999998E-6</v>
      </c>
      <c r="D162">
        <v>0</v>
      </c>
      <c r="E162">
        <v>2.1756055929999998E-6</v>
      </c>
      <c r="F162">
        <v>100</v>
      </c>
      <c r="G162">
        <v>1.1561801845522539</v>
      </c>
      <c r="W162">
        <f t="shared" si="13"/>
        <v>-5.7254453552321536</v>
      </c>
      <c r="X162">
        <f t="shared" si="14"/>
        <v>-5.6624198333805316</v>
      </c>
    </row>
    <row r="163" spans="1:24" x14ac:dyDescent="0.2">
      <c r="A163" t="s">
        <v>148</v>
      </c>
      <c r="B163">
        <v>1.893146221106331E-6</v>
      </c>
      <c r="C163">
        <v>2.1583496649999998E-6</v>
      </c>
      <c r="D163">
        <v>0</v>
      </c>
      <c r="E163">
        <v>2.1583496649999998E-6</v>
      </c>
      <c r="F163">
        <v>100</v>
      </c>
      <c r="G163">
        <v>1.140086085763987</v>
      </c>
      <c r="W163">
        <f t="shared" si="13"/>
        <v>-5.7228158410984538</v>
      </c>
      <c r="X163">
        <f t="shared" si="14"/>
        <v>-5.6658781957613327</v>
      </c>
    </row>
    <row r="164" spans="1:24" x14ac:dyDescent="0.2">
      <c r="A164" t="s">
        <v>147</v>
      </c>
      <c r="B164">
        <v>2.656670853939595E-6</v>
      </c>
      <c r="C164">
        <v>2.1583496649999998E-6</v>
      </c>
      <c r="D164">
        <v>0</v>
      </c>
      <c r="E164">
        <v>2.1583496649999998E-6</v>
      </c>
      <c r="F164">
        <v>100</v>
      </c>
      <c r="G164">
        <v>0.81242644786024898</v>
      </c>
      <c r="W164">
        <f t="shared" si="13"/>
        <v>-5.5756622488161121</v>
      </c>
      <c r="X164">
        <f t="shared" si="14"/>
        <v>-5.6658781957613327</v>
      </c>
    </row>
    <row r="165" spans="1:24" x14ac:dyDescent="0.2">
      <c r="A165" t="s">
        <v>403</v>
      </c>
      <c r="B165">
        <v>4.3903101376622272E-7</v>
      </c>
      <c r="C165">
        <v>2.156017493E-6</v>
      </c>
      <c r="D165">
        <v>0</v>
      </c>
      <c r="E165">
        <v>2.156017493E-6</v>
      </c>
      <c r="F165">
        <v>100</v>
      </c>
      <c r="G165">
        <v>4.9108546444239281</v>
      </c>
      <c r="W165">
        <f t="shared" si="13"/>
        <v>-6.3575047995032454</v>
      </c>
      <c r="X165">
        <f t="shared" si="14"/>
        <v>-5.6663477197920926</v>
      </c>
    </row>
    <row r="166" spans="1:24" x14ac:dyDescent="0.2">
      <c r="A166" t="s">
        <v>153</v>
      </c>
      <c r="B166">
        <v>1.167727624142924E-6</v>
      </c>
      <c r="C166">
        <v>2.1397103490000002E-6</v>
      </c>
      <c r="D166">
        <v>0</v>
      </c>
      <c r="E166">
        <v>2.1397103490000002E-6</v>
      </c>
      <c r="F166">
        <v>100</v>
      </c>
      <c r="G166">
        <v>1.8323710981578269</v>
      </c>
      <c r="W166">
        <f t="shared" si="13"/>
        <v>-5.9326584458593707</v>
      </c>
      <c r="X166">
        <f t="shared" si="14"/>
        <v>-5.6696450127932865</v>
      </c>
    </row>
    <row r="167" spans="1:24" x14ac:dyDescent="0.2">
      <c r="A167" t="s">
        <v>154</v>
      </c>
      <c r="B167">
        <v>1.739854456654759E-6</v>
      </c>
      <c r="C167">
        <v>2.1397103490000002E-6</v>
      </c>
      <c r="D167">
        <v>0</v>
      </c>
      <c r="E167">
        <v>2.1397103490000002E-6</v>
      </c>
      <c r="F167">
        <v>100</v>
      </c>
      <c r="G167">
        <v>1.2298214605341471</v>
      </c>
      <c r="W167">
        <f t="shared" si="13"/>
        <v>-5.7594870800595999</v>
      </c>
      <c r="X167">
        <f t="shared" si="14"/>
        <v>-5.6696450127932865</v>
      </c>
    </row>
    <row r="168" spans="1:24" x14ac:dyDescent="0.2">
      <c r="A168" t="s">
        <v>141</v>
      </c>
      <c r="B168">
        <v>2.238899447107777E-6</v>
      </c>
      <c r="C168">
        <v>2.1068087229999999E-6</v>
      </c>
      <c r="D168">
        <v>0</v>
      </c>
      <c r="E168">
        <v>2.1068087229999999E-6</v>
      </c>
      <c r="F168">
        <v>100</v>
      </c>
      <c r="G168">
        <v>0.94100193991364234</v>
      </c>
      <c r="W168">
        <f t="shared" si="13"/>
        <v>-5.6499654109081767</v>
      </c>
      <c r="X168">
        <f t="shared" si="14"/>
        <v>-5.6763748921643176</v>
      </c>
    </row>
    <row r="169" spans="1:24" x14ac:dyDescent="0.2">
      <c r="A169" t="s">
        <v>166</v>
      </c>
      <c r="B169">
        <v>2.5768104240515701E-6</v>
      </c>
      <c r="C169">
        <v>2.0865736349999998E-6</v>
      </c>
      <c r="D169">
        <v>0</v>
      </c>
      <c r="E169">
        <v>2.0865736349999998E-6</v>
      </c>
      <c r="F169">
        <v>100</v>
      </c>
      <c r="G169">
        <v>0.80975054102708832</v>
      </c>
      <c r="W169">
        <f t="shared" si="13"/>
        <v>-5.5889175313198001</v>
      </c>
      <c r="X169">
        <f t="shared" si="14"/>
        <v>-5.6805662844677789</v>
      </c>
    </row>
    <row r="170" spans="1:24" x14ac:dyDescent="0.2">
      <c r="A170" t="s">
        <v>157</v>
      </c>
      <c r="B170">
        <v>2.065788517571665E-6</v>
      </c>
      <c r="C170">
        <v>2.0657885179999998E-6</v>
      </c>
      <c r="D170">
        <v>0</v>
      </c>
      <c r="E170">
        <v>2.0657885179999998E-6</v>
      </c>
      <c r="F170">
        <v>100</v>
      </c>
      <c r="G170">
        <v>1.000000000207347</v>
      </c>
      <c r="W170">
        <f t="shared" si="13"/>
        <v>-5.6849141408767929</v>
      </c>
      <c r="X170">
        <f t="shared" si="14"/>
        <v>-5.6849141407867432</v>
      </c>
    </row>
    <row r="171" spans="1:24" x14ac:dyDescent="0.2">
      <c r="A171" t="s">
        <v>418</v>
      </c>
      <c r="B171">
        <v>2.0549659560173349E-6</v>
      </c>
      <c r="C171">
        <v>2.054965956E-6</v>
      </c>
      <c r="D171">
        <v>0</v>
      </c>
      <c r="E171">
        <v>2.054965956E-6</v>
      </c>
      <c r="F171">
        <v>100</v>
      </c>
      <c r="G171">
        <v>0.99999999999156441</v>
      </c>
      <c r="W171">
        <f t="shared" si="13"/>
        <v>-5.6871953685500936</v>
      </c>
      <c r="X171">
        <f t="shared" si="14"/>
        <v>-5.6871953685537573</v>
      </c>
    </row>
    <row r="172" spans="1:24" x14ac:dyDescent="0.2">
      <c r="A172" t="s">
        <v>174</v>
      </c>
      <c r="B172">
        <v>2.0039010748613938E-6</v>
      </c>
      <c r="C172">
        <v>2.0039010750000002E-6</v>
      </c>
      <c r="D172">
        <v>0</v>
      </c>
      <c r="E172">
        <v>2.0039010750000002E-6</v>
      </c>
      <c r="F172">
        <v>100</v>
      </c>
      <c r="G172">
        <v>1.000000000069168</v>
      </c>
      <c r="W172">
        <f t="shared" si="13"/>
        <v>-5.6981237217779723</v>
      </c>
      <c r="X172">
        <f t="shared" si="14"/>
        <v>-5.6981237217479332</v>
      </c>
    </row>
    <row r="173" spans="1:24" x14ac:dyDescent="0.2">
      <c r="A173" t="s">
        <v>80</v>
      </c>
      <c r="B173">
        <v>1.9080312533096261E-6</v>
      </c>
      <c r="C173">
        <v>1.9672960429999999E-6</v>
      </c>
      <c r="D173">
        <v>0</v>
      </c>
      <c r="E173">
        <v>1.9672960429999999E-6</v>
      </c>
      <c r="F173">
        <v>100</v>
      </c>
      <c r="G173">
        <v>1.031060701750862</v>
      </c>
      <c r="W173">
        <f t="shared" si="13"/>
        <v>-5.7194145158852008</v>
      </c>
      <c r="X173">
        <f t="shared" si="14"/>
        <v>-5.7061302815818911</v>
      </c>
    </row>
    <row r="174" spans="1:24" x14ac:dyDescent="0.2">
      <c r="A174" t="s">
        <v>201</v>
      </c>
      <c r="B174">
        <v>2.0624459051593421E-6</v>
      </c>
      <c r="C174">
        <v>1.923870521E-6</v>
      </c>
      <c r="D174">
        <v>0</v>
      </c>
      <c r="E174">
        <v>1.923870521E-6</v>
      </c>
      <c r="F174">
        <v>100</v>
      </c>
      <c r="G174">
        <v>0.93281017271159106</v>
      </c>
      <c r="W174">
        <f t="shared" si="13"/>
        <v>-5.6856174335168923</v>
      </c>
      <c r="X174">
        <f t="shared" si="14"/>
        <v>-5.7158241599008166</v>
      </c>
    </row>
    <row r="175" spans="1:24" x14ac:dyDescent="0.2">
      <c r="A175" t="s">
        <v>180</v>
      </c>
      <c r="B175">
        <v>6.0457927947001129E-7</v>
      </c>
      <c r="C175">
        <v>1.8965285589999999E-6</v>
      </c>
      <c r="D175">
        <v>0</v>
      </c>
      <c r="E175">
        <v>1.8965285589999999E-6</v>
      </c>
      <c r="F175">
        <v>100</v>
      </c>
      <c r="G175">
        <v>3.1369393947184929</v>
      </c>
      <c r="W175">
        <f t="shared" si="13"/>
        <v>-6.2185467413230064</v>
      </c>
      <c r="X175">
        <f t="shared" si="14"/>
        <v>-5.7220406130599395</v>
      </c>
    </row>
    <row r="176" spans="1:24" x14ac:dyDescent="0.2">
      <c r="A176" t="s">
        <v>163</v>
      </c>
      <c r="B176">
        <v>1.8890205187089879E-6</v>
      </c>
      <c r="C176">
        <v>1.889020519E-6</v>
      </c>
      <c r="D176">
        <v>0</v>
      </c>
      <c r="E176">
        <v>1.889020519E-6</v>
      </c>
      <c r="F176">
        <v>100</v>
      </c>
      <c r="G176">
        <v>1.000000000154055</v>
      </c>
      <c r="W176">
        <f t="shared" si="13"/>
        <v>-5.7237633247072335</v>
      </c>
      <c r="X176">
        <f t="shared" si="14"/>
        <v>-5.7237633246403288</v>
      </c>
    </row>
    <row r="177" spans="1:24" x14ac:dyDescent="0.2">
      <c r="A177" t="s">
        <v>173</v>
      </c>
      <c r="B177">
        <v>3.4265450032540108E-6</v>
      </c>
      <c r="C177">
        <v>1.887868382E-6</v>
      </c>
      <c r="D177">
        <v>0</v>
      </c>
      <c r="E177">
        <v>1.887868382E-6</v>
      </c>
      <c r="F177">
        <v>100</v>
      </c>
      <c r="G177">
        <v>0.55095391428018303</v>
      </c>
      <c r="W177">
        <f t="shared" si="13"/>
        <v>-5.4651435599106355</v>
      </c>
      <c r="X177">
        <f t="shared" si="14"/>
        <v>-5.7240282870314037</v>
      </c>
    </row>
    <row r="178" spans="1:24" x14ac:dyDescent="0.2">
      <c r="A178" t="s">
        <v>172</v>
      </c>
      <c r="B178">
        <v>1.8756376615326789E-6</v>
      </c>
      <c r="C178">
        <v>1.8746115E-6</v>
      </c>
      <c r="D178">
        <v>0</v>
      </c>
      <c r="E178">
        <v>1.8746115E-6</v>
      </c>
      <c r="F178">
        <v>100</v>
      </c>
      <c r="G178">
        <v>0.99945289991040154</v>
      </c>
      <c r="W178">
        <f t="shared" si="13"/>
        <v>-5.7268510555068657</v>
      </c>
      <c r="X178">
        <f t="shared" si="14"/>
        <v>-5.7270887230767311</v>
      </c>
    </row>
    <row r="179" spans="1:24" x14ac:dyDescent="0.2">
      <c r="A179" t="s">
        <v>156</v>
      </c>
      <c r="B179">
        <v>1.727723173424285E-6</v>
      </c>
      <c r="C179">
        <v>1.8377459739999999E-6</v>
      </c>
      <c r="D179">
        <v>0</v>
      </c>
      <c r="E179">
        <v>1.8377459739999999E-6</v>
      </c>
      <c r="F179">
        <v>100</v>
      </c>
      <c r="G179">
        <v>1.0636808038857599</v>
      </c>
      <c r="W179">
        <f t="shared" si="13"/>
        <v>-5.7625258416518603</v>
      </c>
      <c r="X179">
        <f t="shared" si="14"/>
        <v>-5.7357145199980311</v>
      </c>
    </row>
    <row r="180" spans="1:24" x14ac:dyDescent="0.2">
      <c r="A180" t="s">
        <v>210</v>
      </c>
      <c r="B180">
        <v>1.829258890215966E-6</v>
      </c>
      <c r="C180">
        <v>1.8307893449999999E-6</v>
      </c>
      <c r="D180">
        <v>0</v>
      </c>
      <c r="E180">
        <v>1.8307893449999999E-6</v>
      </c>
      <c r="F180">
        <v>100</v>
      </c>
      <c r="G180">
        <v>1.00083665291568</v>
      </c>
      <c r="W180">
        <f t="shared" si="13"/>
        <v>-5.7377248256140421</v>
      </c>
      <c r="X180">
        <f t="shared" si="14"/>
        <v>-5.7373616237852509</v>
      </c>
    </row>
    <row r="181" spans="1:24" x14ac:dyDescent="0.2">
      <c r="A181" t="s">
        <v>190</v>
      </c>
      <c r="B181">
        <v>1.821507528905863E-6</v>
      </c>
      <c r="C181">
        <v>1.8215075289999999E-6</v>
      </c>
      <c r="D181">
        <v>0</v>
      </c>
      <c r="E181">
        <v>1.8215075289999999E-6</v>
      </c>
      <c r="F181">
        <v>100</v>
      </c>
      <c r="G181">
        <v>1.0000000000516811</v>
      </c>
      <c r="W181">
        <f t="shared" si="13"/>
        <v>-5.7395690293325714</v>
      </c>
      <c r="X181">
        <f t="shared" si="14"/>
        <v>-5.7395690293101262</v>
      </c>
    </row>
    <row r="182" spans="1:24" x14ac:dyDescent="0.2">
      <c r="A182" t="s">
        <v>177</v>
      </c>
      <c r="B182">
        <v>1.03745041361628E-6</v>
      </c>
      <c r="C182">
        <v>1.7984662919999999E-6</v>
      </c>
      <c r="D182">
        <v>0</v>
      </c>
      <c r="E182">
        <v>1.7984662919999999E-6</v>
      </c>
      <c r="F182">
        <v>100</v>
      </c>
      <c r="G182">
        <v>1.73354433946488</v>
      </c>
      <c r="W182">
        <f t="shared" si="13"/>
        <v>-5.9840326518278877</v>
      </c>
      <c r="X182">
        <f t="shared" si="14"/>
        <v>-5.7450976975928061</v>
      </c>
    </row>
    <row r="183" spans="1:24" x14ac:dyDescent="0.2">
      <c r="A183" t="s">
        <v>204</v>
      </c>
      <c r="B183">
        <v>1.9738210091550311E-6</v>
      </c>
      <c r="C183">
        <v>1.766779882E-6</v>
      </c>
      <c r="D183">
        <v>0</v>
      </c>
      <c r="E183">
        <v>1.766779882E-6</v>
      </c>
      <c r="F183">
        <v>100</v>
      </c>
      <c r="G183">
        <v>0.89510643255151956</v>
      </c>
      <c r="W183">
        <f t="shared" si="13"/>
        <v>-5.7046922327508609</v>
      </c>
      <c r="X183">
        <f t="shared" si="14"/>
        <v>-5.7528175546174785</v>
      </c>
    </row>
    <row r="184" spans="1:24" x14ac:dyDescent="0.2">
      <c r="A184" t="s">
        <v>205</v>
      </c>
      <c r="B184">
        <v>1.779343542025036E-6</v>
      </c>
      <c r="C184">
        <v>1.766779882E-6</v>
      </c>
      <c r="D184">
        <v>0</v>
      </c>
      <c r="E184">
        <v>1.766779882E-6</v>
      </c>
      <c r="F184">
        <v>100</v>
      </c>
      <c r="G184">
        <v>0.99293916001699289</v>
      </c>
      <c r="W184">
        <f t="shared" si="13"/>
        <v>-5.749740193567674</v>
      </c>
      <c r="X184">
        <f t="shared" si="14"/>
        <v>-5.7528175546174785</v>
      </c>
    </row>
    <row r="185" spans="1:24" x14ac:dyDescent="0.2">
      <c r="A185" t="s">
        <v>206</v>
      </c>
      <c r="B185">
        <v>1.765302936800632E-6</v>
      </c>
      <c r="C185">
        <v>1.766779882E-6</v>
      </c>
      <c r="D185">
        <v>0</v>
      </c>
      <c r="E185">
        <v>1.766779882E-6</v>
      </c>
      <c r="F185">
        <v>100</v>
      </c>
      <c r="G185">
        <v>1.0008366525476049</v>
      </c>
      <c r="W185">
        <f t="shared" si="13"/>
        <v>-5.7531807562865502</v>
      </c>
      <c r="X185">
        <f t="shared" si="14"/>
        <v>-5.7528175546174785</v>
      </c>
    </row>
    <row r="186" spans="1:24" x14ac:dyDescent="0.2">
      <c r="A186" t="s">
        <v>185</v>
      </c>
      <c r="B186">
        <v>1.5987013531885139E-6</v>
      </c>
      <c r="C186">
        <v>1.700507941E-6</v>
      </c>
      <c r="D186">
        <v>0</v>
      </c>
      <c r="E186">
        <v>1.700507941E-6</v>
      </c>
      <c r="F186">
        <v>100</v>
      </c>
      <c r="G186">
        <v>1.063680804177991</v>
      </c>
      <c r="W186">
        <f t="shared" si="13"/>
        <v>-5.7962326574394663</v>
      </c>
      <c r="X186">
        <f t="shared" si="14"/>
        <v>-5.76942133566632</v>
      </c>
    </row>
    <row r="187" spans="1:24" x14ac:dyDescent="0.2">
      <c r="A187" t="s">
        <v>191</v>
      </c>
      <c r="B187">
        <v>1.6748814992885981E-6</v>
      </c>
      <c r="C187">
        <v>1.674881499E-6</v>
      </c>
      <c r="D187">
        <v>0</v>
      </c>
      <c r="E187">
        <v>1.674881499E-6</v>
      </c>
      <c r="F187">
        <v>100</v>
      </c>
      <c r="G187">
        <v>0.99999999982769061</v>
      </c>
      <c r="W187">
        <f t="shared" si="13"/>
        <v>-5.7760159146125751</v>
      </c>
      <c r="X187">
        <f t="shared" si="14"/>
        <v>-5.7760159146874077</v>
      </c>
    </row>
    <row r="188" spans="1:24" x14ac:dyDescent="0.2">
      <c r="A188" t="s">
        <v>198</v>
      </c>
      <c r="B188">
        <v>1.5892504515651879E-6</v>
      </c>
      <c r="C188">
        <v>1.5892504509999999E-6</v>
      </c>
      <c r="D188">
        <v>0</v>
      </c>
      <c r="E188">
        <v>1.5892504509999999E-6</v>
      </c>
      <c r="F188">
        <v>100</v>
      </c>
      <c r="G188">
        <v>0.99999999964436803</v>
      </c>
      <c r="W188">
        <f t="shared" si="13"/>
        <v>-5.7988076564982656</v>
      </c>
      <c r="X188">
        <f t="shared" si="14"/>
        <v>-5.7988076566527145</v>
      </c>
    </row>
    <row r="189" spans="1:24" x14ac:dyDescent="0.2">
      <c r="A189" t="s">
        <v>130</v>
      </c>
      <c r="B189">
        <v>1.774962489346677E-6</v>
      </c>
      <c r="C189">
        <v>1.5822636749999999E-6</v>
      </c>
      <c r="D189">
        <v>0</v>
      </c>
      <c r="E189">
        <v>1.5822636749999999E-6</v>
      </c>
      <c r="F189">
        <v>100</v>
      </c>
      <c r="G189">
        <v>0.89143499341352006</v>
      </c>
      <c r="W189">
        <f t="shared" si="13"/>
        <v>-5.7508108205479784</v>
      </c>
      <c r="X189">
        <f t="shared" si="14"/>
        <v>-5.8007211421685838</v>
      </c>
    </row>
    <row r="190" spans="1:24" x14ac:dyDescent="0.2">
      <c r="A190" t="s">
        <v>249</v>
      </c>
      <c r="B190">
        <v>1.5510058920258949E-6</v>
      </c>
      <c r="C190">
        <v>1.5510135289999999E-6</v>
      </c>
      <c r="D190">
        <v>0</v>
      </c>
      <c r="E190">
        <v>1.5510135289999999E-6</v>
      </c>
      <c r="F190">
        <v>100</v>
      </c>
      <c r="G190">
        <v>1.0000049238846509</v>
      </c>
      <c r="W190">
        <f t="shared" si="13"/>
        <v>-5.8093865523672639</v>
      </c>
      <c r="X190">
        <f t="shared" si="14"/>
        <v>-5.8093844139565949</v>
      </c>
    </row>
    <row r="191" spans="1:24" x14ac:dyDescent="0.2">
      <c r="A191" t="s">
        <v>228</v>
      </c>
      <c r="B191">
        <v>1.5358062748432051E-6</v>
      </c>
      <c r="C191">
        <v>1.5370912110000001E-6</v>
      </c>
      <c r="D191">
        <v>0</v>
      </c>
      <c r="E191">
        <v>1.5370912110000001E-6</v>
      </c>
      <c r="F191">
        <v>100</v>
      </c>
      <c r="G191">
        <v>1.000836652498327</v>
      </c>
      <c r="W191">
        <f t="shared" si="13"/>
        <v>-5.8136635623466004</v>
      </c>
      <c r="X191">
        <f t="shared" si="14"/>
        <v>-5.8133003606989115</v>
      </c>
    </row>
    <row r="192" spans="1:24" x14ac:dyDescent="0.2">
      <c r="A192" t="s">
        <v>162</v>
      </c>
      <c r="B192">
        <v>1.1292499556175861E-6</v>
      </c>
      <c r="C192">
        <v>1.4915893189999999E-6</v>
      </c>
      <c r="D192">
        <v>0</v>
      </c>
      <c r="E192">
        <v>1.4915893189999999E-6</v>
      </c>
      <c r="F192">
        <v>100</v>
      </c>
      <c r="G192">
        <v>1.3208672814906159</v>
      </c>
      <c r="W192">
        <f t="shared" si="13"/>
        <v>-5.9472099178354529</v>
      </c>
      <c r="X192">
        <f t="shared" si="14"/>
        <v>-5.8263507352034427</v>
      </c>
    </row>
    <row r="193" spans="1:24" x14ac:dyDescent="0.2">
      <c r="A193" t="s">
        <v>239</v>
      </c>
      <c r="B193">
        <v>7.8457717489401614E-7</v>
      </c>
      <c r="C193">
        <v>1.43763654E-6</v>
      </c>
      <c r="D193">
        <v>0</v>
      </c>
      <c r="E193">
        <v>1.43763654E-6</v>
      </c>
      <c r="F193">
        <v>100</v>
      </c>
      <c r="G193">
        <v>1.8323710987312389</v>
      </c>
      <c r="W193">
        <f t="shared" si="13"/>
        <v>-6.1053643306211773</v>
      </c>
      <c r="X193">
        <f t="shared" si="14"/>
        <v>-5.8423508974191876</v>
      </c>
    </row>
    <row r="194" spans="1:24" x14ac:dyDescent="0.2">
      <c r="A194" t="s">
        <v>200</v>
      </c>
      <c r="B194">
        <v>2.1691878329227749E-6</v>
      </c>
      <c r="C194">
        <v>1.4324904920000001E-6</v>
      </c>
      <c r="D194">
        <v>0</v>
      </c>
      <c r="E194">
        <v>1.4324904920000001E-6</v>
      </c>
      <c r="F194">
        <v>100</v>
      </c>
      <c r="G194">
        <v>0.6603810284468794</v>
      </c>
      <c r="W194">
        <f t="shared" si="13"/>
        <v>-5.6637028402080558</v>
      </c>
      <c r="X194">
        <f t="shared" si="14"/>
        <v>-5.8439082519334438</v>
      </c>
    </row>
    <row r="195" spans="1:24" x14ac:dyDescent="0.2">
      <c r="A195" t="s">
        <v>199</v>
      </c>
      <c r="B195">
        <v>1.614710680509467E-6</v>
      </c>
      <c r="C195">
        <v>1.4324904920000001E-6</v>
      </c>
      <c r="D195">
        <v>0</v>
      </c>
      <c r="E195">
        <v>1.4324904920000001E-6</v>
      </c>
      <c r="F195">
        <v>100</v>
      </c>
      <c r="G195">
        <v>0.8871499453685574</v>
      </c>
      <c r="W195">
        <f t="shared" ref="W195:W258" si="15">LOG(B195)</f>
        <v>-5.7919052820724284</v>
      </c>
      <c r="X195">
        <f t="shared" ref="X195:X258" si="16">LOG(C195)</f>
        <v>-5.8439082519334438</v>
      </c>
    </row>
    <row r="196" spans="1:24" x14ac:dyDescent="0.2">
      <c r="A196" t="s">
        <v>215</v>
      </c>
      <c r="B196">
        <v>1.515309574659911E-6</v>
      </c>
      <c r="C196">
        <v>1.4179969939999999E-6</v>
      </c>
      <c r="D196">
        <v>0</v>
      </c>
      <c r="E196">
        <v>1.4179969939999999E-6</v>
      </c>
      <c r="F196">
        <v>100</v>
      </c>
      <c r="G196">
        <v>0.93578039610701214</v>
      </c>
      <c r="W196">
        <f t="shared" si="15"/>
        <v>-5.8194986326190881</v>
      </c>
      <c r="X196">
        <f t="shared" si="16"/>
        <v>-5.8483246898092265</v>
      </c>
    </row>
    <row r="197" spans="1:24" x14ac:dyDescent="0.2">
      <c r="A197" t="s">
        <v>136</v>
      </c>
      <c r="B197">
        <v>1.3990317172293719E-6</v>
      </c>
      <c r="C197">
        <v>1.397370706E-6</v>
      </c>
      <c r="D197">
        <v>0</v>
      </c>
      <c r="E197">
        <v>1.397370706E-6</v>
      </c>
      <c r="F197">
        <v>100</v>
      </c>
      <c r="G197">
        <v>0.99881274226386974</v>
      </c>
      <c r="W197">
        <f t="shared" si="15"/>
        <v>-5.8541724395742518</v>
      </c>
      <c r="X197">
        <f t="shared" si="16"/>
        <v>-5.8546883653867452</v>
      </c>
    </row>
    <row r="198" spans="1:24" x14ac:dyDescent="0.2">
      <c r="A198" t="s">
        <v>195</v>
      </c>
      <c r="B198">
        <v>2.8942979457365028E-6</v>
      </c>
      <c r="C198">
        <v>1.3765130569999999E-6</v>
      </c>
      <c r="D198">
        <v>0</v>
      </c>
      <c r="E198">
        <v>1.3765130569999999E-6</v>
      </c>
      <c r="F198">
        <v>100</v>
      </c>
      <c r="G198">
        <v>0.47559480150538641</v>
      </c>
      <c r="W198">
        <f t="shared" si="15"/>
        <v>-5.5384567636354785</v>
      </c>
      <c r="X198">
        <f t="shared" si="16"/>
        <v>-5.861219664723861</v>
      </c>
    </row>
    <row r="199" spans="1:24" x14ac:dyDescent="0.2">
      <c r="A199" t="s">
        <v>194</v>
      </c>
      <c r="B199">
        <v>1.699922367950851E-6</v>
      </c>
      <c r="C199">
        <v>1.3765130569999999E-6</v>
      </c>
      <c r="D199">
        <v>0</v>
      </c>
      <c r="E199">
        <v>1.3765130569999999E-6</v>
      </c>
      <c r="F199">
        <v>100</v>
      </c>
      <c r="G199">
        <v>0.80975054093752485</v>
      </c>
      <c r="W199">
        <f t="shared" si="15"/>
        <v>-5.7695709115278468</v>
      </c>
      <c r="X199">
        <f t="shared" si="16"/>
        <v>-5.861219664723861</v>
      </c>
    </row>
    <row r="200" spans="1:24" x14ac:dyDescent="0.2">
      <c r="A200" t="s">
        <v>251</v>
      </c>
      <c r="B200">
        <v>1.361366385907211E-6</v>
      </c>
      <c r="C200">
        <v>1.361366386E-6</v>
      </c>
      <c r="D200">
        <v>0</v>
      </c>
      <c r="E200">
        <v>1.361366386E-6</v>
      </c>
      <c r="F200">
        <v>100</v>
      </c>
      <c r="G200">
        <v>1.000000000068159</v>
      </c>
      <c r="W200">
        <f t="shared" si="15"/>
        <v>-5.866024976954014</v>
      </c>
      <c r="X200">
        <f t="shared" si="16"/>
        <v>-5.8660249769244128</v>
      </c>
    </row>
    <row r="201" spans="1:24" x14ac:dyDescent="0.2">
      <c r="A201" t="s">
        <v>224</v>
      </c>
      <c r="B201">
        <v>1.287327026593518E-6</v>
      </c>
      <c r="C201">
        <v>1.352477793E-6</v>
      </c>
      <c r="D201">
        <v>0</v>
      </c>
      <c r="E201">
        <v>1.352477793E-6</v>
      </c>
      <c r="F201">
        <v>100</v>
      </c>
      <c r="G201">
        <v>1.050609336291868</v>
      </c>
      <c r="W201">
        <f t="shared" si="15"/>
        <v>-5.8903111129218146</v>
      </c>
      <c r="X201">
        <f t="shared" si="16"/>
        <v>-5.8688698570581668</v>
      </c>
    </row>
    <row r="202" spans="1:24" x14ac:dyDescent="0.2">
      <c r="A202" t="s">
        <v>221</v>
      </c>
      <c r="B202">
        <v>1.4600303893310601E-6</v>
      </c>
      <c r="C202">
        <v>1.345545968E-6</v>
      </c>
      <c r="D202">
        <v>0</v>
      </c>
      <c r="E202">
        <v>1.345545968E-6</v>
      </c>
      <c r="F202">
        <v>100</v>
      </c>
      <c r="G202">
        <v>0.92158764490956036</v>
      </c>
      <c r="W202">
        <f t="shared" si="15"/>
        <v>-5.8356381046392372</v>
      </c>
      <c r="X202">
        <f t="shared" si="16"/>
        <v>-5.8711014608078962</v>
      </c>
    </row>
    <row r="203" spans="1:24" x14ac:dyDescent="0.2">
      <c r="A203" t="s">
        <v>186</v>
      </c>
      <c r="B203">
        <v>1.0140946295064951E-6</v>
      </c>
      <c r="C203">
        <v>1.339484417E-6</v>
      </c>
      <c r="D203">
        <v>0</v>
      </c>
      <c r="E203">
        <v>1.339484417E-6</v>
      </c>
      <c r="F203">
        <v>100</v>
      </c>
      <c r="G203">
        <v>1.3208672820325009</v>
      </c>
      <c r="W203">
        <f t="shared" si="15"/>
        <v>-5.993921517236446</v>
      </c>
      <c r="X203">
        <f t="shared" si="16"/>
        <v>-5.8730623344262662</v>
      </c>
    </row>
    <row r="204" spans="1:24" x14ac:dyDescent="0.2">
      <c r="A204" t="s">
        <v>229</v>
      </c>
      <c r="B204">
        <v>8.1425200583069108E-7</v>
      </c>
      <c r="C204">
        <v>1.3233996019999999E-6</v>
      </c>
      <c r="D204">
        <v>0</v>
      </c>
      <c r="E204">
        <v>1.3233996019999999E-6</v>
      </c>
      <c r="F204">
        <v>100</v>
      </c>
      <c r="G204">
        <v>1.625294862675692</v>
      </c>
      <c r="W204">
        <f t="shared" si="15"/>
        <v>-6.0892411629195182</v>
      </c>
      <c r="X204">
        <f t="shared" si="16"/>
        <v>-5.8783090003023899</v>
      </c>
    </row>
    <row r="205" spans="1:24" x14ac:dyDescent="0.2">
      <c r="A205" t="s">
        <v>225</v>
      </c>
      <c r="B205">
        <v>5.6226930368670139E-7</v>
      </c>
      <c r="C205">
        <v>1.3153472779999999E-6</v>
      </c>
      <c r="D205">
        <v>0</v>
      </c>
      <c r="E205">
        <v>1.3153472779999999E-6</v>
      </c>
      <c r="F205">
        <v>100</v>
      </c>
      <c r="G205">
        <v>2.3393545928534571</v>
      </c>
      <c r="W205">
        <f t="shared" si="15"/>
        <v>-6.250055625548705</v>
      </c>
      <c r="X205">
        <f t="shared" si="16"/>
        <v>-5.8809595696020072</v>
      </c>
    </row>
    <row r="206" spans="1:24" x14ac:dyDescent="0.2">
      <c r="A206" t="s">
        <v>207</v>
      </c>
      <c r="B206">
        <v>1.6135099111870621E-6</v>
      </c>
      <c r="C206">
        <v>1.3065405239999999E-6</v>
      </c>
      <c r="D206">
        <v>0</v>
      </c>
      <c r="E206">
        <v>1.3065405239999999E-6</v>
      </c>
      <c r="F206">
        <v>100</v>
      </c>
      <c r="G206">
        <v>0.80975054131447888</v>
      </c>
      <c r="W206">
        <f t="shared" si="15"/>
        <v>-5.7922283625435407</v>
      </c>
      <c r="X206">
        <f t="shared" si="16"/>
        <v>-5.8838771155373832</v>
      </c>
    </row>
    <row r="207" spans="1:24" x14ac:dyDescent="0.2">
      <c r="A207" t="s">
        <v>260</v>
      </c>
      <c r="B207">
        <v>1.28158156062106E-6</v>
      </c>
      <c r="C207">
        <v>1.2815815610000001E-6</v>
      </c>
      <c r="D207">
        <v>0</v>
      </c>
      <c r="E207">
        <v>1.2815815610000001E-6</v>
      </c>
      <c r="F207">
        <v>100</v>
      </c>
      <c r="G207">
        <v>1.0000000002956819</v>
      </c>
      <c r="W207">
        <f t="shared" si="15"/>
        <v>-5.8922537498382814</v>
      </c>
      <c r="X207">
        <f t="shared" si="16"/>
        <v>-5.8922537497098686</v>
      </c>
    </row>
    <row r="208" spans="1:24" x14ac:dyDescent="0.2">
      <c r="A208" t="s">
        <v>175</v>
      </c>
      <c r="B208">
        <v>1.277419404931769E-6</v>
      </c>
      <c r="C208">
        <v>1.277419405E-6</v>
      </c>
      <c r="D208">
        <v>0</v>
      </c>
      <c r="E208">
        <v>1.277419405E-6</v>
      </c>
      <c r="F208">
        <v>100</v>
      </c>
      <c r="G208">
        <v>1.0000000000534131</v>
      </c>
      <c r="W208">
        <f t="shared" si="15"/>
        <v>-5.8936664908782221</v>
      </c>
      <c r="X208">
        <f t="shared" si="16"/>
        <v>-5.8936664908550256</v>
      </c>
    </row>
    <row r="209" spans="1:24" x14ac:dyDescent="0.2">
      <c r="A209" t="s">
        <v>238</v>
      </c>
      <c r="B209">
        <v>7.7887687954185434E-7</v>
      </c>
      <c r="C209">
        <v>1.237122998E-6</v>
      </c>
      <c r="D209">
        <v>0</v>
      </c>
      <c r="E209">
        <v>1.237122998E-6</v>
      </c>
      <c r="F209">
        <v>100</v>
      </c>
      <c r="G209">
        <v>1.5883421764010921</v>
      </c>
      <c r="W209">
        <f t="shared" si="15"/>
        <v>-6.1085311877209136</v>
      </c>
      <c r="X209">
        <f t="shared" si="16"/>
        <v>-5.9075871195324385</v>
      </c>
    </row>
    <row r="210" spans="1:24" x14ac:dyDescent="0.2">
      <c r="A210" t="s">
        <v>237</v>
      </c>
      <c r="B210">
        <v>1.172789814215008E-6</v>
      </c>
      <c r="C210">
        <v>1.237122998E-6</v>
      </c>
      <c r="D210">
        <v>0</v>
      </c>
      <c r="E210">
        <v>1.237122998E-6</v>
      </c>
      <c r="F210">
        <v>100</v>
      </c>
      <c r="G210">
        <v>1.0548548282098209</v>
      </c>
      <c r="W210">
        <f t="shared" si="15"/>
        <v>-5.930779814573194</v>
      </c>
      <c r="X210">
        <f t="shared" si="16"/>
        <v>-5.9075871195324385</v>
      </c>
    </row>
    <row r="211" spans="1:24" x14ac:dyDescent="0.2">
      <c r="A211" t="s">
        <v>236</v>
      </c>
      <c r="B211">
        <v>6.1182655446455362E-7</v>
      </c>
      <c r="C211">
        <v>1.237122998E-6</v>
      </c>
      <c r="D211">
        <v>0</v>
      </c>
      <c r="E211">
        <v>1.237122998E-6</v>
      </c>
      <c r="F211">
        <v>100</v>
      </c>
      <c r="G211">
        <v>2.022015862130536</v>
      </c>
      <c r="W211">
        <f t="shared" si="15"/>
        <v>-6.2133716777155827</v>
      </c>
      <c r="X211">
        <f t="shared" si="16"/>
        <v>-5.9075871195324385</v>
      </c>
    </row>
    <row r="212" spans="1:24" x14ac:dyDescent="0.2">
      <c r="A212" t="s">
        <v>165</v>
      </c>
      <c r="B212">
        <v>1.2217190544398841E-6</v>
      </c>
      <c r="C212">
        <v>1.222741209E-6</v>
      </c>
      <c r="D212">
        <v>0</v>
      </c>
      <c r="E212">
        <v>1.222741209E-6</v>
      </c>
      <c r="F212">
        <v>100</v>
      </c>
      <c r="G212">
        <v>1.0008366527119319</v>
      </c>
      <c r="W212">
        <f t="shared" si="15"/>
        <v>-5.913028652632268</v>
      </c>
      <c r="X212">
        <f t="shared" si="16"/>
        <v>-5.9126654508918897</v>
      </c>
    </row>
    <row r="213" spans="1:24" x14ac:dyDescent="0.2">
      <c r="A213" t="s">
        <v>178</v>
      </c>
      <c r="B213">
        <v>1.173376515871842E-6</v>
      </c>
      <c r="C213">
        <v>1.1743582249999999E-6</v>
      </c>
      <c r="D213">
        <v>0</v>
      </c>
      <c r="E213">
        <v>1.1743582249999999E-6</v>
      </c>
      <c r="F213">
        <v>100</v>
      </c>
      <c r="G213">
        <v>1.0008366531244479</v>
      </c>
      <c r="W213">
        <f t="shared" si="15"/>
        <v>-5.9305626080655989</v>
      </c>
      <c r="X213">
        <f t="shared" si="16"/>
        <v>-5.9301994061462171</v>
      </c>
    </row>
    <row r="214" spans="1:24" x14ac:dyDescent="0.2">
      <c r="A214" t="s">
        <v>231</v>
      </c>
      <c r="B214">
        <v>1.093396482023827E-6</v>
      </c>
      <c r="C214">
        <v>1.163024849E-6</v>
      </c>
      <c r="D214">
        <v>0</v>
      </c>
      <c r="E214">
        <v>1.163024849E-6</v>
      </c>
      <c r="F214">
        <v>100</v>
      </c>
      <c r="G214">
        <v>1.063680803917801</v>
      </c>
      <c r="W214">
        <f t="shared" si="15"/>
        <v>-5.9612223277739815</v>
      </c>
      <c r="X214">
        <f t="shared" si="16"/>
        <v>-5.9344110061070703</v>
      </c>
    </row>
    <row r="215" spans="1:24" x14ac:dyDescent="0.2">
      <c r="A215" t="s">
        <v>262</v>
      </c>
      <c r="B215">
        <v>1.129574755341195E-6</v>
      </c>
      <c r="C215">
        <v>1.1430446440000001E-6</v>
      </c>
      <c r="D215">
        <v>0</v>
      </c>
      <c r="E215">
        <v>1.1430446440000001E-6</v>
      </c>
      <c r="F215">
        <v>100</v>
      </c>
      <c r="G215">
        <v>1.0119247430018361</v>
      </c>
      <c r="W215">
        <f t="shared" si="15"/>
        <v>-5.94708502215145</v>
      </c>
      <c r="X215">
        <f t="shared" si="16"/>
        <v>-5.9419368069938585</v>
      </c>
    </row>
    <row r="216" spans="1:24" x14ac:dyDescent="0.2">
      <c r="A216" t="s">
        <v>263</v>
      </c>
      <c r="B216">
        <v>1.1693655473819251E-6</v>
      </c>
      <c r="C216">
        <v>1.1430446440000001E-6</v>
      </c>
      <c r="D216">
        <v>0</v>
      </c>
      <c r="E216">
        <v>1.1430446440000001E-6</v>
      </c>
      <c r="F216">
        <v>100</v>
      </c>
      <c r="G216">
        <v>0.97749129565100112</v>
      </c>
      <c r="W216">
        <f t="shared" si="15"/>
        <v>-5.9320497057803614</v>
      </c>
      <c r="X216">
        <f t="shared" si="16"/>
        <v>-5.9419368069938585</v>
      </c>
    </row>
    <row r="217" spans="1:24" x14ac:dyDescent="0.2">
      <c r="A217" t="s">
        <v>218</v>
      </c>
      <c r="B217">
        <v>2.5081008194319922E-6</v>
      </c>
      <c r="C217">
        <v>1.125022354E-6</v>
      </c>
      <c r="D217">
        <v>0</v>
      </c>
      <c r="E217">
        <v>1.125022354E-6</v>
      </c>
      <c r="F217">
        <v>100</v>
      </c>
      <c r="G217">
        <v>0.44855547483724489</v>
      </c>
      <c r="W217">
        <f t="shared" si="15"/>
        <v>-5.6006550099294632</v>
      </c>
      <c r="X217">
        <f t="shared" si="16"/>
        <v>-5.9488388481104879</v>
      </c>
    </row>
    <row r="218" spans="1:24" x14ac:dyDescent="0.2">
      <c r="A218" t="s">
        <v>223</v>
      </c>
      <c r="B218">
        <v>1.116059691319303E-6</v>
      </c>
      <c r="C218">
        <v>1.1160596979999999E-6</v>
      </c>
      <c r="D218">
        <v>0</v>
      </c>
      <c r="E218">
        <v>1.1160596979999999E-6</v>
      </c>
      <c r="F218">
        <v>100</v>
      </c>
      <c r="G218">
        <v>1.0000000059859671</v>
      </c>
      <c r="W218">
        <f t="shared" si="15"/>
        <v>-5.952312576977894</v>
      </c>
      <c r="X218">
        <f t="shared" si="16"/>
        <v>-5.9523125743782215</v>
      </c>
    </row>
    <row r="219" spans="1:24" x14ac:dyDescent="0.2">
      <c r="A219" t="s">
        <v>222</v>
      </c>
      <c r="B219">
        <v>1.7287051505047269E-6</v>
      </c>
      <c r="C219">
        <v>1.1160596979999999E-6</v>
      </c>
      <c r="D219">
        <v>0</v>
      </c>
      <c r="E219">
        <v>1.1160596979999999E-6</v>
      </c>
      <c r="F219">
        <v>100</v>
      </c>
      <c r="G219">
        <v>0.6456044269169593</v>
      </c>
      <c r="W219">
        <f t="shared" si="15"/>
        <v>-5.7622790740646881</v>
      </c>
      <c r="X219">
        <f t="shared" si="16"/>
        <v>-5.9523125743782215</v>
      </c>
    </row>
    <row r="220" spans="1:24" x14ac:dyDescent="0.2">
      <c r="A220" t="s">
        <v>212</v>
      </c>
      <c r="B220">
        <v>9.7677084821617746E-7</v>
      </c>
      <c r="C220">
        <v>1.0488879519999999E-6</v>
      </c>
      <c r="D220">
        <v>0</v>
      </c>
      <c r="E220">
        <v>1.0488879519999999E-6</v>
      </c>
      <c r="F220">
        <v>100</v>
      </c>
      <c r="G220">
        <v>1.073832162288141</v>
      </c>
      <c r="W220">
        <f t="shared" si="15"/>
        <v>-6.0102073104142963</v>
      </c>
      <c r="X220">
        <f t="shared" si="16"/>
        <v>-5.9792709030620932</v>
      </c>
    </row>
    <row r="221" spans="1:24" x14ac:dyDescent="0.2">
      <c r="A221" t="s">
        <v>220</v>
      </c>
      <c r="B221">
        <v>1.6387567860686091E-6</v>
      </c>
      <c r="C221">
        <v>1.04853433E-6</v>
      </c>
      <c r="D221">
        <v>0</v>
      </c>
      <c r="E221">
        <v>1.04853433E-6</v>
      </c>
      <c r="F221">
        <v>100</v>
      </c>
      <c r="G221">
        <v>0.63983523297282119</v>
      </c>
      <c r="W221">
        <f t="shared" si="15"/>
        <v>-5.7854854968908453</v>
      </c>
      <c r="X221">
        <f t="shared" si="16"/>
        <v>-5.9794173457561115</v>
      </c>
    </row>
    <row r="222" spans="1:24" x14ac:dyDescent="0.2">
      <c r="A222" t="s">
        <v>226</v>
      </c>
      <c r="B222">
        <v>6.3636947141521223E-7</v>
      </c>
      <c r="C222">
        <v>1.0342880330000001E-6</v>
      </c>
      <c r="D222">
        <v>0</v>
      </c>
      <c r="E222">
        <v>1.0342880330000001E-6</v>
      </c>
      <c r="F222">
        <v>100</v>
      </c>
      <c r="G222">
        <v>1.6252948632181601</v>
      </c>
      <c r="W222">
        <f t="shared" si="15"/>
        <v>-6.1962906629568382</v>
      </c>
      <c r="X222">
        <f t="shared" si="16"/>
        <v>-5.9853585001947573</v>
      </c>
    </row>
    <row r="223" spans="1:24" x14ac:dyDescent="0.2">
      <c r="A223" t="s">
        <v>213</v>
      </c>
      <c r="B223">
        <v>1.0628785150731249E-6</v>
      </c>
      <c r="C223">
        <v>1.028372398E-6</v>
      </c>
      <c r="D223">
        <v>0</v>
      </c>
      <c r="E223">
        <v>1.028372398E-6</v>
      </c>
      <c r="F223">
        <v>100</v>
      </c>
      <c r="G223">
        <v>0.9675352200803955</v>
      </c>
      <c r="W223">
        <f t="shared" si="15"/>
        <v>-5.9735163716464648</v>
      </c>
      <c r="X223">
        <f t="shared" si="16"/>
        <v>-5.9878495885413923</v>
      </c>
    </row>
    <row r="224" spans="1:24" x14ac:dyDescent="0.2">
      <c r="A224" t="s">
        <v>244</v>
      </c>
      <c r="B224">
        <v>1.0133078431770641E-6</v>
      </c>
      <c r="C224">
        <v>1.0133078430000001E-6</v>
      </c>
      <c r="D224">
        <v>0</v>
      </c>
      <c r="E224">
        <v>1.0133078430000001E-6</v>
      </c>
      <c r="F224">
        <v>100</v>
      </c>
      <c r="G224">
        <v>0.999999999825261</v>
      </c>
      <c r="W224">
        <f t="shared" si="15"/>
        <v>-5.994258595821548</v>
      </c>
      <c r="X224">
        <f t="shared" si="16"/>
        <v>-5.9942585958974357</v>
      </c>
    </row>
    <row r="225" spans="1:24" x14ac:dyDescent="0.2">
      <c r="A225" t="s">
        <v>196</v>
      </c>
      <c r="B225">
        <v>9.6970643996963712E-7</v>
      </c>
      <c r="C225">
        <v>9.9990311299999991E-7</v>
      </c>
      <c r="D225">
        <v>0</v>
      </c>
      <c r="E225">
        <v>9.9990311299999991E-7</v>
      </c>
      <c r="F225">
        <v>100</v>
      </c>
      <c r="G225">
        <v>1.031140014942366</v>
      </c>
      <c r="W225">
        <f t="shared" si="15"/>
        <v>-6.0133597201638072</v>
      </c>
      <c r="X225">
        <f t="shared" si="16"/>
        <v>-6.0000420795279803</v>
      </c>
    </row>
    <row r="226" spans="1:24" x14ac:dyDescent="0.2">
      <c r="A226" t="s">
        <v>241</v>
      </c>
      <c r="B226">
        <v>5.7902663008489962E-7</v>
      </c>
      <c r="C226">
        <v>9.7976046400000007E-7</v>
      </c>
      <c r="D226">
        <v>0</v>
      </c>
      <c r="E226">
        <v>9.7976046400000007E-7</v>
      </c>
      <c r="F226">
        <v>100</v>
      </c>
      <c r="G226">
        <v>1.6920818717031081</v>
      </c>
      <c r="W226">
        <f t="shared" si="15"/>
        <v>-6.2373014621223568</v>
      </c>
      <c r="X226">
        <f t="shared" si="16"/>
        <v>-6.0088800894898791</v>
      </c>
    </row>
    <row r="227" spans="1:24" x14ac:dyDescent="0.2">
      <c r="A227" t="s">
        <v>192</v>
      </c>
      <c r="B227">
        <v>2.4999818944861388E-6</v>
      </c>
      <c r="C227">
        <v>9.6547477000000007E-7</v>
      </c>
      <c r="D227">
        <v>0</v>
      </c>
      <c r="E227">
        <v>9.6547477000000007E-7</v>
      </c>
      <c r="F227">
        <v>100</v>
      </c>
      <c r="G227">
        <v>0.38619270488694862</v>
      </c>
      <c r="W227">
        <f t="shared" si="15"/>
        <v>-5.6020631365892566</v>
      </c>
      <c r="X227">
        <f t="shared" si="16"/>
        <v>-6.0152590708156541</v>
      </c>
    </row>
    <row r="228" spans="1:24" x14ac:dyDescent="0.2">
      <c r="A228" t="s">
        <v>193</v>
      </c>
      <c r="B228">
        <v>9.0767339811680412E-7</v>
      </c>
      <c r="C228">
        <v>9.6547477000000007E-7</v>
      </c>
      <c r="D228">
        <v>0</v>
      </c>
      <c r="E228">
        <v>9.6547477000000007E-7</v>
      </c>
      <c r="F228">
        <v>100</v>
      </c>
      <c r="G228">
        <v>1.0636808041340859</v>
      </c>
      <c r="W228">
        <f t="shared" si="15"/>
        <v>-6.0420703925708734</v>
      </c>
      <c r="X228">
        <f t="shared" si="16"/>
        <v>-6.0152590708156541</v>
      </c>
    </row>
    <row r="229" spans="1:24" x14ac:dyDescent="0.2">
      <c r="A229" t="s">
        <v>219</v>
      </c>
      <c r="B229">
        <v>9.5748427639140765E-7</v>
      </c>
      <c r="C229">
        <v>9.5748427499999996E-7</v>
      </c>
      <c r="D229">
        <v>0</v>
      </c>
      <c r="E229">
        <v>9.5748427499999996E-7</v>
      </c>
      <c r="F229">
        <v>100</v>
      </c>
      <c r="G229">
        <v>0.99999999854680888</v>
      </c>
      <c r="W229">
        <f t="shared" si="15"/>
        <v>-6.0188683491948662</v>
      </c>
      <c r="X229">
        <f t="shared" si="16"/>
        <v>-6.0188683498259792</v>
      </c>
    </row>
    <row r="230" spans="1:24" x14ac:dyDescent="0.2">
      <c r="A230" t="s">
        <v>211</v>
      </c>
      <c r="B230">
        <v>1.536374177708969E-6</v>
      </c>
      <c r="C230">
        <v>9.5071286700000004E-7</v>
      </c>
      <c r="D230">
        <v>0</v>
      </c>
      <c r="E230">
        <v>9.5071286700000004E-7</v>
      </c>
      <c r="F230">
        <v>100</v>
      </c>
      <c r="G230">
        <v>0.6188029457886991</v>
      </c>
      <c r="W230">
        <f t="shared" si="15"/>
        <v>-5.8135030007601465</v>
      </c>
      <c r="X230">
        <f t="shared" si="16"/>
        <v>-6.0219506282849631</v>
      </c>
    </row>
    <row r="231" spans="1:24" x14ac:dyDescent="0.2">
      <c r="A231" t="s">
        <v>242</v>
      </c>
      <c r="B231">
        <v>5.0686954548025543E-7</v>
      </c>
      <c r="C231">
        <v>9.4279343700000001E-7</v>
      </c>
      <c r="D231">
        <v>0</v>
      </c>
      <c r="E231">
        <v>9.4279343700000001E-7</v>
      </c>
      <c r="F231">
        <v>100</v>
      </c>
      <c r="G231">
        <v>1.86003172888738</v>
      </c>
      <c r="W231">
        <f t="shared" si="15"/>
        <v>-6.2951038019452819</v>
      </c>
      <c r="X231">
        <f t="shared" si="16"/>
        <v>-6.0255834493600657</v>
      </c>
    </row>
    <row r="232" spans="1:24" x14ac:dyDescent="0.2">
      <c r="A232" t="s">
        <v>216</v>
      </c>
      <c r="B232">
        <v>9.3972717963710769E-7</v>
      </c>
      <c r="C232">
        <v>9.3972718E-7</v>
      </c>
      <c r="D232">
        <v>0</v>
      </c>
      <c r="E232">
        <v>9.3972718E-7</v>
      </c>
      <c r="F232">
        <v>100</v>
      </c>
      <c r="G232">
        <v>1.000000000386168</v>
      </c>
      <c r="W232">
        <f t="shared" si="15"/>
        <v>-6.0269982119062648</v>
      </c>
      <c r="X232">
        <f t="shared" si="16"/>
        <v>-6.0269982117385545</v>
      </c>
    </row>
    <row r="233" spans="1:24" x14ac:dyDescent="0.2">
      <c r="A233" t="s">
        <v>209</v>
      </c>
      <c r="B233">
        <v>5.7726613336220869E-7</v>
      </c>
      <c r="C233">
        <v>9.3822768100000001E-7</v>
      </c>
      <c r="D233">
        <v>0</v>
      </c>
      <c r="E233">
        <v>9.3822768100000001E-7</v>
      </c>
      <c r="F233">
        <v>100</v>
      </c>
      <c r="G233">
        <v>1.6252948627618591</v>
      </c>
      <c r="W233">
        <f t="shared" si="15"/>
        <v>-6.2386239206329241</v>
      </c>
      <c r="X233">
        <f t="shared" si="16"/>
        <v>-6.0276917579927716</v>
      </c>
    </row>
    <row r="234" spans="1:24" x14ac:dyDescent="0.2">
      <c r="A234" t="s">
        <v>208</v>
      </c>
      <c r="B234">
        <v>2.2475971044522118E-6</v>
      </c>
      <c r="C234">
        <v>9.3822768100000001E-7</v>
      </c>
      <c r="D234">
        <v>0</v>
      </c>
      <c r="E234">
        <v>9.3822768100000001E-7</v>
      </c>
      <c r="F234">
        <v>100</v>
      </c>
      <c r="G234">
        <v>0.41743588258833708</v>
      </c>
      <c r="W234">
        <f t="shared" si="15"/>
        <v>-5.6482815360722602</v>
      </c>
      <c r="X234">
        <f t="shared" si="16"/>
        <v>-6.0276917579927716</v>
      </c>
    </row>
    <row r="235" spans="1:24" x14ac:dyDescent="0.2">
      <c r="A235" t="s">
        <v>158</v>
      </c>
      <c r="B235">
        <v>9.319604943454738E-7</v>
      </c>
      <c r="C235">
        <v>9.3196049499999998E-7</v>
      </c>
      <c r="D235">
        <v>0</v>
      </c>
      <c r="E235">
        <v>9.3196049499999998E-7</v>
      </c>
      <c r="F235">
        <v>100</v>
      </c>
      <c r="G235">
        <v>1.0000000007023111</v>
      </c>
      <c r="W235">
        <f t="shared" si="15"/>
        <v>-6.0306024969286396</v>
      </c>
      <c r="X235">
        <f t="shared" si="16"/>
        <v>-6.0306024966236293</v>
      </c>
    </row>
    <row r="236" spans="1:24" x14ac:dyDescent="0.2">
      <c r="A236" t="s">
        <v>217</v>
      </c>
      <c r="B236">
        <v>9.2751541882729204E-7</v>
      </c>
      <c r="C236">
        <v>9.2751541900000004E-7</v>
      </c>
      <c r="D236">
        <v>0</v>
      </c>
      <c r="E236">
        <v>9.2751541900000004E-7</v>
      </c>
      <c r="F236">
        <v>100</v>
      </c>
      <c r="G236">
        <v>1.0000000001862051</v>
      </c>
      <c r="W236">
        <f t="shared" si="15"/>
        <v>-6.0326788620299503</v>
      </c>
      <c r="X236">
        <f t="shared" si="16"/>
        <v>-6.0326788619490825</v>
      </c>
    </row>
    <row r="237" spans="1:24" x14ac:dyDescent="0.2">
      <c r="A237" t="s">
        <v>202</v>
      </c>
      <c r="B237">
        <v>8.8504752523797425E-7</v>
      </c>
      <c r="C237">
        <v>8.8502415399999995E-7</v>
      </c>
      <c r="D237">
        <v>0</v>
      </c>
      <c r="E237">
        <v>8.8502415399999995E-7</v>
      </c>
      <c r="F237">
        <v>100</v>
      </c>
      <c r="G237">
        <v>0.99997359323956303</v>
      </c>
      <c r="W237">
        <f t="shared" si="15"/>
        <v>-6.0530334079525341</v>
      </c>
      <c r="X237">
        <f t="shared" si="16"/>
        <v>-6.0530448764143001</v>
      </c>
    </row>
    <row r="238" spans="1:24" x14ac:dyDescent="0.2">
      <c r="A238" t="s">
        <v>419</v>
      </c>
      <c r="B238">
        <v>8.7505491690006275E-7</v>
      </c>
      <c r="C238">
        <v>8.8448652199999998E-7</v>
      </c>
      <c r="D238">
        <v>0</v>
      </c>
      <c r="E238">
        <v>8.8448652199999998E-7</v>
      </c>
      <c r="F238">
        <v>100</v>
      </c>
      <c r="G238">
        <v>1.0107783007875091</v>
      </c>
      <c r="W238">
        <f t="shared" si="15"/>
        <v>-6.0579646905682587</v>
      </c>
      <c r="X238">
        <f t="shared" si="16"/>
        <v>-6.0533087805785932</v>
      </c>
    </row>
    <row r="239" spans="1:24" x14ac:dyDescent="0.2">
      <c r="A239" t="s">
        <v>203</v>
      </c>
      <c r="B239">
        <v>8.5535122951089746E-7</v>
      </c>
      <c r="C239">
        <v>8.8191903900000001E-7</v>
      </c>
      <c r="D239">
        <v>0</v>
      </c>
      <c r="E239">
        <v>8.8191903900000001E-7</v>
      </c>
      <c r="F239">
        <v>100</v>
      </c>
      <c r="G239">
        <v>1.031060701817538</v>
      </c>
      <c r="W239">
        <f t="shared" si="15"/>
        <v>-6.0678555160129566</v>
      </c>
      <c r="X239">
        <f t="shared" si="16"/>
        <v>-6.0545712816815618</v>
      </c>
    </row>
    <row r="240" spans="1:24" x14ac:dyDescent="0.2">
      <c r="A240" t="s">
        <v>214</v>
      </c>
      <c r="B240">
        <v>8.7508169269494031E-7</v>
      </c>
      <c r="C240">
        <v>8.7508169299999997E-7</v>
      </c>
      <c r="D240">
        <v>0</v>
      </c>
      <c r="E240">
        <v>8.7508169299999997E-7</v>
      </c>
      <c r="F240">
        <v>100</v>
      </c>
      <c r="G240">
        <v>1.0000000003486069</v>
      </c>
      <c r="W240">
        <f t="shared" si="15"/>
        <v>-6.057951401799941</v>
      </c>
      <c r="X240">
        <f t="shared" si="16"/>
        <v>-6.057951401648543</v>
      </c>
    </row>
    <row r="241" spans="1:24" x14ac:dyDescent="0.2">
      <c r="A241" t="s">
        <v>171</v>
      </c>
      <c r="B241">
        <v>3.7348927034399971E-6</v>
      </c>
      <c r="C241">
        <v>8.4231087300000002E-7</v>
      </c>
      <c r="D241">
        <v>0</v>
      </c>
      <c r="E241">
        <v>8.4231087300000002E-7</v>
      </c>
      <c r="F241">
        <v>100</v>
      </c>
      <c r="G241">
        <v>0.22552478474795151</v>
      </c>
      <c r="W241">
        <f t="shared" si="15"/>
        <v>-5.4277218701466472</v>
      </c>
      <c r="X241">
        <f t="shared" si="16"/>
        <v>-6.0745275931664411</v>
      </c>
    </row>
    <row r="242" spans="1:24" x14ac:dyDescent="0.2">
      <c r="A242" t="s">
        <v>170</v>
      </c>
      <c r="B242">
        <v>3.0179925393311351E-6</v>
      </c>
      <c r="C242">
        <v>8.4231087300000002E-7</v>
      </c>
      <c r="D242">
        <v>0</v>
      </c>
      <c r="E242">
        <v>8.4231087300000002E-7</v>
      </c>
      <c r="F242">
        <v>100</v>
      </c>
      <c r="G242">
        <v>0.2790964066421045</v>
      </c>
      <c r="W242">
        <f t="shared" si="15"/>
        <v>-5.5202818381625907</v>
      </c>
      <c r="X242">
        <f t="shared" si="16"/>
        <v>-6.0745275931664411</v>
      </c>
    </row>
    <row r="243" spans="1:24" x14ac:dyDescent="0.2">
      <c r="A243" t="s">
        <v>169</v>
      </c>
      <c r="B243">
        <v>2.333399881476771E-6</v>
      </c>
      <c r="C243">
        <v>8.4231087300000002E-7</v>
      </c>
      <c r="D243">
        <v>0</v>
      </c>
      <c r="E243">
        <v>8.4231087300000002E-7</v>
      </c>
      <c r="F243">
        <v>100</v>
      </c>
      <c r="G243">
        <v>0.36098007876254601</v>
      </c>
      <c r="W243">
        <f t="shared" si="15"/>
        <v>-5.6320108285285455</v>
      </c>
      <c r="X243">
        <f t="shared" si="16"/>
        <v>-6.0745275931664411</v>
      </c>
    </row>
    <row r="244" spans="1:24" x14ac:dyDescent="0.2">
      <c r="A244" t="s">
        <v>168</v>
      </c>
      <c r="B244">
        <v>8.2505013739130478E-7</v>
      </c>
      <c r="C244">
        <v>8.4231087300000002E-7</v>
      </c>
      <c r="D244">
        <v>0</v>
      </c>
      <c r="E244">
        <v>8.4231087300000002E-7</v>
      </c>
      <c r="F244">
        <v>100</v>
      </c>
      <c r="G244">
        <v>1.0209208323548331</v>
      </c>
      <c r="W244">
        <f t="shared" si="15"/>
        <v>-6.0835196590491485</v>
      </c>
      <c r="X244">
        <f t="shared" si="16"/>
        <v>-6.0745275931664411</v>
      </c>
    </row>
    <row r="245" spans="1:24" x14ac:dyDescent="0.2">
      <c r="A245" t="s">
        <v>243</v>
      </c>
      <c r="B245">
        <v>8.309441250564245E-7</v>
      </c>
      <c r="C245">
        <v>8.3094412300000003E-7</v>
      </c>
      <c r="D245">
        <v>0</v>
      </c>
      <c r="E245">
        <v>8.3094412300000003E-7</v>
      </c>
      <c r="F245">
        <v>100</v>
      </c>
      <c r="G245">
        <v>0.99999999752519519</v>
      </c>
      <c r="W245">
        <f t="shared" si="15"/>
        <v>-6.0804281783765575</v>
      </c>
      <c r="X245">
        <f t="shared" si="16"/>
        <v>-6.0804281794513511</v>
      </c>
    </row>
    <row r="246" spans="1:24" x14ac:dyDescent="0.2">
      <c r="A246" t="s">
        <v>240</v>
      </c>
      <c r="B246">
        <v>7.8956496953481757E-7</v>
      </c>
      <c r="C246">
        <v>8.1410503700000002E-7</v>
      </c>
      <c r="D246">
        <v>0</v>
      </c>
      <c r="E246">
        <v>8.1410503700000002E-7</v>
      </c>
      <c r="F246">
        <v>100</v>
      </c>
      <c r="G246">
        <v>1.0310804916783991</v>
      </c>
      <c r="W246">
        <f t="shared" si="15"/>
        <v>-6.102612128164167</v>
      </c>
      <c r="X246">
        <f t="shared" si="16"/>
        <v>-6.0893195581985333</v>
      </c>
    </row>
    <row r="247" spans="1:24" x14ac:dyDescent="0.2">
      <c r="A247" t="s">
        <v>227</v>
      </c>
      <c r="B247">
        <v>7.9666118247586876E-7</v>
      </c>
      <c r="C247">
        <v>7.9666118300000004E-7</v>
      </c>
      <c r="D247">
        <v>0</v>
      </c>
      <c r="E247">
        <v>7.9666118300000004E-7</v>
      </c>
      <c r="F247">
        <v>100</v>
      </c>
      <c r="G247">
        <v>1.0000000006579099</v>
      </c>
      <c r="W247">
        <f t="shared" si="15"/>
        <v>-6.098726343430938</v>
      </c>
      <c r="X247">
        <f t="shared" si="16"/>
        <v>-6.098726343145211</v>
      </c>
    </row>
    <row r="248" spans="1:24" x14ac:dyDescent="0.2">
      <c r="A248" t="s">
        <v>247</v>
      </c>
      <c r="B248">
        <v>7.9283245239078864E-7</v>
      </c>
      <c r="C248">
        <v>7.9283245200000004E-7</v>
      </c>
      <c r="D248">
        <v>0</v>
      </c>
      <c r="E248">
        <v>7.9283245200000004E-7</v>
      </c>
      <c r="F248">
        <v>100</v>
      </c>
      <c r="G248">
        <v>0.99999999950709817</v>
      </c>
      <c r="W248">
        <f t="shared" si="15"/>
        <v>-6.100818581522538</v>
      </c>
      <c r="X248">
        <f t="shared" si="16"/>
        <v>-6.1008185817366023</v>
      </c>
    </row>
    <row r="249" spans="1:24" x14ac:dyDescent="0.2">
      <c r="A249" t="s">
        <v>254</v>
      </c>
      <c r="B249">
        <v>7.637227850493753E-7</v>
      </c>
      <c r="C249">
        <v>7.6372278499999995E-7</v>
      </c>
      <c r="D249">
        <v>0</v>
      </c>
      <c r="E249">
        <v>7.6372278499999995E-7</v>
      </c>
      <c r="F249">
        <v>100</v>
      </c>
      <c r="G249">
        <v>0.99999999993534916</v>
      </c>
      <c r="W249">
        <f t="shared" si="15"/>
        <v>-6.1170642523807706</v>
      </c>
      <c r="X249">
        <f t="shared" si="16"/>
        <v>-6.1170642524088477</v>
      </c>
    </row>
    <row r="250" spans="1:24" x14ac:dyDescent="0.2">
      <c r="A250" t="s">
        <v>264</v>
      </c>
      <c r="B250">
        <v>7.6052570128421366E-7</v>
      </c>
      <c r="C250">
        <v>7.6052570300000002E-7</v>
      </c>
      <c r="D250">
        <v>0</v>
      </c>
      <c r="E250">
        <v>7.6052570300000002E-7</v>
      </c>
      <c r="F250">
        <v>100</v>
      </c>
      <c r="G250">
        <v>1.0000000022560529</v>
      </c>
      <c r="W250">
        <f t="shared" si="15"/>
        <v>-6.1188861047703433</v>
      </c>
      <c r="X250">
        <f t="shared" si="16"/>
        <v>-6.118886103790552</v>
      </c>
    </row>
    <row r="251" spans="1:24" x14ac:dyDescent="0.2">
      <c r="A251" t="s">
        <v>259</v>
      </c>
      <c r="B251">
        <v>7.5759802677479755E-7</v>
      </c>
      <c r="C251">
        <v>7.57598027E-7</v>
      </c>
      <c r="D251">
        <v>0</v>
      </c>
      <c r="E251">
        <v>7.57598027E-7</v>
      </c>
      <c r="F251">
        <v>100</v>
      </c>
      <c r="G251">
        <v>1.000000000297258</v>
      </c>
      <c r="W251">
        <f t="shared" si="15"/>
        <v>-6.120561165158338</v>
      </c>
      <c r="X251">
        <f t="shared" si="16"/>
        <v>-6.1205611650292395</v>
      </c>
    </row>
    <row r="252" spans="1:24" x14ac:dyDescent="0.2">
      <c r="A252" t="s">
        <v>230</v>
      </c>
      <c r="B252">
        <v>7.5262379515820323E-7</v>
      </c>
      <c r="C252">
        <v>7.5262379500000003E-7</v>
      </c>
      <c r="D252">
        <v>0</v>
      </c>
      <c r="E252">
        <v>7.5262379500000003E-7</v>
      </c>
      <c r="F252">
        <v>100</v>
      </c>
      <c r="G252">
        <v>0.99999999978979781</v>
      </c>
      <c r="W252">
        <f t="shared" si="15"/>
        <v>-6.1234220550268654</v>
      </c>
      <c r="X252">
        <f t="shared" si="16"/>
        <v>-6.1234220551181551</v>
      </c>
    </row>
    <row r="253" spans="1:24" x14ac:dyDescent="0.2">
      <c r="A253" t="s">
        <v>167</v>
      </c>
      <c r="B253">
        <v>4.5440808396417002E-7</v>
      </c>
      <c r="C253">
        <v>7.3854712499999995E-7</v>
      </c>
      <c r="D253">
        <v>0</v>
      </c>
      <c r="E253">
        <v>7.3854712499999995E-7</v>
      </c>
      <c r="F253">
        <v>100</v>
      </c>
      <c r="G253">
        <v>1.6252948639404801</v>
      </c>
      <c r="W253">
        <f t="shared" si="15"/>
        <v>-6.3425539510870861</v>
      </c>
      <c r="X253">
        <f t="shared" si="16"/>
        <v>-6.1316217881319943</v>
      </c>
    </row>
    <row r="254" spans="1:24" x14ac:dyDescent="0.2">
      <c r="A254" t="s">
        <v>246</v>
      </c>
      <c r="B254">
        <v>4.5893236269672498E-7</v>
      </c>
      <c r="C254">
        <v>7.2533387400000002E-7</v>
      </c>
      <c r="D254">
        <v>0</v>
      </c>
      <c r="E254">
        <v>7.2533387400000002E-7</v>
      </c>
      <c r="F254">
        <v>100</v>
      </c>
      <c r="G254">
        <v>1.5804809879562149</v>
      </c>
      <c r="W254">
        <f t="shared" si="15"/>
        <v>-6.3382513159269642</v>
      </c>
      <c r="X254">
        <f t="shared" si="16"/>
        <v>-6.1394620399686177</v>
      </c>
    </row>
    <row r="255" spans="1:24" x14ac:dyDescent="0.2">
      <c r="A255" t="s">
        <v>257</v>
      </c>
      <c r="B255">
        <v>1.319975085838414E-6</v>
      </c>
      <c r="C255">
        <v>7.2339947000000002E-7</v>
      </c>
      <c r="D255">
        <v>0</v>
      </c>
      <c r="E255">
        <v>7.2339947000000002E-7</v>
      </c>
      <c r="F255">
        <v>100</v>
      </c>
      <c r="G255">
        <v>0.5480402454266895</v>
      </c>
      <c r="W255">
        <f t="shared" si="15"/>
        <v>-5.8794342659040062</v>
      </c>
      <c r="X255">
        <f t="shared" si="16"/>
        <v>-6.1406218137609621</v>
      </c>
    </row>
    <row r="256" spans="1:24" x14ac:dyDescent="0.2">
      <c r="A256" t="s">
        <v>258</v>
      </c>
      <c r="B256">
        <v>7.1360173356291784E-7</v>
      </c>
      <c r="C256">
        <v>7.1360173299999997E-7</v>
      </c>
      <c r="D256">
        <v>0</v>
      </c>
      <c r="E256">
        <v>7.1360173299999997E-7</v>
      </c>
      <c r="F256">
        <v>100</v>
      </c>
      <c r="G256">
        <v>0.99999999921115956</v>
      </c>
      <c r="W256">
        <f t="shared" si="15"/>
        <v>-6.1465441035928432</v>
      </c>
      <c r="X256">
        <f t="shared" si="16"/>
        <v>-6.1465441039354323</v>
      </c>
    </row>
    <row r="257" spans="1:24" x14ac:dyDescent="0.2">
      <c r="A257" t="s">
        <v>277</v>
      </c>
      <c r="B257">
        <v>7.0125805011427707E-7</v>
      </c>
      <c r="C257">
        <v>7.0125805000000004E-7</v>
      </c>
      <c r="D257">
        <v>0</v>
      </c>
      <c r="E257">
        <v>7.0125805000000004E-7</v>
      </c>
      <c r="F257">
        <v>100</v>
      </c>
      <c r="G257">
        <v>0.99999999983704002</v>
      </c>
      <c r="W257">
        <f t="shared" si="15"/>
        <v>-6.1541221402097328</v>
      </c>
      <c r="X257">
        <f t="shared" si="16"/>
        <v>-6.1541221402805055</v>
      </c>
    </row>
    <row r="258" spans="1:24" x14ac:dyDescent="0.2">
      <c r="A258" t="s">
        <v>412</v>
      </c>
      <c r="B258">
        <v>4.3649140352402008E-7</v>
      </c>
      <c r="C258">
        <v>6.9021445800000001E-7</v>
      </c>
      <c r="D258">
        <v>0</v>
      </c>
      <c r="E258">
        <v>6.9021445800000001E-7</v>
      </c>
      <c r="F258">
        <v>100</v>
      </c>
      <c r="G258">
        <v>1.5812784683215819</v>
      </c>
      <c r="W258">
        <f t="shared" si="15"/>
        <v>-6.3600243050829137</v>
      </c>
      <c r="X258">
        <f t="shared" si="16"/>
        <v>-6.1610159477338176</v>
      </c>
    </row>
    <row r="259" spans="1:24" x14ac:dyDescent="0.2">
      <c r="A259" t="s">
        <v>256</v>
      </c>
      <c r="B259">
        <v>1.093053399760971E-6</v>
      </c>
      <c r="C259">
        <v>6.7638466399999995E-7</v>
      </c>
      <c r="D259">
        <v>0</v>
      </c>
      <c r="E259">
        <v>6.7638466399999995E-7</v>
      </c>
      <c r="F259">
        <v>100</v>
      </c>
      <c r="G259">
        <v>0.61880294608471231</v>
      </c>
      <c r="W259">
        <f t="shared" ref="W259:W322" si="17">LOG(B259)</f>
        <v>-5.961358620616604</v>
      </c>
      <c r="X259">
        <f t="shared" ref="X259:X322" si="18">LOG(C259)</f>
        <v>-6.1698062479336695</v>
      </c>
    </row>
    <row r="260" spans="1:24" x14ac:dyDescent="0.2">
      <c r="A260" t="s">
        <v>269</v>
      </c>
      <c r="B260">
        <v>1.936939655383592E-6</v>
      </c>
      <c r="C260">
        <v>6.6153238499999999E-7</v>
      </c>
      <c r="D260">
        <v>0</v>
      </c>
      <c r="E260">
        <v>6.6153238499999999E-7</v>
      </c>
      <c r="F260">
        <v>100</v>
      </c>
      <c r="G260">
        <v>0.34153484501249992</v>
      </c>
      <c r="W260">
        <f t="shared" si="17"/>
        <v>-5.7128839093491157</v>
      </c>
      <c r="X260">
        <f t="shared" si="18"/>
        <v>-6.1794488902784046</v>
      </c>
    </row>
    <row r="261" spans="1:24" x14ac:dyDescent="0.2">
      <c r="A261" t="s">
        <v>268</v>
      </c>
      <c r="B261">
        <v>2.7019258963612581E-6</v>
      </c>
      <c r="C261">
        <v>6.6153238499999999E-7</v>
      </c>
      <c r="D261">
        <v>0</v>
      </c>
      <c r="E261">
        <v>6.6153238499999999E-7</v>
      </c>
      <c r="F261">
        <v>100</v>
      </c>
      <c r="G261">
        <v>0.24483735319717689</v>
      </c>
      <c r="W261">
        <f t="shared" si="17"/>
        <v>-5.5683265662106267</v>
      </c>
      <c r="X261">
        <f t="shared" si="18"/>
        <v>-6.1794488902784046</v>
      </c>
    </row>
    <row r="262" spans="1:24" x14ac:dyDescent="0.2">
      <c r="A262" t="s">
        <v>288</v>
      </c>
      <c r="B262">
        <v>1.0216157216366201E-6</v>
      </c>
      <c r="C262">
        <v>6.5366573299999998E-7</v>
      </c>
      <c r="D262">
        <v>0</v>
      </c>
      <c r="E262">
        <v>6.5366573299999998E-7</v>
      </c>
      <c r="F262">
        <v>100</v>
      </c>
      <c r="G262">
        <v>0.63983523271630227</v>
      </c>
      <c r="W262">
        <f t="shared" si="17"/>
        <v>-5.9907124323387153</v>
      </c>
      <c r="X262">
        <f t="shared" si="18"/>
        <v>-6.1846442813780955</v>
      </c>
    </row>
    <row r="263" spans="1:24" x14ac:dyDescent="0.2">
      <c r="A263" t="s">
        <v>306</v>
      </c>
      <c r="B263">
        <v>6.4120684023300493E-7</v>
      </c>
      <c r="C263">
        <v>6.4120684000000003E-7</v>
      </c>
      <c r="D263">
        <v>0</v>
      </c>
      <c r="E263">
        <v>6.4120684000000003E-7</v>
      </c>
      <c r="F263">
        <v>100</v>
      </c>
      <c r="G263">
        <v>0.99999999963661512</v>
      </c>
      <c r="W263">
        <f t="shared" si="17"/>
        <v>-6.1930018533490783</v>
      </c>
      <c r="X263">
        <f t="shared" si="18"/>
        <v>-6.1930018535068942</v>
      </c>
    </row>
    <row r="264" spans="1:24" x14ac:dyDescent="0.2">
      <c r="A264" t="s">
        <v>250</v>
      </c>
      <c r="B264">
        <v>6.3790930707453429E-7</v>
      </c>
      <c r="C264">
        <v>6.3790930799999995E-7</v>
      </c>
      <c r="D264">
        <v>0</v>
      </c>
      <c r="E264">
        <v>6.3790930799999995E-7</v>
      </c>
      <c r="F264">
        <v>100</v>
      </c>
      <c r="G264">
        <v>1.0000000014507791</v>
      </c>
      <c r="W264">
        <f t="shared" si="17"/>
        <v>-6.1952410614619771</v>
      </c>
      <c r="X264">
        <f t="shared" si="18"/>
        <v>-6.1952410608319113</v>
      </c>
    </row>
    <row r="265" spans="1:24" x14ac:dyDescent="0.2">
      <c r="A265" t="s">
        <v>273</v>
      </c>
      <c r="B265">
        <v>9.6473186987531086E-7</v>
      </c>
      <c r="C265">
        <v>6.17269441E-7</v>
      </c>
      <c r="D265">
        <v>0</v>
      </c>
      <c r="E265">
        <v>6.17269441E-7</v>
      </c>
      <c r="F265">
        <v>100</v>
      </c>
      <c r="G265">
        <v>0.63983523326515634</v>
      </c>
      <c r="W265">
        <f t="shared" si="17"/>
        <v>-6.0155933743394572</v>
      </c>
      <c r="X265">
        <f t="shared" si="18"/>
        <v>-6.2095252230062972</v>
      </c>
    </row>
    <row r="266" spans="1:24" x14ac:dyDescent="0.2">
      <c r="A266" t="s">
        <v>276</v>
      </c>
      <c r="B266">
        <v>9.9520071952275695E-7</v>
      </c>
      <c r="C266">
        <v>6.1182655499999999E-7</v>
      </c>
      <c r="D266">
        <v>0</v>
      </c>
      <c r="E266">
        <v>6.1182655499999999E-7</v>
      </c>
      <c r="F266">
        <v>100</v>
      </c>
      <c r="G266">
        <v>0.61477704245772458</v>
      </c>
      <c r="W266">
        <f t="shared" si="17"/>
        <v>-6.0020893186614455</v>
      </c>
      <c r="X266">
        <f t="shared" si="18"/>
        <v>-6.2133716773355054</v>
      </c>
    </row>
    <row r="267" spans="1:24" x14ac:dyDescent="0.2">
      <c r="A267" t="s">
        <v>292</v>
      </c>
      <c r="B267">
        <v>5.5879633861186495E-7</v>
      </c>
      <c r="C267">
        <v>5.9438093899999997E-7</v>
      </c>
      <c r="D267">
        <v>0</v>
      </c>
      <c r="E267">
        <v>5.9438093899999997E-7</v>
      </c>
      <c r="F267">
        <v>100</v>
      </c>
      <c r="G267">
        <v>1.063680804488685</v>
      </c>
      <c r="W267">
        <f t="shared" si="17"/>
        <v>-6.2527464481660742</v>
      </c>
      <c r="X267">
        <f t="shared" si="18"/>
        <v>-6.2259351262660738</v>
      </c>
    </row>
    <row r="268" spans="1:24" x14ac:dyDescent="0.2">
      <c r="A268" t="s">
        <v>265</v>
      </c>
      <c r="B268">
        <v>5.9110236647335976E-7</v>
      </c>
      <c r="C268">
        <v>5.9110236600000005E-7</v>
      </c>
      <c r="D268">
        <v>0</v>
      </c>
      <c r="E268">
        <v>5.9110236600000005E-7</v>
      </c>
      <c r="F268">
        <v>100</v>
      </c>
      <c r="G268">
        <v>0.99999999919919169</v>
      </c>
      <c r="W268">
        <f t="shared" si="17"/>
        <v>-6.2283373019533217</v>
      </c>
      <c r="X268">
        <f t="shared" si="18"/>
        <v>-6.2283373023011084</v>
      </c>
    </row>
    <row r="269" spans="1:24" x14ac:dyDescent="0.2">
      <c r="A269" t="s">
        <v>283</v>
      </c>
      <c r="B269">
        <v>2.4202523029502799E-7</v>
      </c>
      <c r="C269">
        <v>5.6064385500000003E-7</v>
      </c>
      <c r="D269">
        <v>0</v>
      </c>
      <c r="E269">
        <v>5.6064385500000003E-7</v>
      </c>
      <c r="F269">
        <v>100</v>
      </c>
      <c r="G269">
        <v>2.3164686355904989</v>
      </c>
      <c r="W269">
        <f t="shared" si="17"/>
        <v>-6.6161393579586054</v>
      </c>
      <c r="X269">
        <f t="shared" si="18"/>
        <v>-6.2513129336189515</v>
      </c>
    </row>
    <row r="270" spans="1:24" x14ac:dyDescent="0.2">
      <c r="A270" t="s">
        <v>278</v>
      </c>
      <c r="B270">
        <v>6.2405758796261692E-8</v>
      </c>
      <c r="C270">
        <v>5.5921685300000002E-7</v>
      </c>
      <c r="D270">
        <v>0</v>
      </c>
      <c r="E270">
        <v>5.5921685300000002E-7</v>
      </c>
      <c r="F270">
        <v>100</v>
      </c>
      <c r="G270">
        <v>8.9609815470026604</v>
      </c>
      <c r="W270">
        <f t="shared" si="17"/>
        <v>-7.2047753318233658</v>
      </c>
      <c r="X270">
        <f t="shared" si="18"/>
        <v>-6.2524197488242237</v>
      </c>
    </row>
    <row r="271" spans="1:24" x14ac:dyDescent="0.2">
      <c r="A271" t="s">
        <v>302</v>
      </c>
      <c r="B271">
        <v>1.519929370873219E-5</v>
      </c>
      <c r="C271">
        <v>5.3360036900000003E-7</v>
      </c>
      <c r="D271">
        <v>0</v>
      </c>
      <c r="E271">
        <v>5.3360036900000003E-7</v>
      </c>
      <c r="F271">
        <v>100</v>
      </c>
      <c r="G271">
        <v>3.510691873093022E-2</v>
      </c>
      <c r="W271">
        <f t="shared" si="17"/>
        <v>-4.8181765926820024</v>
      </c>
      <c r="X271">
        <f t="shared" si="18"/>
        <v>-6.2727838787642805</v>
      </c>
    </row>
    <row r="272" spans="1:24" x14ac:dyDescent="0.2">
      <c r="A272" t="s">
        <v>301</v>
      </c>
      <c r="B272">
        <v>4.8222333664969554E-6</v>
      </c>
      <c r="C272">
        <v>5.3360036900000003E-7</v>
      </c>
      <c r="D272">
        <v>0</v>
      </c>
      <c r="E272">
        <v>5.3360036900000003E-7</v>
      </c>
      <c r="F272">
        <v>100</v>
      </c>
      <c r="G272">
        <v>0.1106541986763338</v>
      </c>
      <c r="W272">
        <f t="shared" si="17"/>
        <v>-5.3167517762626932</v>
      </c>
      <c r="X272">
        <f t="shared" si="18"/>
        <v>-6.2727838787642805</v>
      </c>
    </row>
    <row r="273" spans="1:24" x14ac:dyDescent="0.2">
      <c r="A273" t="s">
        <v>298</v>
      </c>
      <c r="B273">
        <v>1.9559264068929248E-6</v>
      </c>
      <c r="C273">
        <v>5.3360036900000003E-7</v>
      </c>
      <c r="D273">
        <v>0</v>
      </c>
      <c r="E273">
        <v>5.3360036900000003E-7</v>
      </c>
      <c r="F273">
        <v>100</v>
      </c>
      <c r="G273">
        <v>0.27281208900269799</v>
      </c>
      <c r="W273">
        <f t="shared" si="17"/>
        <v>-5.7086474898764239</v>
      </c>
      <c r="X273">
        <f t="shared" si="18"/>
        <v>-6.2727838787642805</v>
      </c>
    </row>
    <row r="274" spans="1:24" x14ac:dyDescent="0.2">
      <c r="A274" t="s">
        <v>294</v>
      </c>
      <c r="B274">
        <v>7.1466893273635155E-7</v>
      </c>
      <c r="C274">
        <v>5.3360036900000003E-7</v>
      </c>
      <c r="D274">
        <v>0</v>
      </c>
      <c r="E274">
        <v>5.3360036900000003E-7</v>
      </c>
      <c r="F274">
        <v>100</v>
      </c>
      <c r="G274">
        <v>0.74663993991865674</v>
      </c>
      <c r="W274">
        <f t="shared" si="17"/>
        <v>-6.1458950966373633</v>
      </c>
      <c r="X274">
        <f t="shared" si="18"/>
        <v>-6.2727838787642805</v>
      </c>
    </row>
    <row r="275" spans="1:24" x14ac:dyDescent="0.2">
      <c r="A275" t="s">
        <v>297</v>
      </c>
      <c r="B275">
        <v>3.355831480221223E-6</v>
      </c>
      <c r="C275">
        <v>5.3360036900000003E-7</v>
      </c>
      <c r="D275">
        <v>0</v>
      </c>
      <c r="E275">
        <v>5.3360036900000003E-7</v>
      </c>
      <c r="F275">
        <v>100</v>
      </c>
      <c r="G275">
        <v>0.15900690250537369</v>
      </c>
      <c r="W275">
        <f t="shared" si="17"/>
        <v>-5.4741998562603831</v>
      </c>
      <c r="X275">
        <f t="shared" si="18"/>
        <v>-6.2727838787642805</v>
      </c>
    </row>
    <row r="276" spans="1:24" x14ac:dyDescent="0.2">
      <c r="A276" t="s">
        <v>296</v>
      </c>
      <c r="B276">
        <v>6.7069952807728951E-7</v>
      </c>
      <c r="C276">
        <v>5.3360036900000003E-7</v>
      </c>
      <c r="D276">
        <v>0</v>
      </c>
      <c r="E276">
        <v>5.3360036900000003E-7</v>
      </c>
      <c r="F276">
        <v>100</v>
      </c>
      <c r="G276">
        <v>0.79558781043082749</v>
      </c>
      <c r="W276">
        <f t="shared" si="17"/>
        <v>-6.1734719992408325</v>
      </c>
      <c r="X276">
        <f t="shared" si="18"/>
        <v>-6.2727838787642805</v>
      </c>
    </row>
    <row r="277" spans="1:24" x14ac:dyDescent="0.2">
      <c r="A277" t="s">
        <v>295</v>
      </c>
      <c r="B277">
        <v>3.6967878370974742E-6</v>
      </c>
      <c r="C277">
        <v>5.3360036900000003E-7</v>
      </c>
      <c r="D277">
        <v>0</v>
      </c>
      <c r="E277">
        <v>5.3360036900000003E-7</v>
      </c>
      <c r="F277">
        <v>100</v>
      </c>
      <c r="G277">
        <v>0.1443416264372249</v>
      </c>
      <c r="W277">
        <f t="shared" si="17"/>
        <v>-5.4321754733711254</v>
      </c>
      <c r="X277">
        <f t="shared" si="18"/>
        <v>-6.2727838787642805</v>
      </c>
    </row>
    <row r="278" spans="1:24" x14ac:dyDescent="0.2">
      <c r="A278" t="s">
        <v>299</v>
      </c>
      <c r="B278">
        <v>1.825600080427554E-5</v>
      </c>
      <c r="C278">
        <v>5.3360036900000003E-7</v>
      </c>
      <c r="D278">
        <v>0</v>
      </c>
      <c r="E278">
        <v>5.3360036900000003E-7</v>
      </c>
      <c r="F278">
        <v>100</v>
      </c>
      <c r="G278">
        <v>2.9228765638256951E-2</v>
      </c>
      <c r="W278">
        <f t="shared" si="17"/>
        <v>-4.7385943537928403</v>
      </c>
      <c r="X278">
        <f t="shared" si="18"/>
        <v>-6.2727838787642805</v>
      </c>
    </row>
    <row r="279" spans="1:24" x14ac:dyDescent="0.2">
      <c r="A279" t="s">
        <v>300</v>
      </c>
      <c r="B279">
        <v>3.959199261464927E-6</v>
      </c>
      <c r="C279">
        <v>5.3360036900000003E-7</v>
      </c>
      <c r="D279">
        <v>0</v>
      </c>
      <c r="E279">
        <v>5.3360036900000003E-7</v>
      </c>
      <c r="F279">
        <v>100</v>
      </c>
      <c r="G279">
        <v>0.1347748203010537</v>
      </c>
      <c r="W279">
        <f t="shared" si="17"/>
        <v>-5.402392640208654</v>
      </c>
      <c r="X279">
        <f t="shared" si="18"/>
        <v>-6.2727838787642805</v>
      </c>
    </row>
    <row r="280" spans="1:24" x14ac:dyDescent="0.2">
      <c r="A280" t="s">
        <v>274</v>
      </c>
      <c r="B280">
        <v>5.306753326574433E-7</v>
      </c>
      <c r="C280">
        <v>5.3067533300000005E-7</v>
      </c>
      <c r="D280">
        <v>0</v>
      </c>
      <c r="E280">
        <v>5.3067533300000005E-7</v>
      </c>
      <c r="F280">
        <v>100</v>
      </c>
      <c r="G280">
        <v>1.000000000645511</v>
      </c>
      <c r="W280">
        <f t="shared" si="17"/>
        <v>-6.2751710991799889</v>
      </c>
      <c r="X280">
        <f t="shared" si="18"/>
        <v>-6.275171098899647</v>
      </c>
    </row>
    <row r="281" spans="1:24" x14ac:dyDescent="0.2">
      <c r="A281" t="s">
        <v>245</v>
      </c>
      <c r="B281">
        <v>5.136824431307588E-7</v>
      </c>
      <c r="C281">
        <v>5.13682443E-7</v>
      </c>
      <c r="D281">
        <v>0</v>
      </c>
      <c r="E281">
        <v>5.13682443E-7</v>
      </c>
      <c r="F281">
        <v>100</v>
      </c>
      <c r="G281">
        <v>0.99999999974544818</v>
      </c>
      <c r="W281">
        <f t="shared" si="17"/>
        <v>-6.2893052775338525</v>
      </c>
      <c r="X281">
        <f t="shared" si="18"/>
        <v>-6.2893052776444032</v>
      </c>
    </row>
    <row r="282" spans="1:24" x14ac:dyDescent="0.2">
      <c r="A282" t="s">
        <v>280</v>
      </c>
      <c r="B282">
        <v>3.0912754370711861E-7</v>
      </c>
      <c r="C282">
        <v>5.0504777600000002E-7</v>
      </c>
      <c r="D282">
        <v>0</v>
      </c>
      <c r="E282">
        <v>5.0504777600000002E-7</v>
      </c>
      <c r="F282">
        <v>100</v>
      </c>
      <c r="G282">
        <v>1.6337844565494459</v>
      </c>
      <c r="W282">
        <f t="shared" si="17"/>
        <v>-6.5098622969519724</v>
      </c>
      <c r="X282">
        <f t="shared" si="18"/>
        <v>-6.2966675369867904</v>
      </c>
    </row>
    <row r="283" spans="1:24" x14ac:dyDescent="0.2">
      <c r="A283" t="s">
        <v>261</v>
      </c>
      <c r="B283">
        <v>5.0348399523424642E-7</v>
      </c>
      <c r="C283">
        <v>5.0348399499999999E-7</v>
      </c>
      <c r="D283">
        <v>0</v>
      </c>
      <c r="E283">
        <v>5.0348399499999999E-7</v>
      </c>
      <c r="F283">
        <v>100</v>
      </c>
      <c r="G283">
        <v>0.99999999953474905</v>
      </c>
      <c r="W283">
        <f t="shared" si="17"/>
        <v>-6.2980143302581792</v>
      </c>
      <c r="X283">
        <f t="shared" si="18"/>
        <v>-6.2980143304602354</v>
      </c>
    </row>
    <row r="284" spans="1:24" x14ac:dyDescent="0.2">
      <c r="A284" t="s">
        <v>271</v>
      </c>
      <c r="B284">
        <v>3.0736414133253138E-7</v>
      </c>
      <c r="C284">
        <v>4.9183757000000002E-7</v>
      </c>
      <c r="D284">
        <v>0</v>
      </c>
      <c r="E284">
        <v>4.9183757000000002E-7</v>
      </c>
      <c r="F284">
        <v>100</v>
      </c>
      <c r="G284">
        <v>1.6001787582237521</v>
      </c>
      <c r="W284">
        <f t="shared" si="17"/>
        <v>-6.5123468008889747</v>
      </c>
      <c r="X284">
        <f t="shared" si="18"/>
        <v>-6.3081782998744726</v>
      </c>
    </row>
    <row r="285" spans="1:24" x14ac:dyDescent="0.2">
      <c r="A285" t="s">
        <v>252</v>
      </c>
      <c r="B285">
        <v>4.8707157730000338E-7</v>
      </c>
      <c r="C285">
        <v>4.8707157699999998E-7</v>
      </c>
      <c r="D285">
        <v>0</v>
      </c>
      <c r="E285">
        <v>4.8707157699999998E-7</v>
      </c>
      <c r="F285">
        <v>100</v>
      </c>
      <c r="G285">
        <v>0.99999999938406714</v>
      </c>
      <c r="W285">
        <f t="shared" si="17"/>
        <v>-6.3124072126206334</v>
      </c>
      <c r="X285">
        <f t="shared" si="18"/>
        <v>-6.3124072128881297</v>
      </c>
    </row>
    <row r="286" spans="1:24" x14ac:dyDescent="0.2">
      <c r="A286" t="s">
        <v>290</v>
      </c>
      <c r="B286">
        <v>2.8782723287781732E-7</v>
      </c>
      <c r="C286">
        <v>4.7395485500000001E-7</v>
      </c>
      <c r="D286">
        <v>0</v>
      </c>
      <c r="E286">
        <v>4.7395485500000001E-7</v>
      </c>
      <c r="F286">
        <v>100</v>
      </c>
      <c r="G286">
        <v>1.646664390513715</v>
      </c>
      <c r="W286">
        <f t="shared" si="17"/>
        <v>-6.5408681175257772</v>
      </c>
      <c r="X286">
        <f t="shared" si="18"/>
        <v>-6.3242630236384016</v>
      </c>
    </row>
    <row r="287" spans="1:24" x14ac:dyDescent="0.2">
      <c r="A287" t="s">
        <v>282</v>
      </c>
      <c r="B287">
        <v>3.8324700416436482E-7</v>
      </c>
      <c r="C287">
        <v>4.6030435299999997E-7</v>
      </c>
      <c r="D287">
        <v>0</v>
      </c>
      <c r="E287">
        <v>4.6030435299999997E-7</v>
      </c>
      <c r="F287">
        <v>100</v>
      </c>
      <c r="G287">
        <v>1.2010644519026361</v>
      </c>
      <c r="W287">
        <f t="shared" si="17"/>
        <v>-6.4165212313332614</v>
      </c>
      <c r="X287">
        <f t="shared" si="18"/>
        <v>-6.3369549180564047</v>
      </c>
    </row>
    <row r="288" spans="1:24" x14ac:dyDescent="0.2">
      <c r="A288" t="s">
        <v>289</v>
      </c>
      <c r="B288">
        <v>4.5964905259227198E-7</v>
      </c>
      <c r="C288">
        <v>4.5964905300000002E-7</v>
      </c>
      <c r="D288">
        <v>0</v>
      </c>
      <c r="E288">
        <v>4.5964905300000002E-7</v>
      </c>
      <c r="F288">
        <v>100</v>
      </c>
      <c r="G288">
        <v>1.000000000887042</v>
      </c>
      <c r="W288">
        <f t="shared" si="17"/>
        <v>-6.3375736306943908</v>
      </c>
      <c r="X288">
        <f t="shared" si="18"/>
        <v>-6.3375736303091532</v>
      </c>
    </row>
    <row r="289" spans="1:24" x14ac:dyDescent="0.2">
      <c r="A289" t="s">
        <v>253</v>
      </c>
      <c r="B289">
        <v>2.337070116278326E-7</v>
      </c>
      <c r="C289">
        <v>4.2823797399999998E-7</v>
      </c>
      <c r="D289">
        <v>0</v>
      </c>
      <c r="E289">
        <v>4.2823797399999998E-7</v>
      </c>
      <c r="F289">
        <v>100</v>
      </c>
      <c r="G289">
        <v>1.832371100110376</v>
      </c>
      <c r="W289">
        <f t="shared" si="17"/>
        <v>-6.6313282578020525</v>
      </c>
      <c r="X289">
        <f t="shared" si="18"/>
        <v>-6.36831482427319</v>
      </c>
    </row>
    <row r="290" spans="1:24" x14ac:dyDescent="0.2">
      <c r="A290" t="s">
        <v>275</v>
      </c>
      <c r="B290">
        <v>2.5966641847878079E-7</v>
      </c>
      <c r="C290">
        <v>4.2203449599999998E-7</v>
      </c>
      <c r="D290">
        <v>0</v>
      </c>
      <c r="E290">
        <v>4.2203449599999998E-7</v>
      </c>
      <c r="F290">
        <v>100</v>
      </c>
      <c r="G290">
        <v>1.625294862818341</v>
      </c>
      <c r="W290">
        <f t="shared" si="17"/>
        <v>-6.5855842121434298</v>
      </c>
      <c r="X290">
        <f t="shared" si="18"/>
        <v>-6.3746520494881844</v>
      </c>
    </row>
    <row r="291" spans="1:24" x14ac:dyDescent="0.2">
      <c r="A291" t="s">
        <v>270</v>
      </c>
      <c r="B291">
        <v>3.9909528502258641E-7</v>
      </c>
      <c r="C291">
        <v>3.9862145599999999E-7</v>
      </c>
      <c r="D291">
        <v>0</v>
      </c>
      <c r="E291">
        <v>3.9862145599999999E-7</v>
      </c>
      <c r="F291">
        <v>100</v>
      </c>
      <c r="G291">
        <v>0.99881274211856552</v>
      </c>
      <c r="W291">
        <f t="shared" si="17"/>
        <v>-6.3989234030121906</v>
      </c>
      <c r="X291">
        <f t="shared" si="18"/>
        <v>-6.3994393288878637</v>
      </c>
    </row>
    <row r="292" spans="1:24" x14ac:dyDescent="0.2">
      <c r="A292" t="s">
        <v>281</v>
      </c>
      <c r="B292">
        <v>3.7740492275671731E-7</v>
      </c>
      <c r="C292">
        <v>3.77404923E-7</v>
      </c>
      <c r="D292">
        <v>0</v>
      </c>
      <c r="E292">
        <v>3.77404923E-7</v>
      </c>
      <c r="F292">
        <v>100</v>
      </c>
      <c r="G292">
        <v>1.0000000006446199</v>
      </c>
      <c r="W292">
        <f t="shared" si="17"/>
        <v>-6.423192439327063</v>
      </c>
      <c r="X292">
        <f t="shared" si="18"/>
        <v>-6.4231924390471082</v>
      </c>
    </row>
    <row r="293" spans="1:24" x14ac:dyDescent="0.2">
      <c r="A293" t="s">
        <v>142</v>
      </c>
      <c r="B293">
        <v>3.7616036706062978E-7</v>
      </c>
      <c r="C293">
        <v>3.7616036700000001E-7</v>
      </c>
      <c r="D293">
        <v>0</v>
      </c>
      <c r="E293">
        <v>3.7616036700000001E-7</v>
      </c>
      <c r="F293">
        <v>100</v>
      </c>
      <c r="G293">
        <v>0.99999999983881938</v>
      </c>
      <c r="W293">
        <f t="shared" si="17"/>
        <v>-6.4246269644305132</v>
      </c>
      <c r="X293">
        <f t="shared" si="18"/>
        <v>-6.4246269645005132</v>
      </c>
    </row>
    <row r="294" spans="1:24" x14ac:dyDescent="0.2">
      <c r="A294" t="s">
        <v>266</v>
      </c>
      <c r="B294">
        <v>7.2199183244019259E-7</v>
      </c>
      <c r="C294">
        <v>3.6288805999999999E-7</v>
      </c>
      <c r="D294">
        <v>0</v>
      </c>
      <c r="E294">
        <v>3.6288805999999999E-7</v>
      </c>
      <c r="F294">
        <v>100</v>
      </c>
      <c r="G294">
        <v>0.50262072740284136</v>
      </c>
      <c r="W294">
        <f t="shared" si="17"/>
        <v>-6.1414677153752617</v>
      </c>
      <c r="X294">
        <f t="shared" si="18"/>
        <v>-6.4402273210290417</v>
      </c>
    </row>
    <row r="295" spans="1:24" x14ac:dyDescent="0.2">
      <c r="A295" t="s">
        <v>267</v>
      </c>
      <c r="B295">
        <v>3.6288805957073349E-7</v>
      </c>
      <c r="C295">
        <v>3.6288805999999999E-7</v>
      </c>
      <c r="D295">
        <v>0</v>
      </c>
      <c r="E295">
        <v>3.6288805999999999E-7</v>
      </c>
      <c r="F295">
        <v>100</v>
      </c>
      <c r="G295">
        <v>1.0000000011829171</v>
      </c>
      <c r="W295">
        <f t="shared" si="17"/>
        <v>-6.4402273215427757</v>
      </c>
      <c r="X295">
        <f t="shared" si="18"/>
        <v>-6.4402273210290417</v>
      </c>
    </row>
    <row r="296" spans="1:24" x14ac:dyDescent="0.2">
      <c r="A296" t="s">
        <v>279</v>
      </c>
      <c r="B296">
        <v>4.7523017924727976E-6</v>
      </c>
      <c r="C296">
        <v>3.3813877100000002E-7</v>
      </c>
      <c r="D296">
        <v>0</v>
      </c>
      <c r="E296">
        <v>3.3813877100000002E-7</v>
      </c>
      <c r="F296">
        <v>100</v>
      </c>
      <c r="G296">
        <v>7.1152629981450305E-2</v>
      </c>
      <c r="W296">
        <f t="shared" si="17"/>
        <v>-5.3230959875041641</v>
      </c>
      <c r="X296">
        <f t="shared" si="18"/>
        <v>-6.4709050301629611</v>
      </c>
    </row>
    <row r="297" spans="1:24" x14ac:dyDescent="0.2">
      <c r="A297" t="s">
        <v>305</v>
      </c>
      <c r="B297">
        <v>3.3553643562699129E-7</v>
      </c>
      <c r="C297">
        <v>3.3553643499999998E-7</v>
      </c>
      <c r="D297">
        <v>0</v>
      </c>
      <c r="E297">
        <v>3.3553643499999998E-7</v>
      </c>
      <c r="F297">
        <v>100</v>
      </c>
      <c r="G297">
        <v>0.99999999813137641</v>
      </c>
      <c r="W297">
        <f t="shared" si="17"/>
        <v>-6.474260313251861</v>
      </c>
      <c r="X297">
        <f t="shared" si="18"/>
        <v>-6.4742603140633932</v>
      </c>
    </row>
    <row r="298" spans="1:24" x14ac:dyDescent="0.2">
      <c r="A298" t="s">
        <v>248</v>
      </c>
      <c r="B298">
        <v>3.1825607541038179E-7</v>
      </c>
      <c r="C298">
        <v>3.18256075E-7</v>
      </c>
      <c r="D298">
        <v>0</v>
      </c>
      <c r="E298">
        <v>3.18256075E-7</v>
      </c>
      <c r="F298">
        <v>100</v>
      </c>
      <c r="G298">
        <v>0.99999999871052958</v>
      </c>
      <c r="W298">
        <f t="shared" si="17"/>
        <v>-6.4972232970473796</v>
      </c>
      <c r="X298">
        <f t="shared" si="18"/>
        <v>-6.4972232976073894</v>
      </c>
    </row>
    <row r="299" spans="1:24" x14ac:dyDescent="0.2">
      <c r="A299" t="s">
        <v>293</v>
      </c>
      <c r="B299">
        <v>2.9061571067994378E-7</v>
      </c>
      <c r="C299">
        <v>2.90615711E-7</v>
      </c>
      <c r="D299">
        <v>0</v>
      </c>
      <c r="E299">
        <v>2.90615711E-7</v>
      </c>
      <c r="F299">
        <v>100</v>
      </c>
      <c r="G299">
        <v>1.0000000011013039</v>
      </c>
      <c r="W299">
        <f t="shared" si="17"/>
        <v>-6.5366809114517075</v>
      </c>
      <c r="X299">
        <f t="shared" si="18"/>
        <v>-6.5366809109734172</v>
      </c>
    </row>
    <row r="300" spans="1:24" x14ac:dyDescent="0.2">
      <c r="A300" t="s">
        <v>312</v>
      </c>
      <c r="B300">
        <v>2.698582507041034E-7</v>
      </c>
      <c r="C300">
        <v>2.6985825100000002E-7</v>
      </c>
      <c r="D300">
        <v>0</v>
      </c>
      <c r="E300">
        <v>2.6985825100000002E-7</v>
      </c>
      <c r="F300">
        <v>100</v>
      </c>
      <c r="G300">
        <v>1.0000000010964889</v>
      </c>
      <c r="W300">
        <f t="shared" si="17"/>
        <v>-6.5688642991830326</v>
      </c>
      <c r="X300">
        <f t="shared" si="18"/>
        <v>-6.5688642987068331</v>
      </c>
    </row>
    <row r="301" spans="1:24" x14ac:dyDescent="0.2">
      <c r="A301" t="s">
        <v>303</v>
      </c>
      <c r="B301">
        <v>2.6883481391660849E-7</v>
      </c>
      <c r="C301">
        <v>2.68834814E-7</v>
      </c>
      <c r="D301">
        <v>0</v>
      </c>
      <c r="E301">
        <v>2.68834814E-7</v>
      </c>
      <c r="F301">
        <v>100</v>
      </c>
      <c r="G301">
        <v>1.0000000003101961</v>
      </c>
      <c r="W301">
        <f t="shared" si="17"/>
        <v>-6.5705144911507549</v>
      </c>
      <c r="X301">
        <f t="shared" si="18"/>
        <v>-6.5705144910160387</v>
      </c>
    </row>
    <row r="302" spans="1:24" x14ac:dyDescent="0.2">
      <c r="A302" t="s">
        <v>286</v>
      </c>
      <c r="B302">
        <v>2.535169823252404E-7</v>
      </c>
      <c r="C302">
        <v>2.5351698200000002E-7</v>
      </c>
      <c r="D302">
        <v>0</v>
      </c>
      <c r="E302">
        <v>2.5351698200000002E-7</v>
      </c>
      <c r="F302">
        <v>100</v>
      </c>
      <c r="G302">
        <v>0.99999999871708645</v>
      </c>
      <c r="W302">
        <f t="shared" si="17"/>
        <v>-6.5959929433006224</v>
      </c>
      <c r="X302">
        <f t="shared" si="18"/>
        <v>-6.5959929438577847</v>
      </c>
    </row>
    <row r="303" spans="1:24" x14ac:dyDescent="0.2">
      <c r="A303" t="s">
        <v>321</v>
      </c>
      <c r="B303">
        <v>2.5232000197109E-7</v>
      </c>
      <c r="C303">
        <v>2.5232000199999998E-7</v>
      </c>
      <c r="D303">
        <v>0</v>
      </c>
      <c r="E303">
        <v>2.5232000199999998E-7</v>
      </c>
      <c r="F303">
        <v>100</v>
      </c>
      <c r="G303">
        <v>1.000000000114577</v>
      </c>
      <c r="W303">
        <f t="shared" si="17"/>
        <v>-6.5980483206225218</v>
      </c>
      <c r="X303">
        <f t="shared" si="18"/>
        <v>-6.5980483205727625</v>
      </c>
    </row>
    <row r="304" spans="1:24" x14ac:dyDescent="0.2">
      <c r="A304" t="s">
        <v>287</v>
      </c>
      <c r="B304">
        <v>1.2985647493364439E-7</v>
      </c>
      <c r="C304">
        <v>2.2511195699999999E-7</v>
      </c>
      <c r="D304">
        <v>0</v>
      </c>
      <c r="E304">
        <v>2.2511195699999999E-7</v>
      </c>
      <c r="F304">
        <v>100</v>
      </c>
      <c r="G304">
        <v>1.733544338971394</v>
      </c>
      <c r="W304">
        <f t="shared" si="17"/>
        <v>-6.8865363906026857</v>
      </c>
      <c r="X304">
        <f t="shared" si="18"/>
        <v>-6.6476014364912333</v>
      </c>
    </row>
    <row r="305" spans="1:24" x14ac:dyDescent="0.2">
      <c r="A305" t="s">
        <v>285</v>
      </c>
      <c r="B305">
        <v>2.22252107099731E-7</v>
      </c>
      <c r="C305">
        <v>2.2225210699999999E-7</v>
      </c>
      <c r="D305">
        <v>0</v>
      </c>
      <c r="E305">
        <v>2.2225210699999999E-7</v>
      </c>
      <c r="F305">
        <v>100</v>
      </c>
      <c r="G305">
        <v>0.99999999955127095</v>
      </c>
      <c r="W305">
        <f t="shared" si="17"/>
        <v>-6.65315411293391</v>
      </c>
      <c r="X305">
        <f t="shared" si="18"/>
        <v>-6.6531541131287906</v>
      </c>
    </row>
    <row r="306" spans="1:24" x14ac:dyDescent="0.2">
      <c r="A306" t="s">
        <v>307</v>
      </c>
      <c r="B306">
        <v>2.220920667817364E-7</v>
      </c>
      <c r="C306">
        <v>2.2209206700000001E-7</v>
      </c>
      <c r="D306">
        <v>0</v>
      </c>
      <c r="E306">
        <v>2.2209206700000001E-7</v>
      </c>
      <c r="F306">
        <v>100</v>
      </c>
      <c r="G306">
        <v>1.0000000009827621</v>
      </c>
      <c r="W306">
        <f t="shared" si="17"/>
        <v>-6.6534669543486427</v>
      </c>
      <c r="X306">
        <f t="shared" si="18"/>
        <v>-6.6534669539218347</v>
      </c>
    </row>
    <row r="307" spans="1:24" x14ac:dyDescent="0.2">
      <c r="A307" t="s">
        <v>311</v>
      </c>
      <c r="B307">
        <v>1.564436183934272E-7</v>
      </c>
      <c r="C307">
        <v>2.0423943200000001E-7</v>
      </c>
      <c r="D307">
        <v>0</v>
      </c>
      <c r="E307">
        <v>2.0423943200000001E-7</v>
      </c>
      <c r="F307">
        <v>100</v>
      </c>
      <c r="G307">
        <v>1.3055146262749759</v>
      </c>
      <c r="W307">
        <f t="shared" si="17"/>
        <v>-6.8056421477817484</v>
      </c>
      <c r="X307">
        <f t="shared" si="18"/>
        <v>-6.689860405996642</v>
      </c>
    </row>
    <row r="308" spans="1:24" x14ac:dyDescent="0.2">
      <c r="A308" t="s">
        <v>272</v>
      </c>
      <c r="B308">
        <v>1.9666370249863871E-7</v>
      </c>
      <c r="C308">
        <v>1.96663702E-7</v>
      </c>
      <c r="D308">
        <v>0</v>
      </c>
      <c r="E308">
        <v>1.96663702E-7</v>
      </c>
      <c r="F308">
        <v>100</v>
      </c>
      <c r="G308">
        <v>0.99999999746451096</v>
      </c>
      <c r="W308">
        <f t="shared" si="17"/>
        <v>-6.7062757888310065</v>
      </c>
      <c r="X308">
        <f t="shared" si="18"/>
        <v>-6.7062757899321559</v>
      </c>
    </row>
    <row r="309" spans="1:24" x14ac:dyDescent="0.2">
      <c r="A309" t="s">
        <v>291</v>
      </c>
      <c r="B309">
        <v>1.94704630547409E-7</v>
      </c>
      <c r="C309">
        <v>1.9470463100000001E-7</v>
      </c>
      <c r="D309">
        <v>0</v>
      </c>
      <c r="E309">
        <v>1.9470463100000001E-7</v>
      </c>
      <c r="F309">
        <v>100</v>
      </c>
      <c r="G309">
        <v>1.000000002324501</v>
      </c>
      <c r="W309">
        <f t="shared" si="17"/>
        <v>-6.7106237197831309</v>
      </c>
      <c r="X309">
        <f t="shared" si="18"/>
        <v>-6.7106237187736131</v>
      </c>
    </row>
    <row r="310" spans="1:24" x14ac:dyDescent="0.2">
      <c r="A310" t="s">
        <v>316</v>
      </c>
      <c r="B310">
        <v>1.6118947607285339E-7</v>
      </c>
      <c r="C310">
        <v>1.6118947600000001E-7</v>
      </c>
      <c r="D310">
        <v>0</v>
      </c>
      <c r="E310">
        <v>1.6118947600000001E-7</v>
      </c>
      <c r="F310">
        <v>100</v>
      </c>
      <c r="G310">
        <v>0.99999999954802632</v>
      </c>
      <c r="W310">
        <f t="shared" si="17"/>
        <v>-6.7926633163317103</v>
      </c>
      <c r="X310">
        <f t="shared" si="18"/>
        <v>-6.7926633165279995</v>
      </c>
    </row>
    <row r="311" spans="1:24" x14ac:dyDescent="0.2">
      <c r="A311" t="s">
        <v>310</v>
      </c>
      <c r="B311">
        <v>1.514242230706137E-7</v>
      </c>
      <c r="C311">
        <v>1.5142422300000001E-7</v>
      </c>
      <c r="D311">
        <v>0</v>
      </c>
      <c r="E311">
        <v>1.5142422300000001E-7</v>
      </c>
      <c r="F311">
        <v>100</v>
      </c>
      <c r="G311">
        <v>0.99999999953366991</v>
      </c>
      <c r="W311">
        <f t="shared" si="17"/>
        <v>-6.8198046459427584</v>
      </c>
      <c r="X311">
        <f t="shared" si="18"/>
        <v>-6.8198046461452826</v>
      </c>
    </row>
    <row r="312" spans="1:24" x14ac:dyDescent="0.2">
      <c r="A312" t="s">
        <v>309</v>
      </c>
      <c r="B312">
        <v>1.212520273796234E-6</v>
      </c>
      <c r="C312">
        <v>1.4891059400000001E-7</v>
      </c>
      <c r="D312">
        <v>0</v>
      </c>
      <c r="E312">
        <v>1.4891059400000001E-7</v>
      </c>
      <c r="F312">
        <v>100</v>
      </c>
      <c r="G312">
        <v>0.12281080755357721</v>
      </c>
      <c r="W312">
        <f t="shared" si="17"/>
        <v>-5.9163109910974745</v>
      </c>
      <c r="X312">
        <f t="shared" si="18"/>
        <v>-6.827074403980026</v>
      </c>
    </row>
    <row r="313" spans="1:24" x14ac:dyDescent="0.2">
      <c r="A313" t="s">
        <v>308</v>
      </c>
      <c r="B313">
        <v>1.3649852339096529E-7</v>
      </c>
      <c r="C313">
        <v>1.4891059400000001E-7</v>
      </c>
      <c r="D313">
        <v>0</v>
      </c>
      <c r="E313">
        <v>1.4891059400000001E-7</v>
      </c>
      <c r="F313">
        <v>100</v>
      </c>
      <c r="G313">
        <v>1.0909319038820919</v>
      </c>
      <c r="W313">
        <f t="shared" si="17"/>
        <v>-6.8648720466937334</v>
      </c>
      <c r="X313">
        <f t="shared" si="18"/>
        <v>-6.827074403980026</v>
      </c>
    </row>
    <row r="314" spans="1:24" x14ac:dyDescent="0.2">
      <c r="A314" t="s">
        <v>319</v>
      </c>
      <c r="B314">
        <v>1.2643962243065269E-7</v>
      </c>
      <c r="C314">
        <v>1.2643962199999999E-7</v>
      </c>
      <c r="D314">
        <v>0</v>
      </c>
      <c r="E314">
        <v>1.2643962199999999E-7</v>
      </c>
      <c r="F314">
        <v>100</v>
      </c>
      <c r="G314">
        <v>0.99999999659400496</v>
      </c>
      <c r="W314">
        <f t="shared" si="17"/>
        <v>-6.898116809704721</v>
      </c>
      <c r="X314">
        <f t="shared" si="18"/>
        <v>-6.8981168111839253</v>
      </c>
    </row>
    <row r="315" spans="1:24" x14ac:dyDescent="0.2">
      <c r="A315" t="s">
        <v>284</v>
      </c>
      <c r="B315">
        <v>1.059787987770069E-7</v>
      </c>
      <c r="C315">
        <v>1.09272672E-7</v>
      </c>
      <c r="D315">
        <v>0</v>
      </c>
      <c r="E315">
        <v>1.09272672E-7</v>
      </c>
      <c r="F315">
        <v>100</v>
      </c>
      <c r="G315">
        <v>1.03108049214564</v>
      </c>
      <c r="W315">
        <f t="shared" si="17"/>
        <v>-6.9747810073304075</v>
      </c>
      <c r="X315">
        <f t="shared" si="18"/>
        <v>-6.9614884371679704</v>
      </c>
    </row>
    <row r="316" spans="1:24" x14ac:dyDescent="0.2">
      <c r="A316" t="s">
        <v>313</v>
      </c>
      <c r="B316">
        <v>1.04560809048475E-7</v>
      </c>
      <c r="C316">
        <v>1.04560809E-7</v>
      </c>
      <c r="D316">
        <v>0</v>
      </c>
      <c r="E316">
        <v>1.04560809E-7</v>
      </c>
      <c r="F316">
        <v>100</v>
      </c>
      <c r="G316">
        <v>0.99999999953639418</v>
      </c>
      <c r="W316">
        <f t="shared" si="17"/>
        <v>-6.980631065022683</v>
      </c>
      <c r="X316">
        <f t="shared" si="18"/>
        <v>-6.9806310652240242</v>
      </c>
    </row>
    <row r="317" spans="1:24" x14ac:dyDescent="0.2">
      <c r="A317" t="s">
        <v>314</v>
      </c>
      <c r="B317">
        <v>9.0511226021999174E-8</v>
      </c>
      <c r="C317">
        <v>9.0511225999999995E-8</v>
      </c>
      <c r="D317">
        <v>0</v>
      </c>
      <c r="E317">
        <v>9.0511225999999995E-8</v>
      </c>
      <c r="F317">
        <v>100</v>
      </c>
      <c r="G317">
        <v>0.99999999975694531</v>
      </c>
      <c r="W317">
        <f t="shared" si="17"/>
        <v>-7.0432975523191077</v>
      </c>
      <c r="X317">
        <f t="shared" si="18"/>
        <v>-7.043297552424665</v>
      </c>
    </row>
    <row r="318" spans="1:24" x14ac:dyDescent="0.2">
      <c r="A318" t="s">
        <v>304</v>
      </c>
      <c r="B318">
        <v>8.8127268039799641E-8</v>
      </c>
      <c r="C318">
        <v>8.8127267999999998E-8</v>
      </c>
      <c r="D318">
        <v>0</v>
      </c>
      <c r="E318">
        <v>8.8127267999999998E-8</v>
      </c>
      <c r="F318">
        <v>100</v>
      </c>
      <c r="G318">
        <v>0.99999999954838448</v>
      </c>
      <c r="W318">
        <f t="shared" si="17"/>
        <v>-7.0548896928715275</v>
      </c>
      <c r="X318">
        <f t="shared" si="18"/>
        <v>-7.0548896930676612</v>
      </c>
    </row>
    <row r="319" spans="1:24" x14ac:dyDescent="0.2">
      <c r="A319" t="s">
        <v>318</v>
      </c>
      <c r="B319">
        <v>8.4179571114440116E-8</v>
      </c>
      <c r="C319">
        <v>8.4179570999999996E-8</v>
      </c>
      <c r="D319">
        <v>0</v>
      </c>
      <c r="E319">
        <v>8.4179570999999996E-8</v>
      </c>
      <c r="F319">
        <v>100</v>
      </c>
      <c r="G319">
        <v>0.9999999986405238</v>
      </c>
      <c r="W319">
        <f t="shared" si="17"/>
        <v>-7.0747932912644815</v>
      </c>
      <c r="X319">
        <f t="shared" si="18"/>
        <v>-7.0747932918548946</v>
      </c>
    </row>
    <row r="320" spans="1:24" x14ac:dyDescent="0.2">
      <c r="A320" t="s">
        <v>320</v>
      </c>
      <c r="B320">
        <v>8.2743997154052865E-8</v>
      </c>
      <c r="C320">
        <v>8.2743997000000005E-8</v>
      </c>
      <c r="D320">
        <v>0</v>
      </c>
      <c r="E320">
        <v>8.2743997000000005E-8</v>
      </c>
      <c r="F320">
        <v>100</v>
      </c>
      <c r="G320">
        <v>0.99999999813819895</v>
      </c>
      <c r="W320">
        <f t="shared" si="17"/>
        <v>-7.0822635032614114</v>
      </c>
      <c r="X320">
        <f t="shared" si="18"/>
        <v>-7.0822635040699815</v>
      </c>
    </row>
    <row r="321" spans="1:24" x14ac:dyDescent="0.2">
      <c r="A321" t="s">
        <v>329</v>
      </c>
      <c r="B321">
        <v>8.2134056351863089E-8</v>
      </c>
      <c r="C321">
        <v>8.2134056000000004E-8</v>
      </c>
      <c r="D321">
        <v>0</v>
      </c>
      <c r="E321">
        <v>8.2134056000000004E-8</v>
      </c>
      <c r="F321">
        <v>100</v>
      </c>
      <c r="G321">
        <v>0.99999999571599041</v>
      </c>
      <c r="W321">
        <f t="shared" si="17"/>
        <v>-7.0854767281561415</v>
      </c>
      <c r="X321">
        <f t="shared" si="18"/>
        <v>-7.085476730016663</v>
      </c>
    </row>
    <row r="322" spans="1:24" x14ac:dyDescent="0.2">
      <c r="A322" t="s">
        <v>325</v>
      </c>
      <c r="B322">
        <v>7.0449012109265147E-7</v>
      </c>
      <c r="C322">
        <v>8.1212774000000001E-8</v>
      </c>
      <c r="D322">
        <v>0</v>
      </c>
      <c r="E322">
        <v>8.1212774000000001E-8</v>
      </c>
      <c r="F322">
        <v>100</v>
      </c>
      <c r="G322">
        <v>0.11527879748553529</v>
      </c>
      <c r="W322">
        <f t="shared" si="17"/>
        <v>-6.152125092526278</v>
      </c>
      <c r="X322">
        <f t="shared" si="18"/>
        <v>-7.0903756549781551</v>
      </c>
    </row>
    <row r="323" spans="1:24" x14ac:dyDescent="0.2">
      <c r="A323" t="s">
        <v>326</v>
      </c>
      <c r="B323">
        <v>8.1218433560317273E-8</v>
      </c>
      <c r="C323">
        <v>8.1212774000000001E-8</v>
      </c>
      <c r="D323">
        <v>0</v>
      </c>
      <c r="E323">
        <v>8.1212774000000001E-8</v>
      </c>
      <c r="F323">
        <v>100</v>
      </c>
      <c r="G323">
        <v>0.99993031680039646</v>
      </c>
      <c r="W323">
        <f t="shared" ref="W323:W343" si="19">LOG(B323)</f>
        <v>-7.0903453908946243</v>
      </c>
      <c r="X323">
        <f t="shared" ref="X323:X343" si="20">LOG(C323)</f>
        <v>-7.0903756549781551</v>
      </c>
    </row>
    <row r="324" spans="1:24" x14ac:dyDescent="0.2">
      <c r="A324" t="s">
        <v>327</v>
      </c>
      <c r="B324">
        <v>2.8723804184092622E-7</v>
      </c>
      <c r="C324">
        <v>8.1212774000000001E-8</v>
      </c>
      <c r="D324">
        <v>0</v>
      </c>
      <c r="E324">
        <v>8.1212774000000001E-8</v>
      </c>
      <c r="F324">
        <v>100</v>
      </c>
      <c r="G324">
        <v>0.2827368320696742</v>
      </c>
      <c r="W324">
        <f t="shared" si="19"/>
        <v>-6.5417580426069595</v>
      </c>
      <c r="X324">
        <f t="shared" si="20"/>
        <v>-7.0903756549781551</v>
      </c>
    </row>
    <row r="325" spans="1:24" x14ac:dyDescent="0.2">
      <c r="A325" t="s">
        <v>324</v>
      </c>
      <c r="B325">
        <v>1.444425045057843E-6</v>
      </c>
      <c r="C325">
        <v>8.1212774000000001E-8</v>
      </c>
      <c r="D325">
        <v>0</v>
      </c>
      <c r="E325">
        <v>8.1212774000000001E-8</v>
      </c>
      <c r="F325">
        <v>100</v>
      </c>
      <c r="G325">
        <v>5.6224983274744997E-2</v>
      </c>
      <c r="W325">
        <f t="shared" si="19"/>
        <v>-5.8403049898961932</v>
      </c>
      <c r="X325">
        <f t="shared" si="20"/>
        <v>-7.0903756549781551</v>
      </c>
    </row>
    <row r="326" spans="1:24" x14ac:dyDescent="0.2">
      <c r="A326" t="s">
        <v>317</v>
      </c>
      <c r="B326">
        <v>7.4207670701446902E-8</v>
      </c>
      <c r="C326">
        <v>7.4207670999999996E-8</v>
      </c>
      <c r="D326">
        <v>0</v>
      </c>
      <c r="E326">
        <v>7.4207670999999996E-8</v>
      </c>
      <c r="F326">
        <v>100</v>
      </c>
      <c r="G326">
        <v>1.0000000040232111</v>
      </c>
      <c r="W326">
        <f t="shared" si="19"/>
        <v>-7.1295512002313828</v>
      </c>
      <c r="X326">
        <f t="shared" si="20"/>
        <v>-7.1295511984841244</v>
      </c>
    </row>
    <row r="327" spans="1:24" x14ac:dyDescent="0.2">
      <c r="A327" t="s">
        <v>315</v>
      </c>
      <c r="B327">
        <v>3.7324430858512939E-8</v>
      </c>
      <c r="C327">
        <v>6.5035082999999996E-8</v>
      </c>
      <c r="D327">
        <v>0</v>
      </c>
      <c r="E327">
        <v>6.5035082999999996E-8</v>
      </c>
      <c r="F327">
        <v>100</v>
      </c>
      <c r="G327">
        <v>1.7424266493581859</v>
      </c>
      <c r="W327">
        <f t="shared" si="19"/>
        <v>-7.4280068058907274</v>
      </c>
      <c r="X327">
        <f t="shared" si="20"/>
        <v>-7.186852301157689</v>
      </c>
    </row>
    <row r="328" spans="1:24" x14ac:dyDescent="0.2">
      <c r="A328" t="s">
        <v>234</v>
      </c>
      <c r="B328">
        <v>1.867627060077278E-6</v>
      </c>
      <c r="C328">
        <v>5.3945012999999998E-8</v>
      </c>
      <c r="D328">
        <v>0</v>
      </c>
      <c r="E328">
        <v>5.3945012999999998E-8</v>
      </c>
      <c r="F328">
        <v>100</v>
      </c>
      <c r="G328">
        <v>2.8884253260802441E-2</v>
      </c>
      <c r="W328">
        <f t="shared" si="19"/>
        <v>-5.7287098421961993</v>
      </c>
      <c r="X328">
        <f t="shared" si="20"/>
        <v>-7.2680486979076537</v>
      </c>
    </row>
    <row r="329" spans="1:24" x14ac:dyDescent="0.2">
      <c r="A329" t="s">
        <v>233</v>
      </c>
      <c r="B329">
        <v>2.4186054650682741E-6</v>
      </c>
      <c r="C329">
        <v>5.3945012999999998E-8</v>
      </c>
      <c r="D329">
        <v>0</v>
      </c>
      <c r="E329">
        <v>5.3945012999999998E-8</v>
      </c>
      <c r="F329">
        <v>100</v>
      </c>
      <c r="G329">
        <v>2.230418056153578E-2</v>
      </c>
      <c r="W329">
        <f t="shared" si="19"/>
        <v>-5.6164349701326541</v>
      </c>
      <c r="X329">
        <f t="shared" si="20"/>
        <v>-7.2680486979076537</v>
      </c>
    </row>
    <row r="330" spans="1:24" x14ac:dyDescent="0.2">
      <c r="A330" t="s">
        <v>232</v>
      </c>
      <c r="B330">
        <v>5.3945012991307429E-8</v>
      </c>
      <c r="C330">
        <v>5.3945012999999998E-8</v>
      </c>
      <c r="D330">
        <v>0</v>
      </c>
      <c r="E330">
        <v>5.3945012999999998E-8</v>
      </c>
      <c r="F330">
        <v>100</v>
      </c>
      <c r="G330">
        <v>1.000000000161138</v>
      </c>
      <c r="W330">
        <f t="shared" si="19"/>
        <v>-7.2680486979776351</v>
      </c>
      <c r="X330">
        <f t="shared" si="20"/>
        <v>-7.2680486979076537</v>
      </c>
    </row>
    <row r="331" spans="1:24" x14ac:dyDescent="0.2">
      <c r="A331" t="s">
        <v>235</v>
      </c>
      <c r="B331">
        <v>1.6177895310213249E-6</v>
      </c>
      <c r="C331">
        <v>5.3945012999999998E-8</v>
      </c>
      <c r="D331">
        <v>0</v>
      </c>
      <c r="E331">
        <v>5.3945012999999998E-8</v>
      </c>
      <c r="F331">
        <v>100</v>
      </c>
      <c r="G331">
        <v>3.334488940965271E-2</v>
      </c>
      <c r="W331">
        <f t="shared" si="19"/>
        <v>-5.7910779793007352</v>
      </c>
      <c r="X331">
        <f t="shared" si="20"/>
        <v>-7.2680486979076537</v>
      </c>
    </row>
    <row r="332" spans="1:24" x14ac:dyDescent="0.2">
      <c r="A332" t="s">
        <v>322</v>
      </c>
      <c r="B332">
        <v>4.8219709043107341E-8</v>
      </c>
      <c r="C332">
        <v>4.8219709000000001E-8</v>
      </c>
      <c r="D332">
        <v>0</v>
      </c>
      <c r="E332">
        <v>4.8219709000000001E-8</v>
      </c>
      <c r="F332">
        <v>100</v>
      </c>
      <c r="G332">
        <v>0.99999999910602244</v>
      </c>
      <c r="W332">
        <f t="shared" si="19"/>
        <v>-7.3167754144760719</v>
      </c>
      <c r="X332">
        <f t="shared" si="20"/>
        <v>-7.3167754148643214</v>
      </c>
    </row>
    <row r="333" spans="1:24" x14ac:dyDescent="0.2">
      <c r="A333" t="s">
        <v>328</v>
      </c>
      <c r="B333">
        <v>4.2092215970948663E-8</v>
      </c>
      <c r="C333">
        <v>4.2092216E-8</v>
      </c>
      <c r="D333">
        <v>0</v>
      </c>
      <c r="E333">
        <v>4.2092216E-8</v>
      </c>
      <c r="F333">
        <v>100</v>
      </c>
      <c r="G333">
        <v>1.000000000690183</v>
      </c>
      <c r="W333">
        <f t="shared" si="19"/>
        <v>-7.375798209946395</v>
      </c>
      <c r="X333">
        <f t="shared" si="20"/>
        <v>-7.3757982096466526</v>
      </c>
    </row>
    <row r="334" spans="1:24" x14ac:dyDescent="0.2">
      <c r="A334" t="s">
        <v>323</v>
      </c>
      <c r="B334">
        <v>2.583898563375316E-6</v>
      </c>
      <c r="C334">
        <v>3.8658941999999997E-8</v>
      </c>
      <c r="D334">
        <v>0</v>
      </c>
      <c r="E334">
        <v>3.8658941999999997E-8</v>
      </c>
      <c r="F334">
        <v>100</v>
      </c>
      <c r="G334">
        <v>1.49614781895696E-2</v>
      </c>
      <c r="W334">
        <f t="shared" si="19"/>
        <v>-5.587724539527982</v>
      </c>
      <c r="X334">
        <f t="shared" si="20"/>
        <v>-7.4127500357148444</v>
      </c>
    </row>
    <row r="335" spans="1:24" x14ac:dyDescent="0.2">
      <c r="A335" t="s">
        <v>330</v>
      </c>
      <c r="B335">
        <v>3.808356335163409E-8</v>
      </c>
      <c r="C335">
        <v>3.8083563000000002E-8</v>
      </c>
      <c r="D335">
        <v>0</v>
      </c>
      <c r="E335">
        <v>3.8083563000000002E-8</v>
      </c>
      <c r="F335">
        <v>100</v>
      </c>
      <c r="G335">
        <v>0.99999999076677559</v>
      </c>
      <c r="W335">
        <f t="shared" si="19"/>
        <v>-7.4192624229044162</v>
      </c>
      <c r="X335">
        <f t="shared" si="20"/>
        <v>-7.4192624269143543</v>
      </c>
    </row>
    <row r="336" spans="1:24" x14ac:dyDescent="0.2">
      <c r="A336" t="s">
        <v>337</v>
      </c>
      <c r="B336">
        <v>1.3469888076306591E-8</v>
      </c>
      <c r="C336">
        <v>1.3469888E-8</v>
      </c>
      <c r="D336">
        <v>0</v>
      </c>
      <c r="E336">
        <v>1.3469888E-8</v>
      </c>
      <c r="F336">
        <v>100</v>
      </c>
      <c r="G336">
        <v>0.99999999433502429</v>
      </c>
      <c r="W336">
        <f t="shared" si="19"/>
        <v>-7.8706360128920396</v>
      </c>
      <c r="X336">
        <f t="shared" si="20"/>
        <v>-7.8706360153523072</v>
      </c>
    </row>
    <row r="337" spans="1:24" x14ac:dyDescent="0.2">
      <c r="A337" t="s">
        <v>336</v>
      </c>
      <c r="B337">
        <v>5.4049891202541512E-8</v>
      </c>
      <c r="C337">
        <v>8.2342449999999998E-9</v>
      </c>
      <c r="D337">
        <v>0</v>
      </c>
      <c r="E337">
        <v>8.2342449999999998E-9</v>
      </c>
      <c r="F337">
        <v>100</v>
      </c>
      <c r="G337">
        <v>0.15234526502826359</v>
      </c>
      <c r="W337">
        <f t="shared" si="19"/>
        <v>-7.2672051759046283</v>
      </c>
      <c r="X337">
        <f t="shared" si="20"/>
        <v>-8.0843762152392955</v>
      </c>
    </row>
    <row r="338" spans="1:24" x14ac:dyDescent="0.2">
      <c r="A338" t="s">
        <v>335</v>
      </c>
      <c r="B338">
        <v>3.858917475792461E-8</v>
      </c>
      <c r="C338">
        <v>8.2342449999999998E-9</v>
      </c>
      <c r="D338">
        <v>0</v>
      </c>
      <c r="E338">
        <v>8.2342449999999998E-9</v>
      </c>
      <c r="F338">
        <v>100</v>
      </c>
      <c r="G338">
        <v>0.21338225167173419</v>
      </c>
      <c r="W338">
        <f t="shared" si="19"/>
        <v>-7.4135345088582945</v>
      </c>
      <c r="X338">
        <f t="shared" si="20"/>
        <v>-8.0843762152392955</v>
      </c>
    </row>
    <row r="339" spans="1:24" x14ac:dyDescent="0.2">
      <c r="A339" t="s">
        <v>334</v>
      </c>
      <c r="B339">
        <v>3.6709147545628319E-7</v>
      </c>
      <c r="C339">
        <v>8.2342449999999998E-9</v>
      </c>
      <c r="D339">
        <v>0</v>
      </c>
      <c r="E339">
        <v>8.2342449999999998E-9</v>
      </c>
      <c r="F339">
        <v>100</v>
      </c>
      <c r="G339">
        <v>2.2431043896524949E-2</v>
      </c>
      <c r="W339">
        <f t="shared" si="19"/>
        <v>-6.435225700500868</v>
      </c>
      <c r="X339">
        <f t="shared" si="20"/>
        <v>-8.0843762152392955</v>
      </c>
    </row>
    <row r="340" spans="1:24" x14ac:dyDescent="0.2">
      <c r="A340" t="s">
        <v>333</v>
      </c>
      <c r="B340">
        <v>2.113117870001836E-7</v>
      </c>
      <c r="C340">
        <v>8.2342449999999998E-9</v>
      </c>
      <c r="D340">
        <v>0</v>
      </c>
      <c r="E340">
        <v>8.2342449999999998E-9</v>
      </c>
      <c r="F340">
        <v>100</v>
      </c>
      <c r="G340">
        <v>3.8967277296239257E-2</v>
      </c>
      <c r="W340">
        <f t="shared" si="19"/>
        <v>-6.6750762772668288</v>
      </c>
      <c r="X340">
        <f t="shared" si="20"/>
        <v>-8.0843762152392955</v>
      </c>
    </row>
    <row r="341" spans="1:24" x14ac:dyDescent="0.2">
      <c r="A341" t="s">
        <v>331</v>
      </c>
      <c r="B341">
        <v>2.1906276287730562E-6</v>
      </c>
      <c r="C341">
        <v>8.2342449999999998E-9</v>
      </c>
      <c r="D341">
        <v>0</v>
      </c>
      <c r="E341">
        <v>8.2342449999999998E-9</v>
      </c>
      <c r="F341">
        <v>100</v>
      </c>
      <c r="G341">
        <v>3.7588519800655939E-3</v>
      </c>
      <c r="W341">
        <f t="shared" si="19"/>
        <v>-5.6594314391956111</v>
      </c>
      <c r="X341">
        <f t="shared" si="20"/>
        <v>-8.0843762152392955</v>
      </c>
    </row>
    <row r="342" spans="1:24" x14ac:dyDescent="0.2">
      <c r="A342" t="s">
        <v>332</v>
      </c>
      <c r="B342">
        <v>8.2342454319652119E-9</v>
      </c>
      <c r="C342">
        <v>8.2342449999999998E-9</v>
      </c>
      <c r="D342">
        <v>0</v>
      </c>
      <c r="E342">
        <v>8.2342449999999998E-9</v>
      </c>
      <c r="F342">
        <v>100</v>
      </c>
      <c r="G342">
        <v>0.99999994754040122</v>
      </c>
      <c r="W342">
        <f t="shared" si="19"/>
        <v>-8.0843761924563804</v>
      </c>
      <c r="X342">
        <f t="shared" si="20"/>
        <v>-8.0843762152392955</v>
      </c>
    </row>
    <row r="343" spans="1:24" x14ac:dyDescent="0.2">
      <c r="A343" t="s">
        <v>338</v>
      </c>
      <c r="B343">
        <v>3.7215427850943527E-7</v>
      </c>
      <c r="C343">
        <v>7.093153285E-6</v>
      </c>
      <c r="D343">
        <v>7.093153285E-6</v>
      </c>
      <c r="E343">
        <v>0</v>
      </c>
      <c r="F343">
        <v>0</v>
      </c>
      <c r="G343">
        <v>19.059711777088079</v>
      </c>
      <c r="W343">
        <f t="shared" si="19"/>
        <v>-6.4292769837328176</v>
      </c>
      <c r="X343">
        <f t="shared" si="20"/>
        <v>-5.1491606548264519</v>
      </c>
    </row>
    <row r="344" spans="1:24" x14ac:dyDescent="0.2">
      <c r="A344" t="s">
        <v>421</v>
      </c>
      <c r="B344">
        <v>1.9365354906505009E-8</v>
      </c>
      <c r="C344">
        <v>3.8828950399999999E-7</v>
      </c>
      <c r="D344">
        <v>3.8828950399999999E-7</v>
      </c>
      <c r="E344">
        <v>0</v>
      </c>
      <c r="F344">
        <v>0</v>
      </c>
      <c r="G344">
        <v>20.05073007309408</v>
      </c>
    </row>
  </sheetData>
  <sortState xmlns:xlrd2="http://schemas.microsoft.com/office/spreadsheetml/2017/richdata2" ref="A2:G343">
    <sortCondition descending="1" ref="G1:G343"/>
  </sortState>
  <mergeCells count="10">
    <mergeCell ref="S61:S62"/>
    <mergeCell ref="S75:S77"/>
    <mergeCell ref="S80:S85"/>
    <mergeCell ref="S91:S93"/>
    <mergeCell ref="S16:S18"/>
    <mergeCell ref="S21:S25"/>
    <mergeCell ref="S33:S38"/>
    <mergeCell ref="S41:S43"/>
    <mergeCell ref="S46:S49"/>
    <mergeCell ref="S54:S5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C563A-5C7F-3848-BDFB-74E8D823C087}">
  <dimension ref="A1:P58"/>
  <sheetViews>
    <sheetView tabSelected="1" zoomScale="64" zoomScaleNormal="100" workbookViewId="0">
      <selection activeCell="O39" sqref="O39"/>
    </sheetView>
  </sheetViews>
  <sheetFormatPr baseColWidth="10" defaultRowHeight="15" x14ac:dyDescent="0.2"/>
  <cols>
    <col min="2" max="2" width="13" bestFit="1" customWidth="1"/>
    <col min="3" max="3" width="21.6640625" customWidth="1"/>
    <col min="5" max="5" width="13.6640625" customWidth="1"/>
    <col min="6" max="6" width="17.1640625" customWidth="1"/>
    <col min="7" max="7" width="12" style="7" bestFit="1" customWidth="1"/>
    <col min="9" max="10" width="11" bestFit="1" customWidth="1"/>
    <col min="12" max="12" width="15.5" customWidth="1"/>
    <col min="13" max="13" width="12" bestFit="1" customWidth="1"/>
    <col min="15" max="15" width="12" style="7" bestFit="1" customWidth="1"/>
    <col min="16" max="16" width="12" bestFit="1" customWidth="1"/>
  </cols>
  <sheetData>
    <row r="1" spans="1:16" x14ac:dyDescent="0.2">
      <c r="B1" s="5"/>
      <c r="C1" s="5"/>
      <c r="D1" s="5"/>
      <c r="E1" s="5"/>
    </row>
    <row r="2" spans="1:16" x14ac:dyDescent="0.2">
      <c r="B2" t="s">
        <v>413</v>
      </c>
      <c r="C2" s="5" t="s">
        <v>406</v>
      </c>
      <c r="D2" s="5"/>
      <c r="E2" s="5"/>
    </row>
    <row r="3" spans="1:16" x14ac:dyDescent="0.2">
      <c r="B3" t="s">
        <v>420</v>
      </c>
      <c r="C3" s="5" t="s">
        <v>407</v>
      </c>
      <c r="D3" s="5"/>
      <c r="E3" s="5"/>
    </row>
    <row r="4" spans="1:16" x14ac:dyDescent="0.2">
      <c r="B4" s="5"/>
      <c r="C4" s="5"/>
      <c r="D4" s="5"/>
      <c r="E4" s="5"/>
    </row>
    <row r="5" spans="1:16" x14ac:dyDescent="0.2">
      <c r="B5" s="5"/>
      <c r="C5" s="5"/>
      <c r="D5" s="5"/>
      <c r="E5" s="5"/>
    </row>
    <row r="6" spans="1:16" x14ac:dyDescent="0.2">
      <c r="B6" s="5"/>
      <c r="C6" s="5"/>
      <c r="D6" s="5"/>
      <c r="E6" s="5"/>
      <c r="F6" t="s">
        <v>395</v>
      </c>
      <c r="G6" s="8" t="s">
        <v>397</v>
      </c>
      <c r="I6" s="14"/>
      <c r="J6" s="14"/>
      <c r="L6" s="14" t="s">
        <v>400</v>
      </c>
      <c r="M6" s="14"/>
      <c r="O6" s="15" t="s">
        <v>402</v>
      </c>
      <c r="P6" s="15"/>
    </row>
    <row r="7" spans="1:16" x14ac:dyDescent="0.2">
      <c r="A7" t="s">
        <v>401</v>
      </c>
      <c r="B7" s="5"/>
      <c r="C7" s="5"/>
      <c r="D7" s="5"/>
      <c r="E7" s="5" t="s">
        <v>393</v>
      </c>
      <c r="F7" s="5" t="s">
        <v>394</v>
      </c>
      <c r="G7" s="8" t="s">
        <v>396</v>
      </c>
      <c r="L7" t="s">
        <v>398</v>
      </c>
      <c r="M7" t="s">
        <v>399</v>
      </c>
      <c r="O7" s="9" t="s">
        <v>398</v>
      </c>
      <c r="P7" s="6" t="s">
        <v>399</v>
      </c>
    </row>
    <row r="8" spans="1:16" x14ac:dyDescent="0.2">
      <c r="A8">
        <v>34.896999999999998</v>
      </c>
      <c r="B8" s="2" t="s">
        <v>82</v>
      </c>
      <c r="C8" s="2" t="s">
        <v>339</v>
      </c>
      <c r="D8" s="5" t="s">
        <v>340</v>
      </c>
      <c r="E8" s="5">
        <v>1.0038336684567211</v>
      </c>
      <c r="F8" s="5">
        <v>9.0933451080000004E-6</v>
      </c>
      <c r="G8" s="8">
        <f>F8/ 0.36</f>
        <v>2.5259291966666667E-5</v>
      </c>
      <c r="L8">
        <v>8.7810714011608197E-4</v>
      </c>
      <c r="M8">
        <v>5.0234309230539104E-5</v>
      </c>
      <c r="O8" s="9">
        <f>L8/A8</f>
        <v>2.5162826034217326E-5</v>
      </c>
      <c r="P8" s="6">
        <f>M8/A8</f>
        <v>1.4395022274275469E-6</v>
      </c>
    </row>
    <row r="9" spans="1:16" x14ac:dyDescent="0.2">
      <c r="A9">
        <v>53.859000000000002</v>
      </c>
      <c r="B9" s="2" t="s">
        <v>71</v>
      </c>
      <c r="C9" s="2" t="s">
        <v>341</v>
      </c>
      <c r="D9" s="5" t="s">
        <v>342</v>
      </c>
      <c r="E9" s="5">
        <v>1.0036561087500959</v>
      </c>
      <c r="F9" s="5">
        <v>1.6777293165999999E-5</v>
      </c>
      <c r="G9" s="8">
        <f t="shared" ref="G9:G30" si="0">F9/ 0.36</f>
        <v>4.660359212777778E-5</v>
      </c>
      <c r="L9">
        <v>2.500879381420637E-3</v>
      </c>
      <c r="M9">
        <v>1.2660655271744335E-4</v>
      </c>
      <c r="O9" s="9">
        <f t="shared" ref="O9:O29" si="1">L9/A9</f>
        <v>4.6433825013844236E-5</v>
      </c>
      <c r="P9" s="6">
        <f t="shared" ref="P9:P30" si="2">M9/A9</f>
        <v>2.3507037397174724E-6</v>
      </c>
    </row>
    <row r="10" spans="1:16" x14ac:dyDescent="0.2">
      <c r="A10">
        <v>25.530999999999999</v>
      </c>
      <c r="B10" s="2" t="s">
        <v>155</v>
      </c>
      <c r="C10" s="2" t="s">
        <v>343</v>
      </c>
      <c r="D10" s="5" t="s">
        <v>344</v>
      </c>
      <c r="E10" s="5">
        <v>1.0036561086405611</v>
      </c>
      <c r="F10" s="5">
        <v>2.7676406140000001E-6</v>
      </c>
      <c r="G10" s="8">
        <f t="shared" si="0"/>
        <v>7.6878905944444451E-6</v>
      </c>
      <c r="L10">
        <v>1.9556452960030229E-4</v>
      </c>
      <c r="M10">
        <v>1.0158722033320065E-5</v>
      </c>
      <c r="O10" s="9">
        <f t="shared" si="1"/>
        <v>7.6598852218989575E-6</v>
      </c>
      <c r="P10" s="6">
        <f t="shared" si="2"/>
        <v>3.9789753763346777E-7</v>
      </c>
    </row>
    <row r="11" spans="1:16" x14ac:dyDescent="0.2">
      <c r="A11">
        <v>65.391999999999996</v>
      </c>
      <c r="B11" s="2" t="s">
        <v>72</v>
      </c>
      <c r="C11" s="2" t="s">
        <v>345</v>
      </c>
      <c r="D11" s="5" t="s">
        <v>346</v>
      </c>
      <c r="E11" s="5">
        <v>1.0036561087015901</v>
      </c>
      <c r="F11" s="5">
        <v>1.5846674152999999E-5</v>
      </c>
      <c r="G11" s="8">
        <f t="shared" si="0"/>
        <v>4.4018539313888888E-5</v>
      </c>
      <c r="L11">
        <v>2.8679746955733972E-3</v>
      </c>
      <c r="M11">
        <v>8.472346603292725E-5</v>
      </c>
      <c r="O11" s="9">
        <f t="shared" si="1"/>
        <v>4.3858189007422885E-5</v>
      </c>
      <c r="P11" s="6">
        <f t="shared" si="2"/>
        <v>1.2956243276383541E-6</v>
      </c>
    </row>
    <row r="12" spans="1:16" x14ac:dyDescent="0.2">
      <c r="A12">
        <v>21.504999999999999</v>
      </c>
      <c r="B12" s="2" t="s">
        <v>70</v>
      </c>
      <c r="C12" s="2" t="s">
        <v>347</v>
      </c>
      <c r="D12" s="5" t="s">
        <v>348</v>
      </c>
      <c r="E12" s="5">
        <v>1.0036561087181479</v>
      </c>
      <c r="F12" s="5">
        <v>1.8120454927000001E-5</v>
      </c>
      <c r="G12" s="8">
        <f t="shared" si="0"/>
        <v>5.033459701944445E-5</v>
      </c>
      <c r="L12">
        <v>1.0785023869237772E-3</v>
      </c>
      <c r="M12">
        <v>1.1151130582203634E-4</v>
      </c>
      <c r="O12" s="9">
        <f t="shared" si="1"/>
        <v>5.0151238638631813E-5</v>
      </c>
      <c r="P12" s="6">
        <f t="shared" si="2"/>
        <v>5.1853664646378207E-6</v>
      </c>
    </row>
    <row r="13" spans="1:16" x14ac:dyDescent="0.2">
      <c r="A13">
        <v>55.399000000000001</v>
      </c>
      <c r="B13" s="2" t="s">
        <v>103</v>
      </c>
      <c r="C13" s="2" t="s">
        <v>349</v>
      </c>
      <c r="D13" s="5" t="s">
        <v>350</v>
      </c>
      <c r="E13" s="5">
        <v>1.0275144010469019</v>
      </c>
      <c r="F13" s="5">
        <v>5.294096101E-6</v>
      </c>
      <c r="G13" s="8">
        <f t="shared" si="0"/>
        <v>1.4705822502777779E-5</v>
      </c>
      <c r="L13">
        <v>7.9287245025600318E-4</v>
      </c>
      <c r="M13">
        <v>2.3581530127224962E-5</v>
      </c>
      <c r="O13" s="9">
        <f t="shared" si="1"/>
        <v>1.4312035420422808E-5</v>
      </c>
      <c r="P13" s="6">
        <f t="shared" si="2"/>
        <v>4.2566707209922493E-7</v>
      </c>
    </row>
    <row r="14" spans="1:16" x14ac:dyDescent="0.2">
      <c r="A14">
        <v>26.266999999999999</v>
      </c>
      <c r="B14" s="2" t="s">
        <v>247</v>
      </c>
      <c r="C14" s="2" t="s">
        <v>351</v>
      </c>
      <c r="D14" s="5" t="s">
        <v>352</v>
      </c>
      <c r="E14" s="5">
        <v>0.99999999950709817</v>
      </c>
      <c r="F14" s="5">
        <v>7.9283245200000004E-7</v>
      </c>
      <c r="G14" s="8">
        <f t="shared" si="0"/>
        <v>2.2023123666666668E-6</v>
      </c>
      <c r="L14">
        <v>5.7848138963746799E-5</v>
      </c>
      <c r="M14">
        <v>2.5011255499599478E-6</v>
      </c>
      <c r="O14" s="9">
        <f t="shared" si="1"/>
        <v>2.2023123677521908E-6</v>
      </c>
      <c r="P14" s="6">
        <f t="shared" si="2"/>
        <v>9.5219307494572958E-8</v>
      </c>
    </row>
    <row r="15" spans="1:16" x14ac:dyDescent="0.2">
      <c r="A15">
        <v>36.101999999999997</v>
      </c>
      <c r="B15" s="2" t="s">
        <v>7</v>
      </c>
      <c r="C15" s="2" t="s">
        <v>353</v>
      </c>
      <c r="D15" s="5" t="s">
        <v>354</v>
      </c>
      <c r="E15" s="5">
        <v>1.0034966455818599</v>
      </c>
      <c r="F15" s="5">
        <v>7.9417410339000004E-5</v>
      </c>
      <c r="G15" s="8">
        <f t="shared" si="0"/>
        <v>2.2060391760833335E-4</v>
      </c>
      <c r="L15">
        <v>7.9364915354332086E-3</v>
      </c>
      <c r="M15">
        <v>2.9107043559065555E-4</v>
      </c>
      <c r="O15" s="9">
        <f t="shared" si="1"/>
        <v>2.1983523171661431E-4</v>
      </c>
      <c r="P15" s="6">
        <f t="shared" si="2"/>
        <v>8.0624462797256548E-6</v>
      </c>
    </row>
    <row r="16" spans="1:16" x14ac:dyDescent="0.2">
      <c r="A16">
        <v>41.387999999999998</v>
      </c>
      <c r="B16" s="2" t="s">
        <v>68</v>
      </c>
      <c r="C16" s="2" t="s">
        <v>355</v>
      </c>
      <c r="D16" s="5" t="s">
        <v>356</v>
      </c>
      <c r="E16" s="5">
        <v>1.003496660603318</v>
      </c>
      <c r="F16" s="5">
        <v>2.2563196766999999E-5</v>
      </c>
      <c r="G16" s="8">
        <f t="shared" si="0"/>
        <v>6.2675546575000001E-5</v>
      </c>
      <c r="L16">
        <v>2.5849767353351601E-3</v>
      </c>
      <c r="M16">
        <v>5.2563526179080733E-5</v>
      </c>
      <c r="O16" s="9">
        <f t="shared" si="1"/>
        <v>6.2457155101361755E-5</v>
      </c>
      <c r="P16" s="6">
        <f t="shared" si="2"/>
        <v>1.2700185121069086E-6</v>
      </c>
    </row>
    <row r="17" spans="1:16" x14ac:dyDescent="0.2">
      <c r="A17">
        <v>25.937999999999999</v>
      </c>
      <c r="B17" s="2" t="s">
        <v>65</v>
      </c>
      <c r="C17" s="2" t="s">
        <v>357</v>
      </c>
      <c r="D17" s="5" t="s">
        <v>358</v>
      </c>
      <c r="E17" s="5">
        <v>1.0025338280776941</v>
      </c>
      <c r="F17" s="5">
        <v>2.4633419526999999E-5</v>
      </c>
      <c r="G17" s="8">
        <f t="shared" si="0"/>
        <v>6.8426165352777774E-5</v>
      </c>
      <c r="L17">
        <v>1.7703521090390627E-3</v>
      </c>
      <c r="M17">
        <v>2.5653538810896839E-5</v>
      </c>
      <c r="O17" s="9">
        <f t="shared" si="1"/>
        <v>6.8253223418885916E-5</v>
      </c>
      <c r="P17" s="6">
        <f t="shared" si="2"/>
        <v>9.8903303303634984E-7</v>
      </c>
    </row>
    <row r="18" spans="1:16" x14ac:dyDescent="0.2">
      <c r="A18">
        <v>45.743000000000002</v>
      </c>
      <c r="B18" s="2" t="s">
        <v>64</v>
      </c>
      <c r="C18" s="2" t="s">
        <v>359</v>
      </c>
      <c r="D18" s="5" t="s">
        <v>360</v>
      </c>
      <c r="E18" s="5">
        <v>1.002533828061644</v>
      </c>
      <c r="F18" s="5">
        <v>4.0351627706999999E-5</v>
      </c>
      <c r="G18" s="8">
        <f t="shared" si="0"/>
        <v>1.1208785474166667E-4</v>
      </c>
      <c r="L18">
        <v>5.1142760432945624E-3</v>
      </c>
      <c r="M18">
        <v>1.9427640416297163E-4</v>
      </c>
      <c r="O18" s="9">
        <f t="shared" si="1"/>
        <v>1.1180456120706036E-4</v>
      </c>
      <c r="P18" s="6">
        <f t="shared" si="2"/>
        <v>4.2471286134047097E-6</v>
      </c>
    </row>
    <row r="19" spans="1:16" x14ac:dyDescent="0.2">
      <c r="A19">
        <v>51.445</v>
      </c>
      <c r="B19" s="2" t="s">
        <v>10</v>
      </c>
      <c r="C19" s="2" t="s">
        <v>361</v>
      </c>
      <c r="D19" s="5" t="s">
        <v>362</v>
      </c>
      <c r="E19" s="5">
        <v>0.9968704505182604</v>
      </c>
      <c r="F19" s="5">
        <v>5.3389339779E-5</v>
      </c>
      <c r="G19" s="8">
        <f t="shared" si="0"/>
        <v>1.4830372160833333E-4</v>
      </c>
      <c r="L19">
        <v>7.6534367672090545E-3</v>
      </c>
      <c r="M19">
        <v>2.5661941267832855E-4</v>
      </c>
      <c r="O19" s="9">
        <f t="shared" si="1"/>
        <v>1.4876930250187686E-4</v>
      </c>
      <c r="P19" s="6">
        <f t="shared" si="2"/>
        <v>4.9882284513233268E-6</v>
      </c>
    </row>
    <row r="20" spans="1:16" x14ac:dyDescent="0.2">
      <c r="A20">
        <v>60.926000000000002</v>
      </c>
      <c r="B20" s="2" t="s">
        <v>9</v>
      </c>
      <c r="C20" s="2" t="s">
        <v>363</v>
      </c>
      <c r="D20" s="5" t="s">
        <v>364</v>
      </c>
      <c r="E20" s="5">
        <v>1.0049581774752889</v>
      </c>
      <c r="F20" s="5">
        <v>6.9800972444000002E-5</v>
      </c>
      <c r="G20" s="8">
        <f t="shared" si="0"/>
        <v>1.9389159012222224E-4</v>
      </c>
      <c r="L20">
        <v>1.175475684914956E-2</v>
      </c>
      <c r="M20">
        <v>2.0380980611285361E-4</v>
      </c>
      <c r="O20" s="9">
        <f t="shared" si="1"/>
        <v>1.9293498422922166E-4</v>
      </c>
      <c r="P20" s="6">
        <f t="shared" si="2"/>
        <v>3.3452024769860749E-6</v>
      </c>
    </row>
    <row r="21" spans="1:16" x14ac:dyDescent="0.2">
      <c r="A21">
        <v>36.122</v>
      </c>
      <c r="B21" s="2" t="s">
        <v>73</v>
      </c>
      <c r="C21" s="2" t="s">
        <v>365</v>
      </c>
      <c r="D21" s="5" t="s">
        <v>366</v>
      </c>
      <c r="E21" s="5">
        <v>23.061532395022969</v>
      </c>
      <c r="F21" s="5">
        <v>2.7311432463000001E-5</v>
      </c>
      <c r="G21" s="8">
        <f t="shared" si="0"/>
        <v>7.5865090175000001E-5</v>
      </c>
      <c r="L21">
        <v>1.1882986526484123E-4</v>
      </c>
      <c r="M21">
        <v>7.0063939146987032E-6</v>
      </c>
      <c r="O21" s="9">
        <f t="shared" si="1"/>
        <v>3.2896812265334485E-6</v>
      </c>
      <c r="P21" s="6">
        <f t="shared" si="2"/>
        <v>1.9396472827359235E-7</v>
      </c>
    </row>
    <row r="22" spans="1:16" x14ac:dyDescent="0.2">
      <c r="A22">
        <v>40.145000000000003</v>
      </c>
      <c r="B22" s="2" t="s">
        <v>404</v>
      </c>
      <c r="C22" s="2" t="s">
        <v>405</v>
      </c>
      <c r="D22" s="5"/>
      <c r="E22" s="5" t="e">
        <v>#N/A</v>
      </c>
      <c r="F22" s="5" t="e">
        <v>#N/A</v>
      </c>
      <c r="G22" s="8" t="e">
        <f t="shared" si="0"/>
        <v>#N/A</v>
      </c>
      <c r="L22">
        <v>2.8991671297659326E-3</v>
      </c>
      <c r="M22">
        <v>1.0513914294550844E-4</v>
      </c>
      <c r="O22" s="9">
        <f t="shared" si="1"/>
        <v>7.2217390204656431E-5</v>
      </c>
      <c r="P22" s="6">
        <f t="shared" si="2"/>
        <v>2.618984753904806E-6</v>
      </c>
    </row>
    <row r="23" spans="1:16" x14ac:dyDescent="0.2">
      <c r="B23" s="2"/>
      <c r="C23" s="2"/>
      <c r="D23" s="5"/>
      <c r="E23" s="5"/>
      <c r="F23" s="5"/>
      <c r="G23" s="8">
        <f t="shared" si="0"/>
        <v>0</v>
      </c>
      <c r="O23" s="9"/>
      <c r="P23" s="6"/>
    </row>
    <row r="24" spans="1:16" x14ac:dyDescent="0.2">
      <c r="A24">
        <v>70.307000000000002</v>
      </c>
      <c r="B24" s="2" t="s">
        <v>385</v>
      </c>
      <c r="C24" s="2" t="s">
        <v>386</v>
      </c>
      <c r="D24" s="5"/>
      <c r="E24" s="5" t="e">
        <v>#N/A</v>
      </c>
      <c r="F24" s="5" t="e">
        <v>#N/A</v>
      </c>
      <c r="G24" s="8" t="e">
        <f t="shared" si="0"/>
        <v>#N/A</v>
      </c>
      <c r="L24">
        <v>1.2723763700294297E-5</v>
      </c>
      <c r="M24">
        <v>8.4213966340878746E-7</v>
      </c>
      <c r="O24" s="9">
        <f t="shared" si="1"/>
        <v>1.8097435106453549E-7</v>
      </c>
      <c r="P24" s="6">
        <f t="shared" si="2"/>
        <v>1.1978034383614539E-8</v>
      </c>
    </row>
    <row r="25" spans="1:16" x14ac:dyDescent="0.2">
      <c r="A25">
        <v>70.513999999999996</v>
      </c>
      <c r="B25" s="2" t="s">
        <v>224</v>
      </c>
      <c r="C25" s="2" t="s">
        <v>387</v>
      </c>
      <c r="D25" s="5"/>
      <c r="E25" s="5">
        <v>1.050609336291868</v>
      </c>
      <c r="F25" s="5">
        <v>1.352477793E-6</v>
      </c>
      <c r="G25" s="8">
        <f t="shared" si="0"/>
        <v>3.7568827583333336E-6</v>
      </c>
      <c r="L25">
        <v>2.521516054255981E-4</v>
      </c>
      <c r="M25">
        <v>9.1077870869679429E-6</v>
      </c>
      <c r="O25" s="9">
        <f t="shared" si="1"/>
        <v>3.5759084072042163E-6</v>
      </c>
      <c r="P25" s="6">
        <f t="shared" si="2"/>
        <v>1.2916281996437508E-7</v>
      </c>
    </row>
    <row r="26" spans="1:16" x14ac:dyDescent="0.2">
      <c r="A26">
        <v>41.857999999999997</v>
      </c>
      <c r="B26" s="2" t="s">
        <v>174</v>
      </c>
      <c r="C26" s="2" t="s">
        <v>388</v>
      </c>
      <c r="D26" s="5"/>
      <c r="E26" s="5">
        <v>1.000000000069168</v>
      </c>
      <c r="F26" s="5">
        <v>2.0039010750000002E-6</v>
      </c>
      <c r="G26" s="8">
        <f t="shared" si="0"/>
        <v>5.5663918750000009E-6</v>
      </c>
      <c r="L26">
        <v>2.3299803108763395E-4</v>
      </c>
      <c r="M26">
        <v>7.3848104264098787E-6</v>
      </c>
      <c r="O26" s="9">
        <f t="shared" si="1"/>
        <v>5.5663918746149829E-6</v>
      </c>
      <c r="P26" s="6">
        <f t="shared" si="2"/>
        <v>1.7642530523221079E-7</v>
      </c>
    </row>
    <row r="27" spans="1:16" x14ac:dyDescent="0.2">
      <c r="A27">
        <v>41.369</v>
      </c>
      <c r="B27" s="2" t="s">
        <v>157</v>
      </c>
      <c r="C27" s="2" t="s">
        <v>389</v>
      </c>
      <c r="D27" s="5"/>
      <c r="E27" s="5">
        <v>1.000000000207347</v>
      </c>
      <c r="F27" s="5">
        <v>2.0657885179999998E-6</v>
      </c>
      <c r="G27" s="8">
        <f t="shared" si="0"/>
        <v>5.7383014388888883E-6</v>
      </c>
      <c r="L27">
        <v>2.3738779217617287E-4</v>
      </c>
      <c r="M27">
        <v>7.4520024621489683E-6</v>
      </c>
      <c r="O27" s="9">
        <f t="shared" si="1"/>
        <v>5.7383014376990713E-6</v>
      </c>
      <c r="P27" s="6">
        <f t="shared" si="2"/>
        <v>1.8013494312526211E-7</v>
      </c>
    </row>
    <row r="28" spans="1:16" x14ac:dyDescent="0.2">
      <c r="A28">
        <v>30.474</v>
      </c>
      <c r="B28" s="2" t="s">
        <v>261</v>
      </c>
      <c r="C28" s="2" t="s">
        <v>390</v>
      </c>
      <c r="D28" s="5"/>
      <c r="E28" s="5">
        <v>0.99999999953474905</v>
      </c>
      <c r="F28" s="5">
        <v>5.0348399499999999E-7</v>
      </c>
      <c r="G28" s="8">
        <f t="shared" si="0"/>
        <v>1.3985666527777778E-6</v>
      </c>
      <c r="L28">
        <v>4.2619920196578962E-5</v>
      </c>
      <c r="M28">
        <v>1.9420757630582804E-6</v>
      </c>
      <c r="O28" s="9">
        <f t="shared" si="1"/>
        <v>1.3985666534284624E-6</v>
      </c>
      <c r="P28" s="6">
        <f t="shared" si="2"/>
        <v>6.3728941493019642E-8</v>
      </c>
    </row>
    <row r="29" spans="1:16" x14ac:dyDescent="0.2">
      <c r="A29">
        <v>39.941000000000003</v>
      </c>
      <c r="B29" s="2" t="s">
        <v>111</v>
      </c>
      <c r="C29" s="2" t="s">
        <v>391</v>
      </c>
      <c r="D29" s="5"/>
      <c r="E29" s="5">
        <v>1.0000000000382481</v>
      </c>
      <c r="F29" s="5">
        <v>4.1489732010000001E-6</v>
      </c>
      <c r="G29" s="8">
        <f t="shared" si="0"/>
        <v>1.1524925558333335E-5</v>
      </c>
      <c r="L29">
        <v>4.6031705170778559E-4</v>
      </c>
      <c r="M29">
        <v>1.1282131489038944E-5</v>
      </c>
      <c r="O29" s="9">
        <f t="shared" si="1"/>
        <v>1.152492555789253E-5</v>
      </c>
      <c r="P29" s="6">
        <f t="shared" si="2"/>
        <v>2.8246993037327416E-7</v>
      </c>
    </row>
    <row r="30" spans="1:16" x14ac:dyDescent="0.2">
      <c r="A30">
        <v>36.503999999999998</v>
      </c>
      <c r="B30" s="2" t="s">
        <v>95</v>
      </c>
      <c r="C30" s="2" t="s">
        <v>392</v>
      </c>
      <c r="D30" s="5"/>
      <c r="E30" s="5">
        <v>0.99999999991170174</v>
      </c>
      <c r="F30" s="5">
        <v>8.1914813320000007E-6</v>
      </c>
      <c r="G30" s="8">
        <f t="shared" si="0"/>
        <v>2.2754114811111115E-5</v>
      </c>
      <c r="L30">
        <v>8.3061620713814198E-4</v>
      </c>
      <c r="M30">
        <v>1.4977680843132558E-5</v>
      </c>
      <c r="O30" s="9">
        <f>L30/A30</f>
        <v>2.2754114813120263E-5</v>
      </c>
      <c r="P30" s="6">
        <f t="shared" si="2"/>
        <v>4.1030245570711589E-7</v>
      </c>
    </row>
    <row r="31" spans="1:16" x14ac:dyDescent="0.2">
      <c r="B31" s="2"/>
      <c r="C31" s="5"/>
      <c r="D31" s="5"/>
      <c r="E31" s="5"/>
    </row>
    <row r="32" spans="1:16" x14ac:dyDescent="0.2">
      <c r="B32" s="2"/>
      <c r="C32" s="5"/>
      <c r="D32" s="5"/>
      <c r="E32" s="5"/>
    </row>
    <row r="33" spans="2:15" x14ac:dyDescent="0.2">
      <c r="F33" s="7"/>
      <c r="G33"/>
    </row>
    <row r="34" spans="2:15" x14ac:dyDescent="0.2">
      <c r="B34" s="13"/>
      <c r="E34" t="s">
        <v>397</v>
      </c>
      <c r="F34" s="15" t="s">
        <v>402</v>
      </c>
      <c r="G34" s="15"/>
    </row>
    <row r="35" spans="2:15" x14ac:dyDescent="0.2">
      <c r="B35" s="13">
        <f>O27-G27</f>
        <v>-1.1898170166127486E-15</v>
      </c>
      <c r="E35" t="s">
        <v>396</v>
      </c>
      <c r="F35" s="9" t="s">
        <v>398</v>
      </c>
      <c r="G35" s="6" t="s">
        <v>399</v>
      </c>
      <c r="O35"/>
    </row>
    <row r="36" spans="2:15" x14ac:dyDescent="0.2">
      <c r="B36" s="13">
        <f>B35/O27</f>
        <v>-2.0734655185521908E-10</v>
      </c>
      <c r="D36" s="5" t="s">
        <v>340</v>
      </c>
      <c r="E36">
        <v>2.5259291966666667E-5</v>
      </c>
      <c r="F36">
        <v>2.5162826034217326E-5</v>
      </c>
      <c r="G36" s="7">
        <v>1.4395022274275469E-6</v>
      </c>
      <c r="J36" s="7"/>
      <c r="K36" s="1"/>
      <c r="L36" s="1"/>
      <c r="O36"/>
    </row>
    <row r="37" spans="2:15" x14ac:dyDescent="0.2">
      <c r="B37" s="13"/>
      <c r="D37" s="5" t="s">
        <v>342</v>
      </c>
      <c r="E37">
        <v>4.660359212777778E-5</v>
      </c>
      <c r="F37">
        <v>4.6433825013844236E-5</v>
      </c>
      <c r="G37" s="7">
        <v>2.3507037397174724E-6</v>
      </c>
      <c r="K37" s="2"/>
      <c r="L37" s="1"/>
      <c r="O37"/>
    </row>
    <row r="38" spans="2:15" x14ac:dyDescent="0.2">
      <c r="B38" s="13"/>
      <c r="D38" s="5" t="s">
        <v>344</v>
      </c>
      <c r="E38">
        <v>7.6878905944444451E-6</v>
      </c>
      <c r="F38">
        <v>7.6598852218989575E-6</v>
      </c>
      <c r="G38" s="7">
        <v>3.9789753763346777E-7</v>
      </c>
      <c r="K38" s="2"/>
      <c r="L38" s="1"/>
      <c r="O38"/>
    </row>
    <row r="39" spans="2:15" x14ac:dyDescent="0.2">
      <c r="B39" s="13">
        <f>E49-F49</f>
        <v>3.5801874381011895E-7</v>
      </c>
      <c r="D39" s="5" t="s">
        <v>346</v>
      </c>
      <c r="E39">
        <v>4.4018539313888888E-5</v>
      </c>
      <c r="F39">
        <v>4.3858189007422885E-5</v>
      </c>
      <c r="G39" s="7">
        <v>1.2956243276383541E-6</v>
      </c>
      <c r="K39" s="2"/>
      <c r="L39" s="1"/>
      <c r="O39"/>
    </row>
    <row r="40" spans="2:15" x14ac:dyDescent="0.2">
      <c r="B40" s="13">
        <f>B39/F49</f>
        <v>4.7415260190084834E-3</v>
      </c>
      <c r="D40" s="5" t="s">
        <v>348</v>
      </c>
      <c r="E40">
        <v>5.033459701944445E-5</v>
      </c>
      <c r="F40">
        <v>5.0151238638631813E-5</v>
      </c>
      <c r="G40" s="7">
        <v>5.1853664646378207E-6</v>
      </c>
      <c r="K40" s="2"/>
      <c r="L40" s="1"/>
      <c r="O40"/>
    </row>
    <row r="41" spans="2:15" x14ac:dyDescent="0.2">
      <c r="B41" s="13"/>
      <c r="D41" s="5" t="s">
        <v>350</v>
      </c>
      <c r="E41">
        <v>1.4705822502777779E-5</v>
      </c>
      <c r="F41">
        <v>1.4312035420422808E-5</v>
      </c>
      <c r="G41" s="7">
        <v>4.2566707209922493E-7</v>
      </c>
      <c r="K41" s="2"/>
      <c r="L41" s="1"/>
      <c r="O41"/>
    </row>
    <row r="42" spans="2:15" x14ac:dyDescent="0.2">
      <c r="B42" s="13"/>
      <c r="D42" s="5" t="s">
        <v>352</v>
      </c>
      <c r="E42">
        <v>2.2023123666666668E-6</v>
      </c>
      <c r="F42">
        <v>2.2023123677521908E-6</v>
      </c>
      <c r="G42" s="7">
        <v>9.5219307494572958E-8</v>
      </c>
      <c r="K42" s="2"/>
      <c r="L42" s="1"/>
      <c r="O42"/>
    </row>
    <row r="43" spans="2:15" x14ac:dyDescent="0.2">
      <c r="D43" s="5" t="s">
        <v>354</v>
      </c>
      <c r="E43">
        <v>2.2060391760833335E-4</v>
      </c>
      <c r="F43">
        <v>2.1983523171661431E-4</v>
      </c>
      <c r="G43" s="7">
        <v>8.0624462797256548E-6</v>
      </c>
      <c r="K43" s="2"/>
      <c r="L43" s="1"/>
      <c r="O43"/>
    </row>
    <row r="44" spans="2:15" x14ac:dyDescent="0.2">
      <c r="D44" s="5" t="s">
        <v>356</v>
      </c>
      <c r="E44">
        <v>6.2675546575000001E-5</v>
      </c>
      <c r="F44">
        <v>6.2457155101361755E-5</v>
      </c>
      <c r="G44" s="7">
        <v>1.2700185121069086E-6</v>
      </c>
      <c r="K44" s="2"/>
      <c r="L44" s="1"/>
      <c r="O44"/>
    </row>
    <row r="45" spans="2:15" x14ac:dyDescent="0.2">
      <c r="D45" s="5" t="s">
        <v>358</v>
      </c>
      <c r="E45">
        <v>6.8426165352777774E-5</v>
      </c>
      <c r="F45">
        <v>6.8253223418885916E-5</v>
      </c>
      <c r="G45" s="7">
        <v>9.8903303303634984E-7</v>
      </c>
      <c r="K45" s="2"/>
      <c r="L45" s="1"/>
      <c r="O45"/>
    </row>
    <row r="46" spans="2:15" x14ac:dyDescent="0.2">
      <c r="D46" s="5" t="s">
        <v>360</v>
      </c>
      <c r="E46">
        <v>1.1208785474166667E-4</v>
      </c>
      <c r="F46">
        <v>1.1180456120706036E-4</v>
      </c>
      <c r="G46" s="7">
        <v>4.2471286134047097E-6</v>
      </c>
      <c r="K46" s="2"/>
      <c r="L46" s="1"/>
      <c r="O46"/>
    </row>
    <row r="47" spans="2:15" x14ac:dyDescent="0.2">
      <c r="D47" s="5" t="s">
        <v>362</v>
      </c>
      <c r="E47">
        <v>1.4830372160833333E-4</v>
      </c>
      <c r="F47">
        <v>1.4876930250187686E-4</v>
      </c>
      <c r="G47" s="7">
        <v>4.9882284513233268E-6</v>
      </c>
      <c r="K47" s="2"/>
      <c r="L47" s="1"/>
      <c r="O47"/>
    </row>
    <row r="48" spans="2:15" x14ac:dyDescent="0.2">
      <c r="D48" s="5" t="s">
        <v>364</v>
      </c>
      <c r="E48">
        <v>1.9389159012222224E-4</v>
      </c>
      <c r="F48">
        <v>1.9293498422922166E-4</v>
      </c>
      <c r="G48" s="7">
        <v>3.3452024769860749E-6</v>
      </c>
      <c r="K48" s="2"/>
      <c r="L48" s="1"/>
      <c r="O48"/>
    </row>
    <row r="49" spans="4:15" x14ac:dyDescent="0.2">
      <c r="D49" s="5" t="s">
        <v>366</v>
      </c>
      <c r="E49">
        <v>7.5865090175000001E-5</v>
      </c>
      <c r="F49" s="7">
        <v>7.5507071431189882E-5</v>
      </c>
      <c r="G49" s="7">
        <f>SUM(P21:P23)</f>
        <v>2.8129494821783982E-6</v>
      </c>
      <c r="K49" s="2"/>
      <c r="L49" s="1"/>
      <c r="O49"/>
    </row>
    <row r="50" spans="4:15" x14ac:dyDescent="0.2">
      <c r="K50" s="2"/>
      <c r="L50" s="1"/>
      <c r="O50"/>
    </row>
    <row r="51" spans="4:15" x14ac:dyDescent="0.2">
      <c r="K51" s="2"/>
      <c r="L51" s="1"/>
      <c r="O51"/>
    </row>
    <row r="52" spans="4:15" x14ac:dyDescent="0.2">
      <c r="K52" s="2"/>
      <c r="L52" s="1"/>
      <c r="O52"/>
    </row>
    <row r="53" spans="4:15" x14ac:dyDescent="0.2">
      <c r="K53" s="2"/>
      <c r="L53" s="1"/>
      <c r="O53"/>
    </row>
    <row r="54" spans="4:15" x14ac:dyDescent="0.2">
      <c r="K54" s="2"/>
      <c r="L54" s="1"/>
      <c r="O54"/>
    </row>
    <row r="55" spans="4:15" x14ac:dyDescent="0.2">
      <c r="K55" s="2"/>
      <c r="L55" s="1"/>
      <c r="O55"/>
    </row>
    <row r="56" spans="4:15" x14ac:dyDescent="0.2">
      <c r="K56" s="2"/>
      <c r="L56" s="1"/>
      <c r="O56"/>
    </row>
    <row r="57" spans="4:15" x14ac:dyDescent="0.2">
      <c r="K57" s="2"/>
      <c r="L57" s="1"/>
      <c r="O57"/>
    </row>
    <row r="58" spans="4:15" x14ac:dyDescent="0.2">
      <c r="K58" s="2"/>
      <c r="L58" s="1"/>
      <c r="O58"/>
    </row>
  </sheetData>
  <mergeCells count="4">
    <mergeCell ref="I6:J6"/>
    <mergeCell ref="L6:M6"/>
    <mergeCell ref="O6:P6"/>
    <mergeCell ref="F34:G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ProteinComp_Anal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Kirsten Fisher</cp:lastModifiedBy>
  <dcterms:created xsi:type="dcterms:W3CDTF">2026-03-16T17:08:58Z</dcterms:created>
  <dcterms:modified xsi:type="dcterms:W3CDTF">2026-07-02T20:23:20Z</dcterms:modified>
</cp:coreProperties>
</file>