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6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7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8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9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0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11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12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8. ZMRBA_build/ZMRBA_Isoprene/MEP_OE_Data_DK/"/>
    </mc:Choice>
  </mc:AlternateContent>
  <xr:revisionPtr revIDLastSave="16" documentId="13_ncr:1_{E3AE039D-2649-4B1D-B388-A147FC0A8B36}" xr6:coauthVersionLast="47" xr6:coauthVersionMax="47" xr10:uidLastSave="{5E6DFCF7-CB1C-354C-98B1-A95DEF98CDCF}"/>
  <bookViews>
    <workbookView xWindow="-120" yWindow="-120" windowWidth="29040" windowHeight="15840" tabRatio="931" firstSheet="6" activeTab="6" xr2:uid="{B97E91B9-99E1-4138-9783-F80644BABA25}"/>
  </bookViews>
  <sheets>
    <sheet name="GFP" sheetId="4" r:id="rId1"/>
    <sheet name="IspS" sheetId="7" r:id="rId2"/>
    <sheet name="DXS2_IspS" sheetId="6" r:id="rId3"/>
    <sheet name="DXS2_IspS_IDI" sheetId="8" r:id="rId4"/>
    <sheet name="DXS2_IspG_IspH_IspS" sheetId="17" r:id="rId5"/>
    <sheet name="DXS2_IspG_IspH_IspS_IDI" sheetId="30" r:id="rId6"/>
    <sheet name="DXS2" sheetId="9" r:id="rId7"/>
    <sheet name="DXS2_IspG" sheetId="11" r:id="rId8"/>
    <sheet name="DXS2_IspG_IspH" sheetId="13" r:id="rId9"/>
    <sheet name="DXS2_IspG_IspH_IspS_IDI_run1" sheetId="3" r:id="rId10"/>
    <sheet name="DXS2_IspG_IspH_IspS_IDI_run2" sheetId="16" r:id="rId11"/>
    <sheet name="Adjusted Isp Production Rates" sheetId="26" r:id="rId12"/>
    <sheet name="Growth Rates" sheetId="3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9" l="1"/>
  <c r="V5" i="9" s="1"/>
  <c r="J3" i="26"/>
  <c r="J4" i="26"/>
  <c r="J5" i="26"/>
  <c r="J6" i="26"/>
  <c r="J7" i="26"/>
  <c r="I3" i="26"/>
  <c r="I4" i="26"/>
  <c r="I5" i="26"/>
  <c r="I6" i="26"/>
  <c r="I7" i="26"/>
  <c r="J2" i="26"/>
  <c r="I2" i="26"/>
  <c r="E3" i="26"/>
  <c r="G3" i="26"/>
  <c r="F40" i="11"/>
  <c r="F41" i="11"/>
  <c r="F42" i="11"/>
  <c r="F43" i="11"/>
  <c r="F44" i="11"/>
  <c r="F45" i="11"/>
  <c r="F46" i="11"/>
  <c r="F47" i="11"/>
  <c r="F39" i="11"/>
  <c r="F40" i="9"/>
  <c r="F41" i="9"/>
  <c r="F42" i="9"/>
  <c r="F43" i="9"/>
  <c r="F44" i="9"/>
  <c r="F45" i="9"/>
  <c r="F46" i="9"/>
  <c r="F47" i="9"/>
  <c r="F48" i="9"/>
  <c r="F39" i="9"/>
  <c r="G43" i="30"/>
  <c r="G44" i="30"/>
  <c r="G45" i="30"/>
  <c r="G46" i="30"/>
  <c r="G47" i="30"/>
  <c r="G48" i="30"/>
  <c r="G49" i="30"/>
  <c r="G50" i="30"/>
  <c r="G51" i="30"/>
  <c r="G52" i="30"/>
  <c r="G53" i="30"/>
  <c r="G54" i="30"/>
  <c r="G42" i="30"/>
  <c r="F42" i="17"/>
  <c r="F41" i="17"/>
  <c r="J35" i="6"/>
  <c r="J36" i="6"/>
  <c r="J37" i="6"/>
  <c r="J38" i="6"/>
  <c r="J39" i="6"/>
  <c r="J40" i="6"/>
  <c r="J34" i="6"/>
  <c r="F35" i="7"/>
  <c r="F36" i="7"/>
  <c r="F37" i="7"/>
  <c r="J43" i="6"/>
  <c r="E45" i="7"/>
  <c r="D45" i="7"/>
  <c r="C45" i="7"/>
  <c r="K43" i="4"/>
  <c r="W5" i="13"/>
  <c r="V5" i="13"/>
  <c r="T5" i="13"/>
  <c r="S5" i="13"/>
  <c r="R5" i="13"/>
  <c r="T5" i="11"/>
  <c r="S5" i="11"/>
  <c r="R5" i="11"/>
  <c r="U5" i="9"/>
  <c r="S5" i="9"/>
  <c r="T5" i="9"/>
  <c r="Z5" i="30"/>
  <c r="Y5" i="30"/>
  <c r="X5" i="30"/>
  <c r="W5" i="30"/>
  <c r="U5" i="30"/>
  <c r="V5" i="30"/>
  <c r="T5" i="30"/>
  <c r="S5" i="17"/>
  <c r="T5" i="17"/>
  <c r="R5" i="17"/>
  <c r="U5" i="8"/>
  <c r="T5" i="8"/>
  <c r="S5" i="8"/>
  <c r="R5" i="8"/>
  <c r="AE5" i="6"/>
  <c r="AD5" i="6"/>
  <c r="AC5" i="6"/>
  <c r="R5" i="7"/>
  <c r="W5" i="7"/>
  <c r="S5" i="7"/>
  <c r="T5" i="7"/>
  <c r="AC5" i="4"/>
  <c r="AF5" i="4"/>
  <c r="AH5" i="4"/>
  <c r="AE5" i="4"/>
  <c r="AD5" i="4"/>
  <c r="U5" i="13"/>
  <c r="W5" i="11"/>
  <c r="U5" i="11"/>
  <c r="V5" i="11"/>
  <c r="U5" i="17"/>
  <c r="W5" i="17"/>
  <c r="V5" i="17"/>
  <c r="W5" i="8"/>
  <c r="V5" i="8"/>
  <c r="AH5" i="6"/>
  <c r="AF5" i="6"/>
  <c r="AG5" i="6"/>
  <c r="U5" i="7"/>
  <c r="V5" i="7"/>
  <c r="AG5" i="4"/>
  <c r="E2" i="26"/>
  <c r="F45" i="17"/>
  <c r="F44" i="17"/>
  <c r="F43" i="17"/>
  <c r="B44" i="17"/>
  <c r="B43" i="17"/>
  <c r="B41" i="17"/>
  <c r="B42" i="17"/>
  <c r="F46" i="17"/>
  <c r="F47" i="17"/>
  <c r="F48" i="17"/>
  <c r="F49" i="17"/>
  <c r="F50" i="17"/>
  <c r="F51" i="17"/>
  <c r="F52" i="17"/>
  <c r="F35" i="8"/>
  <c r="F36" i="8"/>
  <c r="F37" i="8"/>
  <c r="F38" i="8"/>
  <c r="F39" i="8"/>
  <c r="F40" i="8"/>
  <c r="F41" i="8"/>
  <c r="F42" i="8"/>
  <c r="F43" i="8"/>
  <c r="F34" i="8"/>
  <c r="F38" i="7"/>
  <c r="F39" i="7"/>
  <c r="F40" i="7"/>
  <c r="F41" i="7"/>
  <c r="F42" i="7"/>
  <c r="F43" i="7"/>
  <c r="F34" i="7"/>
  <c r="J35" i="4"/>
  <c r="J36" i="4"/>
  <c r="J37" i="4"/>
  <c r="J38" i="4"/>
  <c r="J39" i="4"/>
  <c r="J40" i="4"/>
  <c r="J34" i="4"/>
  <c r="B43" i="30"/>
  <c r="D60" i="9"/>
  <c r="C60" i="9"/>
  <c r="B60" i="9"/>
  <c r="E7" i="26"/>
  <c r="G7" i="26"/>
  <c r="F7" i="26"/>
  <c r="E48" i="30"/>
  <c r="F21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D56" i="30"/>
  <c r="E56" i="30"/>
  <c r="G56" i="30"/>
  <c r="F56" i="30"/>
  <c r="D57" i="30"/>
  <c r="E57" i="30"/>
  <c r="F57" i="30"/>
  <c r="C57" i="30"/>
  <c r="C56" i="30"/>
  <c r="D54" i="30"/>
  <c r="E54" i="30"/>
  <c r="F54" i="30"/>
  <c r="C54" i="30"/>
  <c r="C53" i="30"/>
  <c r="B54" i="30"/>
  <c r="D53" i="30"/>
  <c r="E53" i="30"/>
  <c r="F53" i="30"/>
  <c r="C51" i="30"/>
  <c r="C52" i="30"/>
  <c r="D52" i="30"/>
  <c r="E52" i="30"/>
  <c r="F52" i="30"/>
  <c r="D51" i="30"/>
  <c r="E51" i="30"/>
  <c r="F51" i="30"/>
  <c r="C50" i="30"/>
  <c r="D50" i="30"/>
  <c r="E50" i="30"/>
  <c r="F50" i="30"/>
  <c r="C49" i="30"/>
  <c r="C48" i="30"/>
  <c r="D49" i="30"/>
  <c r="E49" i="30"/>
  <c r="F49" i="30"/>
  <c r="B49" i="30"/>
  <c r="B44" i="30"/>
  <c r="B45" i="30"/>
  <c r="B46" i="30"/>
  <c r="B47" i="30"/>
  <c r="B48" i="30"/>
  <c r="B50" i="30"/>
  <c r="B51" i="30"/>
  <c r="B52" i="30"/>
  <c r="B53" i="30"/>
  <c r="B42" i="30"/>
  <c r="Q17" i="30"/>
  <c r="D48" i="30"/>
  <c r="F48" i="30"/>
  <c r="D47" i="30"/>
  <c r="E47" i="30"/>
  <c r="F47" i="30"/>
  <c r="C47" i="30"/>
  <c r="F46" i="30"/>
  <c r="D46" i="30"/>
  <c r="E46" i="30"/>
  <c r="C46" i="30"/>
  <c r="D45" i="30"/>
  <c r="E45" i="30"/>
  <c r="F45" i="30"/>
  <c r="C45" i="30"/>
  <c r="F44" i="30"/>
  <c r="E44" i="30"/>
  <c r="D44" i="30"/>
  <c r="C44" i="30"/>
  <c r="F43" i="30"/>
  <c r="D43" i="30"/>
  <c r="E43" i="30"/>
  <c r="C43" i="30"/>
  <c r="D42" i="30"/>
  <c r="E42" i="30"/>
  <c r="C42" i="30"/>
  <c r="V39" i="30"/>
  <c r="W39" i="30"/>
  <c r="X39" i="30"/>
  <c r="Y39" i="30"/>
  <c r="Z39" i="30"/>
  <c r="AA39" i="30"/>
  <c r="AB39" i="30"/>
  <c r="AC39" i="30"/>
  <c r="AD39" i="30"/>
  <c r="AE39" i="30"/>
  <c r="AF39" i="30"/>
  <c r="AG39" i="30"/>
  <c r="AH39" i="30"/>
  <c r="AI39" i="30"/>
  <c r="AJ39" i="30"/>
  <c r="AK39" i="30"/>
  <c r="AL39" i="30"/>
  <c r="AM39" i="30"/>
  <c r="AN39" i="30"/>
  <c r="AO39" i="30"/>
  <c r="AP39" i="30"/>
  <c r="AQ39" i="30"/>
  <c r="AR39" i="30"/>
  <c r="AS39" i="30"/>
  <c r="AT39" i="30"/>
  <c r="AU39" i="30"/>
  <c r="AV39" i="30"/>
  <c r="AW39" i="30"/>
  <c r="AX39" i="30"/>
  <c r="AY39" i="30"/>
  <c r="AZ39" i="30"/>
  <c r="U39" i="30"/>
  <c r="C39" i="30"/>
  <c r="D39" i="30"/>
  <c r="E39" i="30"/>
  <c r="F39" i="30"/>
  <c r="G39" i="30"/>
  <c r="H39" i="30"/>
  <c r="I39" i="30"/>
  <c r="J39" i="30"/>
  <c r="K39" i="30"/>
  <c r="L39" i="30"/>
  <c r="M39" i="30"/>
  <c r="N39" i="30"/>
  <c r="O39" i="30"/>
  <c r="P39" i="30"/>
  <c r="Q39" i="30"/>
  <c r="R39" i="30"/>
  <c r="S39" i="30"/>
  <c r="T39" i="30"/>
  <c r="B39" i="30"/>
  <c r="C36" i="30"/>
  <c r="D36" i="30"/>
  <c r="E36" i="30"/>
  <c r="F36" i="30"/>
  <c r="G36" i="30"/>
  <c r="H36" i="30"/>
  <c r="I36" i="30"/>
  <c r="J36" i="30"/>
  <c r="K36" i="30"/>
  <c r="L36" i="30"/>
  <c r="M36" i="30"/>
  <c r="N36" i="30"/>
  <c r="O36" i="30"/>
  <c r="P36" i="30"/>
  <c r="Q36" i="30"/>
  <c r="R36" i="30"/>
  <c r="S36" i="30"/>
  <c r="T36" i="30"/>
  <c r="U36" i="30"/>
  <c r="V36" i="30"/>
  <c r="W36" i="30"/>
  <c r="X36" i="30"/>
  <c r="Y36" i="30"/>
  <c r="Z36" i="30"/>
  <c r="AA36" i="30"/>
  <c r="AB36" i="30"/>
  <c r="AC36" i="30"/>
  <c r="AD36" i="30"/>
  <c r="AE36" i="30"/>
  <c r="AF36" i="30"/>
  <c r="AG36" i="30"/>
  <c r="AH36" i="30"/>
  <c r="AI36" i="30"/>
  <c r="AJ36" i="30"/>
  <c r="AK36" i="30"/>
  <c r="AL36" i="30"/>
  <c r="AM36" i="30"/>
  <c r="AN36" i="30"/>
  <c r="AO36" i="30"/>
  <c r="AP36" i="30"/>
  <c r="AQ36" i="30"/>
  <c r="AR36" i="30"/>
  <c r="AS36" i="30"/>
  <c r="AT36" i="30"/>
  <c r="AU36" i="30"/>
  <c r="AV36" i="30"/>
  <c r="AW36" i="30"/>
  <c r="AX36" i="30"/>
  <c r="AY36" i="30"/>
  <c r="AZ36" i="30"/>
  <c r="C33" i="30"/>
  <c r="D33" i="30"/>
  <c r="E33" i="30"/>
  <c r="F33" i="30"/>
  <c r="G33" i="30"/>
  <c r="H33" i="30"/>
  <c r="I33" i="30"/>
  <c r="J33" i="30"/>
  <c r="K33" i="30"/>
  <c r="L33" i="30"/>
  <c r="M33" i="30"/>
  <c r="N33" i="30"/>
  <c r="O33" i="30"/>
  <c r="P33" i="30"/>
  <c r="Q33" i="30"/>
  <c r="R33" i="30"/>
  <c r="S33" i="30"/>
  <c r="T33" i="30"/>
  <c r="U33" i="30"/>
  <c r="V33" i="30"/>
  <c r="W33" i="30"/>
  <c r="X33" i="30"/>
  <c r="Y33" i="30"/>
  <c r="Z33" i="30"/>
  <c r="AA33" i="30"/>
  <c r="AB33" i="30"/>
  <c r="AC33" i="30"/>
  <c r="AD33" i="30"/>
  <c r="AE33" i="30"/>
  <c r="AF33" i="30"/>
  <c r="AG33" i="30"/>
  <c r="AH33" i="30"/>
  <c r="AI33" i="30"/>
  <c r="AJ33" i="30"/>
  <c r="AK33" i="30"/>
  <c r="AL33" i="30"/>
  <c r="AM33" i="30"/>
  <c r="AN33" i="30"/>
  <c r="AO33" i="30"/>
  <c r="AP33" i="30"/>
  <c r="AQ33" i="30"/>
  <c r="AR33" i="30"/>
  <c r="AS33" i="30"/>
  <c r="AT33" i="30"/>
  <c r="AU33" i="30"/>
  <c r="AV33" i="30"/>
  <c r="AW33" i="30"/>
  <c r="AX33" i="30"/>
  <c r="AY33" i="30"/>
  <c r="AZ33" i="30"/>
  <c r="C31" i="30"/>
  <c r="D31" i="30"/>
  <c r="E31" i="30"/>
  <c r="F31" i="30"/>
  <c r="G31" i="30"/>
  <c r="H31" i="30"/>
  <c r="I31" i="30"/>
  <c r="J31" i="30"/>
  <c r="K31" i="30"/>
  <c r="L31" i="30"/>
  <c r="M31" i="30"/>
  <c r="N31" i="30"/>
  <c r="O31" i="30"/>
  <c r="P31" i="30"/>
  <c r="Q31" i="30"/>
  <c r="R31" i="30"/>
  <c r="S31" i="30"/>
  <c r="T31" i="30"/>
  <c r="U31" i="30"/>
  <c r="V31" i="30"/>
  <c r="W31" i="30"/>
  <c r="X31" i="30"/>
  <c r="Y31" i="30"/>
  <c r="Z31" i="30"/>
  <c r="AA31" i="30"/>
  <c r="AB31" i="30"/>
  <c r="AC31" i="30"/>
  <c r="AD31" i="30"/>
  <c r="AE31" i="30"/>
  <c r="AF31" i="30"/>
  <c r="AG31" i="30"/>
  <c r="AH31" i="30"/>
  <c r="AI31" i="30"/>
  <c r="AJ31" i="30"/>
  <c r="AK31" i="30"/>
  <c r="AL31" i="30"/>
  <c r="AM31" i="30"/>
  <c r="AN31" i="30"/>
  <c r="AO31" i="30"/>
  <c r="AP31" i="30"/>
  <c r="AQ31" i="30"/>
  <c r="AR31" i="30"/>
  <c r="AS31" i="30"/>
  <c r="AT31" i="30"/>
  <c r="AU31" i="30"/>
  <c r="AV31" i="30"/>
  <c r="AW31" i="30"/>
  <c r="AX31" i="30"/>
  <c r="AY31" i="30"/>
  <c r="AZ31" i="30"/>
  <c r="Q7" i="30"/>
  <c r="Q6" i="30"/>
  <c r="Q5" i="30"/>
  <c r="Q8" i="30"/>
  <c r="Q9" i="30"/>
  <c r="Q10" i="30"/>
  <c r="Q11" i="30"/>
  <c r="Q12" i="30"/>
  <c r="Q13" i="30"/>
  <c r="Q14" i="30"/>
  <c r="Q15" i="30"/>
  <c r="Q16" i="30"/>
  <c r="Q18" i="30"/>
  <c r="D51" i="16"/>
  <c r="E51" i="16"/>
  <c r="D50" i="16"/>
  <c r="E50" i="16"/>
  <c r="C50" i="16"/>
  <c r="B42" i="16"/>
  <c r="B43" i="16"/>
  <c r="B44" i="16"/>
  <c r="B45" i="16"/>
  <c r="B46" i="16"/>
  <c r="B47" i="16"/>
  <c r="B48" i="16"/>
  <c r="B41" i="16"/>
  <c r="C48" i="16"/>
  <c r="D41" i="16"/>
  <c r="C41" i="16"/>
  <c r="E40" i="16"/>
  <c r="D40" i="16"/>
  <c r="C40" i="16"/>
  <c r="B40" i="16"/>
  <c r="R37" i="16"/>
  <c r="S37" i="16"/>
  <c r="T37" i="16"/>
  <c r="U37" i="16"/>
  <c r="V37" i="16"/>
  <c r="W37" i="16"/>
  <c r="X37" i="16"/>
  <c r="Y37" i="16"/>
  <c r="Z37" i="16"/>
  <c r="AA37" i="16"/>
  <c r="AB37" i="16"/>
  <c r="Q37" i="16"/>
  <c r="N37" i="16"/>
  <c r="B37" i="16"/>
  <c r="B36" i="9"/>
  <c r="H56" i="30"/>
  <c r="F2" i="26"/>
  <c r="B33" i="9"/>
  <c r="B30" i="9"/>
  <c r="E4" i="26"/>
  <c r="E5" i="26"/>
  <c r="E6" i="2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G17" i="30"/>
  <c r="G18" i="30"/>
  <c r="G19" i="30"/>
  <c r="G20" i="30"/>
  <c r="G21" i="30"/>
  <c r="L21" i="30"/>
  <c r="K21" i="30"/>
  <c r="J21" i="30"/>
  <c r="I21" i="30"/>
  <c r="G5" i="30"/>
  <c r="G6" i="30"/>
  <c r="G7" i="30"/>
  <c r="G8" i="30"/>
  <c r="G9" i="30"/>
  <c r="G10" i="30"/>
  <c r="G11" i="30"/>
  <c r="G12" i="30"/>
  <c r="G13" i="30"/>
  <c r="G14" i="30"/>
  <c r="G15" i="30"/>
  <c r="G16" i="30"/>
  <c r="I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5" i="30"/>
  <c r="B31" i="30"/>
  <c r="B33" i="30"/>
  <c r="B36" i="30"/>
  <c r="K20" i="30"/>
  <c r="J20" i="30"/>
  <c r="I20" i="30"/>
  <c r="K19" i="30"/>
  <c r="J19" i="30"/>
  <c r="I19" i="30"/>
  <c r="K18" i="30"/>
  <c r="J18" i="30"/>
  <c r="I18" i="30"/>
  <c r="K17" i="30"/>
  <c r="J17" i="30"/>
  <c r="I17" i="30"/>
  <c r="K16" i="30"/>
  <c r="I16" i="30"/>
  <c r="K15" i="30"/>
  <c r="J15" i="30"/>
  <c r="I15" i="30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K6" i="30"/>
  <c r="J6" i="30"/>
  <c r="I6" i="30"/>
  <c r="K5" i="30"/>
  <c r="J5" i="30"/>
  <c r="D45" i="13"/>
  <c r="D50" i="13"/>
  <c r="E50" i="13"/>
  <c r="D51" i="13"/>
  <c r="E51" i="13"/>
  <c r="C50" i="13"/>
  <c r="C51" i="13"/>
  <c r="O6" i="13"/>
  <c r="O7" i="13"/>
  <c r="O8" i="13"/>
  <c r="O9" i="13"/>
  <c r="O10" i="13"/>
  <c r="O11" i="13"/>
  <c r="O12" i="13"/>
  <c r="O13" i="13"/>
  <c r="O14" i="13"/>
  <c r="O15" i="13"/>
  <c r="O5" i="13"/>
  <c r="D50" i="11"/>
  <c r="E50" i="11"/>
  <c r="D51" i="11"/>
  <c r="E51" i="11"/>
  <c r="C51" i="11"/>
  <c r="C50" i="11"/>
  <c r="O5" i="11"/>
  <c r="B39" i="11"/>
  <c r="B41" i="11"/>
  <c r="B40" i="11"/>
  <c r="O6" i="11"/>
  <c r="O7" i="11"/>
  <c r="O8" i="11"/>
  <c r="O9" i="11"/>
  <c r="O10" i="11"/>
  <c r="O11" i="11"/>
  <c r="O12" i="11"/>
  <c r="O13" i="11"/>
  <c r="O14" i="11"/>
  <c r="O15" i="11"/>
  <c r="G50" i="9"/>
  <c r="F50" i="9"/>
  <c r="D50" i="9"/>
  <c r="E50" i="9"/>
  <c r="D51" i="9"/>
  <c r="E51" i="9"/>
  <c r="C51" i="9"/>
  <c r="C50" i="9"/>
  <c r="O6" i="9"/>
  <c r="O7" i="9"/>
  <c r="O8" i="9"/>
  <c r="O9" i="9"/>
  <c r="O10" i="9"/>
  <c r="O11" i="9"/>
  <c r="O12" i="9"/>
  <c r="O13" i="9"/>
  <c r="O14" i="9"/>
  <c r="O15" i="9"/>
  <c r="O5" i="9"/>
  <c r="D54" i="17"/>
  <c r="E54" i="17"/>
  <c r="D55" i="17"/>
  <c r="E55" i="17"/>
  <c r="C54" i="17"/>
  <c r="C5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5" i="17"/>
  <c r="O6" i="8"/>
  <c r="O7" i="8"/>
  <c r="O8" i="8"/>
  <c r="O9" i="8"/>
  <c r="O10" i="8"/>
  <c r="O11" i="8"/>
  <c r="O12" i="8"/>
  <c r="O13" i="8"/>
  <c r="O14" i="8"/>
  <c r="O5" i="8"/>
  <c r="I43" i="6"/>
  <c r="I44" i="6"/>
  <c r="H43" i="6"/>
  <c r="H44" i="6"/>
  <c r="F35" i="6"/>
  <c r="F34" i="6"/>
  <c r="B35" i="6"/>
  <c r="B34" i="6"/>
  <c r="Z6" i="6"/>
  <c r="Z7" i="6"/>
  <c r="Z8" i="6"/>
  <c r="Z9" i="6"/>
  <c r="Z10" i="6"/>
  <c r="Z11" i="6"/>
  <c r="Z12" i="6"/>
  <c r="Z13" i="6"/>
  <c r="Z5" i="6"/>
  <c r="Y6" i="6"/>
  <c r="Y7" i="6"/>
  <c r="Y8" i="6"/>
  <c r="Y9" i="6"/>
  <c r="Y10" i="6"/>
  <c r="Y11" i="6"/>
  <c r="Y12" i="6"/>
  <c r="Y13" i="6"/>
  <c r="Y5" i="6"/>
  <c r="M21" i="30"/>
  <c r="M12" i="30"/>
  <c r="N21" i="30"/>
  <c r="N11" i="30"/>
  <c r="M20" i="30"/>
  <c r="N19" i="30"/>
  <c r="N17" i="30"/>
  <c r="N18" i="30"/>
  <c r="M9" i="30"/>
  <c r="M10" i="30"/>
  <c r="M17" i="30"/>
  <c r="N20" i="30"/>
  <c r="N5" i="30"/>
  <c r="M6" i="30"/>
  <c r="M14" i="30"/>
  <c r="M11" i="30"/>
  <c r="M19" i="30"/>
  <c r="M18" i="30"/>
  <c r="N12" i="30"/>
  <c r="N15" i="30"/>
  <c r="N10" i="30"/>
  <c r="N9" i="30"/>
  <c r="N6" i="30"/>
  <c r="M5" i="30"/>
  <c r="M8" i="30"/>
  <c r="M7" i="30"/>
  <c r="J16" i="30"/>
  <c r="M16" i="30"/>
  <c r="N8" i="30"/>
  <c r="M15" i="30"/>
  <c r="N7" i="30"/>
  <c r="N14" i="30"/>
  <c r="N13" i="30"/>
  <c r="M13" i="30"/>
  <c r="N16" i="30"/>
  <c r="O6" i="7"/>
  <c r="O7" i="7"/>
  <c r="O8" i="7"/>
  <c r="O9" i="7"/>
  <c r="O10" i="7"/>
  <c r="O11" i="7"/>
  <c r="O12" i="7"/>
  <c r="O13" i="7"/>
  <c r="O14" i="7"/>
  <c r="O5" i="7"/>
  <c r="B24" i="7"/>
  <c r="Z5" i="4"/>
  <c r="F34" i="4"/>
  <c r="B31" i="4"/>
  <c r="J43" i="4"/>
  <c r="H44" i="4"/>
  <c r="I44" i="4"/>
  <c r="G44" i="4"/>
  <c r="I43" i="4"/>
  <c r="H43" i="4"/>
  <c r="G43" i="4"/>
  <c r="F36" i="4"/>
  <c r="F37" i="4"/>
  <c r="F38" i="4"/>
  <c r="F39" i="4"/>
  <c r="F40" i="4"/>
  <c r="E34" i="4"/>
  <c r="D34" i="4"/>
  <c r="C34" i="4"/>
  <c r="B35" i="4"/>
  <c r="B34" i="4"/>
  <c r="B23" i="4"/>
  <c r="Y6" i="4"/>
  <c r="Y7" i="4"/>
  <c r="Y8" i="4"/>
  <c r="Y9" i="4"/>
  <c r="Y10" i="4"/>
  <c r="Y11" i="4"/>
  <c r="Y12" i="4"/>
  <c r="Y13" i="4"/>
  <c r="Y5" i="4"/>
  <c r="G2" i="26"/>
  <c r="G4" i="26"/>
  <c r="G5" i="26"/>
  <c r="G6" i="26"/>
  <c r="F3" i="26"/>
  <c r="F4" i="26"/>
  <c r="F5" i="26"/>
  <c r="F6" i="26"/>
  <c r="Z6" i="4"/>
  <c r="Z7" i="4"/>
  <c r="Z8" i="4"/>
  <c r="Z9" i="4"/>
  <c r="Z10" i="4"/>
  <c r="Z11" i="4"/>
  <c r="Z12" i="4"/>
  <c r="Z13" i="4"/>
  <c r="C45" i="17"/>
  <c r="Q38" i="17"/>
  <c r="P38" i="17"/>
  <c r="O38" i="17"/>
  <c r="J38" i="17"/>
  <c r="I38" i="17"/>
  <c r="E38" i="17"/>
  <c r="D38" i="17"/>
  <c r="C38" i="17"/>
  <c r="B38" i="17"/>
  <c r="C46" i="17"/>
  <c r="D52" i="17"/>
  <c r="E52" i="17"/>
  <c r="C52" i="17"/>
  <c r="D51" i="17"/>
  <c r="E51" i="17"/>
  <c r="C51" i="17"/>
  <c r="C50" i="17"/>
  <c r="E41" i="17"/>
  <c r="D41" i="17"/>
  <c r="C41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8" i="17"/>
  <c r="AJ38" i="17"/>
  <c r="AK38" i="17"/>
  <c r="I30" i="17"/>
  <c r="I32" i="17"/>
  <c r="AF35" i="17"/>
  <c r="AG35" i="17"/>
  <c r="AH35" i="17"/>
  <c r="AI35" i="17"/>
  <c r="AJ35" i="17"/>
  <c r="AK35" i="17"/>
  <c r="C32" i="17"/>
  <c r="D32" i="17"/>
  <c r="E32" i="17"/>
  <c r="F32" i="17"/>
  <c r="G32" i="17"/>
  <c r="H32" i="17"/>
  <c r="J32" i="17"/>
  <c r="J35" i="17"/>
  <c r="E43" i="17"/>
  <c r="K32" i="17"/>
  <c r="K35" i="17"/>
  <c r="K38" i="17"/>
  <c r="C44" i="17"/>
  <c r="L32" i="17"/>
  <c r="L35" i="17"/>
  <c r="L38" i="17"/>
  <c r="D44" i="17"/>
  <c r="M32" i="17"/>
  <c r="N32" i="17"/>
  <c r="N35" i="17"/>
  <c r="N38" i="17"/>
  <c r="O32" i="17"/>
  <c r="P32" i="17"/>
  <c r="Q32" i="17"/>
  <c r="Q35" i="17"/>
  <c r="R32" i="17"/>
  <c r="S32" i="17"/>
  <c r="T32" i="17"/>
  <c r="U32" i="17"/>
  <c r="V32" i="17"/>
  <c r="W32" i="17"/>
  <c r="X32" i="17"/>
  <c r="X35" i="17"/>
  <c r="Y32" i="17"/>
  <c r="Z32" i="17"/>
  <c r="Z35" i="17"/>
  <c r="AA32" i="17"/>
  <c r="AA35" i="17"/>
  <c r="AB32" i="17"/>
  <c r="AC32" i="17"/>
  <c r="AC35" i="17"/>
  <c r="AD32" i="17"/>
  <c r="AE32" i="17"/>
  <c r="AF32" i="17"/>
  <c r="AG32" i="17"/>
  <c r="AH32" i="17"/>
  <c r="AI32" i="17"/>
  <c r="AJ32" i="17"/>
  <c r="AK32" i="17"/>
  <c r="B32" i="17"/>
  <c r="C30" i="17"/>
  <c r="D30" i="17"/>
  <c r="E30" i="17"/>
  <c r="F30" i="17"/>
  <c r="G30" i="17"/>
  <c r="G35" i="17"/>
  <c r="G38" i="17"/>
  <c r="E42" i="17"/>
  <c r="H30" i="17"/>
  <c r="J30" i="17"/>
  <c r="K30" i="17"/>
  <c r="L30" i="17"/>
  <c r="M30" i="17"/>
  <c r="N30" i="17"/>
  <c r="O30" i="17"/>
  <c r="P30" i="17"/>
  <c r="Q30" i="17"/>
  <c r="R30" i="17"/>
  <c r="S30" i="17"/>
  <c r="S35" i="17"/>
  <c r="E46" i="17"/>
  <c r="T30" i="17"/>
  <c r="T35" i="17"/>
  <c r="C47" i="17"/>
  <c r="U30" i="17"/>
  <c r="U35" i="17"/>
  <c r="V30" i="17"/>
  <c r="W30" i="17"/>
  <c r="X30" i="17"/>
  <c r="Y30" i="17"/>
  <c r="Z30" i="17"/>
  <c r="AA30" i="17"/>
  <c r="AB30" i="17"/>
  <c r="AC30" i="17"/>
  <c r="AD30" i="17"/>
  <c r="AE30" i="17"/>
  <c r="AE35" i="17"/>
  <c r="AF30" i="17"/>
  <c r="AG30" i="17"/>
  <c r="AH30" i="17"/>
  <c r="AI30" i="17"/>
  <c r="AJ30" i="17"/>
  <c r="AK30" i="17"/>
  <c r="B45" i="17"/>
  <c r="B46" i="17"/>
  <c r="B47" i="17"/>
  <c r="B48" i="17"/>
  <c r="B49" i="17"/>
  <c r="B50" i="17"/>
  <c r="B51" i="17"/>
  <c r="B52" i="17"/>
  <c r="B48" i="11"/>
  <c r="K36" i="13"/>
  <c r="R36" i="13"/>
  <c r="S36" i="13"/>
  <c r="T36" i="13"/>
  <c r="U36" i="13"/>
  <c r="V36" i="13"/>
  <c r="W36" i="13"/>
  <c r="X36" i="13"/>
  <c r="Y36" i="13"/>
  <c r="Z36" i="13"/>
  <c r="AA36" i="13"/>
  <c r="AB36" i="13"/>
  <c r="Q36" i="13"/>
  <c r="N36" i="13"/>
  <c r="B36" i="13"/>
  <c r="B36" i="11"/>
  <c r="B28" i="11"/>
  <c r="B30" i="11"/>
  <c r="B33" i="11"/>
  <c r="T36" i="11"/>
  <c r="C43" i="11"/>
  <c r="C42" i="11"/>
  <c r="R36" i="11"/>
  <c r="S36" i="11"/>
  <c r="U36" i="11"/>
  <c r="V36" i="11"/>
  <c r="W36" i="11"/>
  <c r="X36" i="11"/>
  <c r="Y36" i="11"/>
  <c r="Z36" i="11"/>
  <c r="AA36" i="11"/>
  <c r="AB36" i="11"/>
  <c r="Q36" i="11"/>
  <c r="P36" i="11"/>
  <c r="D36" i="11"/>
  <c r="R36" i="9"/>
  <c r="S36" i="9"/>
  <c r="T36" i="9"/>
  <c r="U36" i="9"/>
  <c r="V36" i="9"/>
  <c r="W36" i="9"/>
  <c r="X36" i="9"/>
  <c r="Y36" i="9"/>
  <c r="Z36" i="9"/>
  <c r="AA36" i="9"/>
  <c r="AB36" i="9"/>
  <c r="Q36" i="9"/>
  <c r="P36" i="9"/>
  <c r="O36" i="9"/>
  <c r="E19" i="16"/>
  <c r="F19" i="16"/>
  <c r="J19" i="16"/>
  <c r="I19" i="16"/>
  <c r="H19" i="16"/>
  <c r="K19" i="16"/>
  <c r="E20" i="17"/>
  <c r="F20" i="17"/>
  <c r="J20" i="17"/>
  <c r="I20" i="17"/>
  <c r="H20" i="17"/>
  <c r="E18" i="16"/>
  <c r="F18" i="16"/>
  <c r="J18" i="16"/>
  <c r="I18" i="16"/>
  <c r="K18" i="16"/>
  <c r="H18" i="16"/>
  <c r="E19" i="17"/>
  <c r="F19" i="17"/>
  <c r="J19" i="17"/>
  <c r="K19" i="17"/>
  <c r="I19" i="17"/>
  <c r="H19" i="17"/>
  <c r="L19" i="17"/>
  <c r="E17" i="16"/>
  <c r="F17" i="16"/>
  <c r="J17" i="16"/>
  <c r="K17" i="16"/>
  <c r="I17" i="16"/>
  <c r="H17" i="16"/>
  <c r="E18" i="17"/>
  <c r="F18" i="17"/>
  <c r="J18" i="17"/>
  <c r="K18" i="17"/>
  <c r="I18" i="17"/>
  <c r="H18" i="17"/>
  <c r="E17" i="17"/>
  <c r="F17" i="17"/>
  <c r="J17" i="17"/>
  <c r="I17" i="17"/>
  <c r="H17" i="17"/>
  <c r="E16" i="16"/>
  <c r="F16" i="16"/>
  <c r="J16" i="16"/>
  <c r="L16" i="16"/>
  <c r="I16" i="16"/>
  <c r="H16" i="16"/>
  <c r="E16" i="17"/>
  <c r="F16" i="17"/>
  <c r="J16" i="17"/>
  <c r="I16" i="17"/>
  <c r="H16" i="17"/>
  <c r="E15" i="16"/>
  <c r="F15" i="16"/>
  <c r="J15" i="16"/>
  <c r="I15" i="16"/>
  <c r="K15" i="16"/>
  <c r="H15" i="16"/>
  <c r="E15" i="17"/>
  <c r="F15" i="17"/>
  <c r="J15" i="17"/>
  <c r="I15" i="17"/>
  <c r="H15" i="17"/>
  <c r="E5" i="17"/>
  <c r="E6" i="17"/>
  <c r="E7" i="17"/>
  <c r="E8" i="17"/>
  <c r="E9" i="17"/>
  <c r="E10" i="17"/>
  <c r="E11" i="17"/>
  <c r="E12" i="17"/>
  <c r="E13" i="17"/>
  <c r="E14" i="17"/>
  <c r="F5" i="17"/>
  <c r="F6" i="17"/>
  <c r="F7" i="17"/>
  <c r="F8" i="17"/>
  <c r="F9" i="17"/>
  <c r="F10" i="17"/>
  <c r="F11" i="17"/>
  <c r="F12" i="17"/>
  <c r="F13" i="17"/>
  <c r="F14" i="17"/>
  <c r="AD35" i="17"/>
  <c r="D50" i="17"/>
  <c r="AB35" i="17"/>
  <c r="E49" i="17"/>
  <c r="Y35" i="17"/>
  <c r="W35" i="17"/>
  <c r="C48" i="17"/>
  <c r="V35" i="17"/>
  <c r="E47" i="17"/>
  <c r="R35" i="17"/>
  <c r="D46" i="17"/>
  <c r="P35" i="17"/>
  <c r="E45" i="17"/>
  <c r="O35" i="17"/>
  <c r="M35" i="17"/>
  <c r="M38" i="17"/>
  <c r="E44" i="17"/>
  <c r="F35" i="17"/>
  <c r="F38" i="17"/>
  <c r="D42" i="17"/>
  <c r="E35" i="17"/>
  <c r="C42" i="17"/>
  <c r="D35" i="17"/>
  <c r="C35" i="17"/>
  <c r="B30" i="17"/>
  <c r="B35" i="17"/>
  <c r="J14" i="17"/>
  <c r="I14" i="17"/>
  <c r="H14" i="17"/>
  <c r="J13" i="17"/>
  <c r="I13" i="17"/>
  <c r="H13" i="17"/>
  <c r="J12" i="17"/>
  <c r="I12" i="17"/>
  <c r="H12" i="17"/>
  <c r="J11" i="17"/>
  <c r="I11" i="17"/>
  <c r="H11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AB29" i="16"/>
  <c r="AB31" i="16"/>
  <c r="AB34" i="16"/>
  <c r="E48" i="16"/>
  <c r="AA29" i="16"/>
  <c r="AA31" i="16"/>
  <c r="AA34" i="16"/>
  <c r="D48" i="16"/>
  <c r="Z29" i="16"/>
  <c r="Z31" i="16"/>
  <c r="Z34" i="16"/>
  <c r="Y29" i="16"/>
  <c r="Y31" i="16"/>
  <c r="Y34" i="16"/>
  <c r="E47" i="16"/>
  <c r="X29" i="16"/>
  <c r="X31" i="16"/>
  <c r="X34" i="16"/>
  <c r="D47" i="16"/>
  <c r="W29" i="16"/>
  <c r="W31" i="16"/>
  <c r="W34" i="16"/>
  <c r="C47" i="16"/>
  <c r="V29" i="16"/>
  <c r="V31" i="16"/>
  <c r="V34" i="16"/>
  <c r="E46" i="16"/>
  <c r="U29" i="16"/>
  <c r="U31" i="16"/>
  <c r="U34" i="16"/>
  <c r="D46" i="16"/>
  <c r="T29" i="16"/>
  <c r="T31" i="16"/>
  <c r="T34" i="16"/>
  <c r="C46" i="16"/>
  <c r="S29" i="16"/>
  <c r="S31" i="16"/>
  <c r="S34" i="16"/>
  <c r="E45" i="16"/>
  <c r="R29" i="16"/>
  <c r="R31" i="16"/>
  <c r="R34" i="16"/>
  <c r="D45" i="16"/>
  <c r="Q29" i="16"/>
  <c r="Q31" i="16"/>
  <c r="Q34" i="16"/>
  <c r="C45" i="16"/>
  <c r="P29" i="16"/>
  <c r="P31" i="16"/>
  <c r="P34" i="16"/>
  <c r="P37" i="16"/>
  <c r="E44" i="16"/>
  <c r="O29" i="16"/>
  <c r="O31" i="16"/>
  <c r="O34" i="16"/>
  <c r="O37" i="16"/>
  <c r="D44" i="16"/>
  <c r="N29" i="16"/>
  <c r="N31" i="16"/>
  <c r="N34" i="16"/>
  <c r="C44" i="16"/>
  <c r="M29" i="16"/>
  <c r="M31" i="16"/>
  <c r="M34" i="16"/>
  <c r="M37" i="16"/>
  <c r="E43" i="16"/>
  <c r="L29" i="16"/>
  <c r="L31" i="16"/>
  <c r="L34" i="16"/>
  <c r="L37" i="16"/>
  <c r="D43" i="16"/>
  <c r="K29" i="16"/>
  <c r="K31" i="16"/>
  <c r="K34" i="16"/>
  <c r="K37" i="16"/>
  <c r="C43" i="16"/>
  <c r="J29" i="16"/>
  <c r="J31" i="16"/>
  <c r="J34" i="16"/>
  <c r="J37" i="16"/>
  <c r="E42" i="16"/>
  <c r="I29" i="16"/>
  <c r="I31" i="16"/>
  <c r="I34" i="16"/>
  <c r="I37" i="16"/>
  <c r="D42" i="16"/>
  <c r="H29" i="16"/>
  <c r="H31" i="16"/>
  <c r="H34" i="16"/>
  <c r="H37" i="16"/>
  <c r="C42" i="16"/>
  <c r="G29" i="16"/>
  <c r="G31" i="16"/>
  <c r="G34" i="16"/>
  <c r="G37" i="16"/>
  <c r="E41" i="16"/>
  <c r="F29" i="16"/>
  <c r="F31" i="16"/>
  <c r="F34" i="16"/>
  <c r="F37" i="16"/>
  <c r="E29" i="16"/>
  <c r="E31" i="16"/>
  <c r="E34" i="16"/>
  <c r="E37" i="16"/>
  <c r="D29" i="16"/>
  <c r="D31" i="16"/>
  <c r="D34" i="16"/>
  <c r="D37" i="16"/>
  <c r="C29" i="16"/>
  <c r="C31" i="16"/>
  <c r="C34" i="16"/>
  <c r="C37" i="16"/>
  <c r="B29" i="16"/>
  <c r="B31" i="16"/>
  <c r="B34" i="16"/>
  <c r="J14" i="16"/>
  <c r="I14" i="16"/>
  <c r="H14" i="16"/>
  <c r="F14" i="16"/>
  <c r="E14" i="16"/>
  <c r="J13" i="16"/>
  <c r="I13" i="16"/>
  <c r="H13" i="16"/>
  <c r="F13" i="16"/>
  <c r="E13" i="16"/>
  <c r="J12" i="16"/>
  <c r="I12" i="16"/>
  <c r="H12" i="16"/>
  <c r="F12" i="16"/>
  <c r="E12" i="16"/>
  <c r="J11" i="16"/>
  <c r="I11" i="16"/>
  <c r="H11" i="16"/>
  <c r="F11" i="16"/>
  <c r="E11" i="16"/>
  <c r="J10" i="16"/>
  <c r="I10" i="16"/>
  <c r="H10" i="16"/>
  <c r="F10" i="16"/>
  <c r="E10" i="16"/>
  <c r="J9" i="16"/>
  <c r="I9" i="16"/>
  <c r="H9" i="16"/>
  <c r="F9" i="16"/>
  <c r="E9" i="16"/>
  <c r="J8" i="16"/>
  <c r="I8" i="16"/>
  <c r="H8" i="16"/>
  <c r="F8" i="16"/>
  <c r="E8" i="16"/>
  <c r="J7" i="16"/>
  <c r="I7" i="16"/>
  <c r="H7" i="16"/>
  <c r="F7" i="16"/>
  <c r="E7" i="16"/>
  <c r="J6" i="16"/>
  <c r="I6" i="16"/>
  <c r="H6" i="16"/>
  <c r="F6" i="16"/>
  <c r="E6" i="16"/>
  <c r="J5" i="16"/>
  <c r="I5" i="16"/>
  <c r="H5" i="16"/>
  <c r="F5" i="16"/>
  <c r="E5" i="16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F7" i="13"/>
  <c r="E7" i="13"/>
  <c r="F6" i="13"/>
  <c r="E6" i="13"/>
  <c r="F5" i="13"/>
  <c r="E5" i="13"/>
  <c r="E5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F5" i="11"/>
  <c r="E6" i="9"/>
  <c r="F6" i="9"/>
  <c r="E7" i="9"/>
  <c r="F7" i="9"/>
  <c r="E8" i="9"/>
  <c r="F8" i="9"/>
  <c r="E9" i="9"/>
  <c r="F9" i="9"/>
  <c r="E10" i="9"/>
  <c r="F10" i="9"/>
  <c r="E11" i="9"/>
  <c r="F11" i="9"/>
  <c r="E12" i="9"/>
  <c r="F12" i="9"/>
  <c r="E13" i="9"/>
  <c r="F13" i="9"/>
  <c r="E14" i="9"/>
  <c r="F14" i="9"/>
  <c r="E15" i="9"/>
  <c r="F15" i="9"/>
  <c r="F5" i="9"/>
  <c r="E5" i="9"/>
  <c r="J15" i="13"/>
  <c r="I15" i="13"/>
  <c r="H15" i="13"/>
  <c r="J15" i="11"/>
  <c r="I15" i="11"/>
  <c r="H15" i="11"/>
  <c r="K15" i="11"/>
  <c r="L19" i="16"/>
  <c r="L12" i="16"/>
  <c r="K16" i="16"/>
  <c r="L7" i="16"/>
  <c r="L13" i="16"/>
  <c r="L18" i="16"/>
  <c r="L8" i="16"/>
  <c r="L14" i="16"/>
  <c r="L15" i="16"/>
  <c r="D47" i="17"/>
  <c r="E48" i="17"/>
  <c r="D49" i="17"/>
  <c r="C49" i="17"/>
  <c r="D48" i="17"/>
  <c r="E50" i="17"/>
  <c r="H35" i="17"/>
  <c r="H38" i="17"/>
  <c r="C43" i="17"/>
  <c r="I35" i="17"/>
  <c r="L13" i="17"/>
  <c r="K15" i="13"/>
  <c r="L15" i="11"/>
  <c r="L20" i="17"/>
  <c r="K20" i="17"/>
  <c r="L17" i="16"/>
  <c r="L18" i="17"/>
  <c r="K10" i="17"/>
  <c r="K15" i="17"/>
  <c r="K16" i="17"/>
  <c r="K17" i="17"/>
  <c r="L5" i="17"/>
  <c r="L17" i="17"/>
  <c r="L16" i="17"/>
  <c r="L15" i="17"/>
  <c r="L14" i="17"/>
  <c r="K13" i="16"/>
  <c r="L11" i="16"/>
  <c r="K12" i="17"/>
  <c r="L12" i="17"/>
  <c r="K13" i="17"/>
  <c r="L11" i="17"/>
  <c r="L10" i="16"/>
  <c r="K10" i="16"/>
  <c r="L9" i="16"/>
  <c r="L6" i="16"/>
  <c r="L5" i="16"/>
  <c r="L10" i="17"/>
  <c r="L9" i="17"/>
  <c r="L7" i="17"/>
  <c r="L8" i="17"/>
  <c r="K6" i="17"/>
  <c r="K7" i="17"/>
  <c r="L6" i="17"/>
  <c r="K9" i="17"/>
  <c r="K5" i="17"/>
  <c r="K11" i="17"/>
  <c r="K8" i="17"/>
  <c r="K14" i="17"/>
  <c r="C51" i="16"/>
  <c r="K7" i="16"/>
  <c r="K6" i="16"/>
  <c r="K9" i="16"/>
  <c r="K12" i="16"/>
  <c r="K5" i="16"/>
  <c r="K8" i="16"/>
  <c r="K11" i="16"/>
  <c r="K14" i="16"/>
  <c r="L15" i="13"/>
  <c r="G50" i="16"/>
  <c r="G54" i="17"/>
  <c r="F54" i="17"/>
  <c r="F50" i="16"/>
  <c r="F6" i="8"/>
  <c r="F7" i="8"/>
  <c r="F8" i="8"/>
  <c r="F9" i="8"/>
  <c r="F10" i="8"/>
  <c r="F11" i="8"/>
  <c r="F12" i="8"/>
  <c r="F13" i="8"/>
  <c r="F14" i="8"/>
  <c r="F5" i="8"/>
  <c r="E6" i="8"/>
  <c r="E7" i="8"/>
  <c r="E8" i="8"/>
  <c r="E9" i="8"/>
  <c r="E10" i="8"/>
  <c r="E11" i="8"/>
  <c r="E12" i="8"/>
  <c r="E13" i="8"/>
  <c r="E14" i="8"/>
  <c r="E5" i="8"/>
  <c r="K5" i="6"/>
  <c r="J5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E6" i="6"/>
  <c r="F6" i="6"/>
  <c r="E7" i="6"/>
  <c r="F7" i="6"/>
  <c r="E8" i="6"/>
  <c r="F8" i="6"/>
  <c r="E9" i="6"/>
  <c r="F9" i="6"/>
  <c r="E10" i="6"/>
  <c r="F10" i="6"/>
  <c r="E11" i="6"/>
  <c r="F11" i="6"/>
  <c r="E12" i="6"/>
  <c r="F12" i="6"/>
  <c r="E13" i="6"/>
  <c r="F13" i="6"/>
  <c r="F5" i="6"/>
  <c r="E5" i="6"/>
  <c r="F6" i="7"/>
  <c r="F7" i="7"/>
  <c r="F8" i="7"/>
  <c r="F9" i="7"/>
  <c r="F10" i="7"/>
  <c r="F11" i="7"/>
  <c r="F12" i="7"/>
  <c r="F13" i="7"/>
  <c r="F14" i="7"/>
  <c r="F5" i="7"/>
  <c r="E14" i="7"/>
  <c r="E13" i="7"/>
  <c r="E12" i="7"/>
  <c r="E11" i="7"/>
  <c r="E10" i="7"/>
  <c r="E9" i="7"/>
  <c r="E8" i="7"/>
  <c r="E7" i="7"/>
  <c r="E6" i="7"/>
  <c r="E5" i="7"/>
  <c r="K5" i="4"/>
  <c r="J5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F6" i="4"/>
  <c r="F7" i="4"/>
  <c r="F8" i="4"/>
  <c r="F9" i="4"/>
  <c r="F10" i="4"/>
  <c r="F11" i="4"/>
  <c r="F12" i="4"/>
  <c r="F13" i="4"/>
  <c r="F5" i="4"/>
  <c r="E6" i="4"/>
  <c r="E7" i="4"/>
  <c r="E8" i="4"/>
  <c r="E9" i="4"/>
  <c r="E10" i="4"/>
  <c r="E11" i="4"/>
  <c r="E12" i="4"/>
  <c r="E13" i="4"/>
  <c r="E5" i="4"/>
  <c r="J15" i="9"/>
  <c r="I15" i="9"/>
  <c r="H15" i="9"/>
  <c r="E48" i="13"/>
  <c r="D48" i="13"/>
  <c r="C48" i="13"/>
  <c r="AB28" i="13"/>
  <c r="AB30" i="13"/>
  <c r="AB33" i="13"/>
  <c r="E47" i="13"/>
  <c r="AA28" i="13"/>
  <c r="AA30" i="13"/>
  <c r="AA33" i="13"/>
  <c r="D47" i="13"/>
  <c r="Z28" i="13"/>
  <c r="Z30" i="13"/>
  <c r="Z33" i="13"/>
  <c r="C47" i="13"/>
  <c r="Y28" i="13"/>
  <c r="Y30" i="13"/>
  <c r="Y33" i="13"/>
  <c r="E46" i="13"/>
  <c r="X28" i="13"/>
  <c r="X30" i="13"/>
  <c r="X33" i="13"/>
  <c r="D46" i="13"/>
  <c r="W28" i="13"/>
  <c r="W30" i="13"/>
  <c r="W33" i="13"/>
  <c r="C46" i="13"/>
  <c r="V28" i="13"/>
  <c r="V30" i="13"/>
  <c r="V33" i="13"/>
  <c r="E45" i="13"/>
  <c r="U28" i="13"/>
  <c r="U30" i="13"/>
  <c r="U33" i="13"/>
  <c r="T28" i="13"/>
  <c r="T30" i="13"/>
  <c r="T33" i="13"/>
  <c r="C45" i="13"/>
  <c r="S28" i="13"/>
  <c r="S30" i="13"/>
  <c r="S33" i="13"/>
  <c r="E44" i="13"/>
  <c r="R28" i="13"/>
  <c r="R30" i="13"/>
  <c r="R33" i="13"/>
  <c r="D44" i="13"/>
  <c r="Q28" i="13"/>
  <c r="Q30" i="13"/>
  <c r="Q33" i="13"/>
  <c r="C44" i="13"/>
  <c r="P28" i="13"/>
  <c r="P30" i="13"/>
  <c r="P33" i="13"/>
  <c r="P36" i="13"/>
  <c r="E43" i="13"/>
  <c r="O28" i="13"/>
  <c r="O30" i="13"/>
  <c r="O33" i="13"/>
  <c r="O36" i="13"/>
  <c r="D43" i="13"/>
  <c r="N28" i="13"/>
  <c r="N30" i="13"/>
  <c r="N33" i="13"/>
  <c r="C43" i="13"/>
  <c r="M28" i="13"/>
  <c r="M30" i="13"/>
  <c r="M33" i="13"/>
  <c r="M36" i="13"/>
  <c r="E42" i="13"/>
  <c r="L28" i="13"/>
  <c r="L30" i="13"/>
  <c r="L33" i="13"/>
  <c r="L36" i="13"/>
  <c r="D42" i="13"/>
  <c r="K28" i="13"/>
  <c r="K30" i="13"/>
  <c r="K33" i="13"/>
  <c r="C42" i="13"/>
  <c r="J28" i="13"/>
  <c r="J30" i="13"/>
  <c r="J33" i="13"/>
  <c r="J36" i="13"/>
  <c r="E41" i="13"/>
  <c r="I28" i="13"/>
  <c r="I30" i="13"/>
  <c r="I33" i="13"/>
  <c r="I36" i="13"/>
  <c r="D41" i="13"/>
  <c r="H28" i="13"/>
  <c r="H30" i="13"/>
  <c r="H33" i="13"/>
  <c r="H36" i="13"/>
  <c r="C41" i="13"/>
  <c r="G28" i="13"/>
  <c r="G30" i="13"/>
  <c r="G33" i="13"/>
  <c r="G36" i="13"/>
  <c r="E40" i="13"/>
  <c r="F28" i="13"/>
  <c r="F30" i="13"/>
  <c r="F33" i="13"/>
  <c r="F36" i="13"/>
  <c r="D40" i="13"/>
  <c r="E28" i="13"/>
  <c r="E30" i="13"/>
  <c r="E33" i="13"/>
  <c r="E36" i="13"/>
  <c r="C40" i="13"/>
  <c r="D28" i="13"/>
  <c r="D30" i="13"/>
  <c r="D33" i="13"/>
  <c r="D36" i="13"/>
  <c r="E39" i="13"/>
  <c r="C28" i="13"/>
  <c r="C30" i="13"/>
  <c r="C33" i="13"/>
  <c r="C36" i="13"/>
  <c r="D39" i="13"/>
  <c r="B28" i="13"/>
  <c r="B30" i="13"/>
  <c r="B33" i="13"/>
  <c r="C39" i="13"/>
  <c r="B48" i="13"/>
  <c r="J14" i="13"/>
  <c r="I14" i="13"/>
  <c r="H14" i="13"/>
  <c r="B47" i="13"/>
  <c r="J13" i="13"/>
  <c r="I13" i="13"/>
  <c r="H13" i="13"/>
  <c r="B46" i="13"/>
  <c r="J12" i="13"/>
  <c r="I12" i="13"/>
  <c r="H12" i="13"/>
  <c r="B45" i="13"/>
  <c r="J11" i="13"/>
  <c r="I11" i="13"/>
  <c r="H11" i="13"/>
  <c r="B44" i="13"/>
  <c r="J10" i="13"/>
  <c r="I10" i="13"/>
  <c r="H10" i="13"/>
  <c r="B43" i="13"/>
  <c r="J9" i="13"/>
  <c r="I9" i="13"/>
  <c r="H9" i="13"/>
  <c r="B42" i="13"/>
  <c r="J8" i="13"/>
  <c r="I8" i="13"/>
  <c r="H8" i="13"/>
  <c r="B41" i="13"/>
  <c r="J7" i="13"/>
  <c r="I7" i="13"/>
  <c r="H7" i="13"/>
  <c r="B40" i="13"/>
  <c r="J6" i="13"/>
  <c r="I6" i="13"/>
  <c r="H6" i="13"/>
  <c r="B39" i="13"/>
  <c r="J5" i="13"/>
  <c r="I5" i="13"/>
  <c r="H5" i="13"/>
  <c r="B46" i="11"/>
  <c r="B47" i="11"/>
  <c r="AB30" i="11"/>
  <c r="AB33" i="11"/>
  <c r="E47" i="11"/>
  <c r="D30" i="11"/>
  <c r="D33" i="11"/>
  <c r="E39" i="11"/>
  <c r="E48" i="11"/>
  <c r="D48" i="11"/>
  <c r="C48" i="11"/>
  <c r="AB28" i="11"/>
  <c r="AA28" i="11"/>
  <c r="AA30" i="11"/>
  <c r="AA33" i="11"/>
  <c r="D47" i="11"/>
  <c r="Z28" i="11"/>
  <c r="Z30" i="11"/>
  <c r="Z33" i="11"/>
  <c r="C47" i="11"/>
  <c r="Y28" i="11"/>
  <c r="Y30" i="11"/>
  <c r="Y33" i="11"/>
  <c r="E46" i="11"/>
  <c r="X28" i="11"/>
  <c r="X30" i="11"/>
  <c r="X33" i="11"/>
  <c r="D46" i="11"/>
  <c r="W28" i="11"/>
  <c r="W30" i="11"/>
  <c r="W33" i="11"/>
  <c r="C46" i="11"/>
  <c r="V28" i="11"/>
  <c r="V30" i="11"/>
  <c r="V33" i="11"/>
  <c r="E45" i="11"/>
  <c r="U28" i="11"/>
  <c r="U30" i="11"/>
  <c r="U33" i="11"/>
  <c r="D45" i="11"/>
  <c r="T28" i="11"/>
  <c r="T30" i="11"/>
  <c r="T33" i="11"/>
  <c r="S28" i="11"/>
  <c r="S30" i="11"/>
  <c r="S33" i="11"/>
  <c r="E44" i="11"/>
  <c r="R28" i="11"/>
  <c r="R30" i="11"/>
  <c r="R33" i="11"/>
  <c r="D44" i="11"/>
  <c r="Q28" i="11"/>
  <c r="Q30" i="11"/>
  <c r="Q33" i="11"/>
  <c r="C44" i="11"/>
  <c r="P28" i="11"/>
  <c r="P30" i="11"/>
  <c r="P33" i="11"/>
  <c r="E43" i="11"/>
  <c r="O28" i="11"/>
  <c r="O30" i="11"/>
  <c r="O33" i="11"/>
  <c r="O36" i="11"/>
  <c r="D43" i="11"/>
  <c r="N28" i="11"/>
  <c r="N30" i="11"/>
  <c r="N33" i="11"/>
  <c r="N36" i="11"/>
  <c r="M28" i="11"/>
  <c r="M30" i="11"/>
  <c r="M33" i="11"/>
  <c r="M36" i="11"/>
  <c r="E42" i="11"/>
  <c r="L28" i="11"/>
  <c r="L30" i="11"/>
  <c r="L33" i="11"/>
  <c r="L36" i="11"/>
  <c r="D42" i="11"/>
  <c r="K28" i="11"/>
  <c r="K30" i="11"/>
  <c r="K33" i="11"/>
  <c r="K36" i="11"/>
  <c r="J28" i="11"/>
  <c r="J30" i="11"/>
  <c r="J33" i="11"/>
  <c r="J36" i="11"/>
  <c r="E41" i="11"/>
  <c r="I28" i="11"/>
  <c r="I30" i="11"/>
  <c r="I33" i="11"/>
  <c r="I36" i="11"/>
  <c r="D41" i="11"/>
  <c r="H28" i="11"/>
  <c r="H30" i="11"/>
  <c r="H33" i="11"/>
  <c r="H36" i="11"/>
  <c r="C41" i="11"/>
  <c r="G28" i="11"/>
  <c r="G30" i="11"/>
  <c r="G33" i="11"/>
  <c r="G36" i="11"/>
  <c r="E40" i="11"/>
  <c r="F28" i="11"/>
  <c r="F30" i="11"/>
  <c r="F33" i="11"/>
  <c r="F36" i="11"/>
  <c r="D40" i="11"/>
  <c r="E28" i="11"/>
  <c r="E30" i="11"/>
  <c r="E33" i="11"/>
  <c r="E36" i="11"/>
  <c r="C40" i="11"/>
  <c r="D28" i="11"/>
  <c r="C28" i="11"/>
  <c r="C30" i="11"/>
  <c r="C33" i="11"/>
  <c r="C36" i="11"/>
  <c r="D39" i="11"/>
  <c r="C39" i="11"/>
  <c r="J14" i="11"/>
  <c r="I14" i="11"/>
  <c r="H14" i="11"/>
  <c r="J13" i="11"/>
  <c r="I13" i="11"/>
  <c r="H13" i="11"/>
  <c r="L13" i="11"/>
  <c r="J12" i="11"/>
  <c r="I12" i="11"/>
  <c r="H12" i="11"/>
  <c r="B45" i="11"/>
  <c r="J11" i="11"/>
  <c r="I11" i="11"/>
  <c r="H11" i="11"/>
  <c r="B44" i="11"/>
  <c r="J10" i="11"/>
  <c r="I10" i="11"/>
  <c r="H10" i="11"/>
  <c r="B43" i="11"/>
  <c r="J9" i="11"/>
  <c r="I9" i="11"/>
  <c r="H9" i="11"/>
  <c r="B42" i="11"/>
  <c r="J8" i="11"/>
  <c r="I8" i="11"/>
  <c r="H8" i="11"/>
  <c r="J7" i="11"/>
  <c r="I7" i="11"/>
  <c r="H7" i="11"/>
  <c r="J6" i="11"/>
  <c r="I6" i="11"/>
  <c r="H6" i="11"/>
  <c r="L6" i="11"/>
  <c r="J5" i="11"/>
  <c r="I5" i="11"/>
  <c r="H5" i="11"/>
  <c r="B40" i="9"/>
  <c r="B41" i="9"/>
  <c r="B43" i="9"/>
  <c r="B44" i="9"/>
  <c r="B46" i="9"/>
  <c r="B47" i="9"/>
  <c r="B48" i="9"/>
  <c r="E48" i="9"/>
  <c r="D48" i="9"/>
  <c r="C48" i="9"/>
  <c r="AB28" i="9"/>
  <c r="AB30" i="9"/>
  <c r="AB33" i="9"/>
  <c r="E47" i="9"/>
  <c r="AA28" i="9"/>
  <c r="AA30" i="9"/>
  <c r="AA33" i="9"/>
  <c r="D47" i="9"/>
  <c r="Z28" i="9"/>
  <c r="Z30" i="9"/>
  <c r="Z33" i="9"/>
  <c r="C47" i="9"/>
  <c r="Y28" i="9"/>
  <c r="Y30" i="9"/>
  <c r="Y33" i="9"/>
  <c r="E46" i="9"/>
  <c r="X28" i="9"/>
  <c r="X30" i="9"/>
  <c r="X33" i="9"/>
  <c r="D46" i="9"/>
  <c r="W28" i="9"/>
  <c r="W30" i="9"/>
  <c r="W33" i="9"/>
  <c r="C46" i="9"/>
  <c r="V28" i="9"/>
  <c r="V30" i="9"/>
  <c r="V33" i="9"/>
  <c r="E45" i="9"/>
  <c r="U28" i="9"/>
  <c r="U30" i="9"/>
  <c r="U33" i="9"/>
  <c r="D45" i="9"/>
  <c r="T28" i="9"/>
  <c r="T30" i="9"/>
  <c r="T33" i="9"/>
  <c r="C45" i="9"/>
  <c r="S28" i="9"/>
  <c r="S30" i="9"/>
  <c r="S33" i="9"/>
  <c r="E44" i="9"/>
  <c r="R28" i="9"/>
  <c r="R30" i="9"/>
  <c r="R33" i="9"/>
  <c r="D44" i="9"/>
  <c r="Q28" i="9"/>
  <c r="Q30" i="9"/>
  <c r="Q33" i="9"/>
  <c r="C44" i="9"/>
  <c r="P28" i="9"/>
  <c r="P30" i="9"/>
  <c r="P33" i="9"/>
  <c r="E43" i="9"/>
  <c r="O28" i="9"/>
  <c r="O30" i="9"/>
  <c r="O33" i="9"/>
  <c r="D43" i="9"/>
  <c r="N28" i="9"/>
  <c r="N30" i="9"/>
  <c r="N33" i="9"/>
  <c r="N36" i="9"/>
  <c r="C43" i="9"/>
  <c r="M28" i="9"/>
  <c r="M30" i="9"/>
  <c r="M33" i="9"/>
  <c r="M36" i="9"/>
  <c r="E42" i="9"/>
  <c r="L28" i="9"/>
  <c r="L30" i="9"/>
  <c r="L33" i="9"/>
  <c r="L36" i="9"/>
  <c r="D42" i="9"/>
  <c r="K28" i="9"/>
  <c r="K30" i="9"/>
  <c r="K33" i="9"/>
  <c r="K36" i="9"/>
  <c r="C42" i="9"/>
  <c r="J28" i="9"/>
  <c r="J30" i="9"/>
  <c r="J33" i="9"/>
  <c r="J36" i="9"/>
  <c r="E41" i="9"/>
  <c r="I28" i="9"/>
  <c r="I30" i="9"/>
  <c r="I33" i="9"/>
  <c r="I36" i="9"/>
  <c r="D41" i="9"/>
  <c r="H28" i="9"/>
  <c r="H30" i="9"/>
  <c r="H33" i="9"/>
  <c r="H36" i="9"/>
  <c r="C41" i="9"/>
  <c r="G28" i="9"/>
  <c r="G30" i="9"/>
  <c r="G33" i="9"/>
  <c r="G36" i="9"/>
  <c r="E40" i="9"/>
  <c r="F28" i="9"/>
  <c r="F30" i="9"/>
  <c r="F33" i="9"/>
  <c r="F36" i="9"/>
  <c r="D40" i="9"/>
  <c r="E28" i="9"/>
  <c r="E30" i="9"/>
  <c r="E33" i="9"/>
  <c r="E36" i="9"/>
  <c r="C40" i="9"/>
  <c r="D28" i="9"/>
  <c r="D30" i="9"/>
  <c r="D33" i="9"/>
  <c r="D36" i="9"/>
  <c r="E39" i="9"/>
  <c r="C28" i="9"/>
  <c r="C30" i="9"/>
  <c r="C33" i="9"/>
  <c r="C36" i="9"/>
  <c r="D39" i="9"/>
  <c r="B28" i="9"/>
  <c r="C39" i="9"/>
  <c r="J14" i="9"/>
  <c r="I14" i="9"/>
  <c r="H14" i="9"/>
  <c r="J13" i="9"/>
  <c r="I13" i="9"/>
  <c r="H13" i="9"/>
  <c r="L13" i="9"/>
  <c r="J12" i="9"/>
  <c r="I12" i="9"/>
  <c r="H12" i="9"/>
  <c r="B45" i="9"/>
  <c r="J11" i="9"/>
  <c r="I11" i="9"/>
  <c r="H11" i="9"/>
  <c r="J10" i="9"/>
  <c r="I10" i="9"/>
  <c r="H10" i="9"/>
  <c r="J9" i="9"/>
  <c r="I9" i="9"/>
  <c r="H9" i="9"/>
  <c r="B42" i="9"/>
  <c r="J8" i="9"/>
  <c r="I8" i="9"/>
  <c r="H8" i="9"/>
  <c r="J7" i="9"/>
  <c r="I7" i="9"/>
  <c r="H7" i="9"/>
  <c r="J6" i="9"/>
  <c r="I6" i="9"/>
  <c r="H6" i="9"/>
  <c r="B39" i="9"/>
  <c r="J5" i="9"/>
  <c r="I5" i="9"/>
  <c r="H5" i="9"/>
  <c r="B39" i="8"/>
  <c r="B40" i="8"/>
  <c r="B41" i="8"/>
  <c r="B42" i="8"/>
  <c r="B43" i="8"/>
  <c r="B34" i="7"/>
  <c r="B35" i="7"/>
  <c r="B38" i="7"/>
  <c r="B39" i="7"/>
  <c r="B40" i="7"/>
  <c r="B41" i="7"/>
  <c r="B42" i="7"/>
  <c r="B43" i="7"/>
  <c r="D26" i="8"/>
  <c r="D29" i="8"/>
  <c r="N26" i="8"/>
  <c r="N29" i="8"/>
  <c r="N31" i="8"/>
  <c r="C24" i="8"/>
  <c r="C26" i="8"/>
  <c r="C29" i="8"/>
  <c r="C31" i="8"/>
  <c r="D34" i="8"/>
  <c r="D24" i="8"/>
  <c r="E24" i="8"/>
  <c r="E26" i="8"/>
  <c r="E29" i="8"/>
  <c r="E31" i="8"/>
  <c r="F24" i="8"/>
  <c r="G24" i="8"/>
  <c r="H24" i="8"/>
  <c r="H26" i="8"/>
  <c r="H29" i="8"/>
  <c r="H31" i="8"/>
  <c r="I24" i="8"/>
  <c r="I26" i="8"/>
  <c r="I29" i="8"/>
  <c r="J24" i="8"/>
  <c r="J26" i="8"/>
  <c r="J29" i="8"/>
  <c r="J31" i="8"/>
  <c r="K24" i="8"/>
  <c r="K26" i="8"/>
  <c r="K29" i="8"/>
  <c r="K31" i="8"/>
  <c r="L24" i="8"/>
  <c r="L26" i="8"/>
  <c r="L29" i="8"/>
  <c r="L31" i="8"/>
  <c r="M24" i="8"/>
  <c r="M26" i="8"/>
  <c r="M29" i="8"/>
  <c r="M31" i="8"/>
  <c r="N24" i="8"/>
  <c r="O24" i="8"/>
  <c r="O26" i="8"/>
  <c r="O29" i="8"/>
  <c r="O31" i="8"/>
  <c r="D38" i="8"/>
  <c r="P24" i="8"/>
  <c r="P26" i="8"/>
  <c r="P29" i="8"/>
  <c r="P31" i="8"/>
  <c r="E38" i="8"/>
  <c r="Q24" i="8"/>
  <c r="Q26" i="8"/>
  <c r="Q29" i="8"/>
  <c r="Q31" i="8"/>
  <c r="C39" i="8"/>
  <c r="R24" i="8"/>
  <c r="S24" i="8"/>
  <c r="T24" i="8"/>
  <c r="T26" i="8"/>
  <c r="T29" i="8"/>
  <c r="T31" i="8"/>
  <c r="U24" i="8"/>
  <c r="U26" i="8"/>
  <c r="U29" i="8"/>
  <c r="V24" i="8"/>
  <c r="V26" i="8"/>
  <c r="V29" i="8"/>
  <c r="V31" i="8"/>
  <c r="W24" i="8"/>
  <c r="W26" i="8"/>
  <c r="W29" i="8"/>
  <c r="W31" i="8"/>
  <c r="C41" i="8"/>
  <c r="X24" i="8"/>
  <c r="X26" i="8"/>
  <c r="X29" i="8"/>
  <c r="X31" i="8"/>
  <c r="D41" i="8"/>
  <c r="Y24" i="8"/>
  <c r="Y26" i="8"/>
  <c r="Y29" i="8"/>
  <c r="Y31" i="8"/>
  <c r="E41" i="8"/>
  <c r="Z24" i="8"/>
  <c r="Z26" i="8"/>
  <c r="Z29" i="8"/>
  <c r="Z31" i="8"/>
  <c r="C42" i="8"/>
  <c r="AA24" i="8"/>
  <c r="AA26" i="8"/>
  <c r="AA29" i="8"/>
  <c r="AA31" i="8"/>
  <c r="D42" i="8"/>
  <c r="AB24" i="8"/>
  <c r="AB26" i="8"/>
  <c r="AB29" i="8"/>
  <c r="AB31" i="8"/>
  <c r="E42" i="8"/>
  <c r="AC24" i="8"/>
  <c r="AC26" i="8"/>
  <c r="AC29" i="8"/>
  <c r="AC31" i="8"/>
  <c r="C43" i="8"/>
  <c r="AD24" i="8"/>
  <c r="AD26" i="8"/>
  <c r="AD29" i="8"/>
  <c r="AD31" i="8"/>
  <c r="D43" i="8"/>
  <c r="AE24" i="8"/>
  <c r="AE26" i="8"/>
  <c r="AE29" i="8"/>
  <c r="AE31" i="8"/>
  <c r="E43" i="8"/>
  <c r="B26" i="7"/>
  <c r="B29" i="7"/>
  <c r="B31" i="7"/>
  <c r="C34" i="7"/>
  <c r="C24" i="7"/>
  <c r="C26" i="7"/>
  <c r="C29" i="7"/>
  <c r="C31" i="7"/>
  <c r="D24" i="7"/>
  <c r="D26" i="7"/>
  <c r="D29" i="7"/>
  <c r="D31" i="7"/>
  <c r="E24" i="7"/>
  <c r="E26" i="7"/>
  <c r="E29" i="7"/>
  <c r="E31" i="7"/>
  <c r="C35" i="7"/>
  <c r="F24" i="7"/>
  <c r="F26" i="7"/>
  <c r="F29" i="7"/>
  <c r="F31" i="7"/>
  <c r="G24" i="7"/>
  <c r="G26" i="7"/>
  <c r="G29" i="7"/>
  <c r="G31" i="7"/>
  <c r="H24" i="7"/>
  <c r="I24" i="7"/>
  <c r="I26" i="7"/>
  <c r="I29" i="7"/>
  <c r="I31" i="7"/>
  <c r="J24" i="7"/>
  <c r="J26" i="7"/>
  <c r="J29" i="7"/>
  <c r="J31" i="7"/>
  <c r="K24" i="7"/>
  <c r="K26" i="7"/>
  <c r="K29" i="7"/>
  <c r="K31" i="7"/>
  <c r="L24" i="7"/>
  <c r="L26" i="7"/>
  <c r="L29" i="7"/>
  <c r="L31" i="7"/>
  <c r="M24" i="7"/>
  <c r="M26" i="7"/>
  <c r="M29" i="7"/>
  <c r="M31" i="7"/>
  <c r="N24" i="7"/>
  <c r="N26" i="7"/>
  <c r="N29" i="7"/>
  <c r="N31" i="7"/>
  <c r="O24" i="7"/>
  <c r="O26" i="7"/>
  <c r="O29" i="7"/>
  <c r="O31" i="7"/>
  <c r="D38" i="7"/>
  <c r="P24" i="7"/>
  <c r="P26" i="7"/>
  <c r="P29" i="7"/>
  <c r="P31" i="7"/>
  <c r="Q24" i="7"/>
  <c r="Q26" i="7"/>
  <c r="Q29" i="7"/>
  <c r="Q31" i="7"/>
  <c r="C39" i="7"/>
  <c r="R24" i="7"/>
  <c r="R26" i="7"/>
  <c r="R29" i="7"/>
  <c r="R31" i="7"/>
  <c r="S24" i="7"/>
  <c r="S26" i="7"/>
  <c r="S29" i="7"/>
  <c r="S31" i="7"/>
  <c r="T24" i="7"/>
  <c r="T26" i="7"/>
  <c r="T29" i="7"/>
  <c r="T31" i="7"/>
  <c r="U24" i="7"/>
  <c r="U26" i="7"/>
  <c r="U29" i="7"/>
  <c r="U31" i="7"/>
  <c r="V24" i="7"/>
  <c r="V26" i="7"/>
  <c r="V29" i="7"/>
  <c r="V31" i="7"/>
  <c r="W24" i="7"/>
  <c r="W26" i="7"/>
  <c r="W29" i="7"/>
  <c r="W31" i="7"/>
  <c r="C41" i="7"/>
  <c r="X24" i="7"/>
  <c r="X26" i="7"/>
  <c r="X29" i="7"/>
  <c r="X31" i="7"/>
  <c r="D41" i="7"/>
  <c r="Y24" i="7"/>
  <c r="Y26" i="7"/>
  <c r="Y29" i="7"/>
  <c r="Y31" i="7"/>
  <c r="E41" i="7"/>
  <c r="Z24" i="7"/>
  <c r="Z26" i="7"/>
  <c r="Z29" i="7"/>
  <c r="Z31" i="7"/>
  <c r="C42" i="7"/>
  <c r="AA24" i="7"/>
  <c r="AA26" i="7"/>
  <c r="AA29" i="7"/>
  <c r="AA31" i="7"/>
  <c r="D42" i="7"/>
  <c r="AB24" i="7"/>
  <c r="AB26" i="7"/>
  <c r="AB29" i="7"/>
  <c r="AB31" i="7"/>
  <c r="E42" i="7"/>
  <c r="AC24" i="7"/>
  <c r="AC26" i="7"/>
  <c r="AC29" i="7"/>
  <c r="AC31" i="7"/>
  <c r="C43" i="7"/>
  <c r="AD24" i="7"/>
  <c r="AD26" i="7"/>
  <c r="AD29" i="7"/>
  <c r="AD31" i="7"/>
  <c r="D43" i="7"/>
  <c r="AE24" i="7"/>
  <c r="AE26" i="7"/>
  <c r="AE29" i="7"/>
  <c r="AE31" i="7"/>
  <c r="E43" i="7"/>
  <c r="B24" i="8"/>
  <c r="B26" i="8"/>
  <c r="B29" i="8"/>
  <c r="B31" i="8"/>
  <c r="C34" i="8"/>
  <c r="J14" i="8"/>
  <c r="I14" i="8"/>
  <c r="H14" i="8"/>
  <c r="J13" i="8"/>
  <c r="I13" i="8"/>
  <c r="H13" i="8"/>
  <c r="J12" i="8"/>
  <c r="I12" i="8"/>
  <c r="H12" i="8"/>
  <c r="J11" i="8"/>
  <c r="I11" i="8"/>
  <c r="H11" i="8"/>
  <c r="J10" i="8"/>
  <c r="I10" i="8"/>
  <c r="H10" i="8"/>
  <c r="B38" i="8"/>
  <c r="J9" i="8"/>
  <c r="I9" i="8"/>
  <c r="H9" i="8"/>
  <c r="L9" i="8"/>
  <c r="B37" i="8"/>
  <c r="J8" i="8"/>
  <c r="I8" i="8"/>
  <c r="H8" i="8"/>
  <c r="B36" i="8"/>
  <c r="J7" i="8"/>
  <c r="I7" i="8"/>
  <c r="H7" i="8"/>
  <c r="B35" i="8"/>
  <c r="J6" i="8"/>
  <c r="I6" i="8"/>
  <c r="H6" i="8"/>
  <c r="B34" i="8"/>
  <c r="J5" i="8"/>
  <c r="I5" i="8"/>
  <c r="H5" i="8"/>
  <c r="B36" i="7"/>
  <c r="B37" i="7"/>
  <c r="H14" i="7"/>
  <c r="I14" i="7"/>
  <c r="J14" i="7"/>
  <c r="H5" i="7"/>
  <c r="J13" i="7"/>
  <c r="I13" i="7"/>
  <c r="H13" i="7"/>
  <c r="J12" i="7"/>
  <c r="I12" i="7"/>
  <c r="H12" i="7"/>
  <c r="J11" i="7"/>
  <c r="I11" i="7"/>
  <c r="H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J5" i="7"/>
  <c r="I5" i="7"/>
  <c r="F37" i="6"/>
  <c r="F38" i="6"/>
  <c r="F39" i="6"/>
  <c r="F40" i="6"/>
  <c r="F36" i="6"/>
  <c r="B37" i="6"/>
  <c r="B38" i="6"/>
  <c r="B39" i="6"/>
  <c r="B40" i="6"/>
  <c r="AQ23" i="6"/>
  <c r="AQ25" i="6"/>
  <c r="AQ28" i="6"/>
  <c r="AQ31" i="6"/>
  <c r="I40" i="6"/>
  <c r="AP23" i="6"/>
  <c r="AP25" i="6"/>
  <c r="AP28" i="6"/>
  <c r="AP31" i="6"/>
  <c r="H40" i="6"/>
  <c r="AO23" i="6"/>
  <c r="AO25" i="6"/>
  <c r="AO28" i="6"/>
  <c r="AO31" i="6"/>
  <c r="G40" i="6"/>
  <c r="AN23" i="6"/>
  <c r="AN25" i="6"/>
  <c r="AN28" i="6"/>
  <c r="AN31" i="6"/>
  <c r="I39" i="6"/>
  <c r="AM23" i="6"/>
  <c r="AM25" i="6"/>
  <c r="AM28" i="6"/>
  <c r="AM31" i="6"/>
  <c r="H39" i="6"/>
  <c r="AL23" i="6"/>
  <c r="AL25" i="6"/>
  <c r="AL28" i="6"/>
  <c r="AL31" i="6"/>
  <c r="G39" i="6"/>
  <c r="AK23" i="6"/>
  <c r="AK25" i="6"/>
  <c r="AK28" i="6"/>
  <c r="AK31" i="6"/>
  <c r="I38" i="6"/>
  <c r="AJ23" i="6"/>
  <c r="AJ25" i="6"/>
  <c r="AJ28" i="6"/>
  <c r="AJ31" i="6"/>
  <c r="H38" i="6"/>
  <c r="AI23" i="6"/>
  <c r="AI25" i="6"/>
  <c r="AI28" i="6"/>
  <c r="AI31" i="6"/>
  <c r="G38" i="6"/>
  <c r="AH23" i="6"/>
  <c r="AH25" i="6"/>
  <c r="AH28" i="6"/>
  <c r="AH31" i="6"/>
  <c r="I37" i="6"/>
  <c r="AG23" i="6"/>
  <c r="AG25" i="6"/>
  <c r="AG28" i="6"/>
  <c r="AG31" i="6"/>
  <c r="H37" i="6"/>
  <c r="AF23" i="6"/>
  <c r="AF25" i="6"/>
  <c r="AF28" i="6"/>
  <c r="AF31" i="6"/>
  <c r="G37" i="6"/>
  <c r="AE23" i="6"/>
  <c r="AE25" i="6"/>
  <c r="AE28" i="6"/>
  <c r="AE31" i="6"/>
  <c r="I36" i="6"/>
  <c r="AD23" i="6"/>
  <c r="AD25" i="6"/>
  <c r="AD28" i="6"/>
  <c r="AD31" i="6"/>
  <c r="H36" i="6"/>
  <c r="AC23" i="6"/>
  <c r="AC25" i="6"/>
  <c r="AC28" i="6"/>
  <c r="AC31" i="6"/>
  <c r="G36" i="6"/>
  <c r="AB23" i="6"/>
  <c r="AB25" i="6"/>
  <c r="AB28" i="6"/>
  <c r="AB31" i="6"/>
  <c r="I35" i="6"/>
  <c r="AA23" i="6"/>
  <c r="AA25" i="6"/>
  <c r="AA28" i="6"/>
  <c r="AA31" i="6"/>
  <c r="H35" i="6"/>
  <c r="Z23" i="6"/>
  <c r="Z25" i="6"/>
  <c r="Z28" i="6"/>
  <c r="Z31" i="6"/>
  <c r="G35" i="6"/>
  <c r="Y23" i="6"/>
  <c r="Y25" i="6"/>
  <c r="Y28" i="6"/>
  <c r="Y31" i="6"/>
  <c r="I34" i="6"/>
  <c r="X23" i="6"/>
  <c r="X25" i="6"/>
  <c r="X28" i="6"/>
  <c r="X31" i="6"/>
  <c r="H34" i="6"/>
  <c r="W23" i="6"/>
  <c r="W25" i="6"/>
  <c r="W28" i="6"/>
  <c r="W31" i="6"/>
  <c r="G34" i="6"/>
  <c r="V23" i="6"/>
  <c r="V25" i="6"/>
  <c r="V28" i="6"/>
  <c r="V31" i="6"/>
  <c r="E40" i="6"/>
  <c r="U23" i="6"/>
  <c r="U25" i="6"/>
  <c r="U28" i="6"/>
  <c r="U31" i="6"/>
  <c r="D40" i="6"/>
  <c r="T23" i="6"/>
  <c r="T25" i="6"/>
  <c r="T28" i="6"/>
  <c r="T31" i="6"/>
  <c r="C40" i="6"/>
  <c r="S23" i="6"/>
  <c r="S25" i="6"/>
  <c r="S28" i="6"/>
  <c r="S31" i="6"/>
  <c r="E39" i="6"/>
  <c r="R23" i="6"/>
  <c r="R25" i="6"/>
  <c r="R28" i="6"/>
  <c r="R31" i="6"/>
  <c r="D39" i="6"/>
  <c r="Q23" i="6"/>
  <c r="Q25" i="6"/>
  <c r="Q28" i="6"/>
  <c r="Q31" i="6"/>
  <c r="C39" i="6"/>
  <c r="P23" i="6"/>
  <c r="P25" i="6"/>
  <c r="P28" i="6"/>
  <c r="P31" i="6"/>
  <c r="E38" i="6"/>
  <c r="O23" i="6"/>
  <c r="O25" i="6"/>
  <c r="O28" i="6"/>
  <c r="O31" i="6"/>
  <c r="D38" i="6"/>
  <c r="N23" i="6"/>
  <c r="N25" i="6"/>
  <c r="N28" i="6"/>
  <c r="N31" i="6"/>
  <c r="C38" i="6"/>
  <c r="M23" i="6"/>
  <c r="M25" i="6"/>
  <c r="M28" i="6"/>
  <c r="M31" i="6"/>
  <c r="E37" i="6"/>
  <c r="L23" i="6"/>
  <c r="L25" i="6"/>
  <c r="L28" i="6"/>
  <c r="L31" i="6"/>
  <c r="D37" i="6"/>
  <c r="K23" i="6"/>
  <c r="K25" i="6"/>
  <c r="K28" i="6"/>
  <c r="K31" i="6"/>
  <c r="C37" i="6"/>
  <c r="J23" i="6"/>
  <c r="J25" i="6"/>
  <c r="J28" i="6"/>
  <c r="J31" i="6"/>
  <c r="E36" i="6"/>
  <c r="I23" i="6"/>
  <c r="I25" i="6"/>
  <c r="I28" i="6"/>
  <c r="I31" i="6"/>
  <c r="D36" i="6"/>
  <c r="H23" i="6"/>
  <c r="H25" i="6"/>
  <c r="H28" i="6"/>
  <c r="H31" i="6"/>
  <c r="C36" i="6"/>
  <c r="G23" i="6"/>
  <c r="G25" i="6"/>
  <c r="G28" i="6"/>
  <c r="G31" i="6"/>
  <c r="E35" i="6"/>
  <c r="F23" i="6"/>
  <c r="F25" i="6"/>
  <c r="F28" i="6"/>
  <c r="F31" i="6"/>
  <c r="D35" i="6"/>
  <c r="E23" i="6"/>
  <c r="E25" i="6"/>
  <c r="E28" i="6"/>
  <c r="E31" i="6"/>
  <c r="C35" i="6"/>
  <c r="D23" i="6"/>
  <c r="D25" i="6"/>
  <c r="D28" i="6"/>
  <c r="D31" i="6"/>
  <c r="E34" i="6"/>
  <c r="C23" i="6"/>
  <c r="C25" i="6"/>
  <c r="C28" i="6"/>
  <c r="C31" i="6"/>
  <c r="D34" i="6"/>
  <c r="B23" i="6"/>
  <c r="B25" i="6"/>
  <c r="B28" i="6"/>
  <c r="B31" i="6"/>
  <c r="C34" i="6"/>
  <c r="T13" i="6"/>
  <c r="S13" i="6"/>
  <c r="R13" i="6"/>
  <c r="O13" i="6"/>
  <c r="N13" i="6"/>
  <c r="M13" i="6"/>
  <c r="T12" i="6"/>
  <c r="S12" i="6"/>
  <c r="R12" i="6"/>
  <c r="O12" i="6"/>
  <c r="N12" i="6"/>
  <c r="M12" i="6"/>
  <c r="T11" i="6"/>
  <c r="S11" i="6"/>
  <c r="R11" i="6"/>
  <c r="O11" i="6"/>
  <c r="N11" i="6"/>
  <c r="M11" i="6"/>
  <c r="T10" i="6"/>
  <c r="S10" i="6"/>
  <c r="R10" i="6"/>
  <c r="O10" i="6"/>
  <c r="N10" i="6"/>
  <c r="M10" i="6"/>
  <c r="B36" i="6"/>
  <c r="T9" i="6"/>
  <c r="S9" i="6"/>
  <c r="R9" i="6"/>
  <c r="O9" i="6"/>
  <c r="N9" i="6"/>
  <c r="M9" i="6"/>
  <c r="T8" i="6"/>
  <c r="S8" i="6"/>
  <c r="R8" i="6"/>
  <c r="O8" i="6"/>
  <c r="N8" i="6"/>
  <c r="M8" i="6"/>
  <c r="T7" i="6"/>
  <c r="S7" i="6"/>
  <c r="R7" i="6"/>
  <c r="O7" i="6"/>
  <c r="N7" i="6"/>
  <c r="M7" i="6"/>
  <c r="T6" i="6"/>
  <c r="S6" i="6"/>
  <c r="R6" i="6"/>
  <c r="O6" i="6"/>
  <c r="N6" i="6"/>
  <c r="M6" i="6"/>
  <c r="T5" i="6"/>
  <c r="S5" i="6"/>
  <c r="R5" i="6"/>
  <c r="O5" i="6"/>
  <c r="N5" i="6"/>
  <c r="M5" i="6"/>
  <c r="L12" i="8"/>
  <c r="L13" i="13"/>
  <c r="L10" i="11"/>
  <c r="L14" i="9"/>
  <c r="V10" i="6"/>
  <c r="V12" i="6"/>
  <c r="L10" i="9"/>
  <c r="K7" i="9"/>
  <c r="L8" i="9"/>
  <c r="L14" i="13"/>
  <c r="L14" i="11"/>
  <c r="L15" i="9"/>
  <c r="D31" i="8"/>
  <c r="E34" i="8"/>
  <c r="U31" i="8"/>
  <c r="D40" i="8"/>
  <c r="I31" i="8"/>
  <c r="D36" i="8"/>
  <c r="E39" i="8"/>
  <c r="E45" i="8"/>
  <c r="L14" i="8"/>
  <c r="L8" i="8"/>
  <c r="L5" i="8"/>
  <c r="L11" i="8"/>
  <c r="S26" i="8"/>
  <c r="S29" i="8"/>
  <c r="S31" i="8"/>
  <c r="G26" i="8"/>
  <c r="G29" i="8"/>
  <c r="G31" i="8"/>
  <c r="E35" i="8"/>
  <c r="R26" i="8"/>
  <c r="R29" i="8"/>
  <c r="R31" i="8"/>
  <c r="D39" i="8"/>
  <c r="F26" i="8"/>
  <c r="F29" i="8"/>
  <c r="F31" i="8"/>
  <c r="D35" i="8"/>
  <c r="V8" i="6"/>
  <c r="V6" i="6"/>
  <c r="V5" i="6"/>
  <c r="U11" i="6"/>
  <c r="V13" i="6"/>
  <c r="V11" i="6"/>
  <c r="P13" i="6"/>
  <c r="U6" i="6"/>
  <c r="Q7" i="6"/>
  <c r="U8" i="6"/>
  <c r="U12" i="6"/>
  <c r="V7" i="6"/>
  <c r="V9" i="6"/>
  <c r="G44" i="6"/>
  <c r="G43" i="6"/>
  <c r="H26" i="7"/>
  <c r="H29" i="7"/>
  <c r="H31" i="7"/>
  <c r="C36" i="7"/>
  <c r="K15" i="9"/>
  <c r="K13" i="9"/>
  <c r="L10" i="13"/>
  <c r="L12" i="13"/>
  <c r="L7" i="13"/>
  <c r="K13" i="13"/>
  <c r="L8" i="13"/>
  <c r="L12" i="11"/>
  <c r="K12" i="9"/>
  <c r="L11" i="13"/>
  <c r="K11" i="13"/>
  <c r="L9" i="13"/>
  <c r="K9" i="13"/>
  <c r="K7" i="13"/>
  <c r="L6" i="13"/>
  <c r="L5" i="13"/>
  <c r="K5" i="13"/>
  <c r="K6" i="13"/>
  <c r="K8" i="13"/>
  <c r="K10" i="13"/>
  <c r="K12" i="13"/>
  <c r="K14" i="13"/>
  <c r="L11" i="11"/>
  <c r="L9" i="11"/>
  <c r="L8" i="11"/>
  <c r="L7" i="11"/>
  <c r="L5" i="11"/>
  <c r="K5" i="11"/>
  <c r="K7" i="11"/>
  <c r="K9" i="11"/>
  <c r="K11" i="11"/>
  <c r="K13" i="11"/>
  <c r="K6" i="11"/>
  <c r="K8" i="11"/>
  <c r="K10" i="11"/>
  <c r="K12" i="11"/>
  <c r="K14" i="11"/>
  <c r="L11" i="9"/>
  <c r="K11" i="9"/>
  <c r="K9" i="9"/>
  <c r="L9" i="9"/>
  <c r="L7" i="9"/>
  <c r="L6" i="9"/>
  <c r="L5" i="9"/>
  <c r="K5" i="9"/>
  <c r="K8" i="9"/>
  <c r="K14" i="9"/>
  <c r="K6" i="9"/>
  <c r="K10" i="9"/>
  <c r="L12" i="9"/>
  <c r="C37" i="8"/>
  <c r="C38" i="8"/>
  <c r="C45" i="8"/>
  <c r="C40" i="8"/>
  <c r="C36" i="8"/>
  <c r="E37" i="8"/>
  <c r="C35" i="8"/>
  <c r="E40" i="8"/>
  <c r="E36" i="8"/>
  <c r="D37" i="8"/>
  <c r="C37" i="7"/>
  <c r="C46" i="7"/>
  <c r="C38" i="7"/>
  <c r="E40" i="7"/>
  <c r="E36" i="7"/>
  <c r="L13" i="8"/>
  <c r="L10" i="8"/>
  <c r="L7" i="8"/>
  <c r="L6" i="8"/>
  <c r="K5" i="8"/>
  <c r="K7" i="8"/>
  <c r="K9" i="8"/>
  <c r="K11" i="8"/>
  <c r="K13" i="8"/>
  <c r="K6" i="8"/>
  <c r="K8" i="8"/>
  <c r="K10" i="8"/>
  <c r="K12" i="8"/>
  <c r="K14" i="8"/>
  <c r="K14" i="7"/>
  <c r="D40" i="7"/>
  <c r="D36" i="7"/>
  <c r="C40" i="7"/>
  <c r="E39" i="7"/>
  <c r="E35" i="7"/>
  <c r="D37" i="7"/>
  <c r="D39" i="7"/>
  <c r="D35" i="7"/>
  <c r="K5" i="7"/>
  <c r="D34" i="7"/>
  <c r="E37" i="7"/>
  <c r="E34" i="7"/>
  <c r="E38" i="7"/>
  <c r="L14" i="7"/>
  <c r="K10" i="7"/>
  <c r="K7" i="7"/>
  <c r="K13" i="7"/>
  <c r="K9" i="7"/>
  <c r="K12" i="7"/>
  <c r="K8" i="7"/>
  <c r="K6" i="7"/>
  <c r="K11" i="7"/>
  <c r="L5" i="7"/>
  <c r="L8" i="7"/>
  <c r="L10" i="7"/>
  <c r="L13" i="7"/>
  <c r="L6" i="7"/>
  <c r="L7" i="7"/>
  <c r="L9" i="7"/>
  <c r="L11" i="7"/>
  <c r="L12" i="7"/>
  <c r="Q5" i="6"/>
  <c r="P11" i="6"/>
  <c r="U7" i="6"/>
  <c r="U13" i="6"/>
  <c r="Q10" i="6"/>
  <c r="Q8" i="6"/>
  <c r="U10" i="6"/>
  <c r="P9" i="6"/>
  <c r="U5" i="6"/>
  <c r="U9" i="6"/>
  <c r="P6" i="6"/>
  <c r="Q12" i="6"/>
  <c r="P5" i="6"/>
  <c r="P7" i="6"/>
  <c r="P8" i="6"/>
  <c r="P10" i="6"/>
  <c r="P12" i="6"/>
  <c r="Q6" i="6"/>
  <c r="Q9" i="6"/>
  <c r="Q11" i="6"/>
  <c r="Q13" i="6"/>
  <c r="D46" i="7"/>
  <c r="E46" i="7"/>
  <c r="D45" i="8"/>
  <c r="D46" i="8"/>
  <c r="C46" i="8"/>
  <c r="E46" i="8"/>
  <c r="F45" i="8"/>
  <c r="G45" i="8"/>
  <c r="F50" i="13"/>
  <c r="G50" i="13"/>
  <c r="G50" i="11"/>
  <c r="F50" i="11"/>
  <c r="K43" i="6"/>
  <c r="G45" i="7"/>
  <c r="F45" i="7"/>
  <c r="B38" i="4"/>
  <c r="B39" i="4"/>
  <c r="B40" i="4"/>
  <c r="B36" i="4"/>
  <c r="B37" i="4"/>
  <c r="B25" i="4"/>
  <c r="B28" i="4"/>
  <c r="AQ23" i="4"/>
  <c r="AQ25" i="4"/>
  <c r="AQ28" i="4"/>
  <c r="AQ31" i="4"/>
  <c r="I40" i="4"/>
  <c r="AP23" i="4"/>
  <c r="AP25" i="4"/>
  <c r="AP28" i="4"/>
  <c r="AP31" i="4"/>
  <c r="H40" i="4"/>
  <c r="AO23" i="4"/>
  <c r="AO25" i="4"/>
  <c r="AO28" i="4"/>
  <c r="AO31" i="4"/>
  <c r="G40" i="4"/>
  <c r="AN23" i="4"/>
  <c r="AN25" i="4"/>
  <c r="AN28" i="4"/>
  <c r="AN31" i="4"/>
  <c r="I39" i="4"/>
  <c r="AM23" i="4"/>
  <c r="AM25" i="4"/>
  <c r="AM28" i="4"/>
  <c r="AM31" i="4"/>
  <c r="H39" i="4"/>
  <c r="AL23" i="4"/>
  <c r="AL25" i="4"/>
  <c r="AL28" i="4"/>
  <c r="AL31" i="4"/>
  <c r="G39" i="4"/>
  <c r="AK23" i="4"/>
  <c r="AK25" i="4"/>
  <c r="AK28" i="4"/>
  <c r="AK31" i="4"/>
  <c r="I38" i="4"/>
  <c r="AJ23" i="4"/>
  <c r="AJ25" i="4"/>
  <c r="AJ28" i="4"/>
  <c r="AJ31" i="4"/>
  <c r="H38" i="4"/>
  <c r="AI23" i="4"/>
  <c r="AI25" i="4"/>
  <c r="AI28" i="4"/>
  <c r="AI31" i="4"/>
  <c r="G38" i="4"/>
  <c r="AH23" i="4"/>
  <c r="AH25" i="4"/>
  <c r="AH28" i="4"/>
  <c r="AH31" i="4"/>
  <c r="I37" i="4"/>
  <c r="AG23" i="4"/>
  <c r="AG25" i="4"/>
  <c r="AG28" i="4"/>
  <c r="AG31" i="4"/>
  <c r="H37" i="4"/>
  <c r="AF23" i="4"/>
  <c r="AF25" i="4"/>
  <c r="AF28" i="4"/>
  <c r="AF31" i="4"/>
  <c r="G37" i="4"/>
  <c r="AE23" i="4"/>
  <c r="AE25" i="4"/>
  <c r="AE28" i="4"/>
  <c r="AE31" i="4"/>
  <c r="I36" i="4"/>
  <c r="AD23" i="4"/>
  <c r="AD25" i="4"/>
  <c r="AD28" i="4"/>
  <c r="AD31" i="4"/>
  <c r="H36" i="4"/>
  <c r="AC23" i="4"/>
  <c r="AC25" i="4"/>
  <c r="AC28" i="4"/>
  <c r="AC31" i="4"/>
  <c r="G36" i="4"/>
  <c r="AB23" i="4"/>
  <c r="AB25" i="4"/>
  <c r="AB28" i="4"/>
  <c r="AB31" i="4"/>
  <c r="I35" i="4"/>
  <c r="AA23" i="4"/>
  <c r="AA25" i="4"/>
  <c r="AA28" i="4"/>
  <c r="AA31" i="4"/>
  <c r="H35" i="4"/>
  <c r="Z23" i="4"/>
  <c r="Z25" i="4"/>
  <c r="Z28" i="4"/>
  <c r="Z31" i="4"/>
  <c r="G35" i="4"/>
  <c r="Y23" i="4"/>
  <c r="Y25" i="4"/>
  <c r="Y28" i="4"/>
  <c r="Y31" i="4"/>
  <c r="I34" i="4"/>
  <c r="X23" i="4"/>
  <c r="X25" i="4"/>
  <c r="X28" i="4"/>
  <c r="X31" i="4"/>
  <c r="H34" i="4"/>
  <c r="W23" i="4"/>
  <c r="W25" i="4"/>
  <c r="W28" i="4"/>
  <c r="W31" i="4"/>
  <c r="G34" i="4"/>
  <c r="V23" i="4"/>
  <c r="V25" i="4"/>
  <c r="V28" i="4"/>
  <c r="V31" i="4"/>
  <c r="E40" i="4"/>
  <c r="U23" i="4"/>
  <c r="U25" i="4"/>
  <c r="U28" i="4"/>
  <c r="U31" i="4"/>
  <c r="D40" i="4"/>
  <c r="T23" i="4"/>
  <c r="T25" i="4"/>
  <c r="T28" i="4"/>
  <c r="T31" i="4"/>
  <c r="C40" i="4"/>
  <c r="S23" i="4"/>
  <c r="S25" i="4"/>
  <c r="S28" i="4"/>
  <c r="S31" i="4"/>
  <c r="E39" i="4"/>
  <c r="R23" i="4"/>
  <c r="R25" i="4"/>
  <c r="R28" i="4"/>
  <c r="R31" i="4"/>
  <c r="D39" i="4"/>
  <c r="Q23" i="4"/>
  <c r="Q25" i="4"/>
  <c r="Q28" i="4"/>
  <c r="Q31" i="4"/>
  <c r="C39" i="4"/>
  <c r="P23" i="4"/>
  <c r="P25" i="4"/>
  <c r="P28" i="4"/>
  <c r="P31" i="4"/>
  <c r="E38" i="4"/>
  <c r="O23" i="4"/>
  <c r="O25" i="4"/>
  <c r="O28" i="4"/>
  <c r="O31" i="4"/>
  <c r="D38" i="4"/>
  <c r="N23" i="4"/>
  <c r="N25" i="4"/>
  <c r="N28" i="4"/>
  <c r="N31" i="4"/>
  <c r="C38" i="4"/>
  <c r="M23" i="4"/>
  <c r="M25" i="4"/>
  <c r="M28" i="4"/>
  <c r="M31" i="4"/>
  <c r="E37" i="4"/>
  <c r="L23" i="4"/>
  <c r="L25" i="4"/>
  <c r="L28" i="4"/>
  <c r="L31" i="4"/>
  <c r="D37" i="4"/>
  <c r="K23" i="4"/>
  <c r="K25" i="4"/>
  <c r="K28" i="4"/>
  <c r="K31" i="4"/>
  <c r="C37" i="4"/>
  <c r="J23" i="4"/>
  <c r="J25" i="4"/>
  <c r="J28" i="4"/>
  <c r="J31" i="4"/>
  <c r="E36" i="4"/>
  <c r="I23" i="4"/>
  <c r="I25" i="4"/>
  <c r="I28" i="4"/>
  <c r="I31" i="4"/>
  <c r="D36" i="4"/>
  <c r="H23" i="4"/>
  <c r="H25" i="4"/>
  <c r="H28" i="4"/>
  <c r="H31" i="4"/>
  <c r="C36" i="4"/>
  <c r="G23" i="4"/>
  <c r="G25" i="4"/>
  <c r="G28" i="4"/>
  <c r="G31" i="4"/>
  <c r="E35" i="4"/>
  <c r="F23" i="4"/>
  <c r="F25" i="4"/>
  <c r="F28" i="4"/>
  <c r="F31" i="4"/>
  <c r="D35" i="4"/>
  <c r="E23" i="4"/>
  <c r="E25" i="4"/>
  <c r="E28" i="4"/>
  <c r="E31" i="4"/>
  <c r="C35" i="4"/>
  <c r="D23" i="4"/>
  <c r="D25" i="4"/>
  <c r="D28" i="4"/>
  <c r="D31" i="4"/>
  <c r="C23" i="4"/>
  <c r="C25" i="4"/>
  <c r="C28" i="4"/>
  <c r="C31" i="4"/>
  <c r="T13" i="4"/>
  <c r="S13" i="4"/>
  <c r="R13" i="4"/>
  <c r="O13" i="4"/>
  <c r="N13" i="4"/>
  <c r="M13" i="4"/>
  <c r="T12" i="4"/>
  <c r="S12" i="4"/>
  <c r="R12" i="4"/>
  <c r="O12" i="4"/>
  <c r="N12" i="4"/>
  <c r="M12" i="4"/>
  <c r="T11" i="4"/>
  <c r="S11" i="4"/>
  <c r="R11" i="4"/>
  <c r="O11" i="4"/>
  <c r="N11" i="4"/>
  <c r="M11" i="4"/>
  <c r="T10" i="4"/>
  <c r="S10" i="4"/>
  <c r="R10" i="4"/>
  <c r="O10" i="4"/>
  <c r="N10" i="4"/>
  <c r="M10" i="4"/>
  <c r="T9" i="4"/>
  <c r="S9" i="4"/>
  <c r="R9" i="4"/>
  <c r="O9" i="4"/>
  <c r="N9" i="4"/>
  <c r="M9" i="4"/>
  <c r="F35" i="4"/>
  <c r="T8" i="4"/>
  <c r="S8" i="4"/>
  <c r="R8" i="4"/>
  <c r="O8" i="4"/>
  <c r="N8" i="4"/>
  <c r="M8" i="4"/>
  <c r="Q8" i="4"/>
  <c r="T7" i="4"/>
  <c r="S7" i="4"/>
  <c r="R7" i="4"/>
  <c r="O7" i="4"/>
  <c r="N7" i="4"/>
  <c r="M7" i="4"/>
  <c r="Q7" i="4"/>
  <c r="T6" i="4"/>
  <c r="S6" i="4"/>
  <c r="R6" i="4"/>
  <c r="O6" i="4"/>
  <c r="N6" i="4"/>
  <c r="M6" i="4"/>
  <c r="T5" i="4"/>
  <c r="S5" i="4"/>
  <c r="R5" i="4"/>
  <c r="O5" i="4"/>
  <c r="N5" i="4"/>
  <c r="M5" i="4"/>
  <c r="U12" i="4"/>
  <c r="Q5" i="4"/>
  <c r="U11" i="4"/>
  <c r="U8" i="4"/>
  <c r="Q11" i="4"/>
  <c r="U6" i="4"/>
  <c r="Q10" i="4"/>
  <c r="U5" i="4"/>
  <c r="V7" i="4"/>
  <c r="V13" i="4"/>
  <c r="V10" i="4"/>
  <c r="U9" i="4"/>
  <c r="Q13" i="4"/>
  <c r="Q6" i="4"/>
  <c r="Q9" i="4"/>
  <c r="Q12" i="4"/>
  <c r="V12" i="4"/>
  <c r="V6" i="4"/>
  <c r="V8" i="4"/>
  <c r="V11" i="4"/>
  <c r="V9" i="4"/>
  <c r="V5" i="4"/>
  <c r="U7" i="4"/>
  <c r="U10" i="4"/>
  <c r="U13" i="4"/>
  <c r="P5" i="4"/>
  <c r="P6" i="4"/>
  <c r="P7" i="4"/>
  <c r="P8" i="4"/>
  <c r="P9" i="4"/>
  <c r="P10" i="4"/>
  <c r="P11" i="4"/>
  <c r="P12" i="4"/>
  <c r="P13" i="4"/>
  <c r="D30" i="3"/>
  <c r="G30" i="3"/>
  <c r="F30" i="3"/>
  <c r="C30" i="3"/>
  <c r="U5" i="3"/>
  <c r="U6" i="3"/>
  <c r="U7" i="3"/>
  <c r="U8" i="3"/>
  <c r="B32" i="3"/>
  <c r="U9" i="3"/>
  <c r="B33" i="3"/>
  <c r="U10" i="3"/>
  <c r="U11" i="3"/>
  <c r="B35" i="3"/>
  <c r="U12" i="3"/>
  <c r="B36" i="3"/>
  <c r="U4" i="3"/>
  <c r="B30" i="3"/>
  <c r="E36" i="3"/>
  <c r="E35" i="3"/>
  <c r="E34" i="3"/>
  <c r="E33" i="3"/>
  <c r="E32" i="3"/>
  <c r="E31" i="3"/>
  <c r="E30" i="3"/>
  <c r="AN24" i="3"/>
  <c r="AN27" i="3"/>
  <c r="AM24" i="3"/>
  <c r="AM27" i="3"/>
  <c r="AK24" i="3"/>
  <c r="AK27" i="3"/>
  <c r="AJ24" i="3"/>
  <c r="AJ27" i="3"/>
  <c r="AI24" i="3"/>
  <c r="AI27" i="3"/>
  <c r="AF24" i="3"/>
  <c r="AF27" i="3"/>
  <c r="AB24" i="3"/>
  <c r="AB27" i="3"/>
  <c r="AA24" i="3"/>
  <c r="AA27" i="3"/>
  <c r="Y24" i="3"/>
  <c r="Y27" i="3"/>
  <c r="X24" i="3"/>
  <c r="X27" i="3"/>
  <c r="W24" i="3"/>
  <c r="W27" i="3"/>
  <c r="T24" i="3"/>
  <c r="T27" i="3"/>
  <c r="H24" i="3"/>
  <c r="H27" i="3"/>
  <c r="AQ22" i="3"/>
  <c r="AQ24" i="3"/>
  <c r="AQ27" i="3"/>
  <c r="AP22" i="3"/>
  <c r="AP24" i="3"/>
  <c r="AP27" i="3"/>
  <c r="AO22" i="3"/>
  <c r="AO24" i="3"/>
  <c r="AO27" i="3"/>
  <c r="F36" i="3"/>
  <c r="G36" i="3"/>
  <c r="AN22" i="3"/>
  <c r="AM22" i="3"/>
  <c r="AL22" i="3"/>
  <c r="AL24" i="3"/>
  <c r="AL27" i="3"/>
  <c r="F35" i="3"/>
  <c r="G35" i="3"/>
  <c r="AK22" i="3"/>
  <c r="AJ22" i="3"/>
  <c r="AI22" i="3"/>
  <c r="AH22" i="3"/>
  <c r="AH24" i="3"/>
  <c r="AH27" i="3"/>
  <c r="AG22" i="3"/>
  <c r="AG24" i="3"/>
  <c r="AG27" i="3"/>
  <c r="AF22" i="3"/>
  <c r="AE22" i="3"/>
  <c r="AE24" i="3"/>
  <c r="AE27" i="3"/>
  <c r="AD22" i="3"/>
  <c r="AD24" i="3"/>
  <c r="AD27" i="3"/>
  <c r="AC22" i="3"/>
  <c r="AC24" i="3"/>
  <c r="AC27" i="3"/>
  <c r="F32" i="3"/>
  <c r="G32" i="3"/>
  <c r="AB22" i="3"/>
  <c r="AA22" i="3"/>
  <c r="Z22" i="3"/>
  <c r="Z24" i="3"/>
  <c r="Z27" i="3"/>
  <c r="F31" i="3"/>
  <c r="G31" i="3"/>
  <c r="Y22" i="3"/>
  <c r="X22" i="3"/>
  <c r="W22" i="3"/>
  <c r="V22" i="3"/>
  <c r="V24" i="3"/>
  <c r="V27" i="3"/>
  <c r="U22" i="3"/>
  <c r="U24" i="3"/>
  <c r="U27" i="3"/>
  <c r="T22" i="3"/>
  <c r="S22" i="3"/>
  <c r="S24" i="3"/>
  <c r="S27" i="3"/>
  <c r="R22" i="3"/>
  <c r="R24" i="3"/>
  <c r="R27" i="3"/>
  <c r="Q22" i="3"/>
  <c r="Q24" i="3"/>
  <c r="Q27" i="3"/>
  <c r="P22" i="3"/>
  <c r="P24" i="3"/>
  <c r="P27" i="3"/>
  <c r="O22" i="3"/>
  <c r="O24" i="3"/>
  <c r="O27" i="3"/>
  <c r="N22" i="3"/>
  <c r="N24" i="3"/>
  <c r="N27" i="3"/>
  <c r="M22" i="3"/>
  <c r="M24" i="3"/>
  <c r="M27" i="3"/>
  <c r="L22" i="3"/>
  <c r="L24" i="3"/>
  <c r="L27" i="3"/>
  <c r="K22" i="3"/>
  <c r="K24" i="3"/>
  <c r="K27" i="3"/>
  <c r="J22" i="3"/>
  <c r="J24" i="3"/>
  <c r="J27" i="3"/>
  <c r="I22" i="3"/>
  <c r="I24" i="3"/>
  <c r="I27" i="3"/>
  <c r="H22" i="3"/>
  <c r="G22" i="3"/>
  <c r="G24" i="3"/>
  <c r="G27" i="3"/>
  <c r="F22" i="3"/>
  <c r="F24" i="3"/>
  <c r="F27" i="3"/>
  <c r="E22" i="3"/>
  <c r="E24" i="3"/>
  <c r="E27" i="3"/>
  <c r="D22" i="3"/>
  <c r="D24" i="3"/>
  <c r="D27" i="3"/>
  <c r="C22" i="3"/>
  <c r="C24" i="3"/>
  <c r="C27" i="3"/>
  <c r="B22" i="3"/>
  <c r="B24" i="3"/>
  <c r="B27" i="3"/>
  <c r="V12" i="3"/>
  <c r="P12" i="3"/>
  <c r="O12" i="3"/>
  <c r="N12" i="3"/>
  <c r="Q12" i="3"/>
  <c r="L12" i="3"/>
  <c r="K12" i="3"/>
  <c r="M12" i="3"/>
  <c r="J12" i="3"/>
  <c r="I12" i="3"/>
  <c r="V11" i="3"/>
  <c r="P11" i="3"/>
  <c r="O11" i="3"/>
  <c r="N11" i="3"/>
  <c r="R11" i="3"/>
  <c r="K11" i="3"/>
  <c r="J11" i="3"/>
  <c r="M11" i="3"/>
  <c r="I11" i="3"/>
  <c r="V10" i="3"/>
  <c r="B34" i="3"/>
  <c r="P10" i="3"/>
  <c r="O10" i="3"/>
  <c r="N10" i="3"/>
  <c r="R10" i="3"/>
  <c r="K10" i="3"/>
  <c r="J10" i="3"/>
  <c r="I10" i="3"/>
  <c r="M10" i="3"/>
  <c r="V9" i="3"/>
  <c r="P9" i="3"/>
  <c r="O9" i="3"/>
  <c r="N9" i="3"/>
  <c r="Q9" i="3"/>
  <c r="K9" i="3"/>
  <c r="J9" i="3"/>
  <c r="I9" i="3"/>
  <c r="V8" i="3"/>
  <c r="P8" i="3"/>
  <c r="O8" i="3"/>
  <c r="N8" i="3"/>
  <c r="R8" i="3"/>
  <c r="K8" i="3"/>
  <c r="J8" i="3"/>
  <c r="I8" i="3"/>
  <c r="V7" i="3"/>
  <c r="B31" i="3"/>
  <c r="P7" i="3"/>
  <c r="O7" i="3"/>
  <c r="N7" i="3"/>
  <c r="Q7" i="3"/>
  <c r="K7" i="3"/>
  <c r="J7" i="3"/>
  <c r="I7" i="3"/>
  <c r="V6" i="3"/>
  <c r="P6" i="3"/>
  <c r="O6" i="3"/>
  <c r="N6" i="3"/>
  <c r="R6" i="3"/>
  <c r="K6" i="3"/>
  <c r="L6" i="3"/>
  <c r="J6" i="3"/>
  <c r="I6" i="3"/>
  <c r="V5" i="3"/>
  <c r="P5" i="3"/>
  <c r="O5" i="3"/>
  <c r="N5" i="3"/>
  <c r="Q5" i="3"/>
  <c r="M5" i="3"/>
  <c r="K5" i="3"/>
  <c r="J5" i="3"/>
  <c r="L5" i="3"/>
  <c r="I5" i="3"/>
  <c r="V4" i="3"/>
  <c r="P4" i="3"/>
  <c r="O4" i="3"/>
  <c r="N4" i="3"/>
  <c r="Q4" i="3"/>
  <c r="K4" i="3"/>
  <c r="J4" i="3"/>
  <c r="I4" i="3"/>
  <c r="L4" i="3"/>
  <c r="M9" i="3"/>
  <c r="M8" i="3"/>
  <c r="L11" i="3"/>
  <c r="L10" i="3"/>
  <c r="L9" i="3"/>
  <c r="L8" i="3"/>
  <c r="M7" i="3"/>
  <c r="L7" i="3"/>
  <c r="M6" i="3"/>
  <c r="M4" i="3"/>
  <c r="C31" i="3"/>
  <c r="D31" i="3"/>
  <c r="C35" i="3"/>
  <c r="D35" i="3"/>
  <c r="C34" i="3"/>
  <c r="D34" i="3"/>
  <c r="C36" i="3"/>
  <c r="D36" i="3"/>
  <c r="F33" i="3"/>
  <c r="G33" i="3"/>
  <c r="C33" i="3"/>
  <c r="D33" i="3"/>
  <c r="F34" i="3"/>
  <c r="G34" i="3"/>
  <c r="C32" i="3"/>
  <c r="D32" i="3"/>
  <c r="Q11" i="3"/>
  <c r="Q6" i="3"/>
  <c r="Q8" i="3"/>
  <c r="Q10" i="3"/>
  <c r="R4" i="3"/>
  <c r="R5" i="3"/>
  <c r="R7" i="3"/>
  <c r="R9" i="3"/>
  <c r="R12" i="3"/>
  <c r="W5" i="9" l="1"/>
</calcChain>
</file>

<file path=xl/sharedStrings.xml><?xml version="1.0" encoding="utf-8"?>
<sst xmlns="http://schemas.openxmlformats.org/spreadsheetml/2006/main" count="1054" uniqueCount="433">
  <si>
    <t>C12 PARENT</t>
  </si>
  <si>
    <t>C13-label-1</t>
  </si>
  <si>
    <t>C13-label-2</t>
  </si>
  <si>
    <t>C13-label-3</t>
  </si>
  <si>
    <t>C13-label-4</t>
  </si>
  <si>
    <t>C13-label-5</t>
  </si>
  <si>
    <t>C13-label-6</t>
  </si>
  <si>
    <t>Glucose</t>
  </si>
  <si>
    <t>Unlabeled fraction</t>
  </si>
  <si>
    <t>Concentration of Label Standard (g/L)</t>
  </si>
  <si>
    <t>Concentration of Unlabeled Glucose in Tube (g/L)</t>
  </si>
  <si>
    <t>MW of Unlabeled Glucose (g/mol)</t>
  </si>
  <si>
    <t>MW of Labeled Glucose (g/mol)</t>
  </si>
  <si>
    <t>Concentration of Unlabeled Glucose in Tube (corrected for MW) (g/L)</t>
  </si>
  <si>
    <t>Hours</t>
  </si>
  <si>
    <t>10_30_ctrl_1</t>
  </si>
  <si>
    <t>10_30_ctrl_2</t>
  </si>
  <si>
    <t>10_30_ctrl_3</t>
  </si>
  <si>
    <t>10_30_0_1</t>
  </si>
  <si>
    <t>10_30_0_2</t>
  </si>
  <si>
    <t>10_30_0_3</t>
  </si>
  <si>
    <t>10_30_60_1</t>
  </si>
  <si>
    <t>10_30_60_2</t>
  </si>
  <si>
    <t>10_30_60_3</t>
  </si>
  <si>
    <t>10_30_120_1</t>
  </si>
  <si>
    <t>10_30_120_2</t>
  </si>
  <si>
    <t>10_30_120_3</t>
  </si>
  <si>
    <t>10_30_180_1</t>
  </si>
  <si>
    <t>10_30_180_2</t>
  </si>
  <si>
    <t>10_30_180_3</t>
  </si>
  <si>
    <t>10_30_240_1</t>
  </si>
  <si>
    <t>10_30_240_2</t>
  </si>
  <si>
    <t>10_30_240_3</t>
  </si>
  <si>
    <t>10_30_300_1</t>
  </si>
  <si>
    <t>10_30_300_2</t>
  </si>
  <si>
    <t>10_30_300_3</t>
  </si>
  <si>
    <t>20_30_ctrl_1</t>
  </si>
  <si>
    <t>20_30_ctrl_2</t>
  </si>
  <si>
    <t>20_30_ctrl_3</t>
  </si>
  <si>
    <t>20_30_0_1</t>
  </si>
  <si>
    <t>20_30_0_2</t>
  </si>
  <si>
    <t>20_30_0_3</t>
  </si>
  <si>
    <t>20_30_60_1</t>
  </si>
  <si>
    <t>20_30_60_2</t>
  </si>
  <si>
    <t>20_30_60_3</t>
  </si>
  <si>
    <t>20_30_120_1</t>
  </si>
  <si>
    <t>20_30_120_2</t>
  </si>
  <si>
    <t>20_30_120_3</t>
  </si>
  <si>
    <t>20_30_180_1</t>
  </si>
  <si>
    <t>20_30_180_2</t>
  </si>
  <si>
    <t>20_30_180_3</t>
  </si>
  <si>
    <t>20_30_240_1</t>
  </si>
  <si>
    <t>20_30_240_2</t>
  </si>
  <si>
    <t>20_30_240_3</t>
  </si>
  <si>
    <t>20_30_300_1</t>
  </si>
  <si>
    <t>20_30_300_2</t>
  </si>
  <si>
    <t>20_30_300_3</t>
  </si>
  <si>
    <t>OD600 to Cell Dry Weight Ratio</t>
  </si>
  <si>
    <t>ZM4_GFP, ZMM 10 g/L (OD600)</t>
  </si>
  <si>
    <t>ZM4_GFP, ZMM 20 g/L (OD600)</t>
  </si>
  <si>
    <t>Natural Log</t>
  </si>
  <si>
    <t>SD.S</t>
  </si>
  <si>
    <t>Rep1</t>
  </si>
  <si>
    <t>Rep2</t>
  </si>
  <si>
    <t>Rep3</t>
  </si>
  <si>
    <t>Average, 10g/L</t>
  </si>
  <si>
    <t>Average, 20g/L</t>
  </si>
  <si>
    <t>dCW/growth rate, 10 g/L</t>
  </si>
  <si>
    <t>dCW/growth rate, 20 g/L</t>
  </si>
  <si>
    <t>20_69_0_1_v415m_f1</t>
  </si>
  <si>
    <t>20_69_0_2_v415m_f1</t>
  </si>
  <si>
    <t>20_69_0_3_v415m_f1</t>
  </si>
  <si>
    <t>20_69_60_1_v415m_f1</t>
  </si>
  <si>
    <t>20_69_60_2_v415m_f1</t>
  </si>
  <si>
    <t>20_69_60_3_v415m_f1</t>
  </si>
  <si>
    <t>20_69_120_1_v415m_f1</t>
  </si>
  <si>
    <t>20_69_120_2_v415m_f1</t>
  </si>
  <si>
    <t>20_69_120_3_v415m_f1</t>
  </si>
  <si>
    <t>20_69_180_1_v415m_f1</t>
  </si>
  <si>
    <t>20_69_180_2_v415m_f1</t>
  </si>
  <si>
    <t>20_69_180_3_v415m_f1</t>
  </si>
  <si>
    <t>20_69_240_1_v415m_f1</t>
  </si>
  <si>
    <t>20_69_240_2_v415m_f1</t>
  </si>
  <si>
    <t>20_69_240_3_v415m_f1</t>
  </si>
  <si>
    <t>20_69_300_1_v415m_f1</t>
  </si>
  <si>
    <t>20_69_300_2_v415m_f1</t>
  </si>
  <si>
    <t>20_69_300_3_v415m_f1</t>
  </si>
  <si>
    <t>20_69_ctrl_1_v415m_f1</t>
  </si>
  <si>
    <t>20_69_ctrl_2_v415m_f1</t>
  </si>
  <si>
    <t>20_69_ctrl_3_v415m_f1</t>
  </si>
  <si>
    <t>ZM4_DXS2_IspS, ZMM 10 g/L (OD600)</t>
  </si>
  <si>
    <t>ZM4_DXS2_IspS, ZMM 20 g/L (OD600)</t>
  </si>
  <si>
    <t>10_133_0_1_v415m_f1</t>
  </si>
  <si>
    <t>10_133_0_2_v415m_f1</t>
  </si>
  <si>
    <t>10_133_0_3_v415m_f1</t>
  </si>
  <si>
    <t>10_133_60_1_v415m_f1</t>
  </si>
  <si>
    <t>10_133_60_2_v415m_f1</t>
  </si>
  <si>
    <t>10_133_60_3_v415m_f1</t>
  </si>
  <si>
    <t>10_133_120_1_v415m_f1</t>
  </si>
  <si>
    <t>10_133_120_2_v415m_f1</t>
  </si>
  <si>
    <t>10_133_120_3_v415m_f1</t>
  </si>
  <si>
    <t>10_133_180_1_v415m_f1</t>
  </si>
  <si>
    <t>10_133_180_2_v415m_f1</t>
  </si>
  <si>
    <t>10_133_180_3_v415m_f1</t>
  </si>
  <si>
    <t>10_133_240_1_v415m_f1</t>
  </si>
  <si>
    <t>10_133_240_2_v415m_f1</t>
  </si>
  <si>
    <t>10_133_240_3_v415m_f1</t>
  </si>
  <si>
    <t>10_133_300_1_v415m_f1</t>
  </si>
  <si>
    <t>10_133_300_2_v415m_f1</t>
  </si>
  <si>
    <t>10_133_300_3_v415m_f1</t>
  </si>
  <si>
    <t>10_133_ctrl_1_v415m_f1</t>
  </si>
  <si>
    <t>10_133_ctrl_2_v415m_f1</t>
  </si>
  <si>
    <t>10_133_ctrl_3_v415m_f1</t>
  </si>
  <si>
    <t>ZM4_DXS2_GHSI, ZMM 10 g/L (OD600)</t>
  </si>
  <si>
    <t>ZM4_DXS2_GHSI, ZMM 20 g/L (OD600)</t>
  </si>
  <si>
    <t>DXS2_GHSI Average, 10 g/L (g/L)</t>
  </si>
  <si>
    <t>DXS2_GHSI Average, 10 g/L (mM)</t>
  </si>
  <si>
    <t>DXS2_GHSI Average, 20 g/L (g/L)</t>
  </si>
  <si>
    <t>DXS2_GHSI Average, 20 g/L (mM)</t>
  </si>
  <si>
    <t>Dilution Factor for 10 g/L samples</t>
  </si>
  <si>
    <t>Dilution Factor for 20 g/L samples</t>
  </si>
  <si>
    <t>Concentration of Label Standard (mM)</t>
  </si>
  <si>
    <t>Concentration of Unlabeled Glucose in Tube (mM)</t>
  </si>
  <si>
    <t>Concentration of Unlabeled Glucose in Tube (corrected for MW) (mM)</t>
  </si>
  <si>
    <t>Experiment Date</t>
  </si>
  <si>
    <t>GFP Rep1, 10 g/L (mM)</t>
  </si>
  <si>
    <t>GFP Rep2, 10 g/L (mM)</t>
  </si>
  <si>
    <t>GFP Rep3, 10 g/L (mM)</t>
  </si>
  <si>
    <t>GFP Rep1, 20 g/L (mM)</t>
  </si>
  <si>
    <t>GFP Rep2, 20 g/L (mM)</t>
  </si>
  <si>
    <t>GFP Rep3, 20 g/L (mM)</t>
  </si>
  <si>
    <t>Original Concentration in Tube (mM)</t>
  </si>
  <si>
    <t>GFP Rep1, 20 g/L rate</t>
  </si>
  <si>
    <t>Rate</t>
  </si>
  <si>
    <t>R^2</t>
  </si>
  <si>
    <t>Average</t>
  </si>
  <si>
    <t>Stnd. Error</t>
  </si>
  <si>
    <t>DXS2_IspS Rep1, 10 g/L (mM)</t>
  </si>
  <si>
    <t>DXS2_IspS Rep2, 10 g/L (mM)</t>
  </si>
  <si>
    <t>DXS2_IspS Rep3, 10 g/L (mM)</t>
  </si>
  <si>
    <t>DXS2_IspS Rep1, 20 g/L (mM)</t>
  </si>
  <si>
    <t>DXS2_IspS Rep2, 20 g/L (mM)</t>
  </si>
  <si>
    <t>DXS2_IspS Rep3, 20 g/L (mM)</t>
  </si>
  <si>
    <t>DXS2_IspS Rep1, 20 g/L rate</t>
  </si>
  <si>
    <t>ZM4_IspS, ZMM 20 g/L (OD600)</t>
  </si>
  <si>
    <t>dCW/growth rate</t>
  </si>
  <si>
    <t>Rep1 (mM)</t>
  </si>
  <si>
    <t>Rep2 (mM)</t>
  </si>
  <si>
    <t>Rep3 (mM)</t>
  </si>
  <si>
    <t>Dilution Factor (X)</t>
  </si>
  <si>
    <t>ZM4_DXS2_IspS_IDI, ZMM 20 g/L (OD600)</t>
  </si>
  <si>
    <t>84_ctrl_1_v415m_f1</t>
  </si>
  <si>
    <t>84_ctrl_2_v415m_f1</t>
  </si>
  <si>
    <t>84_ctrl_3_v415m_f1</t>
  </si>
  <si>
    <t>84_60_1_v415m_f1</t>
  </si>
  <si>
    <t>84_60_2_v415m_f1</t>
  </si>
  <si>
    <t>84_60_3_v415m_f1</t>
  </si>
  <si>
    <t>84_120_1_v415m_f1</t>
  </si>
  <si>
    <t>84_120_2_v415m_f1</t>
  </si>
  <si>
    <t>84_120_3_v415m_f1</t>
  </si>
  <si>
    <t>84_180_1_v415m_f1</t>
  </si>
  <si>
    <t>84_180_2_v415m_f1</t>
  </si>
  <si>
    <t>84_180_3_v415m_f1</t>
  </si>
  <si>
    <t>84_225_1_v415m_f1</t>
  </si>
  <si>
    <t>84_225_2_v415m_f1</t>
  </si>
  <si>
    <t>84_225_3_v415m_f1</t>
  </si>
  <si>
    <t>84_285_1_v415m_f1</t>
  </si>
  <si>
    <t>84_285_2_v415m_f1</t>
  </si>
  <si>
    <t>84_285_3_v415m_f1</t>
  </si>
  <si>
    <t>84_345_1_v415m_f1</t>
  </si>
  <si>
    <t>84_345_2_v415m_f1</t>
  </si>
  <si>
    <t>84_345_3_v415m_f1</t>
  </si>
  <si>
    <t>84_405_1_v415m_f1</t>
  </si>
  <si>
    <t>84_405_2_v415m_f1</t>
  </si>
  <si>
    <t>84_405_3_v415m_f1</t>
  </si>
  <si>
    <t>84_465_1_v415m_f1</t>
  </si>
  <si>
    <t>84_465_2_v415m_f1</t>
  </si>
  <si>
    <t>84_465_3_v415m_f1</t>
  </si>
  <si>
    <t>84_525_1_v415m_f1</t>
  </si>
  <si>
    <t>84_525_2_v415m_f1</t>
  </si>
  <si>
    <t>84_525_3_v415m_f1</t>
  </si>
  <si>
    <t>85_ctrl_1_v415m_f1</t>
  </si>
  <si>
    <t>85_ctrl_2_v415m_f1</t>
  </si>
  <si>
    <t>85_ctrl_3_v415m_f1</t>
  </si>
  <si>
    <t>85_60_1_v415m_f1</t>
  </si>
  <si>
    <t>85_60_2_v415m_f1</t>
  </si>
  <si>
    <t>85_60_3_v415m_f1</t>
  </si>
  <si>
    <t>85_120_1_v415m_f1</t>
  </si>
  <si>
    <t>85_120_2_v415m_f1</t>
  </si>
  <si>
    <t>85_120_3_v415m_f1</t>
  </si>
  <si>
    <t>85_180_1_v415m_f1</t>
  </si>
  <si>
    <t>85_180_2_v415m_f1</t>
  </si>
  <si>
    <t>85_180_3_v415m_f1</t>
  </si>
  <si>
    <t>85_225_1_v415m_f1</t>
  </si>
  <si>
    <t>85_225_2_v415m_f1</t>
  </si>
  <si>
    <t>85_225_3_v415m_f1</t>
  </si>
  <si>
    <t>85_285_1_v415m_f1</t>
  </si>
  <si>
    <t>85_285_2_v415m_f1</t>
  </si>
  <si>
    <t>85_285_3_v415m_f1</t>
  </si>
  <si>
    <t>85_345_1_v415m_f1</t>
  </si>
  <si>
    <t>85_345_2_v415m_f1</t>
  </si>
  <si>
    <t>85_345_3_v415m_f1</t>
  </si>
  <si>
    <t>85_405_1_v415m_f1</t>
  </si>
  <si>
    <t>85_405_2_v415m_f1</t>
  </si>
  <si>
    <t>85_405_3_v415m_f1</t>
  </si>
  <si>
    <t>85_465_1_v415m_f1</t>
  </si>
  <si>
    <t>85_465_2_v415m_f1</t>
  </si>
  <si>
    <t>85_465_3_v415m_f1</t>
  </si>
  <si>
    <t>85_525_1_v415m_f1</t>
  </si>
  <si>
    <t>85_525_2_v415m_f1</t>
  </si>
  <si>
    <t>85_525_3_v415m_f1</t>
  </si>
  <si>
    <t>ZM4_DXS2, ZMM 20 g/L (OD600)</t>
  </si>
  <si>
    <t>ZM4_DXS2_IspG, ZMM 20 g/L (OD600)</t>
  </si>
  <si>
    <t>ZM4_DXS2_IspG_IspH, ZMM 20 g/L (OD600)</t>
  </si>
  <si>
    <t>Std.S</t>
  </si>
  <si>
    <t>ZM4_DXS2_IspG_IspH_IspS, ZMM 20 g/L (OD600)</t>
  </si>
  <si>
    <t>ZM4_DXS2_IspG_IspH_IspS_IDI, ZMM 20 g/L (OD600)</t>
  </si>
  <si>
    <t>31_60_1_v415m_f1</t>
  </si>
  <si>
    <t>31_60_2_v415m_f1</t>
  </si>
  <si>
    <t>31_60_3_v415m_f1</t>
  </si>
  <si>
    <t>31_120_1_v415m_f1</t>
  </si>
  <si>
    <t>31_120_2_v415m_f1</t>
  </si>
  <si>
    <t>31_120_3_v415m_f1</t>
  </si>
  <si>
    <t>31_180_1_v415m_f1</t>
  </si>
  <si>
    <t>31_180_2_v415m_f1</t>
  </si>
  <si>
    <t>31_180_3_v415m_f1</t>
  </si>
  <si>
    <t>31_240_1_v415m_f1</t>
  </si>
  <si>
    <t>31_240_2_v415m_f1</t>
  </si>
  <si>
    <t>31_240_3_v415m_f1</t>
  </si>
  <si>
    <t>31_300_1_v415m_f1</t>
  </si>
  <si>
    <t>31_300_2_v415m_f1</t>
  </si>
  <si>
    <t>31_300_3_v415m_f1</t>
  </si>
  <si>
    <t>31_360_1_v415m_f1</t>
  </si>
  <si>
    <t>31_360_2_v415m_f1</t>
  </si>
  <si>
    <t>31_360_3_v415m_f1</t>
  </si>
  <si>
    <t>31_420_1_v415m_f1</t>
  </si>
  <si>
    <t>31_420_2_v415m_f1</t>
  </si>
  <si>
    <t>31_420_3_v415m_f1</t>
  </si>
  <si>
    <t>31_480_1_v415m_f1</t>
  </si>
  <si>
    <t>31_480_2_v415m_f1</t>
  </si>
  <si>
    <t>31_480_3_v415m_f1</t>
  </si>
  <si>
    <t>31_ctrl_1_v415m_f1</t>
  </si>
  <si>
    <t>31_ctrl_2_v415m_f1</t>
  </si>
  <si>
    <t>31_ctrl_3_v415m_f1</t>
  </si>
  <si>
    <t>113_ctrl_1_v415m_f1</t>
  </si>
  <si>
    <t>113_ctrl_2_v415m_f1</t>
  </si>
  <si>
    <t>113_ctrl_3_v415m_f1</t>
  </si>
  <si>
    <t>113_60_1_v415m_f1</t>
  </si>
  <si>
    <t>113_60_2_v415m_f1</t>
  </si>
  <si>
    <t>113_60_3_v415m_f1</t>
  </si>
  <si>
    <t>113_120_1_v415m_f1</t>
  </si>
  <si>
    <t>113_120_2_v415m_f1</t>
  </si>
  <si>
    <t>113_120_3_v415m_f1</t>
  </si>
  <si>
    <t>113_180_1_v415m_f1</t>
  </si>
  <si>
    <t>113_180_2_v415m_f1</t>
  </si>
  <si>
    <t>113_180_3_v415m_f1</t>
  </si>
  <si>
    <t>113_240_1_v415m_f1</t>
  </si>
  <si>
    <t>113_240_2_v415m_f1</t>
  </si>
  <si>
    <t>113_240_3_v415m_f1</t>
  </si>
  <si>
    <t>113_300_1_v415m_f1</t>
  </si>
  <si>
    <t>113_300_2_v415m_f1</t>
  </si>
  <si>
    <t>113_300_3_v415m_f1</t>
  </si>
  <si>
    <t>113_360_1_v415m_f1</t>
  </si>
  <si>
    <t>113_360_2_v415m_f1</t>
  </si>
  <si>
    <t>113_360_3_v415m_f1</t>
  </si>
  <si>
    <t>113_420_1_v415m_f1</t>
  </si>
  <si>
    <t>113_420_2_v415m_f1</t>
  </si>
  <si>
    <t>113_420_3_v415m_f1</t>
  </si>
  <si>
    <t>113_480_1_v415m_f1</t>
  </si>
  <si>
    <t>113_480_2_v415m_f1</t>
  </si>
  <si>
    <t>113_480_3_v415m_f1</t>
  </si>
  <si>
    <t>119_60_1_v415m_f1</t>
  </si>
  <si>
    <t>119_60_2_v415m_f1</t>
  </si>
  <si>
    <t>119_60_3_v415m_f1</t>
  </si>
  <si>
    <t>119_120_1_v415m_f1</t>
  </si>
  <si>
    <t>119_120_2_v415m_f1</t>
  </si>
  <si>
    <t>119_120_3_v415m_f1</t>
  </si>
  <si>
    <t>119_180_1_v415m_f1</t>
  </si>
  <si>
    <t>119_180_2_v415m_f1</t>
  </si>
  <si>
    <t>119_180_3_v415m_f1</t>
  </si>
  <si>
    <t>119_240_1_v415m_f1</t>
  </si>
  <si>
    <t>119_240_2_v415m_f1</t>
  </si>
  <si>
    <t>119_240_3_v415m_f1</t>
  </si>
  <si>
    <t>119_300_1_v415m_f1</t>
  </si>
  <si>
    <t>119_300_2_v415m_f1</t>
  </si>
  <si>
    <t>119_300_3_v415m_f1</t>
  </si>
  <si>
    <t>119_360_1_v415m_f1</t>
  </si>
  <si>
    <t>119_360_2_v415m_f1</t>
  </si>
  <si>
    <t>119_360_3_v415m_f1</t>
  </si>
  <si>
    <t>119_420_1_v415m_f1</t>
  </si>
  <si>
    <t>119_420_2_v415m_f1</t>
  </si>
  <si>
    <t>119_420_3_v415m_f1</t>
  </si>
  <si>
    <t>119_480_1_v415m_f1</t>
  </si>
  <si>
    <t>119_480_2_v415m_f1</t>
  </si>
  <si>
    <t>119_480_3_v415m_f1</t>
  </si>
  <si>
    <t>119_ctrl_1_v415m_f1</t>
  </si>
  <si>
    <t>119_ctrl_2_v415m_f1</t>
  </si>
  <si>
    <t>119_ctrl_3_v415m_f1</t>
  </si>
  <si>
    <t>132_60_1_v415m_f1</t>
  </si>
  <si>
    <t>132_60_2_v415m_f1</t>
  </si>
  <si>
    <t>132_60_3_v415m_f1</t>
  </si>
  <si>
    <t>132_120_1_v415m_f1</t>
  </si>
  <si>
    <t>132_120_2_v415m_f1</t>
  </si>
  <si>
    <t>132_120_3_v415m_f1</t>
  </si>
  <si>
    <t>132_180_1_v415m_f1</t>
  </si>
  <si>
    <t>132_180_2_v415m_f1</t>
  </si>
  <si>
    <t>132_180_3_v415m_f1</t>
  </si>
  <si>
    <t>132_240_1_v415m_f1</t>
  </si>
  <si>
    <t>132_240_2_v415m_f1</t>
  </si>
  <si>
    <t>132_240_3_v415m_f1</t>
  </si>
  <si>
    <t>132_300_1_v415m_f1</t>
  </si>
  <si>
    <t>132_300_2_v415m_f1</t>
  </si>
  <si>
    <t>132_300_3_v415m_f1</t>
  </si>
  <si>
    <t>132_360_1_v415m_f1</t>
  </si>
  <si>
    <t>132_360_2_v415m_f1</t>
  </si>
  <si>
    <t>132_360_3_v415m_f1</t>
  </si>
  <si>
    <t>132_420_1_v415m_f1</t>
  </si>
  <si>
    <t>132_420_2_v415m_f1</t>
  </si>
  <si>
    <t>132_420_3_v415m_f1</t>
  </si>
  <si>
    <t>132_480_1_v415m_f1</t>
  </si>
  <si>
    <t>132_480_2_v415m_f1</t>
  </si>
  <si>
    <t>132_480_3_v415m_f1</t>
  </si>
  <si>
    <t>132_540_1_v415m_f1</t>
  </si>
  <si>
    <t>132_540_2_v415m_f1</t>
  </si>
  <si>
    <t>132_540_3_v415m_f1</t>
  </si>
  <si>
    <t>132_600_1_v415m_f1</t>
  </si>
  <si>
    <t>132_600_2_v415m_f1</t>
  </si>
  <si>
    <t>132_600_3_v415m_f1</t>
  </si>
  <si>
    <t>132_660_1_v415m_f1</t>
  </si>
  <si>
    <t>132_660_2_v415m_f1</t>
  </si>
  <si>
    <t>132_660_3_v415m_f1</t>
  </si>
  <si>
    <t>132_ctrl_1_v415m_f1</t>
  </si>
  <si>
    <t>132_ctrl_2_v415m_f1</t>
  </si>
  <si>
    <t>132_ctrl_3_v415m_f1</t>
  </si>
  <si>
    <t>Strain</t>
  </si>
  <si>
    <t>Isoprene Production Rate (nmol isp L-1 culture OD-1 h-1)</t>
  </si>
  <si>
    <t>ZM4_GFP</t>
  </si>
  <si>
    <t>ZM4_IspS</t>
  </si>
  <si>
    <t>ZM4_DXS2_IspS</t>
  </si>
  <si>
    <t>ZM4_DXS2_IspS_IDI</t>
  </si>
  <si>
    <t>ZM4_DXS2_IspG_IspH_IspS</t>
  </si>
  <si>
    <t>ZM4_DXS2_IspG_IspH_IspS_IDI</t>
  </si>
  <si>
    <t>Error</t>
  </si>
  <si>
    <t>Glucose Consumption Rate (mmols glucose h-1)</t>
  </si>
  <si>
    <t>Adjusted Rate (nmol isp mmol glucose -1)</t>
  </si>
  <si>
    <t>Rep4</t>
  </si>
  <si>
    <t>133_ctrl_1_v415m_f1</t>
  </si>
  <si>
    <t>133_ctrl_2_v415m_f1</t>
  </si>
  <si>
    <t>133_ctrl_3_v415m_f1</t>
  </si>
  <si>
    <t>133_60_1_v415m_f1</t>
  </si>
  <si>
    <t>133_60_2_v415m_f1</t>
  </si>
  <si>
    <t>133_60_3_v415m_f1</t>
  </si>
  <si>
    <t>133_120_1_v415m_f1</t>
  </si>
  <si>
    <t>133_120_2_v415m_f1</t>
  </si>
  <si>
    <t>133_120_3_v415m_f1</t>
  </si>
  <si>
    <t>133_180_1_v415m_f1</t>
  </si>
  <si>
    <t>133_180_2_v415m_f1</t>
  </si>
  <si>
    <t>133_180_3_v415m_f1</t>
  </si>
  <si>
    <t>133_240_1_v415m_f1</t>
  </si>
  <si>
    <t>133_240_2_v415m_f1</t>
  </si>
  <si>
    <t>133_240_3_v415m_f1</t>
  </si>
  <si>
    <t>133_300_1_v415m_f1</t>
  </si>
  <si>
    <t>133_300_2_v415m_f1</t>
  </si>
  <si>
    <t>133_300_3_v415m_f1</t>
  </si>
  <si>
    <t>133_360_1_v415m_f1</t>
  </si>
  <si>
    <t>133_360_2_v415m_f1</t>
  </si>
  <si>
    <t>133_360_3_v415m_f1</t>
  </si>
  <si>
    <t>133_420_1_v415m_f1</t>
  </si>
  <si>
    <t>133_420_2_v415m_f1</t>
  </si>
  <si>
    <t>133_420_3_v415m_f1</t>
  </si>
  <si>
    <t>133_480_1_v415m_f1</t>
  </si>
  <si>
    <t>133_480_2_v415m_f1</t>
  </si>
  <si>
    <t>133_480_3_v415m_f1</t>
  </si>
  <si>
    <t>Rep4 (mM)</t>
  </si>
  <si>
    <t>S133_60_1_v415m_f1</t>
  </si>
  <si>
    <t>S133_60_2_v415m_f1</t>
  </si>
  <si>
    <t>S133_60_3_v415m_f1</t>
  </si>
  <si>
    <t>S133_60_4_v415m_f1</t>
  </si>
  <si>
    <t>S133_120_1_v415m_f1</t>
  </si>
  <si>
    <t>S133_120_2_v415m_f1</t>
  </si>
  <si>
    <t>S133_120_3_v415m_f1</t>
  </si>
  <si>
    <t>S133_120_4_v415m_f1</t>
  </si>
  <si>
    <t>S133_180_1_v415m_f1</t>
  </si>
  <si>
    <t>S133_180_2_v415m_f1</t>
  </si>
  <si>
    <t>S133_180_3_v415m_f1</t>
  </si>
  <si>
    <t>S133_180_4_v415m_f1</t>
  </si>
  <si>
    <t>S133_240_1_v415m_f1</t>
  </si>
  <si>
    <t>S133_240_2_v415m_f1</t>
  </si>
  <si>
    <t>S133_240_3_v415m_f1</t>
  </si>
  <si>
    <t>S133_240_4_v415m_f1</t>
  </si>
  <si>
    <t>S133_300_1_v415m_f1</t>
  </si>
  <si>
    <t>S133_300_2_v415m_f1</t>
  </si>
  <si>
    <t>S133_300_3_v415m_f1</t>
  </si>
  <si>
    <t>S133_300_4_v415m_f1</t>
  </si>
  <si>
    <t>S133_330_1_v415m_f1</t>
  </si>
  <si>
    <t>S133_330_2_v415m_f1</t>
  </si>
  <si>
    <t>S133_330_3_v415m_f1</t>
  </si>
  <si>
    <t>S133_330_4_v415m_f1</t>
  </si>
  <si>
    <t>S133_390_1_v415m_f1</t>
  </si>
  <si>
    <t>S133_390_2_v415m_f1</t>
  </si>
  <si>
    <t>S133_390_3_v415m_f1</t>
  </si>
  <si>
    <t>S133_390_4_v415m_f1</t>
  </si>
  <si>
    <t>S133_450_1_v415m_f1</t>
  </si>
  <si>
    <t>S133_450_2_v415m_f1</t>
  </si>
  <si>
    <t>S133_450_3_v415m_f1</t>
  </si>
  <si>
    <t>S133_450_4_v415m_f1</t>
  </si>
  <si>
    <t>S133_510_1_v415m_f1</t>
  </si>
  <si>
    <t>S133_510_2_v415m_f1</t>
  </si>
  <si>
    <t>S133_510_3_v415m_f1</t>
  </si>
  <si>
    <t>S133_510_4_v415m_f1</t>
  </si>
  <si>
    <t>S133_570_1_v415m_f1</t>
  </si>
  <si>
    <t>S133_570_2_v415m_f1</t>
  </si>
  <si>
    <t>S133_570_3_v415m_f1</t>
  </si>
  <si>
    <t>S133_570_4_v415m_f1</t>
  </si>
  <si>
    <t>S133_630_1_v415m_f1</t>
  </si>
  <si>
    <t>S133_630_2_v415m_f1</t>
  </si>
  <si>
    <t>S133_630_3_v415m_f1</t>
  </si>
  <si>
    <t>S133_630_4_v415m_f1</t>
  </si>
  <si>
    <t>S133_690_1_v415m_f1</t>
  </si>
  <si>
    <t>S133_690_2_v415m_f1</t>
  </si>
  <si>
    <t>S133_690_3_v415m_f1</t>
  </si>
  <si>
    <t>S133_690_4_v415m_f1</t>
  </si>
  <si>
    <t>NA</t>
  </si>
  <si>
    <t>Average (mM)</t>
  </si>
  <si>
    <t>Growth Rate (h-1)</t>
  </si>
  <si>
    <t>SE</t>
  </si>
  <si>
    <t>Glucose Consumption Rate (mmol glucose gDCW-1 h-1)</t>
  </si>
  <si>
    <t>ZM4_DXS2</t>
  </si>
  <si>
    <t>ZM4_DXS2_IspG</t>
  </si>
  <si>
    <t>ZM4_DXS2_IspG_IspH</t>
  </si>
  <si>
    <t>ZM4_DXS2_IspS_IspG_IspH, ZMM 20 g/L (OD600)</t>
  </si>
  <si>
    <t>ZM4_DXS2_IspS_IspG_IspH_IDI, ZMM 20 g/L (OD600)</t>
  </si>
  <si>
    <t>molar yield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</si>
</sst>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"/>
    <numFmt numFmtId="168" formatCode="0.0000%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0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4" xfId="0" applyBorder="1"/>
    <xf numFmtId="0" fontId="0" fillId="0" borderId="5" xfId="0" applyBorder="1"/>
    <xf numFmtId="165" fontId="0" fillId="0" borderId="4" xfId="0" applyNumberFormat="1" applyBorder="1"/>
    <xf numFmtId="165" fontId="0" fillId="0" borderId="0" xfId="0" applyNumberFormat="1"/>
    <xf numFmtId="164" fontId="0" fillId="0" borderId="0" xfId="0" applyNumberFormat="1"/>
    <xf numFmtId="164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166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167" fontId="0" fillId="0" borderId="0" xfId="0" applyNumberFormat="1"/>
    <xf numFmtId="0" fontId="2" fillId="0" borderId="0" xfId="0" applyFont="1"/>
    <xf numFmtId="11" fontId="2" fillId="0" borderId="0" xfId="0" applyNumberFormat="1" applyFont="1"/>
    <xf numFmtId="2" fontId="2" fillId="0" borderId="0" xfId="0" applyNumberFormat="1" applyFont="1"/>
    <xf numFmtId="2" fontId="0" fillId="4" borderId="0" xfId="0" applyNumberFormat="1" applyFill="1"/>
    <xf numFmtId="0" fontId="0" fillId="0" borderId="0" xfId="0" applyAlignment="1">
      <alignment vertical="center" wrapText="1"/>
    </xf>
    <xf numFmtId="166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0" fontId="0" fillId="3" borderId="0" xfId="0" applyFill="1" applyAlignment="1">
      <alignment wrapText="1"/>
    </xf>
    <xf numFmtId="168" fontId="0" fillId="0" borderId="0" xfId="1" applyNumberFormat="1" applyFont="1"/>
    <xf numFmtId="0" fontId="0" fillId="3" borderId="0" xfId="0" applyFill="1"/>
    <xf numFmtId="0" fontId="0" fillId="5" borderId="0" xfId="0" applyFill="1"/>
    <xf numFmtId="0" fontId="0" fillId="5" borderId="0" xfId="0" applyFill="1" applyAlignment="1">
      <alignment horizontal="center" wrapText="1"/>
    </xf>
    <xf numFmtId="2" fontId="2" fillId="4" borderId="0" xfId="0" applyNumberFormat="1" applyFont="1" applyFill="1"/>
    <xf numFmtId="168" fontId="0" fillId="0" borderId="0" xfId="1" applyNumberFormat="1" applyFont="1" applyFill="1" applyBorder="1"/>
    <xf numFmtId="0" fontId="4" fillId="0" borderId="0" xfId="0" applyFont="1"/>
    <xf numFmtId="165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999FF"/>
      <color rgb="FFFF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GFP!$P$4</c:f>
              <c:strCache>
                <c:ptCount val="1"/>
                <c:pt idx="0">
                  <c:v>Average, 10g/L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809120734908134"/>
                  <c:y val="0.15699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GFP!$A$8:$A$11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6.5</c:v>
                </c:pt>
              </c:numCache>
            </c:numRef>
          </c:xVal>
          <c:yVal>
            <c:numRef>
              <c:f>GFP!$P$8:$P$11</c:f>
              <c:numCache>
                <c:formatCode>0.000</c:formatCode>
                <c:ptCount val="4"/>
                <c:pt idx="0">
                  <c:v>-1.1332454098882809</c:v>
                </c:pt>
                <c:pt idx="1">
                  <c:v>-0.62926318963750683</c:v>
                </c:pt>
                <c:pt idx="2">
                  <c:v>-0.28790064167512613</c:v>
                </c:pt>
                <c:pt idx="3">
                  <c:v>-0.11133739833546495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27-438E-9AA8-03B8B02B5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GFP!$U$4</c:f>
              <c:strCache>
                <c:ptCount val="1"/>
                <c:pt idx="0">
                  <c:v>Average, 20g/L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420231846019249"/>
                  <c:y val="0.180138888888888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GFP!$A$8:$A$11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6.5</c:v>
                </c:pt>
              </c:numCache>
            </c:numRef>
          </c:xVal>
          <c:yVal>
            <c:numRef>
              <c:f>GFP!$U$8:$U$11</c:f>
              <c:numCache>
                <c:formatCode>0.000</c:formatCode>
                <c:ptCount val="4"/>
                <c:pt idx="0">
                  <c:v>-1.15415635092328</c:v>
                </c:pt>
                <c:pt idx="1">
                  <c:v>-0.65237856445922293</c:v>
                </c:pt>
                <c:pt idx="2">
                  <c:v>-0.3236555275887712</c:v>
                </c:pt>
                <c:pt idx="3">
                  <c:v>-5.5336975102254826E-2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15-4E89-A8A8-8E35CF66A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GFP!$C$33</c:f>
              <c:strCache>
                <c:ptCount val="1"/>
                <c:pt idx="0">
                  <c:v>GFP Rep1, 10 g/L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730905511811026"/>
                  <c:y val="-2.935112277631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GFP!$B$35:$B$37</c:f>
              <c:numCache>
                <c:formatCode>0.0000</c:formatCode>
                <c:ptCount val="3"/>
                <c:pt idx="0">
                  <c:v>0.3888123235344878</c:v>
                </c:pt>
                <c:pt idx="1">
                  <c:v>0.64359306970149688</c:v>
                </c:pt>
                <c:pt idx="2">
                  <c:v>0.90561876599647784</c:v>
                </c:pt>
              </c:numCache>
            </c:numRef>
          </c:xVal>
          <c:yVal>
            <c:numRef>
              <c:f>GFP!$C$35:$C$37</c:f>
              <c:numCache>
                <c:formatCode>0.0</c:formatCode>
                <c:ptCount val="3"/>
                <c:pt idx="0">
                  <c:v>40.610287993862734</c:v>
                </c:pt>
                <c:pt idx="1">
                  <c:v>30.225695253361977</c:v>
                </c:pt>
                <c:pt idx="2">
                  <c:v>16.280079053898962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82-4592-AE4D-73FA3A739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GFP!$G$33</c:f>
              <c:strCache>
                <c:ptCount val="1"/>
                <c:pt idx="0">
                  <c:v>GFP Rep1, 20 g/L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37182852143483"/>
                  <c:y val="8.32250656167979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GFP!$F$35:$F$38</c:f>
              <c:numCache>
                <c:formatCode>0.0000</c:formatCode>
                <c:ptCount val="4"/>
                <c:pt idx="0">
                  <c:v>0.35786411726216089</c:v>
                </c:pt>
                <c:pt idx="1">
                  <c:v>0.5912702064278621</c:v>
                </c:pt>
                <c:pt idx="2">
                  <c:v>0.82127166868514956</c:v>
                </c:pt>
                <c:pt idx="3">
                  <c:v>1.0739706436651955</c:v>
                </c:pt>
              </c:numCache>
            </c:numRef>
          </c:xVal>
          <c:yVal>
            <c:numRef>
              <c:f>GFP!$G$35:$G$38</c:f>
              <c:numCache>
                <c:formatCode>0.00</c:formatCode>
                <c:ptCount val="4"/>
                <c:pt idx="0">
                  <c:v>103.73623268523116</c:v>
                </c:pt>
                <c:pt idx="1">
                  <c:v>88.612787517194235</c:v>
                </c:pt>
                <c:pt idx="2">
                  <c:v>75.671410365036124</c:v>
                </c:pt>
                <c:pt idx="3">
                  <c:v>53.233501890471445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4-48AE-92A3-3F4152B29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20408"/>
        <c:axId val="272220736"/>
      </c:scatterChart>
      <c:valAx>
        <c:axId val="27222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0736"/>
        <c:crosses val="autoZero"/>
        <c:crossBetween val="midCat"/>
      </c:valAx>
      <c:valAx>
        <c:axId val="2722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GFP!$D$33</c:f>
              <c:strCache>
                <c:ptCount val="1"/>
                <c:pt idx="0">
                  <c:v>GFP Rep2, 10 g/L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730905511811026"/>
                  <c:y val="-2.935112277631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GFP!$B$35:$B$37</c:f>
              <c:numCache>
                <c:formatCode>0.0000</c:formatCode>
                <c:ptCount val="3"/>
                <c:pt idx="0">
                  <c:v>0.3888123235344878</c:v>
                </c:pt>
                <c:pt idx="1">
                  <c:v>0.64359306970149688</c:v>
                </c:pt>
                <c:pt idx="2">
                  <c:v>0.90561876599647784</c:v>
                </c:pt>
              </c:numCache>
            </c:numRef>
          </c:xVal>
          <c:yVal>
            <c:numRef>
              <c:f>GFP!$D$35:$D$37</c:f>
              <c:numCache>
                <c:formatCode>0.0</c:formatCode>
                <c:ptCount val="3"/>
                <c:pt idx="0">
                  <c:v>40.129235464198409</c:v>
                </c:pt>
                <c:pt idx="1">
                  <c:v>29.513229727937961</c:v>
                </c:pt>
                <c:pt idx="2">
                  <c:v>15.26677900055266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FA-4A1E-A8A1-E98A4ED39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GFP!$E$33</c:f>
              <c:strCache>
                <c:ptCount val="1"/>
                <c:pt idx="0">
                  <c:v>GFP Rep3, 10 g/L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730905511811026"/>
                  <c:y val="-2.935112277631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GFP!$B$35:$B$37</c:f>
              <c:numCache>
                <c:formatCode>0.0000</c:formatCode>
                <c:ptCount val="3"/>
                <c:pt idx="0">
                  <c:v>0.3888123235344878</c:v>
                </c:pt>
                <c:pt idx="1">
                  <c:v>0.64359306970149688</c:v>
                </c:pt>
                <c:pt idx="2">
                  <c:v>0.90561876599647784</c:v>
                </c:pt>
              </c:numCache>
            </c:numRef>
          </c:xVal>
          <c:yVal>
            <c:numRef>
              <c:f>GFP!$E$35:$E$37</c:f>
              <c:numCache>
                <c:formatCode>0.0</c:formatCode>
                <c:ptCount val="3"/>
                <c:pt idx="0">
                  <c:v>37.765663884521622</c:v>
                </c:pt>
                <c:pt idx="1">
                  <c:v>30.379421007711034</c:v>
                </c:pt>
                <c:pt idx="2">
                  <c:v>16.335555441544276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CA-4481-93D6-F62E68D6C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GFP!$H$33</c:f>
              <c:strCache>
                <c:ptCount val="1"/>
                <c:pt idx="0">
                  <c:v>GFP Rep2, 20 g/L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37182852143483"/>
                  <c:y val="8.32250656167979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GFP!$F$35:$F$38</c:f>
              <c:numCache>
                <c:formatCode>0.0000</c:formatCode>
                <c:ptCount val="4"/>
                <c:pt idx="0">
                  <c:v>0.35786411726216089</c:v>
                </c:pt>
                <c:pt idx="1">
                  <c:v>0.5912702064278621</c:v>
                </c:pt>
                <c:pt idx="2">
                  <c:v>0.82127166868514956</c:v>
                </c:pt>
                <c:pt idx="3">
                  <c:v>1.0739706436651955</c:v>
                </c:pt>
              </c:numCache>
            </c:numRef>
          </c:xVal>
          <c:yVal>
            <c:numRef>
              <c:f>GFP!$H$35:$H$38</c:f>
              <c:numCache>
                <c:formatCode>0.00</c:formatCode>
                <c:ptCount val="4"/>
                <c:pt idx="0">
                  <c:v>100.9087850130441</c:v>
                </c:pt>
                <c:pt idx="1">
                  <c:v>90.062345224596598</c:v>
                </c:pt>
                <c:pt idx="2">
                  <c:v>75.651017218089848</c:v>
                </c:pt>
                <c:pt idx="3">
                  <c:v>53.453010605503849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DF-4E3D-8384-5CC69A96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20408"/>
        <c:axId val="272220736"/>
      </c:scatterChart>
      <c:valAx>
        <c:axId val="27222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0736"/>
        <c:crosses val="autoZero"/>
        <c:crossBetween val="midCat"/>
      </c:valAx>
      <c:valAx>
        <c:axId val="2722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GFP!$I$33</c:f>
              <c:strCache>
                <c:ptCount val="1"/>
                <c:pt idx="0">
                  <c:v>GFP Rep3, 20 g/L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37182852143483"/>
                  <c:y val="8.32250656167979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GFP!$F$35:$F$38</c:f>
              <c:numCache>
                <c:formatCode>0.0000</c:formatCode>
                <c:ptCount val="4"/>
                <c:pt idx="0">
                  <c:v>0.35786411726216089</c:v>
                </c:pt>
                <c:pt idx="1">
                  <c:v>0.5912702064278621</c:v>
                </c:pt>
                <c:pt idx="2">
                  <c:v>0.82127166868514956</c:v>
                </c:pt>
                <c:pt idx="3">
                  <c:v>1.0739706436651955</c:v>
                </c:pt>
              </c:numCache>
            </c:numRef>
          </c:xVal>
          <c:yVal>
            <c:numRef>
              <c:f>GFP!$I$35:$I$38</c:f>
              <c:numCache>
                <c:formatCode>0.00</c:formatCode>
                <c:ptCount val="4"/>
                <c:pt idx="0">
                  <c:v>99.33926983063381</c:v>
                </c:pt>
                <c:pt idx="1">
                  <c:v>90.204923877379812</c:v>
                </c:pt>
                <c:pt idx="2">
                  <c:v>81.539240499893253</c:v>
                </c:pt>
                <c:pt idx="3">
                  <c:v>55.585980762630157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9-472F-A3D3-14CD9B9F5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20408"/>
        <c:axId val="272220736"/>
      </c:scatterChart>
      <c:valAx>
        <c:axId val="27222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0736"/>
        <c:crosses val="autoZero"/>
        <c:crossBetween val="midCat"/>
      </c:valAx>
      <c:valAx>
        <c:axId val="2722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baseline="0">
                <a:effectLst/>
              </a:rPr>
              <a:t>GFP</a:t>
            </a:r>
            <a:endParaRPr lang="en-US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GFP growth</c:v>
          </c:tx>
          <c:spPr>
            <a:ln w="381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3"/>
            <c:marker>
              <c:symbol val="circle"/>
              <c:size val="6"/>
              <c:spPr>
                <a:solidFill>
                  <a:srgbClr val="FF0000"/>
                </a:solidFill>
                <a:ln w="3810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042-40EA-87D3-64FD32C268AB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FF0000"/>
                </a:solidFill>
                <a:ln w="38100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42-40EA-87D3-64FD32C268AB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FF0000"/>
                </a:solidFill>
                <a:ln w="38100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042-40EA-87D3-64FD32C268AB}"/>
              </c:ext>
            </c:extLst>
          </c:dPt>
          <c:xVal>
            <c:numRef>
              <c:f>GFP!$A$5:$A$13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</c:numCache>
            </c:numRef>
          </c:xVal>
          <c:yVal>
            <c:numRef>
              <c:f>GFP!$J$5:$J$13</c:f>
              <c:numCache>
                <c:formatCode>0.000</c:formatCode>
                <c:ptCount val="9"/>
                <c:pt idx="0">
                  <c:v>7.2666666666666671E-2</c:v>
                </c:pt>
                <c:pt idx="1">
                  <c:v>0.10833333333333334</c:v>
                </c:pt>
                <c:pt idx="2">
                  <c:v>0.17633333333333334</c:v>
                </c:pt>
                <c:pt idx="3">
                  <c:v>0.3153333333333333</c:v>
                </c:pt>
                <c:pt idx="4">
                  <c:v>0.52100000000000002</c:v>
                </c:pt>
                <c:pt idx="5">
                  <c:v>0.72366666666666679</c:v>
                </c:pt>
                <c:pt idx="6">
                  <c:v>0.94633333333333336</c:v>
                </c:pt>
                <c:pt idx="7">
                  <c:v>1.0523333333333333</c:v>
                </c:pt>
                <c:pt idx="8">
                  <c:v>1.1023333333333334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D0-43E4-9128-52178E7E4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173856"/>
        <c:axId val="718180744"/>
      </c:scatterChart>
      <c:scatterChart>
        <c:scatterStyle val="lineMarker"/>
        <c:varyColors val="0"/>
        <c:ser>
          <c:idx val="1"/>
          <c:order val="1"/>
          <c:tx>
            <c:v>Glucose concentration in the media</c:v>
          </c:tx>
          <c:spPr>
            <a:ln w="38100" cap="rnd">
              <a:solidFill>
                <a:srgbClr val="9999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999FF"/>
              </a:solidFill>
              <a:ln w="38100">
                <a:solidFill>
                  <a:srgbClr val="9999FF"/>
                </a:solidFill>
              </a:ln>
              <a:effectLst/>
            </c:spPr>
          </c:marker>
          <c:xVal>
            <c:numRef>
              <c:f>GFP!$A$34:$A$40</c:f>
              <c:numCache>
                <c:formatCode>General</c:formatCode>
                <c:ptCount val="7"/>
                <c:pt idx="0">
                  <c:v>0</c:v>
                </c:pt>
                <c:pt idx="1">
                  <c:v>3.5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</c:numCache>
            </c:numRef>
          </c:xVal>
          <c:yVal>
            <c:numRef>
              <c:f>GFP!$J$34:$J$40</c:f>
              <c:numCache>
                <c:formatCode>0.00</c:formatCode>
                <c:ptCount val="7"/>
                <c:pt idx="0">
                  <c:v>120.48001212667991</c:v>
                </c:pt>
                <c:pt idx="1">
                  <c:v>101.32809584296967</c:v>
                </c:pt>
                <c:pt idx="2">
                  <c:v>89.626685539723553</c:v>
                </c:pt>
                <c:pt idx="3">
                  <c:v>77.620556027673075</c:v>
                </c:pt>
                <c:pt idx="4">
                  <c:v>54.09083108620181</c:v>
                </c:pt>
                <c:pt idx="5">
                  <c:v>36.717558631723549</c:v>
                </c:pt>
                <c:pt idx="6">
                  <c:v>23.471391131621246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D0-43E4-9128-52178E7E4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916016"/>
        <c:axId val="973915688"/>
      </c:scatterChart>
      <c:valAx>
        <c:axId val="71817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low"/>
        <c:spPr>
          <a:noFill/>
          <a:ln w="158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180744"/>
        <c:crosses val="autoZero"/>
        <c:crossBetween val="midCat"/>
        <c:minorUnit val="0.5"/>
      </c:valAx>
      <c:valAx>
        <c:axId val="71818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OD</a:t>
                </a:r>
                <a:r>
                  <a:rPr lang="en-US" sz="1600" baseline="-25000"/>
                  <a:t>600</a:t>
                </a:r>
                <a:r>
                  <a:rPr lang="en-US" sz="1600"/>
                  <a:t> (Abs)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173856"/>
        <c:crosses val="autoZero"/>
        <c:crossBetween val="midCat"/>
        <c:minorUnit val="0.1"/>
      </c:valAx>
      <c:valAx>
        <c:axId val="9739156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Glucose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158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916016"/>
        <c:crosses val="max"/>
        <c:crossBetween val="midCat"/>
        <c:minorUnit val="10"/>
      </c:valAx>
      <c:valAx>
        <c:axId val="973916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3915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IspS!$K$4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809120734908134"/>
                  <c:y val="0.15699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IspS!$A$9:$A$12</c:f>
              <c:numCache>
                <c:formatCode>General</c:formatCode>
                <c:ptCount val="4"/>
                <c:pt idx="0">
                  <c:v>3.75</c:v>
                </c:pt>
                <c:pt idx="1">
                  <c:v>4.75</c:v>
                </c:pt>
                <c:pt idx="2">
                  <c:v>5.75</c:v>
                </c:pt>
                <c:pt idx="3">
                  <c:v>6.75</c:v>
                </c:pt>
              </c:numCache>
            </c:numRef>
          </c:xVal>
          <c:yVal>
            <c:numRef>
              <c:f>IspS!$K$9:$K$12</c:f>
              <c:numCache>
                <c:formatCode>0.000</c:formatCode>
                <c:ptCount val="4"/>
                <c:pt idx="0">
                  <c:v>-1.151072446668673</c:v>
                </c:pt>
                <c:pt idx="1">
                  <c:v>-0.69324652869688641</c:v>
                </c:pt>
                <c:pt idx="2">
                  <c:v>-0.28200592102050076</c:v>
                </c:pt>
                <c:pt idx="3">
                  <c:v>-7.9409614782769922E-2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BD-4ADF-8675-7D8A94F81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IspS!$C$33</c:f>
              <c:strCache>
                <c:ptCount val="1"/>
                <c:pt idx="0">
                  <c:v>Rep1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77384076990376"/>
                  <c:y val="-7.75500450503388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IspS!$B$37:$B$40</c:f>
              <c:numCache>
                <c:formatCode>0.0000</c:formatCode>
                <c:ptCount val="4"/>
                <c:pt idx="0">
                  <c:v>0.24279640781412024</c:v>
                </c:pt>
                <c:pt idx="1">
                  <c:v>0.35889998600560769</c:v>
                </c:pt>
                <c:pt idx="2">
                  <c:v>0.56728132666850528</c:v>
                </c:pt>
                <c:pt idx="3">
                  <c:v>0.85583842816721822</c:v>
                </c:pt>
              </c:numCache>
            </c:numRef>
          </c:xVal>
          <c:yVal>
            <c:numRef>
              <c:f>IspS!$C$37:$C$40</c:f>
              <c:numCache>
                <c:formatCode>0.00</c:formatCode>
                <c:ptCount val="4"/>
                <c:pt idx="0">
                  <c:v>128.39637462985144</c:v>
                </c:pt>
                <c:pt idx="1">
                  <c:v>113.89886904837692</c:v>
                </c:pt>
                <c:pt idx="2">
                  <c:v>102.38351285263616</c:v>
                </c:pt>
                <c:pt idx="3">
                  <c:v>84.714996310600696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83-44DE-BC09-3F4B2ED22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IspS!$D$33</c:f>
              <c:strCache>
                <c:ptCount val="1"/>
                <c:pt idx="0">
                  <c:v>Rep2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730905511811026"/>
                  <c:y val="-2.935112277631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IspS!$B$37:$B$40</c:f>
              <c:numCache>
                <c:formatCode>0.0000</c:formatCode>
                <c:ptCount val="4"/>
                <c:pt idx="0">
                  <c:v>0.24279640781412024</c:v>
                </c:pt>
                <c:pt idx="1">
                  <c:v>0.35889998600560769</c:v>
                </c:pt>
                <c:pt idx="2">
                  <c:v>0.56728132666850528</c:v>
                </c:pt>
                <c:pt idx="3">
                  <c:v>0.85583842816721822</c:v>
                </c:pt>
              </c:numCache>
            </c:numRef>
          </c:xVal>
          <c:yVal>
            <c:numRef>
              <c:f>IspS!$D$37:$D$40</c:f>
              <c:numCache>
                <c:formatCode>0.00</c:formatCode>
                <c:ptCount val="4"/>
                <c:pt idx="0">
                  <c:v>128.56219502977265</c:v>
                </c:pt>
                <c:pt idx="1">
                  <c:v>130.98910899126966</c:v>
                </c:pt>
                <c:pt idx="2">
                  <c:v>98.947301012168353</c:v>
                </c:pt>
                <c:pt idx="3">
                  <c:v>87.003105804940418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07-498D-BAE7-6B82B8A20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IspS!$E$33</c:f>
              <c:strCache>
                <c:ptCount val="1"/>
                <c:pt idx="0">
                  <c:v>Rep3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730905511811026"/>
                  <c:y val="-2.935112277631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IspS!$B$37:$B$41</c:f>
              <c:numCache>
                <c:formatCode>0.0000</c:formatCode>
                <c:ptCount val="5"/>
                <c:pt idx="0">
                  <c:v>0.24279640781412024</c:v>
                </c:pt>
                <c:pt idx="1">
                  <c:v>0.35889998600560769</c:v>
                </c:pt>
                <c:pt idx="2">
                  <c:v>0.56728132666850528</c:v>
                </c:pt>
                <c:pt idx="3">
                  <c:v>0.85583842816721822</c:v>
                </c:pt>
                <c:pt idx="4">
                  <c:v>1.0479577041322856</c:v>
                </c:pt>
              </c:numCache>
            </c:numRef>
          </c:xVal>
          <c:yVal>
            <c:numRef>
              <c:f>IspS!$E$37:$E$41</c:f>
              <c:numCache>
                <c:formatCode>0.00</c:formatCode>
                <c:ptCount val="5"/>
                <c:pt idx="0">
                  <c:v>110.39989303360306</c:v>
                </c:pt>
                <c:pt idx="1">
                  <c:v>120.02129402515362</c:v>
                </c:pt>
                <c:pt idx="2">
                  <c:v>103.7004605483959</c:v>
                </c:pt>
                <c:pt idx="3">
                  <c:v>79.887322423096236</c:v>
                </c:pt>
                <c:pt idx="4">
                  <c:v>56.743459408051457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46-46AD-9BB8-DBDCBB04C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IspS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IspS growth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7"/>
            <c:marker>
              <c:symbol val="circle"/>
              <c:size val="6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2857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C5C-406E-9BBB-1E45FAF0BED2}"/>
              </c:ext>
            </c:extLst>
          </c:dPt>
          <c:xVal>
            <c:numRef>
              <c:f>IspS!$A$5:$A$14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3.75</c:v>
                </c:pt>
                <c:pt idx="5">
                  <c:v>4.75</c:v>
                </c:pt>
                <c:pt idx="6">
                  <c:v>5.75</c:v>
                </c:pt>
                <c:pt idx="7">
                  <c:v>6.75</c:v>
                </c:pt>
                <c:pt idx="8">
                  <c:v>7.75</c:v>
                </c:pt>
                <c:pt idx="9">
                  <c:v>8.75</c:v>
                </c:pt>
              </c:numCache>
            </c:numRef>
          </c:xVal>
          <c:yVal>
            <c:numRef>
              <c:f>IspS!$E$5:$E$14</c:f>
              <c:numCache>
                <c:formatCode>0.000</c:formatCode>
                <c:ptCount val="10"/>
                <c:pt idx="0">
                  <c:v>4.9000000000000009E-2</c:v>
                </c:pt>
                <c:pt idx="1">
                  <c:v>8.6000000000000007E-2</c:v>
                </c:pt>
                <c:pt idx="2">
                  <c:v>0.13633333333333333</c:v>
                </c:pt>
                <c:pt idx="3">
                  <c:v>0.214</c:v>
                </c:pt>
                <c:pt idx="4">
                  <c:v>0.31633333333333336</c:v>
                </c:pt>
                <c:pt idx="5">
                  <c:v>0.5</c:v>
                </c:pt>
                <c:pt idx="6">
                  <c:v>0.7543333333333333</c:v>
                </c:pt>
                <c:pt idx="7">
                  <c:v>0.92366666666666675</c:v>
                </c:pt>
                <c:pt idx="8">
                  <c:v>1.0133333333333334</c:v>
                </c:pt>
                <c:pt idx="9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2-43C6-8D80-EDEF1D07C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979360"/>
        <c:axId val="944987232"/>
      </c:scatterChart>
      <c:scatterChart>
        <c:scatterStyle val="lineMarker"/>
        <c:varyColors val="0"/>
        <c:ser>
          <c:idx val="1"/>
          <c:order val="1"/>
          <c:tx>
            <c:v>Glucose concentration in the media</c:v>
          </c:tx>
          <c:spPr>
            <a:ln w="28575" cap="rnd">
              <a:solidFill>
                <a:srgbClr val="9999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999FF"/>
              </a:solidFill>
              <a:ln w="28575">
                <a:solidFill>
                  <a:srgbClr val="9999FF"/>
                </a:solidFill>
              </a:ln>
              <a:effectLst/>
            </c:spPr>
          </c:marker>
          <c:xVal>
            <c:numRef>
              <c:f>(IspS!$A$34,IspS!$A$37:$A$43)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3.75</c:v>
                </c:pt>
                <c:pt idx="3">
                  <c:v>4.75</c:v>
                </c:pt>
                <c:pt idx="4">
                  <c:v>5.75</c:v>
                </c:pt>
                <c:pt idx="5">
                  <c:v>6.75</c:v>
                </c:pt>
                <c:pt idx="6">
                  <c:v>7.75</c:v>
                </c:pt>
                <c:pt idx="7">
                  <c:v>8.75</c:v>
                </c:pt>
              </c:numCache>
            </c:numRef>
          </c:xVal>
          <c:yVal>
            <c:numRef>
              <c:f>(IspS!$F$34,IspS!$F$37:$F$43)</c:f>
              <c:numCache>
                <c:formatCode>0.00</c:formatCode>
                <c:ptCount val="8"/>
                <c:pt idx="0">
                  <c:v>126.75162115294098</c:v>
                </c:pt>
                <c:pt idx="1">
                  <c:v>122.4528208977424</c:v>
                </c:pt>
                <c:pt idx="2">
                  <c:v>121.63642402160008</c:v>
                </c:pt>
                <c:pt idx="3">
                  <c:v>101.67709147106679</c:v>
                </c:pt>
                <c:pt idx="4">
                  <c:v>83.86847484621245</c:v>
                </c:pt>
                <c:pt idx="5">
                  <c:v>57.355748553670715</c:v>
                </c:pt>
                <c:pt idx="6">
                  <c:v>41.496873727450357</c:v>
                </c:pt>
                <c:pt idx="7">
                  <c:v>27.258909387726533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B2-43C6-8D80-EDEF1D07C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73144"/>
        <c:axId val="841472816"/>
      </c:scatterChart>
      <c:valAx>
        <c:axId val="944979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Time (hrs)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87232"/>
        <c:crosses val="autoZero"/>
        <c:crossBetween val="midCat"/>
        <c:minorUnit val="0.5"/>
      </c:valAx>
      <c:valAx>
        <c:axId val="94498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OD</a:t>
                </a:r>
                <a:r>
                  <a:rPr lang="en-US" sz="1800" b="0" i="0" baseline="-25000">
                    <a:effectLst/>
                  </a:rPr>
                  <a:t>600</a:t>
                </a:r>
                <a:r>
                  <a:rPr lang="en-US" sz="1800" b="0" i="0" baseline="0">
                    <a:effectLst/>
                  </a:rPr>
                  <a:t> (Abs)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79360"/>
        <c:crosses val="autoZero"/>
        <c:crossBetween val="midCat"/>
      </c:valAx>
      <c:valAx>
        <c:axId val="8414728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Glucose (mM)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73144"/>
        <c:crosses val="max"/>
        <c:crossBetween val="midCat"/>
      </c:valAx>
      <c:valAx>
        <c:axId val="841473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1472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DXS2_IspS!$P$4</c:f>
              <c:strCache>
                <c:ptCount val="1"/>
                <c:pt idx="0">
                  <c:v>Average, 10g/L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809120734908134"/>
                  <c:y val="0.15699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DXS2_IspS!$A$8:$A$11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6.5</c:v>
                </c:pt>
              </c:numCache>
            </c:numRef>
          </c:xVal>
          <c:yVal>
            <c:numRef>
              <c:f>DXS2_IspS!$P$8:$P$11</c:f>
              <c:numCache>
                <c:formatCode>0.000</c:formatCode>
                <c:ptCount val="4"/>
                <c:pt idx="0">
                  <c:v>-1.186423832703644</c:v>
                </c:pt>
                <c:pt idx="1">
                  <c:v>-0.75317285125000633</c:v>
                </c:pt>
                <c:pt idx="2">
                  <c:v>-0.46710904168098644</c:v>
                </c:pt>
                <c:pt idx="3">
                  <c:v>-0.22149714871853857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3-4510-9F28-1A8F02BBA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DXS2_IspS!$U$4</c:f>
              <c:strCache>
                <c:ptCount val="1"/>
                <c:pt idx="0">
                  <c:v>Average, 20g/L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420231846019249"/>
                  <c:y val="0.180138888888888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DXS2_IspS!$A$8:$A$11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6.5</c:v>
                </c:pt>
              </c:numCache>
            </c:numRef>
          </c:xVal>
          <c:yVal>
            <c:numRef>
              <c:f>DXS2_IspS!$U$8:$U$11</c:f>
              <c:numCache>
                <c:formatCode>0.000</c:formatCode>
                <c:ptCount val="4"/>
                <c:pt idx="0">
                  <c:v>-1.2242254914174824</c:v>
                </c:pt>
                <c:pt idx="1">
                  <c:v>-0.78406228347206752</c:v>
                </c:pt>
                <c:pt idx="2">
                  <c:v>-0.45061759096340065</c:v>
                </c:pt>
                <c:pt idx="3">
                  <c:v>-0.16259145573995623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FB-475E-B8BB-F15E6E4EC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DXS2_IspS!$C$33</c:f>
              <c:strCache>
                <c:ptCount val="1"/>
                <c:pt idx="0">
                  <c:v>DXS2_IspS Rep1, 10 g/L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730905511811026"/>
                  <c:y val="-2.935112277631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DXS2_IspS!$B$34:$B$37</c:f>
              <c:numCache>
                <c:formatCode>0.000</c:formatCode>
                <c:ptCount val="4"/>
                <c:pt idx="0">
                  <c:v>8.1045556536518903E-2</c:v>
                </c:pt>
                <c:pt idx="1">
                  <c:v>0.39488154142261339</c:v>
                </c:pt>
                <c:pt idx="2">
                  <c:v>0.60913495418138952</c:v>
                </c:pt>
                <c:pt idx="3">
                  <c:v>0.81088665875102151</c:v>
                </c:pt>
              </c:numCache>
            </c:numRef>
          </c:xVal>
          <c:yVal>
            <c:numRef>
              <c:f>DXS2_IspS!$C$34:$C$37</c:f>
              <c:numCache>
                <c:formatCode>0.00</c:formatCode>
                <c:ptCount val="4"/>
                <c:pt idx="0">
                  <c:v>57.988491570812208</c:v>
                </c:pt>
                <c:pt idx="1">
                  <c:v>43.583875475638642</c:v>
                </c:pt>
                <c:pt idx="2">
                  <c:v>35.808772853890275</c:v>
                </c:pt>
                <c:pt idx="3">
                  <c:v>24.793423527374259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57-442E-83B5-EAFBBC3F2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DXS2_IspS!$G$33</c:f>
              <c:strCache>
                <c:ptCount val="1"/>
                <c:pt idx="0">
                  <c:v>DXS2_IspS Rep1, 20 g/L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37182852143483"/>
                  <c:y val="8.32250656167979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DXS2_IspS!$F$35:$F$38</c:f>
              <c:numCache>
                <c:formatCode>0.000</c:formatCode>
                <c:ptCount val="4"/>
                <c:pt idx="0">
                  <c:v>0.34380150915690727</c:v>
                </c:pt>
                <c:pt idx="1">
                  <c:v>0.53402275231855234</c:v>
                </c:pt>
                <c:pt idx="2">
                  <c:v>0.7452930674693955</c:v>
                </c:pt>
                <c:pt idx="3">
                  <c:v>0.99398395504548021</c:v>
                </c:pt>
              </c:numCache>
            </c:numRef>
          </c:xVal>
          <c:yVal>
            <c:numRef>
              <c:f>DXS2_IspS!$G$35:$G$38</c:f>
              <c:numCache>
                <c:formatCode>0.00</c:formatCode>
                <c:ptCount val="4"/>
                <c:pt idx="0">
                  <c:v>99.012737569208838</c:v>
                </c:pt>
                <c:pt idx="1">
                  <c:v>90.699461128126586</c:v>
                </c:pt>
                <c:pt idx="2">
                  <c:v>79.882870744189134</c:v>
                </c:pt>
                <c:pt idx="3">
                  <c:v>61.512822292748936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7C-45C1-9D1B-F17EF0A28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20408"/>
        <c:axId val="272220736"/>
      </c:scatterChart>
      <c:valAx>
        <c:axId val="27222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0736"/>
        <c:crosses val="autoZero"/>
        <c:crossBetween val="midCat"/>
      </c:valAx>
      <c:valAx>
        <c:axId val="2722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DXS2_IspS!$D$33</c:f>
              <c:strCache>
                <c:ptCount val="1"/>
                <c:pt idx="0">
                  <c:v>DXS2_IspS Rep2, 10 g/L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730905511811026"/>
                  <c:y val="-2.935112277631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DXS2_IspS!$B$34:$B$37</c:f>
              <c:numCache>
                <c:formatCode>0.000</c:formatCode>
                <c:ptCount val="4"/>
                <c:pt idx="0">
                  <c:v>8.1045556536518903E-2</c:v>
                </c:pt>
                <c:pt idx="1">
                  <c:v>0.39488154142261339</c:v>
                </c:pt>
                <c:pt idx="2">
                  <c:v>0.60913495418138952</c:v>
                </c:pt>
                <c:pt idx="3">
                  <c:v>0.81088665875102151</c:v>
                </c:pt>
              </c:numCache>
            </c:numRef>
          </c:xVal>
          <c:yVal>
            <c:numRef>
              <c:f>DXS2_IspS!$D$34:$D$37</c:f>
              <c:numCache>
                <c:formatCode>0.00</c:formatCode>
                <c:ptCount val="4"/>
                <c:pt idx="0">
                  <c:v>56.996920853212984</c:v>
                </c:pt>
                <c:pt idx="1">
                  <c:v>41.278331319226844</c:v>
                </c:pt>
                <c:pt idx="2">
                  <c:v>32.870661961881055</c:v>
                </c:pt>
                <c:pt idx="3">
                  <c:v>23.113791510186608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7B-4572-8FA4-C6F94D6A8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DXS2_IspS!$E$33</c:f>
              <c:strCache>
                <c:ptCount val="1"/>
                <c:pt idx="0">
                  <c:v>DXS2_IspS Rep3, 10 g/L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730905511811026"/>
                  <c:y val="-2.935112277631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DXS2_IspS!$B$34:$B$37</c:f>
              <c:numCache>
                <c:formatCode>0.000</c:formatCode>
                <c:ptCount val="4"/>
                <c:pt idx="0">
                  <c:v>8.1045556536518903E-2</c:v>
                </c:pt>
                <c:pt idx="1">
                  <c:v>0.39488154142261339</c:v>
                </c:pt>
                <c:pt idx="2">
                  <c:v>0.60913495418138952</c:v>
                </c:pt>
                <c:pt idx="3">
                  <c:v>0.81088665875102151</c:v>
                </c:pt>
              </c:numCache>
            </c:numRef>
          </c:xVal>
          <c:yVal>
            <c:numRef>
              <c:f>DXS2_IspS!$E$34:$E$37</c:f>
              <c:numCache>
                <c:formatCode>0.00</c:formatCode>
                <c:ptCount val="4"/>
                <c:pt idx="0">
                  <c:v>55.817449478301775</c:v>
                </c:pt>
                <c:pt idx="1">
                  <c:v>41.268742023230296</c:v>
                </c:pt>
                <c:pt idx="2">
                  <c:v>33.164364288021254</c:v>
                </c:pt>
                <c:pt idx="3">
                  <c:v>21.661327988553616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65-499B-BE50-7014ED4D1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DXS2_IspS!$H$33</c:f>
              <c:strCache>
                <c:ptCount val="1"/>
                <c:pt idx="0">
                  <c:v>DXS2_IspS Rep2, 20 g/L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37182852143483"/>
                  <c:y val="8.32250656167979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DXS2_IspS!$F$35:$F$38</c:f>
              <c:numCache>
                <c:formatCode>0.000</c:formatCode>
                <c:ptCount val="4"/>
                <c:pt idx="0">
                  <c:v>0.34380150915690727</c:v>
                </c:pt>
                <c:pt idx="1">
                  <c:v>0.53402275231855234</c:v>
                </c:pt>
                <c:pt idx="2">
                  <c:v>0.7452930674693955</c:v>
                </c:pt>
                <c:pt idx="3">
                  <c:v>0.99398395504548021</c:v>
                </c:pt>
              </c:numCache>
            </c:numRef>
          </c:xVal>
          <c:yVal>
            <c:numRef>
              <c:f>DXS2_IspS!$H$35:$H$38</c:f>
              <c:numCache>
                <c:formatCode>0.00</c:formatCode>
                <c:ptCount val="4"/>
                <c:pt idx="0">
                  <c:v>101.37054683312732</c:v>
                </c:pt>
                <c:pt idx="1">
                  <c:v>97.092001793839529</c:v>
                </c:pt>
                <c:pt idx="2">
                  <c:v>78.067194141913049</c:v>
                </c:pt>
                <c:pt idx="3">
                  <c:v>62.428550131752026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2C-40E5-B116-AAC6ADB20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20408"/>
        <c:axId val="272220736"/>
      </c:scatterChart>
      <c:valAx>
        <c:axId val="27222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0736"/>
        <c:crosses val="autoZero"/>
        <c:crossBetween val="midCat"/>
      </c:valAx>
      <c:valAx>
        <c:axId val="2722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DXS2_IspS!$I$33</c:f>
              <c:strCache>
                <c:ptCount val="1"/>
                <c:pt idx="0">
                  <c:v>DXS2_IspS Rep3, 20 g/L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37182852143483"/>
                  <c:y val="8.32250656167979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DXS2_IspS!$F$35:$F$39</c:f>
              <c:numCache>
                <c:formatCode>0.000</c:formatCode>
                <c:ptCount val="5"/>
                <c:pt idx="0">
                  <c:v>0.34380150915690727</c:v>
                </c:pt>
                <c:pt idx="1">
                  <c:v>0.53402275231855234</c:v>
                </c:pt>
                <c:pt idx="2">
                  <c:v>0.7452930674693955</c:v>
                </c:pt>
                <c:pt idx="3">
                  <c:v>0.99398395504548021</c:v>
                </c:pt>
                <c:pt idx="4">
                  <c:v>1.1674439001416526</c:v>
                </c:pt>
              </c:numCache>
            </c:numRef>
          </c:xVal>
          <c:yVal>
            <c:numRef>
              <c:f>DXS2_IspS!$I$35:$I$39</c:f>
              <c:numCache>
                <c:formatCode>0.00</c:formatCode>
                <c:ptCount val="5"/>
                <c:pt idx="0">
                  <c:v>92.540209791075426</c:v>
                </c:pt>
                <c:pt idx="1">
                  <c:v>81.954489366757912</c:v>
                </c:pt>
                <c:pt idx="2">
                  <c:v>84.729533819347054</c:v>
                </c:pt>
                <c:pt idx="3">
                  <c:v>69.675718394793478</c:v>
                </c:pt>
                <c:pt idx="4">
                  <c:v>44.407242656061072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55-4FC0-B543-532138C09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20408"/>
        <c:axId val="272220736"/>
      </c:scatterChart>
      <c:valAx>
        <c:axId val="27222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0736"/>
        <c:crosses val="autoZero"/>
        <c:crossBetween val="midCat"/>
      </c:valAx>
      <c:valAx>
        <c:axId val="2722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DXS2_IspS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DXS2_IspS growth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3"/>
            <c:marker>
              <c:symbol val="circle"/>
              <c:size val="6"/>
              <c:spPr>
                <a:solidFill>
                  <a:srgbClr val="FF0000"/>
                </a:solidFill>
                <a:ln w="285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DD2-4C85-92C4-5D5B970F7FB5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FF0000"/>
                </a:solidFill>
                <a:ln w="2857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D2-4C85-92C4-5D5B970F7FB5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FF0000"/>
                </a:solidFill>
                <a:ln w="2857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DD2-4C85-92C4-5D5B970F7FB5}"/>
              </c:ext>
            </c:extLst>
          </c:dPt>
          <c:xVal>
            <c:numRef>
              <c:f>DXS2_IspS!$A$5:$A$13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</c:numCache>
            </c:numRef>
          </c:xVal>
          <c:yVal>
            <c:numRef>
              <c:f>DXS2_IspS!$J$5:$J$13</c:f>
              <c:numCache>
                <c:formatCode>0.000</c:formatCode>
                <c:ptCount val="9"/>
                <c:pt idx="0">
                  <c:v>6.433333333333334E-2</c:v>
                </c:pt>
                <c:pt idx="1">
                  <c:v>9.4333333333333338E-2</c:v>
                </c:pt>
                <c:pt idx="2">
                  <c:v>0.14633333333333334</c:v>
                </c:pt>
                <c:pt idx="3">
                  <c:v>0.29399999999999998</c:v>
                </c:pt>
                <c:pt idx="4">
                  <c:v>0.45666666666666672</c:v>
                </c:pt>
                <c:pt idx="5">
                  <c:v>0.63733333333333331</c:v>
                </c:pt>
                <c:pt idx="6">
                  <c:v>0.85</c:v>
                </c:pt>
                <c:pt idx="7">
                  <c:v>0.99833333333333341</c:v>
                </c:pt>
                <c:pt idx="8">
                  <c:v>1.0873333333333333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93-4220-84CB-59561E151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979360"/>
        <c:axId val="944987232"/>
      </c:scatterChart>
      <c:scatterChart>
        <c:scatterStyle val="lineMarker"/>
        <c:varyColors val="0"/>
        <c:ser>
          <c:idx val="1"/>
          <c:order val="1"/>
          <c:tx>
            <c:v>Glucose concentration in the media</c:v>
          </c:tx>
          <c:spPr>
            <a:ln w="28575" cap="rnd">
              <a:solidFill>
                <a:srgbClr val="9999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999FF"/>
              </a:solidFill>
              <a:ln w="28575">
                <a:solidFill>
                  <a:srgbClr val="9999FF"/>
                </a:solidFill>
              </a:ln>
              <a:effectLst/>
            </c:spPr>
          </c:marker>
          <c:xVal>
            <c:numRef>
              <c:f>DXS2_IspS!$A$34:$A$40</c:f>
              <c:numCache>
                <c:formatCode>General</c:formatCode>
                <c:ptCount val="7"/>
                <c:pt idx="0">
                  <c:v>0</c:v>
                </c:pt>
                <c:pt idx="1">
                  <c:v>3.5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</c:numCache>
            </c:numRef>
          </c:xVal>
          <c:yVal>
            <c:numRef>
              <c:f>DXS2_IspS!$J$34:$J$40</c:f>
              <c:numCache>
                <c:formatCode>0.00</c:formatCode>
                <c:ptCount val="7"/>
                <c:pt idx="0">
                  <c:v>119.83871944417662</c:v>
                </c:pt>
                <c:pt idx="1">
                  <c:v>97.641164731137181</c:v>
                </c:pt>
                <c:pt idx="2">
                  <c:v>89.915317429574671</c:v>
                </c:pt>
                <c:pt idx="3">
                  <c:v>80.89319956848307</c:v>
                </c:pt>
                <c:pt idx="4">
                  <c:v>64.539030273098149</c:v>
                </c:pt>
                <c:pt idx="5">
                  <c:v>43.322714092706555</c:v>
                </c:pt>
                <c:pt idx="6">
                  <c:v>25.189403788408796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93-4220-84CB-59561E151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73144"/>
        <c:axId val="841472816"/>
      </c:scatterChart>
      <c:valAx>
        <c:axId val="944979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Time (hrs)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87232"/>
        <c:crosses val="autoZero"/>
        <c:crossBetween val="midCat"/>
        <c:minorUnit val="0.5"/>
      </c:valAx>
      <c:valAx>
        <c:axId val="94498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OD</a:t>
                </a:r>
                <a:r>
                  <a:rPr lang="en-US" sz="1800" b="0" i="0" baseline="-25000">
                    <a:effectLst/>
                  </a:rPr>
                  <a:t>600</a:t>
                </a:r>
                <a:r>
                  <a:rPr lang="en-US" sz="1800" b="0" i="0" baseline="0">
                    <a:effectLst/>
                  </a:rPr>
                  <a:t> (Abs)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79360"/>
        <c:crosses val="autoZero"/>
        <c:crossBetween val="midCat"/>
      </c:valAx>
      <c:valAx>
        <c:axId val="8414728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Glucose (mM)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73144"/>
        <c:crosses val="max"/>
        <c:crossBetween val="midCat"/>
      </c:valAx>
      <c:valAx>
        <c:axId val="841473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1472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DXS2_IspS_IDI!$K$4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809120734908134"/>
                  <c:y val="0.15699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DXS2_IspS_IDI!$A$9:$A$12</c:f>
              <c:numCache>
                <c:formatCode>General</c:formatCode>
                <c:ptCount val="4"/>
                <c:pt idx="0">
                  <c:v>3.75</c:v>
                </c:pt>
                <c:pt idx="1">
                  <c:v>4.75</c:v>
                </c:pt>
                <c:pt idx="2">
                  <c:v>5.75</c:v>
                </c:pt>
                <c:pt idx="3">
                  <c:v>6.75</c:v>
                </c:pt>
              </c:numCache>
            </c:numRef>
          </c:xVal>
          <c:yVal>
            <c:numRef>
              <c:f>DXS2_IspS_IDI!$K$9:$K$12</c:f>
              <c:numCache>
                <c:formatCode>0.000</c:formatCode>
                <c:ptCount val="4"/>
                <c:pt idx="0">
                  <c:v>-1.154321589979175</c:v>
                </c:pt>
                <c:pt idx="1">
                  <c:v>-0.68067287607193194</c:v>
                </c:pt>
                <c:pt idx="2">
                  <c:v>-0.26710292742186664</c:v>
                </c:pt>
                <c:pt idx="3">
                  <c:v>-8.338278955948103E-2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53-4D21-A29A-2FD0E2F00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DXS2_IspS_IDI!$C$33</c:f>
              <c:strCache>
                <c:ptCount val="1"/>
                <c:pt idx="0">
                  <c:v>Rep1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84405074365703"/>
                  <c:y val="0.103289458220707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DXS2_IspS_IDI!$B$38:$B$41</c:f>
              <c:numCache>
                <c:formatCode>0.0000</c:formatCode>
                <c:ptCount val="4"/>
                <c:pt idx="0">
                  <c:v>0.35776542335227063</c:v>
                </c:pt>
                <c:pt idx="1">
                  <c:v>0.5744668901396397</c:v>
                </c:pt>
                <c:pt idx="2">
                  <c:v>0.86869680490503776</c:v>
                </c:pt>
                <c:pt idx="3">
                  <c:v>1.0437976410700498</c:v>
                </c:pt>
              </c:numCache>
            </c:numRef>
          </c:xVal>
          <c:yVal>
            <c:numRef>
              <c:f>DXS2_IspS_IDI!$C$38:$C$41</c:f>
              <c:numCache>
                <c:formatCode>0.00</c:formatCode>
                <c:ptCount val="4"/>
                <c:pt idx="0">
                  <c:v>103.49265591840097</c:v>
                </c:pt>
                <c:pt idx="1">
                  <c:v>99.337388538845843</c:v>
                </c:pt>
                <c:pt idx="2">
                  <c:v>85.48207441463164</c:v>
                </c:pt>
                <c:pt idx="3">
                  <c:v>62.878648019616257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4E-44EE-B02B-729C2EB63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DXS2_IspS_IDI!$D$33</c:f>
              <c:strCache>
                <c:ptCount val="1"/>
                <c:pt idx="0">
                  <c:v>Rep2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955293088363955"/>
                  <c:y val="-5.27369495479731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DXS2_IspS_IDI!$B$38:$B$41</c:f>
              <c:numCache>
                <c:formatCode>0.0000</c:formatCode>
                <c:ptCount val="4"/>
                <c:pt idx="0">
                  <c:v>0.35776542335227063</c:v>
                </c:pt>
                <c:pt idx="1">
                  <c:v>0.5744668901396397</c:v>
                </c:pt>
                <c:pt idx="2">
                  <c:v>0.86869680490503776</c:v>
                </c:pt>
                <c:pt idx="3">
                  <c:v>1.0437976410700498</c:v>
                </c:pt>
              </c:numCache>
            </c:numRef>
          </c:xVal>
          <c:yVal>
            <c:numRef>
              <c:f>DXS2_IspS_IDI!$D$38:$D$41</c:f>
              <c:numCache>
                <c:formatCode>0.00</c:formatCode>
                <c:ptCount val="4"/>
                <c:pt idx="0">
                  <c:v>106.91142758448018</c:v>
                </c:pt>
                <c:pt idx="1">
                  <c:v>95.392338180688398</c:v>
                </c:pt>
                <c:pt idx="2">
                  <c:v>78.387001331934385</c:v>
                </c:pt>
                <c:pt idx="3">
                  <c:v>58.687696091535081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2F-48D4-AFA1-8DEAAE38A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DXS2_IspS_IDI!$E$33</c:f>
              <c:strCache>
                <c:ptCount val="1"/>
                <c:pt idx="0">
                  <c:v>Rep3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344181977252846"/>
                  <c:y val="-7.86041848935549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DXS2_IspS_IDI!$B$38:$B$41</c:f>
              <c:numCache>
                <c:formatCode>0.0000</c:formatCode>
                <c:ptCount val="4"/>
                <c:pt idx="0">
                  <c:v>0.35776542335227063</c:v>
                </c:pt>
                <c:pt idx="1">
                  <c:v>0.5744668901396397</c:v>
                </c:pt>
                <c:pt idx="2">
                  <c:v>0.86869680490503776</c:v>
                </c:pt>
                <c:pt idx="3">
                  <c:v>1.0437976410700498</c:v>
                </c:pt>
              </c:numCache>
            </c:numRef>
          </c:xVal>
          <c:yVal>
            <c:numRef>
              <c:f>DXS2_IspS_IDI!$E$38:$E$41</c:f>
              <c:numCache>
                <c:formatCode>0.00</c:formatCode>
                <c:ptCount val="4"/>
                <c:pt idx="0">
                  <c:v>116.79446740710023</c:v>
                </c:pt>
                <c:pt idx="1">
                  <c:v>98.840260300936905</c:v>
                </c:pt>
                <c:pt idx="2">
                  <c:v>78.053931824208661</c:v>
                </c:pt>
                <c:pt idx="3">
                  <c:v>60.380856748604941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E5-4862-B575-07B631CFC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DXS2_IspS_IDI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DXS2_IspS_IDI growth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4"/>
            <c:marker>
              <c:symbol val="circle"/>
              <c:size val="6"/>
              <c:spPr>
                <a:solidFill>
                  <a:srgbClr val="FF0000"/>
                </a:solidFill>
                <a:ln w="285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0B9-409D-B0FA-292F75F98AB7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FF0000"/>
                </a:solidFill>
                <a:ln w="2857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0B9-409D-B0FA-292F75F98AB7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FF0000"/>
                </a:solidFill>
                <a:ln w="2857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B9-409D-B0FA-292F75F98AB7}"/>
              </c:ext>
            </c:extLst>
          </c:dPt>
          <c:xVal>
            <c:numRef>
              <c:f>DXS2_IspS_IDI!$A$5:$A$14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3.75</c:v>
                </c:pt>
                <c:pt idx="5">
                  <c:v>4.75</c:v>
                </c:pt>
                <c:pt idx="6">
                  <c:v>5.75</c:v>
                </c:pt>
                <c:pt idx="7">
                  <c:v>6.75</c:v>
                </c:pt>
                <c:pt idx="8">
                  <c:v>7.75</c:v>
                </c:pt>
                <c:pt idx="9">
                  <c:v>8.75</c:v>
                </c:pt>
              </c:numCache>
            </c:numRef>
          </c:xVal>
          <c:yVal>
            <c:numRef>
              <c:f>DXS2_IspS_IDI!$E$5:$E$14</c:f>
              <c:numCache>
                <c:formatCode>0.000</c:formatCode>
                <c:ptCount val="10"/>
                <c:pt idx="0">
                  <c:v>4.4333333333333336E-2</c:v>
                </c:pt>
                <c:pt idx="1">
                  <c:v>8.3666666666666667E-2</c:v>
                </c:pt>
                <c:pt idx="2">
                  <c:v>0.13400000000000001</c:v>
                </c:pt>
                <c:pt idx="3">
                  <c:v>0.21299999999999999</c:v>
                </c:pt>
                <c:pt idx="4">
                  <c:v>0.3153333333333333</c:v>
                </c:pt>
                <c:pt idx="5">
                  <c:v>0.50633333333333341</c:v>
                </c:pt>
                <c:pt idx="6">
                  <c:v>0.76566666666666672</c:v>
                </c:pt>
                <c:pt idx="7">
                  <c:v>0.92</c:v>
                </c:pt>
                <c:pt idx="8">
                  <c:v>1.0133333333333334</c:v>
                </c:pt>
                <c:pt idx="9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FB-46BC-8F13-3C6D09078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845760"/>
        <c:axId val="967848384"/>
      </c:scatterChart>
      <c:scatterChart>
        <c:scatterStyle val="lineMarker"/>
        <c:varyColors val="0"/>
        <c:ser>
          <c:idx val="1"/>
          <c:order val="1"/>
          <c:tx>
            <c:v>Glucose concentration in the media</c:v>
          </c:tx>
          <c:spPr>
            <a:ln w="28575" cap="rnd">
              <a:solidFill>
                <a:srgbClr val="9999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999FF"/>
              </a:solidFill>
              <a:ln w="28575">
                <a:solidFill>
                  <a:srgbClr val="9999FF"/>
                </a:solidFill>
              </a:ln>
              <a:effectLst/>
            </c:spPr>
          </c:marker>
          <c:xVal>
            <c:numRef>
              <c:f>DXS2_IspS_IDI!$A$34:$A$43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3.75</c:v>
                </c:pt>
                <c:pt idx="5">
                  <c:v>4.75</c:v>
                </c:pt>
                <c:pt idx="6">
                  <c:v>5.75</c:v>
                </c:pt>
                <c:pt idx="7">
                  <c:v>6.75</c:v>
                </c:pt>
                <c:pt idx="8">
                  <c:v>7.75</c:v>
                </c:pt>
                <c:pt idx="9">
                  <c:v>8.75</c:v>
                </c:pt>
              </c:numCache>
            </c:numRef>
          </c:xVal>
          <c:yVal>
            <c:numRef>
              <c:f>DXS2_IspS_IDI!$F$34:$F$43</c:f>
              <c:numCache>
                <c:formatCode>0.00</c:formatCode>
                <c:ptCount val="10"/>
                <c:pt idx="0">
                  <c:v>120.44255244478302</c:v>
                </c:pt>
                <c:pt idx="1">
                  <c:v>119.99645749521746</c:v>
                </c:pt>
                <c:pt idx="2">
                  <c:v>118.00283145756673</c:v>
                </c:pt>
                <c:pt idx="3">
                  <c:v>115.65729666759781</c:v>
                </c:pt>
                <c:pt idx="4">
                  <c:v>109.06618363666045</c:v>
                </c:pt>
                <c:pt idx="5">
                  <c:v>97.856662340157058</c:v>
                </c:pt>
                <c:pt idx="6">
                  <c:v>80.641002523591553</c:v>
                </c:pt>
                <c:pt idx="7">
                  <c:v>60.649066953252088</c:v>
                </c:pt>
                <c:pt idx="8">
                  <c:v>41.443686525337519</c:v>
                </c:pt>
                <c:pt idx="9">
                  <c:v>26.938238769023698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FB-46BC-8F13-3C6D09078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846744"/>
        <c:axId val="967851992"/>
      </c:scatterChart>
      <c:valAx>
        <c:axId val="96784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8384"/>
        <c:crosses val="autoZero"/>
        <c:crossBetween val="midCat"/>
        <c:minorUnit val="0.5"/>
      </c:valAx>
      <c:valAx>
        <c:axId val="96784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OD</a:t>
                </a:r>
                <a:r>
                  <a:rPr lang="en-US" sz="1600" baseline="-25000"/>
                  <a:t>600</a:t>
                </a:r>
                <a:r>
                  <a:rPr lang="en-US" sz="1600" baseline="0"/>
                  <a:t> (Abs)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5760"/>
        <c:crosses val="autoZero"/>
        <c:crossBetween val="midCat"/>
      </c:valAx>
      <c:valAx>
        <c:axId val="9678519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Glucose Concentration</a:t>
                </a:r>
                <a:r>
                  <a:rPr lang="en-US" sz="1600" baseline="0"/>
                  <a:t> (mM)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6744"/>
        <c:crosses val="max"/>
        <c:crossBetween val="midCat"/>
      </c:valAx>
      <c:valAx>
        <c:axId val="967846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7851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DXS2_IspG_IspH_IspS!$K$4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809120734908134"/>
                  <c:y val="0.15699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DXS2_IspG_IspH_IspS!$A$9:$A$15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DXS2_IspG_IspH_IspS!$K$9:$K$15</c:f>
              <c:numCache>
                <c:formatCode>0.000</c:formatCode>
                <c:ptCount val="7"/>
                <c:pt idx="0">
                  <c:v>-1.2130315790190593</c:v>
                </c:pt>
                <c:pt idx="1">
                  <c:v>-0.97665645492832276</c:v>
                </c:pt>
                <c:pt idx="2">
                  <c:v>-0.79791028401594932</c:v>
                </c:pt>
                <c:pt idx="3">
                  <c:v>-0.62988673721467581</c:v>
                </c:pt>
                <c:pt idx="4">
                  <c:v>-0.43913177694529582</c:v>
                </c:pt>
                <c:pt idx="5">
                  <c:v>-0.29107808655321316</c:v>
                </c:pt>
                <c:pt idx="6">
                  <c:v>-0.18760652293835259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62-4FB3-AE68-766C712F3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DXS2_IspG_IspH_IspS!$C$40</c:f>
              <c:strCache>
                <c:ptCount val="1"/>
                <c:pt idx="0">
                  <c:v>Rep1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84405074365703"/>
                  <c:y val="0.103289458220707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DXS2_IspG_IspH_IspS!$B$44:$B$50</c:f>
              <c:numCache>
                <c:formatCode>0.0000</c:formatCode>
                <c:ptCount val="7"/>
                <c:pt idx="0">
                  <c:v>0.71640263839196272</c:v>
                </c:pt>
                <c:pt idx="1">
                  <c:v>0.90728360893341098</c:v>
                </c:pt>
                <c:pt idx="2">
                  <c:v>1.0837886067980977</c:v>
                </c:pt>
                <c:pt idx="3">
                  <c:v>1.2810588985292177</c:v>
                </c:pt>
                <c:pt idx="4">
                  <c:v>1.5478130581980201</c:v>
                </c:pt>
                <c:pt idx="5">
                  <c:v>1.79220459370297</c:v>
                </c:pt>
                <c:pt idx="6">
                  <c:v>1.9862802248392548</c:v>
                </c:pt>
              </c:numCache>
            </c:numRef>
          </c:xVal>
          <c:yVal>
            <c:numRef>
              <c:f>DXS2_IspG_IspH_IspS!$C$44:$C$50</c:f>
              <c:numCache>
                <c:formatCode>0.00</c:formatCode>
                <c:ptCount val="7"/>
                <c:pt idx="0">
                  <c:v>105.76286154025416</c:v>
                </c:pt>
                <c:pt idx="1">
                  <c:v>113.21237944239813</c:v>
                </c:pt>
                <c:pt idx="2">
                  <c:v>94.268811445338173</c:v>
                </c:pt>
                <c:pt idx="3">
                  <c:v>99.797553862072192</c:v>
                </c:pt>
                <c:pt idx="4">
                  <c:v>91.843974568148511</c:v>
                </c:pt>
                <c:pt idx="5">
                  <c:v>80.13395184972812</c:v>
                </c:pt>
                <c:pt idx="6">
                  <c:v>64.881081764291025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1-4AE9-8D4F-3C70CABC0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DXS2_IspG_IspH_IspS!$D$40</c:f>
              <c:strCache>
                <c:ptCount val="1"/>
                <c:pt idx="0">
                  <c:v>Rep2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864713477891092"/>
                  <c:y val="-3.735783027121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DXS2_IspG_IspH_IspS!$B$44:$B$50</c:f>
              <c:numCache>
                <c:formatCode>0.0000</c:formatCode>
                <c:ptCount val="7"/>
                <c:pt idx="0">
                  <c:v>0.71640263839196272</c:v>
                </c:pt>
                <c:pt idx="1">
                  <c:v>0.90728360893341098</c:v>
                </c:pt>
                <c:pt idx="2">
                  <c:v>1.0837886067980977</c:v>
                </c:pt>
                <c:pt idx="3">
                  <c:v>1.2810588985292177</c:v>
                </c:pt>
                <c:pt idx="4">
                  <c:v>1.5478130581980201</c:v>
                </c:pt>
                <c:pt idx="5">
                  <c:v>1.79220459370297</c:v>
                </c:pt>
                <c:pt idx="6">
                  <c:v>1.9862802248392548</c:v>
                </c:pt>
              </c:numCache>
            </c:numRef>
          </c:xVal>
          <c:yVal>
            <c:numRef>
              <c:f>DXS2_IspG_IspH_IspS!$D$44:$D$50</c:f>
              <c:numCache>
                <c:formatCode>0.00</c:formatCode>
                <c:ptCount val="7"/>
                <c:pt idx="0">
                  <c:v>103.16998285387263</c:v>
                </c:pt>
                <c:pt idx="2">
                  <c:v>100.41691177759064</c:v>
                </c:pt>
                <c:pt idx="3">
                  <c:v>91.01712299363794</c:v>
                </c:pt>
                <c:pt idx="4">
                  <c:v>81.807575806917299</c:v>
                </c:pt>
                <c:pt idx="5">
                  <c:v>73.814037726200695</c:v>
                </c:pt>
                <c:pt idx="6">
                  <c:v>58.034348392853218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4A-4D82-9767-B550740E7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DXS2_IspG_IspH_IspS!$E$40</c:f>
              <c:strCache>
                <c:ptCount val="1"/>
                <c:pt idx="0">
                  <c:v>Rep3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903859142730898"/>
                  <c:y val="-6.95844269466316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DXS2_IspG_IspH_IspS!$B$44:$B$50</c:f>
              <c:numCache>
                <c:formatCode>0.0000</c:formatCode>
                <c:ptCount val="7"/>
                <c:pt idx="0">
                  <c:v>0.71640263839196272</c:v>
                </c:pt>
                <c:pt idx="1">
                  <c:v>0.90728360893341098</c:v>
                </c:pt>
                <c:pt idx="2">
                  <c:v>1.0837886067980977</c:v>
                </c:pt>
                <c:pt idx="3">
                  <c:v>1.2810588985292177</c:v>
                </c:pt>
                <c:pt idx="4">
                  <c:v>1.5478130581980201</c:v>
                </c:pt>
                <c:pt idx="5">
                  <c:v>1.79220459370297</c:v>
                </c:pt>
                <c:pt idx="6">
                  <c:v>1.9862802248392548</c:v>
                </c:pt>
              </c:numCache>
            </c:numRef>
          </c:xVal>
          <c:yVal>
            <c:numRef>
              <c:f>DXS2_IspG_IspH_IspS!$E$44:$E$50</c:f>
              <c:numCache>
                <c:formatCode>0.00</c:formatCode>
                <c:ptCount val="7"/>
                <c:pt idx="0">
                  <c:v>102.22150531146504</c:v>
                </c:pt>
                <c:pt idx="1">
                  <c:v>103.34819747597335</c:v>
                </c:pt>
                <c:pt idx="2">
                  <c:v>88.224238272602364</c:v>
                </c:pt>
                <c:pt idx="3">
                  <c:v>86.241644049871283</c:v>
                </c:pt>
                <c:pt idx="4">
                  <c:v>78.59279683750772</c:v>
                </c:pt>
                <c:pt idx="5">
                  <c:v>68.661510405653885</c:v>
                </c:pt>
                <c:pt idx="6">
                  <c:v>58.91229367921396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32-482F-92E2-894A9BBB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DXS2_IspG_IspH_IspS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DXS2_IspG_IspH_IspS growth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4"/>
            <c:marker>
              <c:symbol val="circle"/>
              <c:size val="6"/>
              <c:spPr>
                <a:solidFill>
                  <a:srgbClr val="FF0000"/>
                </a:solidFill>
                <a:ln w="285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1E7-4BCD-9DD7-1FF8D708D1F6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FF0000"/>
                </a:solidFill>
                <a:ln w="2857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E7-4BCD-9DD7-1FF8D708D1F6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FF0000"/>
                </a:solidFill>
                <a:ln w="2857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1E7-4BCD-9DD7-1FF8D708D1F6}"/>
              </c:ext>
            </c:extLst>
          </c:dPt>
          <c:xVal>
            <c:numRef>
              <c:f>DXS2_IspG_IspH_IspS!$A$6:$A$20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DXS2_IspG_IspH_IspS!$E$6:$E$20</c:f>
              <c:numCache>
                <c:formatCode>0.000</c:formatCode>
                <c:ptCount val="15"/>
                <c:pt idx="0">
                  <c:v>0.15200000000000002</c:v>
                </c:pt>
                <c:pt idx="1">
                  <c:v>0.18866666666666665</c:v>
                </c:pt>
                <c:pt idx="2">
                  <c:v>0.23466666666666666</c:v>
                </c:pt>
                <c:pt idx="3">
                  <c:v>0.29899999999999999</c:v>
                </c:pt>
                <c:pt idx="4">
                  <c:v>0.37866666666666665</c:v>
                </c:pt>
                <c:pt idx="5">
                  <c:v>0.45233333333333342</c:v>
                </c:pt>
                <c:pt idx="6">
                  <c:v>0.53466666666666662</c:v>
                </c:pt>
                <c:pt idx="7">
                  <c:v>0.64600000000000002</c:v>
                </c:pt>
                <c:pt idx="8">
                  <c:v>0.74799999999999989</c:v>
                </c:pt>
                <c:pt idx="9">
                  <c:v>0.82900000000000007</c:v>
                </c:pt>
                <c:pt idx="10">
                  <c:v>0.8793333333333333</c:v>
                </c:pt>
                <c:pt idx="11">
                  <c:v>0.93733333333333346</c:v>
                </c:pt>
                <c:pt idx="12">
                  <c:v>0.96733333333333338</c:v>
                </c:pt>
                <c:pt idx="13">
                  <c:v>0.9903333333333334</c:v>
                </c:pt>
                <c:pt idx="14">
                  <c:v>1.0099999999999998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B-4C18-A580-8BEA55F7A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312616"/>
        <c:axId val="944321144"/>
      </c:scatterChart>
      <c:scatterChart>
        <c:scatterStyle val="lineMarker"/>
        <c:varyColors val="0"/>
        <c:ser>
          <c:idx val="1"/>
          <c:order val="1"/>
          <c:tx>
            <c:v>Glucose concentration in the media</c:v>
          </c:tx>
          <c:spPr>
            <a:ln w="28575" cap="rnd">
              <a:solidFill>
                <a:srgbClr val="9999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999FF"/>
              </a:solidFill>
              <a:ln w="28575">
                <a:solidFill>
                  <a:srgbClr val="9999FF"/>
                </a:solidFill>
              </a:ln>
              <a:effectLst/>
            </c:spPr>
          </c:marker>
          <c:xVal>
            <c:numRef>
              <c:f>(DXS2_IspG_IspH_IspS!$A$41,DXS2_IspG_IspH_IspS!$A$42,DXS2_IspG_IspH_IspS!$A$44,DXS2_IspG_IspH_IspS!$A$46:$A$52)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numCache>
            </c:numRef>
          </c:xVal>
          <c:yVal>
            <c:numRef>
              <c:f>(DXS2_IspG_IspH_IspS!$F$41,DXS2_IspG_IspH_IspS!$F$42,DXS2_IspG_IspH_IspS!$F$44,DXS2_IspG_IspH_IspS!$F$46:$F$52)</c:f>
              <c:numCache>
                <c:formatCode>0.00</c:formatCode>
                <c:ptCount val="10"/>
                <c:pt idx="0">
                  <c:v>115.90945869340283</c:v>
                </c:pt>
                <c:pt idx="1">
                  <c:v>107.93721402171745</c:v>
                </c:pt>
                <c:pt idx="2">
                  <c:v>103.7181165685306</c:v>
                </c:pt>
                <c:pt idx="3">
                  <c:v>94.303320498510388</c:v>
                </c:pt>
                <c:pt idx="4">
                  <c:v>92.352106968527139</c:v>
                </c:pt>
                <c:pt idx="5">
                  <c:v>84.081449070857843</c:v>
                </c:pt>
                <c:pt idx="6">
                  <c:v>74.203166660527572</c:v>
                </c:pt>
                <c:pt idx="7">
                  <c:v>60.609241278786065</c:v>
                </c:pt>
                <c:pt idx="8">
                  <c:v>49.555739578296048</c:v>
                </c:pt>
                <c:pt idx="9">
                  <c:v>39.439457754816146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8-4677-8557-C9B0B0FF4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470520"/>
        <c:axId val="967470192"/>
      </c:scatterChart>
      <c:valAx>
        <c:axId val="944312616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Time (hrs)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321144"/>
        <c:crosses val="autoZero"/>
        <c:crossBetween val="midCat"/>
        <c:minorUnit val="1"/>
      </c:valAx>
      <c:valAx>
        <c:axId val="94432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OD</a:t>
                </a:r>
                <a:r>
                  <a:rPr lang="en-US" sz="1800" b="0" i="0" baseline="-25000">
                    <a:effectLst/>
                  </a:rPr>
                  <a:t>600</a:t>
                </a:r>
                <a:r>
                  <a:rPr lang="en-US" sz="1800" b="0" i="0" baseline="0">
                    <a:effectLst/>
                  </a:rPr>
                  <a:t> (Abs)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312616"/>
        <c:crosses val="autoZero"/>
        <c:crossBetween val="midCat"/>
      </c:valAx>
      <c:valAx>
        <c:axId val="9674701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Glucose Concentration (mM)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470520"/>
        <c:crosses val="max"/>
        <c:crossBetween val="midCat"/>
      </c:valAx>
      <c:valAx>
        <c:axId val="967470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747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DXS2_IspG_IspH_IspS_IDI!$M$4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809120734908134"/>
                  <c:y val="0.15699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DXS2_IspG_IspH_IspS_IDI!$A$12:$A$15</c:f>
              <c:numCache>
                <c:formatCode>General</c:formatCode>
                <c:ptCount val="4"/>
                <c:pt idx="0">
                  <c:v>5.5</c:v>
                </c:pt>
                <c:pt idx="1">
                  <c:v>6.5</c:v>
                </c:pt>
                <c:pt idx="2">
                  <c:v>7.5</c:v>
                </c:pt>
                <c:pt idx="3">
                  <c:v>8.5</c:v>
                </c:pt>
              </c:numCache>
            </c:numRef>
          </c:xVal>
          <c:yVal>
            <c:numRef>
              <c:f>DXS2_IspG_IspH_IspS_IDI!$M$12:$M$15</c:f>
              <c:numCache>
                <c:formatCode>0.000</c:formatCode>
                <c:ptCount val="4"/>
                <c:pt idx="0">
                  <c:v>-1.255057839953182</c:v>
                </c:pt>
                <c:pt idx="1">
                  <c:v>-1.0936322863252745</c:v>
                </c:pt>
                <c:pt idx="2">
                  <c:v>-0.96244741153395008</c:v>
                </c:pt>
                <c:pt idx="3">
                  <c:v>-0.84630802111243819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A6-488A-BBFF-5FBB499D6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DXS2_IspG_IspH_IspS_IDI!$C$41</c:f>
              <c:strCache>
                <c:ptCount val="1"/>
                <c:pt idx="0">
                  <c:v>Rep1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84405074365703"/>
                  <c:y val="0.103289458220707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DXS2_IspG_IspH_IspS_IDI!$B$48:$B$52</c:f>
              <c:numCache>
                <c:formatCode>0.0000</c:formatCode>
                <c:ptCount val="5"/>
                <c:pt idx="0">
                  <c:v>0.83268816633357901</c:v>
                </c:pt>
                <c:pt idx="1">
                  <c:v>0.97416431109899293</c:v>
                </c:pt>
                <c:pt idx="2">
                  <c:v>1.1206931753203144</c:v>
                </c:pt>
                <c:pt idx="3">
                  <c:v>1.2409478983709166</c:v>
                </c:pt>
                <c:pt idx="4">
                  <c:v>1.3490760947273399</c:v>
                </c:pt>
              </c:numCache>
            </c:numRef>
          </c:xVal>
          <c:yVal>
            <c:numRef>
              <c:f>DXS2_IspG_IspH_IspS_IDI!$C$48:$C$52</c:f>
              <c:numCache>
                <c:formatCode>0.00</c:formatCode>
                <c:ptCount val="5"/>
                <c:pt idx="0">
                  <c:v>83.99081086249528</c:v>
                </c:pt>
                <c:pt idx="1">
                  <c:v>83.506525454301268</c:v>
                </c:pt>
                <c:pt idx="2">
                  <c:v>74.419288179833984</c:v>
                </c:pt>
                <c:pt idx="3">
                  <c:v>73.443254466166252</c:v>
                </c:pt>
                <c:pt idx="4">
                  <c:v>70.376259416248445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FC-4ED1-AEDB-570267DE8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DXS2_IspG_IspH_IspS_IDI!$D$41</c:f>
              <c:strCache>
                <c:ptCount val="1"/>
                <c:pt idx="0">
                  <c:v>Rep2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864713477891092"/>
                  <c:y val="-3.735783027121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DXS2_IspG_IspH_IspS_IDI!$B$48:$B$52</c:f>
              <c:numCache>
                <c:formatCode>0.0000</c:formatCode>
                <c:ptCount val="5"/>
                <c:pt idx="0">
                  <c:v>0.83268816633357901</c:v>
                </c:pt>
                <c:pt idx="1">
                  <c:v>0.97416431109899293</c:v>
                </c:pt>
                <c:pt idx="2">
                  <c:v>1.1206931753203144</c:v>
                </c:pt>
                <c:pt idx="3">
                  <c:v>1.2409478983709166</c:v>
                </c:pt>
                <c:pt idx="4">
                  <c:v>1.3490760947273399</c:v>
                </c:pt>
              </c:numCache>
            </c:numRef>
          </c:xVal>
          <c:yVal>
            <c:numRef>
              <c:f>DXS2_IspG_IspH_IspS_IDI!$D$48:$D$52</c:f>
              <c:numCache>
                <c:formatCode>0.00</c:formatCode>
                <c:ptCount val="5"/>
                <c:pt idx="0">
                  <c:v>88.028498128232144</c:v>
                </c:pt>
                <c:pt idx="1">
                  <c:v>81.797108169110658</c:v>
                </c:pt>
                <c:pt idx="2">
                  <c:v>79.06619091941657</c:v>
                </c:pt>
                <c:pt idx="3">
                  <c:v>69.861075122557068</c:v>
                </c:pt>
                <c:pt idx="4">
                  <c:v>61.633819182769543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C5-420A-8E53-D99E8D8DF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DXS2_IspG_IspH_IspS_IDI!$E$41</c:f>
              <c:strCache>
                <c:ptCount val="1"/>
                <c:pt idx="0">
                  <c:v>Rep3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903859142730898"/>
                  <c:y val="-6.95844269466316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DXS2_IspG_IspH_IspS_IDI!$B$48:$B$52</c:f>
              <c:numCache>
                <c:formatCode>0.0000</c:formatCode>
                <c:ptCount val="5"/>
                <c:pt idx="0">
                  <c:v>0.83268816633357901</c:v>
                </c:pt>
                <c:pt idx="1">
                  <c:v>0.97416431109899293</c:v>
                </c:pt>
                <c:pt idx="2">
                  <c:v>1.1206931753203144</c:v>
                </c:pt>
                <c:pt idx="3">
                  <c:v>1.2409478983709166</c:v>
                </c:pt>
                <c:pt idx="4">
                  <c:v>1.3490760947273399</c:v>
                </c:pt>
              </c:numCache>
            </c:numRef>
          </c:xVal>
          <c:yVal>
            <c:numRef>
              <c:f>DXS2_IspG_IspH_IspS_IDI!$E$48:$E$52</c:f>
              <c:numCache>
                <c:formatCode>0.00</c:formatCode>
                <c:ptCount val="5"/>
                <c:pt idx="0">
                  <c:v>84.128428076662743</c:v>
                </c:pt>
                <c:pt idx="1">
                  <c:v>85.300836046156718</c:v>
                </c:pt>
                <c:pt idx="2">
                  <c:v>79.122995738834788</c:v>
                </c:pt>
                <c:pt idx="3">
                  <c:v>73.067359197042151</c:v>
                </c:pt>
                <c:pt idx="4">
                  <c:v>66.967781482950386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D5-491C-9117-6C3B94FD7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DXS2_IspG_IspH_IspS_IDI!$F$4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DXS2_IspG_IspH_IspS_IDI!$G$6:$G$21</c:f>
                <c:numCache>
                  <c:formatCode>General</c:formatCode>
                  <c:ptCount val="16"/>
                  <c:pt idx="0">
                    <c:v>6.8313005106397321E-3</c:v>
                  </c:pt>
                  <c:pt idx="1">
                    <c:v>8.3815273071201051E-3</c:v>
                  </c:pt>
                  <c:pt idx="2">
                    <c:v>8.7559503577091385E-3</c:v>
                  </c:pt>
                  <c:pt idx="3">
                    <c:v>1.2069244660154447E-2</c:v>
                  </c:pt>
                  <c:pt idx="4">
                    <c:v>1.4094916341243982E-2</c:v>
                  </c:pt>
                  <c:pt idx="5">
                    <c:v>1.8601075237738289E-2</c:v>
                  </c:pt>
                  <c:pt idx="6">
                    <c:v>2.3357725345875036E-2</c:v>
                  </c:pt>
                  <c:pt idx="7">
                    <c:v>3.3954626587059777E-2</c:v>
                  </c:pt>
                  <c:pt idx="8">
                    <c:v>3.6454309301736432E-2</c:v>
                  </c:pt>
                  <c:pt idx="9">
                    <c:v>5.4151023382142234E-2</c:v>
                  </c:pt>
                  <c:pt idx="10">
                    <c:v>5.8094032969545781E-2</c:v>
                  </c:pt>
                  <c:pt idx="11">
                    <c:v>6.1484415369533675E-2</c:v>
                  </c:pt>
                  <c:pt idx="12">
                    <c:v>6.6198564939128929E-2</c:v>
                  </c:pt>
                  <c:pt idx="13">
                    <c:v>7.2398779916055159E-2</c:v>
                  </c:pt>
                  <c:pt idx="14">
                    <c:v>9.5209855932391077E-2</c:v>
                  </c:pt>
                  <c:pt idx="15">
                    <c:v>4.3412747743798316E-2</c:v>
                  </c:pt>
                </c:numCache>
              </c:numRef>
            </c:plus>
            <c:minus>
              <c:numRef>
                <c:f>DXS2_IspG_IspH_IspS_IDI!$G$6:$G$21</c:f>
                <c:numCache>
                  <c:formatCode>General</c:formatCode>
                  <c:ptCount val="16"/>
                  <c:pt idx="0">
                    <c:v>6.8313005106397321E-3</c:v>
                  </c:pt>
                  <c:pt idx="1">
                    <c:v>8.3815273071201051E-3</c:v>
                  </c:pt>
                  <c:pt idx="2">
                    <c:v>8.7559503577091385E-3</c:v>
                  </c:pt>
                  <c:pt idx="3">
                    <c:v>1.2069244660154447E-2</c:v>
                  </c:pt>
                  <c:pt idx="4">
                    <c:v>1.4094916341243982E-2</c:v>
                  </c:pt>
                  <c:pt idx="5">
                    <c:v>1.8601075237738289E-2</c:v>
                  </c:pt>
                  <c:pt idx="6">
                    <c:v>2.3357725345875036E-2</c:v>
                  </c:pt>
                  <c:pt idx="7">
                    <c:v>3.3954626587059777E-2</c:v>
                  </c:pt>
                  <c:pt idx="8">
                    <c:v>3.6454309301736432E-2</c:v>
                  </c:pt>
                  <c:pt idx="9">
                    <c:v>5.4151023382142234E-2</c:v>
                  </c:pt>
                  <c:pt idx="10">
                    <c:v>5.8094032969545781E-2</c:v>
                  </c:pt>
                  <c:pt idx="11">
                    <c:v>6.1484415369533675E-2</c:v>
                  </c:pt>
                  <c:pt idx="12">
                    <c:v>6.6198564939128929E-2</c:v>
                  </c:pt>
                  <c:pt idx="13">
                    <c:v>7.2398779916055159E-2</c:v>
                  </c:pt>
                  <c:pt idx="14">
                    <c:v>9.5209855932391077E-2</c:v>
                  </c:pt>
                  <c:pt idx="15">
                    <c:v>4.3412747743798316E-2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DXS2_IspG_IspH_IspS_IDI!$A$6:$A$21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5.5</c:v>
                </c:pt>
                <c:pt idx="7">
                  <c:v>6.5</c:v>
                </c:pt>
                <c:pt idx="8">
                  <c:v>7.5</c:v>
                </c:pt>
                <c:pt idx="9">
                  <c:v>8.5</c:v>
                </c:pt>
                <c:pt idx="10">
                  <c:v>9.5</c:v>
                </c:pt>
                <c:pt idx="11">
                  <c:v>10.5</c:v>
                </c:pt>
                <c:pt idx="12">
                  <c:v>11.5</c:v>
                </c:pt>
                <c:pt idx="13">
                  <c:v>12.5</c:v>
                </c:pt>
                <c:pt idx="14">
                  <c:v>27</c:v>
                </c:pt>
                <c:pt idx="15">
                  <c:v>51</c:v>
                </c:pt>
              </c:numCache>
            </c:numRef>
          </c:xVal>
          <c:yVal>
            <c:numRef>
              <c:f>DXS2_IspG_IspH_IspS_IDI!$F$6:$F$21</c:f>
              <c:numCache>
                <c:formatCode>0.000</c:formatCode>
                <c:ptCount val="16"/>
                <c:pt idx="0">
                  <c:v>9.4E-2</c:v>
                </c:pt>
                <c:pt idx="1">
                  <c:v>0.10975</c:v>
                </c:pt>
                <c:pt idx="2">
                  <c:v>0.14899999999999999</c:v>
                </c:pt>
                <c:pt idx="3">
                  <c:v>0.17749999999999999</c:v>
                </c:pt>
                <c:pt idx="4">
                  <c:v>0.216</c:v>
                </c:pt>
                <c:pt idx="5">
                  <c:v>0.26</c:v>
                </c:pt>
                <c:pt idx="6">
                  <c:v>0.28575</c:v>
                </c:pt>
                <c:pt idx="7">
                  <c:v>0.33624999999999999</c:v>
                </c:pt>
                <c:pt idx="8">
                  <c:v>0.38324999999999998</c:v>
                </c:pt>
                <c:pt idx="9">
                  <c:v>0.43150000000000005</c:v>
                </c:pt>
                <c:pt idx="10">
                  <c:v>0.46625</c:v>
                </c:pt>
                <c:pt idx="11">
                  <c:v>0.51249999999999996</c:v>
                </c:pt>
                <c:pt idx="12">
                  <c:v>0.55374999999999996</c:v>
                </c:pt>
                <c:pt idx="13">
                  <c:v>0.58774999999999999</c:v>
                </c:pt>
                <c:pt idx="14">
                  <c:v>0.82424999999999993</c:v>
                </c:pt>
                <c:pt idx="15">
                  <c:v>0.91900000000000004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96-4859-A292-85510469F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375808"/>
        <c:axId val="938379416"/>
      </c:scatterChart>
      <c:valAx>
        <c:axId val="93837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79416"/>
        <c:crosses val="autoZero"/>
        <c:crossBetween val="midCat"/>
      </c:valAx>
      <c:valAx>
        <c:axId val="93837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7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DXS2_IspG_IspH_IspS_IDI!$F$41</c:f>
              <c:strCache>
                <c:ptCount val="1"/>
                <c:pt idx="0">
                  <c:v>Rep4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903859142730898"/>
                  <c:y val="-6.95844269466316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DXS2_IspG_IspH_IspS_IDI!$B$48:$B$52</c:f>
              <c:numCache>
                <c:formatCode>0.0000</c:formatCode>
                <c:ptCount val="5"/>
                <c:pt idx="0">
                  <c:v>0.83268816633357901</c:v>
                </c:pt>
                <c:pt idx="1">
                  <c:v>0.97416431109899293</c:v>
                </c:pt>
                <c:pt idx="2">
                  <c:v>1.1206931753203144</c:v>
                </c:pt>
                <c:pt idx="3">
                  <c:v>1.2409478983709166</c:v>
                </c:pt>
                <c:pt idx="4">
                  <c:v>1.3490760947273399</c:v>
                </c:pt>
              </c:numCache>
            </c:numRef>
          </c:xVal>
          <c:yVal>
            <c:numRef>
              <c:f>DXS2_IspG_IspH_IspS_IDI!$F$48:$F$52</c:f>
              <c:numCache>
                <c:formatCode>0.00</c:formatCode>
                <c:ptCount val="5"/>
                <c:pt idx="0">
                  <c:v>87.867862927624486</c:v>
                </c:pt>
                <c:pt idx="1">
                  <c:v>82.143651696791068</c:v>
                </c:pt>
                <c:pt idx="2">
                  <c:v>80.828475999132465</c:v>
                </c:pt>
                <c:pt idx="3">
                  <c:v>70.260621085911495</c:v>
                </c:pt>
                <c:pt idx="4">
                  <c:v>69.891446022188802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C0-4AAB-B76C-68C1D9683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DXS2_IspG_IspH_IspS_IDI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DXS2_IspG_IspH_IspS_IDI growth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DXS2_IspG_IspH_IspS_IDI!$A$6:$A$20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5.5</c:v>
                </c:pt>
                <c:pt idx="7">
                  <c:v>6.5</c:v>
                </c:pt>
                <c:pt idx="8">
                  <c:v>7.5</c:v>
                </c:pt>
                <c:pt idx="9">
                  <c:v>8.5</c:v>
                </c:pt>
                <c:pt idx="10">
                  <c:v>9.5</c:v>
                </c:pt>
                <c:pt idx="11">
                  <c:v>10.5</c:v>
                </c:pt>
                <c:pt idx="12">
                  <c:v>11.5</c:v>
                </c:pt>
                <c:pt idx="13">
                  <c:v>12.5</c:v>
                </c:pt>
                <c:pt idx="14">
                  <c:v>27</c:v>
                </c:pt>
              </c:numCache>
            </c:numRef>
          </c:xVal>
          <c:yVal>
            <c:numRef>
              <c:f>DXS2_IspG_IspH_IspS_IDI!$F$6:$F$20</c:f>
              <c:numCache>
                <c:formatCode>0.000</c:formatCode>
                <c:ptCount val="15"/>
                <c:pt idx="0">
                  <c:v>9.4E-2</c:v>
                </c:pt>
                <c:pt idx="1">
                  <c:v>0.10975</c:v>
                </c:pt>
                <c:pt idx="2">
                  <c:v>0.14899999999999999</c:v>
                </c:pt>
                <c:pt idx="3">
                  <c:v>0.17749999999999999</c:v>
                </c:pt>
                <c:pt idx="4">
                  <c:v>0.216</c:v>
                </c:pt>
                <c:pt idx="5">
                  <c:v>0.26</c:v>
                </c:pt>
                <c:pt idx="6">
                  <c:v>0.28575</c:v>
                </c:pt>
                <c:pt idx="7">
                  <c:v>0.33624999999999999</c:v>
                </c:pt>
                <c:pt idx="8">
                  <c:v>0.38324999999999998</c:v>
                </c:pt>
                <c:pt idx="9">
                  <c:v>0.43150000000000005</c:v>
                </c:pt>
                <c:pt idx="10">
                  <c:v>0.46625</c:v>
                </c:pt>
                <c:pt idx="11">
                  <c:v>0.51249999999999996</c:v>
                </c:pt>
                <c:pt idx="12">
                  <c:v>0.55374999999999996</c:v>
                </c:pt>
                <c:pt idx="13">
                  <c:v>0.58774999999999999</c:v>
                </c:pt>
                <c:pt idx="14">
                  <c:v>0.82424999999999993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24-4C11-97D3-3CA67C49E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845760"/>
        <c:axId val="967848384"/>
      </c:scatterChart>
      <c:scatterChart>
        <c:scatterStyle val="lineMarker"/>
        <c:varyColors val="0"/>
        <c:ser>
          <c:idx val="1"/>
          <c:order val="1"/>
          <c:tx>
            <c:v>Glucose concentration in the media</c:v>
          </c:tx>
          <c:spPr>
            <a:ln w="28575" cap="rnd">
              <a:solidFill>
                <a:srgbClr val="9999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999FF"/>
              </a:solidFill>
              <a:ln w="28575">
                <a:solidFill>
                  <a:srgbClr val="9999FF"/>
                </a:solidFill>
              </a:ln>
              <a:effectLst/>
            </c:spPr>
          </c:marker>
          <c:xVal>
            <c:numRef>
              <c:f>DXS2_IspG_IspH_IspS_IDI!$A$42:$A$54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5.5</c:v>
                </c:pt>
                <c:pt idx="7">
                  <c:v>6.5</c:v>
                </c:pt>
                <c:pt idx="8">
                  <c:v>7.5</c:v>
                </c:pt>
                <c:pt idx="9">
                  <c:v>8.5</c:v>
                </c:pt>
                <c:pt idx="10">
                  <c:v>9.5</c:v>
                </c:pt>
                <c:pt idx="11">
                  <c:v>10.5</c:v>
                </c:pt>
                <c:pt idx="12">
                  <c:v>11.5</c:v>
                </c:pt>
              </c:numCache>
            </c:numRef>
          </c:xVal>
          <c:yVal>
            <c:numRef>
              <c:f>DXS2_IspG_IspH_IspS_IDI!$G$42:$G$54</c:f>
              <c:numCache>
                <c:formatCode>0.00</c:formatCode>
                <c:ptCount val="13"/>
                <c:pt idx="0">
                  <c:v>113.3787859584798</c:v>
                </c:pt>
                <c:pt idx="1">
                  <c:v>100.8613956130265</c:v>
                </c:pt>
                <c:pt idx="2">
                  <c:v>99.267507222016633</c:v>
                </c:pt>
                <c:pt idx="3">
                  <c:v>98.115979259052125</c:v>
                </c:pt>
                <c:pt idx="4">
                  <c:v>92.86645593394033</c:v>
                </c:pt>
                <c:pt idx="5">
                  <c:v>90.907519780789329</c:v>
                </c:pt>
                <c:pt idx="6">
                  <c:v>86.003899998753667</c:v>
                </c:pt>
                <c:pt idx="7">
                  <c:v>83.187030341589931</c:v>
                </c:pt>
                <c:pt idx="8">
                  <c:v>78.359237709304452</c:v>
                </c:pt>
                <c:pt idx="9">
                  <c:v>71.658077467919242</c:v>
                </c:pt>
                <c:pt idx="10">
                  <c:v>67.217326526039301</c:v>
                </c:pt>
                <c:pt idx="11">
                  <c:v>59.60237412314126</c:v>
                </c:pt>
                <c:pt idx="12">
                  <c:v>52.868702116657339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24-4C11-97D3-3CA67C49E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846744"/>
        <c:axId val="967851992"/>
      </c:scatterChart>
      <c:valAx>
        <c:axId val="96784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8384"/>
        <c:crosses val="autoZero"/>
        <c:crossBetween val="midCat"/>
        <c:minorUnit val="2.5"/>
      </c:valAx>
      <c:valAx>
        <c:axId val="96784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OD</a:t>
                </a:r>
                <a:r>
                  <a:rPr lang="en-US" sz="1600" baseline="-25000"/>
                  <a:t>600</a:t>
                </a:r>
                <a:r>
                  <a:rPr lang="en-US" sz="1600" baseline="0"/>
                  <a:t> (Abs)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5760"/>
        <c:crosses val="autoZero"/>
        <c:crossBetween val="midCat"/>
      </c:valAx>
      <c:valAx>
        <c:axId val="9678519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Glucose Concentration</a:t>
                </a:r>
                <a:r>
                  <a:rPr lang="en-US" sz="1600" baseline="0"/>
                  <a:t> (mM)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6744"/>
        <c:crosses val="max"/>
        <c:crossBetween val="midCat"/>
      </c:valAx>
      <c:valAx>
        <c:axId val="967846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7851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'DXS2'!$K$4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809120734908134"/>
                  <c:y val="0.15699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'DXS2'!$A$8:$A$11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xVal>
          <c:yVal>
            <c:numRef>
              <c:f>'DXS2'!$K$8:$K$11</c:f>
              <c:numCache>
                <c:formatCode>0.000</c:formatCode>
                <c:ptCount val="4"/>
                <c:pt idx="0">
                  <c:v>-1.6332251612626658</c:v>
                </c:pt>
                <c:pt idx="1">
                  <c:v>-1.2186383982976519</c:v>
                </c:pt>
                <c:pt idx="2">
                  <c:v>-0.82710381874938543</c:v>
                </c:pt>
                <c:pt idx="3">
                  <c:v>-0.51149499911507323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4B-485B-AE54-8D84D6428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'DXS2'!$C$38</c:f>
              <c:strCache>
                <c:ptCount val="1"/>
                <c:pt idx="0">
                  <c:v>Rep1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45734908136485"/>
                  <c:y val="6.81747594050743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'DXS2'!$B$42:$B$45</c:f>
              <c:numCache>
                <c:formatCode>0.0000</c:formatCode>
                <c:ptCount val="4"/>
                <c:pt idx="0">
                  <c:v>0.21389047733705974</c:v>
                </c:pt>
                <c:pt idx="1">
                  <c:v>0.32375572252213647</c:v>
                </c:pt>
                <c:pt idx="2">
                  <c:v>0.47888106871369007</c:v>
                </c:pt>
                <c:pt idx="3">
                  <c:v>0.65663646540848197</c:v>
                </c:pt>
              </c:numCache>
            </c:numRef>
          </c:xVal>
          <c:yVal>
            <c:numRef>
              <c:f>'DXS2'!$C$42:$C$45</c:f>
              <c:numCache>
                <c:formatCode>0.00</c:formatCode>
                <c:ptCount val="4"/>
                <c:pt idx="0">
                  <c:v>114.17225802582516</c:v>
                </c:pt>
                <c:pt idx="1">
                  <c:v>104.05281502505137</c:v>
                </c:pt>
                <c:pt idx="2">
                  <c:v>96.734099245708549</c:v>
                </c:pt>
                <c:pt idx="3">
                  <c:v>82.549276583817417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D1-4F5A-A1D8-2CD8C35A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636224"/>
        <c:axId val="691627040"/>
      </c:scatterChart>
      <c:valAx>
        <c:axId val="6916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27040"/>
        <c:crosses val="autoZero"/>
        <c:crossBetween val="midCat"/>
      </c:valAx>
      <c:valAx>
        <c:axId val="6916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'DXS2'!$D$38</c:f>
              <c:strCache>
                <c:ptCount val="1"/>
                <c:pt idx="0">
                  <c:v>Rep2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45734908136485"/>
                  <c:y val="6.81747594050743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'DXS2'!$B$42:$B$45</c:f>
              <c:numCache>
                <c:formatCode>0.0000</c:formatCode>
                <c:ptCount val="4"/>
                <c:pt idx="0">
                  <c:v>0.21389047733705974</c:v>
                </c:pt>
                <c:pt idx="1">
                  <c:v>0.32375572252213647</c:v>
                </c:pt>
                <c:pt idx="2">
                  <c:v>0.47888106871369007</c:v>
                </c:pt>
                <c:pt idx="3">
                  <c:v>0.65663646540848197</c:v>
                </c:pt>
              </c:numCache>
            </c:numRef>
          </c:xVal>
          <c:yVal>
            <c:numRef>
              <c:f>'DXS2'!$D$42:$D$45</c:f>
              <c:numCache>
                <c:formatCode>0.00</c:formatCode>
                <c:ptCount val="4"/>
                <c:pt idx="0">
                  <c:v>116.49657571744615</c:v>
                </c:pt>
                <c:pt idx="1">
                  <c:v>110.77618374894138</c:v>
                </c:pt>
                <c:pt idx="2">
                  <c:v>101.64102776668396</c:v>
                </c:pt>
                <c:pt idx="3">
                  <c:v>88.37926082472228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5F-4050-8E1A-A547620B5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636224"/>
        <c:axId val="691627040"/>
      </c:scatterChart>
      <c:valAx>
        <c:axId val="6916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27040"/>
        <c:crosses val="autoZero"/>
        <c:crossBetween val="midCat"/>
      </c:valAx>
      <c:valAx>
        <c:axId val="6916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'DXS2'!$E$38</c:f>
              <c:strCache>
                <c:ptCount val="1"/>
                <c:pt idx="0">
                  <c:v>Rep3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45734908136485"/>
                  <c:y val="6.81747594050743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'DXS2'!$B$42:$B$45</c:f>
              <c:numCache>
                <c:formatCode>0.0000</c:formatCode>
                <c:ptCount val="4"/>
                <c:pt idx="0">
                  <c:v>0.21389047733705974</c:v>
                </c:pt>
                <c:pt idx="1">
                  <c:v>0.32375572252213647</c:v>
                </c:pt>
                <c:pt idx="2">
                  <c:v>0.47888106871369007</c:v>
                </c:pt>
                <c:pt idx="3">
                  <c:v>0.65663646540848197</c:v>
                </c:pt>
              </c:numCache>
            </c:numRef>
          </c:xVal>
          <c:yVal>
            <c:numRef>
              <c:f>'DXS2'!$E$42:$E$45</c:f>
              <c:numCache>
                <c:formatCode>0.00</c:formatCode>
                <c:ptCount val="4"/>
                <c:pt idx="0">
                  <c:v>123.0606926063125</c:v>
                </c:pt>
                <c:pt idx="1">
                  <c:v>113.47658553265924</c:v>
                </c:pt>
                <c:pt idx="2">
                  <c:v>91.735360656288776</c:v>
                </c:pt>
                <c:pt idx="3">
                  <c:v>89.158447272035318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E1-46A9-915E-D5908A6DC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636224"/>
        <c:axId val="691627040"/>
      </c:scatterChart>
      <c:valAx>
        <c:axId val="6916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27040"/>
        <c:crosses val="autoZero"/>
        <c:crossBetween val="midCat"/>
      </c:valAx>
      <c:valAx>
        <c:axId val="6916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DXS2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DXS2 growth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'DXS2'!$A$5:$A$15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'DXS2'!$E$5:$E$15</c:f>
              <c:numCache>
                <c:formatCode>0.000</c:formatCode>
                <c:ptCount val="11"/>
                <c:pt idx="0">
                  <c:v>4.9666666666666671E-2</c:v>
                </c:pt>
                <c:pt idx="1">
                  <c:v>7.3999999999999996E-2</c:v>
                </c:pt>
                <c:pt idx="2">
                  <c:v>0.11566666666666665</c:v>
                </c:pt>
                <c:pt idx="3">
                  <c:v>0.19533333333333336</c:v>
                </c:pt>
                <c:pt idx="4">
                  <c:v>0.29566666666666669</c:v>
                </c:pt>
                <c:pt idx="5">
                  <c:v>0.43733333333333335</c:v>
                </c:pt>
                <c:pt idx="6">
                  <c:v>0.59966666666666668</c:v>
                </c:pt>
                <c:pt idx="7">
                  <c:v>0.80000000000000016</c:v>
                </c:pt>
                <c:pt idx="8">
                  <c:v>0.94866666666666666</c:v>
                </c:pt>
                <c:pt idx="9">
                  <c:v>1.0623333333333334</c:v>
                </c:pt>
                <c:pt idx="10">
                  <c:v>1.1013333333333335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3-4470-A873-CF7BF2C24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845760"/>
        <c:axId val="967848384"/>
      </c:scatterChart>
      <c:scatterChart>
        <c:scatterStyle val="lineMarker"/>
        <c:varyColors val="0"/>
        <c:ser>
          <c:idx val="1"/>
          <c:order val="1"/>
          <c:tx>
            <c:v>Glucose concentration in the media</c:v>
          </c:tx>
          <c:spPr>
            <a:ln w="28575" cap="rnd">
              <a:solidFill>
                <a:srgbClr val="9999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999FF"/>
              </a:solidFill>
              <a:ln w="28575">
                <a:solidFill>
                  <a:srgbClr val="9999FF"/>
                </a:solidFill>
              </a:ln>
              <a:effectLst/>
            </c:spPr>
          </c:marker>
          <c:xVal>
            <c:numRef>
              <c:f>('DXS2'!$A$39,'DXS2'!$A$40,'DXS2'!$A$42:$A$47)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('DXS2'!$F$39,'DXS2'!$F$40,'DXS2'!$F$42:$F$47)</c:f>
              <c:numCache>
                <c:formatCode>0.00</c:formatCode>
                <c:ptCount val="8"/>
                <c:pt idx="0">
                  <c:v>124.47477071264933</c:v>
                </c:pt>
                <c:pt idx="1">
                  <c:v>120.51431366046445</c:v>
                </c:pt>
                <c:pt idx="2">
                  <c:v>117.90984211652794</c:v>
                </c:pt>
                <c:pt idx="3">
                  <c:v>109.435194768884</c:v>
                </c:pt>
                <c:pt idx="4">
                  <c:v>96.703495889560429</c:v>
                </c:pt>
                <c:pt idx="5">
                  <c:v>86.695661560191681</c:v>
                </c:pt>
                <c:pt idx="6">
                  <c:v>72.868500282218008</c:v>
                </c:pt>
                <c:pt idx="7">
                  <c:v>55.587713759657362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E3-4470-A873-CF7BF2C24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846744"/>
        <c:axId val="967851992"/>
      </c:scatterChart>
      <c:valAx>
        <c:axId val="967845760"/>
        <c:scaling>
          <c:orientation val="minMax"/>
          <c:max val="1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8384"/>
        <c:crosses val="autoZero"/>
        <c:crossBetween val="midCat"/>
        <c:minorUnit val="1"/>
      </c:valAx>
      <c:valAx>
        <c:axId val="96784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OD</a:t>
                </a:r>
                <a:r>
                  <a:rPr lang="en-US" sz="1600" baseline="-25000"/>
                  <a:t>600</a:t>
                </a:r>
                <a:r>
                  <a:rPr lang="en-US" sz="1600" baseline="0"/>
                  <a:t> (Abs)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5760"/>
        <c:crosses val="autoZero"/>
        <c:crossBetween val="midCat"/>
      </c:valAx>
      <c:valAx>
        <c:axId val="9678519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Glucose Concentration</a:t>
                </a:r>
                <a:r>
                  <a:rPr lang="en-US" sz="1600" baseline="0"/>
                  <a:t> (mM)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6744"/>
        <c:crosses val="max"/>
        <c:crossBetween val="midCat"/>
      </c:valAx>
      <c:valAx>
        <c:axId val="967846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7851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DXS2_IspG!$K$4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809120734908134"/>
                  <c:y val="0.15699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DXS2_IspG!$A$8:$A$11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xVal>
          <c:yVal>
            <c:numRef>
              <c:f>DXS2_IspG!$K$8:$K$11</c:f>
              <c:numCache>
                <c:formatCode>0.000</c:formatCode>
                <c:ptCount val="4"/>
                <c:pt idx="0">
                  <c:v>-1.6768293542164958</c:v>
                </c:pt>
                <c:pt idx="1">
                  <c:v>-1.2936455442175696</c:v>
                </c:pt>
                <c:pt idx="2">
                  <c:v>-0.90396780506863594</c:v>
                </c:pt>
                <c:pt idx="3">
                  <c:v>-0.61135836789108489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73-45BA-8900-1951E3BE8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DXS2_IspG!$C$38</c:f>
              <c:strCache>
                <c:ptCount val="1"/>
                <c:pt idx="0">
                  <c:v>Rep1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45734908136485"/>
                  <c:y val="6.81747594050743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DXS2_IspG!$B$42:$B$46</c:f>
              <c:numCache>
                <c:formatCode>0.0000</c:formatCode>
                <c:ptCount val="5"/>
                <c:pt idx="0">
                  <c:v>0.21452978857975458</c:v>
                </c:pt>
                <c:pt idx="1">
                  <c:v>0.31472017112502332</c:v>
                </c:pt>
                <c:pt idx="2">
                  <c:v>0.46462333890267715</c:v>
                </c:pt>
                <c:pt idx="3">
                  <c:v>0.62255703352556258</c:v>
                </c:pt>
                <c:pt idx="4">
                  <c:v>0.83632201002481876</c:v>
                </c:pt>
              </c:numCache>
            </c:numRef>
          </c:xVal>
          <c:yVal>
            <c:numRef>
              <c:f>DXS2_IspG!$C$42:$C$46</c:f>
              <c:numCache>
                <c:formatCode>0.00</c:formatCode>
                <c:ptCount val="5"/>
                <c:pt idx="0">
                  <c:v>115.19759660983553</c:v>
                </c:pt>
                <c:pt idx="1">
                  <c:v>114.96898147638655</c:v>
                </c:pt>
                <c:pt idx="2">
                  <c:v>99.791608039376982</c:v>
                </c:pt>
                <c:pt idx="4">
                  <c:v>78.867282410914186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84-46EB-B4DF-D73BF4633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636224"/>
        <c:axId val="691627040"/>
      </c:scatterChart>
      <c:valAx>
        <c:axId val="6916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27040"/>
        <c:crosses val="autoZero"/>
        <c:crossBetween val="midCat"/>
      </c:valAx>
      <c:valAx>
        <c:axId val="6916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DXS2_IspG!$D$38</c:f>
              <c:strCache>
                <c:ptCount val="1"/>
                <c:pt idx="0">
                  <c:v>Rep2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45734908136485"/>
                  <c:y val="6.81747594050743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DXS2_IspG!$B$42:$B$46</c:f>
              <c:numCache>
                <c:formatCode>0.0000</c:formatCode>
                <c:ptCount val="5"/>
                <c:pt idx="0">
                  <c:v>0.21452978857975458</c:v>
                </c:pt>
                <c:pt idx="1">
                  <c:v>0.31472017112502332</c:v>
                </c:pt>
                <c:pt idx="2">
                  <c:v>0.46462333890267715</c:v>
                </c:pt>
                <c:pt idx="3">
                  <c:v>0.62255703352556258</c:v>
                </c:pt>
                <c:pt idx="4">
                  <c:v>0.83632201002481876</c:v>
                </c:pt>
              </c:numCache>
            </c:numRef>
          </c:xVal>
          <c:yVal>
            <c:numRef>
              <c:f>DXS2_IspG!$D$42:$D$46</c:f>
              <c:numCache>
                <c:formatCode>0.00</c:formatCode>
                <c:ptCount val="5"/>
                <c:pt idx="0">
                  <c:v>109.9549696031746</c:v>
                </c:pt>
                <c:pt idx="1">
                  <c:v>98.906588196303289</c:v>
                </c:pt>
                <c:pt idx="2">
                  <c:v>98.508328235646474</c:v>
                </c:pt>
                <c:pt idx="3">
                  <c:v>89.711164175028571</c:v>
                </c:pt>
                <c:pt idx="4">
                  <c:v>76.715918698506158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C0-4BAF-A253-D10DCD07D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636224"/>
        <c:axId val="691627040"/>
      </c:scatterChart>
      <c:valAx>
        <c:axId val="6916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27040"/>
        <c:crosses val="autoZero"/>
        <c:crossBetween val="midCat"/>
      </c:valAx>
      <c:valAx>
        <c:axId val="6916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DXS2_IspG!$E$38</c:f>
              <c:strCache>
                <c:ptCount val="1"/>
                <c:pt idx="0">
                  <c:v>Rep3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45734908136485"/>
                  <c:y val="6.81747594050743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DXS2_IspG!$B$42:$B$46</c:f>
              <c:numCache>
                <c:formatCode>0.0000</c:formatCode>
                <c:ptCount val="5"/>
                <c:pt idx="0">
                  <c:v>0.21452978857975458</c:v>
                </c:pt>
                <c:pt idx="1">
                  <c:v>0.31472017112502332</c:v>
                </c:pt>
                <c:pt idx="2">
                  <c:v>0.46462333890267715</c:v>
                </c:pt>
                <c:pt idx="3">
                  <c:v>0.62255703352556258</c:v>
                </c:pt>
                <c:pt idx="4">
                  <c:v>0.83632201002481876</c:v>
                </c:pt>
              </c:numCache>
            </c:numRef>
          </c:xVal>
          <c:yVal>
            <c:numRef>
              <c:f>DXS2_IspG!$E$42:$E$46</c:f>
              <c:numCache>
                <c:formatCode>0.00</c:formatCode>
                <c:ptCount val="5"/>
                <c:pt idx="0">
                  <c:v>112.43948608130304</c:v>
                </c:pt>
                <c:pt idx="1">
                  <c:v>118.9697929836281</c:v>
                </c:pt>
                <c:pt idx="2">
                  <c:v>97.15544288286398</c:v>
                </c:pt>
                <c:pt idx="3">
                  <c:v>93.216523486212182</c:v>
                </c:pt>
                <c:pt idx="4">
                  <c:v>76.746569306147521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08-48F9-9D89-CF0366189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636224"/>
        <c:axId val="691627040"/>
      </c:scatterChart>
      <c:valAx>
        <c:axId val="6916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27040"/>
        <c:crosses val="autoZero"/>
        <c:crossBetween val="midCat"/>
      </c:valAx>
      <c:valAx>
        <c:axId val="6916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DXS2_IspG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DXS2_IspG growth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DXS2_IspG!$A$5:$A$15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DXS2_IspG!$E$5:$E$15</c:f>
              <c:numCache>
                <c:formatCode>0.000</c:formatCode>
                <c:ptCount val="11"/>
                <c:pt idx="0">
                  <c:v>5.1333333333333335E-2</c:v>
                </c:pt>
                <c:pt idx="1">
                  <c:v>7.0000000000000007E-2</c:v>
                </c:pt>
                <c:pt idx="2">
                  <c:v>0.11066666666666668</c:v>
                </c:pt>
                <c:pt idx="3">
                  <c:v>0.18699999999999997</c:v>
                </c:pt>
                <c:pt idx="4">
                  <c:v>0.27433333333333337</c:v>
                </c:pt>
                <c:pt idx="5">
                  <c:v>0.40500000000000003</c:v>
                </c:pt>
                <c:pt idx="6">
                  <c:v>0.54266666666666674</c:v>
                </c:pt>
                <c:pt idx="7">
                  <c:v>0.72899999999999998</c:v>
                </c:pt>
                <c:pt idx="8">
                  <c:v>0.89333333333333342</c:v>
                </c:pt>
                <c:pt idx="9">
                  <c:v>1.0016666666666667</c:v>
                </c:pt>
                <c:pt idx="10">
                  <c:v>1.0563333333333333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6D-4013-B527-725A3FE95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845760"/>
        <c:axId val="967848384"/>
      </c:scatterChart>
      <c:scatterChart>
        <c:scatterStyle val="lineMarker"/>
        <c:varyColors val="0"/>
        <c:ser>
          <c:idx val="1"/>
          <c:order val="1"/>
          <c:tx>
            <c:v>Glucose concentration in the media</c:v>
          </c:tx>
          <c:spPr>
            <a:ln w="28575" cap="rnd">
              <a:solidFill>
                <a:srgbClr val="9999F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999FF"/>
              </a:solidFill>
              <a:ln w="28575">
                <a:solidFill>
                  <a:srgbClr val="9999FF"/>
                </a:solidFill>
              </a:ln>
              <a:effectLst/>
            </c:spPr>
          </c:marker>
          <c:xVal>
            <c:numRef>
              <c:f>DXS2_IspG!$A$39:$A$47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DXS2_IspG!$F$39:$F$47</c:f>
              <c:numCache>
                <c:formatCode>0.00</c:formatCode>
                <c:ptCount val="9"/>
                <c:pt idx="0">
                  <c:v>131.62588750184716</c:v>
                </c:pt>
                <c:pt idx="1">
                  <c:v>126.34162464773117</c:v>
                </c:pt>
                <c:pt idx="2">
                  <c:v>118.25536813283146</c:v>
                </c:pt>
                <c:pt idx="3">
                  <c:v>112.53068409810437</c:v>
                </c:pt>
                <c:pt idx="4">
                  <c:v>110.94845421877265</c:v>
                </c:pt>
                <c:pt idx="5">
                  <c:v>98.485126385962488</c:v>
                </c:pt>
                <c:pt idx="6">
                  <c:v>91.463843830620377</c:v>
                </c:pt>
                <c:pt idx="7">
                  <c:v>77.443256805189279</c:v>
                </c:pt>
                <c:pt idx="8">
                  <c:v>58.676787341962751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6D-4013-B527-725A3FE95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846744"/>
        <c:axId val="967851992"/>
      </c:scatterChart>
      <c:valAx>
        <c:axId val="96784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8384"/>
        <c:crosses val="autoZero"/>
        <c:crossBetween val="midCat"/>
        <c:minorUnit val="1"/>
      </c:valAx>
      <c:valAx>
        <c:axId val="96784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OD</a:t>
                </a:r>
                <a:r>
                  <a:rPr lang="en-US" sz="1600" baseline="-25000"/>
                  <a:t>600</a:t>
                </a:r>
                <a:r>
                  <a:rPr lang="en-US" sz="1600" baseline="0"/>
                  <a:t> (Abs)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5760"/>
        <c:crosses val="autoZero"/>
        <c:crossBetween val="midCat"/>
      </c:valAx>
      <c:valAx>
        <c:axId val="9678519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Glucose Concentration</a:t>
                </a:r>
                <a:r>
                  <a:rPr lang="en-US" sz="1600" baseline="0"/>
                  <a:t> (mM)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6744"/>
        <c:crosses val="max"/>
        <c:crossBetween val="midCat"/>
      </c:valAx>
      <c:valAx>
        <c:axId val="967846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7851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DXS2_IspG_IspH!$K$4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809120734908134"/>
                  <c:y val="0.15699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DXS2_IspG_IspH!$A$8:$A$11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xVal>
          <c:yVal>
            <c:numRef>
              <c:f>DXS2_IspG_IspH!$K$8:$K$11</c:f>
              <c:numCache>
                <c:formatCode>0.000</c:formatCode>
                <c:ptCount val="4"/>
                <c:pt idx="0">
                  <c:v>-1.5543169311167635</c:v>
                </c:pt>
                <c:pt idx="1">
                  <c:v>-1.101884833887298</c:v>
                </c:pt>
                <c:pt idx="2">
                  <c:v>-0.7246802780747984</c:v>
                </c:pt>
                <c:pt idx="3">
                  <c:v>-0.4264548349072223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2A-4D45-9905-BC3E6A425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DXS2_IspG_IspH!$C$38</c:f>
              <c:strCache>
                <c:ptCount val="1"/>
                <c:pt idx="0">
                  <c:v>Rep1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45734908136485"/>
                  <c:y val="6.81747594050743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DXS2_IspG_IspH!$B$42:$B$45</c:f>
              <c:numCache>
                <c:formatCode>0.0000</c:formatCode>
                <c:ptCount val="4"/>
                <c:pt idx="0">
                  <c:v>0.23335207620668261</c:v>
                </c:pt>
                <c:pt idx="1">
                  <c:v>0.36680029478737924</c:v>
                </c:pt>
                <c:pt idx="2">
                  <c:v>0.53415748694185938</c:v>
                </c:pt>
                <c:pt idx="3">
                  <c:v>0.71828685957369498</c:v>
                </c:pt>
              </c:numCache>
            </c:numRef>
          </c:xVal>
          <c:yVal>
            <c:numRef>
              <c:f>DXS2_IspG_IspH!$C$42:$C$45</c:f>
              <c:numCache>
                <c:formatCode>0.00</c:formatCode>
                <c:ptCount val="4"/>
                <c:pt idx="0">
                  <c:v>123.86090903445779</c:v>
                </c:pt>
                <c:pt idx="1">
                  <c:v>111.12419316792878</c:v>
                </c:pt>
                <c:pt idx="2">
                  <c:v>88.413994802842339</c:v>
                </c:pt>
                <c:pt idx="3">
                  <c:v>84.642628067713318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87-44FA-AF63-4E24FD31A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636224"/>
        <c:axId val="691627040"/>
      </c:scatterChart>
      <c:valAx>
        <c:axId val="6916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27040"/>
        <c:crosses val="autoZero"/>
        <c:crossBetween val="midCat"/>
      </c:valAx>
      <c:valAx>
        <c:axId val="6916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DXS2_IspG_IspH!$D$38</c:f>
              <c:strCache>
                <c:ptCount val="1"/>
                <c:pt idx="0">
                  <c:v>Rep2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45734908136485"/>
                  <c:y val="6.81747594050743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DXS2_IspG_IspH!$B$42:$B$45</c:f>
              <c:numCache>
                <c:formatCode>0.0000</c:formatCode>
                <c:ptCount val="4"/>
                <c:pt idx="0">
                  <c:v>0.23335207620668261</c:v>
                </c:pt>
                <c:pt idx="1">
                  <c:v>0.36680029478737924</c:v>
                </c:pt>
                <c:pt idx="2">
                  <c:v>0.53415748694185938</c:v>
                </c:pt>
                <c:pt idx="3">
                  <c:v>0.71828685957369498</c:v>
                </c:pt>
              </c:numCache>
            </c:numRef>
          </c:xVal>
          <c:yVal>
            <c:numRef>
              <c:f>DXS2_IspG_IspH!$D$42:$D$45</c:f>
              <c:numCache>
                <c:formatCode>0.00</c:formatCode>
                <c:ptCount val="4"/>
                <c:pt idx="0">
                  <c:v>114.19352329739695</c:v>
                </c:pt>
                <c:pt idx="1">
                  <c:v>105.98246971054317</c:v>
                </c:pt>
                <c:pt idx="2">
                  <c:v>88.43572602249607</c:v>
                </c:pt>
                <c:pt idx="3">
                  <c:v>75.581583408226876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4D-45CB-993B-15372684A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636224"/>
        <c:axId val="691627040"/>
      </c:scatterChart>
      <c:valAx>
        <c:axId val="6916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27040"/>
        <c:crosses val="autoZero"/>
        <c:crossBetween val="midCat"/>
      </c:valAx>
      <c:valAx>
        <c:axId val="6916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DXS2_IspG_IspH!$E$38</c:f>
              <c:strCache>
                <c:ptCount val="1"/>
                <c:pt idx="0">
                  <c:v>Rep3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45734908136485"/>
                  <c:y val="6.81747594050743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DXS2_IspG_IspH!$B$42:$B$45</c:f>
              <c:numCache>
                <c:formatCode>0.0000</c:formatCode>
                <c:ptCount val="4"/>
                <c:pt idx="0">
                  <c:v>0.23335207620668261</c:v>
                </c:pt>
                <c:pt idx="1">
                  <c:v>0.36680029478737924</c:v>
                </c:pt>
                <c:pt idx="2">
                  <c:v>0.53415748694185938</c:v>
                </c:pt>
                <c:pt idx="3">
                  <c:v>0.71828685957369498</c:v>
                </c:pt>
              </c:numCache>
            </c:numRef>
          </c:xVal>
          <c:yVal>
            <c:numRef>
              <c:f>DXS2_IspG_IspH!$E$42:$E$45</c:f>
              <c:numCache>
                <c:formatCode>0.00</c:formatCode>
                <c:ptCount val="4"/>
                <c:pt idx="0">
                  <c:v>112.44576318780743</c:v>
                </c:pt>
                <c:pt idx="1">
                  <c:v>110.67653568544117</c:v>
                </c:pt>
                <c:pt idx="2">
                  <c:v>95.728946452878404</c:v>
                </c:pt>
                <c:pt idx="3">
                  <c:v>87.378823260962548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4F-4AF4-9B37-68D5EBC7C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636224"/>
        <c:axId val="691627040"/>
      </c:scatterChart>
      <c:valAx>
        <c:axId val="6916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27040"/>
        <c:crosses val="autoZero"/>
        <c:crossBetween val="midCat"/>
      </c:valAx>
      <c:valAx>
        <c:axId val="6916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DXS2_IspG_IspH_IspS_IDI_run1!$L$3</c:f>
              <c:strCache>
                <c:ptCount val="1"/>
                <c:pt idx="0">
                  <c:v>Average, 10g/L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809120734908134"/>
                  <c:y val="0.15699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DXS2_IspG_IspH_IspS_IDI_run1!$A$4:$A$9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2.25</c:v>
                </c:pt>
                <c:pt idx="4">
                  <c:v>3.25</c:v>
                </c:pt>
                <c:pt idx="5">
                  <c:v>4.25</c:v>
                </c:pt>
              </c:numCache>
            </c:numRef>
          </c:xVal>
          <c:yVal>
            <c:numRef>
              <c:f>DXS2_IspG_IspH_IspS_IDI_run1!$L$4:$L$9</c:f>
              <c:numCache>
                <c:formatCode>0.000</c:formatCode>
                <c:ptCount val="6"/>
                <c:pt idx="0">
                  <c:v>-2.0255425807098213</c:v>
                </c:pt>
                <c:pt idx="1">
                  <c:v>-1.6779543267385197</c:v>
                </c:pt>
                <c:pt idx="2">
                  <c:v>-1.2966202214825024</c:v>
                </c:pt>
                <c:pt idx="3">
                  <c:v>-1.2084659137338383</c:v>
                </c:pt>
                <c:pt idx="4">
                  <c:v>-0.76860226570467871</c:v>
                </c:pt>
                <c:pt idx="5">
                  <c:v>-0.41124088507203704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E4-46BD-A422-12793F87C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DXS2_IspG_IspH_IspS_IDI_run1!$Q$3</c:f>
              <c:strCache>
                <c:ptCount val="1"/>
                <c:pt idx="0">
                  <c:v>Average, 20g/L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420231846019249"/>
                  <c:y val="0.180138888888888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DXS2_IspG_IspH_IspS_IDI_run1!$A$7:$A$10</c:f>
              <c:numCache>
                <c:formatCode>General</c:formatCode>
                <c:ptCount val="4"/>
                <c:pt idx="0">
                  <c:v>2.25</c:v>
                </c:pt>
                <c:pt idx="1">
                  <c:v>3.25</c:v>
                </c:pt>
                <c:pt idx="2">
                  <c:v>4.25</c:v>
                </c:pt>
                <c:pt idx="3">
                  <c:v>5.25</c:v>
                </c:pt>
              </c:numCache>
            </c:numRef>
          </c:xVal>
          <c:yVal>
            <c:numRef>
              <c:f>DXS2_IspG_IspH_IspS_IDI_run1!$Q$7:$Q$10</c:f>
              <c:numCache>
                <c:formatCode>0.000</c:formatCode>
                <c:ptCount val="4"/>
                <c:pt idx="0">
                  <c:v>-1.2242254914174824</c:v>
                </c:pt>
                <c:pt idx="1">
                  <c:v>-0.78406228347206752</c:v>
                </c:pt>
                <c:pt idx="2">
                  <c:v>-0.45061759096340065</c:v>
                </c:pt>
                <c:pt idx="3">
                  <c:v>-0.16259145573995623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D0-44E3-B5C8-37EA118CF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305941720128527"/>
                  <c:y val="-0.263109871682706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DXS2_IspG_IspH_IspS_IDI_run1!$B$30:$B$34</c:f>
              <c:numCache>
                <c:formatCode>General</c:formatCode>
                <c:ptCount val="5"/>
                <c:pt idx="0">
                  <c:v>0.1410122025167489</c:v>
                </c:pt>
                <c:pt idx="1">
                  <c:v>0.3190579127651692</c:v>
                </c:pt>
                <c:pt idx="2">
                  <c:v>0.49532316591110531</c:v>
                </c:pt>
                <c:pt idx="3">
                  <c:v>0.70826583536821619</c:v>
                </c:pt>
                <c:pt idx="4">
                  <c:v>0.88025799146819006</c:v>
                </c:pt>
              </c:numCache>
            </c:numRef>
          </c:xVal>
          <c:yVal>
            <c:numRef>
              <c:f>DXS2_IspG_IspH_IspS_IDI_run1!$D$30:$D$34</c:f>
              <c:numCache>
                <c:formatCode>0.00</c:formatCode>
                <c:ptCount val="5"/>
                <c:pt idx="0">
                  <c:v>61.146475611739369</c:v>
                </c:pt>
                <c:pt idx="1">
                  <c:v>44.681530157214731</c:v>
                </c:pt>
                <c:pt idx="2">
                  <c:v>34.107110554699865</c:v>
                </c:pt>
                <c:pt idx="3">
                  <c:v>20.093236759222616</c:v>
                </c:pt>
                <c:pt idx="4">
                  <c:v>2.00656880138889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84-4B13-8F2D-63C902C13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919808"/>
        <c:axId val="755914560"/>
      </c:scatterChart>
      <c:valAx>
        <c:axId val="75591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14560"/>
        <c:crosses val="autoZero"/>
        <c:crossBetween val="midCat"/>
      </c:valAx>
      <c:valAx>
        <c:axId val="7559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1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10916447944007"/>
                  <c:y val="-0.234284412365121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DXS2_IspG_IspH_IspS_IDI_run1!$B$31:$B$34</c:f>
              <c:numCache>
                <c:formatCode>General</c:formatCode>
                <c:ptCount val="4"/>
                <c:pt idx="0">
                  <c:v>0.3190579127651692</c:v>
                </c:pt>
                <c:pt idx="1">
                  <c:v>0.49532316591110531</c:v>
                </c:pt>
                <c:pt idx="2">
                  <c:v>0.70826583536821619</c:v>
                </c:pt>
                <c:pt idx="3">
                  <c:v>0.88025799146819006</c:v>
                </c:pt>
              </c:numCache>
            </c:numRef>
          </c:xVal>
          <c:yVal>
            <c:numRef>
              <c:f>DXS2_IspG_IspH_IspS_IDI_run1!$G$31:$G$34</c:f>
              <c:numCache>
                <c:formatCode>0.00</c:formatCode>
                <c:ptCount val="4"/>
                <c:pt idx="0">
                  <c:v>54.198119813460103</c:v>
                </c:pt>
                <c:pt idx="1">
                  <c:v>49.909699055027133</c:v>
                </c:pt>
                <c:pt idx="2">
                  <c:v>44.901751575569556</c:v>
                </c:pt>
                <c:pt idx="3">
                  <c:v>35.823969378260031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F7-4A70-A2FB-D48B20381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919808"/>
        <c:axId val="755914560"/>
      </c:scatterChart>
      <c:valAx>
        <c:axId val="75591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14560"/>
        <c:crosses val="autoZero"/>
        <c:crossBetween val="midCat"/>
      </c:valAx>
      <c:valAx>
        <c:axId val="7559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1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DXS2_IspG_IspH_IspS_IDI_run2!$K$4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264199991051171"/>
                  <c:y val="0.176312061859315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DXS2_IspG_IspH_IspS_IDI_run2!$A$12:$A$16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DXS2_IspG_IspH_IspS_IDI_run2!$K$12:$K$16</c:f>
              <c:numCache>
                <c:formatCode>0.000</c:formatCode>
                <c:ptCount val="5"/>
                <c:pt idx="0">
                  <c:v>-1.2753934398083995</c:v>
                </c:pt>
                <c:pt idx="1">
                  <c:v>-0.97463176700869314</c:v>
                </c:pt>
                <c:pt idx="2">
                  <c:v>-0.67280974343960764</c:v>
                </c:pt>
                <c:pt idx="3">
                  <c:v>-0.38330136698383183</c:v>
                </c:pt>
                <c:pt idx="4">
                  <c:v>-0.13393877002520449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86-4F07-A223-03E2F1BDF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55736"/>
        <c:axId val="748556064"/>
      </c:scatterChart>
      <c:valAx>
        <c:axId val="74855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6064"/>
        <c:crosses val="autoZero"/>
        <c:crossBetween val="midCat"/>
      </c:valAx>
      <c:valAx>
        <c:axId val="748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DXS2_IspG_IspH_IspS_IDI_run2!$C$39</c:f>
              <c:strCache>
                <c:ptCount val="1"/>
                <c:pt idx="0">
                  <c:v>Rep1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84405074365703"/>
                  <c:y val="0.103289458220707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DXS2_IspG_IspH_IspS_IDI_run2!$B$44:$B$47</c:f>
              <c:numCache>
                <c:formatCode>0.0000</c:formatCode>
                <c:ptCount val="4"/>
                <c:pt idx="0">
                  <c:v>0.3998455652607284</c:v>
                </c:pt>
                <c:pt idx="1">
                  <c:v>0.54012551297749944</c:v>
                </c:pt>
                <c:pt idx="2">
                  <c:v>0.73050544202168888</c:v>
                </c:pt>
                <c:pt idx="3">
                  <c:v>0.97575677918638359</c:v>
                </c:pt>
              </c:numCache>
            </c:numRef>
          </c:xVal>
          <c:yVal>
            <c:numRef>
              <c:f>DXS2_IspG_IspH_IspS_IDI_run2!$C$44:$C$47</c:f>
              <c:numCache>
                <c:formatCode>0.00</c:formatCode>
                <c:ptCount val="4"/>
                <c:pt idx="0">
                  <c:v>95.221321044411283</c:v>
                </c:pt>
                <c:pt idx="1">
                  <c:v>89.070357246458215</c:v>
                </c:pt>
                <c:pt idx="2">
                  <c:v>76.53419757105253</c:v>
                </c:pt>
                <c:pt idx="3">
                  <c:v>63.050497738222155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02-4F6A-A5DE-BBD963C78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DXS2_IspG_IspH_IspS_IDI_run2!$D$39</c:f>
              <c:strCache>
                <c:ptCount val="1"/>
                <c:pt idx="0">
                  <c:v>Rep2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955293088363955"/>
                  <c:y val="-5.27369495479731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DXS2_IspG_IspH_IspS_IDI_run2!$B$44:$B$47</c:f>
              <c:numCache>
                <c:formatCode>0.0000</c:formatCode>
                <c:ptCount val="4"/>
                <c:pt idx="0">
                  <c:v>0.3998455652607284</c:v>
                </c:pt>
                <c:pt idx="1">
                  <c:v>0.54012551297749944</c:v>
                </c:pt>
                <c:pt idx="2">
                  <c:v>0.73050544202168888</c:v>
                </c:pt>
                <c:pt idx="3">
                  <c:v>0.97575677918638359</c:v>
                </c:pt>
              </c:numCache>
            </c:numRef>
          </c:xVal>
          <c:yVal>
            <c:numRef>
              <c:f>DXS2_IspG_IspH_IspS_IDI_run2!$D$44:$D$47</c:f>
              <c:numCache>
                <c:formatCode>0.00</c:formatCode>
                <c:ptCount val="4"/>
                <c:pt idx="0">
                  <c:v>95.97122977884581</c:v>
                </c:pt>
                <c:pt idx="1">
                  <c:v>86.675940417828599</c:v>
                </c:pt>
                <c:pt idx="2">
                  <c:v>76.136164580819454</c:v>
                </c:pt>
                <c:pt idx="3">
                  <c:v>62.663385849048971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A0-40F7-9B8B-B7559875E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DXS2_IspG_IspH_IspS_IDI_run2!$E$39</c:f>
              <c:strCache>
                <c:ptCount val="1"/>
                <c:pt idx="0">
                  <c:v>Rep3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344181977252846"/>
                  <c:y val="-7.86041848935549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DXS2_IspG_IspH_IspS_IDI_run2!$B$44:$B$47</c:f>
              <c:numCache>
                <c:formatCode>0.0000</c:formatCode>
                <c:ptCount val="4"/>
                <c:pt idx="0">
                  <c:v>0.3998455652607284</c:v>
                </c:pt>
                <c:pt idx="1">
                  <c:v>0.54012551297749944</c:v>
                </c:pt>
                <c:pt idx="2">
                  <c:v>0.73050544202168888</c:v>
                </c:pt>
                <c:pt idx="3">
                  <c:v>0.97575677918638359</c:v>
                </c:pt>
              </c:numCache>
            </c:numRef>
          </c:xVal>
          <c:yVal>
            <c:numRef>
              <c:f>DXS2_IspG_IspH_IspS_IDI_run2!$E$44:$E$47</c:f>
              <c:numCache>
                <c:formatCode>0.00</c:formatCode>
                <c:ptCount val="4"/>
                <c:pt idx="0">
                  <c:v>93.901174427524836</c:v>
                </c:pt>
                <c:pt idx="1">
                  <c:v>86.973100709205696</c:v>
                </c:pt>
                <c:pt idx="2">
                  <c:v>73.895112904153336</c:v>
                </c:pt>
                <c:pt idx="3">
                  <c:v>64.11397706983837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7A-4561-8F79-461A267A8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472488"/>
        <c:axId val="810478064"/>
      </c:scatterChart>
      <c:valAx>
        <c:axId val="81047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8064"/>
        <c:crosses val="autoZero"/>
        <c:crossBetween val="midCat"/>
      </c:valAx>
      <c:valAx>
        <c:axId val="810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7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DXS2_IspG_IspH_IspS_IDI_run2!$E$4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DXS2_IspG_IspH_IspS_IDI_run2!$A$5:$A$19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DXS2_IspG_IspH_IspS_IDI_run2!$E$5:$E$19</c:f>
              <c:numCache>
                <c:formatCode>0.000</c:formatCode>
                <c:ptCount val="15"/>
                <c:pt idx="0">
                  <c:v>5.6666666666666671E-2</c:v>
                </c:pt>
                <c:pt idx="1">
                  <c:v>6.1666666666666668E-2</c:v>
                </c:pt>
                <c:pt idx="2">
                  <c:v>7.4999999999999997E-2</c:v>
                </c:pt>
                <c:pt idx="3">
                  <c:v>9.4000000000000014E-2</c:v>
                </c:pt>
                <c:pt idx="4">
                  <c:v>0.12366666666666666</c:v>
                </c:pt>
                <c:pt idx="5">
                  <c:v>0.15533333333333332</c:v>
                </c:pt>
                <c:pt idx="6">
                  <c:v>0.20200000000000004</c:v>
                </c:pt>
                <c:pt idx="7">
                  <c:v>0.27933333333333332</c:v>
                </c:pt>
                <c:pt idx="8">
                  <c:v>0.37733333333333335</c:v>
                </c:pt>
                <c:pt idx="9">
                  <c:v>0.51033333333333342</c:v>
                </c:pt>
                <c:pt idx="10">
                  <c:v>0.68166666666666664</c:v>
                </c:pt>
                <c:pt idx="11">
                  <c:v>0.8746666666666667</c:v>
                </c:pt>
                <c:pt idx="12">
                  <c:v>0.99433333333333318</c:v>
                </c:pt>
                <c:pt idx="13">
                  <c:v>1.0603333333333333</c:v>
                </c:pt>
                <c:pt idx="14">
                  <c:v>1.0823333333333334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02-459E-87C0-4A6890E52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499280"/>
        <c:axId val="865500920"/>
      </c:scatterChart>
      <c:valAx>
        <c:axId val="86549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500920"/>
        <c:crosses val="autoZero"/>
        <c:crossBetween val="midCat"/>
      </c:valAx>
      <c:valAx>
        <c:axId val="865500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9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'Adjusted Isp Production Rates'!$B$1</c:f>
              <c:strCache>
                <c:ptCount val="1"/>
                <c:pt idx="0">
                  <c:v>Isoprene Production Rate (nmol isp L-1 culture OD-1 h-1)</c:v>
                </c:pt>
              </c:strCache>
            </c:strRef>
          </c:tx>
          <c:spPr>
            <a:solidFill>
              <a:schemeClr val="accent1"/>
            </a:solidFill>
            <a:ln w="2857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'Adjusted Isp Production Rates'!$C$2:$C$7</c:f>
                <c:numCache>
                  <c:formatCode>General</c:formatCode>
                  <c:ptCount val="6"/>
                  <c:pt idx="0">
                    <c:v>14</c:v>
                  </c:pt>
                  <c:pt idx="1">
                    <c:v>85</c:v>
                  </c:pt>
                  <c:pt idx="2">
                    <c:v>203</c:v>
                  </c:pt>
                  <c:pt idx="3">
                    <c:v>103</c:v>
                  </c:pt>
                  <c:pt idx="4">
                    <c:v>53</c:v>
                  </c:pt>
                  <c:pt idx="5">
                    <c:v>82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'Adjusted Isp Production Rates'!$A$2:$A$7</c:f>
              <c:strCache>
                <c:ptCount val="6"/>
                <c:pt idx="0">
                  <c:v>ZM4_GFP</c:v>
                </c:pt>
                <c:pt idx="1">
                  <c:v>ZM4_IspS</c:v>
                </c:pt>
                <c:pt idx="2">
                  <c:v>ZM4_DXS2_IspS</c:v>
                </c:pt>
                <c:pt idx="3">
                  <c:v>ZM4_DXS2_IspS_IDI</c:v>
                </c:pt>
                <c:pt idx="4">
                  <c:v>ZM4_DXS2_IspG_IspH_IspS</c:v>
                </c:pt>
                <c:pt idx="5">
                  <c:v>ZM4_DXS2_IspG_IspH_IspS_IDI</c:v>
                </c:pt>
              </c:strCache>
            </c:strRef>
          </c:cat>
          <c:val>
            <c:numRef>
              <c:f>'Adjusted Isp Production Rates'!$B$2:$B$7</c:f>
              <c:numCache>
                <c:formatCode>General</c:formatCode>
                <c:ptCount val="6"/>
                <c:pt idx="0">
                  <c:v>149</c:v>
                </c:pt>
                <c:pt idx="1">
                  <c:v>174</c:v>
                </c:pt>
                <c:pt idx="2">
                  <c:v>785</c:v>
                </c:pt>
                <c:pt idx="3">
                  <c:v>457</c:v>
                </c:pt>
                <c:pt idx="4">
                  <c:v>236</c:v>
                </c:pt>
                <c:pt idx="5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0-41BC-9CC8-875811889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573024"/>
        <c:axId val="713580568"/>
      </c:barChart>
      <c:catAx>
        <c:axId val="7135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580568"/>
        <c:crosses val="autoZero"/>
        <c:auto val="1"/>
        <c:lblAlgn val="ctr"/>
        <c:lblOffset val="100"/>
        <c:noMultiLvlLbl val="0"/>
      </c:catAx>
      <c:valAx>
        <c:axId val="71358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57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'Adjusted Isp Production Rates'!$E$1</c:f>
              <c:strCache>
                <c:ptCount val="1"/>
                <c:pt idx="0">
                  <c:v>Adjusted Rate (nmol isp mmol glucose -1)</c:v>
                </c:pt>
              </c:strCache>
            </c:strRef>
          </c:tx>
          <c:spPr>
            <a:solidFill>
              <a:schemeClr val="accent1"/>
            </a:solidFill>
            <a:ln w="2857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'Adjusted Isp Production Rates'!$F$2:$F$7</c:f>
                <c:numCache>
                  <c:formatCode>General</c:formatCode>
                  <c:ptCount val="6"/>
                  <c:pt idx="0">
                    <c:v>0.52435698231680061</c:v>
                  </c:pt>
                  <c:pt idx="1">
                    <c:v>2.8538035644737874</c:v>
                  </c:pt>
                  <c:pt idx="2">
                    <c:v>8.6116254486775805</c:v>
                  </c:pt>
                  <c:pt idx="3">
                    <c:v>3.6657280063722211</c:v>
                  </c:pt>
                  <c:pt idx="4">
                    <c:v>4.0512819229000439</c:v>
                  </c:pt>
                  <c:pt idx="5">
                    <c:v>5.9322342442464917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'Adjusted Isp Production Rates'!$A$2:$A$7</c:f>
              <c:strCache>
                <c:ptCount val="6"/>
                <c:pt idx="0">
                  <c:v>ZM4_GFP</c:v>
                </c:pt>
                <c:pt idx="1">
                  <c:v>ZM4_IspS</c:v>
                </c:pt>
                <c:pt idx="2">
                  <c:v>ZM4_DXS2_IspS</c:v>
                </c:pt>
                <c:pt idx="3">
                  <c:v>ZM4_DXS2_IspS_IDI</c:v>
                </c:pt>
                <c:pt idx="4">
                  <c:v>ZM4_DXS2_IspG_IspH_IspS</c:v>
                </c:pt>
                <c:pt idx="5">
                  <c:v>ZM4_DXS2_IspG_IspH_IspS_IDI</c:v>
                </c:pt>
              </c:strCache>
            </c:strRef>
          </c:cat>
          <c:val>
            <c:numRef>
              <c:f>'Adjusted Isp Production Rates'!$E$2:$E$7</c:f>
              <c:numCache>
                <c:formatCode>0.0</c:formatCode>
                <c:ptCount val="6"/>
                <c:pt idx="0">
                  <c:v>5.5806564546573787</c:v>
                </c:pt>
                <c:pt idx="1">
                  <c:v>5.8419037672757526</c:v>
                </c:pt>
                <c:pt idx="2">
                  <c:v>33.301113188235966</c:v>
                </c:pt>
                <c:pt idx="3">
                  <c:v>16.264443678758301</c:v>
                </c:pt>
                <c:pt idx="4">
                  <c:v>18.039670449139816</c:v>
                </c:pt>
                <c:pt idx="5">
                  <c:v>20.111720974396643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B-461C-B38C-41840A629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573024"/>
        <c:axId val="713580568"/>
      </c:barChart>
      <c:catAx>
        <c:axId val="7135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580568"/>
        <c:crosses val="autoZero"/>
        <c:auto val="1"/>
        <c:lblAlgn val="ctr"/>
        <c:lblOffset val="100"/>
        <c:noMultiLvlLbl val="0"/>
      </c:catAx>
      <c:valAx>
        <c:axId val="71358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57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4" Type="http://schemas.openxmlformats.org/officeDocument/2006/relationships/chart" Target="../charts/chart5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4" Type="http://schemas.openxmlformats.org/officeDocument/2006/relationships/chart" Target="../charts/chart5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Relationship Id="rId5" Type="http://schemas.openxmlformats.org/officeDocument/2006/relationships/chart" Target="../charts/chart63.xml"/><Relationship Id="rId4" Type="http://schemas.openxmlformats.org/officeDocument/2006/relationships/chart" Target="../charts/chart6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199303</xdr:colOff>
      <xdr:row>0</xdr:row>
      <xdr:rowOff>113178</xdr:rowOff>
    </xdr:from>
    <xdr:to>
      <xdr:col>40</xdr:col>
      <xdr:colOff>20008</xdr:colOff>
      <xdr:row>13</xdr:row>
      <xdr:rowOff>91249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3B1B47-01CE-4786-9AC4-C773EB8D7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74437</xdr:colOff>
      <xdr:row>0</xdr:row>
      <xdr:rowOff>116062</xdr:rowOff>
    </xdr:from>
    <xdr:to>
      <xdr:col>44</xdr:col>
      <xdr:colOff>798018</xdr:colOff>
      <xdr:row>13</xdr:row>
      <xdr:rowOff>102455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620B1B-5081-4C9C-99E6-E693732B7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252131</xdr:colOff>
      <xdr:row>32</xdr:row>
      <xdr:rowOff>12325</xdr:rowOff>
    </xdr:from>
    <xdr:to>
      <xdr:col>17</xdr:col>
      <xdr:colOff>50425</xdr:colOff>
      <xdr:row>44</xdr:row>
      <xdr:rowOff>88525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8EDC04-8346-6D6A-23E8-B25020EA6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67236</xdr:colOff>
      <xdr:row>32</xdr:row>
      <xdr:rowOff>12324</xdr:rowOff>
    </xdr:from>
    <xdr:to>
      <xdr:col>22</xdr:col>
      <xdr:colOff>661148</xdr:colOff>
      <xdr:row>44</xdr:row>
      <xdr:rowOff>88524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55463D-E741-AE6D-A918-6B8ED3A2D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257735</xdr:colOff>
      <xdr:row>44</xdr:row>
      <xdr:rowOff>89647</xdr:rowOff>
    </xdr:from>
    <xdr:to>
      <xdr:col>17</xdr:col>
      <xdr:colOff>56029</xdr:colOff>
      <xdr:row>58</xdr:row>
      <xdr:rowOff>165847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0AF98C-FFFB-414E-AC81-C8CC27F48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268941</xdr:colOff>
      <xdr:row>58</xdr:row>
      <xdr:rowOff>168088</xdr:rowOff>
    </xdr:from>
    <xdr:to>
      <xdr:col>17</xdr:col>
      <xdr:colOff>67235</xdr:colOff>
      <xdr:row>73</xdr:row>
      <xdr:rowOff>53788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0B12AF-5685-451F-B41B-15C3DAACB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67234</xdr:colOff>
      <xdr:row>44</xdr:row>
      <xdr:rowOff>56030</xdr:rowOff>
    </xdr:from>
    <xdr:to>
      <xdr:col>22</xdr:col>
      <xdr:colOff>661146</xdr:colOff>
      <xdr:row>58</xdr:row>
      <xdr:rowOff>132230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6C03E1-4B3D-4AF6-A494-43E18940D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67234</xdr:colOff>
      <xdr:row>58</xdr:row>
      <xdr:rowOff>156882</xdr:rowOff>
    </xdr:from>
    <xdr:to>
      <xdr:col>22</xdr:col>
      <xdr:colOff>661146</xdr:colOff>
      <xdr:row>73</xdr:row>
      <xdr:rowOff>42582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995AA7-CBAD-4FC9-89A1-1BB1CFA4B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116061</xdr:colOff>
      <xdr:row>31</xdr:row>
      <xdr:rowOff>124866</xdr:rowOff>
    </xdr:from>
    <xdr:to>
      <xdr:col>32</xdr:col>
      <xdr:colOff>334737</xdr:colOff>
      <xdr:row>52</xdr:row>
      <xdr:rowOff>124866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68F892B-5D01-4DAF-2D7C-D632ED6DC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14407</xdr:colOff>
      <xdr:row>1</xdr:row>
      <xdr:rowOff>104775</xdr:rowOff>
    </xdr:from>
    <xdr:to>
      <xdr:col>28</xdr:col>
      <xdr:colOff>612881</xdr:colOff>
      <xdr:row>14</xdr:row>
      <xdr:rowOff>96453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65CB9-5D57-4854-84F8-45CA97FB5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50426</xdr:colOff>
      <xdr:row>31</xdr:row>
      <xdr:rowOff>158001</xdr:rowOff>
    </xdr:from>
    <xdr:to>
      <xdr:col>12</xdr:col>
      <xdr:colOff>644337</xdr:colOff>
      <xdr:row>44</xdr:row>
      <xdr:rowOff>43701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C0767F-43D6-4311-BB7D-BCB3B7EA4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56030</xdr:colOff>
      <xdr:row>44</xdr:row>
      <xdr:rowOff>78440</xdr:rowOff>
    </xdr:from>
    <xdr:to>
      <xdr:col>12</xdr:col>
      <xdr:colOff>649941</xdr:colOff>
      <xdr:row>58</xdr:row>
      <xdr:rowOff>154640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4DAA10-2946-473D-A180-E875237AA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11206</xdr:colOff>
      <xdr:row>58</xdr:row>
      <xdr:rowOff>145676</xdr:rowOff>
    </xdr:from>
    <xdr:to>
      <xdr:col>12</xdr:col>
      <xdr:colOff>605117</xdr:colOff>
      <xdr:row>73</xdr:row>
      <xdr:rowOff>31376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937745-FC33-43AD-B07C-3F1E0E3F6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709612</xdr:colOff>
      <xdr:row>18</xdr:row>
      <xdr:rowOff>119060</xdr:rowOff>
    </xdr:from>
    <xdr:to>
      <xdr:col>17</xdr:col>
      <xdr:colOff>119062</xdr:colOff>
      <xdr:row>41</xdr:row>
      <xdr:rowOff>119060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4FF1BC-51EE-F64A-CBE0-DEF145DF8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216112</xdr:colOff>
      <xdr:row>0</xdr:row>
      <xdr:rowOff>40821</xdr:rowOff>
    </xdr:from>
    <xdr:to>
      <xdr:col>40</xdr:col>
      <xdr:colOff>30414</xdr:colOff>
      <xdr:row>13</xdr:row>
      <xdr:rowOff>18892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CDA42-35D6-4994-B398-176B35225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119262</xdr:colOff>
      <xdr:row>0</xdr:row>
      <xdr:rowOff>40821</xdr:rowOff>
    </xdr:from>
    <xdr:to>
      <xdr:col>44</xdr:col>
      <xdr:colOff>842842</xdr:colOff>
      <xdr:row>13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093E33-50DA-4BCD-A671-C47AD8952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252131</xdr:colOff>
      <xdr:row>32</xdr:row>
      <xdr:rowOff>12325</xdr:rowOff>
    </xdr:from>
    <xdr:to>
      <xdr:col>17</xdr:col>
      <xdr:colOff>50425</xdr:colOff>
      <xdr:row>44</xdr:row>
      <xdr:rowOff>88525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E6C839-00F1-4045-994E-873A62826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224118</xdr:colOff>
      <xdr:row>32</xdr:row>
      <xdr:rowOff>23530</xdr:rowOff>
    </xdr:from>
    <xdr:to>
      <xdr:col>23</xdr:col>
      <xdr:colOff>22412</xdr:colOff>
      <xdr:row>44</xdr:row>
      <xdr:rowOff>99730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6F810A-A3A7-400F-9ACA-73F658D67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257735</xdr:colOff>
      <xdr:row>44</xdr:row>
      <xdr:rowOff>89647</xdr:rowOff>
    </xdr:from>
    <xdr:to>
      <xdr:col>17</xdr:col>
      <xdr:colOff>56029</xdr:colOff>
      <xdr:row>58</xdr:row>
      <xdr:rowOff>165847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1E5B1A-E62D-490A-AA27-E6E3A666D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268941</xdr:colOff>
      <xdr:row>58</xdr:row>
      <xdr:rowOff>168088</xdr:rowOff>
    </xdr:from>
    <xdr:to>
      <xdr:col>17</xdr:col>
      <xdr:colOff>67235</xdr:colOff>
      <xdr:row>73</xdr:row>
      <xdr:rowOff>53788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997CEB-444D-43EE-8FEE-F773AB55E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67234</xdr:colOff>
      <xdr:row>44</xdr:row>
      <xdr:rowOff>56030</xdr:rowOff>
    </xdr:from>
    <xdr:to>
      <xdr:col>22</xdr:col>
      <xdr:colOff>661146</xdr:colOff>
      <xdr:row>58</xdr:row>
      <xdr:rowOff>132230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595E5F-AFB6-4535-8748-F68DC16FA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67234</xdr:colOff>
      <xdr:row>58</xdr:row>
      <xdr:rowOff>156882</xdr:rowOff>
    </xdr:from>
    <xdr:to>
      <xdr:col>22</xdr:col>
      <xdr:colOff>661146</xdr:colOff>
      <xdr:row>73</xdr:row>
      <xdr:rowOff>42582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E072FB-AD0F-4D45-ABE0-4B767CB88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299358</xdr:colOff>
      <xdr:row>32</xdr:row>
      <xdr:rowOff>0</xdr:rowOff>
    </xdr:from>
    <xdr:to>
      <xdr:col>32</xdr:col>
      <xdr:colOff>511630</xdr:colOff>
      <xdr:row>52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6303D4-6649-4018-8F05-7A9F8DB2F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115260</xdr:colOff>
      <xdr:row>1</xdr:row>
      <xdr:rowOff>150077</xdr:rowOff>
    </xdr:from>
    <xdr:to>
      <xdr:col>28</xdr:col>
      <xdr:colOff>713734</xdr:colOff>
      <xdr:row>14</xdr:row>
      <xdr:rowOff>141755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EF739-8A57-4B88-99FE-86B1FE862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16808</xdr:colOff>
      <xdr:row>31</xdr:row>
      <xdr:rowOff>124384</xdr:rowOff>
    </xdr:from>
    <xdr:to>
      <xdr:col>13</xdr:col>
      <xdr:colOff>610720</xdr:colOff>
      <xdr:row>44</xdr:row>
      <xdr:rowOff>10084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DD0D6C-328A-4B04-BC6A-0CC16B085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22412</xdr:colOff>
      <xdr:row>44</xdr:row>
      <xdr:rowOff>11206</xdr:rowOff>
    </xdr:from>
    <xdr:to>
      <xdr:col>13</xdr:col>
      <xdr:colOff>616324</xdr:colOff>
      <xdr:row>58</xdr:row>
      <xdr:rowOff>87406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AB10F8-E0C2-40B0-8B64-6A5DFBC86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56030</xdr:colOff>
      <xdr:row>58</xdr:row>
      <xdr:rowOff>56029</xdr:rowOff>
    </xdr:from>
    <xdr:to>
      <xdr:col>13</xdr:col>
      <xdr:colOff>649942</xdr:colOff>
      <xdr:row>72</xdr:row>
      <xdr:rowOff>132229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965348-3B7D-4277-8501-2EFAB5755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626688</xdr:colOff>
      <xdr:row>19</xdr:row>
      <xdr:rowOff>14287</xdr:rowOff>
    </xdr:from>
    <xdr:to>
      <xdr:col>19</xdr:col>
      <xdr:colOff>73410</xdr:colOff>
      <xdr:row>42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E4FDDB-2CB4-2954-C1B7-B7A584F5A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153359</xdr:colOff>
      <xdr:row>3</xdr:row>
      <xdr:rowOff>54267</xdr:rowOff>
    </xdr:from>
    <xdr:to>
      <xdr:col>28</xdr:col>
      <xdr:colOff>756876</xdr:colOff>
      <xdr:row>16</xdr:row>
      <xdr:rowOff>45945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1D491-F88C-4519-B53F-AE7B0AC30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756397</xdr:colOff>
      <xdr:row>38</xdr:row>
      <xdr:rowOff>90767</xdr:rowOff>
    </xdr:from>
    <xdr:to>
      <xdr:col>13</xdr:col>
      <xdr:colOff>554691</xdr:colOff>
      <xdr:row>50</xdr:row>
      <xdr:rowOff>166967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B546E1-306A-420B-B923-FABBCFD90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22412</xdr:colOff>
      <xdr:row>51</xdr:row>
      <xdr:rowOff>11206</xdr:rowOff>
    </xdr:from>
    <xdr:to>
      <xdr:col>13</xdr:col>
      <xdr:colOff>616324</xdr:colOff>
      <xdr:row>65</xdr:row>
      <xdr:rowOff>87406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5D3E7-B718-41E7-93C8-8EA560E69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56030</xdr:colOff>
      <xdr:row>65</xdr:row>
      <xdr:rowOff>56029</xdr:rowOff>
    </xdr:from>
    <xdr:to>
      <xdr:col>13</xdr:col>
      <xdr:colOff>649942</xdr:colOff>
      <xdr:row>79</xdr:row>
      <xdr:rowOff>132229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A4A20A-4241-439E-8A87-BF5E969E5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561974</xdr:colOff>
      <xdr:row>38</xdr:row>
      <xdr:rowOff>128586</xdr:rowOff>
    </xdr:from>
    <xdr:to>
      <xdr:col>23</xdr:col>
      <xdr:colOff>716615</xdr:colOff>
      <xdr:row>61</xdr:row>
      <xdr:rowOff>128586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7E1454-2696-70CD-BFE8-A6ADE56FE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114698</xdr:colOff>
      <xdr:row>4</xdr:row>
      <xdr:rowOff>169126</xdr:rowOff>
    </xdr:from>
    <xdr:to>
      <xdr:col>31</xdr:col>
      <xdr:colOff>723258</xdr:colOff>
      <xdr:row>18</xdr:row>
      <xdr:rowOff>160804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C6448-E0C1-415A-B71B-DC8CC3988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756397</xdr:colOff>
      <xdr:row>39</xdr:row>
      <xdr:rowOff>90767</xdr:rowOff>
    </xdr:from>
    <xdr:to>
      <xdr:col>13</xdr:col>
      <xdr:colOff>554691</xdr:colOff>
      <xdr:row>51</xdr:row>
      <xdr:rowOff>166967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37FFEC-4C4B-41DC-B378-1A79940CB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22412</xdr:colOff>
      <xdr:row>52</xdr:row>
      <xdr:rowOff>11206</xdr:rowOff>
    </xdr:from>
    <xdr:to>
      <xdr:col>13</xdr:col>
      <xdr:colOff>616324</xdr:colOff>
      <xdr:row>66</xdr:row>
      <xdr:rowOff>87406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E2E1BA-9854-4736-8FC2-296DE5831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593913</xdr:colOff>
      <xdr:row>39</xdr:row>
      <xdr:rowOff>134470</xdr:rowOff>
    </xdr:from>
    <xdr:to>
      <xdr:col>19</xdr:col>
      <xdr:colOff>392207</xdr:colOff>
      <xdr:row>53</xdr:row>
      <xdr:rowOff>20170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E6BAEE-9E11-4B8F-ACBE-7E07F8F74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694765</xdr:colOff>
      <xdr:row>4</xdr:row>
      <xdr:rowOff>10362</xdr:rowOff>
    </xdr:from>
    <xdr:to>
      <xdr:col>39</xdr:col>
      <xdr:colOff>302559</xdr:colOff>
      <xdr:row>20</xdr:row>
      <xdr:rowOff>123263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9617F8-B1A1-4D2F-84B5-3AA6BE8C3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593913</xdr:colOff>
      <xdr:row>53</xdr:row>
      <xdr:rowOff>56029</xdr:rowOff>
    </xdr:from>
    <xdr:to>
      <xdr:col>19</xdr:col>
      <xdr:colOff>392207</xdr:colOff>
      <xdr:row>67</xdr:row>
      <xdr:rowOff>132229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229201-AAC7-4BC0-B848-FCEF0991C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5360</xdr:colOff>
      <xdr:row>12</xdr:row>
      <xdr:rowOff>171011</xdr:rowOff>
    </xdr:from>
    <xdr:to>
      <xdr:col>21</xdr:col>
      <xdr:colOff>160002</xdr:colOff>
      <xdr:row>36</xdr:row>
      <xdr:rowOff>171011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B4D113-A943-4650-ABD8-356B83477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217075</xdr:colOff>
      <xdr:row>2</xdr:row>
      <xdr:rowOff>147675</xdr:rowOff>
    </xdr:from>
    <xdr:to>
      <xdr:col>30</xdr:col>
      <xdr:colOff>24973</xdr:colOff>
      <xdr:row>15</xdr:row>
      <xdr:rowOff>139353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28F01-7269-4706-A59B-1AB334746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593912</xdr:colOff>
      <xdr:row>37</xdr:row>
      <xdr:rowOff>1119</xdr:rowOff>
    </xdr:from>
    <xdr:to>
      <xdr:col>13</xdr:col>
      <xdr:colOff>392206</xdr:colOff>
      <xdr:row>50</xdr:row>
      <xdr:rowOff>77319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368920-AEB5-DB59-FE2F-07F2189A6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571500</xdr:colOff>
      <xdr:row>50</xdr:row>
      <xdr:rowOff>89647</xdr:rowOff>
    </xdr:from>
    <xdr:to>
      <xdr:col>13</xdr:col>
      <xdr:colOff>369794</xdr:colOff>
      <xdr:row>64</xdr:row>
      <xdr:rowOff>165847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7D940D-AB02-4291-AF44-D49AA0DF0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571500</xdr:colOff>
      <xdr:row>64</xdr:row>
      <xdr:rowOff>179294</xdr:rowOff>
    </xdr:from>
    <xdr:to>
      <xdr:col>13</xdr:col>
      <xdr:colOff>369794</xdr:colOff>
      <xdr:row>79</xdr:row>
      <xdr:rowOff>64994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8ECEE6-13BB-4729-9EBB-6015E6384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291354</xdr:colOff>
      <xdr:row>16</xdr:row>
      <xdr:rowOff>67235</xdr:rowOff>
    </xdr:from>
    <xdr:to>
      <xdr:col>24</xdr:col>
      <xdr:colOff>445995</xdr:colOff>
      <xdr:row>39</xdr:row>
      <xdr:rowOff>67235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0CDD2D-0792-485D-BCEF-D6A971321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82764</xdr:colOff>
      <xdr:row>2</xdr:row>
      <xdr:rowOff>110295</xdr:rowOff>
    </xdr:from>
    <xdr:to>
      <xdr:col>28</xdr:col>
      <xdr:colOff>681238</xdr:colOff>
      <xdr:row>15</xdr:row>
      <xdr:rowOff>101973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FB982-1B8E-485A-B6E2-BCE906BEE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593912</xdr:colOff>
      <xdr:row>37</xdr:row>
      <xdr:rowOff>1119</xdr:rowOff>
    </xdr:from>
    <xdr:to>
      <xdr:col>13</xdr:col>
      <xdr:colOff>392206</xdr:colOff>
      <xdr:row>50</xdr:row>
      <xdr:rowOff>77319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8D12F7-3DEB-462E-A676-E24DA009F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571500</xdr:colOff>
      <xdr:row>50</xdr:row>
      <xdr:rowOff>89647</xdr:rowOff>
    </xdr:from>
    <xdr:to>
      <xdr:col>13</xdr:col>
      <xdr:colOff>369794</xdr:colOff>
      <xdr:row>64</xdr:row>
      <xdr:rowOff>165847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3E595E-8626-4A23-B984-F9AE3B1BE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571500</xdr:colOff>
      <xdr:row>64</xdr:row>
      <xdr:rowOff>179294</xdr:rowOff>
    </xdr:from>
    <xdr:to>
      <xdr:col>13</xdr:col>
      <xdr:colOff>369794</xdr:colOff>
      <xdr:row>79</xdr:row>
      <xdr:rowOff>64994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438188-0A7D-4C8F-8889-489D83808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336176</xdr:colOff>
      <xdr:row>29</xdr:row>
      <xdr:rowOff>44824</xdr:rowOff>
    </xdr:from>
    <xdr:to>
      <xdr:col>23</xdr:col>
      <xdr:colOff>490817</xdr:colOff>
      <xdr:row>52</xdr:row>
      <xdr:rowOff>44824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43083F-98A7-41C7-8433-A9667EC1D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173531</xdr:colOff>
      <xdr:row>2</xdr:row>
      <xdr:rowOff>137190</xdr:rowOff>
    </xdr:from>
    <xdr:to>
      <xdr:col>28</xdr:col>
      <xdr:colOff>772005</xdr:colOff>
      <xdr:row>15</xdr:row>
      <xdr:rowOff>128868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24C81-7DA9-447D-848A-9411A5D32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593912</xdr:colOff>
      <xdr:row>37</xdr:row>
      <xdr:rowOff>1119</xdr:rowOff>
    </xdr:from>
    <xdr:to>
      <xdr:col>13</xdr:col>
      <xdr:colOff>392206</xdr:colOff>
      <xdr:row>50</xdr:row>
      <xdr:rowOff>77319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B6E947-EC81-43D5-BFC3-3225184BE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571500</xdr:colOff>
      <xdr:row>50</xdr:row>
      <xdr:rowOff>89647</xdr:rowOff>
    </xdr:from>
    <xdr:to>
      <xdr:col>13</xdr:col>
      <xdr:colOff>369794</xdr:colOff>
      <xdr:row>64</xdr:row>
      <xdr:rowOff>165847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56576A-5FB7-4635-A4BF-45AD3AB60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571500</xdr:colOff>
      <xdr:row>64</xdr:row>
      <xdr:rowOff>179294</xdr:rowOff>
    </xdr:from>
    <xdr:to>
      <xdr:col>13</xdr:col>
      <xdr:colOff>369794</xdr:colOff>
      <xdr:row>79</xdr:row>
      <xdr:rowOff>64994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FC62D7-E28A-4383-8FA6-15615CEB8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25612</xdr:colOff>
      <xdr:row>0</xdr:row>
      <xdr:rowOff>8322</xdr:rowOff>
    </xdr:from>
    <xdr:to>
      <xdr:col>28</xdr:col>
      <xdr:colOff>629129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51A7C-F4BA-4939-896B-5E7DF6C28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649941</xdr:colOff>
      <xdr:row>0</xdr:row>
      <xdr:rowOff>0</xdr:rowOff>
    </xdr:from>
    <xdr:to>
      <xdr:col>34</xdr:col>
      <xdr:colOff>448235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37E4AE-1471-4B26-AD03-57AFED57A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287699</xdr:colOff>
      <xdr:row>25</xdr:row>
      <xdr:rowOff>156053</xdr:rowOff>
    </xdr:from>
    <xdr:to>
      <xdr:col>13</xdr:col>
      <xdr:colOff>94762</xdr:colOff>
      <xdr:row>38</xdr:row>
      <xdr:rowOff>41753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4F8A99-8FFA-40E8-8FB8-E6767833F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436493</xdr:colOff>
      <xdr:row>26</xdr:row>
      <xdr:rowOff>114984</xdr:rowOff>
    </xdr:from>
    <xdr:to>
      <xdr:col>19</xdr:col>
      <xdr:colOff>234787</xdr:colOff>
      <xdr:row>39</xdr:row>
      <xdr:rowOff>684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B1EB85-DE4D-410D-BDD0-AE3489066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776407</xdr:colOff>
      <xdr:row>3</xdr:row>
      <xdr:rowOff>288469</xdr:rowOff>
    </xdr:from>
    <xdr:to>
      <xdr:col>21</xdr:col>
      <xdr:colOff>584306</xdr:colOff>
      <xdr:row>17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639A1-2773-4DA1-A30D-875ACEBDC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16808</xdr:colOff>
      <xdr:row>37</xdr:row>
      <xdr:rowOff>124384</xdr:rowOff>
    </xdr:from>
    <xdr:to>
      <xdr:col>13</xdr:col>
      <xdr:colOff>610720</xdr:colOff>
      <xdr:row>50</xdr:row>
      <xdr:rowOff>10084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C84515-A5AF-417D-80BE-EEE1BDC66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22412</xdr:colOff>
      <xdr:row>50</xdr:row>
      <xdr:rowOff>11206</xdr:rowOff>
    </xdr:from>
    <xdr:to>
      <xdr:col>13</xdr:col>
      <xdr:colOff>616324</xdr:colOff>
      <xdr:row>64</xdr:row>
      <xdr:rowOff>87406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A8B93C-B4FC-4D8A-8346-86828872F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56030</xdr:colOff>
      <xdr:row>64</xdr:row>
      <xdr:rowOff>56029</xdr:rowOff>
    </xdr:from>
    <xdr:to>
      <xdr:col>13</xdr:col>
      <xdr:colOff>649942</xdr:colOff>
      <xdr:row>78</xdr:row>
      <xdr:rowOff>132229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7D76F0-C556-4343-9282-B8B199875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569258</xdr:colOff>
      <xdr:row>3</xdr:row>
      <xdr:rowOff>285190</xdr:rowOff>
    </xdr:from>
    <xdr:to>
      <xdr:col>27</xdr:col>
      <xdr:colOff>367552</xdr:colOff>
      <xdr:row>17</xdr:row>
      <xdr:rowOff>170890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01D64C-C7F6-425E-B982-19866EEB2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573458</xdr:colOff>
      <xdr:row>8</xdr:row>
      <xdr:rowOff>126906</xdr:rowOff>
    </xdr:from>
    <xdr:to>
      <xdr:col>20</xdr:col>
      <xdr:colOff>582704</xdr:colOff>
      <xdr:row>33</xdr:row>
      <xdr:rowOff>7844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9FB028-6B6D-197C-F5F6-63E2DD8F4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587748</xdr:colOff>
      <xdr:row>32</xdr:row>
      <xdr:rowOff>189939</xdr:rowOff>
    </xdr:from>
    <xdr:to>
      <xdr:col>20</xdr:col>
      <xdr:colOff>591598</xdr:colOff>
      <xdr:row>57</xdr:row>
      <xdr:rowOff>70877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C565A3-6E85-4DEB-8D15-CE29CE15C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D468-DBAD-4222-BD55-1F8DAC775673}">
  <dimension ref="A1:AQ44"/>
  <sheetViews>
    <sheetView topLeftCell="Q30" zoomScale="115" zoomScaleNormal="115" workbookViewId="0">
      <selection activeCell="A8" sqref="A8"/>
    </sheetView>
  </sheetViews>
  <sheetFormatPr defaultColWidth="8.85546875" defaultRowHeight="15" x14ac:dyDescent="0.25"/>
  <cols>
    <col min="1" max="1" width="66.42578125" bestFit="1" customWidth="1"/>
    <col min="2" max="43" width="11.85546875" customWidth="1"/>
    <col min="44" max="46" width="21.7109375" bestFit="1" customWidth="1"/>
  </cols>
  <sheetData>
    <row r="1" spans="1:43" ht="15.75" thickBot="1" x14ac:dyDescent="0.3">
      <c r="A1" t="s">
        <v>124</v>
      </c>
      <c r="B1">
        <v>20221128</v>
      </c>
    </row>
    <row r="2" spans="1:43" x14ac:dyDescent="0.25">
      <c r="A2" t="s">
        <v>57</v>
      </c>
      <c r="B2">
        <v>0.41139241809999999</v>
      </c>
      <c r="M2" s="43" t="s">
        <v>60</v>
      </c>
      <c r="N2" s="44"/>
      <c r="O2" s="44"/>
      <c r="P2" s="44"/>
      <c r="Q2" s="44"/>
      <c r="R2" s="44"/>
      <c r="S2" s="44"/>
      <c r="T2" s="44"/>
      <c r="U2" s="44"/>
      <c r="V2" s="45"/>
    </row>
    <row r="3" spans="1:43" x14ac:dyDescent="0.25">
      <c r="B3" s="42" t="s">
        <v>58</v>
      </c>
      <c r="C3" s="42"/>
      <c r="D3" s="42"/>
      <c r="E3" s="42"/>
      <c r="F3" s="42"/>
      <c r="G3" s="42" t="s">
        <v>59</v>
      </c>
      <c r="H3" s="42"/>
      <c r="I3" s="42"/>
      <c r="J3" s="42"/>
      <c r="K3" s="42"/>
      <c r="M3" s="46" t="s">
        <v>58</v>
      </c>
      <c r="N3" s="42"/>
      <c r="O3" s="42"/>
      <c r="P3" s="42"/>
      <c r="Q3" s="42"/>
      <c r="R3" s="42" t="s">
        <v>59</v>
      </c>
      <c r="S3" s="42"/>
      <c r="T3" s="42"/>
      <c r="U3" s="42"/>
      <c r="V3" s="47"/>
      <c r="AB3" s="42" t="s">
        <v>59</v>
      </c>
      <c r="AC3" s="42"/>
      <c r="AD3" s="42"/>
      <c r="AE3" s="42"/>
      <c r="AF3" s="42"/>
      <c r="AG3" s="42"/>
      <c r="AH3" s="42"/>
    </row>
    <row r="4" spans="1:43" ht="45" x14ac:dyDescent="0.25">
      <c r="A4" s="4" t="s">
        <v>14</v>
      </c>
      <c r="B4" t="s">
        <v>62</v>
      </c>
      <c r="C4" t="s">
        <v>63</v>
      </c>
      <c r="D4" t="s">
        <v>64</v>
      </c>
      <c r="E4" s="18" t="s">
        <v>135</v>
      </c>
      <c r="F4" s="18" t="s">
        <v>214</v>
      </c>
      <c r="G4" t="s">
        <v>62</v>
      </c>
      <c r="H4" t="s">
        <v>63</v>
      </c>
      <c r="I4" t="s">
        <v>64</v>
      </c>
      <c r="J4" s="18" t="s">
        <v>135</v>
      </c>
      <c r="K4" s="18" t="s">
        <v>214</v>
      </c>
      <c r="M4" s="7" t="s">
        <v>62</v>
      </c>
      <c r="N4" t="s">
        <v>63</v>
      </c>
      <c r="O4" t="s">
        <v>64</v>
      </c>
      <c r="P4" s="3" t="s">
        <v>65</v>
      </c>
      <c r="Q4" t="s">
        <v>61</v>
      </c>
      <c r="R4" t="s">
        <v>62</v>
      </c>
      <c r="S4" t="s">
        <v>63</v>
      </c>
      <c r="T4" t="s">
        <v>64</v>
      </c>
      <c r="U4" s="20" t="s">
        <v>66</v>
      </c>
      <c r="V4" s="8" t="s">
        <v>61</v>
      </c>
      <c r="X4" s="4" t="s">
        <v>14</v>
      </c>
      <c r="Y4" s="3" t="s">
        <v>67</v>
      </c>
      <c r="Z4" s="3" t="s">
        <v>68</v>
      </c>
      <c r="AC4" t="s">
        <v>62</v>
      </c>
      <c r="AD4" t="s">
        <v>63</v>
      </c>
      <c r="AE4" t="s">
        <v>64</v>
      </c>
      <c r="AF4" s="20" t="s">
        <v>66</v>
      </c>
      <c r="AG4" t="s">
        <v>214</v>
      </c>
      <c r="AH4" t="s">
        <v>425</v>
      </c>
    </row>
    <row r="5" spans="1:43" x14ac:dyDescent="0.25">
      <c r="A5">
        <v>0</v>
      </c>
      <c r="B5">
        <v>6.5000000000000002E-2</v>
      </c>
      <c r="C5">
        <v>6.9000000000000006E-2</v>
      </c>
      <c r="D5">
        <v>7.3999999999999996E-2</v>
      </c>
      <c r="E5" s="10">
        <f>AVERAGE(B5:D5)</f>
        <v>6.9333333333333344E-2</v>
      </c>
      <c r="F5" s="11">
        <f>_xlfn.STDEV.S(B5:D5)</f>
        <v>4.5092497528228907E-3</v>
      </c>
      <c r="G5">
        <v>6.9000000000000006E-2</v>
      </c>
      <c r="H5">
        <v>8.5999999999999993E-2</v>
      </c>
      <c r="I5">
        <v>6.3E-2</v>
      </c>
      <c r="J5" s="10">
        <f>AVERAGE(G5:I5)</f>
        <v>7.2666666666666671E-2</v>
      </c>
      <c r="K5" s="11">
        <f>_xlfn.STDEV.S(G5:I5)</f>
        <v>1.1930353445448906E-2</v>
      </c>
      <c r="M5" s="9">
        <f t="shared" ref="M5:M13" si="0">LN(B5)</f>
        <v>-2.7333680090865</v>
      </c>
      <c r="N5" s="10">
        <f t="shared" ref="N5:N13" si="1">LN(C5)</f>
        <v>-2.6736487743848776</v>
      </c>
      <c r="O5" s="10">
        <f t="shared" ref="O5:O13" si="2">LN(D5)</f>
        <v>-2.6036901857779675</v>
      </c>
      <c r="P5" s="10">
        <f t="shared" ref="P5:P13" si="3">AVERAGE(M5:O5)</f>
        <v>-2.6702356564164482</v>
      </c>
      <c r="Q5" s="11">
        <f t="shared" ref="Q5:Q13" si="4">_xlfn.STDEV.S(M5:O5)</f>
        <v>6.4906251588036992E-2</v>
      </c>
      <c r="R5" s="10">
        <f t="shared" ref="R5:R13" si="5">LN(G5)</f>
        <v>-2.6736487743848776</v>
      </c>
      <c r="S5" s="10">
        <f t="shared" ref="S5:S13" si="6">LN(H5)</f>
        <v>-2.4534079827286295</v>
      </c>
      <c r="T5" s="10">
        <f t="shared" ref="T5:T13" si="7">LN(I5)</f>
        <v>-2.7646205525906042</v>
      </c>
      <c r="U5" s="10">
        <f t="shared" ref="U5:U13" si="8">AVERAGE(R5:T5)</f>
        <v>-2.6305591032347038</v>
      </c>
      <c r="V5" s="12">
        <f t="shared" ref="V5:V13" si="9">_xlfn.STDEV.S(R5:T5)</f>
        <v>0.16001829810961066</v>
      </c>
      <c r="X5">
        <v>0</v>
      </c>
      <c r="Y5" s="11">
        <f>((AVERAGE(B5:D5))*$B$2)/0.3407</f>
        <v>8.3719423701007739E-2</v>
      </c>
      <c r="Z5" s="11">
        <f>((AVERAGE(G5:I5))*$B$2)/0.3625</f>
        <v>8.2467629559356326E-2</v>
      </c>
      <c r="AB5" t="s">
        <v>424</v>
      </c>
      <c r="AC5" s="2">
        <f>SLOPE(R8:R11,$A$8:$A$11)</f>
        <v>0.37142882846765746</v>
      </c>
      <c r="AD5" s="2">
        <f>SLOPE(S8:S11,$A$8:$A$11)</f>
        <v>0.35924488973139995</v>
      </c>
      <c r="AE5" s="2">
        <f>SLOPE(T8:T11,$A$8:$A$11)</f>
        <v>0.35688063110100071</v>
      </c>
      <c r="AF5" s="2">
        <f>AVERAGE(AC5:AE5)</f>
        <v>0.36251811643335269</v>
      </c>
      <c r="AG5" s="10">
        <f>_xlfn.STDEV.S(AC5:AE5)</f>
        <v>7.8069213801973151E-3</v>
      </c>
      <c r="AH5" s="10">
        <f>(_xlfn.STDEV.S(AC5:AE5))/(SQRT(COUNT(AC5:AE5)))</f>
        <v>4.507328160399165E-3</v>
      </c>
    </row>
    <row r="6" spans="1:43" x14ac:dyDescent="0.25">
      <c r="A6">
        <v>1</v>
      </c>
      <c r="B6">
        <v>9.7000000000000003E-2</v>
      </c>
      <c r="C6">
        <v>0.113</v>
      </c>
      <c r="D6">
        <v>0.104</v>
      </c>
      <c r="E6" s="10">
        <f t="shared" ref="E6:E13" si="10">AVERAGE(B6:D6)</f>
        <v>0.10466666666666667</v>
      </c>
      <c r="F6" s="11">
        <f t="shared" ref="F6:F13" si="11">_xlfn.STDEV.S(B6:D6)</f>
        <v>8.0208062770106437E-3</v>
      </c>
      <c r="G6">
        <v>9.5000000000000001E-2</v>
      </c>
      <c r="H6">
        <v>9.8000000000000004E-2</v>
      </c>
      <c r="I6">
        <v>0.13200000000000001</v>
      </c>
      <c r="J6" s="10">
        <f t="shared" ref="J6:J13" si="12">AVERAGE(G6:I6)</f>
        <v>0.10833333333333334</v>
      </c>
      <c r="K6" s="11">
        <f t="shared" ref="K6:K13" si="13">_xlfn.STDEV.S(G6:I6)</f>
        <v>2.0550750189064475E-2</v>
      </c>
      <c r="M6" s="9">
        <f t="shared" si="0"/>
        <v>-2.333044300478754</v>
      </c>
      <c r="N6" s="10">
        <f t="shared" si="1"/>
        <v>-2.1803674602697964</v>
      </c>
      <c r="O6" s="10">
        <f t="shared" si="2"/>
        <v>-2.2633643798407643</v>
      </c>
      <c r="P6" s="10">
        <f t="shared" si="3"/>
        <v>-2.258925380196438</v>
      </c>
      <c r="Q6" s="11">
        <f t="shared" si="4"/>
        <v>7.6435155016717507E-2</v>
      </c>
      <c r="R6" s="10">
        <f t="shared" si="5"/>
        <v>-2.353878387381596</v>
      </c>
      <c r="S6" s="10">
        <f t="shared" si="6"/>
        <v>-2.322787800311565</v>
      </c>
      <c r="T6" s="10">
        <f t="shared" si="7"/>
        <v>-2.0249533563957662</v>
      </c>
      <c r="U6" s="10">
        <f t="shared" si="8"/>
        <v>-2.2338731813629757</v>
      </c>
      <c r="V6" s="12">
        <f t="shared" si="9"/>
        <v>0.18159646499680793</v>
      </c>
      <c r="X6">
        <v>1</v>
      </c>
      <c r="Y6" s="11">
        <f t="shared" ref="Y6:Y13" si="14">((AVERAGE(B6:D6))*$B$2)/0.3407</f>
        <v>0.12638413001017512</v>
      </c>
      <c r="Z6" s="11">
        <f t="shared" ref="Z6:Z13" si="15">((AVERAGE(G6:I6))*$B$2)/0.3625</f>
        <v>0.12294486058160919</v>
      </c>
    </row>
    <row r="7" spans="1:43" x14ac:dyDescent="0.25">
      <c r="A7">
        <v>2</v>
      </c>
      <c r="B7">
        <v>0.16500000000000001</v>
      </c>
      <c r="C7">
        <v>0.16500000000000001</v>
      </c>
      <c r="D7">
        <v>0.16800000000000001</v>
      </c>
      <c r="E7" s="10">
        <f t="shared" si="10"/>
        <v>0.16600000000000001</v>
      </c>
      <c r="F7" s="11">
        <f t="shared" si="11"/>
        <v>1.7320508075688789E-3</v>
      </c>
      <c r="G7">
        <v>0.155</v>
      </c>
      <c r="H7">
        <v>0.157</v>
      </c>
      <c r="I7">
        <v>0.217</v>
      </c>
      <c r="J7" s="10">
        <f t="shared" si="12"/>
        <v>0.17633333333333334</v>
      </c>
      <c r="K7" s="11">
        <f t="shared" si="13"/>
        <v>3.5232560697930126E-2</v>
      </c>
      <c r="M7" s="9">
        <f t="shared" si="0"/>
        <v>-1.8018098050815563</v>
      </c>
      <c r="N7" s="10">
        <f t="shared" si="1"/>
        <v>-1.8018098050815563</v>
      </c>
      <c r="O7" s="10">
        <f t="shared" si="2"/>
        <v>-1.7837912995788781</v>
      </c>
      <c r="P7" s="10">
        <f t="shared" si="3"/>
        <v>-1.7958036365806638</v>
      </c>
      <c r="Q7" s="11">
        <f t="shared" si="4"/>
        <v>1.0402989002366041E-2</v>
      </c>
      <c r="R7" s="10">
        <f t="shared" si="5"/>
        <v>-1.8643301620628905</v>
      </c>
      <c r="S7" s="10">
        <f t="shared" si="6"/>
        <v>-1.8515094736338289</v>
      </c>
      <c r="T7" s="10">
        <f t="shared" si="7"/>
        <v>-1.5278579254416775</v>
      </c>
      <c r="U7" s="10">
        <f t="shared" si="8"/>
        <v>-1.7478991870461325</v>
      </c>
      <c r="V7" s="12">
        <f t="shared" si="9"/>
        <v>0.19066911160255834</v>
      </c>
      <c r="X7">
        <v>2</v>
      </c>
      <c r="Y7" s="11">
        <f t="shared" si="14"/>
        <v>0.20044362020722045</v>
      </c>
      <c r="Z7" s="11">
        <f t="shared" si="15"/>
        <v>0.20011640383898854</v>
      </c>
    </row>
    <row r="8" spans="1:43" x14ac:dyDescent="0.25">
      <c r="A8">
        <v>3.5</v>
      </c>
      <c r="B8">
        <v>0.32100000000000001</v>
      </c>
      <c r="C8">
        <v>0.32600000000000001</v>
      </c>
      <c r="D8">
        <v>0.31900000000000001</v>
      </c>
      <c r="E8" s="10">
        <f t="shared" si="10"/>
        <v>0.32200000000000001</v>
      </c>
      <c r="F8" s="11">
        <f t="shared" si="11"/>
        <v>3.6055512754639926E-3</v>
      </c>
      <c r="G8">
        <v>0.312</v>
      </c>
      <c r="H8">
        <v>0.318</v>
      </c>
      <c r="I8">
        <v>0.316</v>
      </c>
      <c r="J8" s="10">
        <f t="shared" si="12"/>
        <v>0.3153333333333333</v>
      </c>
      <c r="K8" s="11">
        <f t="shared" si="13"/>
        <v>3.0550504633038962E-3</v>
      </c>
      <c r="M8" s="9">
        <f t="shared" si="0"/>
        <v>-1.1363141558521213</v>
      </c>
      <c r="N8" s="10">
        <f t="shared" si="1"/>
        <v>-1.1208578976154293</v>
      </c>
      <c r="O8" s="10">
        <f t="shared" si="2"/>
        <v>-1.1425641761972924</v>
      </c>
      <c r="P8" s="10">
        <f t="shared" si="3"/>
        <v>-1.1332454098882809</v>
      </c>
      <c r="Q8" s="11">
        <f t="shared" si="4"/>
        <v>1.1173787800531293E-2</v>
      </c>
      <c r="R8" s="10">
        <f t="shared" si="5"/>
        <v>-1.1647520911726548</v>
      </c>
      <c r="S8" s="10">
        <f t="shared" si="6"/>
        <v>-1.1457038962019601</v>
      </c>
      <c r="T8" s="10">
        <f t="shared" si="7"/>
        <v>-1.152013065395225</v>
      </c>
      <c r="U8" s="10">
        <f t="shared" si="8"/>
        <v>-1.15415635092328</v>
      </c>
      <c r="V8" s="12">
        <f t="shared" si="9"/>
        <v>9.7032823081407218E-3</v>
      </c>
      <c r="X8">
        <v>3.5</v>
      </c>
      <c r="Y8" s="11">
        <f t="shared" si="14"/>
        <v>0.3888123235344878</v>
      </c>
      <c r="Z8" s="11">
        <f t="shared" si="15"/>
        <v>0.35786411726216089</v>
      </c>
    </row>
    <row r="9" spans="1:43" x14ac:dyDescent="0.25">
      <c r="A9">
        <v>4.5</v>
      </c>
      <c r="B9">
        <v>0.52800000000000002</v>
      </c>
      <c r="C9">
        <v>0.53300000000000003</v>
      </c>
      <c r="D9">
        <v>0.53800000000000003</v>
      </c>
      <c r="E9" s="10">
        <f t="shared" si="10"/>
        <v>0.53300000000000003</v>
      </c>
      <c r="F9" s="11">
        <f t="shared" si="11"/>
        <v>5.0000000000000044E-3</v>
      </c>
      <c r="G9">
        <v>0.53100000000000003</v>
      </c>
      <c r="H9">
        <v>0.53100000000000003</v>
      </c>
      <c r="I9">
        <v>0.501</v>
      </c>
      <c r="J9" s="10">
        <f t="shared" si="12"/>
        <v>0.52100000000000002</v>
      </c>
      <c r="K9" s="11">
        <f t="shared" si="13"/>
        <v>1.732050807568879E-2</v>
      </c>
      <c r="M9" s="9">
        <f t="shared" si="0"/>
        <v>-0.63865899527587555</v>
      </c>
      <c r="N9" s="10">
        <f t="shared" si="1"/>
        <v>-0.62923385481629246</v>
      </c>
      <c r="O9" s="10">
        <f t="shared" si="2"/>
        <v>-0.61989671882035258</v>
      </c>
      <c r="P9" s="10">
        <f t="shared" si="3"/>
        <v>-0.62926318963750683</v>
      </c>
      <c r="Q9" s="11">
        <f t="shared" si="4"/>
        <v>9.3811726264454651E-3</v>
      </c>
      <c r="R9" s="10">
        <f t="shared" si="5"/>
        <v>-0.63299325774019821</v>
      </c>
      <c r="S9" s="10">
        <f t="shared" si="6"/>
        <v>-0.63299325774019821</v>
      </c>
      <c r="T9" s="10">
        <f t="shared" si="7"/>
        <v>-0.69114917789727226</v>
      </c>
      <c r="U9" s="10">
        <f t="shared" si="8"/>
        <v>-0.65237856445922293</v>
      </c>
      <c r="V9" s="12">
        <f t="shared" si="9"/>
        <v>3.357633615765708E-2</v>
      </c>
      <c r="X9">
        <v>4.5</v>
      </c>
      <c r="Y9" s="11">
        <f t="shared" si="14"/>
        <v>0.64359306970149688</v>
      </c>
      <c r="Z9" s="11">
        <f t="shared" si="15"/>
        <v>0.5912702064278621</v>
      </c>
    </row>
    <row r="10" spans="1:43" x14ac:dyDescent="0.25">
      <c r="A10">
        <v>5.5</v>
      </c>
      <c r="B10">
        <v>0.73599999999999999</v>
      </c>
      <c r="C10">
        <v>0.77200000000000002</v>
      </c>
      <c r="D10">
        <v>0.74199999999999999</v>
      </c>
      <c r="E10" s="10">
        <f t="shared" si="10"/>
        <v>0.75</v>
      </c>
      <c r="F10" s="11">
        <f t="shared" si="11"/>
        <v>1.9287301521985926E-2</v>
      </c>
      <c r="G10">
        <v>0.72499999999999998</v>
      </c>
      <c r="H10">
        <v>0.74199999999999999</v>
      </c>
      <c r="I10">
        <v>0.70399999999999996</v>
      </c>
      <c r="J10" s="10">
        <f t="shared" si="12"/>
        <v>0.72366666666666679</v>
      </c>
      <c r="K10" s="11">
        <f t="shared" si="13"/>
        <v>1.9035055380358996E-2</v>
      </c>
      <c r="M10" s="9">
        <f t="shared" si="0"/>
        <v>-0.30652516025326082</v>
      </c>
      <c r="N10" s="10">
        <f t="shared" si="1"/>
        <v>-0.25877072895736086</v>
      </c>
      <c r="O10" s="10">
        <f t="shared" si="2"/>
        <v>-0.29840603581475661</v>
      </c>
      <c r="P10" s="10">
        <f t="shared" si="3"/>
        <v>-0.28790064167512613</v>
      </c>
      <c r="Q10" s="11">
        <f t="shared" si="4"/>
        <v>2.5551788716652393E-2</v>
      </c>
      <c r="R10" s="10">
        <f t="shared" si="5"/>
        <v>-0.32158362412746233</v>
      </c>
      <c r="S10" s="10">
        <f t="shared" si="6"/>
        <v>-0.29840603581475661</v>
      </c>
      <c r="T10" s="10">
        <f t="shared" si="7"/>
        <v>-0.35097692282409471</v>
      </c>
      <c r="U10" s="10">
        <f t="shared" si="8"/>
        <v>-0.3236555275887712</v>
      </c>
      <c r="V10" s="12">
        <f t="shared" si="9"/>
        <v>2.6346615118490763E-2</v>
      </c>
      <c r="X10">
        <v>5.5</v>
      </c>
      <c r="Y10" s="11">
        <f t="shared" si="14"/>
        <v>0.90561876599647784</v>
      </c>
      <c r="Z10" s="11">
        <f t="shared" si="15"/>
        <v>0.82127166868514956</v>
      </c>
    </row>
    <row r="11" spans="1:43" x14ac:dyDescent="0.25">
      <c r="A11">
        <v>6.5</v>
      </c>
      <c r="B11">
        <v>0.90500000000000003</v>
      </c>
      <c r="C11">
        <v>0.89</v>
      </c>
      <c r="D11">
        <v>0.88900000000000001</v>
      </c>
      <c r="E11" s="10">
        <f t="shared" si="10"/>
        <v>0.89466666666666672</v>
      </c>
      <c r="F11" s="11">
        <f t="shared" si="11"/>
        <v>8.9628864398325087E-3</v>
      </c>
      <c r="G11">
        <v>0.97</v>
      </c>
      <c r="H11">
        <v>0.94199999999999995</v>
      </c>
      <c r="I11">
        <v>0.92700000000000005</v>
      </c>
      <c r="J11" s="10">
        <f t="shared" si="12"/>
        <v>0.94633333333333336</v>
      </c>
      <c r="K11" s="11">
        <f t="shared" si="13"/>
        <v>2.1825062046494439E-2</v>
      </c>
      <c r="M11" s="9">
        <f t="shared" si="0"/>
        <v>-9.9820335282210904E-2</v>
      </c>
      <c r="N11" s="10">
        <f t="shared" si="1"/>
        <v>-0.11653381625595151</v>
      </c>
      <c r="O11" s="10">
        <f t="shared" si="2"/>
        <v>-0.11765804346823246</v>
      </c>
      <c r="P11" s="10">
        <f t="shared" si="3"/>
        <v>-0.11133739833546495</v>
      </c>
      <c r="Q11" s="11">
        <f t="shared" si="4"/>
        <v>9.9898962825286826E-3</v>
      </c>
      <c r="R11" s="10">
        <f t="shared" si="5"/>
        <v>-3.0459207484708574E-2</v>
      </c>
      <c r="S11" s="10">
        <f t="shared" si="6"/>
        <v>-5.9750004405774049E-2</v>
      </c>
      <c r="T11" s="10">
        <f t="shared" si="7"/>
        <v>-7.5801713416281849E-2</v>
      </c>
      <c r="U11" s="10">
        <f t="shared" si="8"/>
        <v>-5.5336975102254826E-2</v>
      </c>
      <c r="V11" s="12">
        <f t="shared" si="9"/>
        <v>2.2991125065206751E-2</v>
      </c>
      <c r="X11">
        <v>6.5</v>
      </c>
      <c r="Y11" s="11">
        <f t="shared" si="14"/>
        <v>1.0803025635264651</v>
      </c>
      <c r="Z11" s="11">
        <f t="shared" si="15"/>
        <v>1.0739706436651955</v>
      </c>
    </row>
    <row r="12" spans="1:43" x14ac:dyDescent="0.25">
      <c r="A12">
        <v>7.5</v>
      </c>
      <c r="B12">
        <v>0.89800000000000002</v>
      </c>
      <c r="C12">
        <v>0.90300000000000002</v>
      </c>
      <c r="D12">
        <v>0.90700000000000003</v>
      </c>
      <c r="E12" s="10">
        <f t="shared" si="10"/>
        <v>0.90266666666666673</v>
      </c>
      <c r="F12" s="11">
        <f t="shared" si="11"/>
        <v>4.5092497528228985E-3</v>
      </c>
      <c r="G12">
        <v>1.0669999999999999</v>
      </c>
      <c r="H12">
        <v>1.0429999999999999</v>
      </c>
      <c r="I12">
        <v>1.0469999999999999</v>
      </c>
      <c r="J12" s="10">
        <f t="shared" si="12"/>
        <v>1.0523333333333333</v>
      </c>
      <c r="K12" s="11">
        <f t="shared" si="13"/>
        <v>1.2858201014657285E-2</v>
      </c>
      <c r="M12" s="9">
        <f t="shared" si="0"/>
        <v>-0.10758521067993743</v>
      </c>
      <c r="N12" s="10">
        <f t="shared" si="1"/>
        <v>-0.10203272556515161</v>
      </c>
      <c r="O12" s="10">
        <f t="shared" si="2"/>
        <v>-9.7612828867000415E-2</v>
      </c>
      <c r="P12" s="10">
        <f t="shared" si="3"/>
        <v>-0.10241025503736316</v>
      </c>
      <c r="Q12" s="11">
        <f t="shared" si="4"/>
        <v>4.9968986514177431E-3</v>
      </c>
      <c r="R12" s="10">
        <f t="shared" si="5"/>
        <v>6.4850972319616271E-2</v>
      </c>
      <c r="S12" s="10">
        <f t="shared" si="6"/>
        <v>4.2101176018635326E-2</v>
      </c>
      <c r="T12" s="10">
        <f t="shared" si="7"/>
        <v>4.5928931888399735E-2</v>
      </c>
      <c r="U12" s="10">
        <f t="shared" si="8"/>
        <v>5.0960360075550437E-2</v>
      </c>
      <c r="V12" s="12">
        <f t="shared" si="9"/>
        <v>1.2180917869186774E-2</v>
      </c>
      <c r="X12">
        <v>7.5</v>
      </c>
      <c r="Y12" s="11">
        <f t="shared" si="14"/>
        <v>1.0899624970304276</v>
      </c>
      <c r="Z12" s="11">
        <f t="shared" si="15"/>
        <v>1.1942674610958162</v>
      </c>
    </row>
    <row r="13" spans="1:43" ht="15.75" thickBot="1" x14ac:dyDescent="0.3">
      <c r="A13">
        <v>8.5</v>
      </c>
      <c r="B13">
        <v>0.94</v>
      </c>
      <c r="C13">
        <v>0.92</v>
      </c>
      <c r="D13">
        <v>0.92300000000000004</v>
      </c>
      <c r="E13" s="10">
        <f t="shared" si="10"/>
        <v>0.92766666666666664</v>
      </c>
      <c r="F13" s="11">
        <f t="shared" si="11"/>
        <v>1.0785793124908903E-2</v>
      </c>
      <c r="G13">
        <v>1.0900000000000001</v>
      </c>
      <c r="H13">
        <v>1.1080000000000001</v>
      </c>
      <c r="I13">
        <v>1.109</v>
      </c>
      <c r="J13" s="10">
        <f t="shared" si="12"/>
        <v>1.1023333333333334</v>
      </c>
      <c r="K13" s="11">
        <f t="shared" si="13"/>
        <v>1.0692676621563601E-2</v>
      </c>
      <c r="M13" s="13">
        <f t="shared" si="0"/>
        <v>-6.1875403718087529E-2</v>
      </c>
      <c r="N13" s="14">
        <f t="shared" si="1"/>
        <v>-8.3381608939051013E-2</v>
      </c>
      <c r="O13" s="14">
        <f t="shared" si="2"/>
        <v>-8.0126044479284855E-2</v>
      </c>
      <c r="P13" s="14">
        <f t="shared" si="3"/>
        <v>-7.5127685712141123E-2</v>
      </c>
      <c r="Q13" s="15">
        <f t="shared" si="4"/>
        <v>1.1591674103655733E-2</v>
      </c>
      <c r="R13" s="14">
        <f t="shared" si="5"/>
        <v>8.6177696241052412E-2</v>
      </c>
      <c r="S13" s="14">
        <f t="shared" si="6"/>
        <v>0.10255658832509215</v>
      </c>
      <c r="T13" s="14">
        <f t="shared" si="7"/>
        <v>0.10345870836822997</v>
      </c>
      <c r="U13" s="14">
        <f t="shared" si="8"/>
        <v>9.7397664311458174E-2</v>
      </c>
      <c r="V13" s="16">
        <f t="shared" si="9"/>
        <v>9.7272410152494625E-3</v>
      </c>
      <c r="X13">
        <v>8.5</v>
      </c>
      <c r="Y13" s="11">
        <f t="shared" si="14"/>
        <v>1.1201497892303101</v>
      </c>
      <c r="Z13" s="11">
        <f t="shared" si="15"/>
        <v>1.2510112429027127</v>
      </c>
    </row>
    <row r="15" spans="1:43" x14ac:dyDescent="0.25">
      <c r="A15" t="s">
        <v>7</v>
      </c>
      <c r="B15" s="33" t="s">
        <v>15</v>
      </c>
      <c r="C15" s="33" t="s">
        <v>16</v>
      </c>
      <c r="D15" s="33" t="s">
        <v>17</v>
      </c>
      <c r="E15" s="33" t="s">
        <v>18</v>
      </c>
      <c r="F15" s="33" t="s">
        <v>19</v>
      </c>
      <c r="G15" s="33" t="s">
        <v>20</v>
      </c>
      <c r="H15" s="33" t="s">
        <v>21</v>
      </c>
      <c r="I15" s="33" t="s">
        <v>22</v>
      </c>
      <c r="J15" s="33" t="s">
        <v>23</v>
      </c>
      <c r="K15" s="33" t="s">
        <v>24</v>
      </c>
      <c r="L15" s="33" t="s">
        <v>25</v>
      </c>
      <c r="M15" s="33" t="s">
        <v>26</v>
      </c>
      <c r="N15" s="33" t="s">
        <v>27</v>
      </c>
      <c r="O15" s="33" t="s">
        <v>28</v>
      </c>
      <c r="P15" s="33" t="s">
        <v>29</v>
      </c>
      <c r="Q15" s="33" t="s">
        <v>30</v>
      </c>
      <c r="R15" s="33" t="s">
        <v>31</v>
      </c>
      <c r="S15" s="33" t="s">
        <v>32</v>
      </c>
      <c r="T15" s="33" t="s">
        <v>33</v>
      </c>
      <c r="U15" s="33" t="s">
        <v>34</v>
      </c>
      <c r="V15" s="33" t="s">
        <v>35</v>
      </c>
      <c r="W15" s="32" t="s">
        <v>36</v>
      </c>
      <c r="X15" s="32" t="s">
        <v>37</v>
      </c>
      <c r="Y15" s="32" t="s">
        <v>38</v>
      </c>
      <c r="Z15" s="32" t="s">
        <v>39</v>
      </c>
      <c r="AA15" s="32" t="s">
        <v>40</v>
      </c>
      <c r="AB15" s="32" t="s">
        <v>41</v>
      </c>
      <c r="AC15" s="32" t="s">
        <v>42</v>
      </c>
      <c r="AD15" s="32" t="s">
        <v>43</v>
      </c>
      <c r="AE15" s="32" t="s">
        <v>44</v>
      </c>
      <c r="AF15" s="32" t="s">
        <v>45</v>
      </c>
      <c r="AG15" s="32" t="s">
        <v>46</v>
      </c>
      <c r="AH15" s="32" t="s">
        <v>47</v>
      </c>
      <c r="AI15" s="32" t="s">
        <v>48</v>
      </c>
      <c r="AJ15" s="32" t="s">
        <v>49</v>
      </c>
      <c r="AK15" s="32" t="s">
        <v>50</v>
      </c>
      <c r="AL15" s="32" t="s">
        <v>51</v>
      </c>
      <c r="AM15" s="32" t="s">
        <v>52</v>
      </c>
      <c r="AN15" s="32" t="s">
        <v>53</v>
      </c>
      <c r="AO15" s="32" t="s">
        <v>54</v>
      </c>
      <c r="AP15" s="32" t="s">
        <v>55</v>
      </c>
      <c r="AQ15" s="32" t="s">
        <v>56</v>
      </c>
    </row>
    <row r="16" spans="1:43" x14ac:dyDescent="0.25">
      <c r="A16" t="s">
        <v>0</v>
      </c>
      <c r="B16" s="1">
        <v>99032352</v>
      </c>
      <c r="C16" s="1">
        <v>95378432</v>
      </c>
      <c r="D16" s="1">
        <v>90069016</v>
      </c>
      <c r="E16" s="1">
        <v>80641248</v>
      </c>
      <c r="F16" s="1">
        <v>74312928</v>
      </c>
      <c r="G16" s="1">
        <v>74853000</v>
      </c>
      <c r="H16" s="1">
        <v>68719744</v>
      </c>
      <c r="I16" s="1">
        <v>62306560</v>
      </c>
      <c r="J16" s="1">
        <v>68080080</v>
      </c>
      <c r="K16" s="1">
        <v>40612360</v>
      </c>
      <c r="L16" s="1">
        <v>38981628</v>
      </c>
      <c r="M16" s="1">
        <v>40047996</v>
      </c>
      <c r="N16" s="1">
        <v>1676585</v>
      </c>
      <c r="O16" s="1">
        <v>1404285</v>
      </c>
      <c r="P16" s="1">
        <v>2424069.25</v>
      </c>
      <c r="Q16" s="1">
        <v>202828.48</v>
      </c>
      <c r="R16" s="1">
        <v>214803.38</v>
      </c>
      <c r="S16" s="1">
        <v>195959.55</v>
      </c>
      <c r="T16" s="1">
        <v>185037.61</v>
      </c>
      <c r="U16" s="1">
        <v>204526</v>
      </c>
      <c r="V16" s="1">
        <v>164602.98000000001</v>
      </c>
      <c r="W16" s="1">
        <v>104712960</v>
      </c>
      <c r="X16" s="1">
        <v>106146712</v>
      </c>
      <c r="Y16" s="1">
        <v>100271040</v>
      </c>
      <c r="Z16" s="1">
        <v>101156504</v>
      </c>
      <c r="AA16" s="1">
        <v>94780280</v>
      </c>
      <c r="AB16" s="1">
        <v>99748032</v>
      </c>
      <c r="AC16" s="1">
        <v>87017224</v>
      </c>
      <c r="AD16" s="1">
        <v>86767864</v>
      </c>
      <c r="AE16" s="1">
        <v>85983648</v>
      </c>
      <c r="AF16" s="1">
        <v>78091352</v>
      </c>
      <c r="AG16" s="1">
        <v>74077144</v>
      </c>
      <c r="AH16" s="1">
        <v>82686184</v>
      </c>
      <c r="AI16" s="1">
        <v>64252020</v>
      </c>
      <c r="AJ16" s="1">
        <v>66255200</v>
      </c>
      <c r="AK16" s="1">
        <v>62898048</v>
      </c>
      <c r="AL16" s="1">
        <v>48441276</v>
      </c>
      <c r="AM16" s="1">
        <v>43925124</v>
      </c>
      <c r="AN16" s="1">
        <v>46336852</v>
      </c>
      <c r="AO16" s="1">
        <v>31755798</v>
      </c>
      <c r="AP16" s="1">
        <v>30508514</v>
      </c>
      <c r="AQ16" s="1">
        <v>31716840</v>
      </c>
    </row>
    <row r="17" spans="1:43" x14ac:dyDescent="0.25">
      <c r="A17" t="s">
        <v>1</v>
      </c>
      <c r="B17" s="1">
        <v>6178995.5</v>
      </c>
      <c r="C17" s="1">
        <v>6238584</v>
      </c>
      <c r="D17" s="1">
        <v>5891221.5</v>
      </c>
      <c r="E17" s="1">
        <v>5143982</v>
      </c>
      <c r="F17" s="1">
        <v>4843515.5</v>
      </c>
      <c r="G17" s="1">
        <v>5079559</v>
      </c>
      <c r="H17" s="1">
        <v>4184106.75</v>
      </c>
      <c r="I17" s="1">
        <v>3768010.75</v>
      </c>
      <c r="J17" s="1">
        <v>4104355.75</v>
      </c>
      <c r="K17" s="1">
        <v>2461337.25</v>
      </c>
      <c r="L17" s="1">
        <v>2284290.25</v>
      </c>
      <c r="M17" s="1">
        <v>2321200</v>
      </c>
      <c r="N17" s="1">
        <v>97793.78</v>
      </c>
      <c r="O17" s="1">
        <v>95116.88</v>
      </c>
      <c r="P17" s="1">
        <v>155870.42000000001</v>
      </c>
      <c r="Q17" s="1">
        <v>11558.47</v>
      </c>
      <c r="R17" s="1">
        <v>17142.72</v>
      </c>
      <c r="S17" s="1">
        <v>10624.18</v>
      </c>
      <c r="T17" s="1">
        <v>34808.78</v>
      </c>
      <c r="U17" s="1">
        <v>8844.11</v>
      </c>
      <c r="V17" s="1">
        <v>24098.71</v>
      </c>
      <c r="W17" s="1">
        <v>6656254.5</v>
      </c>
      <c r="X17" s="1">
        <v>6412152.5</v>
      </c>
      <c r="Y17" s="1">
        <v>6532948</v>
      </c>
      <c r="Z17" s="1">
        <v>6161720.5</v>
      </c>
      <c r="AA17" s="1">
        <v>5716072.5</v>
      </c>
      <c r="AB17" s="1">
        <v>6158759.5</v>
      </c>
      <c r="AC17" s="1">
        <v>5168407.5</v>
      </c>
      <c r="AD17" s="1">
        <v>5444358</v>
      </c>
      <c r="AE17" s="1">
        <v>5339581.5</v>
      </c>
      <c r="AF17" s="1">
        <v>4997479.5</v>
      </c>
      <c r="AG17" s="1">
        <v>4955912.5</v>
      </c>
      <c r="AH17" s="1">
        <v>4905892</v>
      </c>
      <c r="AI17" s="1">
        <v>3859070.75</v>
      </c>
      <c r="AJ17" s="1">
        <v>4022378</v>
      </c>
      <c r="AK17" s="1">
        <v>3739575</v>
      </c>
      <c r="AL17" s="1">
        <v>2876612.75</v>
      </c>
      <c r="AM17" s="1">
        <v>2555790.25</v>
      </c>
      <c r="AN17" s="1">
        <v>2975746.75</v>
      </c>
      <c r="AO17" s="1">
        <v>1913470.88</v>
      </c>
      <c r="AP17" s="1">
        <v>1768166.62</v>
      </c>
      <c r="AQ17" s="1">
        <v>2004455.88</v>
      </c>
    </row>
    <row r="18" spans="1:43" x14ac:dyDescent="0.25">
      <c r="A18" t="s">
        <v>2</v>
      </c>
      <c r="B18" s="1">
        <v>933425.56</v>
      </c>
      <c r="C18" s="1">
        <v>1075543.6200000001</v>
      </c>
      <c r="D18" s="1">
        <v>1014506.31</v>
      </c>
      <c r="E18" s="1">
        <v>920409.19</v>
      </c>
      <c r="F18" s="1">
        <v>899120.75</v>
      </c>
      <c r="G18" s="1">
        <v>809376.25</v>
      </c>
      <c r="H18" s="1">
        <v>706477.19</v>
      </c>
      <c r="I18" s="1">
        <v>685752.69</v>
      </c>
      <c r="J18" s="1">
        <v>726193.25</v>
      </c>
      <c r="K18" s="1">
        <v>409137.88</v>
      </c>
      <c r="L18" s="1">
        <v>438067.59</v>
      </c>
      <c r="M18" s="1">
        <v>478562.53</v>
      </c>
      <c r="N18" s="1">
        <v>22500.78</v>
      </c>
      <c r="O18" s="1">
        <v>9755.69</v>
      </c>
      <c r="P18" s="1">
        <v>12302.8</v>
      </c>
      <c r="Q18" s="1">
        <v>0</v>
      </c>
      <c r="R18" s="1">
        <v>0</v>
      </c>
      <c r="S18" s="1">
        <v>1204.1300000000001</v>
      </c>
      <c r="T18" s="1">
        <v>0</v>
      </c>
      <c r="U18" s="1">
        <v>0</v>
      </c>
      <c r="V18" s="1">
        <v>3041.96</v>
      </c>
      <c r="W18" s="1">
        <v>1163961.5</v>
      </c>
      <c r="X18" s="1">
        <v>1095819.1200000001</v>
      </c>
      <c r="Y18" s="1">
        <v>1035859.19</v>
      </c>
      <c r="Z18" s="1">
        <v>1017277.25</v>
      </c>
      <c r="AA18" s="1">
        <v>1000681.31</v>
      </c>
      <c r="AB18" s="1">
        <v>993390.19</v>
      </c>
      <c r="AC18" s="1">
        <v>848722.94</v>
      </c>
      <c r="AD18" s="1">
        <v>898779.19</v>
      </c>
      <c r="AE18" s="1">
        <v>953714.19</v>
      </c>
      <c r="AF18" s="1">
        <v>862707</v>
      </c>
      <c r="AG18" s="1">
        <v>754189</v>
      </c>
      <c r="AH18" s="1">
        <v>903271.31</v>
      </c>
      <c r="AI18" s="1">
        <v>709706.31</v>
      </c>
      <c r="AJ18" s="1">
        <v>688242.25</v>
      </c>
      <c r="AK18" s="1">
        <v>710881.81</v>
      </c>
      <c r="AL18" s="1">
        <v>542189</v>
      </c>
      <c r="AM18" s="1">
        <v>482184.16</v>
      </c>
      <c r="AN18" s="1">
        <v>489634.88</v>
      </c>
      <c r="AO18" s="1">
        <v>334236.46999999997</v>
      </c>
      <c r="AP18" s="1">
        <v>340633.47</v>
      </c>
      <c r="AQ18" s="1">
        <v>353918.53</v>
      </c>
    </row>
    <row r="19" spans="1:43" x14ac:dyDescent="0.25">
      <c r="A19" t="s">
        <v>3</v>
      </c>
      <c r="B19" s="1">
        <v>61998.75</v>
      </c>
      <c r="C19" s="1">
        <v>68458.41</v>
      </c>
      <c r="D19" s="1">
        <v>66414.13</v>
      </c>
      <c r="E19" s="1">
        <v>66862.3</v>
      </c>
      <c r="F19" s="1">
        <v>49755.92</v>
      </c>
      <c r="G19" s="1">
        <v>47812.63</v>
      </c>
      <c r="H19" s="1">
        <v>72281.94</v>
      </c>
      <c r="I19" s="1">
        <v>36281.54</v>
      </c>
      <c r="J19" s="1">
        <v>41796.04</v>
      </c>
      <c r="K19" s="1">
        <v>14662.73</v>
      </c>
      <c r="L19" s="1">
        <v>20286.689999999999</v>
      </c>
      <c r="M19" s="1">
        <v>26997.03</v>
      </c>
      <c r="N19" s="1">
        <v>0</v>
      </c>
      <c r="O19" s="1">
        <v>0</v>
      </c>
      <c r="P19" s="1">
        <v>0</v>
      </c>
      <c r="Q19" s="1">
        <v>5716.61</v>
      </c>
      <c r="R19" s="1">
        <v>0</v>
      </c>
      <c r="S19" s="1">
        <v>6653.63</v>
      </c>
      <c r="T19" s="1">
        <v>5208.66</v>
      </c>
      <c r="U19" s="1">
        <v>6662.04</v>
      </c>
      <c r="V19" s="1">
        <v>0</v>
      </c>
      <c r="W19" s="1">
        <v>36371.03</v>
      </c>
      <c r="X19" s="1">
        <v>76464.23</v>
      </c>
      <c r="Y19" s="1">
        <v>76758.31</v>
      </c>
      <c r="Z19" s="1">
        <v>71775.520000000004</v>
      </c>
      <c r="AA19" s="1">
        <v>54935.78</v>
      </c>
      <c r="AB19" s="1">
        <v>83688.960000000006</v>
      </c>
      <c r="AC19" s="1">
        <v>57215.040000000001</v>
      </c>
      <c r="AD19" s="1">
        <v>48783.7</v>
      </c>
      <c r="AE19" s="1">
        <v>47892.18</v>
      </c>
      <c r="AF19" s="1">
        <v>56012.17</v>
      </c>
      <c r="AG19" s="1">
        <v>43813.22</v>
      </c>
      <c r="AH19" s="1">
        <v>60002.06</v>
      </c>
      <c r="AI19" s="1">
        <v>41959.27</v>
      </c>
      <c r="AJ19" s="1">
        <v>61626.04</v>
      </c>
      <c r="AK19" s="1">
        <v>35563.93</v>
      </c>
      <c r="AL19" s="1">
        <v>25608.6</v>
      </c>
      <c r="AM19" s="1">
        <v>17839.18</v>
      </c>
      <c r="AN19" s="1">
        <v>18569.03</v>
      </c>
      <c r="AO19" s="1">
        <v>15255.75</v>
      </c>
      <c r="AP19" s="1">
        <v>11462.96</v>
      </c>
      <c r="AQ19" s="1">
        <v>11462.27</v>
      </c>
    </row>
    <row r="20" spans="1:43" x14ac:dyDescent="0.25">
      <c r="A20" t="s">
        <v>4</v>
      </c>
      <c r="B20" s="1">
        <v>117191.37</v>
      </c>
      <c r="C20" s="1">
        <v>121378.41</v>
      </c>
      <c r="D20" s="1">
        <v>146276.57999999999</v>
      </c>
      <c r="E20" s="1">
        <v>132596.17000000001</v>
      </c>
      <c r="F20" s="1">
        <v>150720.92000000001</v>
      </c>
      <c r="G20" s="1">
        <v>157675.82999999999</v>
      </c>
      <c r="H20" s="1">
        <v>163761.04999999999</v>
      </c>
      <c r="I20" s="1">
        <v>181737.3</v>
      </c>
      <c r="J20" s="1">
        <v>172561.77</v>
      </c>
      <c r="K20" s="1">
        <v>198541.58</v>
      </c>
      <c r="L20" s="1">
        <v>177621.25</v>
      </c>
      <c r="M20" s="1">
        <v>193334.5</v>
      </c>
      <c r="N20" s="1">
        <v>233075.17</v>
      </c>
      <c r="O20" s="1">
        <v>249703.31</v>
      </c>
      <c r="P20" s="1">
        <v>222183.62</v>
      </c>
      <c r="Q20" s="1">
        <v>249025.2</v>
      </c>
      <c r="R20" s="1">
        <v>256020.05</v>
      </c>
      <c r="S20" s="1">
        <v>257319.83</v>
      </c>
      <c r="T20" s="1">
        <v>295291.21999999997</v>
      </c>
      <c r="U20" s="1">
        <v>299672.65999999997</v>
      </c>
      <c r="V20" s="1">
        <v>258519</v>
      </c>
      <c r="W20" s="1">
        <v>152488.60999999999</v>
      </c>
      <c r="X20" s="1">
        <v>147359.91</v>
      </c>
      <c r="Y20" s="1">
        <v>146335.95000000001</v>
      </c>
      <c r="Z20" s="1">
        <v>140369.97</v>
      </c>
      <c r="AA20" s="1">
        <v>126960.27</v>
      </c>
      <c r="AB20" s="1">
        <v>175976.64</v>
      </c>
      <c r="AC20" s="1">
        <v>166031.70000000001</v>
      </c>
      <c r="AD20" s="1">
        <v>145512.57999999999</v>
      </c>
      <c r="AE20" s="1">
        <v>119231.48</v>
      </c>
      <c r="AF20" s="1">
        <v>191334.25</v>
      </c>
      <c r="AG20" s="1">
        <v>175301.14</v>
      </c>
      <c r="AH20" s="1">
        <v>147610.51999999999</v>
      </c>
      <c r="AI20" s="1">
        <v>205435.67</v>
      </c>
      <c r="AJ20" s="1">
        <v>206223.45</v>
      </c>
      <c r="AK20" s="1">
        <v>196714.5</v>
      </c>
      <c r="AL20" s="1">
        <v>178681.83</v>
      </c>
      <c r="AM20" s="1">
        <v>194748.14</v>
      </c>
      <c r="AN20" s="1">
        <v>205356.75</v>
      </c>
      <c r="AO20" s="1">
        <v>181417</v>
      </c>
      <c r="AP20" s="1">
        <v>202499.81</v>
      </c>
      <c r="AQ20" s="1">
        <v>231106.2</v>
      </c>
    </row>
    <row r="21" spans="1:43" x14ac:dyDescent="0.25">
      <c r="A21" t="s">
        <v>5</v>
      </c>
      <c r="B21" s="1">
        <v>3101361.75</v>
      </c>
      <c r="C21" s="1">
        <v>3102129</v>
      </c>
      <c r="D21" s="1">
        <v>2929591</v>
      </c>
      <c r="E21" s="1">
        <v>3610418</v>
      </c>
      <c r="F21" s="1">
        <v>3318657.75</v>
      </c>
      <c r="G21" s="1">
        <v>3285148.75</v>
      </c>
      <c r="H21" s="1">
        <v>4084015</v>
      </c>
      <c r="I21" s="1">
        <v>3609578.25</v>
      </c>
      <c r="J21" s="1">
        <v>3869149.25</v>
      </c>
      <c r="K21" s="1">
        <v>4376696</v>
      </c>
      <c r="L21" s="1">
        <v>4417522.5</v>
      </c>
      <c r="M21" s="1">
        <v>4373944.5</v>
      </c>
      <c r="N21" s="1">
        <v>5479807.5</v>
      </c>
      <c r="O21" s="1">
        <v>5755748.5</v>
      </c>
      <c r="P21" s="1">
        <v>5834327.5</v>
      </c>
      <c r="Q21" s="1">
        <v>5741093.5</v>
      </c>
      <c r="R21" s="1">
        <v>5443842</v>
      </c>
      <c r="S21" s="1">
        <v>5856207.5</v>
      </c>
      <c r="T21" s="1">
        <v>5825630</v>
      </c>
      <c r="U21" s="1">
        <v>5997878</v>
      </c>
      <c r="V21" s="1">
        <v>5998608</v>
      </c>
      <c r="W21" s="1">
        <v>2949368</v>
      </c>
      <c r="X21" s="1">
        <v>2838004</v>
      </c>
      <c r="Y21" s="1">
        <v>3215421.75</v>
      </c>
      <c r="Z21" s="1">
        <v>3265554.25</v>
      </c>
      <c r="AA21" s="1">
        <v>3329429.75</v>
      </c>
      <c r="AB21" s="1">
        <v>3506338.25</v>
      </c>
      <c r="AC21" s="1">
        <v>3440014.25</v>
      </c>
      <c r="AD21" s="1">
        <v>3390346.25</v>
      </c>
      <c r="AE21" s="1">
        <v>3289357.25</v>
      </c>
      <c r="AF21" s="1">
        <v>3618245</v>
      </c>
      <c r="AG21" s="1">
        <v>3490064</v>
      </c>
      <c r="AH21" s="1">
        <v>3665004.25</v>
      </c>
      <c r="AI21" s="1">
        <v>4154365</v>
      </c>
      <c r="AJ21" s="1">
        <v>4268831.5</v>
      </c>
      <c r="AK21" s="1">
        <v>4143622</v>
      </c>
      <c r="AL21" s="1">
        <v>4584066.5</v>
      </c>
      <c r="AM21" s="1">
        <v>4602602.5</v>
      </c>
      <c r="AN21" s="1">
        <v>4580433.5</v>
      </c>
      <c r="AO21" s="1">
        <v>4978731.5</v>
      </c>
      <c r="AP21" s="1">
        <v>4756032.5</v>
      </c>
      <c r="AQ21" s="1">
        <v>5001662.5</v>
      </c>
    </row>
    <row r="22" spans="1:43" x14ac:dyDescent="0.25">
      <c r="A22" t="s">
        <v>6</v>
      </c>
      <c r="B22" s="1">
        <v>42195636</v>
      </c>
      <c r="C22" s="1">
        <v>41627492</v>
      </c>
      <c r="D22" s="1">
        <v>37900856</v>
      </c>
      <c r="E22" s="1">
        <v>46390260</v>
      </c>
      <c r="F22" s="1">
        <v>43317568</v>
      </c>
      <c r="G22" s="1">
        <v>46920700</v>
      </c>
      <c r="H22" s="1">
        <v>53343936</v>
      </c>
      <c r="I22" s="1">
        <v>49666356</v>
      </c>
      <c r="J22" s="1">
        <v>52692320</v>
      </c>
      <c r="K22" s="1">
        <v>59029660</v>
      </c>
      <c r="L22" s="1">
        <v>60359360</v>
      </c>
      <c r="M22" s="1">
        <v>57694736</v>
      </c>
      <c r="N22" s="1">
        <v>70471304</v>
      </c>
      <c r="O22" s="1">
        <v>76523272</v>
      </c>
      <c r="P22" s="1">
        <v>71500488</v>
      </c>
      <c r="Q22" s="1">
        <v>76332000</v>
      </c>
      <c r="R22" s="1">
        <v>72829032</v>
      </c>
      <c r="S22" s="1">
        <v>79776992</v>
      </c>
      <c r="T22" s="1">
        <v>79349160</v>
      </c>
      <c r="U22" s="1">
        <v>75040752</v>
      </c>
      <c r="V22" s="1">
        <v>79253800</v>
      </c>
      <c r="W22" s="1">
        <v>40951160</v>
      </c>
      <c r="X22" s="1">
        <v>38994004</v>
      </c>
      <c r="Y22" s="1">
        <v>40059912</v>
      </c>
      <c r="Z22" s="1">
        <v>45576688</v>
      </c>
      <c r="AA22" s="1">
        <v>43690580</v>
      </c>
      <c r="AB22" s="1">
        <v>46840864</v>
      </c>
      <c r="AC22" s="1">
        <v>45839916</v>
      </c>
      <c r="AD22" s="1">
        <v>45072352</v>
      </c>
      <c r="AE22" s="1">
        <v>44590252</v>
      </c>
      <c r="AF22" s="1">
        <v>48416388</v>
      </c>
      <c r="AG22" s="1">
        <v>46100820</v>
      </c>
      <c r="AH22" s="1">
        <v>47217388</v>
      </c>
      <c r="AI22" s="1">
        <v>56815788</v>
      </c>
      <c r="AJ22" s="1">
        <v>58409724</v>
      </c>
      <c r="AK22" s="1">
        <v>52936628</v>
      </c>
      <c r="AL22" s="1">
        <v>61779340</v>
      </c>
      <c r="AM22" s="1">
        <v>58394044</v>
      </c>
      <c r="AN22" s="1">
        <v>57814416</v>
      </c>
      <c r="AO22" s="1">
        <v>63392224</v>
      </c>
      <c r="AP22" s="1">
        <v>61104332</v>
      </c>
      <c r="AQ22" s="1">
        <v>64627408</v>
      </c>
    </row>
    <row r="23" spans="1:43" x14ac:dyDescent="0.25">
      <c r="A23" t="s">
        <v>8</v>
      </c>
      <c r="B23" s="2">
        <f>SUM(B16:B17)/SUM(B16:B22)</f>
        <v>0.69391030669284381</v>
      </c>
      <c r="C23" s="2">
        <f t="shared" ref="C23:AQ23" si="16">SUM(C16:C17)/SUM(C16:C22)</f>
        <v>0.68840611870442303</v>
      </c>
      <c r="D23" s="2">
        <f t="shared" si="16"/>
        <v>0.69527394887664995</v>
      </c>
      <c r="E23" s="2">
        <f t="shared" si="16"/>
        <v>0.62660051839627406</v>
      </c>
      <c r="F23" s="2">
        <f t="shared" si="16"/>
        <v>0.6238082546023811</v>
      </c>
      <c r="G23" s="2">
        <f t="shared" si="16"/>
        <v>0.60945912748291031</v>
      </c>
      <c r="H23" s="2">
        <f t="shared" si="16"/>
        <v>0.55535499767330621</v>
      </c>
      <c r="I23" s="2">
        <f t="shared" si="16"/>
        <v>0.54945713912732475</v>
      </c>
      <c r="J23" s="2">
        <f t="shared" si="16"/>
        <v>0.55660735857107202</v>
      </c>
      <c r="K23" s="2">
        <f t="shared" si="16"/>
        <v>0.40217305199425146</v>
      </c>
      <c r="L23" s="2">
        <f t="shared" si="16"/>
        <v>0.38682406837597444</v>
      </c>
      <c r="M23" s="2">
        <f t="shared" si="16"/>
        <v>0.40299122537552667</v>
      </c>
      <c r="N23" s="2">
        <f t="shared" si="16"/>
        <v>2.2753969210507933E-2</v>
      </c>
      <c r="O23" s="2">
        <f t="shared" si="16"/>
        <v>1.7841976206183125E-2</v>
      </c>
      <c r="P23" s="2">
        <f t="shared" si="16"/>
        <v>3.2189196289561545E-2</v>
      </c>
      <c r="Q23" s="2">
        <f t="shared" si="16"/>
        <v>2.5973004376439236E-3</v>
      </c>
      <c r="R23" s="2">
        <f t="shared" si="16"/>
        <v>2.9449419223850164E-3</v>
      </c>
      <c r="S23" s="2">
        <f t="shared" si="16"/>
        <v>2.3992082225303777E-3</v>
      </c>
      <c r="T23" s="2">
        <f t="shared" si="16"/>
        <v>2.56544769714035E-3</v>
      </c>
      <c r="U23" s="2">
        <f t="shared" si="16"/>
        <v>2.6161656009416013E-3</v>
      </c>
      <c r="V23" s="2">
        <f t="shared" si="16"/>
        <v>2.2018180830167631E-3</v>
      </c>
      <c r="W23" s="2">
        <f t="shared" si="16"/>
        <v>0.71106749826917859</v>
      </c>
      <c r="X23" s="2">
        <f t="shared" si="16"/>
        <v>0.72287259438206108</v>
      </c>
      <c r="Y23" s="2">
        <f t="shared" si="16"/>
        <v>0.70573017869308985</v>
      </c>
      <c r="Z23" s="2">
        <f t="shared" si="16"/>
        <v>0.68186225206555351</v>
      </c>
      <c r="AA23" s="2">
        <f t="shared" si="16"/>
        <v>0.6758377212613399</v>
      </c>
      <c r="AB23" s="2">
        <f t="shared" si="16"/>
        <v>0.672393977344514</v>
      </c>
      <c r="AC23" s="2">
        <f t="shared" si="16"/>
        <v>0.64674637321940887</v>
      </c>
      <c r="AD23" s="2">
        <f t="shared" si="16"/>
        <v>0.65044456283436836</v>
      </c>
      <c r="AE23" s="2">
        <f t="shared" si="16"/>
        <v>0.65080413877924281</v>
      </c>
      <c r="AF23" s="2">
        <f t="shared" si="16"/>
        <v>0.60990006548015585</v>
      </c>
      <c r="AG23" s="2">
        <f t="shared" si="16"/>
        <v>0.6098359359044474</v>
      </c>
      <c r="AH23" s="2">
        <f t="shared" si="16"/>
        <v>0.62751624477149814</v>
      </c>
      <c r="AI23" s="2">
        <f t="shared" si="16"/>
        <v>0.52377697324585293</v>
      </c>
      <c r="AJ23" s="2">
        <f t="shared" si="16"/>
        <v>0.52480330211858706</v>
      </c>
      <c r="AK23" s="2">
        <f t="shared" si="16"/>
        <v>0.53455054292473148</v>
      </c>
      <c r="AL23" s="2">
        <f t="shared" si="16"/>
        <v>0.43332646322760404</v>
      </c>
      <c r="AM23" s="2">
        <f t="shared" si="16"/>
        <v>0.42189280474670049</v>
      </c>
      <c r="AN23" s="2">
        <f t="shared" si="16"/>
        <v>0.43864220067156484</v>
      </c>
      <c r="AO23" s="2">
        <f t="shared" si="16"/>
        <v>0.32825286899237316</v>
      </c>
      <c r="AP23" s="2">
        <f t="shared" si="16"/>
        <v>0.3270457373615212</v>
      </c>
      <c r="AQ23" s="2">
        <f t="shared" si="16"/>
        <v>0.32440901079251122</v>
      </c>
    </row>
    <row r="24" spans="1:43" x14ac:dyDescent="0.25">
      <c r="A24" t="s">
        <v>121</v>
      </c>
      <c r="B24" s="10">
        <v>0.5</v>
      </c>
    </row>
    <row r="25" spans="1:43" x14ac:dyDescent="0.25">
      <c r="A25" t="s">
        <v>122</v>
      </c>
      <c r="B25" s="2">
        <f>(B23/(1-B23))*$B$24</f>
        <v>1.1335081217460592</v>
      </c>
      <c r="C25" s="2">
        <f t="shared" ref="C25:AQ25" si="17">(C23/(1-C23))*$B$24</f>
        <v>1.1046528189868452</v>
      </c>
      <c r="D25" s="2">
        <f t="shared" si="17"/>
        <v>1.1408180336298357</v>
      </c>
      <c r="E25" s="2">
        <f t="shared" si="17"/>
        <v>0.83904845784073734</v>
      </c>
      <c r="F25" s="2">
        <f t="shared" si="17"/>
        <v>0.82910943984568553</v>
      </c>
      <c r="G25" s="2">
        <f t="shared" si="17"/>
        <v>0.78027572831860381</v>
      </c>
      <c r="H25" s="2">
        <f t="shared" si="17"/>
        <v>0.62449256684242516</v>
      </c>
      <c r="I25" s="2">
        <f t="shared" si="17"/>
        <v>0.6097723289445296</v>
      </c>
      <c r="J25" s="2">
        <f t="shared" si="17"/>
        <v>0.62766869199417175</v>
      </c>
      <c r="K25" s="2">
        <f t="shared" si="17"/>
        <v>0.33636243175038699</v>
      </c>
      <c r="L25" s="2">
        <f t="shared" si="17"/>
        <v>0.3154266568743595</v>
      </c>
      <c r="M25" s="2">
        <f t="shared" si="17"/>
        <v>0.33750862843600049</v>
      </c>
      <c r="N25" s="2">
        <f t="shared" si="17"/>
        <v>1.1641883667783017E-2</v>
      </c>
      <c r="O25" s="2">
        <f t="shared" si="17"/>
        <v>9.0830476226545932E-3</v>
      </c>
      <c r="P25" s="2">
        <f t="shared" si="17"/>
        <v>1.6629901302069108E-2</v>
      </c>
      <c r="Q25" s="2">
        <f t="shared" si="17"/>
        <v>1.3020319870718099E-3</v>
      </c>
      <c r="R25" s="2">
        <f t="shared" si="17"/>
        <v>1.4768201106481773E-3</v>
      </c>
      <c r="S25" s="2">
        <f t="shared" si="17"/>
        <v>1.2024891330807796E-3</v>
      </c>
      <c r="T25" s="2">
        <f t="shared" si="17"/>
        <v>1.2860230735025615E-3</v>
      </c>
      <c r="U25" s="2">
        <f t="shared" si="17"/>
        <v>1.3115139381208679E-3</v>
      </c>
      <c r="V25" s="2">
        <f t="shared" si="17"/>
        <v>1.1033383919314228E-3</v>
      </c>
      <c r="W25" s="2">
        <f>(W23/(1-W23))*$B$24</f>
        <v>1.2305079802542107</v>
      </c>
      <c r="X25" s="2">
        <f t="shared" si="17"/>
        <v>1.3042243021223383</v>
      </c>
      <c r="Y25" s="2">
        <f t="shared" si="17"/>
        <v>1.1991208876921244</v>
      </c>
      <c r="Z25" s="2">
        <f>(Z23/(1-Z23))*$B$24</f>
        <v>1.0716462546375569</v>
      </c>
      <c r="AA25" s="2">
        <f t="shared" si="17"/>
        <v>1.0424373309119672</v>
      </c>
      <c r="AB25" s="2">
        <f t="shared" si="17"/>
        <v>1.0262234678933402</v>
      </c>
      <c r="AC25" s="2">
        <f t="shared" si="17"/>
        <v>0.9154136351176213</v>
      </c>
      <c r="AD25" s="2">
        <f t="shared" si="17"/>
        <v>0.93038827847807859</v>
      </c>
      <c r="AE25" s="2">
        <f t="shared" si="17"/>
        <v>0.9318611860176268</v>
      </c>
      <c r="AF25" s="2">
        <f t="shared" si="17"/>
        <v>0.78172285036506539</v>
      </c>
      <c r="AG25" s="2">
        <f t="shared" si="17"/>
        <v>0.78151217913689808</v>
      </c>
      <c r="AH25" s="2">
        <f t="shared" si="17"/>
        <v>0.8423404188278566</v>
      </c>
      <c r="AI25" s="2">
        <f t="shared" si="17"/>
        <v>0.54992823091296661</v>
      </c>
      <c r="AJ25" s="2">
        <f t="shared" si="17"/>
        <v>0.55219586379528418</v>
      </c>
      <c r="AK25" s="2">
        <f t="shared" si="17"/>
        <v>0.57423049355742239</v>
      </c>
      <c r="AL25" s="2">
        <f t="shared" si="17"/>
        <v>0.3823422439096969</v>
      </c>
      <c r="AM25" s="2">
        <f t="shared" si="17"/>
        <v>0.36489150127412517</v>
      </c>
      <c r="AN25" s="2">
        <f t="shared" si="17"/>
        <v>0.39069752054422535</v>
      </c>
      <c r="AO25" s="2">
        <f t="shared" si="17"/>
        <v>0.244327704459259</v>
      </c>
      <c r="AP25" s="2">
        <f t="shared" si="17"/>
        <v>0.24299254460419037</v>
      </c>
      <c r="AQ25" s="2">
        <f t="shared" si="17"/>
        <v>0.240092760246154</v>
      </c>
    </row>
    <row r="26" spans="1:43" x14ac:dyDescent="0.25">
      <c r="A26" t="s">
        <v>12</v>
      </c>
      <c r="B26" s="2">
        <v>186.11</v>
      </c>
    </row>
    <row r="27" spans="1:43" x14ac:dyDescent="0.25">
      <c r="A27" t="s">
        <v>11</v>
      </c>
      <c r="B27">
        <v>180.15600000000001</v>
      </c>
    </row>
    <row r="28" spans="1:43" x14ac:dyDescent="0.25">
      <c r="A28" t="s">
        <v>123</v>
      </c>
      <c r="B28" s="2">
        <f>B25*($B$27/$B$26)</f>
        <v>1.0972451194523831</v>
      </c>
      <c r="C28" s="2">
        <f t="shared" ref="C28:AQ28" si="18">C25*($B$27/$B$26)</f>
        <v>1.069312950714062</v>
      </c>
      <c r="D28" s="2">
        <f t="shared" si="18"/>
        <v>1.1043211738574858</v>
      </c>
      <c r="E28" s="2">
        <f t="shared" si="18"/>
        <v>0.81220575987725474</v>
      </c>
      <c r="F28" s="2">
        <f t="shared" si="18"/>
        <v>0.80258470928396819</v>
      </c>
      <c r="G28" s="2">
        <f t="shared" si="18"/>
        <v>0.75531327769043244</v>
      </c>
      <c r="H28" s="2">
        <f t="shared" si="18"/>
        <v>0.60451390506723957</v>
      </c>
      <c r="I28" s="2">
        <f t="shared" si="18"/>
        <v>0.59026459455875924</v>
      </c>
      <c r="J28" s="2">
        <f t="shared" si="18"/>
        <v>0.60758842015422065</v>
      </c>
      <c r="K28" s="2">
        <f t="shared" si="18"/>
        <v>0.32560158107797926</v>
      </c>
      <c r="L28" s="2">
        <f t="shared" si="18"/>
        <v>0.30533558001105321</v>
      </c>
      <c r="M28" s="2">
        <f t="shared" si="18"/>
        <v>0.3267111088308855</v>
      </c>
      <c r="N28" s="2">
        <f t="shared" si="18"/>
        <v>1.1269438472156881E-2</v>
      </c>
      <c r="O28" s="2">
        <f t="shared" si="18"/>
        <v>8.792464281913711E-3</v>
      </c>
      <c r="P28" s="2">
        <f t="shared" si="18"/>
        <v>1.6097880280347979E-2</v>
      </c>
      <c r="Q28" s="2">
        <f t="shared" si="18"/>
        <v>1.2603775974580032E-3</v>
      </c>
      <c r="R28" s="2">
        <f t="shared" si="18"/>
        <v>1.4295739286117513E-3</v>
      </c>
      <c r="S28" s="2">
        <f t="shared" si="18"/>
        <v>1.1640193018070009E-3</v>
      </c>
      <c r="T28" s="2">
        <f t="shared" si="18"/>
        <v>1.2448808383747649E-3</v>
      </c>
      <c r="U28" s="2">
        <f t="shared" si="18"/>
        <v>1.2695562035146047E-3</v>
      </c>
      <c r="V28" s="2">
        <f t="shared" si="18"/>
        <v>1.0680405745892075E-3</v>
      </c>
      <c r="W28" s="2">
        <f t="shared" si="18"/>
        <v>1.1911417747067734</v>
      </c>
      <c r="X28" s="2">
        <f t="shared" si="18"/>
        <v>1.2624997763320185</v>
      </c>
      <c r="Y28" s="2">
        <f t="shared" si="18"/>
        <v>1.1607588127616053</v>
      </c>
      <c r="Z28" s="2">
        <f t="shared" si="18"/>
        <v>1.0373623268523116</v>
      </c>
      <c r="AA28" s="2">
        <f t="shared" si="18"/>
        <v>1.009087850130441</v>
      </c>
      <c r="AB28" s="2">
        <f t="shared" si="18"/>
        <v>0.99339269830633814</v>
      </c>
      <c r="AC28" s="2">
        <f t="shared" si="18"/>
        <v>0.88612787517194236</v>
      </c>
      <c r="AD28" s="2">
        <f t="shared" si="18"/>
        <v>0.90062345224596596</v>
      </c>
      <c r="AE28" s="2">
        <f t="shared" si="18"/>
        <v>0.90204923877379817</v>
      </c>
      <c r="AF28" s="2">
        <f t="shared" si="18"/>
        <v>0.75671410365036118</v>
      </c>
      <c r="AG28" s="2">
        <f t="shared" si="18"/>
        <v>0.75651017218089844</v>
      </c>
      <c r="AH28" s="2">
        <f t="shared" si="18"/>
        <v>0.81539240499893251</v>
      </c>
      <c r="AI28" s="2">
        <f t="shared" si="18"/>
        <v>0.53233501890471446</v>
      </c>
      <c r="AJ28" s="2">
        <f t="shared" si="18"/>
        <v>0.53453010605503848</v>
      </c>
      <c r="AK28" s="2">
        <f t="shared" si="18"/>
        <v>0.55585980762630161</v>
      </c>
      <c r="AL28" s="2">
        <f t="shared" si="18"/>
        <v>0.37011041477510803</v>
      </c>
      <c r="AM28" s="2">
        <f t="shared" si="18"/>
        <v>0.35321795337994355</v>
      </c>
      <c r="AN28" s="2">
        <f t="shared" si="18"/>
        <v>0.37819839079665502</v>
      </c>
      <c r="AO28" s="2">
        <f t="shared" si="18"/>
        <v>0.23651121339295184</v>
      </c>
      <c r="AP28" s="2">
        <f t="shared" si="18"/>
        <v>0.23521876774871056</v>
      </c>
      <c r="AQ28" s="2">
        <f t="shared" si="18"/>
        <v>0.23241175280697501</v>
      </c>
    </row>
    <row r="29" spans="1:43" x14ac:dyDescent="0.25">
      <c r="A29" t="s">
        <v>119</v>
      </c>
      <c r="B29" s="2">
        <v>50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25">
      <c r="A30" t="s">
        <v>120</v>
      </c>
      <c r="B30" s="2">
        <v>100</v>
      </c>
    </row>
    <row r="31" spans="1:43" x14ac:dyDescent="0.25">
      <c r="A31" t="s">
        <v>131</v>
      </c>
      <c r="B31" s="2">
        <f>B28*$B$29</f>
        <v>54.862255972619153</v>
      </c>
      <c r="C31" s="2">
        <f t="shared" ref="C31:V31" si="19">C28*$B$29</f>
        <v>53.465647535703098</v>
      </c>
      <c r="D31" s="2">
        <f t="shared" si="19"/>
        <v>55.216058692874292</v>
      </c>
      <c r="E31" s="2">
        <f t="shared" si="19"/>
        <v>40.610287993862734</v>
      </c>
      <c r="F31" s="2">
        <f t="shared" si="19"/>
        <v>40.129235464198409</v>
      </c>
      <c r="G31" s="2">
        <f t="shared" si="19"/>
        <v>37.765663884521622</v>
      </c>
      <c r="H31" s="2">
        <f t="shared" si="19"/>
        <v>30.225695253361977</v>
      </c>
      <c r="I31" s="2">
        <f t="shared" si="19"/>
        <v>29.513229727937961</v>
      </c>
      <c r="J31" s="2">
        <f t="shared" si="19"/>
        <v>30.379421007711034</v>
      </c>
      <c r="K31" s="2">
        <f t="shared" si="19"/>
        <v>16.280079053898962</v>
      </c>
      <c r="L31" s="2">
        <f t="shared" si="19"/>
        <v>15.26677900055266</v>
      </c>
      <c r="M31" s="2">
        <f t="shared" si="19"/>
        <v>16.335555441544276</v>
      </c>
      <c r="N31" s="2">
        <f t="shared" si="19"/>
        <v>0.56347192360784404</v>
      </c>
      <c r="O31" s="2">
        <f t="shared" si="19"/>
        <v>0.43962321409568555</v>
      </c>
      <c r="P31" s="2">
        <f t="shared" si="19"/>
        <v>0.80489401401739902</v>
      </c>
      <c r="Q31" s="2">
        <f t="shared" si="19"/>
        <v>6.3018879872900169E-2</v>
      </c>
      <c r="R31" s="2">
        <f t="shared" si="19"/>
        <v>7.147869643058756E-2</v>
      </c>
      <c r="S31" s="2">
        <f t="shared" si="19"/>
        <v>5.8200965090350047E-2</v>
      </c>
      <c r="T31" s="2">
        <f t="shared" si="19"/>
        <v>6.2244041918738245E-2</v>
      </c>
      <c r="U31" s="2">
        <f t="shared" si="19"/>
        <v>6.3477810175730232E-2</v>
      </c>
      <c r="V31" s="2">
        <f t="shared" si="19"/>
        <v>5.3402028729460378E-2</v>
      </c>
      <c r="W31" s="2">
        <f>W28*$B$30</f>
        <v>119.11417747067733</v>
      </c>
      <c r="X31" s="2">
        <f>X28*$B$30</f>
        <v>126.24997763320185</v>
      </c>
      <c r="Y31" s="2">
        <f t="shared" ref="Y31:AQ31" si="20">Y28*$B$30</f>
        <v>116.07588127616053</v>
      </c>
      <c r="Z31" s="2">
        <f t="shared" si="20"/>
        <v>103.73623268523116</v>
      </c>
      <c r="AA31" s="2">
        <f t="shared" si="20"/>
        <v>100.9087850130441</v>
      </c>
      <c r="AB31" s="2">
        <f t="shared" si="20"/>
        <v>99.33926983063381</v>
      </c>
      <c r="AC31" s="2">
        <f t="shared" si="20"/>
        <v>88.612787517194235</v>
      </c>
      <c r="AD31" s="2">
        <f t="shared" si="20"/>
        <v>90.062345224596598</v>
      </c>
      <c r="AE31" s="2">
        <f t="shared" si="20"/>
        <v>90.204923877379812</v>
      </c>
      <c r="AF31" s="2">
        <f t="shared" si="20"/>
        <v>75.671410365036124</v>
      </c>
      <c r="AG31" s="2">
        <f t="shared" si="20"/>
        <v>75.651017218089848</v>
      </c>
      <c r="AH31" s="2">
        <f t="shared" si="20"/>
        <v>81.539240499893253</v>
      </c>
      <c r="AI31" s="2">
        <f t="shared" si="20"/>
        <v>53.233501890471445</v>
      </c>
      <c r="AJ31" s="2">
        <f t="shared" si="20"/>
        <v>53.453010605503849</v>
      </c>
      <c r="AK31" s="2">
        <f t="shared" si="20"/>
        <v>55.585980762630157</v>
      </c>
      <c r="AL31" s="2">
        <f t="shared" si="20"/>
        <v>37.011041477510801</v>
      </c>
      <c r="AM31" s="2">
        <f t="shared" si="20"/>
        <v>35.321795337994352</v>
      </c>
      <c r="AN31" s="2">
        <f t="shared" si="20"/>
        <v>37.819839079665499</v>
      </c>
      <c r="AO31" s="2">
        <f t="shared" si="20"/>
        <v>23.651121339295184</v>
      </c>
      <c r="AP31" s="2">
        <f t="shared" si="20"/>
        <v>23.521876774871057</v>
      </c>
      <c r="AQ31" s="2">
        <f t="shared" si="20"/>
        <v>23.241175280697501</v>
      </c>
    </row>
    <row r="33" spans="1:11" ht="45" x14ac:dyDescent="0.25">
      <c r="A33" s="4" t="s">
        <v>14</v>
      </c>
      <c r="B33" s="34" t="s">
        <v>67</v>
      </c>
      <c r="C33" s="34" t="s">
        <v>125</v>
      </c>
      <c r="D33" s="34" t="s">
        <v>126</v>
      </c>
      <c r="E33" s="34" t="s">
        <v>127</v>
      </c>
      <c r="F33" s="6" t="s">
        <v>68</v>
      </c>
      <c r="G33" s="6" t="s">
        <v>128</v>
      </c>
      <c r="H33" s="6" t="s">
        <v>129</v>
      </c>
      <c r="I33" s="6" t="s">
        <v>130</v>
      </c>
      <c r="J33" s="6" t="s">
        <v>135</v>
      </c>
    </row>
    <row r="34" spans="1:11" x14ac:dyDescent="0.25">
      <c r="A34">
        <v>0</v>
      </c>
      <c r="B34" s="11">
        <f>Y5</f>
        <v>8.3719423701007739E-2</v>
      </c>
      <c r="C34" s="19">
        <f>B31</f>
        <v>54.862255972619153</v>
      </c>
      <c r="D34" s="19">
        <f>C31</f>
        <v>53.465647535703098</v>
      </c>
      <c r="E34" s="19">
        <f>D31</f>
        <v>55.216058692874292</v>
      </c>
      <c r="F34" s="11">
        <f>Z5</f>
        <v>8.2467629559356326E-2</v>
      </c>
      <c r="G34" s="2">
        <f>W31</f>
        <v>119.11417747067733</v>
      </c>
      <c r="H34" s="2">
        <f>X31</f>
        <v>126.24997763320185</v>
      </c>
      <c r="I34" s="2">
        <f>Y31</f>
        <v>116.07588127616053</v>
      </c>
      <c r="J34" s="2">
        <f>AVERAGE(G34:I34)</f>
        <v>120.48001212667991</v>
      </c>
    </row>
    <row r="35" spans="1:11" x14ac:dyDescent="0.25">
      <c r="A35">
        <v>3.5</v>
      </c>
      <c r="B35" s="11">
        <f>Y8</f>
        <v>0.3888123235344878</v>
      </c>
      <c r="C35" s="19">
        <f>E31</f>
        <v>40.610287993862734</v>
      </c>
      <c r="D35" s="19">
        <f t="shared" ref="D35:E35" si="21">F31</f>
        <v>40.129235464198409</v>
      </c>
      <c r="E35" s="19">
        <f t="shared" si="21"/>
        <v>37.765663884521622</v>
      </c>
      <c r="F35" s="11">
        <f t="shared" ref="F35:F40" si="22">Z8</f>
        <v>0.35786411726216089</v>
      </c>
      <c r="G35" s="2">
        <f>Z31</f>
        <v>103.73623268523116</v>
      </c>
      <c r="H35" s="2">
        <f t="shared" ref="H35:I35" si="23">AA31</f>
        <v>100.9087850130441</v>
      </c>
      <c r="I35" s="2">
        <f t="shared" si="23"/>
        <v>99.33926983063381</v>
      </c>
      <c r="J35" s="2">
        <f t="shared" ref="J35:J40" si="24">AVERAGE(G35:I35)</f>
        <v>101.32809584296967</v>
      </c>
    </row>
    <row r="36" spans="1:11" x14ac:dyDescent="0.25">
      <c r="A36">
        <v>4.5</v>
      </c>
      <c r="B36" s="11">
        <f t="shared" ref="B36:B40" si="25">Y9</f>
        <v>0.64359306970149688</v>
      </c>
      <c r="C36" s="19">
        <f>H31</f>
        <v>30.225695253361977</v>
      </c>
      <c r="D36" s="19">
        <f t="shared" ref="D36:E36" si="26">I31</f>
        <v>29.513229727937961</v>
      </c>
      <c r="E36" s="19">
        <f t="shared" si="26"/>
        <v>30.379421007711034</v>
      </c>
      <c r="F36" s="11">
        <f>Z9</f>
        <v>0.5912702064278621</v>
      </c>
      <c r="G36" s="2">
        <f>AC31</f>
        <v>88.612787517194235</v>
      </c>
      <c r="H36" s="2">
        <f t="shared" ref="H36:I36" si="27">AD31</f>
        <v>90.062345224596598</v>
      </c>
      <c r="I36" s="2">
        <f t="shared" si="27"/>
        <v>90.204923877379812</v>
      </c>
      <c r="J36" s="2">
        <f t="shared" si="24"/>
        <v>89.626685539723553</v>
      </c>
    </row>
    <row r="37" spans="1:11" x14ac:dyDescent="0.25">
      <c r="A37">
        <v>5.5</v>
      </c>
      <c r="B37" s="11">
        <f t="shared" si="25"/>
        <v>0.90561876599647784</v>
      </c>
      <c r="C37" s="19">
        <f>K31</f>
        <v>16.280079053898962</v>
      </c>
      <c r="D37" s="19">
        <f t="shared" ref="D37:E37" si="28">L31</f>
        <v>15.26677900055266</v>
      </c>
      <c r="E37" s="19">
        <f t="shared" si="28"/>
        <v>16.335555441544276</v>
      </c>
      <c r="F37" s="11">
        <f t="shared" si="22"/>
        <v>0.82127166868514956</v>
      </c>
      <c r="G37" s="2">
        <f>AF31</f>
        <v>75.671410365036124</v>
      </c>
      <c r="H37" s="2">
        <f t="shared" ref="H37:I37" si="29">AG31</f>
        <v>75.651017218089848</v>
      </c>
      <c r="I37" s="2">
        <f t="shared" si="29"/>
        <v>81.539240499893253</v>
      </c>
      <c r="J37" s="2">
        <f t="shared" si="24"/>
        <v>77.620556027673075</v>
      </c>
    </row>
    <row r="38" spans="1:11" x14ac:dyDescent="0.25">
      <c r="A38">
        <v>6.5</v>
      </c>
      <c r="B38" s="11">
        <f t="shared" si="25"/>
        <v>1.0803025635264651</v>
      </c>
      <c r="C38" s="19">
        <f>N31</f>
        <v>0.56347192360784404</v>
      </c>
      <c r="D38" s="19">
        <f t="shared" ref="D38:E38" si="30">O31</f>
        <v>0.43962321409568555</v>
      </c>
      <c r="E38" s="19">
        <f t="shared" si="30"/>
        <v>0.80489401401739902</v>
      </c>
      <c r="F38" s="11">
        <f t="shared" si="22"/>
        <v>1.0739706436651955</v>
      </c>
      <c r="G38" s="2">
        <f>AI31</f>
        <v>53.233501890471445</v>
      </c>
      <c r="H38" s="2">
        <f t="shared" ref="H38:I38" si="31">AJ31</f>
        <v>53.453010605503849</v>
      </c>
      <c r="I38" s="2">
        <f t="shared" si="31"/>
        <v>55.585980762630157</v>
      </c>
      <c r="J38" s="2">
        <f t="shared" si="24"/>
        <v>54.09083108620181</v>
      </c>
    </row>
    <row r="39" spans="1:11" x14ac:dyDescent="0.25">
      <c r="A39">
        <v>7.5</v>
      </c>
      <c r="B39" s="11">
        <f t="shared" si="25"/>
        <v>1.0899624970304276</v>
      </c>
      <c r="C39" s="19">
        <f>Q31</f>
        <v>6.3018879872900169E-2</v>
      </c>
      <c r="D39" s="19">
        <f t="shared" ref="D39:E39" si="32">R31</f>
        <v>7.147869643058756E-2</v>
      </c>
      <c r="E39" s="19">
        <f t="shared" si="32"/>
        <v>5.8200965090350047E-2</v>
      </c>
      <c r="F39" s="11">
        <f t="shared" si="22"/>
        <v>1.1942674610958162</v>
      </c>
      <c r="G39" s="2">
        <f>AL31</f>
        <v>37.011041477510801</v>
      </c>
      <c r="H39" s="2">
        <f t="shared" ref="H39:I39" si="33">AM31</f>
        <v>35.321795337994352</v>
      </c>
      <c r="I39" s="2">
        <f t="shared" si="33"/>
        <v>37.819839079665499</v>
      </c>
      <c r="J39" s="2">
        <f t="shared" si="24"/>
        <v>36.717558631723549</v>
      </c>
    </row>
    <row r="40" spans="1:11" x14ac:dyDescent="0.25">
      <c r="A40">
        <v>8.5</v>
      </c>
      <c r="B40" s="11">
        <f t="shared" si="25"/>
        <v>1.1201497892303101</v>
      </c>
      <c r="C40" s="19">
        <f>T31</f>
        <v>6.2244041918738245E-2</v>
      </c>
      <c r="D40" s="19">
        <f t="shared" ref="D40:E40" si="34">U31</f>
        <v>6.3477810175730232E-2</v>
      </c>
      <c r="E40" s="19">
        <f t="shared" si="34"/>
        <v>5.3402028729460378E-2</v>
      </c>
      <c r="F40" s="11">
        <f t="shared" si="22"/>
        <v>1.2510112429027127</v>
      </c>
      <c r="G40" s="2">
        <f>AO31</f>
        <v>23.651121339295184</v>
      </c>
      <c r="H40" s="2">
        <f t="shared" ref="H40:I40" si="35">AP31</f>
        <v>23.521876774871057</v>
      </c>
      <c r="I40" s="2">
        <f t="shared" si="35"/>
        <v>23.241175280697501</v>
      </c>
      <c r="J40" s="2">
        <f t="shared" si="24"/>
        <v>23.471391131621246</v>
      </c>
    </row>
    <row r="42" spans="1:11" ht="30" x14ac:dyDescent="0.25">
      <c r="G42" s="6" t="s">
        <v>132</v>
      </c>
      <c r="H42" s="6" t="s">
        <v>129</v>
      </c>
      <c r="I42" s="6" t="s">
        <v>130</v>
      </c>
      <c r="J42" s="6" t="s">
        <v>135</v>
      </c>
      <c r="K42" s="6" t="s">
        <v>136</v>
      </c>
    </row>
    <row r="43" spans="1:11" x14ac:dyDescent="0.25">
      <c r="F43" t="s">
        <v>133</v>
      </c>
      <c r="G43" s="19">
        <f>SLOPE(G35:G38,$F$35:$F$38)</f>
        <v>-69.292723839214389</v>
      </c>
      <c r="H43" s="19">
        <f>SLOPE(H35:H38,$F$35:$F$38)</f>
        <v>-66.103245678947616</v>
      </c>
      <c r="I43" s="19">
        <f>SLOPE(I35:I38,$F$35:$F$38)</f>
        <v>-59.175922070445289</v>
      </c>
      <c r="J43" s="19">
        <f>ABS(AVERAGE(G43:I43))</f>
        <v>64.857297196202438</v>
      </c>
      <c r="K43" s="19">
        <f>_xlfn.STDEV.S(G43:I43)/(SQRT(COUNT(G43:I43)))</f>
        <v>2.9861742650300722</v>
      </c>
    </row>
    <row r="44" spans="1:11" x14ac:dyDescent="0.25">
      <c r="F44" t="s">
        <v>134</v>
      </c>
      <c r="G44" s="10">
        <f>(CORREL($F$35:$F$38,G35:G38))^2</f>
        <v>0.98993727968587264</v>
      </c>
      <c r="H44" s="10">
        <f t="shared" ref="H44:I44" si="36">(CORREL($F$35:$F$38,H35:H38))^2</f>
        <v>0.97963384805876275</v>
      </c>
      <c r="I44" s="10">
        <f t="shared" si="36"/>
        <v>0.9299652501896557</v>
      </c>
    </row>
  </sheetData>
  <mergeCells count="6">
    <mergeCell ref="AB3:AH3"/>
    <mergeCell ref="M2:V2"/>
    <mergeCell ref="M3:Q3"/>
    <mergeCell ref="R3:V3"/>
    <mergeCell ref="B3:F3"/>
    <mergeCell ref="G3:K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3766-A0B1-447E-9438-6269BC9DD268}">
  <dimension ref="A1:AQ46"/>
  <sheetViews>
    <sheetView topLeftCell="A30" zoomScale="85" zoomScaleNormal="85" workbookViewId="0">
      <selection activeCell="S40" sqref="S40"/>
    </sheetView>
  </sheetViews>
  <sheetFormatPr defaultColWidth="8.85546875" defaultRowHeight="15" x14ac:dyDescent="0.25"/>
  <cols>
    <col min="1" max="1" width="66.42578125" bestFit="1" customWidth="1"/>
    <col min="2" max="43" width="11.85546875" customWidth="1"/>
    <col min="44" max="46" width="21.7109375" bestFit="1" customWidth="1"/>
  </cols>
  <sheetData>
    <row r="1" spans="1:31" x14ac:dyDescent="0.25">
      <c r="A1" t="s">
        <v>124</v>
      </c>
      <c r="B1">
        <v>20221209</v>
      </c>
    </row>
    <row r="2" spans="1:31" x14ac:dyDescent="0.25">
      <c r="A2" t="s">
        <v>57</v>
      </c>
      <c r="B2">
        <v>0.41139241809999999</v>
      </c>
    </row>
    <row r="3" spans="1:31" x14ac:dyDescent="0.25">
      <c r="B3" s="42" t="s">
        <v>144</v>
      </c>
      <c r="C3" s="42"/>
      <c r="D3" s="42"/>
      <c r="E3" s="42"/>
      <c r="F3" s="42"/>
      <c r="H3" s="42" t="s">
        <v>60</v>
      </c>
      <c r="I3" s="42"/>
      <c r="J3" s="42"/>
      <c r="K3" s="42"/>
      <c r="L3" s="42"/>
      <c r="Q3" s="42" t="s">
        <v>144</v>
      </c>
      <c r="R3" s="42"/>
      <c r="S3" s="42"/>
      <c r="T3" s="42"/>
      <c r="U3" s="42"/>
      <c r="V3" s="42"/>
      <c r="W3" s="42"/>
    </row>
    <row r="4" spans="1:31" ht="30" x14ac:dyDescent="0.25">
      <c r="A4" s="4" t="s">
        <v>14</v>
      </c>
      <c r="B4" s="18" t="s">
        <v>62</v>
      </c>
      <c r="C4" s="18" t="s">
        <v>63</v>
      </c>
      <c r="D4" s="18" t="s">
        <v>64</v>
      </c>
      <c r="E4" s="18" t="s">
        <v>135</v>
      </c>
      <c r="F4" s="18" t="s">
        <v>214</v>
      </c>
      <c r="H4" s="18" t="s">
        <v>62</v>
      </c>
      <c r="I4" s="18" t="s">
        <v>63</v>
      </c>
      <c r="J4" s="18" t="s">
        <v>64</v>
      </c>
      <c r="K4" s="3" t="s">
        <v>135</v>
      </c>
      <c r="L4" s="18" t="s">
        <v>61</v>
      </c>
      <c r="N4" s="4" t="s">
        <v>14</v>
      </c>
      <c r="O4" s="3" t="s">
        <v>145</v>
      </c>
      <c r="R4" t="s">
        <v>62</v>
      </c>
      <c r="S4" t="s">
        <v>63</v>
      </c>
      <c r="T4" t="s">
        <v>64</v>
      </c>
      <c r="U4" s="20" t="s">
        <v>66</v>
      </c>
      <c r="V4" t="s">
        <v>214</v>
      </c>
      <c r="W4" t="s">
        <v>425</v>
      </c>
    </row>
    <row r="5" spans="1:31" x14ac:dyDescent="0.25">
      <c r="A5">
        <v>0</v>
      </c>
      <c r="B5">
        <v>4.9000000000000002E-2</v>
      </c>
      <c r="C5">
        <v>4.9000000000000002E-2</v>
      </c>
      <c r="D5">
        <v>4.9000000000000002E-2</v>
      </c>
      <c r="E5" s="10">
        <f>AVERAGE(B5:D5)</f>
        <v>4.9000000000000009E-2</v>
      </c>
      <c r="F5" s="10">
        <f>_xlfn.STDEV.S(B5:D5)</f>
        <v>8.4983747219407389E-18</v>
      </c>
      <c r="H5" s="10">
        <f t="shared" ref="H5:H14" si="0">LN(B5)</f>
        <v>-3.0159349808715104</v>
      </c>
      <c r="I5" s="10">
        <f t="shared" ref="I5:I14" si="1">LN(C5)</f>
        <v>-3.0159349808715104</v>
      </c>
      <c r="J5" s="10">
        <f t="shared" ref="J5:J14" si="2">LN(D5)</f>
        <v>-3.0159349808715104</v>
      </c>
      <c r="K5" s="10">
        <f t="shared" ref="K5:K14" si="3">AVERAGE(H5:J5)</f>
        <v>-3.0159349808715104</v>
      </c>
      <c r="L5" s="11">
        <f t="shared" ref="L5:L14" si="4">_xlfn.STDEV.S(H5:J5)</f>
        <v>0</v>
      </c>
      <c r="N5">
        <v>0</v>
      </c>
      <c r="O5" s="11">
        <f>((AVERAGE(B5:D5))*$B$2)/0.3626</f>
        <v>5.5593570013513526E-2</v>
      </c>
      <c r="P5" s="10"/>
      <c r="Q5" t="s">
        <v>424</v>
      </c>
      <c r="R5" s="2">
        <f>SLOPE(H9:H12,$A$9:$A$12)</f>
        <v>0.3689593100161358</v>
      </c>
      <c r="S5" s="2">
        <f t="shared" ref="S5:T5" si="5">SLOPE(I9:I12,$A$9:$A$12)</f>
        <v>0.35514992147468349</v>
      </c>
      <c r="T5" s="2">
        <f t="shared" si="5"/>
        <v>0.36375949950940906</v>
      </c>
      <c r="U5" s="2">
        <f>AVERAGE(R5:T5)</f>
        <v>0.36262291033340949</v>
      </c>
      <c r="V5" s="10">
        <f>_xlfn.STDEV.S(R5:T5)</f>
        <v>6.9745020745891357E-3</v>
      </c>
      <c r="W5" s="10">
        <f>(_xlfn.STDEV.S(R5:T5))/(SQRT(COUNT(R5:T5)))</f>
        <v>4.0267306502276409E-3</v>
      </c>
    </row>
    <row r="6" spans="1:31" x14ac:dyDescent="0.25">
      <c r="A6">
        <v>1</v>
      </c>
      <c r="B6">
        <v>8.5999999999999993E-2</v>
      </c>
      <c r="C6">
        <v>8.5999999999999993E-2</v>
      </c>
      <c r="D6">
        <v>8.5999999999999993E-2</v>
      </c>
      <c r="E6" s="10">
        <f t="shared" ref="E6:E14" si="6">AVERAGE(B6:D6)</f>
        <v>8.6000000000000007E-2</v>
      </c>
      <c r="F6" s="10">
        <f t="shared" ref="F6:F14" si="7">_xlfn.STDEV.S(B6:D6)</f>
        <v>1.6996749443881478E-17</v>
      </c>
      <c r="H6" s="10">
        <f t="shared" si="0"/>
        <v>-2.4534079827286295</v>
      </c>
      <c r="I6" s="10">
        <f t="shared" si="1"/>
        <v>-2.4534079827286295</v>
      </c>
      <c r="J6" s="10">
        <f t="shared" si="2"/>
        <v>-2.4534079827286295</v>
      </c>
      <c r="K6" s="10">
        <f t="shared" si="3"/>
        <v>-2.4534079827286295</v>
      </c>
      <c r="L6" s="11">
        <f t="shared" si="4"/>
        <v>0</v>
      </c>
      <c r="N6">
        <v>1</v>
      </c>
      <c r="O6" s="11">
        <f t="shared" ref="O6:O14" si="8">((AVERAGE(B6:D6))*$B$2)/0.3626</f>
        <v>9.7572388186982911E-2</v>
      </c>
      <c r="P6" s="10"/>
      <c r="Q6" s="10"/>
      <c r="R6" s="11"/>
      <c r="V6" s="11"/>
    </row>
    <row r="7" spans="1:31" x14ac:dyDescent="0.25">
      <c r="A7">
        <v>2</v>
      </c>
      <c r="B7">
        <v>0.13600000000000001</v>
      </c>
      <c r="C7">
        <v>0.13700000000000001</v>
      </c>
      <c r="D7">
        <v>0.13600000000000001</v>
      </c>
      <c r="E7" s="10">
        <f t="shared" si="6"/>
        <v>0.13633333333333333</v>
      </c>
      <c r="F7" s="10">
        <f t="shared" si="7"/>
        <v>5.7735026918962634E-4</v>
      </c>
      <c r="H7" s="10">
        <f t="shared" si="0"/>
        <v>-1.9951003932460849</v>
      </c>
      <c r="I7" s="10">
        <f t="shared" si="1"/>
        <v>-1.987774353154012</v>
      </c>
      <c r="J7" s="10">
        <f t="shared" si="2"/>
        <v>-1.9951003932460849</v>
      </c>
      <c r="K7" s="10">
        <f t="shared" si="3"/>
        <v>-1.9926583798820605</v>
      </c>
      <c r="L7" s="11">
        <f t="shared" si="4"/>
        <v>4.2296912192523019E-3</v>
      </c>
      <c r="N7">
        <v>2</v>
      </c>
      <c r="O7" s="11">
        <f t="shared" si="8"/>
        <v>0.15467870840494577</v>
      </c>
      <c r="P7" s="10"/>
      <c r="Q7" s="10"/>
      <c r="R7" s="11"/>
      <c r="V7" s="11"/>
    </row>
    <row r="8" spans="1:31" x14ac:dyDescent="0.25">
      <c r="A8">
        <v>3</v>
      </c>
      <c r="B8">
        <v>0.20799999999999999</v>
      </c>
      <c r="C8">
        <v>0.221</v>
      </c>
      <c r="D8">
        <v>0.21299999999999999</v>
      </c>
      <c r="E8" s="10">
        <f t="shared" si="6"/>
        <v>0.214</v>
      </c>
      <c r="F8" s="10">
        <f t="shared" si="7"/>
        <v>6.557438524302006E-3</v>
      </c>
      <c r="H8" s="10">
        <f t="shared" si="0"/>
        <v>-1.5702171992808192</v>
      </c>
      <c r="I8" s="10">
        <f t="shared" si="1"/>
        <v>-1.5095925774643841</v>
      </c>
      <c r="J8" s="10">
        <f t="shared" si="2"/>
        <v>-1.546463113272712</v>
      </c>
      <c r="K8" s="10">
        <f t="shared" si="3"/>
        <v>-1.5420909633393052</v>
      </c>
      <c r="L8" s="11">
        <f t="shared" si="4"/>
        <v>3.0547879858945776E-2</v>
      </c>
      <c r="N8">
        <v>3</v>
      </c>
      <c r="O8" s="11">
        <f t="shared" si="8"/>
        <v>0.24279640781412024</v>
      </c>
      <c r="P8" s="10"/>
      <c r="Q8" s="10"/>
      <c r="R8" s="11"/>
      <c r="V8" s="11"/>
    </row>
    <row r="9" spans="1:31" x14ac:dyDescent="0.25">
      <c r="A9">
        <v>3.75</v>
      </c>
      <c r="B9">
        <v>0.312</v>
      </c>
      <c r="C9">
        <v>0.32300000000000001</v>
      </c>
      <c r="D9">
        <v>0.314</v>
      </c>
      <c r="E9" s="10">
        <f t="shared" si="6"/>
        <v>0.31633333333333336</v>
      </c>
      <c r="F9" s="10">
        <f t="shared" si="7"/>
        <v>5.8594652770823201E-3</v>
      </c>
      <c r="H9" s="10">
        <f t="shared" si="0"/>
        <v>-1.1647520911726548</v>
      </c>
      <c r="I9" s="10">
        <f t="shared" si="1"/>
        <v>-1.1301029557594804</v>
      </c>
      <c r="J9" s="10">
        <f t="shared" si="2"/>
        <v>-1.1583622930738837</v>
      </c>
      <c r="K9" s="10">
        <f t="shared" si="3"/>
        <v>-1.151072446668673</v>
      </c>
      <c r="L9" s="11">
        <f t="shared" si="4"/>
        <v>1.8439008695664661E-2</v>
      </c>
      <c r="N9">
        <v>3.75</v>
      </c>
      <c r="O9" s="11">
        <f t="shared" si="8"/>
        <v>0.35889998600560769</v>
      </c>
      <c r="P9" s="10"/>
      <c r="Q9" s="10"/>
      <c r="R9" s="11"/>
      <c r="V9" s="11"/>
      <c r="Y9" s="18"/>
    </row>
    <row r="10" spans="1:31" x14ac:dyDescent="0.25">
      <c r="A10">
        <v>4.75</v>
      </c>
      <c r="B10">
        <v>0.495</v>
      </c>
      <c r="C10">
        <v>0.51</v>
      </c>
      <c r="D10">
        <v>0.495</v>
      </c>
      <c r="E10" s="10">
        <f t="shared" si="6"/>
        <v>0.5</v>
      </c>
      <c r="F10" s="10">
        <f t="shared" si="7"/>
        <v>8.6602540378443935E-3</v>
      </c>
      <c r="H10" s="10">
        <f t="shared" si="0"/>
        <v>-0.70319751641344674</v>
      </c>
      <c r="I10" s="10">
        <f t="shared" si="1"/>
        <v>-0.67334455326376563</v>
      </c>
      <c r="J10" s="10">
        <f t="shared" si="2"/>
        <v>-0.70319751641344674</v>
      </c>
      <c r="K10" s="10">
        <f t="shared" si="3"/>
        <v>-0.69324652869688641</v>
      </c>
      <c r="L10" s="11">
        <f t="shared" si="4"/>
        <v>1.7235616310576369E-2</v>
      </c>
      <c r="N10">
        <v>4.75</v>
      </c>
      <c r="O10" s="11">
        <f t="shared" si="8"/>
        <v>0.56728132666850528</v>
      </c>
      <c r="P10" s="10"/>
      <c r="Q10" s="10"/>
      <c r="R10" s="11"/>
      <c r="V10" s="11"/>
    </row>
    <row r="11" spans="1:31" x14ac:dyDescent="0.25">
      <c r="A11">
        <v>5.75</v>
      </c>
      <c r="B11">
        <v>0.753</v>
      </c>
      <c r="C11">
        <v>0.76700000000000002</v>
      </c>
      <c r="D11">
        <v>0.74299999999999999</v>
      </c>
      <c r="E11" s="10">
        <f t="shared" si="6"/>
        <v>0.7543333333333333</v>
      </c>
      <c r="F11" s="10">
        <f t="shared" si="7"/>
        <v>1.2055427546683426E-2</v>
      </c>
      <c r="H11" s="10">
        <f t="shared" si="0"/>
        <v>-0.2836900511822435</v>
      </c>
      <c r="I11" s="10">
        <f t="shared" si="1"/>
        <v>-0.26526847761488087</v>
      </c>
      <c r="J11" s="10">
        <f t="shared" si="2"/>
        <v>-0.29705923426437791</v>
      </c>
      <c r="K11" s="10">
        <f t="shared" si="3"/>
        <v>-0.28200592102050076</v>
      </c>
      <c r="L11" s="11">
        <f t="shared" si="4"/>
        <v>1.5962151261285359E-2</v>
      </c>
      <c r="N11">
        <v>5.75</v>
      </c>
      <c r="O11" s="11">
        <f t="shared" si="8"/>
        <v>0.85583842816721822</v>
      </c>
      <c r="P11" s="10"/>
      <c r="Q11" s="10"/>
      <c r="R11" s="11"/>
      <c r="V11" s="11"/>
    </row>
    <row r="12" spans="1:31" x14ac:dyDescent="0.25">
      <c r="A12">
        <v>6.75</v>
      </c>
      <c r="B12">
        <v>0.92800000000000005</v>
      </c>
      <c r="C12">
        <v>0.92100000000000004</v>
      </c>
      <c r="D12">
        <v>0.92200000000000004</v>
      </c>
      <c r="E12" s="10">
        <f t="shared" si="6"/>
        <v>0.92366666666666675</v>
      </c>
      <c r="F12" s="10">
        <f t="shared" si="7"/>
        <v>3.7859388972001857E-3</v>
      </c>
      <c r="H12" s="10">
        <f t="shared" si="0"/>
        <v>-7.4723546195936422E-2</v>
      </c>
      <c r="I12" s="10">
        <f t="shared" si="1"/>
        <v>-8.2295242726830156E-2</v>
      </c>
      <c r="J12" s="10">
        <f t="shared" si="2"/>
        <v>-8.1210055425543173E-2</v>
      </c>
      <c r="K12" s="10">
        <f t="shared" si="3"/>
        <v>-7.9409614782769922E-2</v>
      </c>
      <c r="L12" s="11">
        <f t="shared" si="4"/>
        <v>4.0943664919129291E-3</v>
      </c>
      <c r="N12">
        <v>6.75</v>
      </c>
      <c r="O12" s="11">
        <f t="shared" si="8"/>
        <v>1.0479577041322856</v>
      </c>
      <c r="P12" s="10"/>
      <c r="Q12" s="10"/>
      <c r="R12" s="11"/>
      <c r="V12" s="11"/>
    </row>
    <row r="13" spans="1:31" x14ac:dyDescent="0.25">
      <c r="A13">
        <v>7.75</v>
      </c>
      <c r="B13">
        <v>1.016</v>
      </c>
      <c r="C13">
        <v>1.0049999999999999</v>
      </c>
      <c r="D13">
        <v>1.0189999999999999</v>
      </c>
      <c r="E13" s="10">
        <f t="shared" si="6"/>
        <v>1.0133333333333334</v>
      </c>
      <c r="F13" s="10">
        <f t="shared" si="7"/>
        <v>7.3711147958320207E-3</v>
      </c>
      <c r="H13" s="10">
        <f t="shared" si="0"/>
        <v>1.5873349156290163E-2</v>
      </c>
      <c r="I13" s="10">
        <f t="shared" si="1"/>
        <v>4.9875415110389679E-3</v>
      </c>
      <c r="J13" s="10">
        <f t="shared" si="2"/>
        <v>1.8821754240587667E-2</v>
      </c>
      <c r="K13" s="10">
        <f t="shared" si="3"/>
        <v>1.3227548302638933E-2</v>
      </c>
      <c r="L13" s="11">
        <f t="shared" si="4"/>
        <v>7.2867384390746413E-3</v>
      </c>
      <c r="N13">
        <v>7.75</v>
      </c>
      <c r="O13" s="11">
        <f t="shared" si="8"/>
        <v>1.149690155381504</v>
      </c>
      <c r="P13" s="10"/>
      <c r="Q13" s="10"/>
      <c r="R13" s="11"/>
      <c r="V13" s="11"/>
    </row>
    <row r="14" spans="1:31" x14ac:dyDescent="0.25">
      <c r="A14">
        <v>8.75</v>
      </c>
      <c r="B14">
        <v>1.07</v>
      </c>
      <c r="C14">
        <v>1.0609999999999999</v>
      </c>
      <c r="D14">
        <v>1.079</v>
      </c>
      <c r="E14" s="10">
        <f t="shared" si="6"/>
        <v>1.07</v>
      </c>
      <c r="F14" s="10">
        <f t="shared" si="7"/>
        <v>9.000000000000008E-3</v>
      </c>
      <c r="H14" s="10">
        <f t="shared" si="0"/>
        <v>6.7658648473814864E-2</v>
      </c>
      <c r="I14" s="10">
        <f t="shared" si="1"/>
        <v>5.9211859631846032E-2</v>
      </c>
      <c r="J14" s="10">
        <f t="shared" si="2"/>
        <v>7.6034686275997576E-2</v>
      </c>
      <c r="K14" s="10">
        <f t="shared" si="3"/>
        <v>6.763506479388616E-2</v>
      </c>
      <c r="L14" s="11">
        <f t="shared" si="4"/>
        <v>8.4114381182568386E-3</v>
      </c>
      <c r="N14">
        <v>8.75</v>
      </c>
      <c r="O14" s="11">
        <f t="shared" si="8"/>
        <v>1.2139820390706013</v>
      </c>
      <c r="P14" s="10"/>
      <c r="Q14" s="10"/>
      <c r="R14" s="11"/>
      <c r="V14" s="11"/>
    </row>
    <row r="15" spans="1:31" x14ac:dyDescent="0.25">
      <c r="F15" s="10"/>
      <c r="G15" s="10"/>
      <c r="N15" s="10"/>
      <c r="O15" s="10"/>
      <c r="P15" s="10"/>
      <c r="Q15" s="10"/>
      <c r="R15" s="11"/>
      <c r="U15" s="11"/>
      <c r="V15" s="11"/>
    </row>
    <row r="16" spans="1:31" x14ac:dyDescent="0.25">
      <c r="A16" t="s">
        <v>7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  <c r="K16" t="s">
        <v>160</v>
      </c>
      <c r="L16" t="s">
        <v>161</v>
      </c>
      <c r="M16" t="s">
        <v>162</v>
      </c>
      <c r="N16" t="s">
        <v>163</v>
      </c>
      <c r="O16" t="s">
        <v>164</v>
      </c>
      <c r="P16" t="s">
        <v>165</v>
      </c>
      <c r="Q16" t="s">
        <v>166</v>
      </c>
      <c r="R16" t="s">
        <v>167</v>
      </c>
      <c r="S16" t="s">
        <v>168</v>
      </c>
      <c r="T16" t="s">
        <v>169</v>
      </c>
      <c r="U16" t="s">
        <v>170</v>
      </c>
      <c r="V16" t="s">
        <v>171</v>
      </c>
      <c r="W16" t="s">
        <v>172</v>
      </c>
      <c r="X16" t="s">
        <v>173</v>
      </c>
      <c r="Y16" t="s">
        <v>174</v>
      </c>
      <c r="Z16" t="s">
        <v>175</v>
      </c>
      <c r="AA16" t="s">
        <v>176</v>
      </c>
      <c r="AB16" t="s">
        <v>177</v>
      </c>
      <c r="AC16" t="s">
        <v>178</v>
      </c>
      <c r="AD16" t="s">
        <v>179</v>
      </c>
      <c r="AE16" t="s">
        <v>180</v>
      </c>
    </row>
    <row r="17" spans="1:43" x14ac:dyDescent="0.25">
      <c r="A17" t="s">
        <v>0</v>
      </c>
      <c r="B17" s="1">
        <v>93105672</v>
      </c>
      <c r="C17" s="1">
        <v>93290056</v>
      </c>
      <c r="D17" s="1">
        <v>91347688</v>
      </c>
      <c r="E17" s="1">
        <v>88366880</v>
      </c>
      <c r="F17" s="1">
        <v>89708504</v>
      </c>
      <c r="G17" s="1">
        <v>80452472</v>
      </c>
      <c r="H17" s="1">
        <v>91057656</v>
      </c>
      <c r="I17" s="1">
        <v>87995760</v>
      </c>
      <c r="J17" s="1">
        <v>91157096</v>
      </c>
      <c r="K17" s="1">
        <v>90941080</v>
      </c>
      <c r="L17" s="1">
        <v>90323232</v>
      </c>
      <c r="M17" s="1">
        <v>83492384</v>
      </c>
      <c r="N17" s="1">
        <v>88508904</v>
      </c>
      <c r="O17" s="1">
        <v>92892744</v>
      </c>
      <c r="P17" s="1">
        <v>90623768</v>
      </c>
      <c r="Q17" s="1">
        <v>85126632</v>
      </c>
      <c r="R17" s="1">
        <v>70742664</v>
      </c>
      <c r="S17" s="1">
        <v>80540352</v>
      </c>
      <c r="T17" s="1">
        <v>72423064</v>
      </c>
      <c r="U17" s="1">
        <v>74357240</v>
      </c>
      <c r="V17" s="1">
        <v>77127144</v>
      </c>
      <c r="W17" s="1">
        <v>60500544</v>
      </c>
      <c r="X17" s="1">
        <v>61846140</v>
      </c>
      <c r="Y17" s="1">
        <v>56577232</v>
      </c>
      <c r="Z17" s="1">
        <v>46951988</v>
      </c>
      <c r="AA17" s="1">
        <v>45168204</v>
      </c>
      <c r="AB17" s="1">
        <v>42640616</v>
      </c>
      <c r="AC17" s="1">
        <v>31024368</v>
      </c>
      <c r="AD17" s="1">
        <v>32387498</v>
      </c>
      <c r="AE17" s="1">
        <v>32285194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t="s">
        <v>1</v>
      </c>
      <c r="B18" s="1">
        <v>6342562.5</v>
      </c>
      <c r="C18" s="1">
        <v>5921626.5</v>
      </c>
      <c r="D18" s="1">
        <v>6088360.5</v>
      </c>
      <c r="E18" s="1">
        <v>5857424</v>
      </c>
      <c r="F18" s="1">
        <v>5911766.5</v>
      </c>
      <c r="G18" s="1">
        <v>5235969.5</v>
      </c>
      <c r="H18" s="1">
        <v>5911830.5</v>
      </c>
      <c r="I18" s="1">
        <v>6010906</v>
      </c>
      <c r="J18" s="1">
        <v>5832974</v>
      </c>
      <c r="K18" s="1">
        <v>5942147.5</v>
      </c>
      <c r="L18" s="1">
        <v>6126813.5</v>
      </c>
      <c r="M18" s="1">
        <v>4894483.5</v>
      </c>
      <c r="N18" s="1">
        <v>5507410</v>
      </c>
      <c r="O18" s="1">
        <v>6108906.5</v>
      </c>
      <c r="P18" s="1">
        <v>6273810.5</v>
      </c>
      <c r="Q18" s="1">
        <v>5402442.5</v>
      </c>
      <c r="R18" s="1">
        <v>4503306.5</v>
      </c>
      <c r="S18" s="1">
        <v>5188034</v>
      </c>
      <c r="T18" s="1">
        <v>4624424.5</v>
      </c>
      <c r="U18" s="1">
        <v>4667581.5</v>
      </c>
      <c r="V18" s="1">
        <v>4613845.5</v>
      </c>
      <c r="W18" s="1">
        <v>4025793.25</v>
      </c>
      <c r="X18" s="1">
        <v>3744264</v>
      </c>
      <c r="Y18" s="1">
        <v>3697133.25</v>
      </c>
      <c r="Z18" s="1">
        <v>2935803.75</v>
      </c>
      <c r="AA18" s="1">
        <v>2838680.25</v>
      </c>
      <c r="AB18" s="1">
        <v>2952284.75</v>
      </c>
      <c r="AC18" s="1">
        <v>2022803.88</v>
      </c>
      <c r="AD18" s="1">
        <v>2190293.25</v>
      </c>
      <c r="AE18" s="1">
        <v>2059873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t="s">
        <v>2</v>
      </c>
      <c r="B19" s="1">
        <v>11880.49</v>
      </c>
      <c r="C19" s="1">
        <v>11635.83</v>
      </c>
      <c r="D19" s="1">
        <v>14530.46</v>
      </c>
      <c r="E19" s="1">
        <v>3240.1</v>
      </c>
      <c r="F19" s="1">
        <v>7216.08</v>
      </c>
      <c r="G19" s="1">
        <v>9943</v>
      </c>
      <c r="H19" s="1">
        <v>10882.63</v>
      </c>
      <c r="I19" s="1">
        <v>19740.21</v>
      </c>
      <c r="J19" s="1">
        <v>6339.68</v>
      </c>
      <c r="K19" s="1">
        <v>8761.35</v>
      </c>
      <c r="L19" s="1">
        <v>6738.52</v>
      </c>
      <c r="M19" s="1">
        <v>0</v>
      </c>
      <c r="N19" s="1">
        <v>8146.54</v>
      </c>
      <c r="O19" s="1">
        <v>12900.86</v>
      </c>
      <c r="P19" s="1">
        <v>0</v>
      </c>
      <c r="Q19" s="1">
        <v>8834.9500000000007</v>
      </c>
      <c r="R19" s="1">
        <v>7120.77</v>
      </c>
      <c r="S19" s="1">
        <v>7586.08</v>
      </c>
      <c r="T19" s="1">
        <v>4914.5200000000004</v>
      </c>
      <c r="U19" s="1">
        <v>13543.21</v>
      </c>
      <c r="V19" s="1">
        <v>19067.09</v>
      </c>
      <c r="W19" s="1">
        <v>4102</v>
      </c>
      <c r="X19" s="1">
        <v>12599.47</v>
      </c>
      <c r="Y19" s="1">
        <v>7236.53</v>
      </c>
      <c r="Z19" s="1">
        <v>8069.81</v>
      </c>
      <c r="AA19" s="1">
        <v>0</v>
      </c>
      <c r="AB19" s="1">
        <v>6546.95</v>
      </c>
      <c r="AC19" s="1">
        <v>8274.9699999999993</v>
      </c>
      <c r="AD19" s="1">
        <v>0</v>
      </c>
      <c r="AE19" s="1">
        <v>6141.94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t="s">
        <v>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9303.7000000000007</v>
      </c>
      <c r="H20" s="1">
        <v>1079.79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6410.75</v>
      </c>
      <c r="AA20" s="1">
        <v>0</v>
      </c>
      <c r="AB20" s="1">
        <v>0</v>
      </c>
      <c r="AC20" s="1">
        <v>0</v>
      </c>
      <c r="AD20" s="1">
        <v>5609.22</v>
      </c>
      <c r="AE20" s="1"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t="s">
        <v>4</v>
      </c>
      <c r="B21" s="1">
        <v>103941.48</v>
      </c>
      <c r="C21" s="1">
        <v>107100.1</v>
      </c>
      <c r="D21" s="1">
        <v>124447.02</v>
      </c>
      <c r="E21" s="1">
        <v>135127.79999999999</v>
      </c>
      <c r="F21" s="1">
        <v>117606.7</v>
      </c>
      <c r="G21" s="1">
        <v>129562.04</v>
      </c>
      <c r="H21" s="1">
        <v>112408.56</v>
      </c>
      <c r="I21" s="1">
        <v>129695.69</v>
      </c>
      <c r="J21" s="1">
        <v>126512.3</v>
      </c>
      <c r="K21" s="1">
        <v>138205.57999999999</v>
      </c>
      <c r="L21" s="1">
        <v>123419.59</v>
      </c>
      <c r="M21" s="1">
        <v>140970.32999999999</v>
      </c>
      <c r="N21" s="1">
        <v>119448.21</v>
      </c>
      <c r="O21" s="1">
        <v>111386.8</v>
      </c>
      <c r="P21" s="1">
        <v>115939.88</v>
      </c>
      <c r="Q21" s="1">
        <v>141890.22</v>
      </c>
      <c r="R21" s="1">
        <v>144860.01999999999</v>
      </c>
      <c r="S21" s="1">
        <v>103904</v>
      </c>
      <c r="T21" s="1">
        <v>132608.70000000001</v>
      </c>
      <c r="U21" s="1">
        <v>120069.35</v>
      </c>
      <c r="V21" s="1">
        <v>155181.10999999999</v>
      </c>
      <c r="W21" s="1">
        <v>137748.67000000001</v>
      </c>
      <c r="X21" s="1">
        <v>182385.56</v>
      </c>
      <c r="Y21" s="1">
        <v>173747.59</v>
      </c>
      <c r="Z21" s="1">
        <v>175196.45</v>
      </c>
      <c r="AA21" s="1">
        <v>184594.38</v>
      </c>
      <c r="AB21" s="1">
        <v>190842.83</v>
      </c>
      <c r="AC21" s="1">
        <v>165158.60999999999</v>
      </c>
      <c r="AD21" s="1">
        <v>166688.35999999999</v>
      </c>
      <c r="AE21" s="1">
        <v>208530.12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t="s">
        <v>5</v>
      </c>
      <c r="B22" s="1">
        <v>2388987</v>
      </c>
      <c r="C22" s="1">
        <v>2679471.75</v>
      </c>
      <c r="D22" s="1">
        <v>2529150.25</v>
      </c>
      <c r="E22" s="1">
        <v>2685014.5</v>
      </c>
      <c r="F22" s="1">
        <v>2478362.75</v>
      </c>
      <c r="G22" s="1">
        <v>2416398.25</v>
      </c>
      <c r="H22" s="1">
        <v>2792589</v>
      </c>
      <c r="I22" s="1">
        <v>2500148.5</v>
      </c>
      <c r="J22" s="1">
        <v>2454736.75</v>
      </c>
      <c r="K22" s="1">
        <v>2620554.25</v>
      </c>
      <c r="L22" s="1">
        <v>2685661.75</v>
      </c>
      <c r="M22" s="1">
        <v>2434953.25</v>
      </c>
      <c r="N22" s="1">
        <v>2628073.75</v>
      </c>
      <c r="O22" s="1">
        <v>2559307.25</v>
      </c>
      <c r="P22" s="1">
        <v>2936779.25</v>
      </c>
      <c r="Q22" s="1">
        <v>3025923.25</v>
      </c>
      <c r="R22" s="1">
        <v>2373833.25</v>
      </c>
      <c r="S22" s="1">
        <v>2760333.25</v>
      </c>
      <c r="T22" s="1">
        <v>2913486.75</v>
      </c>
      <c r="U22" s="1">
        <v>3161363</v>
      </c>
      <c r="V22" s="1">
        <v>3424772</v>
      </c>
      <c r="W22" s="1">
        <v>3700224.25</v>
      </c>
      <c r="X22" s="1">
        <v>3856461</v>
      </c>
      <c r="Y22" s="1">
        <v>3683133.25</v>
      </c>
      <c r="Z22" s="1">
        <v>3889787</v>
      </c>
      <c r="AA22" s="1">
        <v>3994544.75</v>
      </c>
      <c r="AB22" s="1">
        <v>3713932</v>
      </c>
      <c r="AC22" s="1">
        <v>4030054.75</v>
      </c>
      <c r="AD22" s="1">
        <v>4202645</v>
      </c>
      <c r="AE22" s="1">
        <v>4509985.5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t="s">
        <v>6</v>
      </c>
      <c r="B23" s="1">
        <v>33559024</v>
      </c>
      <c r="C23" s="1">
        <v>36203120</v>
      </c>
      <c r="D23" s="1">
        <v>35466192</v>
      </c>
      <c r="E23" s="1">
        <v>34587956</v>
      </c>
      <c r="F23" s="1">
        <v>33370154</v>
      </c>
      <c r="G23" s="1">
        <v>31657152</v>
      </c>
      <c r="H23" s="1">
        <v>37015952</v>
      </c>
      <c r="I23" s="1">
        <v>35727040</v>
      </c>
      <c r="J23" s="1">
        <v>33900412</v>
      </c>
      <c r="K23" s="1">
        <v>33753664</v>
      </c>
      <c r="L23" s="1">
        <v>33495178</v>
      </c>
      <c r="M23" s="1">
        <v>36173756</v>
      </c>
      <c r="N23" s="1">
        <v>37195808</v>
      </c>
      <c r="O23" s="1">
        <v>33897464</v>
      </c>
      <c r="P23" s="1">
        <v>36022700</v>
      </c>
      <c r="Q23" s="1">
        <v>39619736</v>
      </c>
      <c r="R23" s="1">
        <v>34281008</v>
      </c>
      <c r="S23" s="1">
        <v>37140428</v>
      </c>
      <c r="T23" s="1">
        <v>40968704</v>
      </c>
      <c r="U23" s="1">
        <v>40667060</v>
      </c>
      <c r="V23" s="1">
        <v>45924448</v>
      </c>
      <c r="W23" s="1">
        <v>49777324</v>
      </c>
      <c r="X23" s="1">
        <v>51567168</v>
      </c>
      <c r="Y23" s="1">
        <v>47548044</v>
      </c>
      <c r="Z23" s="1">
        <v>52070816</v>
      </c>
      <c r="AA23" s="1">
        <v>54349740</v>
      </c>
      <c r="AB23" s="1">
        <v>48894676</v>
      </c>
      <c r="AC23" s="1">
        <v>53841484</v>
      </c>
      <c r="AD23" s="1">
        <v>55606812</v>
      </c>
      <c r="AE23" s="1">
        <v>58435388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t="s">
        <v>8</v>
      </c>
      <c r="B24" s="2">
        <f>SUM(B17:B18)/SUM(B17:B23)</f>
        <v>0.73386995237170372</v>
      </c>
      <c r="C24" s="2">
        <f t="shared" ref="C24:AE24" si="9">SUM(C17:C18)/SUM(C17:C23)</f>
        <v>0.71781724723883</v>
      </c>
      <c r="D24" s="2">
        <f t="shared" si="9"/>
        <v>0.71871198531154135</v>
      </c>
      <c r="E24" s="2">
        <f t="shared" si="9"/>
        <v>0.71579628649269245</v>
      </c>
      <c r="F24" s="2">
        <f t="shared" si="9"/>
        <v>0.72663308255014059</v>
      </c>
      <c r="G24" s="2">
        <f t="shared" si="9"/>
        <v>0.71460153005271621</v>
      </c>
      <c r="H24" s="2">
        <f t="shared" si="9"/>
        <v>0.70831108568317891</v>
      </c>
      <c r="I24" s="2">
        <f t="shared" si="9"/>
        <v>0.71010975566445056</v>
      </c>
      <c r="J24" s="2">
        <f t="shared" si="9"/>
        <v>0.72663673867591261</v>
      </c>
      <c r="K24" s="2">
        <f t="shared" si="9"/>
        <v>0.72623705283569484</v>
      </c>
      <c r="L24" s="2">
        <f t="shared" si="9"/>
        <v>0.72649357868077546</v>
      </c>
      <c r="M24" s="2">
        <f t="shared" si="9"/>
        <v>0.69521211272462069</v>
      </c>
      <c r="N24" s="2">
        <f t="shared" si="9"/>
        <v>0.70178297073579043</v>
      </c>
      <c r="O24" s="2">
        <f t="shared" si="9"/>
        <v>0.73019377567253474</v>
      </c>
      <c r="P24" s="2">
        <f t="shared" si="9"/>
        <v>0.7126236840322574</v>
      </c>
      <c r="Q24" s="2">
        <f t="shared" si="9"/>
        <v>0.67900815968179529</v>
      </c>
      <c r="R24" s="2">
        <f t="shared" si="9"/>
        <v>0.67152249216046178</v>
      </c>
      <c r="S24" s="2">
        <f t="shared" si="9"/>
        <v>0.68178743022440824</v>
      </c>
      <c r="T24" s="2">
        <f t="shared" si="9"/>
        <v>0.63640265016524256</v>
      </c>
      <c r="U24" s="2">
        <f t="shared" si="9"/>
        <v>0.64254688174889452</v>
      </c>
      <c r="V24" s="2">
        <f t="shared" si="9"/>
        <v>0.62271989640041003</v>
      </c>
      <c r="W24" s="2">
        <f t="shared" si="9"/>
        <v>0.54615883181051073</v>
      </c>
      <c r="X24" s="2">
        <f t="shared" si="9"/>
        <v>0.54113468672575138</v>
      </c>
      <c r="Y24" s="2">
        <f t="shared" si="9"/>
        <v>0.53967445379581269</v>
      </c>
      <c r="Z24" s="2">
        <f t="shared" si="9"/>
        <v>0.47047056705173718</v>
      </c>
      <c r="AA24" s="2">
        <f t="shared" si="9"/>
        <v>0.4506175459480713</v>
      </c>
      <c r="AB24" s="2">
        <f t="shared" si="9"/>
        <v>0.46334767391831699</v>
      </c>
      <c r="AC24" s="2">
        <f t="shared" si="9"/>
        <v>0.36278838495462834</v>
      </c>
      <c r="AD24" s="2">
        <f t="shared" si="9"/>
        <v>0.3656721375562047</v>
      </c>
      <c r="AE24" s="2">
        <f t="shared" si="9"/>
        <v>0.35223862727060268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x14ac:dyDescent="0.25">
      <c r="A25" t="s">
        <v>121</v>
      </c>
      <c r="B25" s="10">
        <v>0.5</v>
      </c>
    </row>
    <row r="26" spans="1:43" x14ac:dyDescent="0.25">
      <c r="A26" t="s">
        <v>122</v>
      </c>
      <c r="B26" s="2">
        <f>(B24/(1-B24))*$B$25</f>
        <v>1.3787807106184033</v>
      </c>
      <c r="C26" s="2">
        <f t="shared" ref="C26:AE26" si="10">(C24/(1-C24))*$B$25</f>
        <v>1.2719013480004684</v>
      </c>
      <c r="D26" s="2">
        <f t="shared" si="10"/>
        <v>1.2775375198754075</v>
      </c>
      <c r="E26" s="2">
        <f t="shared" si="10"/>
        <v>1.2593014314612176</v>
      </c>
      <c r="F26" s="2">
        <f t="shared" si="10"/>
        <v>1.3290435604436639</v>
      </c>
      <c r="G26" s="2">
        <f t="shared" si="10"/>
        <v>1.2519365121065835</v>
      </c>
      <c r="H26" s="2">
        <f t="shared" si="10"/>
        <v>1.2141549625602828</v>
      </c>
      <c r="I26" s="2">
        <f t="shared" si="10"/>
        <v>1.2247907087940753</v>
      </c>
      <c r="J26" s="2">
        <f t="shared" si="10"/>
        <v>1.3290680231796843</v>
      </c>
      <c r="K26" s="2">
        <f t="shared" si="10"/>
        <v>1.3263976377340556</v>
      </c>
      <c r="L26" s="2">
        <f>(L24/(1-L24))*$B$25</f>
        <v>1.3281106439414168</v>
      </c>
      <c r="M26" s="2">
        <f>(M24/(1-M24))*$B$25</f>
        <v>1.1404851402386746</v>
      </c>
      <c r="N26" s="2">
        <f t="shared" si="10"/>
        <v>1.1766312816999394</v>
      </c>
      <c r="O26" s="2">
        <f t="shared" si="10"/>
        <v>1.3531818576325627</v>
      </c>
      <c r="P26" s="2">
        <f t="shared" si="10"/>
        <v>1.2398789399754291</v>
      </c>
      <c r="Q26" s="2">
        <f t="shared" si="10"/>
        <v>1.0576719941053374</v>
      </c>
      <c r="R26" s="2">
        <f t="shared" si="10"/>
        <v>1.0221742374039529</v>
      </c>
      <c r="S26" s="2">
        <f t="shared" si="10"/>
        <v>1.07127671088734</v>
      </c>
      <c r="T26" s="2">
        <f t="shared" si="10"/>
        <v>0.87514753676624124</v>
      </c>
      <c r="U26" s="2">
        <f t="shared" si="10"/>
        <v>0.8987848321098082</v>
      </c>
      <c r="V26" s="2">
        <f t="shared" si="10"/>
        <v>0.82527529342139261</v>
      </c>
      <c r="W26" s="2">
        <f t="shared" si="10"/>
        <v>0.60170701788613046</v>
      </c>
      <c r="X26" s="2">
        <f t="shared" si="10"/>
        <v>0.58964435867299159</v>
      </c>
      <c r="Y26" s="2">
        <f t="shared" si="10"/>
        <v>0.58618781669400166</v>
      </c>
      <c r="Z26" s="2">
        <f t="shared" si="10"/>
        <v>0.4442345767564766</v>
      </c>
      <c r="AA26" s="2">
        <f t="shared" si="10"/>
        <v>0.4101127935781127</v>
      </c>
      <c r="AB26" s="2">
        <f t="shared" si="10"/>
        <v>0.43170191518725626</v>
      </c>
      <c r="AC26" s="2">
        <f t="shared" si="10"/>
        <v>0.28466868493035591</v>
      </c>
      <c r="AD26" s="2">
        <f t="shared" si="10"/>
        <v>0.28823591017066913</v>
      </c>
      <c r="AE26" s="2">
        <f t="shared" si="10"/>
        <v>0.27188918797860345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x14ac:dyDescent="0.25">
      <c r="A27" t="s">
        <v>12</v>
      </c>
      <c r="B27" s="2">
        <v>186.11</v>
      </c>
    </row>
    <row r="28" spans="1:43" x14ac:dyDescent="0.25">
      <c r="A28" t="s">
        <v>11</v>
      </c>
      <c r="B28">
        <v>180.15600000000001</v>
      </c>
    </row>
    <row r="29" spans="1:43" x14ac:dyDescent="0.25">
      <c r="A29" t="s">
        <v>123</v>
      </c>
      <c r="B29" s="2">
        <f>B26*($B$28/$B$27)</f>
        <v>1.3346709886742736</v>
      </c>
      <c r="C29" s="2">
        <f t="shared" ref="C29:AE29" si="11">C26*($B$28/$B$27)</f>
        <v>1.2312108927535994</v>
      </c>
      <c r="D29" s="2">
        <f t="shared" si="11"/>
        <v>1.2366667531603563</v>
      </c>
      <c r="E29" s="2">
        <f t="shared" si="11"/>
        <v>1.2190140706374033</v>
      </c>
      <c r="F29" s="2">
        <f t="shared" si="11"/>
        <v>1.2865250210912293</v>
      </c>
      <c r="G29" s="2">
        <f t="shared" si="11"/>
        <v>1.2118847685512528</v>
      </c>
      <c r="H29" s="2">
        <f t="shared" si="11"/>
        <v>1.1753119200204734</v>
      </c>
      <c r="I29" s="2">
        <f t="shared" si="11"/>
        <v>1.1856074092391888</v>
      </c>
      <c r="J29" s="2">
        <f t="shared" si="11"/>
        <v>1.2865487012194896</v>
      </c>
      <c r="K29" s="2">
        <f t="shared" si="11"/>
        <v>1.2839637462985145</v>
      </c>
      <c r="L29" s="2">
        <f t="shared" si="11"/>
        <v>1.2856219502977264</v>
      </c>
      <c r="M29" s="2">
        <f>M26*($B$28/$B$27)</f>
        <v>1.1039989303360307</v>
      </c>
      <c r="N29" s="2">
        <f t="shared" si="11"/>
        <v>1.1389886904837692</v>
      </c>
      <c r="O29" s="2">
        <f t="shared" si="11"/>
        <v>1.3098910899126965</v>
      </c>
      <c r="P29" s="2">
        <f t="shared" si="11"/>
        <v>1.2002129402515362</v>
      </c>
      <c r="Q29" s="2">
        <f t="shared" si="11"/>
        <v>1.0238351285263616</v>
      </c>
      <c r="R29" s="2">
        <f t="shared" si="11"/>
        <v>0.98947301012168354</v>
      </c>
      <c r="S29" s="2">
        <f t="shared" si="11"/>
        <v>1.037004605483959</v>
      </c>
      <c r="T29" s="2">
        <f t="shared" si="11"/>
        <v>0.84714996310600699</v>
      </c>
      <c r="U29" s="2">
        <f t="shared" si="11"/>
        <v>0.87003105804940417</v>
      </c>
      <c r="V29" s="2">
        <f t="shared" si="11"/>
        <v>0.79887322423096241</v>
      </c>
      <c r="W29" s="2">
        <f t="shared" si="11"/>
        <v>0.58245730758311598</v>
      </c>
      <c r="X29" s="2">
        <f t="shared" si="11"/>
        <v>0.57078055494649116</v>
      </c>
      <c r="Y29" s="2">
        <f t="shared" si="11"/>
        <v>0.56743459408051455</v>
      </c>
      <c r="Z29" s="2">
        <f t="shared" si="11"/>
        <v>0.43002269845865237</v>
      </c>
      <c r="AA29" s="2">
        <f t="shared" si="11"/>
        <v>0.39699253366212711</v>
      </c>
      <c r="AB29" s="2">
        <f t="shared" si="11"/>
        <v>0.41789097970273137</v>
      </c>
      <c r="AC29" s="2">
        <f t="shared" si="11"/>
        <v>0.27556161196235129</v>
      </c>
      <c r="AD29" s="2">
        <f t="shared" si="11"/>
        <v>0.27901471512926262</v>
      </c>
      <c r="AE29" s="2">
        <f t="shared" si="11"/>
        <v>0.26319095454018204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25">
      <c r="A30" t="s">
        <v>149</v>
      </c>
      <c r="B30" s="21">
        <v>100</v>
      </c>
    </row>
    <row r="31" spans="1:43" x14ac:dyDescent="0.25">
      <c r="A31" t="s">
        <v>131</v>
      </c>
      <c r="B31" s="2">
        <f t="shared" ref="B31:AE31" si="12">B29*$B$30</f>
        <v>133.46709886742735</v>
      </c>
      <c r="C31" s="2">
        <f t="shared" si="12"/>
        <v>123.12108927535994</v>
      </c>
      <c r="D31" s="2">
        <f t="shared" si="12"/>
        <v>123.66667531603564</v>
      </c>
      <c r="E31" s="2">
        <f t="shared" si="12"/>
        <v>121.90140706374034</v>
      </c>
      <c r="F31" s="2">
        <f t="shared" si="12"/>
        <v>128.65250210912293</v>
      </c>
      <c r="G31" s="2">
        <f t="shared" si="12"/>
        <v>121.18847685512529</v>
      </c>
      <c r="H31" s="2">
        <f t="shared" si="12"/>
        <v>117.53119200204733</v>
      </c>
      <c r="I31" s="2">
        <f t="shared" si="12"/>
        <v>118.56074092391889</v>
      </c>
      <c r="J31" s="2">
        <f t="shared" si="12"/>
        <v>128.65487012194896</v>
      </c>
      <c r="K31" s="2">
        <f t="shared" si="12"/>
        <v>128.39637462985144</v>
      </c>
      <c r="L31" s="2">
        <f t="shared" si="12"/>
        <v>128.56219502977265</v>
      </c>
      <c r="M31" s="2">
        <f>M29*$B$30</f>
        <v>110.39989303360306</v>
      </c>
      <c r="N31" s="2">
        <f t="shared" si="12"/>
        <v>113.89886904837692</v>
      </c>
      <c r="O31" s="2">
        <f t="shared" si="12"/>
        <v>130.98910899126966</v>
      </c>
      <c r="P31" s="2">
        <f t="shared" si="12"/>
        <v>120.02129402515362</v>
      </c>
      <c r="Q31" s="2">
        <f t="shared" si="12"/>
        <v>102.38351285263616</v>
      </c>
      <c r="R31" s="2">
        <f t="shared" si="12"/>
        <v>98.947301012168353</v>
      </c>
      <c r="S31" s="2">
        <f t="shared" si="12"/>
        <v>103.7004605483959</v>
      </c>
      <c r="T31" s="2">
        <f t="shared" si="12"/>
        <v>84.714996310600696</v>
      </c>
      <c r="U31" s="2">
        <f t="shared" si="12"/>
        <v>87.003105804940418</v>
      </c>
      <c r="V31" s="2">
        <f t="shared" si="12"/>
        <v>79.887322423096236</v>
      </c>
      <c r="W31" s="2">
        <f t="shared" si="12"/>
        <v>58.245730758311595</v>
      </c>
      <c r="X31" s="2">
        <f t="shared" si="12"/>
        <v>57.078055494649114</v>
      </c>
      <c r="Y31" s="2">
        <f t="shared" si="12"/>
        <v>56.743459408051457</v>
      </c>
      <c r="Z31" s="2">
        <f t="shared" si="12"/>
        <v>43.002269845865236</v>
      </c>
      <c r="AA31" s="2">
        <f t="shared" si="12"/>
        <v>39.699253366212709</v>
      </c>
      <c r="AB31" s="2">
        <f t="shared" si="12"/>
        <v>41.78909797027314</v>
      </c>
      <c r="AC31" s="2">
        <f t="shared" si="12"/>
        <v>27.556161196235131</v>
      </c>
      <c r="AD31" s="2">
        <f t="shared" si="12"/>
        <v>27.901471512926264</v>
      </c>
      <c r="AE31" s="2">
        <f t="shared" si="12"/>
        <v>26.319095454018203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3" spans="1:9" ht="30" x14ac:dyDescent="0.25">
      <c r="A33" s="4" t="s">
        <v>14</v>
      </c>
      <c r="B33" s="6" t="s">
        <v>145</v>
      </c>
      <c r="C33" s="6" t="s">
        <v>146</v>
      </c>
      <c r="D33" s="6" t="s">
        <v>147</v>
      </c>
      <c r="E33" s="6" t="s">
        <v>148</v>
      </c>
      <c r="F33" s="6" t="s">
        <v>423</v>
      </c>
      <c r="G33" s="3"/>
      <c r="H33" s="3"/>
      <c r="I33" s="3"/>
    </row>
    <row r="34" spans="1:9" x14ac:dyDescent="0.25">
      <c r="A34">
        <v>0</v>
      </c>
      <c r="B34" s="11">
        <f t="shared" ref="B34:B43" si="13">O5</f>
        <v>5.5593570013513526E-2</v>
      </c>
      <c r="C34" s="2">
        <f>B31</f>
        <v>133.46709886742735</v>
      </c>
      <c r="D34" s="2">
        <f t="shared" ref="D34:E34" si="14">C31</f>
        <v>123.12108927535994</v>
      </c>
      <c r="E34" s="2">
        <f t="shared" si="14"/>
        <v>123.66667531603564</v>
      </c>
      <c r="F34" s="2">
        <f>AVERAGE(C34:E34)</f>
        <v>126.75162115294098</v>
      </c>
      <c r="G34" s="2"/>
      <c r="H34" s="2"/>
      <c r="I34" s="2"/>
    </row>
    <row r="35" spans="1:9" x14ac:dyDescent="0.25">
      <c r="A35">
        <v>1</v>
      </c>
      <c r="B35" s="11">
        <f t="shared" si="13"/>
        <v>9.7572388186982911E-2</v>
      </c>
      <c r="C35" s="2">
        <f>E31</f>
        <v>121.90140706374034</v>
      </c>
      <c r="D35" s="2">
        <f t="shared" ref="D35:E35" si="15">F31</f>
        <v>128.65250210912293</v>
      </c>
      <c r="E35" s="2">
        <f t="shared" si="15"/>
        <v>121.18847685512529</v>
      </c>
      <c r="F35" s="2">
        <f t="shared" ref="F35:F43" si="16">AVERAGE(C35:E35)</f>
        <v>123.9141286759962</v>
      </c>
      <c r="G35" s="2"/>
      <c r="H35" s="2"/>
      <c r="I35" s="2"/>
    </row>
    <row r="36" spans="1:9" x14ac:dyDescent="0.25">
      <c r="A36">
        <v>2</v>
      </c>
      <c r="B36" s="11">
        <f t="shared" si="13"/>
        <v>0.15467870840494577</v>
      </c>
      <c r="C36" s="2">
        <f>H31</f>
        <v>117.53119200204733</v>
      </c>
      <c r="D36" s="2">
        <f t="shared" ref="D36:E36" si="17">I31</f>
        <v>118.56074092391889</v>
      </c>
      <c r="E36" s="2">
        <f t="shared" si="17"/>
        <v>128.65487012194896</v>
      </c>
      <c r="F36" s="2">
        <f t="shared" si="16"/>
        <v>121.58226768263837</v>
      </c>
      <c r="G36" s="2"/>
      <c r="H36" s="2"/>
      <c r="I36" s="2"/>
    </row>
    <row r="37" spans="1:9" x14ac:dyDescent="0.25">
      <c r="A37">
        <v>3</v>
      </c>
      <c r="B37" s="11">
        <f t="shared" si="13"/>
        <v>0.24279640781412024</v>
      </c>
      <c r="C37" s="2">
        <f>K31</f>
        <v>128.39637462985144</v>
      </c>
      <c r="D37" s="2">
        <f t="shared" ref="D37:E37" si="18">L31</f>
        <v>128.56219502977265</v>
      </c>
      <c r="E37" s="2">
        <f t="shared" si="18"/>
        <v>110.39989303360306</v>
      </c>
      <c r="F37" s="2">
        <f t="shared" si="16"/>
        <v>122.4528208977424</v>
      </c>
      <c r="G37" s="2"/>
      <c r="H37" s="2"/>
      <c r="I37" s="2"/>
    </row>
    <row r="38" spans="1:9" x14ac:dyDescent="0.25">
      <c r="A38">
        <v>3.75</v>
      </c>
      <c r="B38" s="11">
        <f t="shared" si="13"/>
        <v>0.35889998600560769</v>
      </c>
      <c r="C38" s="2">
        <f>N31</f>
        <v>113.89886904837692</v>
      </c>
      <c r="D38" s="2">
        <f>O31</f>
        <v>130.98910899126966</v>
      </c>
      <c r="E38" s="2">
        <f t="shared" ref="E38" si="19">P31</f>
        <v>120.02129402515362</v>
      </c>
      <c r="F38" s="2">
        <f t="shared" si="16"/>
        <v>121.63642402160008</v>
      </c>
      <c r="G38" s="2"/>
      <c r="H38" s="2"/>
      <c r="I38" s="2"/>
    </row>
    <row r="39" spans="1:9" x14ac:dyDescent="0.25">
      <c r="A39">
        <v>4.75</v>
      </c>
      <c r="B39" s="11">
        <f t="shared" si="13"/>
        <v>0.56728132666850528</v>
      </c>
      <c r="C39" s="2">
        <f>Q31</f>
        <v>102.38351285263616</v>
      </c>
      <c r="D39" s="2">
        <f t="shared" ref="D39:E39" si="20">R31</f>
        <v>98.947301012168353</v>
      </c>
      <c r="E39" s="2">
        <f t="shared" si="20"/>
        <v>103.7004605483959</v>
      </c>
      <c r="F39" s="2">
        <f t="shared" si="16"/>
        <v>101.67709147106679</v>
      </c>
      <c r="G39" s="2"/>
      <c r="H39" s="2"/>
      <c r="I39" s="2"/>
    </row>
    <row r="40" spans="1:9" x14ac:dyDescent="0.25">
      <c r="A40">
        <v>5.75</v>
      </c>
      <c r="B40" s="11">
        <f t="shared" si="13"/>
        <v>0.85583842816721822</v>
      </c>
      <c r="C40" s="2">
        <f>T31</f>
        <v>84.714996310600696</v>
      </c>
      <c r="D40" s="2">
        <f t="shared" ref="D40:E40" si="21">U31</f>
        <v>87.003105804940418</v>
      </c>
      <c r="E40" s="2">
        <f t="shared" si="21"/>
        <v>79.887322423096236</v>
      </c>
      <c r="F40" s="2">
        <f t="shared" si="16"/>
        <v>83.86847484621245</v>
      </c>
      <c r="G40" s="2"/>
      <c r="H40" s="2"/>
      <c r="I40" s="2"/>
    </row>
    <row r="41" spans="1:9" x14ac:dyDescent="0.25">
      <c r="A41">
        <v>6.75</v>
      </c>
      <c r="B41" s="11">
        <f t="shared" si="13"/>
        <v>1.0479577041322856</v>
      </c>
      <c r="C41" s="2">
        <f>W31</f>
        <v>58.245730758311595</v>
      </c>
      <c r="D41" s="2">
        <f t="shared" ref="D41:E41" si="22">X31</f>
        <v>57.078055494649114</v>
      </c>
      <c r="E41" s="2">
        <f t="shared" si="22"/>
        <v>56.743459408051457</v>
      </c>
      <c r="F41" s="2">
        <f t="shared" si="16"/>
        <v>57.355748553670715</v>
      </c>
    </row>
    <row r="42" spans="1:9" x14ac:dyDescent="0.25">
      <c r="A42">
        <v>7.75</v>
      </c>
      <c r="B42" s="11">
        <f t="shared" si="13"/>
        <v>1.149690155381504</v>
      </c>
      <c r="C42" s="2">
        <f>Z31</f>
        <v>43.002269845865236</v>
      </c>
      <c r="D42" s="2">
        <f t="shared" ref="D42:E42" si="23">AA31</f>
        <v>39.699253366212709</v>
      </c>
      <c r="E42" s="2">
        <f t="shared" si="23"/>
        <v>41.78909797027314</v>
      </c>
      <c r="F42" s="2">
        <f t="shared" si="16"/>
        <v>41.496873727450357</v>
      </c>
    </row>
    <row r="43" spans="1:9" x14ac:dyDescent="0.25">
      <c r="A43">
        <v>8.75</v>
      </c>
      <c r="B43" s="11">
        <f t="shared" si="13"/>
        <v>1.2139820390706013</v>
      </c>
      <c r="C43" s="2">
        <f>AC31</f>
        <v>27.556161196235131</v>
      </c>
      <c r="D43" s="2">
        <f t="shared" ref="D43:E43" si="24">AD31</f>
        <v>27.901471512926264</v>
      </c>
      <c r="E43" s="2">
        <f t="shared" si="24"/>
        <v>26.319095454018203</v>
      </c>
      <c r="F43" s="2">
        <f t="shared" si="16"/>
        <v>27.258909387726533</v>
      </c>
    </row>
    <row r="44" spans="1:9" x14ac:dyDescent="0.25">
      <c r="C44" s="6" t="s">
        <v>62</v>
      </c>
      <c r="D44" s="6" t="s">
        <v>63</v>
      </c>
      <c r="E44" s="6" t="s">
        <v>64</v>
      </c>
      <c r="F44" s="6" t="s">
        <v>135</v>
      </c>
      <c r="G44" s="6" t="s">
        <v>136</v>
      </c>
    </row>
    <row r="45" spans="1:9" x14ac:dyDescent="0.25">
      <c r="B45" t="s">
        <v>133</v>
      </c>
      <c r="C45">
        <f>SLOPE(C37:C40,$B$37:$B$40)</f>
        <v>-67.842943937961266</v>
      </c>
      <c r="D45">
        <f>SLOPE(D37:D40,$B$37:$B$40)</f>
        <v>-76.923578741982482</v>
      </c>
      <c r="E45">
        <f>SLOPE(E37:E41,$B$37:$B$41)</f>
        <v>-72.501445428647216</v>
      </c>
      <c r="F45" s="19">
        <f>ABS(AVERAGE(C45:E45))</f>
        <v>72.422656036196997</v>
      </c>
      <c r="G45" s="19">
        <f>_xlfn.STDEV.S(C45:E45)/(SQRT(COUNT(C45:E45)))</f>
        <v>2.6216494767780816</v>
      </c>
    </row>
    <row r="46" spans="1:9" x14ac:dyDescent="0.25">
      <c r="B46" t="s">
        <v>134</v>
      </c>
      <c r="C46" s="22">
        <f>(CORREL($B$37:$B$40,C37:C40))^2</f>
        <v>0.97672414443099598</v>
      </c>
      <c r="D46" s="22">
        <f>(CORREL($B$37:$B$40,D37:D40))^2</f>
        <v>0.89907673886488448</v>
      </c>
      <c r="E46" s="22">
        <f>(CORREL($B$37:$B$41,E37:E41))^2</f>
        <v>0.90403969702488018</v>
      </c>
    </row>
  </sheetData>
  <mergeCells count="3">
    <mergeCell ref="H3:L3"/>
    <mergeCell ref="B3:F3"/>
    <mergeCell ref="Q3:W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1AC1-5765-4ACA-9ED7-CBEE624026B8}">
  <dimension ref="A1:AQ44"/>
  <sheetViews>
    <sheetView topLeftCell="U33" zoomScale="115" zoomScaleNormal="115" workbookViewId="0">
      <selection activeCell="Z39" sqref="Z39"/>
    </sheetView>
  </sheetViews>
  <sheetFormatPr defaultColWidth="8.85546875" defaultRowHeight="15" x14ac:dyDescent="0.25"/>
  <cols>
    <col min="1" max="1" width="66.42578125" bestFit="1" customWidth="1"/>
    <col min="2" max="43" width="11.85546875" customWidth="1"/>
    <col min="44" max="46" width="21.7109375" bestFit="1" customWidth="1"/>
  </cols>
  <sheetData>
    <row r="1" spans="1:43" ht="15.75" thickBot="1" x14ac:dyDescent="0.3">
      <c r="A1" t="s">
        <v>124</v>
      </c>
      <c r="B1">
        <v>20221128</v>
      </c>
    </row>
    <row r="2" spans="1:43" x14ac:dyDescent="0.25">
      <c r="A2" t="s">
        <v>57</v>
      </c>
      <c r="B2">
        <v>0.41139241809999999</v>
      </c>
      <c r="M2" s="43" t="s">
        <v>60</v>
      </c>
      <c r="N2" s="44"/>
      <c r="O2" s="44"/>
      <c r="P2" s="44"/>
      <c r="Q2" s="44"/>
      <c r="R2" s="44"/>
      <c r="S2" s="44"/>
      <c r="T2" s="44"/>
      <c r="U2" s="44"/>
      <c r="V2" s="45"/>
    </row>
    <row r="3" spans="1:43" x14ac:dyDescent="0.25">
      <c r="B3" s="42" t="s">
        <v>90</v>
      </c>
      <c r="C3" s="42"/>
      <c r="D3" s="42"/>
      <c r="E3" s="42"/>
      <c r="F3" s="42"/>
      <c r="G3" s="42" t="s">
        <v>91</v>
      </c>
      <c r="H3" s="42"/>
      <c r="I3" s="42"/>
      <c r="J3" s="42"/>
      <c r="K3" s="42"/>
      <c r="M3" s="46" t="s">
        <v>90</v>
      </c>
      <c r="N3" s="42"/>
      <c r="O3" s="42"/>
      <c r="P3" s="42"/>
      <c r="Q3" s="42"/>
      <c r="R3" s="42" t="s">
        <v>91</v>
      </c>
      <c r="S3" s="42"/>
      <c r="T3" s="42"/>
      <c r="U3" s="42"/>
      <c r="V3" s="47"/>
      <c r="AB3" s="42" t="s">
        <v>91</v>
      </c>
      <c r="AC3" s="42"/>
      <c r="AD3" s="42"/>
      <c r="AE3" s="42"/>
      <c r="AF3" s="42"/>
      <c r="AG3" s="42"/>
      <c r="AH3" s="42"/>
    </row>
    <row r="4" spans="1:43" ht="45" x14ac:dyDescent="0.25">
      <c r="A4" s="4" t="s">
        <v>14</v>
      </c>
      <c r="B4" t="s">
        <v>62</v>
      </c>
      <c r="C4" t="s">
        <v>63</v>
      </c>
      <c r="D4" t="s">
        <v>64</v>
      </c>
      <c r="E4" s="18" t="s">
        <v>135</v>
      </c>
      <c r="F4" s="18" t="s">
        <v>214</v>
      </c>
      <c r="G4" t="s">
        <v>62</v>
      </c>
      <c r="H4" t="s">
        <v>63</v>
      </c>
      <c r="I4" t="s">
        <v>64</v>
      </c>
      <c r="J4" s="18" t="s">
        <v>135</v>
      </c>
      <c r="K4" s="18" t="s">
        <v>214</v>
      </c>
      <c r="M4" s="7" t="s">
        <v>62</v>
      </c>
      <c r="N4" t="s">
        <v>63</v>
      </c>
      <c r="O4" t="s">
        <v>64</v>
      </c>
      <c r="P4" s="3" t="s">
        <v>65</v>
      </c>
      <c r="Q4" t="s">
        <v>61</v>
      </c>
      <c r="R4" t="s">
        <v>62</v>
      </c>
      <c r="S4" t="s">
        <v>63</v>
      </c>
      <c r="T4" t="s">
        <v>64</v>
      </c>
      <c r="U4" s="20" t="s">
        <v>66</v>
      </c>
      <c r="V4" s="8" t="s">
        <v>61</v>
      </c>
      <c r="X4" s="4" t="s">
        <v>14</v>
      </c>
      <c r="Y4" s="3" t="s">
        <v>67</v>
      </c>
      <c r="Z4" s="3" t="s">
        <v>68</v>
      </c>
      <c r="AC4" t="s">
        <v>62</v>
      </c>
      <c r="AD4" t="s">
        <v>63</v>
      </c>
      <c r="AE4" t="s">
        <v>64</v>
      </c>
      <c r="AF4" s="20" t="s">
        <v>66</v>
      </c>
      <c r="AG4" t="s">
        <v>214</v>
      </c>
      <c r="AH4" t="s">
        <v>425</v>
      </c>
    </row>
    <row r="5" spans="1:43" x14ac:dyDescent="0.25">
      <c r="A5">
        <v>0</v>
      </c>
      <c r="B5">
        <v>6.3E-2</v>
      </c>
      <c r="C5">
        <v>6.0999999999999999E-2</v>
      </c>
      <c r="D5">
        <v>6.4000000000000001E-2</v>
      </c>
      <c r="E5" s="10">
        <f>AVERAGE(B5:D5)</f>
        <v>6.2666666666666662E-2</v>
      </c>
      <c r="F5" s="10">
        <f>_xlfn.STDEV.S(B5:D5)</f>
        <v>1.5275252316519479E-3</v>
      </c>
      <c r="G5" s="17">
        <v>6.3E-2</v>
      </c>
      <c r="H5" s="17">
        <v>6.5000000000000002E-2</v>
      </c>
      <c r="I5" s="17">
        <v>6.5000000000000002E-2</v>
      </c>
      <c r="J5" s="10">
        <f>AVERAGE(G5:I5)</f>
        <v>6.433333333333334E-2</v>
      </c>
      <c r="K5" s="10">
        <f>_xlfn.STDEV.S(G5:I5)</f>
        <v>1.1547005383792527E-3</v>
      </c>
      <c r="M5" s="9">
        <f t="shared" ref="M5:M13" si="0">LN(B5)</f>
        <v>-2.7646205525906042</v>
      </c>
      <c r="N5" s="10">
        <f t="shared" ref="N5:N13" si="1">LN(C5)</f>
        <v>-2.7968814148088259</v>
      </c>
      <c r="O5" s="10">
        <f t="shared" ref="O5:O13" si="2">LN(D5)</f>
        <v>-2.7488721956224653</v>
      </c>
      <c r="P5" s="10">
        <f>AVERAGE(M5:O5)</f>
        <v>-2.7701247210072979</v>
      </c>
      <c r="Q5" s="11">
        <f>_xlfn.STDEV.S(M5:O5)</f>
        <v>2.4473315757994548E-2</v>
      </c>
      <c r="R5" s="10">
        <f t="shared" ref="R5:R13" si="3">LN(G5)</f>
        <v>-2.7646205525906042</v>
      </c>
      <c r="S5" s="10">
        <f t="shared" ref="S5:S13" si="4">LN(H5)</f>
        <v>-2.7333680090865</v>
      </c>
      <c r="T5" s="10">
        <f t="shared" ref="T5:T13" si="5">LN(I5)</f>
        <v>-2.7333680090865</v>
      </c>
      <c r="U5" s="10">
        <f>AVERAGE(R5:T5)</f>
        <v>-2.7437855235878685</v>
      </c>
      <c r="V5" s="12">
        <f>_xlfn.STDEV.S(R5:T5)</f>
        <v>1.8043664404955063E-2</v>
      </c>
      <c r="X5">
        <v>0</v>
      </c>
      <c r="Y5" s="11">
        <f>((AVERAGE(B5:D5))*$B$2)/0.3181</f>
        <v>8.1045556536518903E-2</v>
      </c>
      <c r="Z5" s="11">
        <f>((AVERAGE(G5:I5))*$B$2)/0.3518</f>
        <v>7.5230942479912841E-2</v>
      </c>
      <c r="AB5" t="s">
        <v>424</v>
      </c>
      <c r="AC5" s="2">
        <f>SLOPE(R8:R11,$A$8:$A$11)</f>
        <v>0.35191390685091711</v>
      </c>
      <c r="AD5" s="2">
        <f>SLOPE(S8:S11,$A$8:$A$11)</f>
        <v>0.34954901943954686</v>
      </c>
      <c r="AE5" s="2">
        <f>SLOPE(T8:T11,$A$8:$A$11)</f>
        <v>0.35404111357190965</v>
      </c>
      <c r="AF5" s="2">
        <f>AVERAGE(AC5:AE5)</f>
        <v>0.35183467995412454</v>
      </c>
      <c r="AG5" s="10">
        <f>_xlfn.STDEV.S(AC5:AE5)</f>
        <v>2.2470948131717954E-3</v>
      </c>
      <c r="AH5" s="10">
        <f>(_xlfn.STDEV.S(AC5:AE5))/(SQRT(COUNT(AC5:AE5)))</f>
        <v>1.297360795279348E-3</v>
      </c>
    </row>
    <row r="6" spans="1:43" x14ac:dyDescent="0.25">
      <c r="A6">
        <v>1</v>
      </c>
      <c r="B6">
        <v>9.2999999999999999E-2</v>
      </c>
      <c r="C6">
        <v>8.5999999999999993E-2</v>
      </c>
      <c r="D6">
        <v>8.7999999999999995E-2</v>
      </c>
      <c r="E6" s="10">
        <f t="shared" ref="E6:E13" si="6">AVERAGE(B6:D6)</f>
        <v>8.900000000000001E-2</v>
      </c>
      <c r="F6" s="10">
        <f t="shared" ref="F6:F13" si="7">_xlfn.STDEV.S(B6:D6)</f>
        <v>3.6055512754639926E-3</v>
      </c>
      <c r="G6" s="17">
        <v>9.6000000000000002E-2</v>
      </c>
      <c r="H6" s="17">
        <v>9.4E-2</v>
      </c>
      <c r="I6" s="17">
        <v>9.2999999999999999E-2</v>
      </c>
      <c r="J6" s="10">
        <f t="shared" ref="J6:J13" si="8">AVERAGE(G6:I6)</f>
        <v>9.4333333333333338E-2</v>
      </c>
      <c r="K6" s="10">
        <f t="shared" ref="K6:K13" si="9">_xlfn.STDEV.S(G6:I6)</f>
        <v>1.5275252316519479E-3</v>
      </c>
      <c r="M6" s="9">
        <f t="shared" si="0"/>
        <v>-2.375155785828881</v>
      </c>
      <c r="N6" s="10">
        <f t="shared" si="1"/>
        <v>-2.4534079827286295</v>
      </c>
      <c r="O6" s="10">
        <f t="shared" si="2"/>
        <v>-2.4304184645039308</v>
      </c>
      <c r="P6" s="10">
        <f t="shared" ref="P6:P13" si="10">AVERAGE(M6:O6)</f>
        <v>-2.4196607443538136</v>
      </c>
      <c r="Q6" s="11">
        <f t="shared" ref="Q6:Q13" si="11">_xlfn.STDEV.S(M6:O6)</f>
        <v>4.0219994866116382E-2</v>
      </c>
      <c r="R6" s="10">
        <f t="shared" si="3"/>
        <v>-2.3434070875143007</v>
      </c>
      <c r="S6" s="10">
        <f t="shared" si="4"/>
        <v>-2.364460496712133</v>
      </c>
      <c r="T6" s="10">
        <f t="shared" si="5"/>
        <v>-2.375155785828881</v>
      </c>
      <c r="U6" s="10">
        <f t="shared" ref="U6:U13" si="12">AVERAGE(R6:T6)</f>
        <v>-2.3610077900184385</v>
      </c>
      <c r="V6" s="12">
        <f t="shared" ref="V6:V13" si="13">_xlfn.STDEV.S(R6:T6)</f>
        <v>1.6153508869656507E-2</v>
      </c>
      <c r="X6">
        <v>1</v>
      </c>
      <c r="Y6" s="11">
        <f t="shared" ref="Y6:Y13" si="14">((AVERAGE(B6:D6))*$B$2)/0.3181</f>
        <v>0.11510193401729017</v>
      </c>
      <c r="Z6" s="11">
        <f t="shared" ref="Z6:Z13" si="15">((AVERAGE(G6:I6))*$B$2)/0.3518</f>
        <v>0.11031272912857684</v>
      </c>
    </row>
    <row r="7" spans="1:43" x14ac:dyDescent="0.25">
      <c r="A7">
        <v>2</v>
      </c>
      <c r="B7">
        <v>0.156</v>
      </c>
      <c r="C7">
        <v>0.151</v>
      </c>
      <c r="D7">
        <v>0.158</v>
      </c>
      <c r="E7" s="10">
        <f t="shared" si="6"/>
        <v>0.155</v>
      </c>
      <c r="F7" s="10">
        <f t="shared" si="7"/>
        <v>3.6055512754639926E-3</v>
      </c>
      <c r="G7" s="17">
        <v>0.14000000000000001</v>
      </c>
      <c r="H7" s="17">
        <v>0.15</v>
      </c>
      <c r="I7" s="17">
        <v>0.14899999999999999</v>
      </c>
      <c r="J7" s="10">
        <f t="shared" si="8"/>
        <v>0.14633333333333334</v>
      </c>
      <c r="K7" s="10">
        <f t="shared" si="9"/>
        <v>5.5075705472860913E-3</v>
      </c>
      <c r="M7" s="9">
        <f t="shared" si="0"/>
        <v>-1.8578992717325999</v>
      </c>
      <c r="N7" s="10">
        <f t="shared" si="1"/>
        <v>-1.8904754421672127</v>
      </c>
      <c r="O7" s="10">
        <f t="shared" si="2"/>
        <v>-1.8451602459551701</v>
      </c>
      <c r="P7" s="10">
        <f t="shared" si="10"/>
        <v>-1.8645116532849944</v>
      </c>
      <c r="Q7" s="11">
        <f t="shared" si="11"/>
        <v>2.3370054434678024E-2</v>
      </c>
      <c r="R7" s="10">
        <f t="shared" si="3"/>
        <v>-1.9661128563728327</v>
      </c>
      <c r="S7" s="10">
        <f t="shared" si="4"/>
        <v>-1.8971199848858813</v>
      </c>
      <c r="T7" s="10">
        <f t="shared" si="5"/>
        <v>-1.9038089730366781</v>
      </c>
      <c r="U7" s="10">
        <f t="shared" si="12"/>
        <v>-1.9223472714317975</v>
      </c>
      <c r="V7" s="12">
        <f t="shared" si="13"/>
        <v>3.8049381854947543E-2</v>
      </c>
      <c r="X7">
        <v>2</v>
      </c>
      <c r="Y7" s="11">
        <f t="shared" si="14"/>
        <v>0.20045842441213454</v>
      </c>
      <c r="Z7" s="11">
        <f t="shared" si="15"/>
        <v>0.17112115931959446</v>
      </c>
    </row>
    <row r="8" spans="1:43" x14ac:dyDescent="0.25">
      <c r="A8">
        <v>3.5</v>
      </c>
      <c r="B8">
        <v>0.30099999999999999</v>
      </c>
      <c r="C8">
        <v>0.31</v>
      </c>
      <c r="D8">
        <v>0.30499999999999999</v>
      </c>
      <c r="E8" s="10">
        <f t="shared" si="6"/>
        <v>0.30533333333333329</v>
      </c>
      <c r="F8" s="10">
        <f t="shared" si="7"/>
        <v>4.5092497528228985E-3</v>
      </c>
      <c r="G8" s="17">
        <v>0.29099999999999998</v>
      </c>
      <c r="H8" s="17">
        <v>0.29799999999999999</v>
      </c>
      <c r="I8" s="17">
        <v>0.29299999999999998</v>
      </c>
      <c r="J8" s="10">
        <f t="shared" si="8"/>
        <v>0.29399999999999998</v>
      </c>
      <c r="K8" s="10">
        <f t="shared" si="9"/>
        <v>3.6055512754639926E-3</v>
      </c>
      <c r="M8" s="9">
        <f t="shared" si="0"/>
        <v>-1.2006450142332614</v>
      </c>
      <c r="N8" s="10">
        <f t="shared" si="1"/>
        <v>-1.1711829815029451</v>
      </c>
      <c r="O8" s="10">
        <f t="shared" si="2"/>
        <v>-1.1874435023747254</v>
      </c>
      <c r="P8" s="10">
        <f t="shared" si="10"/>
        <v>-1.186423832703644</v>
      </c>
      <c r="Q8" s="11">
        <f t="shared" si="11"/>
        <v>1.4757460412589634E-2</v>
      </c>
      <c r="R8" s="10">
        <f t="shared" si="3"/>
        <v>-1.2344320118106447</v>
      </c>
      <c r="S8" s="10">
        <f t="shared" si="4"/>
        <v>-1.2106617924767327</v>
      </c>
      <c r="T8" s="10">
        <f t="shared" si="5"/>
        <v>-1.2275826699650698</v>
      </c>
      <c r="U8" s="10">
        <f t="shared" si="12"/>
        <v>-1.2242254914174824</v>
      </c>
      <c r="V8" s="12">
        <f t="shared" si="13"/>
        <v>1.2235555469444647E-2</v>
      </c>
      <c r="X8">
        <v>3.5</v>
      </c>
      <c r="Y8" s="11">
        <f t="shared" si="14"/>
        <v>0.39488154142261339</v>
      </c>
      <c r="Z8" s="11">
        <f t="shared" si="15"/>
        <v>0.34380150915690727</v>
      </c>
    </row>
    <row r="9" spans="1:43" x14ac:dyDescent="0.25">
      <c r="A9">
        <v>4.5</v>
      </c>
      <c r="B9">
        <v>0.47199999999999998</v>
      </c>
      <c r="C9">
        <v>0.45700000000000002</v>
      </c>
      <c r="D9">
        <v>0.48399999999999999</v>
      </c>
      <c r="E9" s="10">
        <f t="shared" si="6"/>
        <v>0.47100000000000003</v>
      </c>
      <c r="F9" s="10">
        <f t="shared" si="7"/>
        <v>1.3527749258468665E-2</v>
      </c>
      <c r="G9" s="17">
        <v>0.442</v>
      </c>
      <c r="H9" s="17">
        <v>0.46400000000000002</v>
      </c>
      <c r="I9" s="17">
        <v>0.46400000000000002</v>
      </c>
      <c r="J9" s="10">
        <f t="shared" si="8"/>
        <v>0.45666666666666672</v>
      </c>
      <c r="K9" s="10">
        <f t="shared" si="9"/>
        <v>1.2701705922171777E-2</v>
      </c>
      <c r="M9" s="9">
        <f t="shared" si="0"/>
        <v>-0.7507762933965817</v>
      </c>
      <c r="N9" s="10">
        <f t="shared" si="1"/>
        <v>-0.78307188808793227</v>
      </c>
      <c r="O9" s="10">
        <f t="shared" si="2"/>
        <v>-0.72567037226550535</v>
      </c>
      <c r="P9" s="10">
        <f t="shared" si="10"/>
        <v>-0.75317285125000633</v>
      </c>
      <c r="Q9" s="11">
        <f t="shared" si="11"/>
        <v>2.8775703672311661E-2</v>
      </c>
      <c r="R9" s="10">
        <f t="shared" si="3"/>
        <v>-0.81644539690443896</v>
      </c>
      <c r="S9" s="10">
        <f t="shared" si="4"/>
        <v>-0.76787072675588175</v>
      </c>
      <c r="T9" s="10">
        <f t="shared" si="5"/>
        <v>-0.76787072675588175</v>
      </c>
      <c r="U9" s="10">
        <f t="shared" si="12"/>
        <v>-0.78406228347206752</v>
      </c>
      <c r="V9" s="12">
        <f t="shared" si="13"/>
        <v>2.8044598886066783E-2</v>
      </c>
      <c r="X9">
        <v>4.5</v>
      </c>
      <c r="Y9" s="11">
        <f t="shared" si="14"/>
        <v>0.60913495418138952</v>
      </c>
      <c r="Z9" s="11">
        <f t="shared" si="15"/>
        <v>0.53402275231855234</v>
      </c>
    </row>
    <row r="10" spans="1:43" x14ac:dyDescent="0.25">
      <c r="A10">
        <v>5.5</v>
      </c>
      <c r="B10">
        <v>0.60599999999999998</v>
      </c>
      <c r="C10">
        <v>0.63300000000000001</v>
      </c>
      <c r="D10">
        <v>0.64200000000000002</v>
      </c>
      <c r="E10" s="10">
        <f t="shared" si="6"/>
        <v>0.62699999999999989</v>
      </c>
      <c r="F10" s="10">
        <f t="shared" si="7"/>
        <v>1.8734993995195209E-2</v>
      </c>
      <c r="G10">
        <v>0.627</v>
      </c>
      <c r="H10">
        <v>0.63200000000000001</v>
      </c>
      <c r="I10">
        <v>0.65300000000000002</v>
      </c>
      <c r="J10" s="10">
        <f t="shared" si="8"/>
        <v>0.63733333333333331</v>
      </c>
      <c r="K10" s="10">
        <f t="shared" si="9"/>
        <v>1.3796134724383263E-2</v>
      </c>
      <c r="M10" s="9">
        <f t="shared" si="0"/>
        <v>-0.50087529291282262</v>
      </c>
      <c r="N10" s="10">
        <f t="shared" si="1"/>
        <v>-0.45728485683796083</v>
      </c>
      <c r="O10" s="10">
        <f t="shared" si="2"/>
        <v>-0.44316697529217586</v>
      </c>
      <c r="P10" s="10">
        <f t="shared" si="10"/>
        <v>-0.46710904168098644</v>
      </c>
      <c r="Q10" s="11">
        <f t="shared" si="11"/>
        <v>3.0082360886802304E-2</v>
      </c>
      <c r="R10" s="10">
        <f t="shared" si="3"/>
        <v>-0.46680873834921638</v>
      </c>
      <c r="S10" s="10">
        <f t="shared" si="4"/>
        <v>-0.45886588483527962</v>
      </c>
      <c r="T10" s="10">
        <f t="shared" si="5"/>
        <v>-0.42617814970570594</v>
      </c>
      <c r="U10" s="10">
        <f t="shared" si="12"/>
        <v>-0.45061759096340065</v>
      </c>
      <c r="V10" s="12">
        <f t="shared" si="13"/>
        <v>2.1534552403688286E-2</v>
      </c>
      <c r="X10">
        <v>5.5</v>
      </c>
      <c r="Y10" s="11">
        <f t="shared" si="14"/>
        <v>0.81088665875102151</v>
      </c>
      <c r="Z10" s="11">
        <f t="shared" si="15"/>
        <v>0.7452930674693955</v>
      </c>
    </row>
    <row r="11" spans="1:43" x14ac:dyDescent="0.25">
      <c r="A11">
        <v>6.5</v>
      </c>
      <c r="B11">
        <v>0.80200000000000005</v>
      </c>
      <c r="C11">
        <v>0.79500000000000004</v>
      </c>
      <c r="D11">
        <v>0.80700000000000005</v>
      </c>
      <c r="E11" s="10">
        <f t="shared" si="6"/>
        <v>0.80133333333333334</v>
      </c>
      <c r="F11" s="10">
        <f t="shared" si="7"/>
        <v>6.0277137733417132E-3</v>
      </c>
      <c r="G11">
        <v>0.83699999999999997</v>
      </c>
      <c r="H11">
        <v>0.86199999999999999</v>
      </c>
      <c r="I11">
        <v>0.85099999999999998</v>
      </c>
      <c r="J11" s="10">
        <f t="shared" si="8"/>
        <v>0.85</v>
      </c>
      <c r="K11" s="10">
        <f t="shared" si="9"/>
        <v>1.252996408614168E-2</v>
      </c>
      <c r="M11" s="9">
        <f t="shared" si="0"/>
        <v>-0.2206466711156225</v>
      </c>
      <c r="N11" s="10">
        <f t="shared" si="1"/>
        <v>-0.22941316432780509</v>
      </c>
      <c r="O11" s="10">
        <f t="shared" si="2"/>
        <v>-0.21443161071218819</v>
      </c>
      <c r="P11" s="10">
        <f t="shared" si="10"/>
        <v>-0.22149714871853857</v>
      </c>
      <c r="Q11" s="11">
        <f t="shared" si="11"/>
        <v>7.526899846497054E-3</v>
      </c>
      <c r="R11" s="10">
        <f t="shared" si="3"/>
        <v>-0.17793120849266178</v>
      </c>
      <c r="S11" s="10">
        <f t="shared" si="4"/>
        <v>-0.14850000831844395</v>
      </c>
      <c r="T11" s="10">
        <f t="shared" si="5"/>
        <v>-0.16134315040876293</v>
      </c>
      <c r="U11" s="10">
        <f t="shared" si="12"/>
        <v>-0.16259145573995623</v>
      </c>
      <c r="V11" s="12">
        <f t="shared" si="13"/>
        <v>1.4755256201558618E-2</v>
      </c>
      <c r="X11">
        <v>6.5</v>
      </c>
      <c r="Y11" s="11">
        <f t="shared" si="14"/>
        <v>1.036348499541444</v>
      </c>
      <c r="Z11" s="11">
        <f t="shared" si="15"/>
        <v>0.99398395504548021</v>
      </c>
    </row>
    <row r="12" spans="1:43" x14ac:dyDescent="0.25">
      <c r="A12">
        <v>7.5</v>
      </c>
      <c r="B12">
        <v>0.878</v>
      </c>
      <c r="C12">
        <v>0.88100000000000001</v>
      </c>
      <c r="D12">
        <v>0.89800000000000002</v>
      </c>
      <c r="E12" s="10">
        <f t="shared" si="6"/>
        <v>0.88566666666666671</v>
      </c>
      <c r="F12" s="10">
        <f t="shared" si="7"/>
        <v>1.0785793124908967E-2</v>
      </c>
      <c r="G12">
        <v>0.98099999999999998</v>
      </c>
      <c r="H12">
        <v>1.006</v>
      </c>
      <c r="I12">
        <v>1.008</v>
      </c>
      <c r="J12" s="10">
        <f t="shared" si="8"/>
        <v>0.99833333333333341</v>
      </c>
      <c r="K12" s="10">
        <f t="shared" si="9"/>
        <v>1.5044378795195691E-2</v>
      </c>
      <c r="M12" s="9">
        <f t="shared" si="0"/>
        <v>-0.13010868534702039</v>
      </c>
      <c r="N12" s="10">
        <f t="shared" si="1"/>
        <v>-0.12669765304595754</v>
      </c>
      <c r="O12" s="10">
        <f t="shared" si="2"/>
        <v>-0.10758521067993743</v>
      </c>
      <c r="P12" s="10">
        <f t="shared" si="10"/>
        <v>-0.12146384969097179</v>
      </c>
      <c r="Q12" s="11">
        <f t="shared" si="11"/>
        <v>1.2139656129342258E-2</v>
      </c>
      <c r="R12" s="10">
        <f t="shared" si="3"/>
        <v>-1.9182819416773987E-2</v>
      </c>
      <c r="S12" s="10">
        <f t="shared" si="4"/>
        <v>5.9820716775474689E-3</v>
      </c>
      <c r="T12" s="10">
        <f t="shared" si="5"/>
        <v>7.9681696491768813E-3</v>
      </c>
      <c r="U12" s="10">
        <f t="shared" si="12"/>
        <v>-1.7441926966832125E-3</v>
      </c>
      <c r="V12" s="12">
        <f t="shared" si="13"/>
        <v>1.5134907422915594E-2</v>
      </c>
      <c r="X12">
        <v>7.5</v>
      </c>
      <c r="Y12" s="11">
        <f t="shared" si="14"/>
        <v>1.1454151261570786</v>
      </c>
      <c r="Z12" s="11">
        <f t="shared" si="15"/>
        <v>1.1674439001416526</v>
      </c>
    </row>
    <row r="13" spans="1:43" ht="15.75" thickBot="1" x14ac:dyDescent="0.3">
      <c r="A13">
        <v>8.5</v>
      </c>
      <c r="B13">
        <v>0.90400000000000003</v>
      </c>
      <c r="C13">
        <v>0.88</v>
      </c>
      <c r="D13">
        <v>0.89400000000000002</v>
      </c>
      <c r="E13" s="10">
        <f t="shared" si="6"/>
        <v>0.89266666666666661</v>
      </c>
      <c r="F13" s="10">
        <f t="shared" si="7"/>
        <v>1.2055427546683426E-2</v>
      </c>
      <c r="G13">
        <v>1.1000000000000001</v>
      </c>
      <c r="H13">
        <v>1.075</v>
      </c>
      <c r="I13">
        <v>1.087</v>
      </c>
      <c r="J13" s="10">
        <f t="shared" si="8"/>
        <v>1.0873333333333333</v>
      </c>
      <c r="K13" s="10">
        <f t="shared" si="9"/>
        <v>1.2503332889007436E-2</v>
      </c>
      <c r="M13" s="13">
        <f t="shared" si="0"/>
        <v>-0.10092591858996053</v>
      </c>
      <c r="N13" s="14">
        <f t="shared" si="1"/>
        <v>-0.12783337150988489</v>
      </c>
      <c r="O13" s="14">
        <f t="shared" si="2"/>
        <v>-0.11204950380862289</v>
      </c>
      <c r="P13" s="14">
        <f t="shared" si="10"/>
        <v>-0.11360293130282277</v>
      </c>
      <c r="Q13" s="15">
        <f t="shared" si="11"/>
        <v>1.3520821291411574E-2</v>
      </c>
      <c r="R13" s="14">
        <f t="shared" si="3"/>
        <v>9.5310179804324935E-2</v>
      </c>
      <c r="S13" s="14">
        <f t="shared" si="4"/>
        <v>7.2320661579626078E-2</v>
      </c>
      <c r="T13" s="14">
        <f t="shared" si="5"/>
        <v>8.3421608139072359E-2</v>
      </c>
      <c r="U13" s="14">
        <f t="shared" si="12"/>
        <v>8.3684149841007791E-2</v>
      </c>
      <c r="V13" s="16">
        <f t="shared" si="13"/>
        <v>1.1497007574142213E-2</v>
      </c>
      <c r="X13">
        <v>8.5</v>
      </c>
      <c r="Y13" s="11">
        <f t="shared" si="14"/>
        <v>1.1544680872595618</v>
      </c>
      <c r="Z13" s="11">
        <f t="shared" si="15"/>
        <v>1.2715198671993557</v>
      </c>
    </row>
    <row r="15" spans="1:43" x14ac:dyDescent="0.25">
      <c r="A15" t="s">
        <v>7</v>
      </c>
      <c r="B15" s="33" t="s">
        <v>15</v>
      </c>
      <c r="C15" s="33" t="s">
        <v>16</v>
      </c>
      <c r="D15" s="33" t="s">
        <v>17</v>
      </c>
      <c r="E15" s="33" t="s">
        <v>18</v>
      </c>
      <c r="F15" s="33" t="s">
        <v>19</v>
      </c>
      <c r="G15" s="33" t="s">
        <v>20</v>
      </c>
      <c r="H15" s="33" t="s">
        <v>21</v>
      </c>
      <c r="I15" s="33" t="s">
        <v>22</v>
      </c>
      <c r="J15" s="33" t="s">
        <v>23</v>
      </c>
      <c r="K15" s="33" t="s">
        <v>24</v>
      </c>
      <c r="L15" s="33" t="s">
        <v>25</v>
      </c>
      <c r="M15" s="33" t="s">
        <v>26</v>
      </c>
      <c r="N15" s="33" t="s">
        <v>27</v>
      </c>
      <c r="O15" s="33" t="s">
        <v>28</v>
      </c>
      <c r="P15" s="33" t="s">
        <v>29</v>
      </c>
      <c r="Q15" s="33" t="s">
        <v>30</v>
      </c>
      <c r="R15" s="33" t="s">
        <v>31</v>
      </c>
      <c r="S15" s="33" t="s">
        <v>32</v>
      </c>
      <c r="T15" s="33" t="s">
        <v>33</v>
      </c>
      <c r="U15" s="33" t="s">
        <v>34</v>
      </c>
      <c r="V15" s="33" t="s">
        <v>35</v>
      </c>
      <c r="W15" s="32" t="s">
        <v>36</v>
      </c>
      <c r="X15" s="32" t="s">
        <v>37</v>
      </c>
      <c r="Y15" s="32" t="s">
        <v>38</v>
      </c>
      <c r="Z15" s="32" t="s">
        <v>39</v>
      </c>
      <c r="AA15" s="32" t="s">
        <v>40</v>
      </c>
      <c r="AB15" s="32" t="s">
        <v>41</v>
      </c>
      <c r="AC15" s="32" t="s">
        <v>42</v>
      </c>
      <c r="AD15" s="32" t="s">
        <v>43</v>
      </c>
      <c r="AE15" s="32" t="s">
        <v>44</v>
      </c>
      <c r="AF15" s="32" t="s">
        <v>45</v>
      </c>
      <c r="AG15" s="32" t="s">
        <v>46</v>
      </c>
      <c r="AH15" s="32" t="s">
        <v>47</v>
      </c>
      <c r="AI15" s="32" t="s">
        <v>48</v>
      </c>
      <c r="AJ15" s="32" t="s">
        <v>49</v>
      </c>
      <c r="AK15" s="32" t="s">
        <v>50</v>
      </c>
      <c r="AL15" s="32" t="s">
        <v>51</v>
      </c>
      <c r="AM15" s="32" t="s">
        <v>52</v>
      </c>
      <c r="AN15" s="32" t="s">
        <v>53</v>
      </c>
      <c r="AO15" s="32" t="s">
        <v>54</v>
      </c>
      <c r="AP15" s="32" t="s">
        <v>55</v>
      </c>
      <c r="AQ15" s="32" t="s">
        <v>56</v>
      </c>
    </row>
    <row r="16" spans="1:43" x14ac:dyDescent="0.25">
      <c r="A16" t="s">
        <v>0</v>
      </c>
      <c r="B16" s="1">
        <v>98538112</v>
      </c>
      <c r="C16" s="1">
        <v>93900008</v>
      </c>
      <c r="D16" s="1">
        <v>99787032</v>
      </c>
      <c r="E16" s="1">
        <v>79945384</v>
      </c>
      <c r="F16" s="1">
        <v>81119176</v>
      </c>
      <c r="G16" s="1">
        <v>81179016</v>
      </c>
      <c r="H16" s="1">
        <v>73931288</v>
      </c>
      <c r="I16" s="1">
        <v>70418472</v>
      </c>
      <c r="J16" s="1">
        <v>78025920</v>
      </c>
      <c r="K16" s="1">
        <v>59830308</v>
      </c>
      <c r="L16" s="1">
        <v>52844276</v>
      </c>
      <c r="M16" s="1">
        <v>53571340</v>
      </c>
      <c r="N16" s="1">
        <v>29866840</v>
      </c>
      <c r="O16" s="1">
        <v>23912882</v>
      </c>
      <c r="P16" s="1">
        <v>24598838</v>
      </c>
      <c r="Q16" s="1">
        <v>593209.56000000006</v>
      </c>
      <c r="R16" s="1">
        <v>349877.91</v>
      </c>
      <c r="S16" s="1">
        <v>337677.34</v>
      </c>
      <c r="T16" s="1">
        <v>196185.77</v>
      </c>
      <c r="U16" s="1">
        <v>182989.5</v>
      </c>
      <c r="V16" s="1">
        <v>172513.09</v>
      </c>
      <c r="W16" s="1">
        <v>108789816</v>
      </c>
      <c r="X16" s="1">
        <v>102215864</v>
      </c>
      <c r="Y16" s="1">
        <v>108795232</v>
      </c>
      <c r="Z16" s="1">
        <v>91917656</v>
      </c>
      <c r="AA16" s="1">
        <v>98618688</v>
      </c>
      <c r="AB16" s="1">
        <v>87747464</v>
      </c>
      <c r="AC16" s="1">
        <v>87679432</v>
      </c>
      <c r="AD16" s="1">
        <v>96696936</v>
      </c>
      <c r="AE16" s="1">
        <v>82240480</v>
      </c>
      <c r="AF16" s="1">
        <v>81533416</v>
      </c>
      <c r="AG16" s="1">
        <v>77930744</v>
      </c>
      <c r="AH16" s="1">
        <v>85636728</v>
      </c>
      <c r="AI16" s="1">
        <v>72918880</v>
      </c>
      <c r="AJ16" s="1">
        <v>68332232</v>
      </c>
      <c r="AK16" s="1">
        <v>79202608</v>
      </c>
      <c r="AL16" s="1">
        <v>53343908</v>
      </c>
      <c r="AM16" s="1">
        <v>50603824</v>
      </c>
      <c r="AN16" s="1">
        <v>52096692</v>
      </c>
      <c r="AO16" s="1">
        <v>36751596</v>
      </c>
      <c r="AP16" s="1">
        <v>34215356</v>
      </c>
      <c r="AQ16" s="1">
        <v>36522452</v>
      </c>
    </row>
    <row r="17" spans="1:43" x14ac:dyDescent="0.25">
      <c r="A17" t="s">
        <v>1</v>
      </c>
      <c r="B17" s="1">
        <v>5969705.5</v>
      </c>
      <c r="C17" s="1">
        <v>5698056</v>
      </c>
      <c r="D17" s="1">
        <v>6175576</v>
      </c>
      <c r="E17" s="1">
        <v>4765449.5</v>
      </c>
      <c r="F17" s="1">
        <v>4899502</v>
      </c>
      <c r="G17" s="1">
        <v>5057870.5</v>
      </c>
      <c r="H17" s="1">
        <v>4437520</v>
      </c>
      <c r="I17" s="1">
        <v>4466912</v>
      </c>
      <c r="J17" s="1">
        <v>4809791.5</v>
      </c>
      <c r="K17" s="1">
        <v>3715515</v>
      </c>
      <c r="L17" s="1">
        <v>3163750</v>
      </c>
      <c r="M17" s="1">
        <v>3221878</v>
      </c>
      <c r="N17" s="1">
        <v>1848287.62</v>
      </c>
      <c r="O17" s="1">
        <v>1418662.62</v>
      </c>
      <c r="P17" s="1">
        <v>1424899.38</v>
      </c>
      <c r="Q17" s="1">
        <v>31627.279999999999</v>
      </c>
      <c r="R17" s="1">
        <v>27585.71</v>
      </c>
      <c r="S17" s="1">
        <v>12741.38</v>
      </c>
      <c r="T17" s="1">
        <v>11236.24</v>
      </c>
      <c r="U17" s="1">
        <v>8208.82</v>
      </c>
      <c r="V17" s="1">
        <v>8545.4500000000007</v>
      </c>
      <c r="W17" s="1">
        <v>6858482</v>
      </c>
      <c r="X17" s="1">
        <v>6683541.5</v>
      </c>
      <c r="Y17" s="1">
        <v>6634842.5</v>
      </c>
      <c r="Z17" s="1">
        <v>5946106.5</v>
      </c>
      <c r="AA17" s="1">
        <v>5956574</v>
      </c>
      <c r="AB17" s="1">
        <v>5400238.5</v>
      </c>
      <c r="AC17" s="1">
        <v>5605412</v>
      </c>
      <c r="AD17" s="1">
        <v>5978951.5</v>
      </c>
      <c r="AE17" s="1">
        <v>5279970.5</v>
      </c>
      <c r="AF17" s="1">
        <v>5095772</v>
      </c>
      <c r="AG17" s="1">
        <v>4911033</v>
      </c>
      <c r="AH17" s="1">
        <v>5235596</v>
      </c>
      <c r="AI17" s="1">
        <v>4538499</v>
      </c>
      <c r="AJ17" s="1">
        <v>4372707.5</v>
      </c>
      <c r="AK17" s="1">
        <v>4882346</v>
      </c>
      <c r="AL17" s="1">
        <v>3368991.25</v>
      </c>
      <c r="AM17" s="1">
        <v>3149826</v>
      </c>
      <c r="AN17" s="1">
        <v>3395284.75</v>
      </c>
      <c r="AO17" s="1">
        <v>2209912.75</v>
      </c>
      <c r="AP17" s="1">
        <v>2099401</v>
      </c>
      <c r="AQ17" s="1">
        <v>2170822.75</v>
      </c>
    </row>
    <row r="18" spans="1:43" x14ac:dyDescent="0.25">
      <c r="A18" t="s">
        <v>2</v>
      </c>
      <c r="B18" s="1">
        <v>1091207.6200000001</v>
      </c>
      <c r="C18" s="1">
        <v>992411.69</v>
      </c>
      <c r="D18" s="1">
        <v>1047415.31</v>
      </c>
      <c r="E18" s="1">
        <v>939659.25</v>
      </c>
      <c r="F18" s="1">
        <v>830104</v>
      </c>
      <c r="G18" s="1">
        <v>954092.19</v>
      </c>
      <c r="H18" s="1">
        <v>814146.19</v>
      </c>
      <c r="I18" s="1">
        <v>675168.62</v>
      </c>
      <c r="J18" s="1">
        <v>808168.56</v>
      </c>
      <c r="K18" s="1">
        <v>613304.68999999994</v>
      </c>
      <c r="L18" s="1">
        <v>589611.31000000006</v>
      </c>
      <c r="M18" s="1">
        <v>579737.18999999994</v>
      </c>
      <c r="N18" s="1">
        <v>334825.15999999997</v>
      </c>
      <c r="O18" s="1">
        <v>250279</v>
      </c>
      <c r="P18" s="1">
        <v>265143.5</v>
      </c>
      <c r="Q18" s="1">
        <v>3471.71</v>
      </c>
      <c r="R18" s="1">
        <v>7747.59</v>
      </c>
      <c r="S18" s="1">
        <v>0</v>
      </c>
      <c r="T18" s="1">
        <v>0</v>
      </c>
      <c r="U18" s="1">
        <v>0</v>
      </c>
      <c r="V18" s="1">
        <v>0</v>
      </c>
      <c r="W18" s="1">
        <v>1153681.1200000001</v>
      </c>
      <c r="X18" s="1">
        <v>1136363</v>
      </c>
      <c r="Y18" s="1">
        <v>1154738.5</v>
      </c>
      <c r="Z18" s="1">
        <v>943405.5</v>
      </c>
      <c r="AA18" s="1">
        <v>1054741.75</v>
      </c>
      <c r="AB18" s="1">
        <v>955889.69</v>
      </c>
      <c r="AC18" s="1">
        <v>951667.19</v>
      </c>
      <c r="AD18" s="1">
        <v>858657.06</v>
      </c>
      <c r="AE18" s="1">
        <v>870827.44</v>
      </c>
      <c r="AF18" s="1">
        <v>846619.5</v>
      </c>
      <c r="AG18" s="1">
        <v>796223.25</v>
      </c>
      <c r="AH18" s="1">
        <v>902201.81</v>
      </c>
      <c r="AI18" s="1">
        <v>784631.31</v>
      </c>
      <c r="AJ18" s="1">
        <v>725090.31</v>
      </c>
      <c r="AK18" s="1">
        <v>852554</v>
      </c>
      <c r="AL18" s="1">
        <v>550697.68999999994</v>
      </c>
      <c r="AM18" s="1">
        <v>563977.06000000006</v>
      </c>
      <c r="AN18" s="1">
        <v>636645.5</v>
      </c>
      <c r="AO18" s="1">
        <v>403217.34</v>
      </c>
      <c r="AP18" s="1">
        <v>350169</v>
      </c>
      <c r="AQ18" s="1">
        <v>341777.72</v>
      </c>
    </row>
    <row r="19" spans="1:43" x14ac:dyDescent="0.25">
      <c r="A19" t="s">
        <v>3</v>
      </c>
      <c r="B19" s="1">
        <v>92675.21</v>
      </c>
      <c r="C19" s="1">
        <v>68017.48</v>
      </c>
      <c r="D19" s="1">
        <v>86104.07</v>
      </c>
      <c r="E19" s="1">
        <v>41728.89</v>
      </c>
      <c r="F19" s="1">
        <v>61446.11</v>
      </c>
      <c r="G19" s="1">
        <v>50459.27</v>
      </c>
      <c r="H19" s="1">
        <v>34947.56</v>
      </c>
      <c r="I19" s="1">
        <v>56436.97</v>
      </c>
      <c r="J19" s="1">
        <v>24073.22</v>
      </c>
      <c r="K19" s="1">
        <v>27388.41</v>
      </c>
      <c r="L19" s="1">
        <v>43618.86</v>
      </c>
      <c r="M19" s="1">
        <v>42920.63</v>
      </c>
      <c r="N19" s="1">
        <v>9067.98</v>
      </c>
      <c r="O19" s="1">
        <v>7850.87</v>
      </c>
      <c r="P19" s="1">
        <v>19208.810000000001</v>
      </c>
      <c r="Q19" s="1">
        <v>4209.47</v>
      </c>
      <c r="R19" s="1">
        <v>3451.3</v>
      </c>
      <c r="S19" s="1">
        <v>6134.3</v>
      </c>
      <c r="T19" s="1">
        <v>7359.6</v>
      </c>
      <c r="U19" s="1">
        <v>5327.72</v>
      </c>
      <c r="V19" s="1">
        <v>7747.99</v>
      </c>
      <c r="W19" s="1">
        <v>76060.67</v>
      </c>
      <c r="X19" s="1">
        <v>55382.93</v>
      </c>
      <c r="Y19" s="1">
        <v>88987.46</v>
      </c>
      <c r="Z19" s="1">
        <v>45029.99</v>
      </c>
      <c r="AA19" s="1">
        <v>87106.46</v>
      </c>
      <c r="AB19" s="1">
        <v>88591.94</v>
      </c>
      <c r="AC19" s="1">
        <v>75743.13</v>
      </c>
      <c r="AD19" s="1">
        <v>59726.89</v>
      </c>
      <c r="AE19" s="1">
        <v>46949.69</v>
      </c>
      <c r="AF19" s="1">
        <v>71248.45</v>
      </c>
      <c r="AG19" s="1">
        <v>43134.78</v>
      </c>
      <c r="AH19" s="1">
        <v>52771.53</v>
      </c>
      <c r="AI19" s="1">
        <v>33230.85</v>
      </c>
      <c r="AJ19" s="1">
        <v>45751.75</v>
      </c>
      <c r="AK19" s="1">
        <v>70765.570000000007</v>
      </c>
      <c r="AL19" s="1">
        <v>29138.26</v>
      </c>
      <c r="AM19" s="1">
        <v>31752.65</v>
      </c>
      <c r="AN19" s="1">
        <v>18356.21</v>
      </c>
      <c r="AO19" s="1">
        <v>26285.35</v>
      </c>
      <c r="AP19" s="1">
        <v>12099.32</v>
      </c>
      <c r="AQ19" s="1">
        <v>14409.09</v>
      </c>
    </row>
    <row r="20" spans="1:43" x14ac:dyDescent="0.25">
      <c r="A20" t="s">
        <v>4</v>
      </c>
      <c r="B20" s="1">
        <v>136751.19</v>
      </c>
      <c r="C20" s="1">
        <v>124140.1</v>
      </c>
      <c r="D20" s="1">
        <v>155042.70000000001</v>
      </c>
      <c r="E20" s="1">
        <v>134225.04999999999</v>
      </c>
      <c r="F20" s="1">
        <v>130432.63</v>
      </c>
      <c r="G20" s="1">
        <v>169138.92</v>
      </c>
      <c r="H20" s="1">
        <v>170760.23</v>
      </c>
      <c r="I20" s="1">
        <v>173796.7</v>
      </c>
      <c r="J20" s="1">
        <v>188912.17</v>
      </c>
      <c r="K20" s="1">
        <v>200041.55</v>
      </c>
      <c r="L20" s="1">
        <v>210523.27</v>
      </c>
      <c r="M20" s="1">
        <v>211387.25</v>
      </c>
      <c r="N20" s="1">
        <v>216657.7</v>
      </c>
      <c r="O20" s="1">
        <v>225642.31</v>
      </c>
      <c r="P20" s="1">
        <v>237075.75</v>
      </c>
      <c r="Q20" s="1">
        <v>287166.71999999997</v>
      </c>
      <c r="R20" s="1">
        <v>311053.78000000003</v>
      </c>
      <c r="S20" s="1">
        <v>273902.46999999997</v>
      </c>
      <c r="T20" s="1">
        <v>259240.3</v>
      </c>
      <c r="U20" s="1">
        <v>247030.89</v>
      </c>
      <c r="V20" s="1">
        <v>251695.25</v>
      </c>
      <c r="W20" s="1">
        <v>144832.72</v>
      </c>
      <c r="X20" s="1">
        <v>141817.34</v>
      </c>
      <c r="Y20" s="1">
        <v>134454.73000000001</v>
      </c>
      <c r="Z20" s="1">
        <v>149591.25</v>
      </c>
      <c r="AA20" s="1">
        <v>156727.06</v>
      </c>
      <c r="AB20" s="1">
        <v>128613</v>
      </c>
      <c r="AC20" s="1">
        <v>160172.12</v>
      </c>
      <c r="AD20" s="1">
        <v>165598.04999999999</v>
      </c>
      <c r="AE20" s="1">
        <v>173310.7</v>
      </c>
      <c r="AF20" s="1">
        <v>182203.67</v>
      </c>
      <c r="AG20" s="1">
        <v>165323.88</v>
      </c>
      <c r="AH20" s="1">
        <v>166692.17000000001</v>
      </c>
      <c r="AI20" s="1">
        <v>190340.38</v>
      </c>
      <c r="AJ20" s="1">
        <v>166128.47</v>
      </c>
      <c r="AK20" s="1">
        <v>158004.82999999999</v>
      </c>
      <c r="AL20" s="1">
        <v>204435.52</v>
      </c>
      <c r="AM20" s="1">
        <v>205408</v>
      </c>
      <c r="AN20" s="1">
        <v>198469.12</v>
      </c>
      <c r="AO20" s="1">
        <v>228729.94</v>
      </c>
      <c r="AP20" s="1">
        <v>208534.48</v>
      </c>
      <c r="AQ20" s="1">
        <v>223102.95</v>
      </c>
    </row>
    <row r="21" spans="1:43" x14ac:dyDescent="0.25">
      <c r="A21" t="s">
        <v>5</v>
      </c>
      <c r="B21" s="1">
        <v>2879565.75</v>
      </c>
      <c r="C21" s="1">
        <v>2880841.75</v>
      </c>
      <c r="D21" s="1">
        <v>3110572.75</v>
      </c>
      <c r="E21" s="1">
        <v>3081613.25</v>
      </c>
      <c r="F21" s="1">
        <v>3483837.75</v>
      </c>
      <c r="G21" s="1">
        <v>3410702.75</v>
      </c>
      <c r="H21" s="1">
        <v>3553653.25</v>
      </c>
      <c r="I21" s="1">
        <v>3519856</v>
      </c>
      <c r="J21" s="1">
        <v>4145571.25</v>
      </c>
      <c r="K21" s="1">
        <v>4334980.5</v>
      </c>
      <c r="L21" s="1">
        <v>4111626</v>
      </c>
      <c r="M21" s="1">
        <v>4457736</v>
      </c>
      <c r="N21" s="1">
        <v>5033369.5</v>
      </c>
      <c r="O21" s="1">
        <v>5174355.5</v>
      </c>
      <c r="P21" s="1">
        <v>5287891.5</v>
      </c>
      <c r="Q21" s="1">
        <v>6308418</v>
      </c>
      <c r="R21" s="1">
        <v>6343942.5</v>
      </c>
      <c r="S21" s="1">
        <v>5406111.5</v>
      </c>
      <c r="T21" s="1">
        <v>6016984.5</v>
      </c>
      <c r="U21" s="1">
        <v>6052595.5</v>
      </c>
      <c r="V21" s="1">
        <v>6220409.5</v>
      </c>
      <c r="W21" s="1">
        <v>3210430</v>
      </c>
      <c r="X21" s="1">
        <v>3058360.75</v>
      </c>
      <c r="Y21" s="1">
        <v>3138057.25</v>
      </c>
      <c r="Z21" s="1">
        <v>3209988</v>
      </c>
      <c r="AA21" s="1">
        <v>3442825.25</v>
      </c>
      <c r="AB21" s="1">
        <v>3142024.75</v>
      </c>
      <c r="AC21" s="1">
        <v>3417744.75</v>
      </c>
      <c r="AD21" s="1">
        <v>3617176</v>
      </c>
      <c r="AE21" s="1">
        <v>3537055.25</v>
      </c>
      <c r="AF21" s="1">
        <v>3652549.75</v>
      </c>
      <c r="AG21" s="1">
        <v>3166471.25</v>
      </c>
      <c r="AH21" s="1">
        <v>3633430.75</v>
      </c>
      <c r="AI21" s="1">
        <v>4342028.5</v>
      </c>
      <c r="AJ21" s="1">
        <v>3926973</v>
      </c>
      <c r="AK21" s="1">
        <v>4124494.75</v>
      </c>
      <c r="AL21" s="1">
        <v>4311614</v>
      </c>
      <c r="AM21" s="1">
        <v>4493846.5</v>
      </c>
      <c r="AN21" s="1">
        <v>4275467.5</v>
      </c>
      <c r="AO21" s="1">
        <v>4764142</v>
      </c>
      <c r="AP21" s="1">
        <v>5133354.5</v>
      </c>
      <c r="AQ21" s="1">
        <v>5269158.5</v>
      </c>
    </row>
    <row r="22" spans="1:43" x14ac:dyDescent="0.25">
      <c r="A22" t="s">
        <v>6</v>
      </c>
      <c r="B22" s="1">
        <v>39413808</v>
      </c>
      <c r="C22" s="1">
        <v>38222724</v>
      </c>
      <c r="D22" s="1">
        <v>41541996</v>
      </c>
      <c r="E22" s="1">
        <v>42838964</v>
      </c>
      <c r="F22" s="1">
        <v>45924260</v>
      </c>
      <c r="G22" s="1">
        <v>45985364</v>
      </c>
      <c r="H22" s="1">
        <v>48389524</v>
      </c>
      <c r="I22" s="1">
        <v>50707236</v>
      </c>
      <c r="J22" s="1">
        <v>55278912</v>
      </c>
      <c r="K22" s="1">
        <v>56849680</v>
      </c>
      <c r="L22" s="1">
        <v>53685180</v>
      </c>
      <c r="M22" s="1">
        <v>58158044</v>
      </c>
      <c r="N22" s="1">
        <v>67198600</v>
      </c>
      <c r="O22" s="1">
        <v>67118488</v>
      </c>
      <c r="P22" s="1">
        <v>69671464</v>
      </c>
      <c r="Q22" s="1">
        <v>82646920</v>
      </c>
      <c r="R22" s="1">
        <v>85542512</v>
      </c>
      <c r="S22" s="1">
        <v>76110088</v>
      </c>
      <c r="T22" s="1">
        <v>81474024</v>
      </c>
      <c r="U22" s="1">
        <v>82364160</v>
      </c>
      <c r="V22" s="1">
        <v>82953368</v>
      </c>
      <c r="W22" s="1">
        <v>40475244</v>
      </c>
      <c r="X22" s="1">
        <v>41300932</v>
      </c>
      <c r="Y22" s="1">
        <v>42063092</v>
      </c>
      <c r="Z22" s="1">
        <v>43490740</v>
      </c>
      <c r="AA22" s="1">
        <v>45189132</v>
      </c>
      <c r="AB22" s="1">
        <v>44403020</v>
      </c>
      <c r="AC22" s="1">
        <v>45174732</v>
      </c>
      <c r="AD22" s="1">
        <v>46482820</v>
      </c>
      <c r="AE22" s="1">
        <v>47059392</v>
      </c>
      <c r="AF22" s="1">
        <v>47735328</v>
      </c>
      <c r="AG22" s="1">
        <v>47189420</v>
      </c>
      <c r="AH22" s="1">
        <v>47154284</v>
      </c>
      <c r="AI22" s="1">
        <v>55595904</v>
      </c>
      <c r="AJ22" s="1">
        <v>51503676</v>
      </c>
      <c r="AK22" s="1">
        <v>53204000</v>
      </c>
      <c r="AL22" s="1">
        <v>57373372</v>
      </c>
      <c r="AM22" s="1">
        <v>57215124</v>
      </c>
      <c r="AN22" s="1">
        <v>55352960</v>
      </c>
      <c r="AO22" s="1">
        <v>68035688</v>
      </c>
      <c r="AP22" s="1">
        <v>66515040</v>
      </c>
      <c r="AQ22" s="1">
        <v>67422952</v>
      </c>
    </row>
    <row r="23" spans="1:43" x14ac:dyDescent="0.25">
      <c r="A23" t="s">
        <v>8</v>
      </c>
      <c r="B23" s="2">
        <f>SUM(B16:B17)/SUM(B16:B22)</f>
        <v>0.70555313040128065</v>
      </c>
      <c r="C23" s="2">
        <f t="shared" ref="C23:AQ23" si="16">SUM(C16:C17)/SUM(C16:C22)</f>
        <v>0.70195737631931954</v>
      </c>
      <c r="D23" s="2">
        <f t="shared" si="16"/>
        <v>0.69756418647855611</v>
      </c>
      <c r="E23" s="2">
        <f t="shared" si="16"/>
        <v>0.64298100227735588</v>
      </c>
      <c r="F23" s="2">
        <f t="shared" si="16"/>
        <v>0.63041011843507611</v>
      </c>
      <c r="G23" s="2">
        <f t="shared" si="16"/>
        <v>0.63035598426953388</v>
      </c>
      <c r="H23" s="2">
        <f t="shared" si="16"/>
        <v>0.59672360076183484</v>
      </c>
      <c r="I23" s="2">
        <f t="shared" si="16"/>
        <v>0.57596220600501535</v>
      </c>
      <c r="J23" s="2">
        <f t="shared" si="16"/>
        <v>0.57813324798777532</v>
      </c>
      <c r="K23" s="2">
        <f t="shared" si="16"/>
        <v>0.50605404595256775</v>
      </c>
      <c r="L23" s="2">
        <f t="shared" si="16"/>
        <v>0.48851911940345</v>
      </c>
      <c r="M23" s="2">
        <f t="shared" si="16"/>
        <v>0.47232019874062559</v>
      </c>
      <c r="N23" s="2">
        <f t="shared" si="16"/>
        <v>0.30347183425407176</v>
      </c>
      <c r="O23" s="2">
        <f t="shared" si="16"/>
        <v>0.25820017970513309</v>
      </c>
      <c r="P23" s="2">
        <f t="shared" si="16"/>
        <v>0.25638008178357696</v>
      </c>
      <c r="Q23" s="2">
        <f t="shared" si="16"/>
        <v>6.9522857513771583E-3</v>
      </c>
      <c r="R23" s="2">
        <f t="shared" si="16"/>
        <v>4.076889850603573E-3</v>
      </c>
      <c r="S23" s="2">
        <f t="shared" si="16"/>
        <v>4.2657697996669221E-3</v>
      </c>
      <c r="T23" s="2">
        <f t="shared" si="16"/>
        <v>2.3580053236293766E-3</v>
      </c>
      <c r="U23" s="2">
        <f t="shared" si="16"/>
        <v>2.1516728308896855E-3</v>
      </c>
      <c r="V23" s="2">
        <f t="shared" si="16"/>
        <v>2.0204206456236984E-3</v>
      </c>
      <c r="W23" s="2">
        <f t="shared" si="16"/>
        <v>0.71961510766823999</v>
      </c>
      <c r="X23" s="2">
        <f t="shared" si="16"/>
        <v>0.70442986233118399</v>
      </c>
      <c r="Y23" s="2">
        <f t="shared" si="16"/>
        <v>0.71248996253639951</v>
      </c>
      <c r="Z23" s="2">
        <f t="shared" si="16"/>
        <v>0.67166830301771385</v>
      </c>
      <c r="AA23" s="2">
        <f t="shared" si="16"/>
        <v>0.67683715245037801</v>
      </c>
      <c r="AB23" s="2">
        <f t="shared" si="16"/>
        <v>0.6565900661188816</v>
      </c>
      <c r="AC23" s="2">
        <f t="shared" si="16"/>
        <v>0.65204562348958039</v>
      </c>
      <c r="AD23" s="2">
        <f t="shared" si="16"/>
        <v>0.66733379212527644</v>
      </c>
      <c r="AE23" s="2">
        <f t="shared" si="16"/>
        <v>0.62870280131813117</v>
      </c>
      <c r="AF23" s="2">
        <f t="shared" si="16"/>
        <v>0.62270680404814882</v>
      </c>
      <c r="AG23" s="2">
        <f t="shared" si="16"/>
        <v>0.6172900616213769</v>
      </c>
      <c r="AH23" s="2">
        <f t="shared" si="16"/>
        <v>0.63644235422855711</v>
      </c>
      <c r="AI23" s="2">
        <f t="shared" si="16"/>
        <v>0.55964893331836973</v>
      </c>
      <c r="AJ23" s="2">
        <f t="shared" si="16"/>
        <v>0.56328734818917925</v>
      </c>
      <c r="AK23" s="2">
        <f t="shared" si="16"/>
        <v>0.59009149698063867</v>
      </c>
      <c r="AL23" s="2">
        <f t="shared" si="16"/>
        <v>0.47585058712469991</v>
      </c>
      <c r="AM23" s="2">
        <f t="shared" si="16"/>
        <v>0.46234227095005925</v>
      </c>
      <c r="AN23" s="2">
        <f t="shared" si="16"/>
        <v>0.47848687225222963</v>
      </c>
      <c r="AO23" s="2">
        <f t="shared" si="16"/>
        <v>0.34657229405636614</v>
      </c>
      <c r="AP23" s="2">
        <f t="shared" si="16"/>
        <v>0.33459351254835834</v>
      </c>
      <c r="AQ23" s="2">
        <f t="shared" si="16"/>
        <v>0.34558466540044125</v>
      </c>
    </row>
    <row r="24" spans="1:43" x14ac:dyDescent="0.25">
      <c r="A24" t="s">
        <v>121</v>
      </c>
      <c r="B24" s="10">
        <v>0.5</v>
      </c>
    </row>
    <row r="25" spans="1:43" x14ac:dyDescent="0.25">
      <c r="A25" t="s">
        <v>122</v>
      </c>
      <c r="B25" s="2">
        <f>(B23/(1-B23))*$B$24</f>
        <v>1.1980992213685762</v>
      </c>
      <c r="C25" s="2">
        <f t="shared" ref="C25:AQ25" si="17">(C23/(1-C23))*$B$24</f>
        <v>1.1776123959225859</v>
      </c>
      <c r="D25" s="2">
        <f t="shared" si="17"/>
        <v>1.153243358245825</v>
      </c>
      <c r="E25" s="2">
        <f t="shared" si="17"/>
        <v>0.90048569737018014</v>
      </c>
      <c r="F25" s="2">
        <f t="shared" si="17"/>
        <v>0.85285088943152698</v>
      </c>
      <c r="G25" s="2">
        <f t="shared" si="17"/>
        <v>0.85265276515279975</v>
      </c>
      <c r="H25" s="2">
        <f t="shared" si="17"/>
        <v>0.73984443658135379</v>
      </c>
      <c r="I25" s="2">
        <f t="shared" si="17"/>
        <v>0.67914017825947326</v>
      </c>
      <c r="J25" s="2">
        <f t="shared" si="17"/>
        <v>0.68520835693994486</v>
      </c>
      <c r="K25" s="2">
        <f t="shared" si="17"/>
        <v>0.51225649466902279</v>
      </c>
      <c r="L25" s="2">
        <f t="shared" si="17"/>
        <v>0.47755364661302752</v>
      </c>
      <c r="M25" s="2">
        <f t="shared" si="17"/>
        <v>0.44754432291455332</v>
      </c>
      <c r="N25" s="2">
        <f t="shared" si="17"/>
        <v>0.21784606077564481</v>
      </c>
      <c r="O25" s="2">
        <f t="shared" si="17"/>
        <v>0.17403629162548059</v>
      </c>
      <c r="P25" s="2">
        <f t="shared" si="17"/>
        <v>0.17238650788060261</v>
      </c>
      <c r="Q25" s="2">
        <f t="shared" si="17"/>
        <v>3.5004792074052144E-3</v>
      </c>
      <c r="R25" s="2">
        <f t="shared" si="17"/>
        <v>2.046789460479538E-3</v>
      </c>
      <c r="S25" s="2">
        <f t="shared" si="17"/>
        <v>2.1420222737590765E-3</v>
      </c>
      <c r="T25" s="2">
        <f t="shared" si="17"/>
        <v>1.1817893273399643E-3</v>
      </c>
      <c r="U25" s="2">
        <f t="shared" si="17"/>
        <v>1.0781562549661071E-3</v>
      </c>
      <c r="V25" s="2">
        <f t="shared" si="17"/>
        <v>1.0122555047322565E-3</v>
      </c>
      <c r="W25" s="2">
        <f>(W23/(1-W23))*$B$24</f>
        <v>1.2832629848272448</v>
      </c>
      <c r="X25" s="2">
        <f t="shared" si="17"/>
        <v>1.1916458609233589</v>
      </c>
      <c r="Y25" s="2">
        <f t="shared" si="17"/>
        <v>1.2390697187860833</v>
      </c>
      <c r="Z25" s="2">
        <f>(Z23/(1-Z23))*$B$24</f>
        <v>1.0228502291905601</v>
      </c>
      <c r="AA25" s="2">
        <f t="shared" si="17"/>
        <v>1.0472075574009927</v>
      </c>
      <c r="AB25" s="2">
        <f t="shared" si="17"/>
        <v>0.95598583695336525</v>
      </c>
      <c r="AC25" s="2">
        <f t="shared" si="17"/>
        <v>0.93696999880967824</v>
      </c>
      <c r="AD25" s="2">
        <f t="shared" si="17"/>
        <v>1.0030080848737468</v>
      </c>
      <c r="AE25" s="2">
        <f t="shared" si="17"/>
        <v>0.84663014365590461</v>
      </c>
      <c r="AF25" s="2">
        <f t="shared" si="17"/>
        <v>0.82522930539094119</v>
      </c>
      <c r="AG25" s="2">
        <f t="shared" si="17"/>
        <v>0.80647247395320931</v>
      </c>
      <c r="AH25" s="2">
        <f t="shared" si="17"/>
        <v>0.87529771637462428</v>
      </c>
      <c r="AI25" s="2">
        <f t="shared" si="17"/>
        <v>0.6354576787286299</v>
      </c>
      <c r="AJ25" s="2">
        <f t="shared" si="17"/>
        <v>0.6449175972501815</v>
      </c>
      <c r="AK25" s="2">
        <f t="shared" si="17"/>
        <v>0.719784406317581</v>
      </c>
      <c r="AL25" s="2">
        <f t="shared" si="17"/>
        <v>0.45392647157072086</v>
      </c>
      <c r="AM25" s="2">
        <f t="shared" si="17"/>
        <v>0.42995966203911323</v>
      </c>
      <c r="AN25" s="2">
        <f t="shared" si="17"/>
        <v>0.45874863622191464</v>
      </c>
      <c r="AO25" s="2">
        <f t="shared" si="17"/>
        <v>0.26519559157341749</v>
      </c>
      <c r="AP25" s="2">
        <f t="shared" si="17"/>
        <v>0.2514203865292754</v>
      </c>
      <c r="AQ25" s="2">
        <f t="shared" si="17"/>
        <v>0.26404077588730934</v>
      </c>
    </row>
    <row r="26" spans="1:43" x14ac:dyDescent="0.25">
      <c r="A26" t="s">
        <v>12</v>
      </c>
      <c r="B26" s="2">
        <v>186.11</v>
      </c>
    </row>
    <row r="27" spans="1:43" x14ac:dyDescent="0.25">
      <c r="A27" t="s">
        <v>11</v>
      </c>
      <c r="B27">
        <v>180.15600000000001</v>
      </c>
    </row>
    <row r="28" spans="1:43" x14ac:dyDescent="0.25">
      <c r="A28" t="s">
        <v>123</v>
      </c>
      <c r="B28" s="2">
        <f>B25*($B$27/$B$26)</f>
        <v>1.1597698314162441</v>
      </c>
      <c r="C28" s="2">
        <f t="shared" ref="C28:AQ28" si="18">C25*($B$27/$B$26)</f>
        <v>1.1399384170642597</v>
      </c>
      <c r="D28" s="2">
        <f t="shared" si="18"/>
        <v>1.1163489895660355</v>
      </c>
      <c r="E28" s="2">
        <f t="shared" si="18"/>
        <v>0.8716775095127729</v>
      </c>
      <c r="F28" s="2">
        <f t="shared" si="18"/>
        <v>0.82556662638453693</v>
      </c>
      <c r="G28" s="2">
        <f t="shared" si="18"/>
        <v>0.82537484046460585</v>
      </c>
      <c r="H28" s="2">
        <f t="shared" si="18"/>
        <v>0.7161754570778055</v>
      </c>
      <c r="I28" s="2">
        <f t="shared" si="18"/>
        <v>0.65741323923762107</v>
      </c>
      <c r="J28" s="2">
        <f t="shared" si="18"/>
        <v>0.66328728576042506</v>
      </c>
      <c r="K28" s="2">
        <f t="shared" si="18"/>
        <v>0.49586847054748517</v>
      </c>
      <c r="L28" s="2">
        <f t="shared" si="18"/>
        <v>0.46227583020373214</v>
      </c>
      <c r="M28" s="2">
        <f t="shared" si="18"/>
        <v>0.43322655977107233</v>
      </c>
      <c r="N28" s="2">
        <f t="shared" si="18"/>
        <v>0.21087676602599037</v>
      </c>
      <c r="O28" s="2">
        <f t="shared" si="18"/>
        <v>0.16846855168491795</v>
      </c>
      <c r="P28" s="2">
        <f t="shared" si="18"/>
        <v>0.16687154754574093</v>
      </c>
      <c r="Q28" s="2">
        <f t="shared" si="18"/>
        <v>3.3884924619273214E-3</v>
      </c>
      <c r="R28" s="2">
        <f t="shared" si="18"/>
        <v>1.9813089143095571E-3</v>
      </c>
      <c r="S28" s="2">
        <f t="shared" si="18"/>
        <v>2.0734950553508149E-3</v>
      </c>
      <c r="T28" s="2">
        <f t="shared" si="18"/>
        <v>1.1439817207901705E-3</v>
      </c>
      <c r="U28" s="2">
        <f t="shared" si="18"/>
        <v>1.043664060338907E-3</v>
      </c>
      <c r="V28" s="2">
        <f t="shared" si="18"/>
        <v>9.7987159588707969E-4</v>
      </c>
      <c r="W28" s="2">
        <f t="shared" si="18"/>
        <v>1.2422090499948262</v>
      </c>
      <c r="X28" s="2">
        <f t="shared" si="18"/>
        <v>1.1535229257993049</v>
      </c>
      <c r="Y28" s="2">
        <f t="shared" si="18"/>
        <v>1.1994296075311677</v>
      </c>
      <c r="Z28" s="2">
        <f t="shared" si="18"/>
        <v>0.99012737569208831</v>
      </c>
      <c r="AA28" s="2">
        <f t="shared" si="18"/>
        <v>1.0137054683312732</v>
      </c>
      <c r="AB28" s="2">
        <f t="shared" si="18"/>
        <v>0.92540209791075423</v>
      </c>
      <c r="AC28" s="2">
        <f t="shared" si="18"/>
        <v>0.90699461128126591</v>
      </c>
      <c r="AD28" s="2">
        <f t="shared" si="18"/>
        <v>0.97092001793839522</v>
      </c>
      <c r="AE28" s="2">
        <f t="shared" si="18"/>
        <v>0.8195448936675791</v>
      </c>
      <c r="AF28" s="2">
        <f t="shared" si="18"/>
        <v>0.79882870744189138</v>
      </c>
      <c r="AG28" s="2">
        <f t="shared" si="18"/>
        <v>0.78067194141913054</v>
      </c>
      <c r="AH28" s="2">
        <f t="shared" si="18"/>
        <v>0.84729533819347058</v>
      </c>
      <c r="AI28" s="2">
        <f t="shared" si="18"/>
        <v>0.61512822292748937</v>
      </c>
      <c r="AJ28" s="2">
        <f t="shared" si="18"/>
        <v>0.62428550131752025</v>
      </c>
      <c r="AK28" s="2">
        <f t="shared" si="18"/>
        <v>0.69675718394793473</v>
      </c>
      <c r="AL28" s="2">
        <f t="shared" si="18"/>
        <v>0.43940453179460959</v>
      </c>
      <c r="AM28" s="2">
        <f t="shared" si="18"/>
        <v>0.41620446442597647</v>
      </c>
      <c r="AN28" s="2">
        <f t="shared" si="18"/>
        <v>0.44407242656061069</v>
      </c>
      <c r="AO28" s="2">
        <f t="shared" si="18"/>
        <v>0.25671149855193487</v>
      </c>
      <c r="AP28" s="2">
        <f t="shared" si="18"/>
        <v>0.24337698756417248</v>
      </c>
      <c r="AQ28" s="2">
        <f t="shared" si="18"/>
        <v>0.25559362753615661</v>
      </c>
    </row>
    <row r="29" spans="1:43" x14ac:dyDescent="0.25">
      <c r="A29" t="s">
        <v>119</v>
      </c>
      <c r="B29" s="2">
        <v>50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25">
      <c r="A30" t="s">
        <v>120</v>
      </c>
      <c r="B30" s="2">
        <v>100</v>
      </c>
    </row>
    <row r="31" spans="1:43" x14ac:dyDescent="0.25">
      <c r="A31" t="s">
        <v>131</v>
      </c>
      <c r="B31" s="2">
        <f>B28*$B$29</f>
        <v>57.988491570812208</v>
      </c>
      <c r="C31" s="2">
        <f t="shared" ref="C31:V31" si="19">C28*$B$29</f>
        <v>56.996920853212984</v>
      </c>
      <c r="D31" s="2">
        <f t="shared" si="19"/>
        <v>55.817449478301775</v>
      </c>
      <c r="E31" s="2">
        <f t="shared" si="19"/>
        <v>43.583875475638642</v>
      </c>
      <c r="F31" s="2">
        <f t="shared" si="19"/>
        <v>41.278331319226844</v>
      </c>
      <c r="G31" s="2">
        <f t="shared" si="19"/>
        <v>41.268742023230296</v>
      </c>
      <c r="H31" s="2">
        <f t="shared" si="19"/>
        <v>35.808772853890275</v>
      </c>
      <c r="I31" s="2">
        <f t="shared" si="19"/>
        <v>32.870661961881055</v>
      </c>
      <c r="J31" s="2">
        <f t="shared" si="19"/>
        <v>33.164364288021254</v>
      </c>
      <c r="K31" s="2">
        <f t="shared" si="19"/>
        <v>24.793423527374259</v>
      </c>
      <c r="L31" s="2">
        <f t="shared" si="19"/>
        <v>23.113791510186608</v>
      </c>
      <c r="M31" s="2">
        <f t="shared" si="19"/>
        <v>21.661327988553616</v>
      </c>
      <c r="N31" s="2">
        <f t="shared" si="19"/>
        <v>10.543838301299518</v>
      </c>
      <c r="O31" s="2">
        <f t="shared" si="19"/>
        <v>8.4234275842458981</v>
      </c>
      <c r="P31" s="2">
        <f t="shared" si="19"/>
        <v>8.3435773772870458</v>
      </c>
      <c r="Q31" s="2">
        <f t="shared" si="19"/>
        <v>0.16942462309636608</v>
      </c>
      <c r="R31" s="2">
        <f t="shared" si="19"/>
        <v>9.9065445715477859E-2</v>
      </c>
      <c r="S31" s="2">
        <f t="shared" si="19"/>
        <v>0.10367475276754075</v>
      </c>
      <c r="T31" s="2">
        <f t="shared" si="19"/>
        <v>5.7199086039508525E-2</v>
      </c>
      <c r="U31" s="2">
        <f t="shared" si="19"/>
        <v>5.2183203016945345E-2</v>
      </c>
      <c r="V31" s="2">
        <f t="shared" si="19"/>
        <v>4.8993579794353988E-2</v>
      </c>
      <c r="W31" s="2">
        <f>W28*$B$30</f>
        <v>124.22090499948261</v>
      </c>
      <c r="X31" s="2">
        <f>X28*$B$30</f>
        <v>115.35229257993049</v>
      </c>
      <c r="Y31" s="2">
        <f t="shared" ref="Y31:AQ31" si="20">Y28*$B$30</f>
        <v>119.94296075311676</v>
      </c>
      <c r="Z31" s="2">
        <f t="shared" si="20"/>
        <v>99.012737569208838</v>
      </c>
      <c r="AA31" s="2">
        <f t="shared" si="20"/>
        <v>101.37054683312732</v>
      </c>
      <c r="AB31" s="2">
        <f t="shared" si="20"/>
        <v>92.540209791075426</v>
      </c>
      <c r="AC31" s="2">
        <f t="shared" si="20"/>
        <v>90.699461128126586</v>
      </c>
      <c r="AD31" s="2">
        <f t="shared" si="20"/>
        <v>97.092001793839529</v>
      </c>
      <c r="AE31" s="2">
        <f t="shared" si="20"/>
        <v>81.954489366757912</v>
      </c>
      <c r="AF31" s="2">
        <f t="shared" si="20"/>
        <v>79.882870744189134</v>
      </c>
      <c r="AG31" s="2">
        <f t="shared" si="20"/>
        <v>78.067194141913049</v>
      </c>
      <c r="AH31" s="2">
        <f t="shared" si="20"/>
        <v>84.729533819347054</v>
      </c>
      <c r="AI31" s="2">
        <f t="shared" si="20"/>
        <v>61.512822292748936</v>
      </c>
      <c r="AJ31" s="2">
        <f t="shared" si="20"/>
        <v>62.428550131752026</v>
      </c>
      <c r="AK31" s="2">
        <f t="shared" si="20"/>
        <v>69.675718394793478</v>
      </c>
      <c r="AL31" s="2">
        <f t="shared" si="20"/>
        <v>43.94045317946096</v>
      </c>
      <c r="AM31" s="2">
        <f t="shared" si="20"/>
        <v>41.620446442597647</v>
      </c>
      <c r="AN31" s="2">
        <f t="shared" si="20"/>
        <v>44.407242656061072</v>
      </c>
      <c r="AO31" s="2">
        <f t="shared" si="20"/>
        <v>25.671149855193487</v>
      </c>
      <c r="AP31" s="2">
        <f t="shared" si="20"/>
        <v>24.337698756417247</v>
      </c>
      <c r="AQ31" s="2">
        <f t="shared" si="20"/>
        <v>25.559362753615662</v>
      </c>
    </row>
    <row r="33" spans="1:11" ht="45" x14ac:dyDescent="0.25">
      <c r="A33" s="4" t="s">
        <v>14</v>
      </c>
      <c r="B33" s="34" t="s">
        <v>67</v>
      </c>
      <c r="C33" s="34" t="s">
        <v>137</v>
      </c>
      <c r="D33" s="34" t="s">
        <v>138</v>
      </c>
      <c r="E33" s="34" t="s">
        <v>139</v>
      </c>
      <c r="F33" s="6" t="s">
        <v>68</v>
      </c>
      <c r="G33" s="6" t="s">
        <v>140</v>
      </c>
      <c r="H33" s="6" t="s">
        <v>141</v>
      </c>
      <c r="I33" s="6" t="s">
        <v>142</v>
      </c>
      <c r="J33" s="6" t="s">
        <v>423</v>
      </c>
    </row>
    <row r="34" spans="1:11" x14ac:dyDescent="0.25">
      <c r="A34">
        <v>0</v>
      </c>
      <c r="B34" s="10">
        <f>Y5</f>
        <v>8.1045556536518903E-2</v>
      </c>
      <c r="C34" s="2">
        <f>B31</f>
        <v>57.988491570812208</v>
      </c>
      <c r="D34" s="2">
        <f t="shared" ref="D34:E34" si="21">C31</f>
        <v>56.996920853212984</v>
      </c>
      <c r="E34" s="2">
        <f t="shared" si="21"/>
        <v>55.817449478301775</v>
      </c>
      <c r="F34" s="10">
        <f>Z5</f>
        <v>7.5230942479912841E-2</v>
      </c>
      <c r="G34" s="2">
        <f>W31</f>
        <v>124.22090499948261</v>
      </c>
      <c r="H34" s="2">
        <f>X31</f>
        <v>115.35229257993049</v>
      </c>
      <c r="I34" s="2">
        <f>Y31</f>
        <v>119.94296075311676</v>
      </c>
      <c r="J34" s="2">
        <f>AVERAGE(G34:I34)</f>
        <v>119.83871944417662</v>
      </c>
    </row>
    <row r="35" spans="1:11" x14ac:dyDescent="0.25">
      <c r="A35">
        <v>3.5</v>
      </c>
      <c r="B35" s="10">
        <f>Y8</f>
        <v>0.39488154142261339</v>
      </c>
      <c r="C35" s="2">
        <f>E31</f>
        <v>43.583875475638642</v>
      </c>
      <c r="D35" s="2">
        <f t="shared" ref="D35:E35" si="22">F31</f>
        <v>41.278331319226844</v>
      </c>
      <c r="E35" s="2">
        <f t="shared" si="22"/>
        <v>41.268742023230296</v>
      </c>
      <c r="F35" s="10">
        <f>Z8</f>
        <v>0.34380150915690727</v>
      </c>
      <c r="G35" s="2">
        <f>Z31</f>
        <v>99.012737569208838</v>
      </c>
      <c r="H35" s="2">
        <f t="shared" ref="H35:I35" si="23">AA31</f>
        <v>101.37054683312732</v>
      </c>
      <c r="I35" s="2">
        <f t="shared" si="23"/>
        <v>92.540209791075426</v>
      </c>
      <c r="J35" s="2">
        <f t="shared" ref="J35:J40" si="24">AVERAGE(G35:I35)</f>
        <v>97.641164731137181</v>
      </c>
    </row>
    <row r="36" spans="1:11" x14ac:dyDescent="0.25">
      <c r="A36">
        <v>4.5</v>
      </c>
      <c r="B36" s="10">
        <f t="shared" ref="B36:B40" si="25">Y9</f>
        <v>0.60913495418138952</v>
      </c>
      <c r="C36" s="2">
        <f>H31</f>
        <v>35.808772853890275</v>
      </c>
      <c r="D36" s="2">
        <f t="shared" ref="D36:E36" si="26">I31</f>
        <v>32.870661961881055</v>
      </c>
      <c r="E36" s="2">
        <f t="shared" si="26"/>
        <v>33.164364288021254</v>
      </c>
      <c r="F36" s="10">
        <f t="shared" ref="F36:F40" si="27">Z9</f>
        <v>0.53402275231855234</v>
      </c>
      <c r="G36" s="2">
        <f>AC31</f>
        <v>90.699461128126586</v>
      </c>
      <c r="H36" s="2">
        <f t="shared" ref="H36:I36" si="28">AD31</f>
        <v>97.092001793839529</v>
      </c>
      <c r="I36" s="2">
        <f t="shared" si="28"/>
        <v>81.954489366757912</v>
      </c>
      <c r="J36" s="2">
        <f t="shared" si="24"/>
        <v>89.915317429574671</v>
      </c>
    </row>
    <row r="37" spans="1:11" x14ac:dyDescent="0.25">
      <c r="A37">
        <v>5.5</v>
      </c>
      <c r="B37" s="10">
        <f t="shared" si="25"/>
        <v>0.81088665875102151</v>
      </c>
      <c r="C37" s="2">
        <f>K31</f>
        <v>24.793423527374259</v>
      </c>
      <c r="D37" s="2">
        <f t="shared" ref="D37:E37" si="29">L31</f>
        <v>23.113791510186608</v>
      </c>
      <c r="E37" s="2">
        <f t="shared" si="29"/>
        <v>21.661327988553616</v>
      </c>
      <c r="F37" s="10">
        <f t="shared" si="27"/>
        <v>0.7452930674693955</v>
      </c>
      <c r="G37" s="2">
        <f>AF31</f>
        <v>79.882870744189134</v>
      </c>
      <c r="H37" s="2">
        <f t="shared" ref="H37:I37" si="30">AG31</f>
        <v>78.067194141913049</v>
      </c>
      <c r="I37" s="2">
        <f t="shared" si="30"/>
        <v>84.729533819347054</v>
      </c>
      <c r="J37" s="2">
        <f t="shared" si="24"/>
        <v>80.89319956848307</v>
      </c>
    </row>
    <row r="38" spans="1:11" x14ac:dyDescent="0.25">
      <c r="A38">
        <v>6.5</v>
      </c>
      <c r="B38" s="10">
        <f t="shared" si="25"/>
        <v>1.036348499541444</v>
      </c>
      <c r="C38" s="2">
        <f>N31</f>
        <v>10.543838301299518</v>
      </c>
      <c r="D38" s="2">
        <f t="shared" ref="D38:E38" si="31">O31</f>
        <v>8.4234275842458981</v>
      </c>
      <c r="E38" s="2">
        <f t="shared" si="31"/>
        <v>8.3435773772870458</v>
      </c>
      <c r="F38" s="10">
        <f t="shared" si="27"/>
        <v>0.99398395504548021</v>
      </c>
      <c r="G38" s="2">
        <f>AI31</f>
        <v>61.512822292748936</v>
      </c>
      <c r="H38" s="2">
        <f t="shared" ref="H38:I38" si="32">AJ31</f>
        <v>62.428550131752026</v>
      </c>
      <c r="I38" s="2">
        <f t="shared" si="32"/>
        <v>69.675718394793478</v>
      </c>
      <c r="J38" s="2">
        <f t="shared" si="24"/>
        <v>64.539030273098149</v>
      </c>
    </row>
    <row r="39" spans="1:11" x14ac:dyDescent="0.25">
      <c r="A39">
        <v>7.5</v>
      </c>
      <c r="B39" s="10">
        <f t="shared" si="25"/>
        <v>1.1454151261570786</v>
      </c>
      <c r="C39" s="2">
        <f>Q31</f>
        <v>0.16942462309636608</v>
      </c>
      <c r="D39" s="2">
        <f t="shared" ref="D39:E39" si="33">R31</f>
        <v>9.9065445715477859E-2</v>
      </c>
      <c r="E39" s="2">
        <f t="shared" si="33"/>
        <v>0.10367475276754075</v>
      </c>
      <c r="F39" s="10">
        <f t="shared" si="27"/>
        <v>1.1674439001416526</v>
      </c>
      <c r="G39" s="2">
        <f>AL31</f>
        <v>43.94045317946096</v>
      </c>
      <c r="H39" s="2">
        <f t="shared" ref="H39:I39" si="34">AM31</f>
        <v>41.620446442597647</v>
      </c>
      <c r="I39" s="2">
        <f t="shared" si="34"/>
        <v>44.407242656061072</v>
      </c>
      <c r="J39" s="2">
        <f t="shared" si="24"/>
        <v>43.322714092706555</v>
      </c>
    </row>
    <row r="40" spans="1:11" x14ac:dyDescent="0.25">
      <c r="A40">
        <v>8.5</v>
      </c>
      <c r="B40" s="10">
        <f t="shared" si="25"/>
        <v>1.1544680872595618</v>
      </c>
      <c r="C40" s="2">
        <f>T31</f>
        <v>5.7199086039508525E-2</v>
      </c>
      <c r="D40" s="2">
        <f t="shared" ref="D40:E40" si="35">U31</f>
        <v>5.2183203016945345E-2</v>
      </c>
      <c r="E40" s="2">
        <f t="shared" si="35"/>
        <v>4.8993579794353988E-2</v>
      </c>
      <c r="F40" s="10">
        <f t="shared" si="27"/>
        <v>1.2715198671993557</v>
      </c>
      <c r="G40" s="2">
        <f>AO31</f>
        <v>25.671149855193487</v>
      </c>
      <c r="H40" s="2">
        <f t="shared" ref="H40:I40" si="36">AP31</f>
        <v>24.337698756417247</v>
      </c>
      <c r="I40" s="2">
        <f t="shared" si="36"/>
        <v>25.559362753615662</v>
      </c>
      <c r="J40" s="2">
        <f t="shared" si="24"/>
        <v>25.189403788408796</v>
      </c>
    </row>
    <row r="42" spans="1:11" ht="45" x14ac:dyDescent="0.25">
      <c r="G42" s="6" t="s">
        <v>143</v>
      </c>
      <c r="H42" s="6" t="s">
        <v>141</v>
      </c>
      <c r="I42" s="6" t="s">
        <v>142</v>
      </c>
      <c r="J42" s="6" t="s">
        <v>135</v>
      </c>
      <c r="K42" s="6" t="s">
        <v>136</v>
      </c>
    </row>
    <row r="43" spans="1:11" x14ac:dyDescent="0.25">
      <c r="F43" t="s">
        <v>133</v>
      </c>
      <c r="G43" s="19">
        <f>SLOPE(G35:G38,$F$35:$F$38)</f>
        <v>-57.476167878710058</v>
      </c>
      <c r="H43" s="19">
        <f>SLOPE(H35:H38,$F$35:$F$38)</f>
        <v>-63.253138412777446</v>
      </c>
      <c r="I43" s="19">
        <f>SLOPE(I35:I39,$F$35:$F$39)</f>
        <v>-51.055661393221165</v>
      </c>
      <c r="J43" s="19">
        <f>ABS(AVERAGE(G43:I43))</f>
        <v>57.261655894902894</v>
      </c>
      <c r="K43" s="19">
        <f>_xlfn.STDEV.S(G43:I43)/(SQRT(COUNT(G43:I43)))</f>
        <v>3.5227414965264656</v>
      </c>
    </row>
    <row r="44" spans="1:11" x14ac:dyDescent="0.25">
      <c r="F44" t="s">
        <v>134</v>
      </c>
      <c r="G44" s="11">
        <f>(CORREL($F$35:$F$38,G35:G38))^2</f>
        <v>0.98462614677772564</v>
      </c>
      <c r="H44" s="11">
        <f>(CORREL($F$35:$F$38,H35:H38))^2</f>
        <v>0.96594278457378524</v>
      </c>
      <c r="I44" s="11">
        <f>(CORREL($F$35:$F$39,I35:I39))^2</f>
        <v>0.82052373621413055</v>
      </c>
    </row>
  </sheetData>
  <mergeCells count="6">
    <mergeCell ref="AB3:AH3"/>
    <mergeCell ref="M2:V2"/>
    <mergeCell ref="M3:Q3"/>
    <mergeCell ref="R3:V3"/>
    <mergeCell ref="B3:F3"/>
    <mergeCell ref="G3:K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FE2E-7057-45BB-9AD6-82FEED4A102C}">
  <dimension ref="A1:AQ46"/>
  <sheetViews>
    <sheetView topLeftCell="D20" zoomScaleNormal="100" workbookViewId="0">
      <selection activeCell="R48" sqref="R48"/>
    </sheetView>
  </sheetViews>
  <sheetFormatPr defaultColWidth="8.85546875" defaultRowHeight="15" x14ac:dyDescent="0.25"/>
  <cols>
    <col min="1" max="1" width="66.42578125" bestFit="1" customWidth="1"/>
    <col min="2" max="43" width="11.85546875" customWidth="1"/>
    <col min="44" max="46" width="21.7109375" bestFit="1" customWidth="1"/>
  </cols>
  <sheetData>
    <row r="1" spans="1:31" x14ac:dyDescent="0.25">
      <c r="A1" t="s">
        <v>124</v>
      </c>
      <c r="B1">
        <v>20221209</v>
      </c>
    </row>
    <row r="2" spans="1:31" x14ac:dyDescent="0.25">
      <c r="A2" t="s">
        <v>57</v>
      </c>
      <c r="B2">
        <v>0.41139241809999999</v>
      </c>
    </row>
    <row r="3" spans="1:31" x14ac:dyDescent="0.25">
      <c r="B3" s="48" t="s">
        <v>150</v>
      </c>
      <c r="C3" s="48"/>
      <c r="D3" s="48"/>
      <c r="E3" s="48"/>
      <c r="F3" s="48"/>
      <c r="H3" s="42" t="s">
        <v>60</v>
      </c>
      <c r="I3" s="42"/>
      <c r="J3" s="42"/>
      <c r="K3" s="42"/>
      <c r="L3" s="42"/>
      <c r="Q3" s="42" t="s">
        <v>150</v>
      </c>
      <c r="R3" s="42"/>
      <c r="S3" s="42"/>
      <c r="T3" s="42"/>
      <c r="U3" s="42"/>
      <c r="V3" s="42"/>
      <c r="W3" s="42"/>
    </row>
    <row r="4" spans="1:31" ht="30" x14ac:dyDescent="0.25">
      <c r="A4" s="4" t="s">
        <v>14</v>
      </c>
      <c r="B4" s="18" t="s">
        <v>62</v>
      </c>
      <c r="C4" s="18" t="s">
        <v>63</v>
      </c>
      <c r="D4" s="18" t="s">
        <v>64</v>
      </c>
      <c r="E4" s="18" t="s">
        <v>135</v>
      </c>
      <c r="F4" s="18" t="s">
        <v>214</v>
      </c>
      <c r="H4" s="18" t="s">
        <v>62</v>
      </c>
      <c r="I4" s="18" t="s">
        <v>63</v>
      </c>
      <c r="J4" s="18" t="s">
        <v>64</v>
      </c>
      <c r="K4" s="3" t="s">
        <v>135</v>
      </c>
      <c r="L4" s="18" t="s">
        <v>61</v>
      </c>
      <c r="N4" s="4" t="s">
        <v>14</v>
      </c>
      <c r="O4" s="3" t="s">
        <v>145</v>
      </c>
      <c r="R4" t="s">
        <v>62</v>
      </c>
      <c r="S4" t="s">
        <v>63</v>
      </c>
      <c r="T4" t="s">
        <v>64</v>
      </c>
      <c r="U4" s="20" t="s">
        <v>66</v>
      </c>
      <c r="V4" t="s">
        <v>214</v>
      </c>
      <c r="W4" t="s">
        <v>425</v>
      </c>
    </row>
    <row r="5" spans="1:31" x14ac:dyDescent="0.25">
      <c r="A5">
        <v>0</v>
      </c>
      <c r="B5">
        <v>4.3999999999999997E-2</v>
      </c>
      <c r="C5">
        <v>4.3999999999999997E-2</v>
      </c>
      <c r="D5">
        <v>4.4999999999999998E-2</v>
      </c>
      <c r="E5" s="10">
        <f>AVERAGE(B5:D5)</f>
        <v>4.4333333333333336E-2</v>
      </c>
      <c r="F5" s="10">
        <f>_xlfn.STDEV.S(B5:D5)</f>
        <v>5.7735026918962634E-4</v>
      </c>
      <c r="H5" s="10">
        <f t="shared" ref="H5:H14" si="0">LN(B5)</f>
        <v>-3.1235656450638758</v>
      </c>
      <c r="I5" s="10">
        <f t="shared" ref="I5:I14" si="1">LN(C5)</f>
        <v>-3.1235656450638758</v>
      </c>
      <c r="J5" s="10">
        <f t="shared" ref="J5:J14" si="2">LN(D5)</f>
        <v>-3.1010927892118172</v>
      </c>
      <c r="K5" s="10">
        <f t="shared" ref="K5:K14" si="3">AVERAGE(H5:J5)</f>
        <v>-3.1160746931131897</v>
      </c>
      <c r="L5" s="11">
        <f t="shared" ref="L5:L14" si="4">_xlfn.STDEV.S(H5:J5)</f>
        <v>1.2974709375645693E-2</v>
      </c>
      <c r="N5">
        <v>0</v>
      </c>
      <c r="O5" s="11">
        <f>((AVERAGE(B5:D5))*$B$2)/0.3626</f>
        <v>5.0298944297940802E-2</v>
      </c>
      <c r="P5" s="10"/>
      <c r="Q5" t="s">
        <v>424</v>
      </c>
      <c r="R5" s="2">
        <f>SLOPE(H9:H12,$A$9:$A$12)</f>
        <v>0.37041448493446777</v>
      </c>
      <c r="S5" s="2">
        <f>SLOPE(I9:I12,$A$9:$A$12)</f>
        <v>0.35568434943320182</v>
      </c>
      <c r="T5" s="2">
        <f>SLOPE(J9:J12,$A$9:$A$12)</f>
        <v>0.36181707060507468</v>
      </c>
      <c r="U5" s="2">
        <f>AVERAGE(R5:T5)</f>
        <v>0.36263863499091475</v>
      </c>
      <c r="V5" s="10">
        <f>_xlfn.STDEV.S(R5:T5)</f>
        <v>7.399354634120091E-3</v>
      </c>
      <c r="W5" s="10">
        <f>(_xlfn.STDEV.S(R5:T5))/(SQRT(COUNT(R5:T5)))</f>
        <v>4.2720193898387396E-3</v>
      </c>
    </row>
    <row r="6" spans="1:31" x14ac:dyDescent="0.25">
      <c r="A6">
        <v>1</v>
      </c>
      <c r="B6">
        <v>8.3000000000000004E-2</v>
      </c>
      <c r="C6">
        <v>8.4000000000000005E-2</v>
      </c>
      <c r="D6">
        <v>8.4000000000000005E-2</v>
      </c>
      <c r="E6" s="10">
        <f t="shared" ref="E6:E14" si="5">AVERAGE(B6:D6)</f>
        <v>8.3666666666666667E-2</v>
      </c>
      <c r="F6" s="10">
        <f t="shared" ref="F6:F14" si="6">_xlfn.STDEV.S(B6:D6)</f>
        <v>5.7735026918962634E-4</v>
      </c>
      <c r="H6" s="10">
        <f t="shared" si="0"/>
        <v>-2.488914671185539</v>
      </c>
      <c r="I6" s="10">
        <f t="shared" si="1"/>
        <v>-2.4769384801388235</v>
      </c>
      <c r="J6" s="10">
        <f t="shared" si="2"/>
        <v>-2.4769384801388235</v>
      </c>
      <c r="K6" s="10">
        <f t="shared" si="3"/>
        <v>-2.4809305438210618</v>
      </c>
      <c r="L6" s="11">
        <f t="shared" si="4"/>
        <v>6.9144571246876063E-3</v>
      </c>
      <c r="N6">
        <v>1</v>
      </c>
      <c r="O6" s="11">
        <f t="shared" ref="O6:O14" si="7">((AVERAGE(B6:D6))*$B$2)/0.3626</f>
        <v>9.4925075329196557E-2</v>
      </c>
      <c r="P6" s="10"/>
      <c r="Q6" s="10"/>
      <c r="R6" s="11"/>
      <c r="V6" s="11"/>
    </row>
    <row r="7" spans="1:31" x14ac:dyDescent="0.25">
      <c r="A7">
        <v>2</v>
      </c>
      <c r="B7">
        <v>0.13200000000000001</v>
      </c>
      <c r="C7">
        <v>0.13400000000000001</v>
      </c>
      <c r="D7">
        <v>0.13600000000000001</v>
      </c>
      <c r="E7" s="10">
        <f t="shared" si="5"/>
        <v>0.13400000000000001</v>
      </c>
      <c r="F7" s="10">
        <f t="shared" si="6"/>
        <v>2.0000000000000018E-3</v>
      </c>
      <c r="H7" s="10">
        <f t="shared" si="0"/>
        <v>-2.0249533563957662</v>
      </c>
      <c r="I7" s="10">
        <f t="shared" si="1"/>
        <v>-2.0099154790312257</v>
      </c>
      <c r="J7" s="10">
        <f t="shared" si="2"/>
        <v>-1.9951003932460849</v>
      </c>
      <c r="K7" s="10">
        <f t="shared" si="3"/>
        <v>-2.0099897428910256</v>
      </c>
      <c r="L7" s="11">
        <f t="shared" si="4"/>
        <v>1.4926620131319488E-2</v>
      </c>
      <c r="N7">
        <v>2</v>
      </c>
      <c r="O7" s="11">
        <f t="shared" si="7"/>
        <v>0.15203139554715941</v>
      </c>
      <c r="P7" s="10"/>
      <c r="Q7" s="10"/>
      <c r="R7" s="11"/>
      <c r="V7" s="11"/>
    </row>
    <row r="8" spans="1:31" x14ac:dyDescent="0.25">
      <c r="A8">
        <v>3</v>
      </c>
      <c r="B8">
        <v>0.20799999999999999</v>
      </c>
      <c r="C8">
        <v>0.216</v>
      </c>
      <c r="D8">
        <v>0.215</v>
      </c>
      <c r="E8" s="10">
        <f t="shared" si="5"/>
        <v>0.21299999999999999</v>
      </c>
      <c r="F8" s="10">
        <f t="shared" si="6"/>
        <v>4.3588989435406778E-3</v>
      </c>
      <c r="H8" s="10">
        <f t="shared" si="0"/>
        <v>-1.5702171992808192</v>
      </c>
      <c r="I8" s="10">
        <f t="shared" si="1"/>
        <v>-1.5324768712979722</v>
      </c>
      <c r="J8" s="10">
        <f t="shared" si="2"/>
        <v>-1.5371172508544744</v>
      </c>
      <c r="K8" s="10">
        <f t="shared" si="3"/>
        <v>-1.5466037738110885</v>
      </c>
      <c r="L8" s="11">
        <f t="shared" si="4"/>
        <v>2.058102712252214E-2</v>
      </c>
      <c r="N8">
        <v>3</v>
      </c>
      <c r="O8" s="11">
        <f t="shared" si="7"/>
        <v>0.24166184516078323</v>
      </c>
      <c r="P8" s="10"/>
      <c r="Q8" s="10"/>
      <c r="R8" s="11"/>
      <c r="V8" s="11"/>
    </row>
    <row r="9" spans="1:31" x14ac:dyDescent="0.25">
      <c r="A9">
        <v>3.75</v>
      </c>
      <c r="B9">
        <v>0.307</v>
      </c>
      <c r="C9">
        <v>0.32200000000000001</v>
      </c>
      <c r="D9">
        <v>0.317</v>
      </c>
      <c r="E9" s="10">
        <f t="shared" si="5"/>
        <v>0.3153333333333333</v>
      </c>
      <c r="F9" s="10">
        <f t="shared" si="6"/>
        <v>7.6376261582597402E-3</v>
      </c>
      <c r="H9" s="10">
        <f t="shared" si="0"/>
        <v>-1.18090753139494</v>
      </c>
      <c r="I9" s="10">
        <f t="shared" si="1"/>
        <v>-1.1332037334377287</v>
      </c>
      <c r="J9" s="10">
        <f t="shared" si="2"/>
        <v>-1.1488535051048565</v>
      </c>
      <c r="K9" s="10">
        <f t="shared" si="3"/>
        <v>-1.154321589979175</v>
      </c>
      <c r="L9" s="11">
        <f t="shared" si="4"/>
        <v>2.4317443307843276E-2</v>
      </c>
      <c r="N9">
        <v>3.75</v>
      </c>
      <c r="O9" s="11">
        <f t="shared" si="7"/>
        <v>0.35776542335227063</v>
      </c>
      <c r="P9" s="10"/>
      <c r="Q9" s="10"/>
      <c r="R9" s="11"/>
      <c r="V9" s="11"/>
    </row>
    <row r="10" spans="1:31" x14ac:dyDescent="0.25">
      <c r="A10">
        <v>4.75</v>
      </c>
      <c r="B10">
        <v>0.496</v>
      </c>
      <c r="C10">
        <v>0.51400000000000001</v>
      </c>
      <c r="D10">
        <v>0.50900000000000001</v>
      </c>
      <c r="E10" s="10">
        <f t="shared" si="5"/>
        <v>0.50633333333333341</v>
      </c>
      <c r="F10" s="10">
        <f t="shared" si="6"/>
        <v>9.2915732431775779E-3</v>
      </c>
      <c r="H10" s="10">
        <f t="shared" si="0"/>
        <v>-0.70117935225720962</v>
      </c>
      <c r="I10" s="10">
        <f t="shared" si="1"/>
        <v>-0.66553201352697189</v>
      </c>
      <c r="J10" s="10">
        <f t="shared" si="2"/>
        <v>-0.67530726243161432</v>
      </c>
      <c r="K10" s="10">
        <f t="shared" si="3"/>
        <v>-0.68067287607193194</v>
      </c>
      <c r="L10" s="11">
        <f t="shared" si="4"/>
        <v>1.8419433947327171E-2</v>
      </c>
      <c r="N10">
        <v>4.75</v>
      </c>
      <c r="O10" s="11">
        <f t="shared" si="7"/>
        <v>0.5744668901396397</v>
      </c>
      <c r="P10" s="10"/>
      <c r="Q10" s="10"/>
      <c r="R10" s="11"/>
      <c r="V10" s="11"/>
    </row>
    <row r="11" spans="1:31" x14ac:dyDescent="0.25">
      <c r="A11">
        <v>5.75</v>
      </c>
      <c r="B11">
        <v>0.751</v>
      </c>
      <c r="C11">
        <v>0.77500000000000002</v>
      </c>
      <c r="D11">
        <v>0.77100000000000002</v>
      </c>
      <c r="E11" s="10">
        <f t="shared" si="5"/>
        <v>0.76566666666666672</v>
      </c>
      <c r="F11" s="10">
        <f t="shared" si="6"/>
        <v>1.2858201014657285E-2</v>
      </c>
      <c r="H11" s="10">
        <f t="shared" si="0"/>
        <v>-0.28634962721800233</v>
      </c>
      <c r="I11" s="10">
        <f t="shared" si="1"/>
        <v>-0.25489224962879004</v>
      </c>
      <c r="J11" s="10">
        <f t="shared" si="2"/>
        <v>-0.26006690541880756</v>
      </c>
      <c r="K11" s="10">
        <f t="shared" si="3"/>
        <v>-0.26710292742186664</v>
      </c>
      <c r="L11" s="11">
        <f t="shared" si="4"/>
        <v>1.6867746008824586E-2</v>
      </c>
      <c r="N11">
        <v>5.75</v>
      </c>
      <c r="O11" s="11">
        <f t="shared" si="7"/>
        <v>0.86869680490503776</v>
      </c>
      <c r="P11" s="10"/>
      <c r="Q11" s="10"/>
      <c r="R11" s="11"/>
      <c r="V11" s="11"/>
    </row>
    <row r="12" spans="1:31" x14ac:dyDescent="0.25">
      <c r="A12">
        <v>6.75</v>
      </c>
      <c r="B12">
        <v>0.91900000000000004</v>
      </c>
      <c r="C12">
        <v>0.91900000000000004</v>
      </c>
      <c r="D12">
        <v>0.92200000000000004</v>
      </c>
      <c r="E12" s="10">
        <f t="shared" si="5"/>
        <v>0.92</v>
      </c>
      <c r="F12" s="10">
        <f t="shared" si="6"/>
        <v>1.7320508075688789E-3</v>
      </c>
      <c r="H12" s="10">
        <f t="shared" si="0"/>
        <v>-8.4469156626449965E-2</v>
      </c>
      <c r="I12" s="10">
        <f t="shared" si="1"/>
        <v>-8.4469156626449965E-2</v>
      </c>
      <c r="J12" s="10">
        <f t="shared" si="2"/>
        <v>-8.1210055425543173E-2</v>
      </c>
      <c r="K12" s="10">
        <f t="shared" si="3"/>
        <v>-8.338278955948103E-2</v>
      </c>
      <c r="L12" s="11">
        <f t="shared" si="4"/>
        <v>1.8816429556597688E-3</v>
      </c>
      <c r="N12">
        <v>6.75</v>
      </c>
      <c r="O12" s="11">
        <f t="shared" si="7"/>
        <v>1.0437976410700498</v>
      </c>
      <c r="P12" s="10"/>
      <c r="Q12" s="10"/>
      <c r="R12" s="11"/>
      <c r="V12" s="11"/>
    </row>
    <row r="13" spans="1:31" x14ac:dyDescent="0.25">
      <c r="A13">
        <v>7.75</v>
      </c>
      <c r="B13">
        <v>1.0109999999999999</v>
      </c>
      <c r="C13">
        <v>1.0129999999999999</v>
      </c>
      <c r="D13">
        <v>1.016</v>
      </c>
      <c r="E13" s="10">
        <f t="shared" si="5"/>
        <v>1.0133333333333334</v>
      </c>
      <c r="F13" s="10">
        <f t="shared" si="6"/>
        <v>2.5166114784236442E-3</v>
      </c>
      <c r="H13" s="10">
        <f t="shared" si="0"/>
        <v>1.0939940038334263E-2</v>
      </c>
      <c r="I13" s="10">
        <f t="shared" si="1"/>
        <v>1.2916225266546229E-2</v>
      </c>
      <c r="J13" s="10">
        <f t="shared" si="2"/>
        <v>1.5873349156290163E-2</v>
      </c>
      <c r="K13" s="10">
        <f t="shared" si="3"/>
        <v>1.3243171487056886E-2</v>
      </c>
      <c r="L13" s="11">
        <f t="shared" si="4"/>
        <v>2.4829018817932079E-3</v>
      </c>
      <c r="N13">
        <v>7.75</v>
      </c>
      <c r="O13" s="11">
        <f t="shared" si="7"/>
        <v>1.149690155381504</v>
      </c>
      <c r="P13" s="10"/>
      <c r="Q13" s="10"/>
      <c r="R13" s="11"/>
      <c r="V13" s="11"/>
    </row>
    <row r="14" spans="1:31" x14ac:dyDescent="0.25">
      <c r="A14">
        <v>8.75</v>
      </c>
      <c r="B14">
        <v>1.0760000000000001</v>
      </c>
      <c r="C14">
        <v>1.0660000000000001</v>
      </c>
      <c r="D14">
        <v>1.0680000000000001</v>
      </c>
      <c r="E14" s="10">
        <f t="shared" si="5"/>
        <v>1.07</v>
      </c>
      <c r="F14" s="10">
        <f t="shared" si="6"/>
        <v>5.2915026221291859E-3</v>
      </c>
      <c r="H14" s="10">
        <f t="shared" si="0"/>
        <v>7.3250461739592737E-2</v>
      </c>
      <c r="I14" s="10">
        <f t="shared" si="1"/>
        <v>6.3913325743652855E-2</v>
      </c>
      <c r="J14" s="10">
        <f t="shared" si="2"/>
        <v>6.5787740538003153E-2</v>
      </c>
      <c r="K14" s="10">
        <f t="shared" si="3"/>
        <v>6.7650509340416248E-2</v>
      </c>
      <c r="L14" s="11">
        <f t="shared" si="4"/>
        <v>4.9394289001970368E-3</v>
      </c>
      <c r="N14">
        <v>8.75</v>
      </c>
      <c r="O14" s="11">
        <f t="shared" si="7"/>
        <v>1.2139820390706013</v>
      </c>
      <c r="P14" s="10"/>
      <c r="Q14" s="10"/>
      <c r="R14" s="11"/>
      <c r="V14" s="11"/>
    </row>
    <row r="16" spans="1:31" x14ac:dyDescent="0.25">
      <c r="A16" t="s">
        <v>7</v>
      </c>
      <c r="B16" t="s">
        <v>181</v>
      </c>
      <c r="C16" t="s">
        <v>182</v>
      </c>
      <c r="D16" t="s">
        <v>183</v>
      </c>
      <c r="E16" t="s">
        <v>184</v>
      </c>
      <c r="F16" t="s">
        <v>185</v>
      </c>
      <c r="G16" t="s">
        <v>186</v>
      </c>
      <c r="H16" t="s">
        <v>187</v>
      </c>
      <c r="I16" t="s">
        <v>188</v>
      </c>
      <c r="J16" t="s">
        <v>189</v>
      </c>
      <c r="K16" t="s">
        <v>190</v>
      </c>
      <c r="L16" t="s">
        <v>191</v>
      </c>
      <c r="M16" t="s">
        <v>192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199</v>
      </c>
      <c r="U16" t="s">
        <v>200</v>
      </c>
      <c r="V16" t="s">
        <v>201</v>
      </c>
      <c r="W16" t="s">
        <v>202</v>
      </c>
      <c r="X16" t="s">
        <v>203</v>
      </c>
      <c r="Y16" t="s">
        <v>204</v>
      </c>
      <c r="Z16" t="s">
        <v>205</v>
      </c>
      <c r="AA16" t="s">
        <v>206</v>
      </c>
      <c r="AB16" t="s">
        <v>207</v>
      </c>
      <c r="AC16" t="s">
        <v>208</v>
      </c>
      <c r="AD16" t="s">
        <v>209</v>
      </c>
      <c r="AE16" t="s">
        <v>210</v>
      </c>
    </row>
    <row r="17" spans="1:43" x14ac:dyDescent="0.25">
      <c r="A17" t="s">
        <v>0</v>
      </c>
      <c r="B17" s="1">
        <v>89902488</v>
      </c>
      <c r="C17" s="1">
        <v>90609176</v>
      </c>
      <c r="D17" s="1">
        <v>95822120</v>
      </c>
      <c r="E17" s="1">
        <v>90123176</v>
      </c>
      <c r="F17" s="1">
        <v>86803616</v>
      </c>
      <c r="G17" s="1">
        <v>94580728</v>
      </c>
      <c r="H17" s="1">
        <v>87985408</v>
      </c>
      <c r="I17" s="1">
        <v>84759800</v>
      </c>
      <c r="J17" s="1">
        <v>91486920</v>
      </c>
      <c r="K17" s="1">
        <v>85526536</v>
      </c>
      <c r="L17" s="1">
        <v>84470232</v>
      </c>
      <c r="M17" s="1">
        <v>83453432</v>
      </c>
      <c r="N17" s="1">
        <v>81333464</v>
      </c>
      <c r="O17" s="1">
        <v>82156416</v>
      </c>
      <c r="P17" s="1">
        <v>83882728</v>
      </c>
      <c r="Q17" s="1">
        <v>82386376</v>
      </c>
      <c r="R17" s="1">
        <v>75418872</v>
      </c>
      <c r="S17" s="1">
        <v>79891264</v>
      </c>
      <c r="T17" s="1">
        <v>65079564</v>
      </c>
      <c r="U17" s="1">
        <v>65783636</v>
      </c>
      <c r="V17" s="1">
        <v>69287672</v>
      </c>
      <c r="W17" s="1">
        <v>58513360</v>
      </c>
      <c r="X17" s="1">
        <v>52751264</v>
      </c>
      <c r="Y17" s="1">
        <v>55008468</v>
      </c>
      <c r="Z17" s="1">
        <v>43547396</v>
      </c>
      <c r="AA17" s="1">
        <v>41052920</v>
      </c>
      <c r="AB17" s="1">
        <v>44209180</v>
      </c>
      <c r="AC17" s="1">
        <v>28931686</v>
      </c>
      <c r="AD17" s="1">
        <v>29192962</v>
      </c>
      <c r="AE17" s="1">
        <v>28415014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t="s">
        <v>1</v>
      </c>
      <c r="B18" s="1">
        <v>5687887.5</v>
      </c>
      <c r="C18" s="1">
        <v>5708676</v>
      </c>
      <c r="D18" s="1">
        <v>5850332.5</v>
      </c>
      <c r="E18" s="1">
        <v>5942824</v>
      </c>
      <c r="F18" s="1">
        <v>6047137.5</v>
      </c>
      <c r="G18" s="1">
        <v>6371076</v>
      </c>
      <c r="H18" s="1">
        <v>6079633.5</v>
      </c>
      <c r="I18" s="1">
        <v>5553859</v>
      </c>
      <c r="J18" s="1">
        <v>6095637.5</v>
      </c>
      <c r="K18" s="1">
        <v>5757364</v>
      </c>
      <c r="L18" s="1">
        <v>5821356</v>
      </c>
      <c r="M18" s="1">
        <v>5470640.5</v>
      </c>
      <c r="N18" s="1">
        <v>5500943.5</v>
      </c>
      <c r="O18" s="1">
        <v>5470088.5</v>
      </c>
      <c r="P18" s="1">
        <v>5502487.5</v>
      </c>
      <c r="Q18" s="1">
        <v>5419411.5</v>
      </c>
      <c r="R18" s="1">
        <v>5129276.5</v>
      </c>
      <c r="S18" s="1">
        <v>5248781.5</v>
      </c>
      <c r="T18" s="1">
        <v>4243996.5</v>
      </c>
      <c r="U18" s="1">
        <v>4469240</v>
      </c>
      <c r="V18" s="1">
        <v>4619141.5</v>
      </c>
      <c r="W18" s="1">
        <v>3781670</v>
      </c>
      <c r="X18" s="1">
        <v>3571396.75</v>
      </c>
      <c r="Y18" s="1">
        <v>3741997.25</v>
      </c>
      <c r="Z18" s="1">
        <v>2811350</v>
      </c>
      <c r="AA18" s="1">
        <v>2601746.25</v>
      </c>
      <c r="AB18" s="1">
        <v>2767112.25</v>
      </c>
      <c r="AC18" s="1">
        <v>1869162.5</v>
      </c>
      <c r="AD18" s="1">
        <v>1889737.62</v>
      </c>
      <c r="AE18" s="1">
        <v>1870531.62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t="s">
        <v>2</v>
      </c>
      <c r="B19" s="1">
        <v>12255.23</v>
      </c>
      <c r="C19" s="1">
        <v>12870.07</v>
      </c>
      <c r="D19" s="1">
        <v>10761.61</v>
      </c>
      <c r="E19" s="1">
        <v>11127.78</v>
      </c>
      <c r="F19" s="1">
        <v>6633</v>
      </c>
      <c r="G19" s="1">
        <v>1397.43</v>
      </c>
      <c r="H19" s="1">
        <v>8511.07</v>
      </c>
      <c r="I19" s="1">
        <v>12240.33</v>
      </c>
      <c r="J19" s="1">
        <v>6483.64</v>
      </c>
      <c r="K19" s="1">
        <v>8854.23</v>
      </c>
      <c r="L19" s="1">
        <v>8557.07</v>
      </c>
      <c r="M19" s="1">
        <v>6964.49</v>
      </c>
      <c r="N19" s="1">
        <v>4454.6000000000004</v>
      </c>
      <c r="O19" s="1">
        <v>0</v>
      </c>
      <c r="P19" s="1">
        <v>10814.51</v>
      </c>
      <c r="Q19" s="1">
        <v>8636.9599999999991</v>
      </c>
      <c r="R19" s="1">
        <v>10355.59</v>
      </c>
      <c r="S19" s="1">
        <v>8961.73</v>
      </c>
      <c r="T19" s="1">
        <v>9075.84</v>
      </c>
      <c r="U19" s="1">
        <v>10425.06</v>
      </c>
      <c r="V19" s="1">
        <v>5147.09</v>
      </c>
      <c r="W19" s="1">
        <v>1903.03</v>
      </c>
      <c r="X19" s="1">
        <v>8025.31</v>
      </c>
      <c r="Y19" s="1">
        <v>5800.11</v>
      </c>
      <c r="Z19" s="1">
        <v>0</v>
      </c>
      <c r="AA19" s="1">
        <v>8302.4</v>
      </c>
      <c r="AB19" s="1">
        <v>2075.39</v>
      </c>
      <c r="AC19" s="1">
        <v>1488.75</v>
      </c>
      <c r="AD19" s="1">
        <v>1539.21</v>
      </c>
      <c r="AE19" s="1"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t="s">
        <v>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t="s">
        <v>4</v>
      </c>
      <c r="B21" s="1">
        <v>121596.66</v>
      </c>
      <c r="C21" s="1">
        <v>122224.94</v>
      </c>
      <c r="D21" s="1">
        <v>124150.96</v>
      </c>
      <c r="E21" s="1">
        <v>121074.85</v>
      </c>
      <c r="F21" s="1">
        <v>126667.98</v>
      </c>
      <c r="G21" s="1">
        <v>135145.42000000001</v>
      </c>
      <c r="H21" s="1">
        <v>121722</v>
      </c>
      <c r="I21" s="1">
        <v>109986.1</v>
      </c>
      <c r="J21" s="1">
        <v>122847.4</v>
      </c>
      <c r="K21" s="1">
        <v>136580.48000000001</v>
      </c>
      <c r="L21" s="1">
        <v>130850.27</v>
      </c>
      <c r="M21" s="1">
        <v>118866.96</v>
      </c>
      <c r="N21" s="1">
        <v>134694.04999999999</v>
      </c>
      <c r="O21" s="1">
        <v>112838.39999999999</v>
      </c>
      <c r="P21" s="1">
        <v>112890.81</v>
      </c>
      <c r="Q21" s="1">
        <v>132776.10999999999</v>
      </c>
      <c r="R21" s="1">
        <v>115863.12</v>
      </c>
      <c r="S21" s="1">
        <v>134141.76999999999</v>
      </c>
      <c r="T21" s="1">
        <v>128904.65</v>
      </c>
      <c r="U21" s="1">
        <v>124172.59</v>
      </c>
      <c r="V21" s="1">
        <v>142818.29999999999</v>
      </c>
      <c r="W21" s="1">
        <v>164165.35999999999</v>
      </c>
      <c r="X21" s="1">
        <v>154797.34</v>
      </c>
      <c r="Y21" s="1">
        <v>132515.60999999999</v>
      </c>
      <c r="Z21" s="1">
        <v>163023.45000000001</v>
      </c>
      <c r="AA21" s="1">
        <v>171096.31</v>
      </c>
      <c r="AB21" s="1">
        <v>174962.89</v>
      </c>
      <c r="AC21" s="1">
        <v>186221.89</v>
      </c>
      <c r="AD21" s="1">
        <v>180920.62</v>
      </c>
      <c r="AE21" s="1">
        <v>166319.45000000001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t="s">
        <v>5</v>
      </c>
      <c r="B22" s="1">
        <v>2748234.75</v>
      </c>
      <c r="C22" s="1">
        <v>2690217</v>
      </c>
      <c r="D22" s="1">
        <v>2619891.25</v>
      </c>
      <c r="E22" s="1">
        <v>2543899.25</v>
      </c>
      <c r="F22" s="1">
        <v>2544989</v>
      </c>
      <c r="G22" s="1">
        <v>2780393.25</v>
      </c>
      <c r="H22" s="1">
        <v>2703783.75</v>
      </c>
      <c r="I22" s="1">
        <v>2601734.75</v>
      </c>
      <c r="J22" s="1">
        <v>2810806.75</v>
      </c>
      <c r="K22" s="1">
        <v>2681015.75</v>
      </c>
      <c r="L22" s="1">
        <v>2645494.5</v>
      </c>
      <c r="M22" s="1">
        <v>2507580.75</v>
      </c>
      <c r="N22" s="1">
        <v>2929805</v>
      </c>
      <c r="O22" s="1">
        <v>2822759.75</v>
      </c>
      <c r="P22" s="1">
        <v>2536257.75</v>
      </c>
      <c r="Q22" s="1">
        <v>2808004</v>
      </c>
      <c r="R22" s="1">
        <v>2825798.75</v>
      </c>
      <c r="S22" s="1">
        <v>2846120.75</v>
      </c>
      <c r="T22" s="1">
        <v>2780282.75</v>
      </c>
      <c r="U22" s="1">
        <v>3040186.25</v>
      </c>
      <c r="V22" s="1">
        <v>3151223.25</v>
      </c>
      <c r="W22" s="1">
        <v>3347488</v>
      </c>
      <c r="X22" s="1">
        <v>3193818.25</v>
      </c>
      <c r="Y22" s="1">
        <v>3240430.75</v>
      </c>
      <c r="Z22" s="1">
        <v>3899507</v>
      </c>
      <c r="AA22" s="1">
        <v>3876457.75</v>
      </c>
      <c r="AB22" s="1">
        <v>3893428.75</v>
      </c>
      <c r="AC22" s="1">
        <v>3798731.25</v>
      </c>
      <c r="AD22" s="1">
        <v>3972194.25</v>
      </c>
      <c r="AE22" s="1">
        <v>4073117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t="s">
        <v>6</v>
      </c>
      <c r="B23" s="1">
        <v>36917404</v>
      </c>
      <c r="C23" s="1">
        <v>35415724</v>
      </c>
      <c r="D23" s="1">
        <v>37196940</v>
      </c>
      <c r="E23" s="1">
        <v>35789236</v>
      </c>
      <c r="F23" s="1">
        <v>34768640</v>
      </c>
      <c r="G23" s="1">
        <v>38108112</v>
      </c>
      <c r="H23" s="1">
        <v>36252340</v>
      </c>
      <c r="I23" s="1">
        <v>35060132</v>
      </c>
      <c r="J23" s="1">
        <v>35824448</v>
      </c>
      <c r="K23" s="1">
        <v>35550388</v>
      </c>
      <c r="L23" s="1">
        <v>35630148</v>
      </c>
      <c r="M23" s="1">
        <v>33814788</v>
      </c>
      <c r="N23" s="1">
        <v>37540892</v>
      </c>
      <c r="O23" s="1">
        <v>36734236</v>
      </c>
      <c r="P23" s="1">
        <v>34381868</v>
      </c>
      <c r="Q23" s="1">
        <v>39832420</v>
      </c>
      <c r="R23" s="1">
        <v>37916708</v>
      </c>
      <c r="S23" s="1">
        <v>38702420</v>
      </c>
      <c r="T23" s="1">
        <v>36333108</v>
      </c>
      <c r="U23" s="1">
        <v>40203172</v>
      </c>
      <c r="V23" s="1">
        <v>42529636</v>
      </c>
      <c r="W23" s="1">
        <v>44437616</v>
      </c>
      <c r="X23" s="1">
        <v>43093296</v>
      </c>
      <c r="Y23" s="1">
        <v>43714764</v>
      </c>
      <c r="Z23" s="1">
        <v>48837908</v>
      </c>
      <c r="AA23" s="1">
        <v>48493868</v>
      </c>
      <c r="AB23" s="1">
        <v>50443360</v>
      </c>
      <c r="AC23" s="1">
        <v>49648764</v>
      </c>
      <c r="AD23" s="1">
        <v>52305344</v>
      </c>
      <c r="AE23" s="1">
        <v>51338540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t="s">
        <v>8</v>
      </c>
      <c r="B24" s="2">
        <f>SUM(B17:B18)/SUM(B17:B23)</f>
        <v>0.70603789061401911</v>
      </c>
      <c r="C24" s="2">
        <f t="shared" ref="C24:AE24" si="8">SUM(C17:C18)/SUM(C17:C23)</f>
        <v>0.71580445873513732</v>
      </c>
      <c r="D24" s="2">
        <f t="shared" si="8"/>
        <v>0.71790312066640793</v>
      </c>
      <c r="E24" s="2">
        <f t="shared" si="8"/>
        <v>0.71407897605009685</v>
      </c>
      <c r="F24" s="2">
        <f t="shared" si="8"/>
        <v>0.71260479096892071</v>
      </c>
      <c r="G24" s="2">
        <f t="shared" si="8"/>
        <v>0.71104410688649144</v>
      </c>
      <c r="H24" s="2">
        <f t="shared" si="8"/>
        <v>0.70645177359636457</v>
      </c>
      <c r="I24" s="2">
        <f t="shared" si="8"/>
        <v>0.7050370319776833</v>
      </c>
      <c r="J24" s="2">
        <f t="shared" si="8"/>
        <v>0.71569198404435441</v>
      </c>
      <c r="K24" s="2">
        <f t="shared" si="8"/>
        <v>0.70402113302910763</v>
      </c>
      <c r="L24" s="2">
        <f t="shared" si="8"/>
        <v>0.70153015815893527</v>
      </c>
      <c r="M24" s="2">
        <f t="shared" si="8"/>
        <v>0.7092802147152909</v>
      </c>
      <c r="N24" s="2">
        <f t="shared" si="8"/>
        <v>0.68135208417595094</v>
      </c>
      <c r="O24" s="2">
        <f t="shared" si="8"/>
        <v>0.68836625962140341</v>
      </c>
      <c r="P24" s="2">
        <f t="shared" si="8"/>
        <v>0.70701023179015166</v>
      </c>
      <c r="Q24" s="2">
        <f t="shared" si="8"/>
        <v>0.67238980561234363</v>
      </c>
      <c r="R24" s="2">
        <f t="shared" si="8"/>
        <v>0.66340160039481877</v>
      </c>
      <c r="S24" s="2">
        <f t="shared" si="8"/>
        <v>0.671283696273549</v>
      </c>
      <c r="T24" s="2">
        <f t="shared" si="8"/>
        <v>0.63848587688736769</v>
      </c>
      <c r="U24" s="2">
        <f t="shared" si="8"/>
        <v>0.61825540502797283</v>
      </c>
      <c r="V24" s="2">
        <f t="shared" si="8"/>
        <v>0.61724992364917297</v>
      </c>
      <c r="W24" s="2">
        <f t="shared" si="8"/>
        <v>0.56505374924053198</v>
      </c>
      <c r="X24" s="2">
        <f t="shared" si="8"/>
        <v>0.54803188824526128</v>
      </c>
      <c r="Y24" s="2">
        <f t="shared" si="8"/>
        <v>0.55506668991174968</v>
      </c>
      <c r="Z24" s="2">
        <f t="shared" si="8"/>
        <v>0.46704741991258625</v>
      </c>
      <c r="AA24" s="2">
        <f t="shared" si="8"/>
        <v>0.45376999872691148</v>
      </c>
      <c r="AB24" s="2">
        <f t="shared" si="8"/>
        <v>0.46286567188277328</v>
      </c>
      <c r="AC24" s="2">
        <f t="shared" si="8"/>
        <v>0.36478313349099162</v>
      </c>
      <c r="AD24" s="2">
        <f t="shared" si="8"/>
        <v>0.35505759402705728</v>
      </c>
      <c r="AE24" s="2">
        <f t="shared" si="8"/>
        <v>0.35271725279694205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x14ac:dyDescent="0.25">
      <c r="A25" t="s">
        <v>121</v>
      </c>
      <c r="B25" s="10">
        <v>0.5</v>
      </c>
    </row>
    <row r="26" spans="1:43" x14ac:dyDescent="0.25">
      <c r="A26" t="s">
        <v>122</v>
      </c>
      <c r="B26" s="2">
        <f>(B24/(1-B24))*$B$25</f>
        <v>1.200899483421128</v>
      </c>
      <c r="C26" s="2">
        <f t="shared" ref="C26:AE26" si="9">(C24/(1-C24))*$B$25</f>
        <v>1.2593520214098408</v>
      </c>
      <c r="D26" s="2">
        <f t="shared" si="9"/>
        <v>1.2724407344780579</v>
      </c>
      <c r="E26" s="2">
        <f t="shared" si="9"/>
        <v>1.2487346438980509</v>
      </c>
      <c r="F26" s="2">
        <f t="shared" si="9"/>
        <v>1.2397645621362092</v>
      </c>
      <c r="G26" s="2">
        <f t="shared" si="9"/>
        <v>1.2303678932188742</v>
      </c>
      <c r="H26" s="2">
        <f t="shared" si="9"/>
        <v>1.2032976357094003</v>
      </c>
      <c r="I26" s="2">
        <f t="shared" si="9"/>
        <v>1.1951280472678534</v>
      </c>
      <c r="J26" s="2">
        <f t="shared" si="9"/>
        <v>1.2586560066530244</v>
      </c>
      <c r="K26" s="2">
        <f t="shared" si="9"/>
        <v>1.1893097980849145</v>
      </c>
      <c r="L26" s="2">
        <f t="shared" si="9"/>
        <v>1.1752111265775727</v>
      </c>
      <c r="M26" s="2">
        <f t="shared" si="9"/>
        <v>1.2198691843774498</v>
      </c>
      <c r="N26" s="2">
        <f t="shared" si="9"/>
        <v>1.0691299869542843</v>
      </c>
      <c r="O26" s="2">
        <f t="shared" si="9"/>
        <v>1.1044475780849712</v>
      </c>
      <c r="P26" s="2">
        <f t="shared" si="9"/>
        <v>1.2065442355034204</v>
      </c>
      <c r="Q26" s="2">
        <f t="shared" si="9"/>
        <v>1.0262040332247941</v>
      </c>
      <c r="R26" s="2">
        <f t="shared" si="9"/>
        <v>0.98544972461688296</v>
      </c>
      <c r="S26" s="2">
        <f t="shared" si="9"/>
        <v>1.021068454262271</v>
      </c>
      <c r="T26" s="2">
        <f t="shared" si="9"/>
        <v>0.88307183048619498</v>
      </c>
      <c r="U26" s="2">
        <f t="shared" si="9"/>
        <v>0.80977623936401288</v>
      </c>
      <c r="V26" s="2">
        <f t="shared" si="9"/>
        <v>0.80633546769485742</v>
      </c>
      <c r="W26" s="2">
        <f t="shared" si="9"/>
        <v>0.64956732958828911</v>
      </c>
      <c r="X26" s="2">
        <f t="shared" si="9"/>
        <v>0.60627273693885264</v>
      </c>
      <c r="Y26" s="2">
        <f t="shared" si="9"/>
        <v>0.62376391846415691</v>
      </c>
      <c r="Z26" s="2">
        <f t="shared" si="9"/>
        <v>0.43816977097285287</v>
      </c>
      <c r="AA26" s="2">
        <f t="shared" si="9"/>
        <v>0.41536532016670435</v>
      </c>
      <c r="AB26" s="2">
        <f t="shared" si="9"/>
        <v>0.43086584458790661</v>
      </c>
      <c r="AC26" s="2">
        <f t="shared" si="9"/>
        <v>0.28713275160320262</v>
      </c>
      <c r="AD26" s="2">
        <f t="shared" si="9"/>
        <v>0.27526302406137099</v>
      </c>
      <c r="AE26" s="2">
        <f t="shared" si="9"/>
        <v>0.27245995225506275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x14ac:dyDescent="0.25">
      <c r="A27" t="s">
        <v>12</v>
      </c>
      <c r="B27" s="2">
        <v>186.11</v>
      </c>
    </row>
    <row r="28" spans="1:43" x14ac:dyDescent="0.25">
      <c r="A28" t="s">
        <v>11</v>
      </c>
      <c r="B28">
        <v>180.15600000000001</v>
      </c>
    </row>
    <row r="29" spans="1:43" x14ac:dyDescent="0.25">
      <c r="A29" t="s">
        <v>123</v>
      </c>
      <c r="B29" s="2">
        <f>B26*($B$28/$B$27)</f>
        <v>1.1624805079534508</v>
      </c>
      <c r="C29" s="2">
        <f t="shared" ref="C29:AE29" si="10">C26*($B$28/$B$27)</f>
        <v>1.2190630421208495</v>
      </c>
      <c r="D29" s="2">
        <f t="shared" si="10"/>
        <v>1.2317330232691903</v>
      </c>
      <c r="E29" s="2">
        <f t="shared" si="10"/>
        <v>1.2087853339750538</v>
      </c>
      <c r="F29" s="2">
        <f t="shared" si="10"/>
        <v>1.2001022215690231</v>
      </c>
      <c r="G29" s="2">
        <f t="shared" si="10"/>
        <v>1.191006169312447</v>
      </c>
      <c r="H29" s="2">
        <f t="shared" si="10"/>
        <v>1.1648019389547188</v>
      </c>
      <c r="I29" s="2">
        <f t="shared" si="10"/>
        <v>1.156893710620533</v>
      </c>
      <c r="J29" s="2">
        <f t="shared" si="10"/>
        <v>1.2183892941517502</v>
      </c>
      <c r="K29" s="2">
        <f t="shared" si="10"/>
        <v>1.1512615978925682</v>
      </c>
      <c r="L29" s="2">
        <f t="shared" si="10"/>
        <v>1.1376139687266089</v>
      </c>
      <c r="M29" s="2">
        <f t="shared" si="10"/>
        <v>1.1808433334087576</v>
      </c>
      <c r="N29" s="2">
        <f t="shared" si="10"/>
        <v>1.0349265591840098</v>
      </c>
      <c r="O29" s="2">
        <f t="shared" si="10"/>
        <v>1.0691142758448018</v>
      </c>
      <c r="P29" s="2">
        <f t="shared" si="10"/>
        <v>1.1679446740710022</v>
      </c>
      <c r="Q29" s="2">
        <f t="shared" si="10"/>
        <v>0.9933738853884585</v>
      </c>
      <c r="R29" s="2">
        <f t="shared" si="10"/>
        <v>0.95392338180688396</v>
      </c>
      <c r="S29" s="2">
        <f t="shared" si="10"/>
        <v>0.98840260300936911</v>
      </c>
      <c r="T29" s="2">
        <f t="shared" si="10"/>
        <v>0.85482074414631637</v>
      </c>
      <c r="U29" s="2">
        <f t="shared" si="10"/>
        <v>0.78387001331934392</v>
      </c>
      <c r="V29" s="2">
        <f t="shared" si="10"/>
        <v>0.78053931824208655</v>
      </c>
      <c r="W29" s="2">
        <f t="shared" si="10"/>
        <v>0.62878648019616257</v>
      </c>
      <c r="X29" s="2">
        <f t="shared" si="10"/>
        <v>0.5868769609153508</v>
      </c>
      <c r="Y29" s="2">
        <f t="shared" si="10"/>
        <v>0.60380856748604939</v>
      </c>
      <c r="Z29" s="2">
        <f t="shared" si="10"/>
        <v>0.42415191692754434</v>
      </c>
      <c r="AA29" s="2">
        <f t="shared" si="10"/>
        <v>0.40207702229838693</v>
      </c>
      <c r="AB29" s="2">
        <f t="shared" si="10"/>
        <v>0.41708165653419432</v>
      </c>
      <c r="AC29" s="2">
        <f t="shared" si="10"/>
        <v>0.2779468486262241</v>
      </c>
      <c r="AD29" s="2">
        <f t="shared" si="10"/>
        <v>0.26645685542313874</v>
      </c>
      <c r="AE29" s="2">
        <f t="shared" si="10"/>
        <v>0.26374345902134805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25">
      <c r="A30" t="s">
        <v>149</v>
      </c>
      <c r="B30" s="21">
        <v>100</v>
      </c>
    </row>
    <row r="31" spans="1:43" x14ac:dyDescent="0.25">
      <c r="A31" t="s">
        <v>131</v>
      </c>
      <c r="B31" s="2">
        <f t="shared" ref="B31:AE31" si="11">B29*$B$30</f>
        <v>116.24805079534508</v>
      </c>
      <c r="C31" s="2">
        <f t="shared" si="11"/>
        <v>121.90630421208495</v>
      </c>
      <c r="D31" s="2">
        <f t="shared" si="11"/>
        <v>123.17330232691903</v>
      </c>
      <c r="E31" s="2">
        <f t="shared" si="11"/>
        <v>120.87853339750538</v>
      </c>
      <c r="F31" s="2">
        <f t="shared" si="11"/>
        <v>120.01022215690232</v>
      </c>
      <c r="G31" s="2">
        <f t="shared" si="11"/>
        <v>119.1006169312447</v>
      </c>
      <c r="H31" s="2">
        <f t="shared" si="11"/>
        <v>116.48019389547188</v>
      </c>
      <c r="I31" s="2">
        <f t="shared" si="11"/>
        <v>115.6893710620533</v>
      </c>
      <c r="J31" s="2">
        <f t="shared" si="11"/>
        <v>121.83892941517502</v>
      </c>
      <c r="K31" s="2">
        <f t="shared" si="11"/>
        <v>115.12615978925682</v>
      </c>
      <c r="L31" s="2">
        <f t="shared" si="11"/>
        <v>113.7613968726609</v>
      </c>
      <c r="M31" s="2">
        <f t="shared" si="11"/>
        <v>118.08433334087576</v>
      </c>
      <c r="N31" s="2">
        <f t="shared" si="11"/>
        <v>103.49265591840097</v>
      </c>
      <c r="O31" s="2">
        <f t="shared" si="11"/>
        <v>106.91142758448018</v>
      </c>
      <c r="P31" s="2">
        <f t="shared" si="11"/>
        <v>116.79446740710023</v>
      </c>
      <c r="Q31" s="2">
        <f t="shared" si="11"/>
        <v>99.337388538845843</v>
      </c>
      <c r="R31" s="2">
        <f t="shared" si="11"/>
        <v>95.392338180688398</v>
      </c>
      <c r="S31" s="2">
        <f t="shared" si="11"/>
        <v>98.840260300936905</v>
      </c>
      <c r="T31" s="2">
        <f t="shared" si="11"/>
        <v>85.48207441463164</v>
      </c>
      <c r="U31" s="2">
        <f t="shared" si="11"/>
        <v>78.387001331934385</v>
      </c>
      <c r="V31" s="2">
        <f t="shared" si="11"/>
        <v>78.053931824208661</v>
      </c>
      <c r="W31" s="2">
        <f t="shared" si="11"/>
        <v>62.878648019616257</v>
      </c>
      <c r="X31" s="2">
        <f t="shared" si="11"/>
        <v>58.687696091535081</v>
      </c>
      <c r="Y31" s="2">
        <f t="shared" si="11"/>
        <v>60.380856748604941</v>
      </c>
      <c r="Z31" s="2">
        <f t="shared" si="11"/>
        <v>42.415191692754433</v>
      </c>
      <c r="AA31" s="2">
        <f t="shared" si="11"/>
        <v>40.207702229838695</v>
      </c>
      <c r="AB31" s="2">
        <f t="shared" si="11"/>
        <v>41.708165653419435</v>
      </c>
      <c r="AC31" s="2">
        <f t="shared" si="11"/>
        <v>27.794684862622411</v>
      </c>
      <c r="AD31" s="2">
        <f t="shared" si="11"/>
        <v>26.645685542313874</v>
      </c>
      <c r="AE31" s="2">
        <f t="shared" si="11"/>
        <v>26.374345902134806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3" spans="1:9" ht="30" x14ac:dyDescent="0.25">
      <c r="A33" s="4" t="s">
        <v>14</v>
      </c>
      <c r="B33" s="6" t="s">
        <v>145</v>
      </c>
      <c r="C33" s="6" t="s">
        <v>146</v>
      </c>
      <c r="D33" s="6" t="s">
        <v>147</v>
      </c>
      <c r="E33" s="6" t="s">
        <v>148</v>
      </c>
      <c r="F33" s="6" t="s">
        <v>135</v>
      </c>
      <c r="G33" s="3"/>
      <c r="H33" s="3"/>
      <c r="I33" s="3"/>
    </row>
    <row r="34" spans="1:9" x14ac:dyDescent="0.25">
      <c r="A34">
        <v>0</v>
      </c>
      <c r="B34" s="11">
        <f t="shared" ref="B34:B43" si="12">O5</f>
        <v>5.0298944297940802E-2</v>
      </c>
      <c r="C34" s="2">
        <f>B31</f>
        <v>116.24805079534508</v>
      </c>
      <c r="D34" s="2">
        <f t="shared" ref="D34:E34" si="13">C31</f>
        <v>121.90630421208495</v>
      </c>
      <c r="E34" s="2">
        <f t="shared" si="13"/>
        <v>123.17330232691903</v>
      </c>
      <c r="F34" s="2">
        <f>AVERAGE(C34:E34)</f>
        <v>120.44255244478302</v>
      </c>
      <c r="G34" s="2"/>
      <c r="H34" s="2"/>
      <c r="I34" s="2"/>
    </row>
    <row r="35" spans="1:9" x14ac:dyDescent="0.25">
      <c r="A35">
        <v>1</v>
      </c>
      <c r="B35" s="11">
        <f t="shared" si="12"/>
        <v>9.4925075329196557E-2</v>
      </c>
      <c r="C35" s="2">
        <f>E31</f>
        <v>120.87853339750538</v>
      </c>
      <c r="D35" s="2">
        <f t="shared" ref="D35:E35" si="14">F31</f>
        <v>120.01022215690232</v>
      </c>
      <c r="E35" s="2">
        <f t="shared" si="14"/>
        <v>119.1006169312447</v>
      </c>
      <c r="F35" s="2">
        <f t="shared" ref="F35:F43" si="15">AVERAGE(C35:E35)</f>
        <v>119.99645749521746</v>
      </c>
      <c r="G35" s="2"/>
      <c r="H35" s="2"/>
      <c r="I35" s="2"/>
    </row>
    <row r="36" spans="1:9" x14ac:dyDescent="0.25">
      <c r="A36">
        <v>2</v>
      </c>
      <c r="B36" s="11">
        <f t="shared" si="12"/>
        <v>0.15203139554715941</v>
      </c>
      <c r="C36" s="2">
        <f>H31</f>
        <v>116.48019389547188</v>
      </c>
      <c r="D36" s="2">
        <f t="shared" ref="D36:E36" si="16">I31</f>
        <v>115.6893710620533</v>
      </c>
      <c r="E36" s="2">
        <f t="shared" si="16"/>
        <v>121.83892941517502</v>
      </c>
      <c r="F36" s="2">
        <f t="shared" si="15"/>
        <v>118.00283145756673</v>
      </c>
      <c r="G36" s="2"/>
      <c r="H36" s="2"/>
      <c r="I36" s="2"/>
    </row>
    <row r="37" spans="1:9" x14ac:dyDescent="0.25">
      <c r="A37">
        <v>3</v>
      </c>
      <c r="B37" s="11">
        <f t="shared" si="12"/>
        <v>0.24166184516078323</v>
      </c>
      <c r="C37" s="2">
        <f>K31</f>
        <v>115.12615978925682</v>
      </c>
      <c r="D37" s="2">
        <f t="shared" ref="D37:E37" si="17">L31</f>
        <v>113.7613968726609</v>
      </c>
      <c r="E37" s="2">
        <f t="shared" si="17"/>
        <v>118.08433334087576</v>
      </c>
      <c r="F37" s="2">
        <f t="shared" si="15"/>
        <v>115.65729666759781</v>
      </c>
      <c r="G37" s="2"/>
      <c r="H37" s="2"/>
      <c r="I37" s="2"/>
    </row>
    <row r="38" spans="1:9" x14ac:dyDescent="0.25">
      <c r="A38">
        <v>3.75</v>
      </c>
      <c r="B38" s="11">
        <f t="shared" si="12"/>
        <v>0.35776542335227063</v>
      </c>
      <c r="C38" s="2">
        <f>N31</f>
        <v>103.49265591840097</v>
      </c>
      <c r="D38" s="2">
        <f t="shared" ref="D38:E38" si="18">O31</f>
        <v>106.91142758448018</v>
      </c>
      <c r="E38" s="2">
        <f t="shared" si="18"/>
        <v>116.79446740710023</v>
      </c>
      <c r="F38" s="2">
        <f t="shared" si="15"/>
        <v>109.06618363666045</v>
      </c>
      <c r="G38" s="2"/>
      <c r="H38" s="2"/>
      <c r="I38" s="2"/>
    </row>
    <row r="39" spans="1:9" x14ac:dyDescent="0.25">
      <c r="A39">
        <v>4.75</v>
      </c>
      <c r="B39" s="11">
        <f t="shared" si="12"/>
        <v>0.5744668901396397</v>
      </c>
      <c r="C39" s="2">
        <f>Q31</f>
        <v>99.337388538845843</v>
      </c>
      <c r="D39" s="2">
        <f t="shared" ref="D39:E39" si="19">R31</f>
        <v>95.392338180688398</v>
      </c>
      <c r="E39" s="2">
        <f t="shared" si="19"/>
        <v>98.840260300936905</v>
      </c>
      <c r="F39" s="2">
        <f t="shared" si="15"/>
        <v>97.856662340157058</v>
      </c>
      <c r="G39" s="2"/>
      <c r="H39" s="2"/>
      <c r="I39" s="2"/>
    </row>
    <row r="40" spans="1:9" x14ac:dyDescent="0.25">
      <c r="A40">
        <v>5.75</v>
      </c>
      <c r="B40" s="11">
        <f t="shared" si="12"/>
        <v>0.86869680490503776</v>
      </c>
      <c r="C40" s="2">
        <f>T31</f>
        <v>85.48207441463164</v>
      </c>
      <c r="D40" s="2">
        <f t="shared" ref="D40:E40" si="20">U31</f>
        <v>78.387001331934385</v>
      </c>
      <c r="E40" s="2">
        <f t="shared" si="20"/>
        <v>78.053931824208661</v>
      </c>
      <c r="F40" s="2">
        <f t="shared" si="15"/>
        <v>80.641002523591553</v>
      </c>
      <c r="G40" s="2"/>
      <c r="H40" s="2"/>
      <c r="I40" s="2"/>
    </row>
    <row r="41" spans="1:9" x14ac:dyDescent="0.25">
      <c r="A41">
        <v>6.75</v>
      </c>
      <c r="B41" s="11">
        <f t="shared" si="12"/>
        <v>1.0437976410700498</v>
      </c>
      <c r="C41" s="2">
        <f>W31</f>
        <v>62.878648019616257</v>
      </c>
      <c r="D41" s="2">
        <f t="shared" ref="D41:E41" si="21">X31</f>
        <v>58.687696091535081</v>
      </c>
      <c r="E41" s="2">
        <f t="shared" si="21"/>
        <v>60.380856748604941</v>
      </c>
      <c r="F41" s="2">
        <f t="shared" si="15"/>
        <v>60.649066953252088</v>
      </c>
    </row>
    <row r="42" spans="1:9" x14ac:dyDescent="0.25">
      <c r="A42">
        <v>7.75</v>
      </c>
      <c r="B42" s="11">
        <f t="shared" si="12"/>
        <v>1.149690155381504</v>
      </c>
      <c r="C42" s="2">
        <f>Z31</f>
        <v>42.415191692754433</v>
      </c>
      <c r="D42" s="2">
        <f t="shared" ref="D42:E42" si="22">AA31</f>
        <v>40.207702229838695</v>
      </c>
      <c r="E42" s="2">
        <f t="shared" si="22"/>
        <v>41.708165653419435</v>
      </c>
      <c r="F42" s="2">
        <f t="shared" si="15"/>
        <v>41.443686525337519</v>
      </c>
    </row>
    <row r="43" spans="1:9" x14ac:dyDescent="0.25">
      <c r="A43">
        <v>8.75</v>
      </c>
      <c r="B43" s="11">
        <f t="shared" si="12"/>
        <v>1.2139820390706013</v>
      </c>
      <c r="C43" s="2">
        <f>AC31</f>
        <v>27.794684862622411</v>
      </c>
      <c r="D43" s="2">
        <f t="shared" ref="D43:E43" si="23">AD31</f>
        <v>26.645685542313874</v>
      </c>
      <c r="E43" s="2">
        <f t="shared" si="23"/>
        <v>26.374345902134806</v>
      </c>
      <c r="F43" s="2">
        <f t="shared" si="15"/>
        <v>26.938238769023698</v>
      </c>
    </row>
    <row r="44" spans="1:9" x14ac:dyDescent="0.25">
      <c r="C44" s="6" t="s">
        <v>62</v>
      </c>
      <c r="D44" s="6" t="s">
        <v>63</v>
      </c>
      <c r="E44" s="6" t="s">
        <v>64</v>
      </c>
      <c r="F44" s="6" t="s">
        <v>135</v>
      </c>
      <c r="G44" s="6" t="s">
        <v>136</v>
      </c>
    </row>
    <row r="45" spans="1:9" x14ac:dyDescent="0.25">
      <c r="B45" t="s">
        <v>133</v>
      </c>
      <c r="C45">
        <f>SLOPE(C38:C41,$B$38:$B$41)</f>
        <v>-56.543187159447292</v>
      </c>
      <c r="D45">
        <f>SLOPE(D38:D41,$B$38:$B$41)</f>
        <v>-67.941122830381843</v>
      </c>
      <c r="E45">
        <f>SLOPE(E38:E41,$B$38:$B$41)</f>
        <v>-80.317557578999001</v>
      </c>
      <c r="F45" s="19">
        <f>ABS(AVERAGE(C45:E45))</f>
        <v>68.267289189609372</v>
      </c>
      <c r="G45" s="19">
        <f>_xlfn.STDEV.S(C45:E45)/(SQRT(COUNT(C45:E45)))</f>
        <v>6.8650069332796333</v>
      </c>
    </row>
    <row r="46" spans="1:9" x14ac:dyDescent="0.25">
      <c r="B46" t="s">
        <v>134</v>
      </c>
      <c r="C46" s="22">
        <f>(CORREL($B$38:$B$41,C38:C41))^2</f>
        <v>0.88696277436224935</v>
      </c>
      <c r="D46" s="22">
        <f t="shared" ref="D46:E46" si="24">(CORREL($B$38:$B$41,D38:D41))^2</f>
        <v>0.97277832089246297</v>
      </c>
      <c r="E46" s="22">
        <f t="shared" si="24"/>
        <v>0.99598752974284877</v>
      </c>
    </row>
  </sheetData>
  <mergeCells count="3">
    <mergeCell ref="B3:F3"/>
    <mergeCell ref="H3:L3"/>
    <mergeCell ref="Q3:W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8BAA-1AF1-467A-8C72-0A8C90820B19}">
  <dimension ref="A1:AQ55"/>
  <sheetViews>
    <sheetView topLeftCell="E27" zoomScale="85" zoomScaleNormal="85" workbookViewId="0">
      <selection activeCell="P34" sqref="P34"/>
    </sheetView>
  </sheetViews>
  <sheetFormatPr defaultColWidth="8.85546875" defaultRowHeight="15" x14ac:dyDescent="0.25"/>
  <cols>
    <col min="1" max="1" width="66.42578125" bestFit="1" customWidth="1"/>
    <col min="2" max="43" width="11.85546875" customWidth="1"/>
    <col min="44" max="46" width="21.7109375" bestFit="1" customWidth="1"/>
  </cols>
  <sheetData>
    <row r="1" spans="1:23" x14ac:dyDescent="0.25">
      <c r="A1" t="s">
        <v>124</v>
      </c>
      <c r="B1">
        <v>20230110</v>
      </c>
    </row>
    <row r="2" spans="1:23" x14ac:dyDescent="0.25">
      <c r="A2" t="s">
        <v>57</v>
      </c>
      <c r="B2">
        <v>0.41139241809999999</v>
      </c>
    </row>
    <row r="3" spans="1:23" x14ac:dyDescent="0.25">
      <c r="B3" s="49" t="s">
        <v>215</v>
      </c>
      <c r="C3" s="49"/>
      <c r="D3" s="49"/>
      <c r="E3" s="49"/>
      <c r="F3" s="49"/>
      <c r="H3" s="42" t="s">
        <v>60</v>
      </c>
      <c r="I3" s="42"/>
      <c r="J3" s="42"/>
      <c r="K3" s="42"/>
      <c r="L3" s="42"/>
      <c r="Q3" s="42" t="s">
        <v>430</v>
      </c>
      <c r="R3" s="42"/>
      <c r="S3" s="42"/>
      <c r="T3" s="42"/>
      <c r="U3" s="42"/>
      <c r="V3" s="42"/>
      <c r="W3" s="42"/>
    </row>
    <row r="4" spans="1:23" ht="30" x14ac:dyDescent="0.25">
      <c r="A4" s="4" t="s">
        <v>14</v>
      </c>
      <c r="B4" s="18" t="s">
        <v>62</v>
      </c>
      <c r="C4" s="18" t="s">
        <v>63</v>
      </c>
      <c r="D4" s="18" t="s">
        <v>64</v>
      </c>
      <c r="E4" s="18" t="s">
        <v>135</v>
      </c>
      <c r="F4" s="18" t="s">
        <v>214</v>
      </c>
      <c r="H4" s="18" t="s">
        <v>62</v>
      </c>
      <c r="I4" s="18" t="s">
        <v>63</v>
      </c>
      <c r="J4" s="18" t="s">
        <v>64</v>
      </c>
      <c r="K4" s="3" t="s">
        <v>135</v>
      </c>
      <c r="L4" s="18" t="s">
        <v>61</v>
      </c>
      <c r="N4" s="4" t="s">
        <v>14</v>
      </c>
      <c r="O4" s="3" t="s">
        <v>145</v>
      </c>
      <c r="R4" t="s">
        <v>62</v>
      </c>
      <c r="S4" t="s">
        <v>63</v>
      </c>
      <c r="T4" t="s">
        <v>64</v>
      </c>
      <c r="U4" s="20" t="s">
        <v>66</v>
      </c>
      <c r="V4" t="s">
        <v>214</v>
      </c>
      <c r="W4" t="s">
        <v>425</v>
      </c>
    </row>
    <row r="5" spans="1:23" x14ac:dyDescent="0.25">
      <c r="A5">
        <v>-1</v>
      </c>
      <c r="B5">
        <v>2.3E-2</v>
      </c>
      <c r="C5">
        <v>3.1E-2</v>
      </c>
      <c r="D5">
        <v>3.2000000000000001E-2</v>
      </c>
      <c r="E5" s="10">
        <f>AVERAGE(B5:D5)</f>
        <v>2.8666666666666663E-2</v>
      </c>
      <c r="F5" s="10">
        <f>_xlfn.STDEV.S(B5:D5)</f>
        <v>4.9328828623162475E-3</v>
      </c>
      <c r="H5" s="10">
        <f t="shared" ref="H5:J20" si="0">LN(B5)</f>
        <v>-3.7722610630529876</v>
      </c>
      <c r="I5" s="10">
        <f t="shared" si="0"/>
        <v>-3.473768074496991</v>
      </c>
      <c r="J5" s="10">
        <f t="shared" si="0"/>
        <v>-3.4420193761824103</v>
      </c>
      <c r="K5" s="10">
        <f t="shared" ref="K5:K20" si="1">AVERAGE(H5:J5)</f>
        <v>-3.562682837910796</v>
      </c>
      <c r="L5" s="11">
        <f t="shared" ref="L5:L20" si="2">_xlfn.STDEV.S(H5:J5)</f>
        <v>0.18219294525716639</v>
      </c>
      <c r="N5">
        <v>0</v>
      </c>
      <c r="O5" s="11">
        <f>((AVERAGE(B6:D6))*$B$2)/0.1717</f>
        <v>0.36419130781129888</v>
      </c>
      <c r="P5" s="10"/>
      <c r="Q5" t="s">
        <v>424</v>
      </c>
      <c r="R5" s="2">
        <f>SLOPE(H9:H15,$A$9:$A$15)</f>
        <v>0.19274269502763039</v>
      </c>
      <c r="S5" s="2">
        <f t="shared" ref="S5:T5" si="3">SLOPE(I9:I15,$A$9:$A$15)</f>
        <v>0.16943457858462496</v>
      </c>
      <c r="T5" s="2">
        <f t="shared" si="3"/>
        <v>0.15277384196592242</v>
      </c>
      <c r="U5" s="2">
        <f>AVERAGE(R5:T5)</f>
        <v>0.17165037185939261</v>
      </c>
      <c r="V5" s="10">
        <f>_xlfn.STDEV.S(R5:T5)</f>
        <v>2.0076344504029606E-2</v>
      </c>
      <c r="W5" s="10">
        <f>(_xlfn.STDEV.S(R5:T5))/(SQRT(COUNT(R5:T5)))</f>
        <v>1.1591082903745158E-2</v>
      </c>
    </row>
    <row r="6" spans="1:23" x14ac:dyDescent="0.25">
      <c r="A6">
        <v>0</v>
      </c>
      <c r="B6">
        <v>0.14000000000000001</v>
      </c>
      <c r="C6">
        <v>0.15</v>
      </c>
      <c r="D6">
        <v>0.16600000000000001</v>
      </c>
      <c r="E6" s="10">
        <f t="shared" ref="E6:E20" si="4">AVERAGE(B6:D6)</f>
        <v>0.15200000000000002</v>
      </c>
      <c r="F6" s="10">
        <f t="shared" ref="F6:F20" si="5">_xlfn.STDEV.S(B6:D6)</f>
        <v>1.3114877048604E-2</v>
      </c>
      <c r="H6" s="10">
        <f t="shared" si="0"/>
        <v>-1.9661128563728327</v>
      </c>
      <c r="I6" s="10">
        <f t="shared" si="0"/>
        <v>-1.8971199848858813</v>
      </c>
      <c r="J6" s="10">
        <f t="shared" si="0"/>
        <v>-1.7957674906255938</v>
      </c>
      <c r="K6" s="10">
        <f t="shared" si="1"/>
        <v>-1.8863334439614361</v>
      </c>
      <c r="L6" s="11">
        <f t="shared" si="2"/>
        <v>8.5683417338048545E-2</v>
      </c>
      <c r="N6">
        <v>1</v>
      </c>
      <c r="O6" s="11">
        <f t="shared" ref="O6:O19" si="6">((AVERAGE(B7:D7))*$B$2)/0.1717</f>
        <v>0.45204447416928745</v>
      </c>
      <c r="P6" s="10"/>
      <c r="Q6" s="10"/>
      <c r="R6" s="11"/>
      <c r="V6" s="11"/>
    </row>
    <row r="7" spans="1:23" x14ac:dyDescent="0.25">
      <c r="A7">
        <v>1</v>
      </c>
      <c r="B7">
        <v>0.17</v>
      </c>
      <c r="C7">
        <v>0.188</v>
      </c>
      <c r="D7">
        <v>0.20799999999999999</v>
      </c>
      <c r="E7" s="10">
        <f t="shared" si="4"/>
        <v>0.18866666666666665</v>
      </c>
      <c r="F7" s="10">
        <f t="shared" si="5"/>
        <v>1.9008769905844325E-2</v>
      </c>
      <c r="H7" s="10">
        <f t="shared" si="0"/>
        <v>-1.7719568419318752</v>
      </c>
      <c r="I7" s="10">
        <f t="shared" si="0"/>
        <v>-1.6713133161521878</v>
      </c>
      <c r="J7" s="10">
        <f t="shared" si="0"/>
        <v>-1.5702171992808192</v>
      </c>
      <c r="K7" s="10">
        <f t="shared" si="1"/>
        <v>-1.6711624524549606</v>
      </c>
      <c r="L7" s="11">
        <f t="shared" si="2"/>
        <v>0.10086990593896329</v>
      </c>
      <c r="N7">
        <v>2</v>
      </c>
      <c r="O7" s="11">
        <f t="shared" si="6"/>
        <v>0.56226026469112789</v>
      </c>
      <c r="P7" s="10"/>
      <c r="Q7" s="10"/>
      <c r="R7" s="11"/>
      <c r="V7" s="11"/>
    </row>
    <row r="8" spans="1:23" x14ac:dyDescent="0.25">
      <c r="A8">
        <v>2</v>
      </c>
      <c r="B8">
        <v>0.20799999999999999</v>
      </c>
      <c r="C8">
        <v>0.23300000000000001</v>
      </c>
      <c r="D8">
        <v>0.26300000000000001</v>
      </c>
      <c r="E8" s="10">
        <f t="shared" si="4"/>
        <v>0.23466666666666666</v>
      </c>
      <c r="F8" s="10">
        <f t="shared" si="5"/>
        <v>2.7537852736430522E-2</v>
      </c>
      <c r="H8" s="10">
        <f t="shared" si="0"/>
        <v>-1.5702171992808192</v>
      </c>
      <c r="I8" s="10">
        <f t="shared" si="0"/>
        <v>-1.4567168254164364</v>
      </c>
      <c r="J8" s="10">
        <f t="shared" si="0"/>
        <v>-1.3356012468043725</v>
      </c>
      <c r="K8" s="10">
        <f t="shared" si="1"/>
        <v>-1.454178423833876</v>
      </c>
      <c r="L8" s="11">
        <f t="shared" si="2"/>
        <v>0.11732857239842868</v>
      </c>
      <c r="N8">
        <v>3</v>
      </c>
      <c r="O8" s="11">
        <f t="shared" si="6"/>
        <v>0.71640263839196272</v>
      </c>
      <c r="P8" s="10"/>
      <c r="Q8" s="10"/>
      <c r="R8" s="11"/>
      <c r="V8" s="11"/>
    </row>
    <row r="9" spans="1:23" x14ac:dyDescent="0.25">
      <c r="A9">
        <v>3</v>
      </c>
      <c r="B9">
        <v>0.26</v>
      </c>
      <c r="C9">
        <v>0.29899999999999999</v>
      </c>
      <c r="D9">
        <v>0.33800000000000002</v>
      </c>
      <c r="E9" s="10">
        <f t="shared" si="4"/>
        <v>0.29899999999999999</v>
      </c>
      <c r="F9" s="10">
        <f t="shared" si="5"/>
        <v>3.8999999999999931E-2</v>
      </c>
      <c r="H9" s="10">
        <f t="shared" si="0"/>
        <v>-1.3470736479666092</v>
      </c>
      <c r="I9" s="10">
        <f t="shared" si="0"/>
        <v>-1.2073117055914506</v>
      </c>
      <c r="J9" s="10">
        <f t="shared" si="0"/>
        <v>-1.0847093834991182</v>
      </c>
      <c r="K9" s="10">
        <f t="shared" si="1"/>
        <v>-1.2130315790190593</v>
      </c>
      <c r="L9" s="11">
        <f t="shared" si="2"/>
        <v>0.13127562428498596</v>
      </c>
      <c r="N9">
        <v>4</v>
      </c>
      <c r="O9" s="11">
        <f t="shared" si="6"/>
        <v>0.90728360893341098</v>
      </c>
      <c r="P9" s="10"/>
      <c r="Q9" s="10"/>
      <c r="R9" s="11"/>
      <c r="V9" s="11"/>
    </row>
    <row r="10" spans="1:23" x14ac:dyDescent="0.25">
      <c r="A10">
        <v>4</v>
      </c>
      <c r="B10">
        <v>0.32900000000000001</v>
      </c>
      <c r="C10">
        <v>0.38100000000000001</v>
      </c>
      <c r="D10">
        <v>0.42599999999999999</v>
      </c>
      <c r="E10" s="10">
        <f t="shared" si="4"/>
        <v>0.37866666666666665</v>
      </c>
      <c r="F10" s="10">
        <f t="shared" si="5"/>
        <v>4.8542077966784128E-2</v>
      </c>
      <c r="H10" s="10">
        <f t="shared" si="0"/>
        <v>-1.1116975282167652</v>
      </c>
      <c r="I10" s="10">
        <f t="shared" si="0"/>
        <v>-0.96495590385543606</v>
      </c>
      <c r="J10" s="10">
        <f t="shared" si="0"/>
        <v>-0.85331593271276662</v>
      </c>
      <c r="K10" s="10">
        <f t="shared" si="1"/>
        <v>-0.97665645492832276</v>
      </c>
      <c r="L10" s="11">
        <f t="shared" si="2"/>
        <v>0.12958757423207795</v>
      </c>
      <c r="N10">
        <v>5</v>
      </c>
      <c r="O10" s="11">
        <f t="shared" si="6"/>
        <v>1.0837886067980977</v>
      </c>
      <c r="P10" s="10"/>
      <c r="Q10" s="10"/>
      <c r="R10" s="11"/>
      <c r="V10" s="11"/>
    </row>
    <row r="11" spans="1:23" x14ac:dyDescent="0.25">
      <c r="A11">
        <v>5</v>
      </c>
      <c r="B11">
        <v>0.39800000000000002</v>
      </c>
      <c r="C11">
        <v>0.45600000000000002</v>
      </c>
      <c r="D11">
        <v>0.503</v>
      </c>
      <c r="E11" s="10">
        <f t="shared" si="4"/>
        <v>0.45233333333333342</v>
      </c>
      <c r="F11" s="10">
        <f t="shared" si="5"/>
        <v>5.2595944076832886E-2</v>
      </c>
      <c r="H11" s="10">
        <f t="shared" si="0"/>
        <v>-0.92130327369769927</v>
      </c>
      <c r="I11" s="10">
        <f t="shared" si="0"/>
        <v>-0.78526246946775091</v>
      </c>
      <c r="J11" s="10">
        <f t="shared" si="0"/>
        <v>-0.68716510888239779</v>
      </c>
      <c r="K11" s="10">
        <f t="shared" si="1"/>
        <v>-0.79791028401594932</v>
      </c>
      <c r="L11" s="11">
        <f t="shared" si="2"/>
        <v>0.11758037874323925</v>
      </c>
      <c r="N11">
        <v>6</v>
      </c>
      <c r="O11" s="11">
        <f t="shared" si="6"/>
        <v>1.2810588985292177</v>
      </c>
      <c r="P11" s="10"/>
      <c r="Q11" s="10"/>
      <c r="R11" s="11"/>
      <c r="V11" s="11"/>
    </row>
    <row r="12" spans="1:23" x14ac:dyDescent="0.25">
      <c r="A12">
        <v>6</v>
      </c>
      <c r="B12">
        <v>0.47499999999999998</v>
      </c>
      <c r="C12">
        <v>0.54200000000000004</v>
      </c>
      <c r="D12">
        <v>0.58699999999999997</v>
      </c>
      <c r="E12" s="10">
        <f t="shared" si="4"/>
        <v>0.53466666666666662</v>
      </c>
      <c r="F12" s="10">
        <f t="shared" si="5"/>
        <v>5.6358968526165676E-2</v>
      </c>
      <c r="H12" s="10">
        <f t="shared" si="0"/>
        <v>-0.74444047494749588</v>
      </c>
      <c r="I12" s="10">
        <f t="shared" si="0"/>
        <v>-0.61248927754249083</v>
      </c>
      <c r="J12" s="10">
        <f t="shared" si="0"/>
        <v>-0.53273045915404071</v>
      </c>
      <c r="K12" s="10">
        <f t="shared" si="1"/>
        <v>-0.62988673721467581</v>
      </c>
      <c r="L12" s="11">
        <f t="shared" si="2"/>
        <v>0.10692187053685608</v>
      </c>
      <c r="N12">
        <v>7</v>
      </c>
      <c r="O12" s="11">
        <f t="shared" si="6"/>
        <v>1.5478130581980201</v>
      </c>
      <c r="P12" s="10"/>
      <c r="Q12" s="10"/>
      <c r="R12" s="11"/>
      <c r="V12" s="11"/>
    </row>
    <row r="13" spans="1:23" x14ac:dyDescent="0.25">
      <c r="A13">
        <v>7</v>
      </c>
      <c r="B13">
        <v>0.59299999999999997</v>
      </c>
      <c r="C13">
        <v>0.64800000000000002</v>
      </c>
      <c r="D13">
        <v>0.69699999999999995</v>
      </c>
      <c r="E13" s="10">
        <f t="shared" si="4"/>
        <v>0.64600000000000002</v>
      </c>
      <c r="F13" s="10">
        <f t="shared" si="5"/>
        <v>5.2028838157314253E-2</v>
      </c>
      <c r="H13" s="10">
        <f t="shared" si="0"/>
        <v>-0.5225608799844117</v>
      </c>
      <c r="I13" s="10">
        <f t="shared" si="0"/>
        <v>-0.43386458262986233</v>
      </c>
      <c r="J13" s="10">
        <f t="shared" si="0"/>
        <v>-0.36096986822161325</v>
      </c>
      <c r="K13" s="10">
        <f t="shared" si="1"/>
        <v>-0.43913177694529582</v>
      </c>
      <c r="L13" s="11">
        <f t="shared" si="2"/>
        <v>8.0924169891315748E-2</v>
      </c>
      <c r="N13">
        <v>8</v>
      </c>
      <c r="O13" s="11">
        <f t="shared" si="6"/>
        <v>1.79220459370297</v>
      </c>
      <c r="P13" s="10"/>
      <c r="Q13" s="10"/>
      <c r="R13" s="11"/>
      <c r="V13" s="11"/>
    </row>
    <row r="14" spans="1:23" x14ac:dyDescent="0.25">
      <c r="A14">
        <v>8</v>
      </c>
      <c r="B14">
        <v>0.71099999999999997</v>
      </c>
      <c r="C14">
        <v>0.753</v>
      </c>
      <c r="D14">
        <v>0.78</v>
      </c>
      <c r="E14" s="10">
        <f t="shared" si="4"/>
        <v>0.74799999999999989</v>
      </c>
      <c r="F14" s="10">
        <f t="shared" si="5"/>
        <v>3.4770677301427452E-2</v>
      </c>
      <c r="H14" s="10">
        <f t="shared" si="0"/>
        <v>-0.3410828491788962</v>
      </c>
      <c r="I14" s="10">
        <f t="shared" si="0"/>
        <v>-0.2836900511822435</v>
      </c>
      <c r="J14" s="10">
        <f t="shared" si="0"/>
        <v>-0.24846135929849961</v>
      </c>
      <c r="K14" s="10">
        <f t="shared" si="1"/>
        <v>-0.29107808655321316</v>
      </c>
      <c r="L14" s="11">
        <f t="shared" si="2"/>
        <v>4.6750640604146465E-2</v>
      </c>
      <c r="N14">
        <v>9</v>
      </c>
      <c r="O14" s="11">
        <f t="shared" si="6"/>
        <v>1.9862802248392548</v>
      </c>
      <c r="P14" s="10"/>
      <c r="Q14" s="10"/>
      <c r="R14" s="11"/>
      <c r="V14" s="11"/>
    </row>
    <row r="15" spans="1:23" x14ac:dyDescent="0.25">
      <c r="A15">
        <v>9</v>
      </c>
      <c r="B15">
        <v>0.82299999999999995</v>
      </c>
      <c r="C15">
        <v>0.82099999999999995</v>
      </c>
      <c r="D15">
        <v>0.84299999999999997</v>
      </c>
      <c r="E15" s="10">
        <f t="shared" si="4"/>
        <v>0.82900000000000007</v>
      </c>
      <c r="F15" s="10">
        <f t="shared" si="5"/>
        <v>1.216552506059645E-2</v>
      </c>
      <c r="G15" s="10"/>
      <c r="H15" s="10">
        <f t="shared" si="0"/>
        <v>-0.19479907830506729</v>
      </c>
      <c r="I15" s="10">
        <f t="shared" si="0"/>
        <v>-0.1972321695297089</v>
      </c>
      <c r="J15" s="11">
        <f t="shared" si="0"/>
        <v>-0.17078832098028163</v>
      </c>
      <c r="K15" s="10">
        <f t="shared" si="1"/>
        <v>-0.18760652293835259</v>
      </c>
      <c r="L15" s="11">
        <f t="shared" si="2"/>
        <v>1.4615708024372403E-2</v>
      </c>
      <c r="N15">
        <v>10</v>
      </c>
      <c r="O15" s="11">
        <f t="shared" si="6"/>
        <v>2.1068786622943114</v>
      </c>
      <c r="P15" s="10"/>
      <c r="Q15" s="10"/>
      <c r="R15" s="11"/>
      <c r="U15" s="11"/>
      <c r="V15" s="11"/>
    </row>
    <row r="16" spans="1:23" x14ac:dyDescent="0.25">
      <c r="A16">
        <v>10</v>
      </c>
      <c r="B16">
        <v>0.88300000000000001</v>
      </c>
      <c r="C16">
        <v>0.86399999999999999</v>
      </c>
      <c r="D16">
        <v>0.89100000000000001</v>
      </c>
      <c r="E16" s="10">
        <f t="shared" si="4"/>
        <v>0.8793333333333333</v>
      </c>
      <c r="F16" s="10">
        <f t="shared" si="5"/>
        <v>1.3868429375143159E-2</v>
      </c>
      <c r="G16" s="10"/>
      <c r="H16" s="10">
        <f t="shared" si="0"/>
        <v>-0.12443007837817703</v>
      </c>
      <c r="I16" s="10">
        <f t="shared" si="0"/>
        <v>-0.14618251017808145</v>
      </c>
      <c r="J16" s="11">
        <f t="shared" si="0"/>
        <v>-0.11541085151132773</v>
      </c>
      <c r="K16" s="10">
        <f t="shared" si="1"/>
        <v>-0.12867448002252874</v>
      </c>
      <c r="L16" s="11">
        <f t="shared" si="2"/>
        <v>1.5818816430590868E-2</v>
      </c>
      <c r="N16">
        <v>11</v>
      </c>
      <c r="O16" s="11">
        <f t="shared" si="6"/>
        <v>2.2458463981696761</v>
      </c>
      <c r="P16" s="10"/>
      <c r="Q16" s="10"/>
      <c r="R16" s="11"/>
      <c r="U16" s="11"/>
      <c r="V16" s="11"/>
    </row>
    <row r="17" spans="1:43" x14ac:dyDescent="0.25">
      <c r="A17">
        <v>11</v>
      </c>
      <c r="B17">
        <v>0.93700000000000006</v>
      </c>
      <c r="C17">
        <v>0.93600000000000005</v>
      </c>
      <c r="D17">
        <v>0.93899999999999995</v>
      </c>
      <c r="E17" s="10">
        <f t="shared" si="4"/>
        <v>0.93733333333333346</v>
      </c>
      <c r="F17" s="10">
        <f t="shared" si="5"/>
        <v>1.5275252316518874E-3</v>
      </c>
      <c r="G17" s="10"/>
      <c r="H17" s="10">
        <f t="shared" si="0"/>
        <v>-6.5071996743714805E-2</v>
      </c>
      <c r="I17" s="10">
        <f t="shared" si="0"/>
        <v>-6.6139802504544945E-2</v>
      </c>
      <c r="J17" s="11">
        <f t="shared" si="0"/>
        <v>-6.2939799773874205E-2</v>
      </c>
      <c r="K17" s="10">
        <f t="shared" si="1"/>
        <v>-6.4717199674044656E-2</v>
      </c>
      <c r="L17" s="11">
        <f t="shared" si="2"/>
        <v>1.6292375792253085E-3</v>
      </c>
      <c r="N17">
        <v>12</v>
      </c>
      <c r="O17" s="11">
        <f t="shared" si="6"/>
        <v>2.317726261553485</v>
      </c>
      <c r="P17" s="10"/>
      <c r="Q17" s="10"/>
      <c r="R17" s="11"/>
      <c r="U17" s="11"/>
      <c r="V17" s="11"/>
    </row>
    <row r="18" spans="1:43" x14ac:dyDescent="0.25">
      <c r="A18">
        <v>12</v>
      </c>
      <c r="B18">
        <v>0.97899999999999998</v>
      </c>
      <c r="C18">
        <v>0.95199999999999996</v>
      </c>
      <c r="D18">
        <v>0.97099999999999997</v>
      </c>
      <c r="E18" s="10">
        <f t="shared" si="4"/>
        <v>0.96733333333333338</v>
      </c>
      <c r="F18" s="10">
        <f t="shared" si="5"/>
        <v>1.3868429375143159E-2</v>
      </c>
      <c r="G18" s="10"/>
      <c r="H18" s="10">
        <f t="shared" si="0"/>
        <v>-2.1223636451626688E-2</v>
      </c>
      <c r="I18" s="10">
        <f t="shared" si="0"/>
        <v>-4.9190244190771781E-2</v>
      </c>
      <c r="J18" s="11">
        <f t="shared" si="0"/>
        <v>-2.9428810690812168E-2</v>
      </c>
      <c r="K18" s="10">
        <f t="shared" si="1"/>
        <v>-3.3280897111070212E-2</v>
      </c>
      <c r="L18" s="11">
        <f t="shared" si="2"/>
        <v>1.4375733527394517E-2</v>
      </c>
      <c r="N18">
        <v>13</v>
      </c>
      <c r="O18" s="11">
        <f t="shared" si="6"/>
        <v>2.3728341568144051</v>
      </c>
      <c r="P18" s="10"/>
      <c r="Q18" s="10"/>
      <c r="R18" s="11"/>
      <c r="U18" s="11"/>
      <c r="V18" s="11"/>
    </row>
    <row r="19" spans="1:43" x14ac:dyDescent="0.25">
      <c r="A19">
        <v>13</v>
      </c>
      <c r="B19">
        <v>1.004</v>
      </c>
      <c r="C19">
        <v>0.97499999999999998</v>
      </c>
      <c r="D19">
        <v>0.99199999999999999</v>
      </c>
      <c r="E19" s="10">
        <f t="shared" si="4"/>
        <v>0.9903333333333334</v>
      </c>
      <c r="F19" s="10">
        <f t="shared" si="5"/>
        <v>1.4571661996262942E-2</v>
      </c>
      <c r="G19" s="10"/>
      <c r="H19" s="10">
        <f t="shared" si="0"/>
        <v>3.9920212695374567E-3</v>
      </c>
      <c r="I19" s="10">
        <f t="shared" si="0"/>
        <v>-2.5317807984289897E-2</v>
      </c>
      <c r="J19" s="11">
        <f t="shared" si="0"/>
        <v>-8.0321716972642666E-3</v>
      </c>
      <c r="K19" s="10">
        <f t="shared" si="1"/>
        <v>-9.7859861373389024E-3</v>
      </c>
      <c r="L19" s="11">
        <f t="shared" si="2"/>
        <v>1.4733411741337752E-2</v>
      </c>
      <c r="N19">
        <v>14</v>
      </c>
      <c r="O19" s="11">
        <f t="shared" si="6"/>
        <v>2.4199554005882349</v>
      </c>
      <c r="P19" s="10"/>
      <c r="Q19" s="10"/>
      <c r="R19" s="11"/>
      <c r="U19" s="11"/>
      <c r="V19" s="11"/>
    </row>
    <row r="20" spans="1:43" x14ac:dyDescent="0.25">
      <c r="A20">
        <v>14</v>
      </c>
      <c r="B20">
        <v>1.0149999999999999</v>
      </c>
      <c r="C20">
        <v>1.0049999999999999</v>
      </c>
      <c r="D20">
        <v>1.01</v>
      </c>
      <c r="E20" s="10">
        <f t="shared" si="4"/>
        <v>1.0099999999999998</v>
      </c>
      <c r="F20" s="10">
        <f t="shared" si="5"/>
        <v>5.0000000000000044E-3</v>
      </c>
      <c r="G20" s="10"/>
      <c r="H20" s="10">
        <f t="shared" si="0"/>
        <v>1.4888612493750559E-2</v>
      </c>
      <c r="I20" s="10">
        <f t="shared" si="0"/>
        <v>4.9875415110389679E-3</v>
      </c>
      <c r="J20" s="11">
        <f t="shared" si="0"/>
        <v>9.950330853168092E-3</v>
      </c>
      <c r="K20" s="10">
        <f t="shared" si="1"/>
        <v>9.9421616193192067E-3</v>
      </c>
      <c r="L20" s="11">
        <f t="shared" si="2"/>
        <v>4.9505405465928298E-3</v>
      </c>
      <c r="N20" s="10"/>
      <c r="O20" s="10"/>
      <c r="P20" s="10"/>
      <c r="Q20" s="10"/>
      <c r="R20" s="11"/>
      <c r="U20" s="11"/>
      <c r="V20" s="11"/>
    </row>
    <row r="21" spans="1:43" x14ac:dyDescent="0.25">
      <c r="E21" s="10"/>
      <c r="F21" s="10"/>
      <c r="H21" s="10"/>
      <c r="I21" s="10"/>
      <c r="J21" s="11"/>
      <c r="K21" s="10"/>
      <c r="L21" s="11"/>
      <c r="O21" s="10"/>
    </row>
    <row r="22" spans="1:43" x14ac:dyDescent="0.25">
      <c r="A22" t="s">
        <v>7</v>
      </c>
      <c r="B22" t="s">
        <v>331</v>
      </c>
      <c r="C22" t="s">
        <v>332</v>
      </c>
      <c r="D22" t="s">
        <v>333</v>
      </c>
      <c r="E22" t="s">
        <v>298</v>
      </c>
      <c r="F22" t="s">
        <v>299</v>
      </c>
      <c r="G22" t="s">
        <v>300</v>
      </c>
      <c r="H22" t="s">
        <v>301</v>
      </c>
      <c r="I22" s="23" t="s">
        <v>302</v>
      </c>
      <c r="J22" t="s">
        <v>303</v>
      </c>
      <c r="K22" t="s">
        <v>304</v>
      </c>
      <c r="L22" t="s">
        <v>305</v>
      </c>
      <c r="M22" t="s">
        <v>306</v>
      </c>
      <c r="N22" t="s">
        <v>307</v>
      </c>
      <c r="O22" s="23" t="s">
        <v>308</v>
      </c>
      <c r="P22" t="s">
        <v>309</v>
      </c>
      <c r="Q22" t="s">
        <v>310</v>
      </c>
      <c r="R22" t="s">
        <v>311</v>
      </c>
      <c r="S22" t="s">
        <v>312</v>
      </c>
      <c r="T22" t="s">
        <v>313</v>
      </c>
      <c r="U22" t="s">
        <v>314</v>
      </c>
      <c r="V22" t="s">
        <v>315</v>
      </c>
      <c r="W22" t="s">
        <v>316</v>
      </c>
      <c r="X22" t="s">
        <v>317</v>
      </c>
      <c r="Y22" t="s">
        <v>318</v>
      </c>
      <c r="Z22" t="s">
        <v>319</v>
      </c>
      <c r="AA22" t="s">
        <v>320</v>
      </c>
      <c r="AB22" t="s">
        <v>321</v>
      </c>
      <c r="AC22" t="s">
        <v>322</v>
      </c>
      <c r="AD22" t="s">
        <v>323</v>
      </c>
      <c r="AE22" t="s">
        <v>324</v>
      </c>
      <c r="AF22" t="s">
        <v>325</v>
      </c>
      <c r="AG22" t="s">
        <v>326</v>
      </c>
      <c r="AH22" t="s">
        <v>327</v>
      </c>
      <c r="AI22" t="s">
        <v>328</v>
      </c>
      <c r="AJ22" t="s">
        <v>329</v>
      </c>
      <c r="AK22" t="s">
        <v>330</v>
      </c>
    </row>
    <row r="23" spans="1:43" x14ac:dyDescent="0.25">
      <c r="A23" t="s">
        <v>0</v>
      </c>
      <c r="B23" s="1">
        <v>85008472</v>
      </c>
      <c r="C23" s="1">
        <v>80246584</v>
      </c>
      <c r="D23" s="1">
        <v>78692504</v>
      </c>
      <c r="E23" s="1">
        <v>75073768</v>
      </c>
      <c r="F23" s="1">
        <v>79667176</v>
      </c>
      <c r="G23" s="1">
        <v>78064376</v>
      </c>
      <c r="H23" s="1">
        <v>86403336</v>
      </c>
      <c r="I23" s="24">
        <v>224594480</v>
      </c>
      <c r="J23" s="1">
        <v>70374040</v>
      </c>
      <c r="K23" s="1">
        <v>73793480</v>
      </c>
      <c r="L23" s="1">
        <v>74661992</v>
      </c>
      <c r="M23" s="1">
        <v>75693152</v>
      </c>
      <c r="N23" s="1">
        <v>77056024</v>
      </c>
      <c r="O23" s="24">
        <v>14695.04</v>
      </c>
      <c r="P23" s="1">
        <v>77466960</v>
      </c>
      <c r="Q23" s="1">
        <v>94477240</v>
      </c>
      <c r="R23" s="1">
        <v>98108088</v>
      </c>
      <c r="S23" s="1">
        <v>89821960</v>
      </c>
      <c r="T23" s="1">
        <v>92519512</v>
      </c>
      <c r="U23" s="1">
        <v>85918736</v>
      </c>
      <c r="V23" s="1">
        <v>86415688</v>
      </c>
      <c r="W23" s="1">
        <v>88879136</v>
      </c>
      <c r="X23" s="1">
        <v>82925792</v>
      </c>
      <c r="Y23" s="1">
        <v>79756792</v>
      </c>
      <c r="Z23" s="1">
        <v>85538856</v>
      </c>
      <c r="AA23" s="1">
        <v>78624224</v>
      </c>
      <c r="AB23" s="1">
        <v>72388800</v>
      </c>
      <c r="AC23" s="1">
        <v>67959456</v>
      </c>
      <c r="AD23" s="1">
        <v>68790784</v>
      </c>
      <c r="AE23" s="1">
        <v>67444744</v>
      </c>
      <c r="AF23" s="1">
        <v>63685356</v>
      </c>
      <c r="AG23" s="1">
        <v>56864736</v>
      </c>
      <c r="AH23" s="1">
        <v>58539984</v>
      </c>
      <c r="AI23" s="1">
        <v>51252044</v>
      </c>
      <c r="AJ23" s="1">
        <v>48127756</v>
      </c>
      <c r="AK23" s="1">
        <v>44112272</v>
      </c>
      <c r="AL23" s="1"/>
      <c r="AM23" s="1"/>
      <c r="AN23" s="1"/>
      <c r="AO23" s="1"/>
      <c r="AP23" s="1"/>
      <c r="AQ23" s="1"/>
    </row>
    <row r="24" spans="1:43" x14ac:dyDescent="0.25">
      <c r="A24" t="s">
        <v>1</v>
      </c>
      <c r="B24" s="1">
        <v>5447976.5</v>
      </c>
      <c r="C24" s="1">
        <v>4778112</v>
      </c>
      <c r="D24" s="1">
        <v>4896288</v>
      </c>
      <c r="E24" s="1">
        <v>4638993.5</v>
      </c>
      <c r="F24" s="1">
        <v>4914901.5</v>
      </c>
      <c r="G24" s="1">
        <v>4890134.5</v>
      </c>
      <c r="H24" s="1">
        <v>4980964.5</v>
      </c>
      <c r="I24" s="24">
        <v>14454288</v>
      </c>
      <c r="J24" s="1">
        <v>4580722.5</v>
      </c>
      <c r="K24" s="1">
        <v>4581176</v>
      </c>
      <c r="L24" s="1">
        <v>4642817.5</v>
      </c>
      <c r="M24" s="1">
        <v>4586465</v>
      </c>
      <c r="N24" s="1">
        <v>4839286</v>
      </c>
      <c r="O24" s="24">
        <v>0</v>
      </c>
      <c r="P24" s="1">
        <v>4875207.5</v>
      </c>
      <c r="Q24" s="1">
        <v>5378790.5</v>
      </c>
      <c r="R24" s="1">
        <v>5961673.5</v>
      </c>
      <c r="S24" s="1">
        <v>5428293.5</v>
      </c>
      <c r="T24" s="1">
        <v>5507590.5</v>
      </c>
      <c r="U24" s="1">
        <v>5221100</v>
      </c>
      <c r="V24" s="1">
        <v>5358498.5</v>
      </c>
      <c r="W24" s="1">
        <v>5688806.5</v>
      </c>
      <c r="X24" s="1">
        <v>4983754.5</v>
      </c>
      <c r="Y24" s="1">
        <v>4696967.5</v>
      </c>
      <c r="Z24" s="1">
        <v>5297817.5</v>
      </c>
      <c r="AA24" s="1">
        <v>4896179.5</v>
      </c>
      <c r="AB24" s="1">
        <v>4264834.5</v>
      </c>
      <c r="AC24" s="1">
        <v>4286245.5</v>
      </c>
      <c r="AD24" s="1">
        <v>4270676.5</v>
      </c>
      <c r="AE24" s="1">
        <v>4198256.5</v>
      </c>
      <c r="AF24" s="1">
        <v>3887752</v>
      </c>
      <c r="AG24" s="1">
        <v>3518515.25</v>
      </c>
      <c r="AH24" s="1">
        <v>3824482</v>
      </c>
      <c r="AI24" s="1">
        <v>3295225.75</v>
      </c>
      <c r="AJ24" s="1">
        <v>2898346</v>
      </c>
      <c r="AK24" s="1">
        <v>2742357.75</v>
      </c>
      <c r="AL24" s="1"/>
      <c r="AM24" s="1"/>
      <c r="AN24" s="1"/>
      <c r="AO24" s="1"/>
      <c r="AP24" s="1"/>
      <c r="AQ24" s="1"/>
    </row>
    <row r="25" spans="1:43" x14ac:dyDescent="0.25">
      <c r="A25" t="s">
        <v>2</v>
      </c>
      <c r="B25" s="1">
        <v>13648.28</v>
      </c>
      <c r="C25" s="1">
        <v>8483.34</v>
      </c>
      <c r="D25" s="1">
        <v>12386.51</v>
      </c>
      <c r="E25" s="1">
        <v>9060.19</v>
      </c>
      <c r="F25" s="1">
        <v>17509.93</v>
      </c>
      <c r="G25" s="1">
        <v>11503.97</v>
      </c>
      <c r="H25" s="1">
        <v>6519.5</v>
      </c>
      <c r="I25" s="24">
        <v>0</v>
      </c>
      <c r="J25" s="1">
        <v>17776.259999999998</v>
      </c>
      <c r="K25" s="1">
        <v>9847.3799999999992</v>
      </c>
      <c r="L25" s="1">
        <v>7640.79</v>
      </c>
      <c r="M25" s="1">
        <v>5379.15</v>
      </c>
      <c r="N25" s="1">
        <v>13326.78</v>
      </c>
      <c r="O25" s="24">
        <v>0</v>
      </c>
      <c r="P25" s="1">
        <v>7873.81</v>
      </c>
      <c r="Q25" s="1">
        <v>14158.06</v>
      </c>
      <c r="R25" s="1">
        <v>8711.0300000000007</v>
      </c>
      <c r="S25" s="1">
        <v>5293.79</v>
      </c>
      <c r="T25" s="1">
        <v>0</v>
      </c>
      <c r="U25" s="1">
        <v>15345.52</v>
      </c>
      <c r="V25" s="1">
        <v>27007.95</v>
      </c>
      <c r="W25" s="1">
        <v>2554.63</v>
      </c>
      <c r="X25" s="1">
        <v>10849.52</v>
      </c>
      <c r="Y25" s="1">
        <v>12146.29</v>
      </c>
      <c r="Z25" s="1">
        <v>10669.48</v>
      </c>
      <c r="AA25" s="1">
        <v>9970.9599999999991</v>
      </c>
      <c r="AB25" s="1">
        <v>11472.02</v>
      </c>
      <c r="AC25" s="1">
        <v>9449.7900000000009</v>
      </c>
      <c r="AD25" s="1">
        <v>13281.43</v>
      </c>
      <c r="AE25" s="1">
        <v>6800.14</v>
      </c>
      <c r="AF25" s="1">
        <v>13624.76</v>
      </c>
      <c r="AG25" s="1">
        <v>8206.7800000000007</v>
      </c>
      <c r="AH25" s="1">
        <v>11823.57</v>
      </c>
      <c r="AI25" s="1">
        <v>7812.8</v>
      </c>
      <c r="AJ25" s="1">
        <v>0</v>
      </c>
      <c r="AK25" s="1">
        <v>2775.38</v>
      </c>
      <c r="AL25" s="1"/>
      <c r="AM25" s="1"/>
      <c r="AN25" s="1"/>
      <c r="AO25" s="1"/>
      <c r="AP25" s="1"/>
      <c r="AQ25" s="1"/>
    </row>
    <row r="26" spans="1:43" x14ac:dyDescent="0.25">
      <c r="A26" t="s">
        <v>3</v>
      </c>
      <c r="B26" s="1">
        <v>0</v>
      </c>
      <c r="C26" s="1">
        <v>0</v>
      </c>
      <c r="D26" s="1">
        <v>0</v>
      </c>
      <c r="E26" s="1">
        <v>10540.3</v>
      </c>
      <c r="F26" s="1">
        <v>0</v>
      </c>
      <c r="G26" s="1">
        <v>0</v>
      </c>
      <c r="H26" s="1">
        <v>0</v>
      </c>
      <c r="I26" s="24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24">
        <v>5433.35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10991.31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/>
      <c r="AM26" s="1"/>
      <c r="AN26" s="1"/>
      <c r="AO26" s="1"/>
      <c r="AP26" s="1"/>
      <c r="AQ26" s="1"/>
    </row>
    <row r="27" spans="1:43" x14ac:dyDescent="0.25">
      <c r="A27" t="s">
        <v>4</v>
      </c>
      <c r="B27" s="1">
        <v>157249.35999999999</v>
      </c>
      <c r="C27" s="1">
        <v>154745.60999999999</v>
      </c>
      <c r="D27" s="1">
        <v>183960.12</v>
      </c>
      <c r="E27" s="1">
        <v>160470.84</v>
      </c>
      <c r="F27" s="1">
        <v>153660.31</v>
      </c>
      <c r="G27" s="1">
        <v>189174.88</v>
      </c>
      <c r="H27" s="1">
        <v>157682.95000000001</v>
      </c>
      <c r="I27" s="24">
        <v>0</v>
      </c>
      <c r="J27" s="1">
        <v>151658.03</v>
      </c>
      <c r="K27" s="1">
        <v>163667.38</v>
      </c>
      <c r="L27" s="1">
        <v>140727.66</v>
      </c>
      <c r="M27" s="1">
        <v>157586.94</v>
      </c>
      <c r="N27" s="1">
        <v>199981.92</v>
      </c>
      <c r="O27" s="24">
        <v>260143.12</v>
      </c>
      <c r="P27" s="1">
        <v>151752.78</v>
      </c>
      <c r="Q27" s="1">
        <v>135458.54999999999</v>
      </c>
      <c r="R27" s="1">
        <v>164244.39000000001</v>
      </c>
      <c r="S27" s="1">
        <v>183245.86</v>
      </c>
      <c r="T27" s="1">
        <v>130327.63</v>
      </c>
      <c r="U27" s="1">
        <v>143306.5</v>
      </c>
      <c r="V27" s="1">
        <v>137136.48000000001</v>
      </c>
      <c r="W27" s="1">
        <v>154721.06</v>
      </c>
      <c r="X27" s="1">
        <v>148122.69</v>
      </c>
      <c r="Y27" s="1">
        <v>143733.17000000001</v>
      </c>
      <c r="Z27" s="1">
        <v>145123.42000000001</v>
      </c>
      <c r="AA27" s="1">
        <v>161588.95000000001</v>
      </c>
      <c r="AB27" s="1">
        <v>161636.5</v>
      </c>
      <c r="AC27" s="1">
        <v>154345.16</v>
      </c>
      <c r="AD27" s="1">
        <v>187540</v>
      </c>
      <c r="AE27" s="1">
        <v>181231.67</v>
      </c>
      <c r="AF27" s="1">
        <v>205991.11</v>
      </c>
      <c r="AG27" s="1">
        <v>198572.52</v>
      </c>
      <c r="AH27" s="1">
        <v>201161.86</v>
      </c>
      <c r="AI27" s="1">
        <v>219333.2</v>
      </c>
      <c r="AJ27" s="1">
        <v>174500.33</v>
      </c>
      <c r="AK27" s="1">
        <v>183245.77</v>
      </c>
      <c r="AL27" s="1"/>
      <c r="AM27" s="1"/>
      <c r="AN27" s="1"/>
      <c r="AO27" s="1"/>
      <c r="AP27" s="1"/>
      <c r="AQ27" s="1"/>
    </row>
    <row r="28" spans="1:43" x14ac:dyDescent="0.25">
      <c r="A28" t="s">
        <v>5</v>
      </c>
      <c r="B28" s="1">
        <v>3633342</v>
      </c>
      <c r="C28" s="1">
        <v>3931624</v>
      </c>
      <c r="D28" s="1">
        <v>3988810.25</v>
      </c>
      <c r="E28" s="1">
        <v>3598870</v>
      </c>
      <c r="F28" s="1">
        <v>3962007.25</v>
      </c>
      <c r="G28" s="1">
        <v>3850444.75</v>
      </c>
      <c r="H28" s="1">
        <v>3669755.25</v>
      </c>
      <c r="I28" s="24">
        <v>40016.9</v>
      </c>
      <c r="J28" s="1">
        <v>3493633.75</v>
      </c>
      <c r="K28" s="1">
        <v>3748158.75</v>
      </c>
      <c r="L28" s="1">
        <v>3759485.75</v>
      </c>
      <c r="M28" s="1">
        <v>4007319</v>
      </c>
      <c r="N28" s="1">
        <v>3812727</v>
      </c>
      <c r="O28" s="24">
        <v>6921314.5</v>
      </c>
      <c r="P28" s="1">
        <v>4000766</v>
      </c>
      <c r="Q28" s="1">
        <v>3413160</v>
      </c>
      <c r="R28" s="1">
        <v>3386942.75</v>
      </c>
      <c r="S28" s="1">
        <v>3523287.75</v>
      </c>
      <c r="T28" s="1">
        <v>3229896.75</v>
      </c>
      <c r="U28" s="1">
        <v>3625975.75</v>
      </c>
      <c r="V28" s="1">
        <v>3548729.25</v>
      </c>
      <c r="W28" s="1">
        <v>3619355.25</v>
      </c>
      <c r="X28" s="1">
        <v>3552689.25</v>
      </c>
      <c r="Y28" s="1">
        <v>3606410.75</v>
      </c>
      <c r="Z28" s="1">
        <v>3795628.75</v>
      </c>
      <c r="AA28" s="1">
        <v>3822204</v>
      </c>
      <c r="AB28" s="1">
        <v>3666458</v>
      </c>
      <c r="AC28" s="1">
        <v>3814488</v>
      </c>
      <c r="AD28" s="1">
        <v>4181276.75</v>
      </c>
      <c r="AE28" s="1">
        <v>4079267.75</v>
      </c>
      <c r="AF28" s="1">
        <v>4100396.75</v>
      </c>
      <c r="AG28" s="1">
        <v>4196032.5</v>
      </c>
      <c r="AH28" s="1">
        <v>4490562</v>
      </c>
      <c r="AI28" s="1">
        <v>4330936.5</v>
      </c>
      <c r="AJ28" s="1">
        <v>4574530</v>
      </c>
      <c r="AK28" s="1">
        <v>4298908</v>
      </c>
      <c r="AL28" s="1"/>
      <c r="AM28" s="1"/>
      <c r="AN28" s="1"/>
      <c r="AO28" s="1"/>
      <c r="AP28" s="1"/>
      <c r="AQ28" s="1"/>
    </row>
    <row r="29" spans="1:43" x14ac:dyDescent="0.25">
      <c r="A29" t="s">
        <v>6</v>
      </c>
      <c r="B29" s="1">
        <v>46881556</v>
      </c>
      <c r="C29" s="1">
        <v>51278036</v>
      </c>
      <c r="D29" s="1">
        <v>52698764</v>
      </c>
      <c r="E29" s="1">
        <v>49579292</v>
      </c>
      <c r="F29" s="1">
        <v>52474244</v>
      </c>
      <c r="G29" s="1">
        <v>52301012</v>
      </c>
      <c r="H29" s="1">
        <v>51697068</v>
      </c>
      <c r="I29" s="24">
        <v>846874.44</v>
      </c>
      <c r="J29" s="1">
        <v>46087696</v>
      </c>
      <c r="K29" s="1">
        <v>49878384</v>
      </c>
      <c r="L29" s="1">
        <v>51898860</v>
      </c>
      <c r="M29" s="1">
        <v>52846576</v>
      </c>
      <c r="N29" s="1">
        <v>48491628</v>
      </c>
      <c r="O29" s="24">
        <v>90753664</v>
      </c>
      <c r="P29" s="1">
        <v>53683788</v>
      </c>
      <c r="Q29" s="1">
        <v>47706276</v>
      </c>
      <c r="R29" s="1">
        <v>46601164</v>
      </c>
      <c r="S29" s="1">
        <v>48543100</v>
      </c>
      <c r="T29" s="1">
        <v>44181540</v>
      </c>
      <c r="U29" s="1">
        <v>44681036</v>
      </c>
      <c r="V29" s="1">
        <v>47792500</v>
      </c>
      <c r="W29" s="1">
        <v>46059268</v>
      </c>
      <c r="X29" s="1">
        <v>48298900</v>
      </c>
      <c r="Y29" s="1">
        <v>48247520</v>
      </c>
      <c r="Z29" s="1">
        <v>50913364</v>
      </c>
      <c r="AA29" s="1">
        <v>50771180</v>
      </c>
      <c r="AB29" s="1">
        <v>50194596</v>
      </c>
      <c r="AC29" s="1">
        <v>49916032</v>
      </c>
      <c r="AD29" s="1">
        <v>56550860</v>
      </c>
      <c r="AE29" s="1">
        <v>54592240</v>
      </c>
      <c r="AF29" s="1">
        <v>55981524</v>
      </c>
      <c r="AG29" s="1">
        <v>56813664</v>
      </c>
      <c r="AH29" s="1">
        <v>59933604</v>
      </c>
      <c r="AI29" s="1">
        <v>57946516</v>
      </c>
      <c r="AJ29" s="1">
        <v>59583108</v>
      </c>
      <c r="AK29" s="1">
        <v>55684220</v>
      </c>
      <c r="AL29" s="1"/>
      <c r="AM29" s="1"/>
      <c r="AN29" s="1"/>
      <c r="AO29" s="1"/>
      <c r="AP29" s="1"/>
      <c r="AQ29" s="1"/>
    </row>
    <row r="30" spans="1:43" x14ac:dyDescent="0.25">
      <c r="A30" t="s">
        <v>8</v>
      </c>
      <c r="B30" s="2">
        <f>SUM(B23:B24)/SUM(B23:B29)</f>
        <v>0.64088855219189811</v>
      </c>
      <c r="C30" s="2">
        <f t="shared" ref="C30:AK30" si="7">SUM(C23:C24)/SUM(C23:C29)</f>
        <v>0.60559941989230071</v>
      </c>
      <c r="D30" s="2">
        <f t="shared" si="7"/>
        <v>0.59505358931457697</v>
      </c>
      <c r="E30" s="2">
        <f t="shared" si="7"/>
        <v>0.59902431481656937</v>
      </c>
      <c r="F30" s="2">
        <f t="shared" si="7"/>
        <v>0.59906776428175212</v>
      </c>
      <c r="G30" s="2">
        <f t="shared" si="7"/>
        <v>0.59548135586045092</v>
      </c>
      <c r="H30" s="2">
        <f t="shared" si="7"/>
        <v>0.6220201994147021</v>
      </c>
      <c r="I30" s="25">
        <f>SUM(I23:I24)/SUM(I23:I29)</f>
        <v>0.99630362847090093</v>
      </c>
      <c r="J30" s="2">
        <f t="shared" si="7"/>
        <v>0.60105405573952519</v>
      </c>
      <c r="K30" s="2">
        <f t="shared" si="7"/>
        <v>0.59296255629160399</v>
      </c>
      <c r="L30" s="2">
        <f t="shared" si="7"/>
        <v>0.58695814633907506</v>
      </c>
      <c r="M30" s="2">
        <f t="shared" si="7"/>
        <v>0.58471723467935899</v>
      </c>
      <c r="N30" s="2">
        <f t="shared" si="7"/>
        <v>0.60928128993548192</v>
      </c>
      <c r="O30" s="25">
        <f t="shared" si="7"/>
        <v>1.5001789080728008E-4</v>
      </c>
      <c r="P30" s="2">
        <f t="shared" si="7"/>
        <v>0.58737650721264323</v>
      </c>
      <c r="Q30" s="2">
        <f t="shared" si="7"/>
        <v>0.66075087235728691</v>
      </c>
      <c r="R30" s="2">
        <f t="shared" si="7"/>
        <v>0.67476629524246634</v>
      </c>
      <c r="S30" s="2">
        <f t="shared" si="7"/>
        <v>0.64574174899371273</v>
      </c>
      <c r="T30" s="2">
        <f t="shared" si="7"/>
        <v>0.67340705881023899</v>
      </c>
      <c r="U30" s="2">
        <f t="shared" si="7"/>
        <v>0.65283843509140294</v>
      </c>
      <c r="V30" s="2">
        <f t="shared" si="7"/>
        <v>0.64052532255616523</v>
      </c>
      <c r="W30" s="2">
        <f t="shared" si="7"/>
        <v>0.65488522713083863</v>
      </c>
      <c r="X30" s="2">
        <f t="shared" si="7"/>
        <v>0.62828386699881167</v>
      </c>
      <c r="Y30" s="2">
        <f t="shared" si="7"/>
        <v>0.61887403121194517</v>
      </c>
      <c r="Z30" s="2">
        <f t="shared" si="7"/>
        <v>0.62344381470115151</v>
      </c>
      <c r="AA30" s="2">
        <f t="shared" si="7"/>
        <v>0.60397146237317323</v>
      </c>
      <c r="AB30" s="2">
        <f t="shared" si="7"/>
        <v>0.5865401074001515</v>
      </c>
      <c r="AC30" s="2">
        <f t="shared" si="7"/>
        <v>0.57274212841598215</v>
      </c>
      <c r="AD30" s="2">
        <f t="shared" si="7"/>
        <v>0.54525749072043361</v>
      </c>
      <c r="AE30" s="2">
        <f t="shared" si="7"/>
        <v>0.54897782424051922</v>
      </c>
      <c r="AF30" s="2">
        <f t="shared" si="7"/>
        <v>0.52838700381477621</v>
      </c>
      <c r="AG30" s="2">
        <f t="shared" si="7"/>
        <v>0.49657390452177003</v>
      </c>
      <c r="AH30" s="2">
        <f t="shared" si="7"/>
        <v>0.49105253351890321</v>
      </c>
      <c r="AI30" s="2">
        <f t="shared" si="7"/>
        <v>0.46600939024311555</v>
      </c>
      <c r="AJ30" s="2">
        <f t="shared" si="7"/>
        <v>0.44232732619734821</v>
      </c>
      <c r="AK30" s="2">
        <f t="shared" si="7"/>
        <v>0.43779644329116468</v>
      </c>
      <c r="AL30" s="2"/>
      <c r="AM30" s="2"/>
      <c r="AN30" s="2"/>
      <c r="AO30" s="2"/>
      <c r="AP30" s="2"/>
      <c r="AQ30" s="2"/>
    </row>
    <row r="31" spans="1:43" x14ac:dyDescent="0.25">
      <c r="A31" t="s">
        <v>121</v>
      </c>
      <c r="B31" s="10">
        <v>0.5</v>
      </c>
      <c r="I31" s="23"/>
      <c r="O31" s="23"/>
    </row>
    <row r="32" spans="1:43" x14ac:dyDescent="0.25">
      <c r="A32" t="s">
        <v>122</v>
      </c>
      <c r="B32" s="2">
        <f>(B30/(1-B30))*$B$31</f>
        <v>0.89232542725060837</v>
      </c>
      <c r="C32" s="2">
        <f t="shared" ref="C32:AK32" si="8">(C30/(1-C30))*$B$31</f>
        <v>0.76774661402238453</v>
      </c>
      <c r="D32" s="2">
        <f t="shared" si="8"/>
        <v>0.73473128000736376</v>
      </c>
      <c r="E32" s="2">
        <f t="shared" si="8"/>
        <v>0.74695840290482862</v>
      </c>
      <c r="F32" s="2">
        <f t="shared" si="8"/>
        <v>0.74709353715167781</v>
      </c>
      <c r="G32" s="2">
        <f t="shared" si="8"/>
        <v>0.73603697195106832</v>
      </c>
      <c r="H32" s="2">
        <f t="shared" si="8"/>
        <v>0.82282201119148446</v>
      </c>
      <c r="I32" s="25">
        <f t="shared" si="8"/>
        <v>134.76778790060268</v>
      </c>
      <c r="J32" s="2">
        <f t="shared" si="8"/>
        <v>0.75330262706855899</v>
      </c>
      <c r="K32" s="2">
        <f t="shared" si="8"/>
        <v>0.7283882176653087</v>
      </c>
      <c r="L32" s="2">
        <f t="shared" si="8"/>
        <v>0.71053107710111363</v>
      </c>
      <c r="M32" s="2">
        <f t="shared" si="8"/>
        <v>0.7039989177348801</v>
      </c>
      <c r="N32" s="2">
        <f t="shared" si="8"/>
        <v>0.77969300450811951</v>
      </c>
      <c r="O32" s="25">
        <f t="shared" si="8"/>
        <v>7.5020199775778341E-5</v>
      </c>
      <c r="P32" s="2">
        <f t="shared" si="8"/>
        <v>0.71175844017604739</v>
      </c>
      <c r="Q32" s="2">
        <f t="shared" si="8"/>
        <v>0.97384314139367478</v>
      </c>
      <c r="R32" s="2">
        <f t="shared" si="8"/>
        <v>1.037356038706865</v>
      </c>
      <c r="S32" s="2">
        <f t="shared" si="8"/>
        <v>0.91139973050656242</v>
      </c>
      <c r="T32" s="2">
        <f t="shared" si="8"/>
        <v>1.0309577671168462</v>
      </c>
      <c r="U32" s="2">
        <f t="shared" si="8"/>
        <v>0.94025160196418411</v>
      </c>
      <c r="V32" s="2">
        <f t="shared" si="8"/>
        <v>0.89091855803423392</v>
      </c>
      <c r="W32" s="2">
        <f t="shared" si="8"/>
        <v>0.94879338500400312</v>
      </c>
      <c r="X32" s="2">
        <f t="shared" si="8"/>
        <v>0.84511245439648852</v>
      </c>
      <c r="Y32" s="2">
        <f t="shared" si="8"/>
        <v>0.81190220805460611</v>
      </c>
      <c r="Z32" s="2">
        <f t="shared" si="8"/>
        <v>0.82782309658034714</v>
      </c>
      <c r="AA32" s="2">
        <f t="shared" si="8"/>
        <v>0.76253527838224722</v>
      </c>
      <c r="AB32" s="2">
        <f t="shared" si="8"/>
        <v>0.70930713945670676</v>
      </c>
      <c r="AC32" s="2">
        <f t="shared" si="8"/>
        <v>0.67025345407048353</v>
      </c>
      <c r="AD32" s="2">
        <f t="shared" si="8"/>
        <v>0.59952333418781012</v>
      </c>
      <c r="AE32" s="2">
        <f t="shared" si="8"/>
        <v>0.60859294037603573</v>
      </c>
      <c r="AF32" s="2">
        <f t="shared" si="8"/>
        <v>0.56019130949399742</v>
      </c>
      <c r="AG32" s="2">
        <f t="shared" si="8"/>
        <v>0.49319444202634088</v>
      </c>
      <c r="AH32" s="2">
        <f t="shared" si="8"/>
        <v>0.48241966593731123</v>
      </c>
      <c r="AI32" s="2">
        <f t="shared" si="8"/>
        <v>0.43634605340277477</v>
      </c>
      <c r="AJ32" s="2">
        <f t="shared" si="8"/>
        <v>0.39658328888630301</v>
      </c>
      <c r="AK32" s="2">
        <f t="shared" si="8"/>
        <v>0.38935758949484828</v>
      </c>
      <c r="AL32" s="2"/>
      <c r="AM32" s="2"/>
      <c r="AN32" s="2"/>
      <c r="AO32" s="2"/>
      <c r="AP32" s="2"/>
      <c r="AQ32" s="2"/>
    </row>
    <row r="33" spans="1:43" x14ac:dyDescent="0.25">
      <c r="A33" t="s">
        <v>12</v>
      </c>
      <c r="B33" s="2">
        <v>186.11</v>
      </c>
      <c r="I33" s="23"/>
      <c r="O33" s="23"/>
    </row>
    <row r="34" spans="1:43" x14ac:dyDescent="0.25">
      <c r="A34" t="s">
        <v>11</v>
      </c>
      <c r="B34">
        <v>180.15600000000001</v>
      </c>
      <c r="I34" s="23"/>
      <c r="O34" s="23"/>
    </row>
    <row r="35" spans="1:43" x14ac:dyDescent="0.25">
      <c r="A35" t="s">
        <v>123</v>
      </c>
      <c r="B35" s="2">
        <f>B32*($B$34/$B$33)</f>
        <v>0.86377830139036382</v>
      </c>
      <c r="C35" s="2">
        <f t="shared" ref="C35:AK35" si="9">C32*($B$34/$B$33)</f>
        <v>0.74318499272374783</v>
      </c>
      <c r="D35" s="2">
        <f t="shared" si="9"/>
        <v>0.71122587975394458</v>
      </c>
      <c r="E35" s="2">
        <f t="shared" si="9"/>
        <v>0.7230618345802069</v>
      </c>
      <c r="F35" s="2">
        <f t="shared" si="9"/>
        <v>0.7231926456348271</v>
      </c>
      <c r="G35" s="2">
        <f t="shared" si="9"/>
        <v>0.71248980021931474</v>
      </c>
      <c r="H35" s="2">
        <f t="shared" si="9"/>
        <v>0.79649842699593287</v>
      </c>
      <c r="I35" s="25">
        <f t="shared" si="9"/>
        <v>130.45631936500445</v>
      </c>
      <c r="J35" s="2">
        <f t="shared" si="9"/>
        <v>0.72920309538532757</v>
      </c>
      <c r="K35" s="2">
        <f t="shared" si="9"/>
        <v>0.7050857436016944</v>
      </c>
      <c r="L35" s="2">
        <f t="shared" si="9"/>
        <v>0.68779988569248418</v>
      </c>
      <c r="M35" s="2">
        <f t="shared" si="9"/>
        <v>0.68147670207643363</v>
      </c>
      <c r="N35" s="2">
        <f t="shared" si="9"/>
        <v>0.75474919628265424</v>
      </c>
      <c r="O35" s="25">
        <f t="shared" si="9"/>
        <v>7.2620166088899693E-5</v>
      </c>
      <c r="P35" s="2">
        <f t="shared" si="9"/>
        <v>0.68898798317315568</v>
      </c>
      <c r="Q35" s="2">
        <f t="shared" si="9"/>
        <v>0.94268811445338174</v>
      </c>
      <c r="R35" s="2">
        <f t="shared" si="9"/>
        <v>1.0041691177759065</v>
      </c>
      <c r="S35" s="2">
        <f t="shared" si="9"/>
        <v>0.88224238272602362</v>
      </c>
      <c r="T35" s="2">
        <f t="shared" si="9"/>
        <v>0.99797553862072186</v>
      </c>
      <c r="U35" s="2">
        <f t="shared" si="9"/>
        <v>0.91017122993637933</v>
      </c>
      <c r="V35" s="2">
        <f t="shared" si="9"/>
        <v>0.8624164404987128</v>
      </c>
      <c r="W35" s="2">
        <f t="shared" si="9"/>
        <v>0.91843974568148512</v>
      </c>
      <c r="X35" s="2">
        <f t="shared" si="9"/>
        <v>0.81807575806917299</v>
      </c>
      <c r="Y35" s="2">
        <f t="shared" si="9"/>
        <v>0.78592796837507717</v>
      </c>
      <c r="Z35" s="2">
        <f t="shared" si="9"/>
        <v>0.80133951849728124</v>
      </c>
      <c r="AA35" s="2">
        <f t="shared" si="9"/>
        <v>0.73814037726200699</v>
      </c>
      <c r="AB35" s="2">
        <f t="shared" si="9"/>
        <v>0.68661510405653892</v>
      </c>
      <c r="AC35" s="2">
        <f t="shared" si="9"/>
        <v>0.64881081764291026</v>
      </c>
      <c r="AD35" s="2">
        <f t="shared" si="9"/>
        <v>0.58034348392853219</v>
      </c>
      <c r="AE35" s="2">
        <f t="shared" si="9"/>
        <v>0.58912293679213956</v>
      </c>
      <c r="AF35" s="2">
        <f t="shared" si="9"/>
        <v>0.54226976279190053</v>
      </c>
      <c r="AG35" s="2">
        <f t="shared" si="9"/>
        <v>0.47741624790552611</v>
      </c>
      <c r="AH35" s="2">
        <f t="shared" si="9"/>
        <v>0.46698617665145475</v>
      </c>
      <c r="AI35" s="2">
        <f t="shared" si="9"/>
        <v>0.42238654342501902</v>
      </c>
      <c r="AJ35" s="2">
        <f t="shared" si="9"/>
        <v>0.38389586262210951</v>
      </c>
      <c r="AK35" s="2">
        <f t="shared" si="9"/>
        <v>0.37690132659735581</v>
      </c>
      <c r="AL35" s="2"/>
      <c r="AM35" s="2"/>
      <c r="AN35" s="2"/>
      <c r="AO35" s="2"/>
      <c r="AP35" s="2"/>
      <c r="AQ35" s="2"/>
    </row>
    <row r="36" spans="1:43" x14ac:dyDescent="0.25">
      <c r="A36" t="s">
        <v>149</v>
      </c>
      <c r="B36" s="21">
        <v>150</v>
      </c>
      <c r="I36" s="23"/>
      <c r="O36" s="23"/>
    </row>
    <row r="37" spans="1:43" x14ac:dyDescent="0.25">
      <c r="B37" s="21">
        <v>100</v>
      </c>
      <c r="I37" s="23"/>
      <c r="O37" s="23"/>
    </row>
    <row r="38" spans="1:43" x14ac:dyDescent="0.25">
      <c r="A38" t="s">
        <v>131</v>
      </c>
      <c r="B38" s="2">
        <f>B35*$B$36</f>
        <v>129.56674520855458</v>
      </c>
      <c r="C38" s="2">
        <f>C35*$B$36</f>
        <v>111.47774890856218</v>
      </c>
      <c r="D38" s="2">
        <f>D35*$B$36</f>
        <v>106.68388196309169</v>
      </c>
      <c r="E38" s="2">
        <f>E35*$B$36</f>
        <v>108.45927518703104</v>
      </c>
      <c r="F38" s="2">
        <f t="shared" ref="F38:N38" si="10">F35*$B$36</f>
        <v>108.47889684522407</v>
      </c>
      <c r="G38" s="2">
        <f t="shared" si="10"/>
        <v>106.87347003289722</v>
      </c>
      <c r="H38" s="2">
        <f t="shared" si="10"/>
        <v>119.47476404938993</v>
      </c>
      <c r="I38" s="25">
        <f>I35*$B$36</f>
        <v>19568.447904750668</v>
      </c>
      <c r="J38" s="2">
        <f>J35*$B$36</f>
        <v>109.38046430779913</v>
      </c>
      <c r="K38" s="2">
        <f t="shared" si="10"/>
        <v>105.76286154025416</v>
      </c>
      <c r="L38" s="2">
        <f t="shared" si="10"/>
        <v>103.16998285387263</v>
      </c>
      <c r="M38" s="2">
        <f t="shared" si="10"/>
        <v>102.22150531146504</v>
      </c>
      <c r="N38" s="2">
        <f t="shared" si="10"/>
        <v>113.21237944239813</v>
      </c>
      <c r="O38" s="25">
        <f>O35*$B$36</f>
        <v>1.0893024913334954E-2</v>
      </c>
      <c r="P38" s="2">
        <f>P35*$B$36</f>
        <v>103.34819747597335</v>
      </c>
      <c r="Q38" s="2">
        <f>Q35*$B$37</f>
        <v>94.268811445338173</v>
      </c>
      <c r="R38" s="2">
        <f t="shared" ref="R38:AK38" si="11">R35*$B$37</f>
        <v>100.41691177759064</v>
      </c>
      <c r="S38" s="2">
        <f t="shared" si="11"/>
        <v>88.224238272602364</v>
      </c>
      <c r="T38" s="2">
        <f t="shared" si="11"/>
        <v>99.797553862072192</v>
      </c>
      <c r="U38" s="2">
        <f t="shared" si="11"/>
        <v>91.01712299363794</v>
      </c>
      <c r="V38" s="2">
        <f t="shared" si="11"/>
        <v>86.241644049871283</v>
      </c>
      <c r="W38" s="2">
        <f t="shared" si="11"/>
        <v>91.843974568148511</v>
      </c>
      <c r="X38" s="2">
        <f t="shared" si="11"/>
        <v>81.807575806917299</v>
      </c>
      <c r="Y38" s="2">
        <f t="shared" si="11"/>
        <v>78.59279683750772</v>
      </c>
      <c r="Z38" s="2">
        <f t="shared" si="11"/>
        <v>80.13395184972812</v>
      </c>
      <c r="AA38" s="2">
        <f t="shared" si="11"/>
        <v>73.814037726200695</v>
      </c>
      <c r="AB38" s="2">
        <f t="shared" si="11"/>
        <v>68.661510405653885</v>
      </c>
      <c r="AC38" s="2">
        <f t="shared" si="11"/>
        <v>64.881081764291025</v>
      </c>
      <c r="AD38" s="2">
        <f t="shared" si="11"/>
        <v>58.034348392853218</v>
      </c>
      <c r="AE38" s="2">
        <f t="shared" si="11"/>
        <v>58.91229367921396</v>
      </c>
      <c r="AF38" s="2">
        <f t="shared" si="11"/>
        <v>54.226976279190055</v>
      </c>
      <c r="AG38" s="2">
        <f t="shared" si="11"/>
        <v>47.741624790552613</v>
      </c>
      <c r="AH38" s="2">
        <f t="shared" si="11"/>
        <v>46.698617665145477</v>
      </c>
      <c r="AI38" s="2">
        <f t="shared" si="11"/>
        <v>42.238654342501903</v>
      </c>
      <c r="AJ38" s="2">
        <f t="shared" si="11"/>
        <v>38.389586262210948</v>
      </c>
      <c r="AK38" s="2">
        <f t="shared" si="11"/>
        <v>37.690132659735582</v>
      </c>
      <c r="AL38" s="2"/>
      <c r="AM38" s="2"/>
      <c r="AN38" s="2"/>
      <c r="AO38" s="2"/>
      <c r="AP38" s="2"/>
      <c r="AQ38" s="2"/>
    </row>
    <row r="40" spans="1:43" ht="30" x14ac:dyDescent="0.25">
      <c r="A40" s="4" t="s">
        <v>14</v>
      </c>
      <c r="B40" s="6" t="s">
        <v>145</v>
      </c>
      <c r="C40" s="6" t="s">
        <v>146</v>
      </c>
      <c r="D40" s="6" t="s">
        <v>147</v>
      </c>
      <c r="E40" s="6" t="s">
        <v>148</v>
      </c>
      <c r="F40" s="6" t="s">
        <v>135</v>
      </c>
      <c r="G40" s="3"/>
      <c r="H40" s="3"/>
      <c r="I40" s="3"/>
    </row>
    <row r="41" spans="1:43" x14ac:dyDescent="0.25">
      <c r="A41">
        <v>0</v>
      </c>
      <c r="B41" s="11">
        <f>O5</f>
        <v>0.36419130781129888</v>
      </c>
      <c r="C41" s="2">
        <f>B38</f>
        <v>129.56674520855458</v>
      </c>
      <c r="D41" s="2">
        <f>C38</f>
        <v>111.47774890856218</v>
      </c>
      <c r="E41" s="2">
        <f>D38</f>
        <v>106.68388196309169</v>
      </c>
      <c r="F41" s="2">
        <f>AVERAGE(C41:E41)</f>
        <v>115.90945869340283</v>
      </c>
      <c r="G41" s="2"/>
      <c r="H41" s="2"/>
      <c r="I41" s="2"/>
    </row>
    <row r="42" spans="1:43" x14ac:dyDescent="0.25">
      <c r="A42">
        <v>1</v>
      </c>
      <c r="B42" s="11">
        <f>O6</f>
        <v>0.45204447416928745</v>
      </c>
      <c r="C42" s="2">
        <f>E38</f>
        <v>108.45927518703104</v>
      </c>
      <c r="D42" s="2">
        <f t="shared" ref="D42:E42" si="12">F38</f>
        <v>108.47889684522407</v>
      </c>
      <c r="E42" s="2">
        <f t="shared" si="12"/>
        <v>106.87347003289722</v>
      </c>
      <c r="F42" s="2">
        <f>AVERAGE(C42:E42)</f>
        <v>107.93721402171745</v>
      </c>
      <c r="G42" s="2"/>
      <c r="H42" s="2"/>
      <c r="I42" s="2"/>
    </row>
    <row r="43" spans="1:43" x14ac:dyDescent="0.25">
      <c r="A43">
        <v>2</v>
      </c>
      <c r="B43" s="11">
        <f>O7</f>
        <v>0.56226026469112789</v>
      </c>
      <c r="C43" s="2">
        <f>H38</f>
        <v>119.47476404938993</v>
      </c>
      <c r="D43" s="26"/>
      <c r="E43" s="2">
        <f t="shared" ref="E43" si="13">J38</f>
        <v>109.38046430779913</v>
      </c>
      <c r="F43" s="2">
        <f>AVERAGE(C43:E43)</f>
        <v>114.42761417859452</v>
      </c>
      <c r="G43" s="2"/>
      <c r="H43" s="2"/>
      <c r="I43" s="2"/>
    </row>
    <row r="44" spans="1:43" x14ac:dyDescent="0.25">
      <c r="A44">
        <v>3</v>
      </c>
      <c r="B44" s="11">
        <f>O8</f>
        <v>0.71640263839196272</v>
      </c>
      <c r="C44" s="2">
        <f>K38</f>
        <v>105.76286154025416</v>
      </c>
      <c r="D44" s="2">
        <f t="shared" ref="D44:E44" si="14">L38</f>
        <v>103.16998285387263</v>
      </c>
      <c r="E44" s="2">
        <f t="shared" si="14"/>
        <v>102.22150531146504</v>
      </c>
      <c r="F44" s="2">
        <f>AVERAGE(C44:E44)</f>
        <v>103.7181165685306</v>
      </c>
      <c r="G44" s="2"/>
      <c r="H44" s="2"/>
      <c r="I44" s="2"/>
    </row>
    <row r="45" spans="1:43" x14ac:dyDescent="0.25">
      <c r="A45">
        <v>4</v>
      </c>
      <c r="B45" s="11">
        <f t="shared" ref="B45:B52" si="15">O9</f>
        <v>0.90728360893341098</v>
      </c>
      <c r="C45" s="2">
        <f>N38</f>
        <v>113.21237944239813</v>
      </c>
      <c r="D45" s="26"/>
      <c r="E45" s="2">
        <f t="shared" ref="E45" si="16">P38</f>
        <v>103.34819747597335</v>
      </c>
      <c r="F45" s="2">
        <f>AVERAGE(C45:E45)</f>
        <v>108.28028845918574</v>
      </c>
      <c r="G45" s="2"/>
      <c r="H45" s="2"/>
      <c r="I45" s="2"/>
    </row>
    <row r="46" spans="1:43" x14ac:dyDescent="0.25">
      <c r="A46">
        <v>5</v>
      </c>
      <c r="B46" s="11">
        <f t="shared" si="15"/>
        <v>1.0837886067980977</v>
      </c>
      <c r="C46" s="2">
        <f>Q38</f>
        <v>94.268811445338173</v>
      </c>
      <c r="D46" s="2">
        <f t="shared" ref="D46:E46" si="17">R38</f>
        <v>100.41691177759064</v>
      </c>
      <c r="E46" s="2">
        <f t="shared" si="17"/>
        <v>88.224238272602364</v>
      </c>
      <c r="F46" s="2">
        <f t="shared" ref="F46:F52" si="18">AVERAGE(C46:E46)</f>
        <v>94.303320498510388</v>
      </c>
      <c r="G46" s="2"/>
      <c r="H46" s="2"/>
      <c r="I46" s="2"/>
    </row>
    <row r="47" spans="1:43" x14ac:dyDescent="0.25">
      <c r="A47">
        <v>6</v>
      </c>
      <c r="B47" s="11">
        <f t="shared" si="15"/>
        <v>1.2810588985292177</v>
      </c>
      <c r="C47" s="2">
        <f>T38</f>
        <v>99.797553862072192</v>
      </c>
      <c r="D47" s="2">
        <f t="shared" ref="D47:E47" si="19">U38</f>
        <v>91.01712299363794</v>
      </c>
      <c r="E47" s="2">
        <f t="shared" si="19"/>
        <v>86.241644049871283</v>
      </c>
      <c r="F47" s="2">
        <f t="shared" si="18"/>
        <v>92.352106968527139</v>
      </c>
      <c r="G47" s="2"/>
      <c r="H47" s="2"/>
      <c r="I47" s="2"/>
    </row>
    <row r="48" spans="1:43" x14ac:dyDescent="0.25">
      <c r="A48">
        <v>7</v>
      </c>
      <c r="B48" s="11">
        <f t="shared" si="15"/>
        <v>1.5478130581980201</v>
      </c>
      <c r="C48" s="2">
        <f>W38</f>
        <v>91.843974568148511</v>
      </c>
      <c r="D48" s="2">
        <f t="shared" ref="D48:E48" si="20">X38</f>
        <v>81.807575806917299</v>
      </c>
      <c r="E48" s="2">
        <f t="shared" si="20"/>
        <v>78.59279683750772</v>
      </c>
      <c r="F48" s="2">
        <f t="shared" si="18"/>
        <v>84.081449070857843</v>
      </c>
    </row>
    <row r="49" spans="1:7" x14ac:dyDescent="0.25">
      <c r="A49">
        <v>8</v>
      </c>
      <c r="B49" s="11">
        <f t="shared" si="15"/>
        <v>1.79220459370297</v>
      </c>
      <c r="C49" s="2">
        <f>Z38</f>
        <v>80.13395184972812</v>
      </c>
      <c r="D49" s="2">
        <f t="shared" ref="D49:E49" si="21">AA38</f>
        <v>73.814037726200695</v>
      </c>
      <c r="E49" s="2">
        <f t="shared" si="21"/>
        <v>68.661510405653885</v>
      </c>
      <c r="F49" s="2">
        <f t="shared" si="18"/>
        <v>74.203166660527572</v>
      </c>
    </row>
    <row r="50" spans="1:7" x14ac:dyDescent="0.25">
      <c r="A50">
        <v>9</v>
      </c>
      <c r="B50" s="11">
        <f t="shared" si="15"/>
        <v>1.9862802248392548</v>
      </c>
      <c r="C50" s="2">
        <f>AC38</f>
        <v>64.881081764291025</v>
      </c>
      <c r="D50" s="2">
        <f t="shared" ref="D50:E50" si="22">AD38</f>
        <v>58.034348392853218</v>
      </c>
      <c r="E50" s="2">
        <f t="shared" si="22"/>
        <v>58.91229367921396</v>
      </c>
      <c r="F50" s="2">
        <f t="shared" si="18"/>
        <v>60.609241278786065</v>
      </c>
    </row>
    <row r="51" spans="1:7" x14ac:dyDescent="0.25">
      <c r="A51">
        <v>10</v>
      </c>
      <c r="B51" s="11">
        <f>O15</f>
        <v>2.1068786622943114</v>
      </c>
      <c r="C51" s="2">
        <f>AF38</f>
        <v>54.226976279190055</v>
      </c>
      <c r="D51" s="2">
        <f>AG38</f>
        <v>47.741624790552613</v>
      </c>
      <c r="E51" s="2">
        <f t="shared" ref="E51" si="23">AH38</f>
        <v>46.698617665145477</v>
      </c>
      <c r="F51" s="2">
        <f t="shared" si="18"/>
        <v>49.555739578296048</v>
      </c>
    </row>
    <row r="52" spans="1:7" x14ac:dyDescent="0.25">
      <c r="A52">
        <v>11</v>
      </c>
      <c r="B52" s="11">
        <f t="shared" si="15"/>
        <v>2.2458463981696761</v>
      </c>
      <c r="C52" s="2">
        <f>AI38</f>
        <v>42.238654342501903</v>
      </c>
      <c r="D52" s="2">
        <f t="shared" ref="D52:E52" si="24">AJ38</f>
        <v>38.389586262210948</v>
      </c>
      <c r="E52" s="2">
        <f t="shared" si="24"/>
        <v>37.690132659735582</v>
      </c>
      <c r="F52" s="2">
        <f t="shared" si="18"/>
        <v>39.439457754816146</v>
      </c>
    </row>
    <row r="53" spans="1:7" x14ac:dyDescent="0.25">
      <c r="C53" s="6" t="s">
        <v>62</v>
      </c>
      <c r="D53" s="6" t="s">
        <v>63</v>
      </c>
      <c r="E53" s="6" t="s">
        <v>64</v>
      </c>
      <c r="F53" s="6" t="s">
        <v>135</v>
      </c>
      <c r="G53" s="6" t="s">
        <v>136</v>
      </c>
    </row>
    <row r="54" spans="1:7" x14ac:dyDescent="0.25">
      <c r="B54" t="s">
        <v>133</v>
      </c>
      <c r="C54">
        <f>SLOPE(C44:C50,$B$44:$B$50)</f>
        <v>-31.811206400075136</v>
      </c>
      <c r="D54">
        <f t="shared" ref="D54:E54" si="25">SLOPE(D44:D50,$B$44:$B$50)</f>
        <v>-35.135253524668215</v>
      </c>
      <c r="E54">
        <f t="shared" si="25"/>
        <v>-34.534696416647492</v>
      </c>
      <c r="F54" s="19">
        <f>ABS(AVERAGE(C54:E54))</f>
        <v>33.827052113796945</v>
      </c>
      <c r="G54" s="19">
        <f>_xlfn.STDEV.S(C54:E54)/(SQRT(COUNT(C54:E54)))</f>
        <v>1.0227239226931355</v>
      </c>
    </row>
    <row r="55" spans="1:7" x14ac:dyDescent="0.25">
      <c r="B55" t="s">
        <v>134</v>
      </c>
      <c r="C55" s="22">
        <f>(CORREL($B$44:$B$50,C44:C50))^2</f>
        <v>0.84081146089934844</v>
      </c>
      <c r="D55" s="22">
        <f t="shared" ref="D55:E55" si="26">(CORREL($B$44:$B$50,D44:D50))^2</f>
        <v>0.92698821443913459</v>
      </c>
      <c r="E55" s="22">
        <f t="shared" si="26"/>
        <v>0.96281497515315428</v>
      </c>
    </row>
  </sheetData>
  <mergeCells count="3">
    <mergeCell ref="B3:F3"/>
    <mergeCell ref="H3:L3"/>
    <mergeCell ref="Q3:W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A9E0-1B12-46C1-A69F-691BDAB5D768}">
  <dimension ref="A1:AZ57"/>
  <sheetViews>
    <sheetView topLeftCell="C6" zoomScale="115" zoomScaleNormal="115" workbookViewId="0">
      <selection activeCell="G42" sqref="G42:G54"/>
    </sheetView>
  </sheetViews>
  <sheetFormatPr defaultColWidth="8.85546875" defaultRowHeight="15" x14ac:dyDescent="0.25"/>
  <cols>
    <col min="1" max="1" width="66.42578125" bestFit="1" customWidth="1"/>
    <col min="2" max="43" width="11.85546875" customWidth="1"/>
    <col min="44" max="46" width="21.7109375" bestFit="1" customWidth="1"/>
  </cols>
  <sheetData>
    <row r="1" spans="1:26" x14ac:dyDescent="0.25">
      <c r="A1" t="s">
        <v>124</v>
      </c>
      <c r="B1">
        <v>20230117</v>
      </c>
    </row>
    <row r="2" spans="1:26" x14ac:dyDescent="0.25">
      <c r="A2" t="s">
        <v>57</v>
      </c>
      <c r="B2">
        <v>0.41139241809999999</v>
      </c>
    </row>
    <row r="3" spans="1:26" ht="15" customHeight="1" x14ac:dyDescent="0.25">
      <c r="B3" s="49" t="s">
        <v>215</v>
      </c>
      <c r="C3" s="49"/>
      <c r="D3" s="49"/>
      <c r="E3" s="49"/>
      <c r="F3" s="49"/>
      <c r="G3" s="49"/>
      <c r="I3" s="42" t="s">
        <v>60</v>
      </c>
      <c r="J3" s="42"/>
      <c r="K3" s="42"/>
      <c r="L3" s="42"/>
      <c r="M3" s="42"/>
      <c r="N3" s="42"/>
      <c r="S3" s="42" t="s">
        <v>431</v>
      </c>
      <c r="T3" s="42"/>
      <c r="U3" s="42"/>
      <c r="V3" s="42"/>
      <c r="W3" s="42"/>
      <c r="X3" s="42"/>
      <c r="Y3" s="42"/>
      <c r="Z3" s="42"/>
    </row>
    <row r="4" spans="1:26" ht="30" x14ac:dyDescent="0.25">
      <c r="A4" s="4" t="s">
        <v>14</v>
      </c>
      <c r="B4" s="18" t="s">
        <v>62</v>
      </c>
      <c r="C4" s="18" t="s">
        <v>63</v>
      </c>
      <c r="D4" s="18" t="s">
        <v>64</v>
      </c>
      <c r="E4" s="18" t="s">
        <v>345</v>
      </c>
      <c r="F4" s="18" t="s">
        <v>135</v>
      </c>
      <c r="G4" s="18" t="s">
        <v>214</v>
      </c>
      <c r="I4" s="18" t="s">
        <v>62</v>
      </c>
      <c r="J4" s="18" t="s">
        <v>63</v>
      </c>
      <c r="K4" s="18" t="s">
        <v>64</v>
      </c>
      <c r="L4" s="18" t="s">
        <v>345</v>
      </c>
      <c r="M4" s="3" t="s">
        <v>135</v>
      </c>
      <c r="N4" s="18" t="s">
        <v>61</v>
      </c>
      <c r="P4" s="4" t="s">
        <v>14</v>
      </c>
      <c r="Q4" s="3" t="s">
        <v>145</v>
      </c>
      <c r="T4" t="s">
        <v>62</v>
      </c>
      <c r="U4" t="s">
        <v>63</v>
      </c>
      <c r="V4" t="s">
        <v>64</v>
      </c>
      <c r="W4" t="s">
        <v>345</v>
      </c>
      <c r="X4" s="20" t="s">
        <v>66</v>
      </c>
      <c r="Y4" t="s">
        <v>214</v>
      </c>
      <c r="Z4" t="s">
        <v>425</v>
      </c>
    </row>
    <row r="5" spans="1:26" x14ac:dyDescent="0.25">
      <c r="A5">
        <v>-1</v>
      </c>
      <c r="B5">
        <v>2.1999999999999999E-2</v>
      </c>
      <c r="C5">
        <v>2.3E-2</v>
      </c>
      <c r="D5">
        <v>2.5000000000000001E-2</v>
      </c>
      <c r="E5">
        <v>2.5000000000000001E-2</v>
      </c>
      <c r="F5" s="10">
        <f>AVERAGE(B5:E5)</f>
        <v>2.375E-2</v>
      </c>
      <c r="G5" s="10">
        <f>_xlfn.STDEV.S(B5:E5)</f>
        <v>1.5000000000000013E-3</v>
      </c>
      <c r="I5" s="10">
        <f>LN(B5)</f>
        <v>-3.8167128256238212</v>
      </c>
      <c r="J5" s="10">
        <f>LN(C5)</f>
        <v>-3.7722610630529876</v>
      </c>
      <c r="K5" s="10">
        <f>LN(D5)</f>
        <v>-3.6888794541139363</v>
      </c>
      <c r="L5" s="10">
        <f>LN(E5)</f>
        <v>-3.6888794541139363</v>
      </c>
      <c r="M5" s="10">
        <f>AVERAGE(I5:L5)</f>
        <v>-3.7416831992261703</v>
      </c>
      <c r="N5" s="11">
        <f>_xlfn.STDEV.S(I5:L5)</f>
        <v>6.361583028706512E-2</v>
      </c>
      <c r="P5">
        <v>0</v>
      </c>
      <c r="Q5" s="11">
        <f>((AVERAGE(B6:D6))*$B$2)/0.1357</f>
        <v>0.27587848229255718</v>
      </c>
      <c r="R5" s="11"/>
      <c r="S5" t="s">
        <v>424</v>
      </c>
      <c r="T5" s="2">
        <f>SLOPE(I12:I15,$A$12:$A$15)</f>
        <v>0.15615268825532361</v>
      </c>
      <c r="U5" s="2">
        <f>SLOPE(J12:J15,$A$12:$A$15)</f>
        <v>0.12275545170755091</v>
      </c>
      <c r="V5" s="2">
        <f t="shared" ref="V5:W5" si="0">SLOPE(K12:K15,$A$12:$A$15)</f>
        <v>0.11974949228007983</v>
      </c>
      <c r="W5" s="2">
        <f t="shared" si="0"/>
        <v>0.14431610028246816</v>
      </c>
      <c r="X5" s="2">
        <f>AVERAGE(T5:W5)</f>
        <v>0.13574343313135562</v>
      </c>
      <c r="Y5" s="10">
        <f>_xlfn.STDEV.S(T5:W5)</f>
        <v>1.7459688067261253E-2</v>
      </c>
      <c r="Z5" s="10">
        <f>(_xlfn.STDEV.S(T5:W5))/(SQRT(COUNT(T5:V5)))</f>
        <v>1.0080355605600182E-2</v>
      </c>
    </row>
    <row r="6" spans="1:26" x14ac:dyDescent="0.25">
      <c r="A6">
        <v>0</v>
      </c>
      <c r="B6">
        <v>8.6999999999999994E-2</v>
      </c>
      <c r="C6">
        <v>9.0999999999999998E-2</v>
      </c>
      <c r="D6">
        <v>9.5000000000000001E-2</v>
      </c>
      <c r="E6">
        <v>0.10299999999999999</v>
      </c>
      <c r="F6" s="10">
        <f t="shared" ref="F6:F20" si="1">AVERAGE(B6:E6)</f>
        <v>9.4E-2</v>
      </c>
      <c r="G6" s="10">
        <f t="shared" ref="G6:G21" si="2">_xlfn.STDEV.S(B6:E6)</f>
        <v>6.8313005106397321E-3</v>
      </c>
      <c r="I6" s="10">
        <f t="shared" ref="I6:I21" si="3">LN(B6)</f>
        <v>-2.4418471603275536</v>
      </c>
      <c r="J6" s="10">
        <f t="shared" ref="J6:J21" si="4">LN(C6)</f>
        <v>-2.3968957724652871</v>
      </c>
      <c r="K6" s="10">
        <f t="shared" ref="K6:K21" si="5">LN(D6)</f>
        <v>-2.353878387381596</v>
      </c>
      <c r="L6" s="10">
        <f t="shared" ref="L6:L21" si="6">LN(E6)</f>
        <v>-2.2730262907525014</v>
      </c>
      <c r="M6" s="10">
        <f t="shared" ref="M6:M21" si="7">AVERAGE(I6:L6)</f>
        <v>-2.3664119027317345</v>
      </c>
      <c r="N6" s="11">
        <f t="shared" ref="N6:N21" si="8">_xlfn.STDEV.S(I6:L6)</f>
        <v>7.1874209408400502E-2</v>
      </c>
      <c r="P6">
        <v>1</v>
      </c>
      <c r="Q6" s="11">
        <f>((AVERAGE(B7:D7))*$B$2)/0.1357</f>
        <v>0.32135295739572589</v>
      </c>
      <c r="R6" s="11"/>
      <c r="V6" s="11"/>
    </row>
    <row r="7" spans="1:26" x14ac:dyDescent="0.25">
      <c r="A7">
        <v>1</v>
      </c>
      <c r="B7">
        <v>0.105</v>
      </c>
      <c r="C7">
        <v>0.10199999999999999</v>
      </c>
      <c r="D7">
        <v>0.111</v>
      </c>
      <c r="E7">
        <v>0.121</v>
      </c>
      <c r="F7" s="10">
        <f t="shared" si="1"/>
        <v>0.10975</v>
      </c>
      <c r="G7" s="10">
        <f t="shared" si="2"/>
        <v>8.3815273071201051E-3</v>
      </c>
      <c r="I7" s="10">
        <f t="shared" si="3"/>
        <v>-2.2537949288246137</v>
      </c>
      <c r="J7" s="10">
        <f t="shared" si="4"/>
        <v>-2.2827824656978661</v>
      </c>
      <c r="K7" s="10">
        <f t="shared" si="5"/>
        <v>-2.1982250776698029</v>
      </c>
      <c r="L7" s="10">
        <f t="shared" si="6"/>
        <v>-2.1119647333853959</v>
      </c>
      <c r="M7" s="10">
        <f t="shared" si="7"/>
        <v>-2.2116918013944198</v>
      </c>
      <c r="N7" s="11">
        <f t="shared" si="8"/>
        <v>7.5174012868056292E-2</v>
      </c>
      <c r="P7">
        <v>2</v>
      </c>
      <c r="Q7" s="11">
        <f>((AVERAGE(B8:D8))*$B$2)/0.1357</f>
        <v>0.4395865926639646</v>
      </c>
      <c r="R7" s="11"/>
      <c r="V7" s="11"/>
    </row>
    <row r="8" spans="1:26" x14ac:dyDescent="0.25">
      <c r="A8">
        <v>2</v>
      </c>
      <c r="B8">
        <v>0.14199999999999999</v>
      </c>
      <c r="C8">
        <v>0.15</v>
      </c>
      <c r="D8">
        <v>0.14299999999999999</v>
      </c>
      <c r="E8">
        <v>0.161</v>
      </c>
      <c r="F8" s="10">
        <f t="shared" si="1"/>
        <v>0.14899999999999999</v>
      </c>
      <c r="G8" s="10">
        <f t="shared" si="2"/>
        <v>8.7559503577091385E-3</v>
      </c>
      <c r="I8" s="10">
        <f t="shared" si="3"/>
        <v>-1.9519282213808764</v>
      </c>
      <c r="J8" s="10">
        <f t="shared" si="4"/>
        <v>-1.8971199848858813</v>
      </c>
      <c r="K8" s="10">
        <f t="shared" si="5"/>
        <v>-1.9449106487222299</v>
      </c>
      <c r="L8" s="10">
        <f t="shared" si="6"/>
        <v>-1.8263509139976741</v>
      </c>
      <c r="M8" s="10">
        <f t="shared" si="7"/>
        <v>-1.9050774422466654</v>
      </c>
      <c r="N8" s="11">
        <f t="shared" si="8"/>
        <v>5.7858641594249596E-2</v>
      </c>
      <c r="P8">
        <v>3</v>
      </c>
      <c r="Q8" s="11">
        <f t="shared" ref="Q8:Q18" si="9">((AVERAGE(B9:D9))*$B$2)/0.1357</f>
        <v>0.52447227952321285</v>
      </c>
      <c r="R8" s="11"/>
      <c r="V8" s="11"/>
    </row>
    <row r="9" spans="1:26" x14ac:dyDescent="0.25">
      <c r="A9">
        <v>3</v>
      </c>
      <c r="B9">
        <v>0.17599999999999999</v>
      </c>
      <c r="C9">
        <v>0.16200000000000001</v>
      </c>
      <c r="D9">
        <v>0.18099999999999999</v>
      </c>
      <c r="E9">
        <v>0.191</v>
      </c>
      <c r="F9" s="10">
        <f t="shared" si="1"/>
        <v>0.17749999999999999</v>
      </c>
      <c r="G9" s="10">
        <f t="shared" si="2"/>
        <v>1.2069244660154447E-2</v>
      </c>
      <c r="I9" s="10">
        <f t="shared" si="3"/>
        <v>-1.7372712839439852</v>
      </c>
      <c r="J9" s="10">
        <f t="shared" si="4"/>
        <v>-1.820158943749753</v>
      </c>
      <c r="K9" s="10">
        <f t="shared" si="5"/>
        <v>-1.7092582477163114</v>
      </c>
      <c r="L9" s="10">
        <f t="shared" si="6"/>
        <v>-1.6554818509355071</v>
      </c>
      <c r="M9" s="10">
        <f t="shared" si="7"/>
        <v>-1.7305425815863891</v>
      </c>
      <c r="N9" s="11">
        <f t="shared" si="8"/>
        <v>6.8710755967678255E-2</v>
      </c>
      <c r="P9">
        <v>4</v>
      </c>
      <c r="Q9" s="11">
        <f t="shared" si="9"/>
        <v>0.63361101977081802</v>
      </c>
      <c r="R9" s="11"/>
      <c r="V9" s="11"/>
    </row>
    <row r="10" spans="1:26" x14ac:dyDescent="0.25">
      <c r="A10">
        <v>4</v>
      </c>
      <c r="B10">
        <v>0.21099999999999999</v>
      </c>
      <c r="C10">
        <v>0.20899999999999999</v>
      </c>
      <c r="D10">
        <v>0.20699999999999999</v>
      </c>
      <c r="E10">
        <v>0.23699999999999999</v>
      </c>
      <c r="F10" s="10">
        <f t="shared" si="1"/>
        <v>0.216</v>
      </c>
      <c r="G10" s="10">
        <f t="shared" si="2"/>
        <v>1.4094916341243982E-2</v>
      </c>
      <c r="I10" s="10">
        <f t="shared" si="3"/>
        <v>-1.5558971455060706</v>
      </c>
      <c r="J10" s="10">
        <f t="shared" si="4"/>
        <v>-1.5654210270173261</v>
      </c>
      <c r="K10" s="10">
        <f t="shared" si="5"/>
        <v>-1.575036485716768</v>
      </c>
      <c r="L10" s="10">
        <f t="shared" si="6"/>
        <v>-1.439695137847006</v>
      </c>
      <c r="M10" s="10">
        <f t="shared" si="7"/>
        <v>-1.5340124490217928</v>
      </c>
      <c r="N10" s="11">
        <f t="shared" si="8"/>
        <v>6.3361832585825936E-2</v>
      </c>
      <c r="P10">
        <v>5</v>
      </c>
      <c r="Q10" s="11">
        <f t="shared" si="9"/>
        <v>0.76700281340677967</v>
      </c>
      <c r="R10" s="11"/>
      <c r="V10" s="11"/>
    </row>
    <row r="11" spans="1:26" x14ac:dyDescent="0.25">
      <c r="A11">
        <v>5</v>
      </c>
      <c r="B11">
        <v>0.26800000000000002</v>
      </c>
      <c r="C11">
        <v>0.23799999999999999</v>
      </c>
      <c r="D11">
        <v>0.253</v>
      </c>
      <c r="E11">
        <v>0.28100000000000003</v>
      </c>
      <c r="F11" s="10">
        <f t="shared" si="1"/>
        <v>0.26</v>
      </c>
      <c r="G11" s="10">
        <f t="shared" si="2"/>
        <v>1.8601075237738289E-2</v>
      </c>
      <c r="I11" s="10">
        <f t="shared" si="3"/>
        <v>-1.3167682984712803</v>
      </c>
      <c r="J11" s="10">
        <f t="shared" si="4"/>
        <v>-1.4354846053106625</v>
      </c>
      <c r="K11" s="10">
        <f t="shared" si="5"/>
        <v>-1.3743657902546169</v>
      </c>
      <c r="L11" s="10">
        <f t="shared" si="6"/>
        <v>-1.2694006096483912</v>
      </c>
      <c r="M11" s="10">
        <f t="shared" si="7"/>
        <v>-1.3490048259212379</v>
      </c>
      <c r="N11" s="11">
        <f t="shared" si="8"/>
        <v>7.1874788592404426E-2</v>
      </c>
      <c r="P11">
        <v>5.5</v>
      </c>
      <c r="Q11" s="11">
        <f t="shared" si="9"/>
        <v>0.83268816633357901</v>
      </c>
      <c r="R11" s="11"/>
      <c r="V11" s="11"/>
    </row>
    <row r="12" spans="1:26" x14ac:dyDescent="0.25">
      <c r="A12">
        <v>5.5</v>
      </c>
      <c r="B12">
        <v>0.28399999999999997</v>
      </c>
      <c r="C12">
        <v>0.26600000000000001</v>
      </c>
      <c r="D12">
        <v>0.27400000000000002</v>
      </c>
      <c r="E12">
        <v>0.31900000000000001</v>
      </c>
      <c r="F12" s="10">
        <f t="shared" si="1"/>
        <v>0.28575</v>
      </c>
      <c r="G12" s="10">
        <f t="shared" si="2"/>
        <v>2.3357725345875036E-2</v>
      </c>
      <c r="I12" s="10">
        <f t="shared" si="3"/>
        <v>-1.258781040820931</v>
      </c>
      <c r="J12" s="10">
        <f t="shared" si="4"/>
        <v>-1.3242589702004379</v>
      </c>
      <c r="K12" s="10">
        <f t="shared" si="5"/>
        <v>-1.2946271725940668</v>
      </c>
      <c r="L12" s="10">
        <f t="shared" si="6"/>
        <v>-1.1425641761972924</v>
      </c>
      <c r="M12" s="10">
        <f t="shared" si="7"/>
        <v>-1.255057839953182</v>
      </c>
      <c r="N12" s="11">
        <f t="shared" si="8"/>
        <v>7.9630846458449367E-2</v>
      </c>
      <c r="P12">
        <v>6.5</v>
      </c>
      <c r="Q12" s="11">
        <f t="shared" si="9"/>
        <v>0.97416431109899293</v>
      </c>
      <c r="R12" s="11"/>
      <c r="V12" s="11"/>
    </row>
    <row r="13" spans="1:26" x14ac:dyDescent="0.25">
      <c r="A13">
        <v>6.5</v>
      </c>
      <c r="B13">
        <v>0.34399999999999997</v>
      </c>
      <c r="C13">
        <v>0.307</v>
      </c>
      <c r="D13">
        <v>0.313</v>
      </c>
      <c r="E13">
        <v>0.38100000000000001</v>
      </c>
      <c r="F13" s="10">
        <f t="shared" si="1"/>
        <v>0.33624999999999999</v>
      </c>
      <c r="G13" s="10">
        <f t="shared" si="2"/>
        <v>3.3954626587059777E-2</v>
      </c>
      <c r="I13" s="10">
        <f t="shared" si="3"/>
        <v>-1.0671136216087387</v>
      </c>
      <c r="J13" s="10">
        <f t="shared" si="4"/>
        <v>-1.18090753139494</v>
      </c>
      <c r="K13" s="10">
        <f t="shared" si="5"/>
        <v>-1.1615520884419839</v>
      </c>
      <c r="L13" s="10">
        <f t="shared" si="6"/>
        <v>-0.96495590385543606</v>
      </c>
      <c r="M13" s="10">
        <f t="shared" si="7"/>
        <v>-1.0936322863252745</v>
      </c>
      <c r="N13" s="11">
        <f t="shared" si="8"/>
        <v>9.9147901146746958E-2</v>
      </c>
      <c r="P13">
        <v>7.5</v>
      </c>
      <c r="Q13" s="11">
        <f t="shared" si="9"/>
        <v>1.1206931753203144</v>
      </c>
      <c r="R13" s="11"/>
      <c r="V13" s="11"/>
    </row>
    <row r="14" spans="1:26" x14ac:dyDescent="0.25">
      <c r="A14">
        <v>7.5</v>
      </c>
      <c r="B14">
        <v>0.40400000000000003</v>
      </c>
      <c r="C14">
        <v>0.35099999999999998</v>
      </c>
      <c r="D14">
        <v>0.35399999999999998</v>
      </c>
      <c r="E14">
        <v>0.42399999999999999</v>
      </c>
      <c r="F14" s="10">
        <f t="shared" si="1"/>
        <v>0.38324999999999998</v>
      </c>
      <c r="G14" s="10">
        <f t="shared" si="2"/>
        <v>3.6454309301736432E-2</v>
      </c>
      <c r="I14" s="10">
        <f t="shared" si="3"/>
        <v>-0.9063404010209869</v>
      </c>
      <c r="J14" s="10">
        <f t="shared" si="4"/>
        <v>-1.0469690555162714</v>
      </c>
      <c r="K14" s="10">
        <f t="shared" si="5"/>
        <v>-1.0384583658483626</v>
      </c>
      <c r="L14" s="10">
        <f t="shared" si="6"/>
        <v>-0.85802182375017932</v>
      </c>
      <c r="M14" s="10">
        <f t="shared" si="7"/>
        <v>-0.96244741153395008</v>
      </c>
      <c r="N14" s="11">
        <f t="shared" si="8"/>
        <v>9.4823122162529111E-2</v>
      </c>
      <c r="P14">
        <v>8.5</v>
      </c>
      <c r="Q14" s="11">
        <f t="shared" si="9"/>
        <v>1.2409478983709166</v>
      </c>
      <c r="R14" s="11"/>
      <c r="V14" s="11"/>
    </row>
    <row r="15" spans="1:26" x14ac:dyDescent="0.25">
      <c r="A15">
        <v>8.5</v>
      </c>
      <c r="B15">
        <v>0.45300000000000001</v>
      </c>
      <c r="C15">
        <v>0.38300000000000001</v>
      </c>
      <c r="D15">
        <v>0.39200000000000002</v>
      </c>
      <c r="E15">
        <v>0.498</v>
      </c>
      <c r="F15" s="10">
        <f t="shared" si="1"/>
        <v>0.43150000000000005</v>
      </c>
      <c r="G15" s="10">
        <f t="shared" si="2"/>
        <v>5.4151023382142234E-2</v>
      </c>
      <c r="H15" s="10"/>
      <c r="I15" s="10">
        <f t="shared" si="3"/>
        <v>-0.79186315349910297</v>
      </c>
      <c r="J15" s="10">
        <f t="shared" si="4"/>
        <v>-0.95972028980149104</v>
      </c>
      <c r="K15" s="11">
        <f t="shared" si="5"/>
        <v>-0.93649343919167449</v>
      </c>
      <c r="L15" s="10">
        <f t="shared" si="6"/>
        <v>-0.69715520195748415</v>
      </c>
      <c r="M15" s="10">
        <f t="shared" si="7"/>
        <v>-0.84630802111243819</v>
      </c>
      <c r="N15" s="11">
        <f t="shared" si="8"/>
        <v>0.12410554566527657</v>
      </c>
      <c r="P15">
        <v>9.5</v>
      </c>
      <c r="Q15" s="11">
        <f t="shared" si="9"/>
        <v>1.3490760947273399</v>
      </c>
      <c r="R15" s="11"/>
      <c r="U15" s="11"/>
      <c r="V15" s="11"/>
    </row>
    <row r="16" spans="1:26" x14ac:dyDescent="0.25">
      <c r="A16">
        <v>9.5</v>
      </c>
      <c r="B16">
        <v>0.501</v>
      </c>
      <c r="C16">
        <v>0.41599999999999998</v>
      </c>
      <c r="D16">
        <v>0.41799999999999998</v>
      </c>
      <c r="E16">
        <v>0.53</v>
      </c>
      <c r="F16" s="10">
        <f t="shared" si="1"/>
        <v>0.46625</v>
      </c>
      <c r="G16" s="10">
        <f t="shared" si="2"/>
        <v>5.8094032969545781E-2</v>
      </c>
      <c r="H16" s="10"/>
      <c r="I16" s="10">
        <f t="shared" si="3"/>
        <v>-0.69114917789727226</v>
      </c>
      <c r="J16" s="10">
        <f t="shared" si="4"/>
        <v>-0.87707001872087387</v>
      </c>
      <c r="K16" s="11">
        <f t="shared" si="5"/>
        <v>-0.87227384645738082</v>
      </c>
      <c r="L16" s="10">
        <f t="shared" si="6"/>
        <v>-0.6348782724359695</v>
      </c>
      <c r="M16" s="10">
        <f t="shared" si="7"/>
        <v>-0.76884282887787414</v>
      </c>
      <c r="N16" s="11">
        <f t="shared" si="8"/>
        <v>0.12435688669338771</v>
      </c>
      <c r="P16">
        <v>10.5</v>
      </c>
      <c r="Q16" s="11">
        <f t="shared" si="9"/>
        <v>1.4713519055603046</v>
      </c>
      <c r="R16" s="11"/>
      <c r="U16" s="11"/>
      <c r="V16" s="11"/>
    </row>
    <row r="17" spans="1:52" x14ac:dyDescent="0.25">
      <c r="A17">
        <v>10.5</v>
      </c>
      <c r="B17">
        <v>0.52400000000000002</v>
      </c>
      <c r="C17">
        <v>0.47699999999999998</v>
      </c>
      <c r="D17">
        <v>0.45500000000000002</v>
      </c>
      <c r="E17">
        <v>0.59399999999999997</v>
      </c>
      <c r="F17" s="10">
        <f t="shared" si="1"/>
        <v>0.51249999999999996</v>
      </c>
      <c r="G17" s="10">
        <f t="shared" si="2"/>
        <v>6.1484415369533675E-2</v>
      </c>
      <c r="H17" s="10"/>
      <c r="I17" s="10">
        <f t="shared" si="3"/>
        <v>-0.64626359466109484</v>
      </c>
      <c r="J17" s="10">
        <f t="shared" si="4"/>
        <v>-0.74023878809379584</v>
      </c>
      <c r="K17" s="11">
        <f t="shared" si="5"/>
        <v>-0.78745786003118656</v>
      </c>
      <c r="L17" s="10">
        <f t="shared" si="6"/>
        <v>-0.52087595961949218</v>
      </c>
      <c r="M17" s="10">
        <f t="shared" si="7"/>
        <v>-0.6737090506013923</v>
      </c>
      <c r="N17" s="11">
        <f t="shared" si="8"/>
        <v>0.11758146731572473</v>
      </c>
      <c r="P17">
        <v>11.5</v>
      </c>
      <c r="Q17" s="11">
        <f>((AVERAGE(B18:D18))*$B$2)/0.1357</f>
        <v>1.5895855408285433</v>
      </c>
      <c r="R17" s="11"/>
      <c r="U17" s="11"/>
      <c r="V17" s="11"/>
    </row>
    <row r="18" spans="1:52" x14ac:dyDescent="0.25">
      <c r="A18">
        <v>11.5</v>
      </c>
      <c r="B18">
        <v>0.56699999999999995</v>
      </c>
      <c r="C18">
        <v>0.499</v>
      </c>
      <c r="D18">
        <v>0.50700000000000001</v>
      </c>
      <c r="E18">
        <v>0.64200000000000002</v>
      </c>
      <c r="F18" s="10">
        <f t="shared" si="1"/>
        <v>0.55374999999999996</v>
      </c>
      <c r="G18" s="10">
        <f t="shared" si="2"/>
        <v>6.6198564939128929E-2</v>
      </c>
      <c r="H18" s="10"/>
      <c r="I18" s="10">
        <f t="shared" si="3"/>
        <v>-0.56739597525438512</v>
      </c>
      <c r="J18" s="10">
        <f t="shared" si="4"/>
        <v>-0.69514918323061836</v>
      </c>
      <c r="K18" s="11">
        <f t="shared" si="5"/>
        <v>-0.67924427539095389</v>
      </c>
      <c r="L18" s="10">
        <f t="shared" si="6"/>
        <v>-0.44316697529217586</v>
      </c>
      <c r="M18" s="10">
        <f t="shared" si="7"/>
        <v>-0.59623910229203325</v>
      </c>
      <c r="N18" s="11">
        <f t="shared" si="8"/>
        <v>0.11681333387650289</v>
      </c>
      <c r="P18">
        <v>12.5</v>
      </c>
      <c r="Q18" s="11">
        <f t="shared" si="9"/>
        <v>1.6865977543819701</v>
      </c>
      <c r="R18" s="11"/>
      <c r="U18" s="11"/>
      <c r="V18" s="11"/>
    </row>
    <row r="19" spans="1:52" x14ac:dyDescent="0.25">
      <c r="A19">
        <v>12.5</v>
      </c>
      <c r="B19">
        <v>0.60599999999999998</v>
      </c>
      <c r="C19">
        <v>0.52200000000000002</v>
      </c>
      <c r="D19">
        <v>0.54100000000000004</v>
      </c>
      <c r="E19">
        <v>0.68200000000000005</v>
      </c>
      <c r="F19" s="10">
        <f t="shared" si="1"/>
        <v>0.58774999999999999</v>
      </c>
      <c r="G19" s="10">
        <f t="shared" si="2"/>
        <v>7.2398779916055159E-2</v>
      </c>
      <c r="H19" s="10"/>
      <c r="I19" s="10">
        <f t="shared" si="3"/>
        <v>-0.50087529291282262</v>
      </c>
      <c r="J19" s="10">
        <f t="shared" si="4"/>
        <v>-0.65008769109949827</v>
      </c>
      <c r="K19" s="11">
        <f t="shared" si="5"/>
        <v>-0.61433600013565548</v>
      </c>
      <c r="L19" s="10">
        <f t="shared" si="6"/>
        <v>-0.38272562113867487</v>
      </c>
      <c r="M19" s="10">
        <f t="shared" si="7"/>
        <v>-0.53700615132166274</v>
      </c>
      <c r="N19" s="11">
        <f t="shared" si="8"/>
        <v>0.12093422603358261</v>
      </c>
      <c r="Q19" s="11"/>
      <c r="R19" s="11"/>
      <c r="U19" s="11"/>
      <c r="V19" s="11"/>
    </row>
    <row r="20" spans="1:52" x14ac:dyDescent="0.25">
      <c r="A20">
        <v>27</v>
      </c>
      <c r="B20">
        <v>0.82299999999999995</v>
      </c>
      <c r="C20">
        <v>0.81899999999999995</v>
      </c>
      <c r="D20">
        <v>0.71099999999999997</v>
      </c>
      <c r="E20">
        <v>0.94399999999999995</v>
      </c>
      <c r="F20" s="10">
        <f t="shared" si="1"/>
        <v>0.82424999999999993</v>
      </c>
      <c r="G20" s="10">
        <f t="shared" si="2"/>
        <v>9.5209855932391077E-2</v>
      </c>
      <c r="H20" s="10"/>
      <c r="I20" s="10">
        <f t="shared" si="3"/>
        <v>-0.19479907830506729</v>
      </c>
      <c r="J20" s="10">
        <f t="shared" si="4"/>
        <v>-0.1996711951290677</v>
      </c>
      <c r="K20" s="11">
        <f t="shared" si="5"/>
        <v>-0.3410828491788962</v>
      </c>
      <c r="L20" s="10">
        <f t="shared" si="6"/>
        <v>-5.7629112836636416E-2</v>
      </c>
      <c r="M20" s="10">
        <f t="shared" si="7"/>
        <v>-0.1982955588624169</v>
      </c>
      <c r="N20" s="11">
        <f t="shared" si="8"/>
        <v>0.11574307332028184</v>
      </c>
      <c r="P20" s="10"/>
      <c r="Q20" s="10"/>
      <c r="R20" s="11"/>
      <c r="U20" s="11"/>
      <c r="V20" s="11"/>
    </row>
    <row r="21" spans="1:52" x14ac:dyDescent="0.25">
      <c r="A21">
        <v>51</v>
      </c>
      <c r="B21">
        <v>0.93700000000000006</v>
      </c>
      <c r="C21">
        <v>0.88400000000000001</v>
      </c>
      <c r="D21">
        <v>0.88300000000000001</v>
      </c>
      <c r="E21">
        <v>0.97199999999999998</v>
      </c>
      <c r="F21" s="10">
        <f>AVERAGE(B21:E21)</f>
        <v>0.91900000000000004</v>
      </c>
      <c r="G21" s="10">
        <f t="shared" si="2"/>
        <v>4.3412747743798316E-2</v>
      </c>
      <c r="H21" s="10"/>
      <c r="I21" s="10">
        <f t="shared" si="3"/>
        <v>-6.5071996743714805E-2</v>
      </c>
      <c r="J21" s="10">
        <f t="shared" si="4"/>
        <v>-0.1232982163444936</v>
      </c>
      <c r="K21" s="11">
        <f t="shared" si="5"/>
        <v>-0.12443007837817703</v>
      </c>
      <c r="L21" s="10">
        <f t="shared" si="6"/>
        <v>-2.8399474521698002E-2</v>
      </c>
      <c r="M21" s="10">
        <f t="shared" si="7"/>
        <v>-8.5299941497020859E-2</v>
      </c>
      <c r="N21" s="11">
        <f t="shared" si="8"/>
        <v>4.6981802841365113E-2</v>
      </c>
      <c r="P21" s="10"/>
      <c r="Q21" s="10"/>
      <c r="R21" s="11"/>
      <c r="U21" s="11"/>
      <c r="V21" s="11"/>
    </row>
    <row r="22" spans="1:52" x14ac:dyDescent="0.25">
      <c r="E22" s="10"/>
      <c r="F22" s="10"/>
      <c r="H22" s="10"/>
      <c r="I22" s="10"/>
      <c r="J22" s="11"/>
      <c r="K22" s="10"/>
      <c r="L22" s="11"/>
      <c r="O22" s="10"/>
    </row>
    <row r="23" spans="1:52" x14ac:dyDescent="0.25">
      <c r="A23" t="s">
        <v>7</v>
      </c>
      <c r="B23" t="s">
        <v>346</v>
      </c>
      <c r="C23" t="s">
        <v>347</v>
      </c>
      <c r="D23" t="s">
        <v>348</v>
      </c>
      <c r="E23" t="s">
        <v>374</v>
      </c>
      <c r="F23" t="s">
        <v>375</v>
      </c>
      <c r="G23" t="s">
        <v>376</v>
      </c>
      <c r="H23" t="s">
        <v>377</v>
      </c>
      <c r="I23" t="s">
        <v>378</v>
      </c>
      <c r="J23" t="s">
        <v>379</v>
      </c>
      <c r="K23" t="s">
        <v>380</v>
      </c>
      <c r="L23" t="s">
        <v>381</v>
      </c>
      <c r="M23" t="s">
        <v>382</v>
      </c>
      <c r="N23" t="s">
        <v>383</v>
      </c>
      <c r="O23" t="s">
        <v>384</v>
      </c>
      <c r="P23" t="s">
        <v>385</v>
      </c>
      <c r="Q23" t="s">
        <v>386</v>
      </c>
      <c r="R23" t="s">
        <v>387</v>
      </c>
      <c r="S23" t="s">
        <v>388</v>
      </c>
      <c r="T23" t="s">
        <v>389</v>
      </c>
      <c r="U23" t="s">
        <v>390</v>
      </c>
      <c r="V23" t="s">
        <v>391</v>
      </c>
      <c r="W23" t="s">
        <v>392</v>
      </c>
      <c r="X23" t="s">
        <v>393</v>
      </c>
      <c r="Y23" t="s">
        <v>394</v>
      </c>
      <c r="Z23" t="s">
        <v>395</v>
      </c>
      <c r="AA23" t="s">
        <v>396</v>
      </c>
      <c r="AB23" t="s">
        <v>397</v>
      </c>
      <c r="AC23" t="s">
        <v>398</v>
      </c>
      <c r="AD23" t="s">
        <v>399</v>
      </c>
      <c r="AE23" t="s">
        <v>400</v>
      </c>
      <c r="AF23" t="s">
        <v>401</v>
      </c>
      <c r="AG23" t="s">
        <v>402</v>
      </c>
      <c r="AH23" t="s">
        <v>403</v>
      </c>
      <c r="AI23" t="s">
        <v>404</v>
      </c>
      <c r="AJ23" t="s">
        <v>405</v>
      </c>
      <c r="AK23" t="s">
        <v>406</v>
      </c>
      <c r="AL23" t="s">
        <v>407</v>
      </c>
      <c r="AM23" t="s">
        <v>408</v>
      </c>
      <c r="AN23" t="s">
        <v>409</v>
      </c>
      <c r="AO23" t="s">
        <v>410</v>
      </c>
      <c r="AP23" t="s">
        <v>411</v>
      </c>
      <c r="AQ23" t="s">
        <v>412</v>
      </c>
      <c r="AR23" t="s">
        <v>413</v>
      </c>
      <c r="AS23" t="s">
        <v>414</v>
      </c>
      <c r="AT23" t="s">
        <v>415</v>
      </c>
      <c r="AU23" t="s">
        <v>416</v>
      </c>
      <c r="AV23" t="s">
        <v>417</v>
      </c>
      <c r="AW23" t="s">
        <v>418</v>
      </c>
      <c r="AX23" t="s">
        <v>419</v>
      </c>
      <c r="AY23" t="s">
        <v>420</v>
      </c>
      <c r="AZ23" t="s">
        <v>421</v>
      </c>
    </row>
    <row r="24" spans="1:52" x14ac:dyDescent="0.25">
      <c r="A24" t="s">
        <v>0</v>
      </c>
      <c r="B24" s="1">
        <v>84070984</v>
      </c>
      <c r="C24" s="1">
        <v>94380960</v>
      </c>
      <c r="D24" s="1">
        <v>90096344</v>
      </c>
      <c r="E24" s="1">
        <v>82905064</v>
      </c>
      <c r="F24" s="1">
        <v>82570840</v>
      </c>
      <c r="G24" s="1">
        <v>84053912</v>
      </c>
      <c r="H24" s="1">
        <v>77642240</v>
      </c>
      <c r="I24" s="1">
        <v>76730712</v>
      </c>
      <c r="J24" s="1">
        <v>80787384</v>
      </c>
      <c r="K24" s="1">
        <v>78336056</v>
      </c>
      <c r="L24" s="1">
        <v>79193464</v>
      </c>
      <c r="M24" s="1">
        <v>77112648</v>
      </c>
      <c r="N24" s="1">
        <v>74962168</v>
      </c>
      <c r="O24" s="1">
        <v>78178856</v>
      </c>
      <c r="P24" s="1">
        <v>79109384</v>
      </c>
      <c r="Q24" s="1">
        <v>76248392</v>
      </c>
      <c r="R24" s="1">
        <v>76171456</v>
      </c>
      <c r="S24" s="1">
        <v>76684000</v>
      </c>
      <c r="T24" s="1">
        <v>77734048</v>
      </c>
      <c r="U24" s="1">
        <v>97918656</v>
      </c>
      <c r="V24" s="1">
        <v>94141800</v>
      </c>
      <c r="W24" s="1">
        <v>100478776</v>
      </c>
      <c r="X24" s="1">
        <v>99217064</v>
      </c>
      <c r="Y24" s="1">
        <v>90075648</v>
      </c>
      <c r="Z24" s="1">
        <v>95000952</v>
      </c>
      <c r="AA24" s="1">
        <v>94863496</v>
      </c>
      <c r="AB24" s="1">
        <v>94444696</v>
      </c>
      <c r="AC24" s="1">
        <v>91109064</v>
      </c>
      <c r="AD24" s="1">
        <v>84742760</v>
      </c>
      <c r="AE24" s="1">
        <v>94111528</v>
      </c>
      <c r="AF24" s="1">
        <v>92081128</v>
      </c>
      <c r="AG24" s="1">
        <v>90967488</v>
      </c>
      <c r="AH24" s="1">
        <v>90819264</v>
      </c>
      <c r="AI24" s="1">
        <v>90648064</v>
      </c>
      <c r="AJ24" s="1">
        <v>91095256</v>
      </c>
      <c r="AK24" s="1">
        <v>89115048</v>
      </c>
      <c r="AL24" s="1">
        <v>83615528</v>
      </c>
      <c r="AM24" s="1">
        <v>84836552</v>
      </c>
      <c r="AN24" s="1">
        <v>83513080</v>
      </c>
      <c r="AO24" s="1">
        <v>82683976</v>
      </c>
      <c r="AP24" s="1">
        <v>75715480</v>
      </c>
      <c r="AQ24" s="1">
        <v>80630360</v>
      </c>
      <c r="AR24" s="1">
        <v>81547000</v>
      </c>
      <c r="AS24" s="1">
        <v>83997904</v>
      </c>
      <c r="AT24" s="1">
        <v>69261192</v>
      </c>
      <c r="AU24" s="1">
        <v>70115632</v>
      </c>
      <c r="AV24" s="1">
        <v>69155832</v>
      </c>
      <c r="AW24" s="1">
        <v>71791424</v>
      </c>
      <c r="AX24" s="1">
        <v>63972148</v>
      </c>
      <c r="AY24" s="1">
        <v>66910612</v>
      </c>
      <c r="AZ24" s="1">
        <v>70082392</v>
      </c>
    </row>
    <row r="25" spans="1:52" x14ac:dyDescent="0.25">
      <c r="A25" t="s">
        <v>1</v>
      </c>
      <c r="B25" s="1">
        <v>5198060.5</v>
      </c>
      <c r="C25" s="1">
        <v>5832656.5</v>
      </c>
      <c r="D25" s="1">
        <v>5149386</v>
      </c>
      <c r="E25" s="1">
        <v>4882036.5</v>
      </c>
      <c r="F25" s="1">
        <v>4900157.5</v>
      </c>
      <c r="G25" s="1">
        <v>5107928.5</v>
      </c>
      <c r="H25" s="1">
        <v>4851801</v>
      </c>
      <c r="I25" s="1">
        <v>4585916</v>
      </c>
      <c r="J25" s="1">
        <v>4855524.5</v>
      </c>
      <c r="K25" s="1">
        <v>4643483</v>
      </c>
      <c r="L25" s="1">
        <v>5046313.5</v>
      </c>
      <c r="M25" s="1">
        <v>4415941</v>
      </c>
      <c r="N25" s="1">
        <v>4413169.5</v>
      </c>
      <c r="O25" s="1">
        <v>4730728</v>
      </c>
      <c r="P25" s="1">
        <v>4806137.5</v>
      </c>
      <c r="Q25" s="1">
        <v>4616946.5</v>
      </c>
      <c r="R25" s="1">
        <v>4622930.5</v>
      </c>
      <c r="S25" s="1">
        <v>4742663.5</v>
      </c>
      <c r="T25" s="1">
        <v>4513366</v>
      </c>
      <c r="U25" s="1">
        <v>5763365.5</v>
      </c>
      <c r="V25" s="1">
        <v>5667352</v>
      </c>
      <c r="W25" s="1">
        <v>6088154.5</v>
      </c>
      <c r="X25" s="1">
        <v>6200288</v>
      </c>
      <c r="Y25" s="1">
        <v>5459343.5</v>
      </c>
      <c r="Z25" s="1">
        <v>5807776.5</v>
      </c>
      <c r="AA25" s="1">
        <v>5986994.5</v>
      </c>
      <c r="AB25" s="1">
        <v>5952988</v>
      </c>
      <c r="AC25" s="1">
        <v>5594383.5</v>
      </c>
      <c r="AD25" s="1">
        <v>5280006</v>
      </c>
      <c r="AE25" s="1">
        <v>5825580.5</v>
      </c>
      <c r="AF25" s="1">
        <v>5792418.5</v>
      </c>
      <c r="AG25" s="1">
        <v>5539726.5</v>
      </c>
      <c r="AH25" s="1">
        <v>5557702.5</v>
      </c>
      <c r="AI25" s="1">
        <v>5536956</v>
      </c>
      <c r="AJ25" s="1">
        <v>5770164</v>
      </c>
      <c r="AK25" s="1">
        <v>5446503.5</v>
      </c>
      <c r="AL25" s="1">
        <v>5079498</v>
      </c>
      <c r="AM25" s="1">
        <v>5232852.5</v>
      </c>
      <c r="AN25" s="1">
        <v>5179804.5</v>
      </c>
      <c r="AO25" s="1">
        <v>5074888.5</v>
      </c>
      <c r="AP25" s="1">
        <v>4577672</v>
      </c>
      <c r="AQ25" s="1">
        <v>4925426</v>
      </c>
      <c r="AR25" s="1">
        <v>4829822</v>
      </c>
      <c r="AS25" s="1">
        <v>4814137.5</v>
      </c>
      <c r="AT25" s="1">
        <v>4241694</v>
      </c>
      <c r="AU25" s="1">
        <v>4322649.5</v>
      </c>
      <c r="AV25" s="1">
        <v>4341248.5</v>
      </c>
      <c r="AW25" s="1">
        <v>4430378</v>
      </c>
      <c r="AX25" s="1">
        <v>3847089.25</v>
      </c>
      <c r="AY25" s="1">
        <v>3852425.25</v>
      </c>
      <c r="AZ25" s="1">
        <v>4316526.5</v>
      </c>
    </row>
    <row r="26" spans="1:52" x14ac:dyDescent="0.25">
      <c r="A26" t="s">
        <v>2</v>
      </c>
      <c r="B26" s="1">
        <v>867156.56</v>
      </c>
      <c r="C26" s="1">
        <v>1186166.6200000001</v>
      </c>
      <c r="D26" s="1">
        <v>629346.31000000006</v>
      </c>
      <c r="E26" s="1">
        <v>872397.31</v>
      </c>
      <c r="F26" s="1">
        <v>881141</v>
      </c>
      <c r="G26" s="1">
        <v>937537.5</v>
      </c>
      <c r="H26" s="1">
        <v>803290.69</v>
      </c>
      <c r="I26" s="1">
        <v>559981.31000000006</v>
      </c>
      <c r="J26" s="1">
        <v>911490.31</v>
      </c>
      <c r="K26" s="1">
        <v>891472.69</v>
      </c>
      <c r="L26" s="1">
        <v>887605.19</v>
      </c>
      <c r="M26" s="1">
        <v>805640.69</v>
      </c>
      <c r="N26" s="1">
        <v>548210.93999999994</v>
      </c>
      <c r="O26" s="1">
        <v>898437.69</v>
      </c>
      <c r="P26" s="1">
        <v>892878.75</v>
      </c>
      <c r="Q26" s="1">
        <v>811783.75</v>
      </c>
      <c r="R26" s="1">
        <v>806428.25</v>
      </c>
      <c r="S26" s="1">
        <v>800545</v>
      </c>
      <c r="T26" s="1">
        <v>853289.69</v>
      </c>
      <c r="U26" s="1">
        <v>1030864.19</v>
      </c>
      <c r="V26" s="1">
        <v>905262.69</v>
      </c>
      <c r="W26" s="1">
        <v>1105485.6200000001</v>
      </c>
      <c r="X26" s="1">
        <v>699375.44</v>
      </c>
      <c r="Y26" s="1">
        <v>1040993.25</v>
      </c>
      <c r="Z26" s="1">
        <v>349567</v>
      </c>
      <c r="AA26" s="1">
        <v>371777.25</v>
      </c>
      <c r="AB26" s="1">
        <v>580789.12</v>
      </c>
      <c r="AC26" s="1">
        <v>373542.16</v>
      </c>
      <c r="AD26" s="1">
        <v>1013529.31</v>
      </c>
      <c r="AE26" s="1">
        <v>582005.12</v>
      </c>
      <c r="AF26" s="1">
        <v>1003482.25</v>
      </c>
      <c r="AG26" s="1">
        <v>316319.28000000003</v>
      </c>
      <c r="AH26" s="1">
        <v>342231.84</v>
      </c>
      <c r="AI26" s="1">
        <v>633512.43999999994</v>
      </c>
      <c r="AJ26" s="1">
        <v>656842.31000000006</v>
      </c>
      <c r="AK26" s="1">
        <v>383529.97</v>
      </c>
      <c r="AL26" s="1">
        <v>304417.44</v>
      </c>
      <c r="AM26" s="1">
        <v>922847.56</v>
      </c>
      <c r="AN26" s="1">
        <v>606636.5</v>
      </c>
      <c r="AO26" s="1">
        <v>622443.31000000006</v>
      </c>
      <c r="AP26" s="1">
        <v>591064.43999999994</v>
      </c>
      <c r="AQ26" s="1">
        <v>531425.5</v>
      </c>
      <c r="AR26" s="1">
        <v>554744.06000000006</v>
      </c>
      <c r="AS26" s="1">
        <v>874652</v>
      </c>
      <c r="AT26" s="1">
        <v>496788.25</v>
      </c>
      <c r="AU26" s="1">
        <v>473583.91</v>
      </c>
      <c r="AV26" s="1">
        <v>816652.19</v>
      </c>
      <c r="AW26" s="1">
        <v>529058.43999999994</v>
      </c>
      <c r="AX26" s="1">
        <v>281742.03000000003</v>
      </c>
      <c r="AY26" s="1">
        <v>497415.25</v>
      </c>
      <c r="AZ26" s="1">
        <v>258727.83</v>
      </c>
    </row>
    <row r="27" spans="1:52" x14ac:dyDescent="0.25">
      <c r="A27" t="s">
        <v>3</v>
      </c>
      <c r="B27" s="1">
        <v>25269.06</v>
      </c>
      <c r="C27" s="1">
        <v>38793.440000000002</v>
      </c>
      <c r="D27" s="1">
        <v>25642.6</v>
      </c>
      <c r="E27" s="1">
        <v>25495.29</v>
      </c>
      <c r="F27" s="1">
        <v>40279.440000000002</v>
      </c>
      <c r="G27" s="1">
        <v>28119.96</v>
      </c>
      <c r="H27" s="1">
        <v>52505.99</v>
      </c>
      <c r="I27" s="1">
        <v>26687.03</v>
      </c>
      <c r="J27" s="1">
        <v>16202.2</v>
      </c>
      <c r="K27" s="1">
        <v>67475.77</v>
      </c>
      <c r="L27" s="1">
        <v>28543.7</v>
      </c>
      <c r="M27" s="1">
        <v>41637.660000000003</v>
      </c>
      <c r="N27" s="1">
        <v>32260.82</v>
      </c>
      <c r="O27" s="1">
        <v>47719.360000000001</v>
      </c>
      <c r="P27" s="1">
        <v>18393.86</v>
      </c>
      <c r="Q27" s="1">
        <v>23705.61</v>
      </c>
      <c r="R27" s="1">
        <v>58894.68</v>
      </c>
      <c r="S27" s="1">
        <v>25610.240000000002</v>
      </c>
      <c r="T27" s="1">
        <v>24612.21</v>
      </c>
      <c r="U27" s="1">
        <v>40375.730000000003</v>
      </c>
      <c r="V27" s="1">
        <v>46927.839999999997</v>
      </c>
      <c r="W27" s="1">
        <v>38393.96</v>
      </c>
      <c r="X27" s="1">
        <v>37570.19</v>
      </c>
      <c r="Y27" s="1">
        <v>18682.28</v>
      </c>
      <c r="Z27" s="1">
        <v>10115.81</v>
      </c>
      <c r="AA27" s="1">
        <v>26340.62</v>
      </c>
      <c r="AB27" s="1">
        <v>31209.759999999998</v>
      </c>
      <c r="AC27" s="1">
        <v>35388.300000000003</v>
      </c>
      <c r="AD27" s="1">
        <v>23195.52</v>
      </c>
      <c r="AE27" s="1">
        <v>14874.16</v>
      </c>
      <c r="AF27" s="1">
        <v>20885.87</v>
      </c>
      <c r="AG27" s="1">
        <v>16422.09</v>
      </c>
      <c r="AH27" s="1">
        <v>18332.77</v>
      </c>
      <c r="AI27" s="1">
        <v>34518.86</v>
      </c>
      <c r="AJ27" s="1">
        <v>24019.67</v>
      </c>
      <c r="AK27" s="1">
        <v>22184.83</v>
      </c>
      <c r="AL27" s="1">
        <v>27206.54</v>
      </c>
      <c r="AM27" s="1">
        <v>44236.5</v>
      </c>
      <c r="AN27" s="1">
        <v>20059.560000000001</v>
      </c>
      <c r="AO27" s="1">
        <v>38529.78</v>
      </c>
      <c r="AP27" s="1">
        <v>34376.85</v>
      </c>
      <c r="AQ27" s="1">
        <v>27924.18</v>
      </c>
      <c r="AR27" s="1">
        <v>28734.74</v>
      </c>
      <c r="AS27" s="1">
        <v>33786.699999999997</v>
      </c>
      <c r="AT27" s="1">
        <v>22329.17</v>
      </c>
      <c r="AU27" s="1">
        <v>20354.990000000002</v>
      </c>
      <c r="AV27" s="1">
        <v>19728.46</v>
      </c>
      <c r="AW27" s="1">
        <v>13862.26</v>
      </c>
      <c r="AX27" s="1">
        <v>18701.79</v>
      </c>
      <c r="AY27" s="1">
        <v>30460.12</v>
      </c>
      <c r="AZ27" s="1">
        <v>19929.18</v>
      </c>
    </row>
    <row r="28" spans="1:52" x14ac:dyDescent="0.25">
      <c r="A28" t="s">
        <v>4</v>
      </c>
      <c r="B28" s="1">
        <v>167970.36</v>
      </c>
      <c r="C28" s="1">
        <v>207667.55</v>
      </c>
      <c r="D28" s="1">
        <v>218123.8</v>
      </c>
      <c r="E28" s="1">
        <v>185971.11</v>
      </c>
      <c r="F28" s="1">
        <v>171590.69</v>
      </c>
      <c r="G28" s="1">
        <v>152709.51999999999</v>
      </c>
      <c r="H28" s="1">
        <v>172073.92</v>
      </c>
      <c r="I28" s="1">
        <v>209469.17</v>
      </c>
      <c r="J28" s="1">
        <v>224436.25</v>
      </c>
      <c r="K28" s="1">
        <v>191938.38</v>
      </c>
      <c r="L28" s="1">
        <v>202184.14</v>
      </c>
      <c r="M28" s="1">
        <v>202862.17</v>
      </c>
      <c r="N28" s="1">
        <v>223594.77</v>
      </c>
      <c r="O28" s="1">
        <v>205046.8</v>
      </c>
      <c r="P28" s="1">
        <v>182414.8</v>
      </c>
      <c r="Q28" s="1">
        <v>200366.23</v>
      </c>
      <c r="R28" s="1">
        <v>182410.05</v>
      </c>
      <c r="S28" s="1">
        <v>195631.75</v>
      </c>
      <c r="T28" s="1">
        <v>219375.02</v>
      </c>
      <c r="U28" s="1">
        <v>148806.17000000001</v>
      </c>
      <c r="V28" s="1">
        <v>197523.95</v>
      </c>
      <c r="W28" s="1">
        <v>193479.08</v>
      </c>
      <c r="X28" s="1">
        <v>183612.83</v>
      </c>
      <c r="Y28" s="1">
        <v>195704.38</v>
      </c>
      <c r="Z28" s="1">
        <v>196607.2</v>
      </c>
      <c r="AA28" s="1">
        <v>177720.11</v>
      </c>
      <c r="AB28" s="1">
        <v>182203.45</v>
      </c>
      <c r="AC28" s="1">
        <v>162176.81</v>
      </c>
      <c r="AD28" s="1">
        <v>193050.56</v>
      </c>
      <c r="AE28" s="1">
        <v>149630.57999999999</v>
      </c>
      <c r="AF28" s="1">
        <v>196765.62</v>
      </c>
      <c r="AG28" s="1">
        <v>223566.83</v>
      </c>
      <c r="AH28" s="1">
        <v>206437.44</v>
      </c>
      <c r="AI28" s="1">
        <v>186178.31</v>
      </c>
      <c r="AJ28" s="1">
        <v>186518.08</v>
      </c>
      <c r="AK28" s="1">
        <v>183695.67</v>
      </c>
      <c r="AL28" s="1">
        <v>226144.77</v>
      </c>
      <c r="AM28" s="1">
        <v>180500.31</v>
      </c>
      <c r="AN28" s="1">
        <v>186781.11</v>
      </c>
      <c r="AO28" s="1">
        <v>180899.75</v>
      </c>
      <c r="AP28" s="1">
        <v>191741.95</v>
      </c>
      <c r="AQ28" s="1">
        <v>188134.2</v>
      </c>
      <c r="AR28" s="1">
        <v>215873.95</v>
      </c>
      <c r="AS28" s="1">
        <v>218651.56</v>
      </c>
      <c r="AT28" s="1">
        <v>200192.98</v>
      </c>
      <c r="AU28" s="1">
        <v>216769.06</v>
      </c>
      <c r="AV28" s="1">
        <v>174697.02</v>
      </c>
      <c r="AW28" s="1">
        <v>217137.62</v>
      </c>
      <c r="AX28" s="1">
        <v>221393.44</v>
      </c>
      <c r="AY28" s="1">
        <v>235342.5</v>
      </c>
      <c r="AZ28" s="1">
        <v>198540.73</v>
      </c>
    </row>
    <row r="29" spans="1:52" x14ac:dyDescent="0.25">
      <c r="A29" t="s">
        <v>5</v>
      </c>
      <c r="B29" s="1">
        <v>4037465</v>
      </c>
      <c r="C29" s="1">
        <v>4281153</v>
      </c>
      <c r="D29" s="1">
        <v>4197831.5</v>
      </c>
      <c r="E29" s="1">
        <v>4405150</v>
      </c>
      <c r="F29" s="1">
        <v>4067398.25</v>
      </c>
      <c r="G29" s="1">
        <v>4370770</v>
      </c>
      <c r="H29" s="1">
        <v>4202449.5</v>
      </c>
      <c r="I29" s="1">
        <v>4421893.5</v>
      </c>
      <c r="J29" s="1">
        <v>4301293</v>
      </c>
      <c r="K29" s="1">
        <v>3976478.25</v>
      </c>
      <c r="L29" s="1">
        <v>4254967.5</v>
      </c>
      <c r="M29" s="1">
        <v>4179261.25</v>
      </c>
      <c r="N29" s="1">
        <v>4114368.75</v>
      </c>
      <c r="O29" s="1">
        <v>4050938.25</v>
      </c>
      <c r="P29" s="1">
        <v>4229821</v>
      </c>
      <c r="Q29" s="1">
        <v>4521404.5</v>
      </c>
      <c r="R29" s="1">
        <v>4296460</v>
      </c>
      <c r="S29" s="1">
        <v>4191924.75</v>
      </c>
      <c r="T29" s="1">
        <v>4107554</v>
      </c>
      <c r="U29" s="1">
        <v>3827671</v>
      </c>
      <c r="V29" s="1">
        <v>3632754.75</v>
      </c>
      <c r="W29" s="1">
        <v>3483440.25</v>
      </c>
      <c r="X29" s="1">
        <v>3642776</v>
      </c>
      <c r="Y29" s="1">
        <v>3712531.25</v>
      </c>
      <c r="Z29" s="1">
        <v>3991168.75</v>
      </c>
      <c r="AA29" s="1">
        <v>4062088</v>
      </c>
      <c r="AB29" s="1">
        <v>3754605.25</v>
      </c>
      <c r="AC29" s="1">
        <v>3790769.25</v>
      </c>
      <c r="AD29" s="1">
        <v>3702249.25</v>
      </c>
      <c r="AE29" s="1">
        <v>3902886</v>
      </c>
      <c r="AF29" s="1">
        <v>4032470.75</v>
      </c>
      <c r="AG29" s="1">
        <v>4237136.5</v>
      </c>
      <c r="AH29" s="1">
        <v>4084914.25</v>
      </c>
      <c r="AI29" s="1">
        <v>3785691</v>
      </c>
      <c r="AJ29" s="1">
        <v>3861921.25</v>
      </c>
      <c r="AK29" s="1">
        <v>4302758.5</v>
      </c>
      <c r="AL29" s="1">
        <v>4215501.5</v>
      </c>
      <c r="AM29" s="1">
        <v>4050968</v>
      </c>
      <c r="AN29" s="1">
        <v>4050553.75</v>
      </c>
      <c r="AO29" s="1">
        <v>4187972.75</v>
      </c>
      <c r="AP29" s="1">
        <v>4211860.5</v>
      </c>
      <c r="AQ29" s="1">
        <v>4204102.5</v>
      </c>
      <c r="AR29" s="1">
        <v>4135987.75</v>
      </c>
      <c r="AS29" s="1">
        <v>4590034</v>
      </c>
      <c r="AT29" s="1">
        <v>4489092.5</v>
      </c>
      <c r="AU29" s="1">
        <v>4272789.5</v>
      </c>
      <c r="AV29" s="1">
        <v>4030286.75</v>
      </c>
      <c r="AW29" s="1">
        <v>4476033.5</v>
      </c>
      <c r="AX29" s="1">
        <v>4818994.5</v>
      </c>
      <c r="AY29" s="1">
        <v>4634698</v>
      </c>
      <c r="AZ29" s="1">
        <v>4539817.5</v>
      </c>
    </row>
    <row r="30" spans="1:52" x14ac:dyDescent="0.25">
      <c r="A30" t="s">
        <v>6</v>
      </c>
      <c r="B30" s="1">
        <v>52914740</v>
      </c>
      <c r="C30" s="1">
        <v>56933036</v>
      </c>
      <c r="D30" s="1">
        <v>56513520</v>
      </c>
      <c r="E30" s="1">
        <v>59006620</v>
      </c>
      <c r="F30" s="1">
        <v>56579060</v>
      </c>
      <c r="G30" s="1">
        <v>57203440</v>
      </c>
      <c r="H30" s="1">
        <v>55563892</v>
      </c>
      <c r="I30" s="1">
        <v>57474236</v>
      </c>
      <c r="J30" s="1">
        <v>56953516</v>
      </c>
      <c r="K30" s="1">
        <v>51599020</v>
      </c>
      <c r="L30" s="1">
        <v>57631900</v>
      </c>
      <c r="M30" s="1">
        <v>56952160</v>
      </c>
      <c r="N30" s="1">
        <v>53398836</v>
      </c>
      <c r="O30" s="1">
        <v>55754284</v>
      </c>
      <c r="P30" s="1">
        <v>55776356</v>
      </c>
      <c r="Q30" s="1">
        <v>60282336</v>
      </c>
      <c r="R30" s="1">
        <v>57589744</v>
      </c>
      <c r="S30" s="1">
        <v>57752252</v>
      </c>
      <c r="T30" s="1">
        <v>57514036</v>
      </c>
      <c r="U30" s="1">
        <v>51555116</v>
      </c>
      <c r="V30" s="1">
        <v>48552108</v>
      </c>
      <c r="W30" s="1">
        <v>50701808</v>
      </c>
      <c r="X30" s="1">
        <v>51198656</v>
      </c>
      <c r="Y30" s="1">
        <v>50084928</v>
      </c>
      <c r="Z30" s="1">
        <v>50879860</v>
      </c>
      <c r="AA30" s="1">
        <v>53382948</v>
      </c>
      <c r="AB30" s="1">
        <v>50753424</v>
      </c>
      <c r="AC30" s="1">
        <v>51687472</v>
      </c>
      <c r="AD30" s="1">
        <v>48335612</v>
      </c>
      <c r="AE30" s="1">
        <v>52055756</v>
      </c>
      <c r="AF30" s="1">
        <v>52415120</v>
      </c>
      <c r="AG30" s="1">
        <v>57972388</v>
      </c>
      <c r="AH30" s="1">
        <v>54345292</v>
      </c>
      <c r="AI30" s="1">
        <v>54197536</v>
      </c>
      <c r="AJ30" s="1">
        <v>53274092</v>
      </c>
      <c r="AK30" s="1">
        <v>57425572</v>
      </c>
      <c r="AL30" s="1">
        <v>56675476</v>
      </c>
      <c r="AM30" s="1">
        <v>54464148</v>
      </c>
      <c r="AN30" s="1">
        <v>56233804</v>
      </c>
      <c r="AO30" s="1">
        <v>55325236</v>
      </c>
      <c r="AP30" s="1">
        <v>58024348</v>
      </c>
      <c r="AQ30" s="1">
        <v>56883148</v>
      </c>
      <c r="AR30" s="1">
        <v>54881328</v>
      </c>
      <c r="AS30" s="1">
        <v>62449260</v>
      </c>
      <c r="AT30" s="1">
        <v>60820432</v>
      </c>
      <c r="AU30" s="1">
        <v>55347308</v>
      </c>
      <c r="AV30" s="1">
        <v>52563924</v>
      </c>
      <c r="AW30" s="1">
        <v>59393180</v>
      </c>
      <c r="AX30" s="1">
        <v>64577600</v>
      </c>
      <c r="AY30" s="1">
        <v>59715188</v>
      </c>
      <c r="AZ30" s="1">
        <v>60639124</v>
      </c>
    </row>
    <row r="31" spans="1:52" x14ac:dyDescent="0.25">
      <c r="A31" t="s">
        <v>8</v>
      </c>
      <c r="B31" s="2">
        <f>SUM(B24:B25)/SUM(B24:B30)</f>
        <v>0.60611112952375457</v>
      </c>
      <c r="C31" s="2">
        <f t="shared" ref="C31:AZ31" si="10">SUM(C24:C25)/SUM(C24:C30)</f>
        <v>0.61533433619394351</v>
      </c>
      <c r="D31" s="2">
        <f t="shared" si="10"/>
        <v>0.60731755437644441</v>
      </c>
      <c r="E31" s="2">
        <f t="shared" si="10"/>
        <v>0.57647441750645456</v>
      </c>
      <c r="F31" s="2">
        <f t="shared" si="10"/>
        <v>0.58622561358478342</v>
      </c>
      <c r="G31" s="2">
        <f t="shared" si="10"/>
        <v>0.58715341956873313</v>
      </c>
      <c r="H31" s="2">
        <f t="shared" si="10"/>
        <v>0.57572089278266181</v>
      </c>
      <c r="I31" s="2">
        <f t="shared" si="10"/>
        <v>0.56466392575509561</v>
      </c>
      <c r="J31" s="2">
        <f t="shared" si="10"/>
        <v>0.57847347135772709</v>
      </c>
      <c r="K31" s="2">
        <f t="shared" si="10"/>
        <v>0.59395862802885679</v>
      </c>
      <c r="L31" s="2">
        <f t="shared" si="10"/>
        <v>0.57210628591242552</v>
      </c>
      <c r="M31" s="2">
        <f t="shared" si="10"/>
        <v>0.56731266763808441</v>
      </c>
      <c r="N31" s="2">
        <f t="shared" si="10"/>
        <v>0.57646767101945828</v>
      </c>
      <c r="O31" s="2">
        <f t="shared" si="10"/>
        <v>0.57629723617392514</v>
      </c>
      <c r="P31" s="2">
        <f t="shared" si="10"/>
        <v>0.57866633235786424</v>
      </c>
      <c r="Q31" s="2">
        <f t="shared" si="10"/>
        <v>0.55121076006063741</v>
      </c>
      <c r="R31" s="2">
        <f t="shared" si="10"/>
        <v>0.56213267186159477</v>
      </c>
      <c r="S31" s="2">
        <f t="shared" si="10"/>
        <v>0.56392535447573722</v>
      </c>
      <c r="T31" s="2">
        <f t="shared" si="10"/>
        <v>0.56735548072305475</v>
      </c>
      <c r="U31" s="2">
        <f t="shared" si="10"/>
        <v>0.64686100109216815</v>
      </c>
      <c r="V31" s="2">
        <f t="shared" si="10"/>
        <v>0.65173515430136153</v>
      </c>
      <c r="W31" s="2">
        <f t="shared" si="10"/>
        <v>0.65745718201689085</v>
      </c>
      <c r="X31" s="2">
        <f t="shared" si="10"/>
        <v>0.65403761047208342</v>
      </c>
      <c r="Y31" s="2">
        <f t="shared" si="10"/>
        <v>0.63441375761432328</v>
      </c>
      <c r="Z31" s="2">
        <f t="shared" si="10"/>
        <v>0.64523348015992299</v>
      </c>
      <c r="AA31" s="2">
        <f t="shared" si="10"/>
        <v>0.63479338035581523</v>
      </c>
      <c r="AB31" s="2">
        <f t="shared" si="10"/>
        <v>0.6448152757566189</v>
      </c>
      <c r="AC31" s="2">
        <f t="shared" si="10"/>
        <v>0.63307153793334547</v>
      </c>
      <c r="AD31" s="2">
        <f t="shared" si="10"/>
        <v>0.62825398171412383</v>
      </c>
      <c r="AE31" s="2">
        <f t="shared" si="10"/>
        <v>0.63799582737328675</v>
      </c>
      <c r="AF31" s="2">
        <f t="shared" si="10"/>
        <v>0.62924082229899037</v>
      </c>
      <c r="AG31" s="2">
        <f t="shared" si="10"/>
        <v>0.60592307484903829</v>
      </c>
      <c r="AH31" s="2">
        <f t="shared" si="10"/>
        <v>0.6202894826251395</v>
      </c>
      <c r="AI31" s="2">
        <f t="shared" si="10"/>
        <v>0.62045862324307544</v>
      </c>
      <c r="AJ31" s="2">
        <f t="shared" si="10"/>
        <v>0.62546756787052438</v>
      </c>
      <c r="AK31" s="2">
        <f t="shared" si="10"/>
        <v>0.60276630529859754</v>
      </c>
      <c r="AL31" s="2">
        <f t="shared" si="10"/>
        <v>0.59073396565737346</v>
      </c>
      <c r="AM31" s="2">
        <f t="shared" si="10"/>
        <v>0.60153702225851835</v>
      </c>
      <c r="AN31" s="2">
        <f t="shared" si="10"/>
        <v>0.59211201363759358</v>
      </c>
      <c r="AO31" s="2">
        <f t="shared" si="10"/>
        <v>0.59250912433778635</v>
      </c>
      <c r="AP31" s="2">
        <f t="shared" si="10"/>
        <v>0.56013315637128036</v>
      </c>
      <c r="AQ31" s="2">
        <f t="shared" si="10"/>
        <v>0.58047007215539626</v>
      </c>
      <c r="AR31" s="2">
        <f t="shared" si="10"/>
        <v>0.59083904286422384</v>
      </c>
      <c r="AS31" s="2">
        <f t="shared" si="10"/>
        <v>0.56575953714673055</v>
      </c>
      <c r="AT31" s="2">
        <f t="shared" si="10"/>
        <v>0.52678262352026939</v>
      </c>
      <c r="AU31" s="2">
        <f t="shared" si="10"/>
        <v>0.55233943613562941</v>
      </c>
      <c r="AV31" s="2">
        <f t="shared" si="10"/>
        <v>0.56060833305650393</v>
      </c>
      <c r="AW31" s="2">
        <f t="shared" si="10"/>
        <v>0.54115172808272172</v>
      </c>
      <c r="AX31" s="2">
        <f t="shared" si="10"/>
        <v>0.49237973705708787</v>
      </c>
      <c r="AY31" s="2">
        <f t="shared" si="10"/>
        <v>0.52079074859437691</v>
      </c>
      <c r="AZ31" s="2">
        <f t="shared" si="10"/>
        <v>0.53121193693779412</v>
      </c>
    </row>
    <row r="32" spans="1:52" x14ac:dyDescent="0.25">
      <c r="A32" t="s">
        <v>121</v>
      </c>
      <c r="B32" s="10">
        <v>0.5</v>
      </c>
    </row>
    <row r="33" spans="1:52" x14ac:dyDescent="0.25">
      <c r="A33" t="s">
        <v>122</v>
      </c>
      <c r="B33" s="2">
        <f>(B31/(1-B31))*$B$32</f>
        <v>0.76939357132750952</v>
      </c>
      <c r="C33" s="2">
        <f t="shared" ref="C33:AZ33" si="11">(C31/(1-C31))*$B$32</f>
        <v>0.79983007854866295</v>
      </c>
      <c r="D33" s="2">
        <f t="shared" si="11"/>
        <v>0.77329348579876223</v>
      </c>
      <c r="E33" s="2">
        <f t="shared" si="11"/>
        <v>0.68056622944995304</v>
      </c>
      <c r="F33" s="2">
        <f t="shared" si="11"/>
        <v>0.70838799214182691</v>
      </c>
      <c r="G33" s="2">
        <f t="shared" si="11"/>
        <v>0.7111036489092174</v>
      </c>
      <c r="H33" s="2">
        <f t="shared" si="11"/>
        <v>0.67846952983210074</v>
      </c>
      <c r="I33" s="2">
        <f t="shared" si="11"/>
        <v>0.64853794477578264</v>
      </c>
      <c r="J33" s="2">
        <f t="shared" si="11"/>
        <v>0.68616496477810851</v>
      </c>
      <c r="K33" s="2">
        <f t="shared" si="11"/>
        <v>0.73140161203950982</v>
      </c>
      <c r="L33" s="2">
        <f t="shared" si="11"/>
        <v>0.66851447810160625</v>
      </c>
      <c r="M33" s="2">
        <f t="shared" si="11"/>
        <v>0.65556884291167927</v>
      </c>
      <c r="N33" s="2">
        <f t="shared" si="11"/>
        <v>0.68054742409751545</v>
      </c>
      <c r="O33" s="2">
        <f t="shared" si="11"/>
        <v>0.68007254775719206</v>
      </c>
      <c r="P33" s="2">
        <f t="shared" si="11"/>
        <v>0.68670791916083085</v>
      </c>
      <c r="Q33" s="2">
        <f t="shared" si="11"/>
        <v>0.61410870739137302</v>
      </c>
      <c r="R33" s="2">
        <f t="shared" si="11"/>
        <v>0.64189839677180771</v>
      </c>
      <c r="S33" s="2">
        <f t="shared" si="11"/>
        <v>0.64659268804514902</v>
      </c>
      <c r="T33" s="2">
        <f t="shared" si="11"/>
        <v>0.65568319422056298</v>
      </c>
      <c r="U33" s="2">
        <f t="shared" si="11"/>
        <v>0.91587307418996911</v>
      </c>
      <c r="V33" s="2">
        <f t="shared" si="11"/>
        <v>0.9356889768675114</v>
      </c>
      <c r="W33" s="2">
        <f t="shared" si="11"/>
        <v>0.95967153228900892</v>
      </c>
      <c r="X33" s="2">
        <f t="shared" si="11"/>
        <v>0.94524380434033783</v>
      </c>
      <c r="Y33" s="2">
        <f t="shared" si="11"/>
        <v>0.86766634525738784</v>
      </c>
      <c r="Z33" s="2">
        <f t="shared" si="11"/>
        <v>0.90937763863791854</v>
      </c>
      <c r="AA33" s="2">
        <f t="shared" si="11"/>
        <v>0.86908799869822284</v>
      </c>
      <c r="AB33" s="2">
        <f t="shared" si="11"/>
        <v>0.90771819808722398</v>
      </c>
      <c r="AC33" s="2">
        <f t="shared" si="11"/>
        <v>0.86266343903616916</v>
      </c>
      <c r="AD33" s="2">
        <f t="shared" si="11"/>
        <v>0.84500431855465175</v>
      </c>
      <c r="AE33" s="2">
        <f t="shared" si="11"/>
        <v>0.88119954908802522</v>
      </c>
      <c r="AF33" s="2">
        <f t="shared" si="11"/>
        <v>0.8485842834704248</v>
      </c>
      <c r="AG33" s="2">
        <f t="shared" si="11"/>
        <v>0.76878781295926324</v>
      </c>
      <c r="AH33" s="2">
        <f t="shared" si="11"/>
        <v>0.81679260152382471</v>
      </c>
      <c r="AI33" s="2">
        <f t="shared" si="11"/>
        <v>0.81737942321957313</v>
      </c>
      <c r="AJ33" s="2">
        <f t="shared" si="11"/>
        <v>0.83499787229948175</v>
      </c>
      <c r="AK33" s="2">
        <f t="shared" si="11"/>
        <v>0.7587049051210174</v>
      </c>
      <c r="AL33" s="2">
        <f t="shared" si="11"/>
        <v>0.72169923239076672</v>
      </c>
      <c r="AM33" s="2">
        <f t="shared" si="11"/>
        <v>0.75482172229409594</v>
      </c>
      <c r="AN33" s="2">
        <f t="shared" si="11"/>
        <v>0.72582673850990187</v>
      </c>
      <c r="AO33" s="2">
        <f t="shared" si="11"/>
        <v>0.72702133928140045</v>
      </c>
      <c r="AP33" s="2">
        <f t="shared" si="11"/>
        <v>0.63670763605459935</v>
      </c>
      <c r="AQ33" s="2">
        <f t="shared" si="11"/>
        <v>0.69181008746818851</v>
      </c>
      <c r="AR33" s="2">
        <f t="shared" si="11"/>
        <v>0.72201297870676295</v>
      </c>
      <c r="AS33" s="2">
        <f t="shared" si="11"/>
        <v>0.65143576606068332</v>
      </c>
      <c r="AT33" s="2">
        <f t="shared" si="11"/>
        <v>0.55659687249759426</v>
      </c>
      <c r="AU33" s="2">
        <f t="shared" si="11"/>
        <v>0.61691768353195142</v>
      </c>
      <c r="AV33" s="2">
        <f t="shared" si="11"/>
        <v>0.63793691964644816</v>
      </c>
      <c r="AW33" s="2">
        <f t="shared" si="11"/>
        <v>0.58968482742840234</v>
      </c>
      <c r="AX33" s="2">
        <f t="shared" si="11"/>
        <v>0.48498826091233266</v>
      </c>
      <c r="AY33" s="2">
        <f t="shared" si="11"/>
        <v>0.54338553259018518</v>
      </c>
      <c r="AZ33" s="2">
        <f t="shared" si="11"/>
        <v>0.566580059086642</v>
      </c>
    </row>
    <row r="34" spans="1:52" x14ac:dyDescent="0.25">
      <c r="A34" t="s">
        <v>12</v>
      </c>
      <c r="B34" s="2">
        <v>186.11</v>
      </c>
    </row>
    <row r="35" spans="1:52" x14ac:dyDescent="0.25">
      <c r="A35" t="s">
        <v>11</v>
      </c>
      <c r="B35">
        <v>180.15600000000001</v>
      </c>
    </row>
    <row r="36" spans="1:52" x14ac:dyDescent="0.25">
      <c r="A36" t="s">
        <v>123</v>
      </c>
      <c r="B36" s="2">
        <f>B33*($B$35/$B$34)</f>
        <v>0.74477926084615986</v>
      </c>
      <c r="C36" s="2">
        <f t="shared" ref="C36:AZ36" si="12">C33*($B$35/$B$34)</f>
        <v>0.77424204841767197</v>
      </c>
      <c r="D36" s="2">
        <f t="shared" si="12"/>
        <v>0.74855440990576438</v>
      </c>
      <c r="E36" s="2">
        <f t="shared" si="12"/>
        <v>0.65879366843686926</v>
      </c>
      <c r="F36" s="2">
        <f t="shared" si="12"/>
        <v>0.68572536194886335</v>
      </c>
      <c r="G36" s="2">
        <f t="shared" si="12"/>
        <v>0.68835413987904448</v>
      </c>
      <c r="H36" s="2">
        <f t="shared" si="12"/>
        <v>0.65676404608259598</v>
      </c>
      <c r="I36" s="2">
        <f t="shared" si="12"/>
        <v>0.6277900272904513</v>
      </c>
      <c r="J36" s="2">
        <f t="shared" si="12"/>
        <v>0.66421328996058737</v>
      </c>
      <c r="K36" s="2">
        <f t="shared" si="12"/>
        <v>0.70800273396695468</v>
      </c>
      <c r="L36" s="2">
        <f t="shared" si="12"/>
        <v>0.64712747470245002</v>
      </c>
      <c r="M36" s="2">
        <f t="shared" si="12"/>
        <v>0.63459599410884149</v>
      </c>
      <c r="N36" s="2">
        <f t="shared" si="12"/>
        <v>0.65877546470212234</v>
      </c>
      <c r="O36" s="2">
        <f t="shared" si="12"/>
        <v>0.65831578052627315</v>
      </c>
      <c r="P36" s="2">
        <f t="shared" si="12"/>
        <v>0.66473887423748668</v>
      </c>
      <c r="Q36" s="2">
        <f t="shared" si="12"/>
        <v>0.5944622443114298</v>
      </c>
      <c r="R36" s="2">
        <f t="shared" si="12"/>
        <v>0.62136289059600125</v>
      </c>
      <c r="S36" s="2">
        <f t="shared" si="12"/>
        <v>0.62590700288787204</v>
      </c>
      <c r="T36" s="2">
        <f t="shared" si="12"/>
        <v>0.63470668710977241</v>
      </c>
      <c r="U36" s="2">
        <f t="shared" si="12"/>
        <v>0.88657261594631176</v>
      </c>
      <c r="V36" s="2">
        <f t="shared" si="12"/>
        <v>0.90575457157886941</v>
      </c>
      <c r="W36" s="2">
        <f t="shared" si="12"/>
        <v>0.92896988109751599</v>
      </c>
      <c r="X36" s="2">
        <f t="shared" si="12"/>
        <v>0.91500372260887597</v>
      </c>
      <c r="Y36" s="2">
        <f t="shared" si="12"/>
        <v>0.8399081086249528</v>
      </c>
      <c r="Z36" s="2">
        <f t="shared" si="12"/>
        <v>0.88028498128232147</v>
      </c>
      <c r="AA36" s="2">
        <f t="shared" si="12"/>
        <v>0.84128428076662742</v>
      </c>
      <c r="AB36" s="2">
        <f t="shared" si="12"/>
        <v>0.87867862927624485</v>
      </c>
      <c r="AC36" s="2">
        <f t="shared" si="12"/>
        <v>0.83506525454301272</v>
      </c>
      <c r="AD36" s="2">
        <f t="shared" si="12"/>
        <v>0.81797108169110655</v>
      </c>
      <c r="AE36" s="2">
        <f t="shared" si="12"/>
        <v>0.85300836046156725</v>
      </c>
      <c r="AF36" s="2">
        <f t="shared" si="12"/>
        <v>0.82143651696791065</v>
      </c>
      <c r="AG36" s="2">
        <f t="shared" si="12"/>
        <v>0.74419288179833987</v>
      </c>
      <c r="AH36" s="2">
        <f t="shared" si="12"/>
        <v>0.79066190919416568</v>
      </c>
      <c r="AI36" s="2">
        <f t="shared" si="12"/>
        <v>0.79122995738834789</v>
      </c>
      <c r="AJ36" s="2">
        <f t="shared" si="12"/>
        <v>0.80828475999132465</v>
      </c>
      <c r="AK36" s="2">
        <f t="shared" si="12"/>
        <v>0.73443254466166252</v>
      </c>
      <c r="AL36" s="2">
        <f t="shared" si="12"/>
        <v>0.6986107512255707</v>
      </c>
      <c r="AM36" s="2">
        <f t="shared" si="12"/>
        <v>0.73067359197042148</v>
      </c>
      <c r="AN36" s="2">
        <f t="shared" si="12"/>
        <v>0.7026062108591149</v>
      </c>
      <c r="AO36" s="2">
        <f t="shared" si="12"/>
        <v>0.70376259416248443</v>
      </c>
      <c r="AP36" s="2">
        <f t="shared" si="12"/>
        <v>0.61633819182769545</v>
      </c>
      <c r="AQ36" s="2">
        <f t="shared" si="12"/>
        <v>0.66967781482950384</v>
      </c>
      <c r="AR36" s="2">
        <f t="shared" si="12"/>
        <v>0.69891446022188808</v>
      </c>
      <c r="AS36" s="2">
        <f t="shared" si="12"/>
        <v>0.63059514196135869</v>
      </c>
      <c r="AT36" s="2">
        <f t="shared" si="12"/>
        <v>0.53879031842284986</v>
      </c>
      <c r="AU36" s="2">
        <f t="shared" si="12"/>
        <v>0.59718135615701595</v>
      </c>
      <c r="AV36" s="2">
        <f t="shared" si="12"/>
        <v>0.61752814838442593</v>
      </c>
      <c r="AW36" s="2">
        <f t="shared" si="12"/>
        <v>0.57081972903224576</v>
      </c>
      <c r="AX36" s="2">
        <f t="shared" si="12"/>
        <v>0.46947259756553761</v>
      </c>
      <c r="AY36" s="2">
        <f t="shared" si="12"/>
        <v>0.52600163349265172</v>
      </c>
      <c r="AZ36" s="2">
        <f t="shared" si="12"/>
        <v>0.54845412457585874</v>
      </c>
    </row>
    <row r="37" spans="1:52" x14ac:dyDescent="0.25">
      <c r="A37" t="s">
        <v>149</v>
      </c>
      <c r="B37" s="21">
        <v>150</v>
      </c>
    </row>
    <row r="38" spans="1:52" x14ac:dyDescent="0.25">
      <c r="B38" s="21">
        <v>100</v>
      </c>
    </row>
    <row r="39" spans="1:52" x14ac:dyDescent="0.25">
      <c r="A39" t="s">
        <v>131</v>
      </c>
      <c r="B39" s="2">
        <f>B36*$B$37</f>
        <v>111.71688912692397</v>
      </c>
      <c r="C39" s="2">
        <f t="shared" ref="C39:T39" si="13">C36*$B$37</f>
        <v>116.13630726265079</v>
      </c>
      <c r="D39" s="2">
        <f t="shared" si="13"/>
        <v>112.28316148586465</v>
      </c>
      <c r="E39" s="2">
        <f t="shared" si="13"/>
        <v>98.819050265530393</v>
      </c>
      <c r="F39" s="2">
        <f t="shared" si="13"/>
        <v>102.85880429232951</v>
      </c>
      <c r="G39" s="2">
        <f t="shared" si="13"/>
        <v>103.25312098185667</v>
      </c>
      <c r="H39" s="2">
        <f t="shared" si="13"/>
        <v>98.514606912389397</v>
      </c>
      <c r="I39" s="2">
        <f t="shared" si="13"/>
        <v>94.168504093567691</v>
      </c>
      <c r="J39" s="2">
        <f t="shared" si="13"/>
        <v>99.631993494088107</v>
      </c>
      <c r="K39" s="2">
        <f t="shared" si="13"/>
        <v>106.2004100950432</v>
      </c>
      <c r="L39" s="2">
        <f t="shared" si="13"/>
        <v>97.069121205367509</v>
      </c>
      <c r="M39" s="2">
        <f t="shared" si="13"/>
        <v>95.189399116326229</v>
      </c>
      <c r="N39" s="2">
        <f t="shared" si="13"/>
        <v>98.81631970531835</v>
      </c>
      <c r="O39" s="2">
        <f t="shared" si="13"/>
        <v>98.747367078940968</v>
      </c>
      <c r="P39" s="2">
        <f t="shared" si="13"/>
        <v>99.710831135622996</v>
      </c>
      <c r="Q39" s="2">
        <f t="shared" si="13"/>
        <v>89.16933664671447</v>
      </c>
      <c r="R39" s="2">
        <f t="shared" si="13"/>
        <v>93.204433589400182</v>
      </c>
      <c r="S39" s="2">
        <f t="shared" si="13"/>
        <v>93.886050433180813</v>
      </c>
      <c r="T39" s="2">
        <f t="shared" si="13"/>
        <v>95.206003066465854</v>
      </c>
      <c r="U39" s="2">
        <f>U36*$B$38</f>
        <v>88.65726159463118</v>
      </c>
      <c r="V39" s="2">
        <f t="shared" ref="V39:AZ39" si="14">V36*$B$38</f>
        <v>90.575457157886945</v>
      </c>
      <c r="W39" s="2">
        <f t="shared" si="14"/>
        <v>92.896988109751604</v>
      </c>
      <c r="X39" s="2">
        <f t="shared" si="14"/>
        <v>91.500372260887602</v>
      </c>
      <c r="Y39" s="2">
        <f t="shared" si="14"/>
        <v>83.99081086249528</v>
      </c>
      <c r="Z39" s="2">
        <f t="shared" si="14"/>
        <v>88.028498128232144</v>
      </c>
      <c r="AA39" s="2">
        <f t="shared" si="14"/>
        <v>84.128428076662743</v>
      </c>
      <c r="AB39" s="2">
        <f t="shared" si="14"/>
        <v>87.867862927624486</v>
      </c>
      <c r="AC39" s="2">
        <f t="shared" si="14"/>
        <v>83.506525454301268</v>
      </c>
      <c r="AD39" s="2">
        <f t="shared" si="14"/>
        <v>81.797108169110658</v>
      </c>
      <c r="AE39" s="2">
        <f t="shared" si="14"/>
        <v>85.300836046156718</v>
      </c>
      <c r="AF39" s="2">
        <f t="shared" si="14"/>
        <v>82.143651696791068</v>
      </c>
      <c r="AG39" s="2">
        <f t="shared" si="14"/>
        <v>74.419288179833984</v>
      </c>
      <c r="AH39" s="2">
        <f t="shared" si="14"/>
        <v>79.06619091941657</v>
      </c>
      <c r="AI39" s="2">
        <f t="shared" si="14"/>
        <v>79.122995738834788</v>
      </c>
      <c r="AJ39" s="2">
        <f t="shared" si="14"/>
        <v>80.828475999132465</v>
      </c>
      <c r="AK39" s="2">
        <f t="shared" si="14"/>
        <v>73.443254466166252</v>
      </c>
      <c r="AL39" s="2">
        <f t="shared" si="14"/>
        <v>69.861075122557068</v>
      </c>
      <c r="AM39" s="2">
        <f t="shared" si="14"/>
        <v>73.067359197042151</v>
      </c>
      <c r="AN39" s="2">
        <f t="shared" si="14"/>
        <v>70.260621085911495</v>
      </c>
      <c r="AO39" s="2">
        <f t="shared" si="14"/>
        <v>70.376259416248445</v>
      </c>
      <c r="AP39" s="2">
        <f t="shared" si="14"/>
        <v>61.633819182769543</v>
      </c>
      <c r="AQ39" s="2">
        <f t="shared" si="14"/>
        <v>66.967781482950386</v>
      </c>
      <c r="AR39" s="2">
        <f t="shared" si="14"/>
        <v>69.891446022188802</v>
      </c>
      <c r="AS39" s="2">
        <f t="shared" si="14"/>
        <v>63.059514196135865</v>
      </c>
      <c r="AT39" s="2">
        <f t="shared" si="14"/>
        <v>53.879031842284988</v>
      </c>
      <c r="AU39" s="2">
        <f t="shared" si="14"/>
        <v>59.718135615701598</v>
      </c>
      <c r="AV39" s="2">
        <f t="shared" si="14"/>
        <v>61.752814838442596</v>
      </c>
      <c r="AW39" s="2">
        <f t="shared" si="14"/>
        <v>57.081972903224575</v>
      </c>
      <c r="AX39" s="2">
        <f t="shared" si="14"/>
        <v>46.947259756553763</v>
      </c>
      <c r="AY39" s="2">
        <f t="shared" si="14"/>
        <v>52.600163349265173</v>
      </c>
      <c r="AZ39" s="2">
        <f t="shared" si="14"/>
        <v>54.845412457585873</v>
      </c>
    </row>
    <row r="41" spans="1:52" ht="30" x14ac:dyDescent="0.25">
      <c r="A41" s="4" t="s">
        <v>14</v>
      </c>
      <c r="B41" s="6" t="s">
        <v>145</v>
      </c>
      <c r="C41" s="6" t="s">
        <v>146</v>
      </c>
      <c r="D41" s="6" t="s">
        <v>147</v>
      </c>
      <c r="E41" s="6" t="s">
        <v>148</v>
      </c>
      <c r="F41" s="6" t="s">
        <v>373</v>
      </c>
      <c r="G41" s="6" t="s">
        <v>423</v>
      </c>
      <c r="H41" s="3"/>
      <c r="I41" s="3"/>
    </row>
    <row r="42" spans="1:52" x14ac:dyDescent="0.25">
      <c r="A42">
        <v>0</v>
      </c>
      <c r="B42" s="11">
        <f>Q5</f>
        <v>0.27587848229255718</v>
      </c>
      <c r="C42" s="2">
        <f>B39</f>
        <v>111.71688912692397</v>
      </c>
      <c r="D42" s="2">
        <f t="shared" ref="D42:E42" si="15">C39</f>
        <v>116.13630726265079</v>
      </c>
      <c r="E42" s="2">
        <f t="shared" si="15"/>
        <v>112.28316148586465</v>
      </c>
      <c r="F42" s="2" t="s">
        <v>422</v>
      </c>
      <c r="G42" s="2">
        <f>AVERAGE(C42:F42)</f>
        <v>113.3787859584798</v>
      </c>
      <c r="H42" s="2"/>
      <c r="I42" s="2"/>
    </row>
    <row r="43" spans="1:52" x14ac:dyDescent="0.25">
      <c r="A43">
        <v>1</v>
      </c>
      <c r="B43" s="11">
        <f>Q6</f>
        <v>0.32135295739572589</v>
      </c>
      <c r="C43" s="2">
        <f>E39</f>
        <v>98.819050265530393</v>
      </c>
      <c r="D43" s="2">
        <f t="shared" ref="D43:E43" si="16">F39</f>
        <v>102.85880429232951</v>
      </c>
      <c r="E43" s="2">
        <f t="shared" si="16"/>
        <v>103.25312098185667</v>
      </c>
      <c r="F43" s="2">
        <f>H39</f>
        <v>98.514606912389397</v>
      </c>
      <c r="G43" s="2">
        <f t="shared" ref="G43:G54" si="17">AVERAGE(C43:F43)</f>
        <v>100.8613956130265</v>
      </c>
      <c r="H43" s="2"/>
      <c r="I43" s="2"/>
    </row>
    <row r="44" spans="1:52" x14ac:dyDescent="0.25">
      <c r="A44">
        <v>2</v>
      </c>
      <c r="B44" s="11">
        <f t="shared" ref="B44:B54" si="18">Q7</f>
        <v>0.4395865926639646</v>
      </c>
      <c r="C44" s="2">
        <f>I39</f>
        <v>94.168504093567691</v>
      </c>
      <c r="D44" s="2">
        <f>J39</f>
        <v>99.631993494088107</v>
      </c>
      <c r="E44" s="2">
        <f>K39</f>
        <v>106.2004100950432</v>
      </c>
      <c r="F44" s="2">
        <f>L39</f>
        <v>97.069121205367509</v>
      </c>
      <c r="G44" s="2">
        <f t="shared" si="17"/>
        <v>99.267507222016633</v>
      </c>
      <c r="H44" s="2"/>
      <c r="I44" s="2"/>
    </row>
    <row r="45" spans="1:52" x14ac:dyDescent="0.25">
      <c r="A45">
        <v>3</v>
      </c>
      <c r="B45" s="11">
        <f t="shared" si="18"/>
        <v>0.52447227952321285</v>
      </c>
      <c r="C45" s="2">
        <f>M39</f>
        <v>95.189399116326229</v>
      </c>
      <c r="D45" s="2">
        <f t="shared" ref="D45:F45" si="19">N39</f>
        <v>98.81631970531835</v>
      </c>
      <c r="E45" s="2">
        <f t="shared" si="19"/>
        <v>98.747367078940968</v>
      </c>
      <c r="F45" s="2">
        <f t="shared" si="19"/>
        <v>99.710831135622996</v>
      </c>
      <c r="G45" s="2">
        <f t="shared" si="17"/>
        <v>98.115979259052125</v>
      </c>
      <c r="H45" s="2"/>
      <c r="I45" s="2"/>
    </row>
    <row r="46" spans="1:52" x14ac:dyDescent="0.25">
      <c r="A46">
        <v>4</v>
      </c>
      <c r="B46" s="11">
        <f t="shared" si="18"/>
        <v>0.63361101977081802</v>
      </c>
      <c r="C46" s="2">
        <f>Q39</f>
        <v>89.16933664671447</v>
      </c>
      <c r="D46" s="2">
        <f t="shared" ref="D46:E46" si="20">R39</f>
        <v>93.204433589400182</v>
      </c>
      <c r="E46" s="2">
        <f t="shared" si="20"/>
        <v>93.886050433180813</v>
      </c>
      <c r="F46" s="2">
        <f>T39</f>
        <v>95.206003066465854</v>
      </c>
      <c r="G46" s="2">
        <f t="shared" si="17"/>
        <v>92.86645593394033</v>
      </c>
      <c r="H46" s="2"/>
      <c r="I46" s="2"/>
    </row>
    <row r="47" spans="1:52" x14ac:dyDescent="0.25">
      <c r="A47">
        <v>5</v>
      </c>
      <c r="B47" s="11">
        <f t="shared" si="18"/>
        <v>0.76700281340677967</v>
      </c>
      <c r="C47" s="2">
        <f>U39</f>
        <v>88.65726159463118</v>
      </c>
      <c r="D47" s="2">
        <f t="shared" ref="D47:F47" si="21">V39</f>
        <v>90.575457157886945</v>
      </c>
      <c r="E47" s="2">
        <f t="shared" si="21"/>
        <v>92.896988109751604</v>
      </c>
      <c r="F47" s="2">
        <f t="shared" si="21"/>
        <v>91.500372260887602</v>
      </c>
      <c r="G47" s="2">
        <f t="shared" si="17"/>
        <v>90.907519780789329</v>
      </c>
      <c r="H47" s="2"/>
      <c r="I47" s="2"/>
    </row>
    <row r="48" spans="1:52" x14ac:dyDescent="0.25">
      <c r="A48">
        <v>5.5</v>
      </c>
      <c r="B48" s="11">
        <f t="shared" si="18"/>
        <v>0.83268816633357901</v>
      </c>
      <c r="C48" s="2">
        <f>Y39</f>
        <v>83.99081086249528</v>
      </c>
      <c r="D48" s="2">
        <f t="shared" ref="D48:F48" si="22">Z39</f>
        <v>88.028498128232144</v>
      </c>
      <c r="E48" s="2">
        <f t="shared" si="22"/>
        <v>84.128428076662743</v>
      </c>
      <c r="F48" s="2">
        <f t="shared" si="22"/>
        <v>87.867862927624486</v>
      </c>
      <c r="G48" s="2">
        <f t="shared" si="17"/>
        <v>86.003899998753667</v>
      </c>
      <c r="H48" s="2"/>
      <c r="I48" s="2"/>
    </row>
    <row r="49" spans="1:8" x14ac:dyDescent="0.25">
      <c r="A49">
        <v>6.5</v>
      </c>
      <c r="B49" s="11">
        <f>Q12</f>
        <v>0.97416431109899293</v>
      </c>
      <c r="C49" s="2">
        <f>AC39</f>
        <v>83.506525454301268</v>
      </c>
      <c r="D49" s="2">
        <f t="shared" ref="D49:F49" si="23">AD39</f>
        <v>81.797108169110658</v>
      </c>
      <c r="E49" s="2">
        <f t="shared" si="23"/>
        <v>85.300836046156718</v>
      </c>
      <c r="F49" s="2">
        <f t="shared" si="23"/>
        <v>82.143651696791068</v>
      </c>
      <c r="G49" s="2">
        <f t="shared" si="17"/>
        <v>83.187030341589931</v>
      </c>
    </row>
    <row r="50" spans="1:8" x14ac:dyDescent="0.25">
      <c r="A50">
        <v>7.5</v>
      </c>
      <c r="B50" s="11">
        <f t="shared" si="18"/>
        <v>1.1206931753203144</v>
      </c>
      <c r="C50" s="2">
        <f>AG39</f>
        <v>74.419288179833984</v>
      </c>
      <c r="D50" s="2">
        <f t="shared" ref="D50:F50" si="24">AH39</f>
        <v>79.06619091941657</v>
      </c>
      <c r="E50" s="2">
        <f t="shared" si="24"/>
        <v>79.122995738834788</v>
      </c>
      <c r="F50" s="2">
        <f t="shared" si="24"/>
        <v>80.828475999132465</v>
      </c>
      <c r="G50" s="2">
        <f t="shared" si="17"/>
        <v>78.359237709304452</v>
      </c>
    </row>
    <row r="51" spans="1:8" x14ac:dyDescent="0.25">
      <c r="A51">
        <v>8.5</v>
      </c>
      <c r="B51" s="11">
        <f t="shared" si="18"/>
        <v>1.2409478983709166</v>
      </c>
      <c r="C51" s="2">
        <f>AK39</f>
        <v>73.443254466166252</v>
      </c>
      <c r="D51" s="2">
        <f t="shared" ref="D51:F51" si="25">AL39</f>
        <v>69.861075122557068</v>
      </c>
      <c r="E51" s="2">
        <f t="shared" si="25"/>
        <v>73.067359197042151</v>
      </c>
      <c r="F51" s="2">
        <f t="shared" si="25"/>
        <v>70.260621085911495</v>
      </c>
      <c r="G51" s="2">
        <f t="shared" si="17"/>
        <v>71.658077467919242</v>
      </c>
    </row>
    <row r="52" spans="1:8" x14ac:dyDescent="0.25">
      <c r="A52">
        <v>9.5</v>
      </c>
      <c r="B52" s="11">
        <f t="shared" si="18"/>
        <v>1.3490760947273399</v>
      </c>
      <c r="C52" s="2">
        <f>AO39</f>
        <v>70.376259416248445</v>
      </c>
      <c r="D52" s="2">
        <f t="shared" ref="D52:F52" si="26">AP39</f>
        <v>61.633819182769543</v>
      </c>
      <c r="E52" s="2">
        <f t="shared" si="26"/>
        <v>66.967781482950386</v>
      </c>
      <c r="F52" s="2">
        <f t="shared" si="26"/>
        <v>69.891446022188802</v>
      </c>
      <c r="G52" s="2">
        <f t="shared" si="17"/>
        <v>67.217326526039301</v>
      </c>
    </row>
    <row r="53" spans="1:8" x14ac:dyDescent="0.25">
      <c r="A53">
        <v>10.5</v>
      </c>
      <c r="B53" s="11">
        <f t="shared" si="18"/>
        <v>1.4713519055603046</v>
      </c>
      <c r="C53" s="2">
        <f>AS39</f>
        <v>63.059514196135865</v>
      </c>
      <c r="D53" s="2">
        <f t="shared" ref="D53:F53" si="27">AT39</f>
        <v>53.879031842284988</v>
      </c>
      <c r="E53" s="2">
        <f t="shared" si="27"/>
        <v>59.718135615701598</v>
      </c>
      <c r="F53" s="2">
        <f t="shared" si="27"/>
        <v>61.752814838442596</v>
      </c>
      <c r="G53" s="2">
        <f t="shared" si="17"/>
        <v>59.60237412314126</v>
      </c>
    </row>
    <row r="54" spans="1:8" x14ac:dyDescent="0.25">
      <c r="A54">
        <v>11.5</v>
      </c>
      <c r="B54" s="11">
        <f t="shared" si="18"/>
        <v>1.5895855408285433</v>
      </c>
      <c r="C54" s="2">
        <f>AW39</f>
        <v>57.081972903224575</v>
      </c>
      <c r="D54" s="2">
        <f t="shared" ref="D54:F54" si="28">AX39</f>
        <v>46.947259756553763</v>
      </c>
      <c r="E54" s="2">
        <f t="shared" si="28"/>
        <v>52.600163349265173</v>
      </c>
      <c r="F54" s="2">
        <f t="shared" si="28"/>
        <v>54.845412457585873</v>
      </c>
      <c r="G54" s="2">
        <f t="shared" si="17"/>
        <v>52.868702116657339</v>
      </c>
    </row>
    <row r="55" spans="1:8" x14ac:dyDescent="0.25">
      <c r="C55" s="6" t="s">
        <v>62</v>
      </c>
      <c r="D55" s="6" t="s">
        <v>63</v>
      </c>
      <c r="E55" s="6" t="s">
        <v>64</v>
      </c>
      <c r="F55" s="6" t="s">
        <v>345</v>
      </c>
      <c r="G55" s="6" t="s">
        <v>135</v>
      </c>
      <c r="H55" s="6" t="s">
        <v>136</v>
      </c>
    </row>
    <row r="56" spans="1:8" x14ac:dyDescent="0.25">
      <c r="B56" t="s">
        <v>133</v>
      </c>
      <c r="C56">
        <f>SLOPE(C48:C52,$B$48:$B$52)</f>
        <v>-28.866155642884245</v>
      </c>
      <c r="D56">
        <f t="shared" ref="D56:F56" si="29">SLOPE(D48:D52,$B$48:$B$52)</f>
        <v>-49.104737018288922</v>
      </c>
      <c r="E56">
        <f t="shared" si="29"/>
        <v>-35.219065228400815</v>
      </c>
      <c r="F56">
        <f t="shared" si="29"/>
        <v>-36.651318465717431</v>
      </c>
      <c r="G56" s="19">
        <f>ABS(AVERAGE(C56,E56,F56))</f>
        <v>33.578846445667494</v>
      </c>
      <c r="H56" s="19">
        <f>_xlfn.STDEV.S(C56:F56)/(SQRT(COUNT(C56:E56)))</f>
        <v>4.8891014298996476</v>
      </c>
    </row>
    <row r="57" spans="1:8" x14ac:dyDescent="0.25">
      <c r="B57" t="s">
        <v>134</v>
      </c>
      <c r="C57" s="22">
        <f>(CORREL($B$48:$B$52,C48:C52))^2</f>
        <v>0.91577731533635465</v>
      </c>
      <c r="D57" s="22">
        <f t="shared" ref="D57:F57" si="30">(CORREL($B$48:$B$52,D48:D52))^2</f>
        <v>0.94701406725637793</v>
      </c>
      <c r="E57" s="22">
        <f t="shared" si="30"/>
        <v>0.88458651873222449</v>
      </c>
      <c r="F57" s="22">
        <f t="shared" si="30"/>
        <v>0.91847052497479575</v>
      </c>
    </row>
  </sheetData>
  <mergeCells count="3">
    <mergeCell ref="B3:G3"/>
    <mergeCell ref="I3:N3"/>
    <mergeCell ref="S3:Z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6F58-B824-4818-9878-79D4C1EF0D42}">
  <dimension ref="A1:AQ63"/>
  <sheetViews>
    <sheetView tabSelected="1" topLeftCell="A44" zoomScale="85" zoomScaleNormal="85" workbookViewId="0">
      <selection sqref="A1:AE1048576"/>
    </sheetView>
  </sheetViews>
  <sheetFormatPr defaultColWidth="8.85546875" defaultRowHeight="15" x14ac:dyDescent="0.25"/>
  <cols>
    <col min="1" max="1" width="66.42578125" bestFit="1" customWidth="1"/>
    <col min="2" max="43" width="11.85546875" customWidth="1"/>
    <col min="44" max="46" width="21.7109375" bestFit="1" customWidth="1"/>
  </cols>
  <sheetData>
    <row r="1" spans="1:23" x14ac:dyDescent="0.25">
      <c r="A1" t="s">
        <v>124</v>
      </c>
      <c r="B1">
        <v>20221219</v>
      </c>
    </row>
    <row r="2" spans="1:23" x14ac:dyDescent="0.25">
      <c r="A2" t="s">
        <v>57</v>
      </c>
      <c r="B2">
        <v>0.41139241809999999</v>
      </c>
    </row>
    <row r="3" spans="1:23" x14ac:dyDescent="0.25">
      <c r="B3" s="42" t="s">
        <v>211</v>
      </c>
      <c r="C3" s="42"/>
      <c r="D3" s="42"/>
      <c r="H3" s="42" t="s">
        <v>60</v>
      </c>
      <c r="I3" s="42"/>
      <c r="J3" s="42"/>
      <c r="K3" s="42"/>
      <c r="L3" s="42"/>
      <c r="Q3" s="42" t="s">
        <v>144</v>
      </c>
      <c r="R3" s="42"/>
      <c r="S3" s="42"/>
      <c r="T3" s="42"/>
      <c r="U3" s="42"/>
      <c r="V3" s="42"/>
      <c r="W3" s="42"/>
    </row>
    <row r="4" spans="1:23" ht="30" x14ac:dyDescent="0.25">
      <c r="A4" s="4" t="s">
        <v>14</v>
      </c>
      <c r="B4" s="18" t="s">
        <v>62</v>
      </c>
      <c r="C4" s="18" t="s">
        <v>63</v>
      </c>
      <c r="D4" s="18" t="s">
        <v>64</v>
      </c>
      <c r="E4" s="3" t="s">
        <v>135</v>
      </c>
      <c r="F4" s="18" t="s">
        <v>61</v>
      </c>
      <c r="H4" s="18" t="s">
        <v>62</v>
      </c>
      <c r="I4" s="18" t="s">
        <v>63</v>
      </c>
      <c r="J4" s="18" t="s">
        <v>64</v>
      </c>
      <c r="K4" s="3" t="s">
        <v>135</v>
      </c>
      <c r="L4" s="18" t="s">
        <v>61</v>
      </c>
      <c r="N4" s="4" t="s">
        <v>14</v>
      </c>
      <c r="O4" s="3" t="s">
        <v>145</v>
      </c>
      <c r="R4" t="s">
        <v>62</v>
      </c>
      <c r="S4" t="s">
        <v>63</v>
      </c>
      <c r="T4" t="s">
        <v>64</v>
      </c>
      <c r="U4" s="20" t="s">
        <v>66</v>
      </c>
      <c r="V4" t="s">
        <v>214</v>
      </c>
      <c r="W4" t="s">
        <v>425</v>
      </c>
    </row>
    <row r="5" spans="1:23" x14ac:dyDescent="0.25">
      <c r="A5">
        <v>0</v>
      </c>
      <c r="B5">
        <v>4.9000000000000002E-2</v>
      </c>
      <c r="C5">
        <v>0.05</v>
      </c>
      <c r="D5">
        <v>0.05</v>
      </c>
      <c r="E5" s="10">
        <f>AVERAGE(B5:D5)</f>
        <v>4.9666666666666671E-2</v>
      </c>
      <c r="F5" s="11">
        <f>_xlfn.STDEV.S(B5:D5)</f>
        <v>5.7735026918962634E-4</v>
      </c>
      <c r="H5" s="10">
        <f t="shared" ref="H5:H15" si="0">LN(B5)</f>
        <v>-3.0159349808715104</v>
      </c>
      <c r="I5" s="10">
        <f t="shared" ref="I5:I15" si="1">LN(C5)</f>
        <v>-2.9957322735539909</v>
      </c>
      <c r="J5" s="10">
        <f t="shared" ref="J5:J15" si="2">LN(D5)</f>
        <v>-2.9957322735539909</v>
      </c>
      <c r="K5" s="10">
        <f t="shared" ref="K5:K15" si="3">AVERAGE(H5:J5)</f>
        <v>-3.0024665093264975</v>
      </c>
      <c r="L5" s="11">
        <f t="shared" ref="L5:L15" si="4">_xlfn.STDEV.S(H5:J5)</f>
        <v>1.1664038508129103E-2</v>
      </c>
      <c r="N5">
        <v>0</v>
      </c>
      <c r="O5" s="11">
        <f>((AVERAGE(B5:D5))*$B$2)/0.3757</f>
        <v>5.4385121370685838E-2</v>
      </c>
      <c r="P5" s="10"/>
      <c r="Q5" t="s">
        <v>424</v>
      </c>
      <c r="R5" s="2">
        <f>SLOPE(H8:H11,$A$8:$A$11)</f>
        <v>0.37719052248195817</v>
      </c>
      <c r="S5" s="2">
        <f t="shared" ref="S5:T5" si="5">SLOPE(I8:I11,$A$8:$A$11)</f>
        <v>0.37686455839667687</v>
      </c>
      <c r="T5" s="2">
        <f t="shared" si="5"/>
        <v>0.37296243891867831</v>
      </c>
      <c r="U5" s="2">
        <f>AVERAGE(R5:T5)</f>
        <v>0.37567250659910445</v>
      </c>
      <c r="V5" s="10">
        <f>_xlfn.STDEV.S(R5:T5)</f>
        <v>2.3526396389143551E-3</v>
      </c>
      <c r="W5" s="10">
        <f>(_xlfn.STDEV.S(R5:T5))/(SQRT(COUNT(R5:T5)))</f>
        <v>1.3582971288333869E-3</v>
      </c>
    </row>
    <row r="6" spans="1:23" x14ac:dyDescent="0.25">
      <c r="A6">
        <v>1</v>
      </c>
      <c r="B6">
        <v>7.4999999999999997E-2</v>
      </c>
      <c r="C6">
        <v>7.2999999999999995E-2</v>
      </c>
      <c r="D6">
        <v>7.3999999999999996E-2</v>
      </c>
      <c r="E6" s="10">
        <f t="shared" ref="E6:E15" si="6">AVERAGE(B6:D6)</f>
        <v>7.3999999999999996E-2</v>
      </c>
      <c r="F6" s="11">
        <f t="shared" ref="F6:F15" si="7">_xlfn.STDEV.S(B6:D6)</f>
        <v>1.0000000000000009E-3</v>
      </c>
      <c r="H6" s="10">
        <f t="shared" si="0"/>
        <v>-2.5902671654458267</v>
      </c>
      <c r="I6" s="10">
        <f t="shared" si="1"/>
        <v>-2.6172958378337459</v>
      </c>
      <c r="J6" s="10">
        <f t="shared" si="2"/>
        <v>-2.6036901857779675</v>
      </c>
      <c r="K6" s="10">
        <f t="shared" si="3"/>
        <v>-2.60375106301918</v>
      </c>
      <c r="L6" s="11">
        <f t="shared" si="4"/>
        <v>1.3514439029876131E-2</v>
      </c>
      <c r="N6">
        <v>1</v>
      </c>
      <c r="O6" s="11">
        <f t="shared" ref="O6:O15" si="8">((AVERAGE(B6:D6))*$B$2)/0.3757</f>
        <v>8.1030180834176208E-2</v>
      </c>
      <c r="P6" s="10"/>
      <c r="Q6" s="10"/>
      <c r="R6" s="11"/>
      <c r="V6" s="11"/>
    </row>
    <row r="7" spans="1:23" x14ac:dyDescent="0.25">
      <c r="A7">
        <v>2</v>
      </c>
      <c r="B7">
        <v>0.114</v>
      </c>
      <c r="C7">
        <v>0.115</v>
      </c>
      <c r="D7">
        <v>0.11799999999999999</v>
      </c>
      <c r="E7" s="10">
        <f t="shared" si="6"/>
        <v>0.11566666666666665</v>
      </c>
      <c r="F7" s="11">
        <f t="shared" si="7"/>
        <v>2.081665999466127E-3</v>
      </c>
      <c r="H7" s="10">
        <f t="shared" si="0"/>
        <v>-2.1715568305876416</v>
      </c>
      <c r="I7" s="10">
        <f t="shared" si="1"/>
        <v>-2.1628231506188871</v>
      </c>
      <c r="J7" s="10">
        <f t="shared" si="2"/>
        <v>-2.1370706545164722</v>
      </c>
      <c r="K7" s="10">
        <f t="shared" si="3"/>
        <v>-2.1571502119076666</v>
      </c>
      <c r="L7" s="11">
        <f t="shared" si="4"/>
        <v>1.7929326820013903E-2</v>
      </c>
      <c r="N7">
        <v>2</v>
      </c>
      <c r="O7" s="11">
        <f t="shared" si="8"/>
        <v>0.12665528265522136</v>
      </c>
      <c r="P7" s="10"/>
      <c r="Q7" s="10"/>
      <c r="R7" s="11"/>
      <c r="V7" s="11"/>
    </row>
    <row r="8" spans="1:23" x14ac:dyDescent="0.25">
      <c r="A8">
        <v>3</v>
      </c>
      <c r="B8">
        <v>0.191</v>
      </c>
      <c r="C8">
        <v>0.19500000000000001</v>
      </c>
      <c r="D8">
        <v>0.2</v>
      </c>
      <c r="E8" s="10">
        <f t="shared" si="6"/>
        <v>0.19533333333333336</v>
      </c>
      <c r="F8" s="11">
        <f t="shared" si="7"/>
        <v>4.5092497528228985E-3</v>
      </c>
      <c r="H8" s="10">
        <f t="shared" si="0"/>
        <v>-1.6554818509355071</v>
      </c>
      <c r="I8" s="10">
        <f t="shared" si="1"/>
        <v>-1.6347557204183902</v>
      </c>
      <c r="J8" s="10">
        <f t="shared" si="2"/>
        <v>-1.6094379124341003</v>
      </c>
      <c r="K8" s="10">
        <f t="shared" si="3"/>
        <v>-1.6332251612626658</v>
      </c>
      <c r="L8" s="11">
        <f t="shared" si="4"/>
        <v>2.3060095981526467E-2</v>
      </c>
      <c r="N8">
        <v>3</v>
      </c>
      <c r="O8" s="11">
        <f t="shared" si="8"/>
        <v>0.21389047733705974</v>
      </c>
      <c r="P8" s="10"/>
      <c r="Q8" s="10"/>
      <c r="R8" s="11"/>
      <c r="V8" s="11"/>
    </row>
    <row r="9" spans="1:23" x14ac:dyDescent="0.25">
      <c r="A9">
        <v>4</v>
      </c>
      <c r="B9">
        <v>0.28999999999999998</v>
      </c>
      <c r="C9">
        <v>0.29599999999999999</v>
      </c>
      <c r="D9">
        <v>0.30099999999999999</v>
      </c>
      <c r="E9" s="10">
        <f t="shared" si="6"/>
        <v>0.29566666666666669</v>
      </c>
      <c r="F9" s="11">
        <f t="shared" si="7"/>
        <v>5.5075705472861069E-3</v>
      </c>
      <c r="H9" s="10">
        <f t="shared" si="0"/>
        <v>-1.2378743560016174</v>
      </c>
      <c r="I9" s="10">
        <f t="shared" si="1"/>
        <v>-1.2173958246580767</v>
      </c>
      <c r="J9" s="10">
        <f t="shared" si="2"/>
        <v>-1.2006450142332614</v>
      </c>
      <c r="K9" s="10">
        <f t="shared" si="3"/>
        <v>-1.2186383982976519</v>
      </c>
      <c r="L9" s="11">
        <f t="shared" si="4"/>
        <v>1.86457492223721E-2</v>
      </c>
      <c r="N9">
        <v>4</v>
      </c>
      <c r="O9" s="11">
        <f t="shared" si="8"/>
        <v>0.32375572252213647</v>
      </c>
      <c r="P9" s="10"/>
      <c r="Q9" s="10"/>
      <c r="R9" s="11"/>
      <c r="V9" s="11"/>
    </row>
    <row r="10" spans="1:23" x14ac:dyDescent="0.25">
      <c r="A10">
        <v>5</v>
      </c>
      <c r="B10">
        <v>0.432</v>
      </c>
      <c r="C10">
        <v>0.438</v>
      </c>
      <c r="D10">
        <v>0.442</v>
      </c>
      <c r="E10" s="10">
        <f t="shared" si="6"/>
        <v>0.43733333333333335</v>
      </c>
      <c r="F10" s="11">
        <f t="shared" si="7"/>
        <v>5.0332229568471705E-3</v>
      </c>
      <c r="H10" s="10">
        <f t="shared" si="0"/>
        <v>-0.83932969073802677</v>
      </c>
      <c r="I10" s="10">
        <f t="shared" si="1"/>
        <v>-0.82553636860569091</v>
      </c>
      <c r="J10" s="10">
        <f t="shared" si="2"/>
        <v>-0.81644539690443896</v>
      </c>
      <c r="K10" s="10">
        <f t="shared" si="3"/>
        <v>-0.82710381874938543</v>
      </c>
      <c r="L10" s="11">
        <f t="shared" si="4"/>
        <v>1.1522386950203613E-2</v>
      </c>
      <c r="N10">
        <v>5</v>
      </c>
      <c r="O10" s="11">
        <f t="shared" si="8"/>
        <v>0.47888106871369007</v>
      </c>
      <c r="P10" s="10"/>
      <c r="Q10" s="10"/>
      <c r="R10" s="11"/>
      <c r="V10" s="11"/>
    </row>
    <row r="11" spans="1:23" x14ac:dyDescent="0.25">
      <c r="A11">
        <v>6</v>
      </c>
      <c r="B11">
        <v>0.58799999999999997</v>
      </c>
      <c r="C11">
        <v>0.60099999999999998</v>
      </c>
      <c r="D11">
        <v>0.61</v>
      </c>
      <c r="E11" s="10">
        <f t="shared" si="6"/>
        <v>0.59966666666666668</v>
      </c>
      <c r="F11" s="11">
        <f t="shared" si="7"/>
        <v>1.1060440015358049E-2</v>
      </c>
      <c r="H11" s="10">
        <f t="shared" si="0"/>
        <v>-0.53102833108351022</v>
      </c>
      <c r="I11" s="10">
        <f t="shared" si="1"/>
        <v>-0.50916034444692948</v>
      </c>
      <c r="J11" s="10">
        <f t="shared" si="2"/>
        <v>-0.49429632181478012</v>
      </c>
      <c r="K11" s="10">
        <f t="shared" si="3"/>
        <v>-0.51149499911507323</v>
      </c>
      <c r="L11" s="11">
        <f t="shared" si="4"/>
        <v>1.8476960939075797E-2</v>
      </c>
      <c r="N11">
        <v>6</v>
      </c>
      <c r="O11" s="11">
        <f t="shared" si="8"/>
        <v>0.65663646540848197</v>
      </c>
      <c r="P11" s="10"/>
      <c r="Q11" s="10"/>
      <c r="R11" s="11"/>
      <c r="V11" s="11"/>
    </row>
    <row r="12" spans="1:23" x14ac:dyDescent="0.25">
      <c r="A12">
        <v>7</v>
      </c>
      <c r="B12">
        <v>0.79300000000000004</v>
      </c>
      <c r="C12">
        <v>0.80200000000000005</v>
      </c>
      <c r="D12">
        <v>0.80500000000000005</v>
      </c>
      <c r="E12" s="10">
        <f t="shared" si="6"/>
        <v>0.80000000000000016</v>
      </c>
      <c r="F12" s="11">
        <f t="shared" si="7"/>
        <v>6.2449979983984034E-3</v>
      </c>
      <c r="H12" s="10">
        <f t="shared" si="0"/>
        <v>-0.23193205734728903</v>
      </c>
      <c r="I12" s="10">
        <f t="shared" si="1"/>
        <v>-0.2206466711156225</v>
      </c>
      <c r="J12" s="10">
        <f t="shared" si="2"/>
        <v>-0.21691300156357363</v>
      </c>
      <c r="K12" s="10">
        <f t="shared" si="3"/>
        <v>-0.22316391000882838</v>
      </c>
      <c r="L12" s="11">
        <f t="shared" si="4"/>
        <v>7.8195510032667507E-3</v>
      </c>
      <c r="N12">
        <v>7</v>
      </c>
      <c r="O12" s="11">
        <f t="shared" si="8"/>
        <v>0.87600195496406719</v>
      </c>
      <c r="P12" s="10"/>
      <c r="Q12" s="10"/>
      <c r="R12" s="11"/>
      <c r="V12" s="11"/>
    </row>
    <row r="13" spans="1:23" x14ac:dyDescent="0.25">
      <c r="A13">
        <v>8</v>
      </c>
      <c r="B13">
        <v>0.94299999999999995</v>
      </c>
      <c r="C13">
        <v>0.94699999999999995</v>
      </c>
      <c r="D13">
        <v>0.95599999999999996</v>
      </c>
      <c r="E13" s="10">
        <f t="shared" si="6"/>
        <v>0.94866666666666666</v>
      </c>
      <c r="F13" s="11">
        <f t="shared" si="7"/>
        <v>6.6583281184793989E-3</v>
      </c>
      <c r="H13" s="10">
        <f t="shared" si="0"/>
        <v>-5.8688996348679613E-2</v>
      </c>
      <c r="I13" s="10">
        <f t="shared" si="1"/>
        <v>-5.4456185796058855E-2</v>
      </c>
      <c r="J13" s="10">
        <f t="shared" si="2"/>
        <v>-4.4997365930735805E-2</v>
      </c>
      <c r="K13" s="10">
        <f t="shared" si="3"/>
        <v>-5.2714182691824762E-2</v>
      </c>
      <c r="L13" s="11">
        <f t="shared" si="4"/>
        <v>7.0100725379101426E-3</v>
      </c>
      <c r="N13">
        <v>8</v>
      </c>
      <c r="O13" s="11">
        <f t="shared" si="8"/>
        <v>1.0387923182615564</v>
      </c>
      <c r="P13" s="10"/>
      <c r="Q13" s="10"/>
      <c r="R13" s="11"/>
      <c r="V13" s="11"/>
    </row>
    <row r="14" spans="1:23" x14ac:dyDescent="0.25">
      <c r="A14">
        <v>9</v>
      </c>
      <c r="B14">
        <v>1.0469999999999999</v>
      </c>
      <c r="C14">
        <v>1.0629999999999999</v>
      </c>
      <c r="D14">
        <v>1.077</v>
      </c>
      <c r="E14" s="10">
        <f t="shared" si="6"/>
        <v>1.0623333333333334</v>
      </c>
      <c r="F14" s="11">
        <f t="shared" si="7"/>
        <v>1.5011106998930284E-2</v>
      </c>
      <c r="H14" s="10">
        <f t="shared" si="0"/>
        <v>4.5928931888399735E-2</v>
      </c>
      <c r="I14" s="10">
        <f t="shared" si="1"/>
        <v>6.1095099359810827E-2</v>
      </c>
      <c r="J14" s="10">
        <f t="shared" si="2"/>
        <v>7.4179398174251468E-2</v>
      </c>
      <c r="K14" s="10">
        <f t="shared" si="3"/>
        <v>6.0401143140820679E-2</v>
      </c>
      <c r="L14" s="11">
        <f t="shared" si="4"/>
        <v>1.4138012334391889E-2</v>
      </c>
      <c r="N14">
        <v>9</v>
      </c>
      <c r="O14" s="11">
        <f t="shared" si="8"/>
        <v>1.1632575960293674</v>
      </c>
      <c r="P14" s="10"/>
      <c r="Q14" s="10"/>
      <c r="R14" s="11"/>
      <c r="V14" s="11"/>
    </row>
    <row r="15" spans="1:23" x14ac:dyDescent="0.25">
      <c r="A15">
        <v>10</v>
      </c>
      <c r="B15">
        <v>1.0900000000000001</v>
      </c>
      <c r="C15">
        <v>1.105</v>
      </c>
      <c r="D15">
        <v>1.109</v>
      </c>
      <c r="E15" s="10">
        <f t="shared" si="6"/>
        <v>1.1013333333333335</v>
      </c>
      <c r="F15" s="11">
        <f t="shared" si="7"/>
        <v>1.0016652800877759E-2</v>
      </c>
      <c r="H15" s="10">
        <f t="shared" si="0"/>
        <v>8.6177696241052412E-2</v>
      </c>
      <c r="I15" s="10">
        <f t="shared" si="1"/>
        <v>9.9845334969716121E-2</v>
      </c>
      <c r="J15" s="10">
        <f t="shared" si="2"/>
        <v>0.10345870836822997</v>
      </c>
      <c r="K15" s="10">
        <f t="shared" si="3"/>
        <v>9.6493913192999492E-2</v>
      </c>
      <c r="L15" s="11">
        <f t="shared" si="4"/>
        <v>9.1149528785947238E-3</v>
      </c>
      <c r="N15">
        <v>10</v>
      </c>
      <c r="O15" s="11">
        <f t="shared" si="8"/>
        <v>1.2059626913338659</v>
      </c>
      <c r="P15" s="10"/>
      <c r="Q15" s="10"/>
      <c r="R15" s="11"/>
      <c r="U15" s="11"/>
      <c r="V15" s="11"/>
    </row>
    <row r="16" spans="1:23" x14ac:dyDescent="0.25">
      <c r="F16" s="10"/>
      <c r="G16" s="10"/>
      <c r="H16" s="10"/>
      <c r="I16" s="10"/>
      <c r="J16" s="11"/>
      <c r="N16" s="10"/>
      <c r="O16" s="10"/>
      <c r="P16" s="10"/>
      <c r="Q16" s="10"/>
      <c r="R16" s="11"/>
      <c r="U16" s="11"/>
      <c r="V16" s="11"/>
    </row>
    <row r="17" spans="1:43" x14ac:dyDescent="0.25">
      <c r="F17" s="10"/>
      <c r="G17" s="10"/>
      <c r="H17" s="10"/>
      <c r="I17" s="10"/>
      <c r="J17" s="11"/>
      <c r="N17" s="10"/>
      <c r="O17" s="10"/>
      <c r="P17" s="10"/>
      <c r="Q17" s="10"/>
      <c r="R17" s="11"/>
      <c r="U17" s="11"/>
      <c r="V17" s="11"/>
    </row>
    <row r="18" spans="1:43" x14ac:dyDescent="0.25">
      <c r="F18" s="10"/>
      <c r="G18" s="10"/>
      <c r="H18" s="10"/>
      <c r="I18" s="10"/>
      <c r="J18" s="11"/>
      <c r="N18" s="10"/>
      <c r="O18" s="10"/>
      <c r="P18" s="10"/>
      <c r="Q18" s="10"/>
      <c r="R18" s="11"/>
      <c r="U18" s="11"/>
      <c r="V18" s="11"/>
    </row>
    <row r="20" spans="1:43" x14ac:dyDescent="0.25">
      <c r="A20" t="s">
        <v>7</v>
      </c>
      <c r="B20" t="s">
        <v>241</v>
      </c>
      <c r="C20" t="s">
        <v>242</v>
      </c>
      <c r="D20" t="s">
        <v>243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M20" t="s">
        <v>225</v>
      </c>
      <c r="N20" t="s">
        <v>226</v>
      </c>
      <c r="O20" t="s">
        <v>227</v>
      </c>
      <c r="P20" t="s">
        <v>228</v>
      </c>
      <c r="Q20" t="s">
        <v>229</v>
      </c>
      <c r="R20" t="s">
        <v>230</v>
      </c>
      <c r="S20" t="s">
        <v>231</v>
      </c>
      <c r="T20" t="s">
        <v>232</v>
      </c>
      <c r="U20" t="s">
        <v>233</v>
      </c>
      <c r="V20" t="s">
        <v>234</v>
      </c>
      <c r="W20" t="s">
        <v>235</v>
      </c>
      <c r="X20" t="s">
        <v>236</v>
      </c>
      <c r="Y20" t="s">
        <v>237</v>
      </c>
      <c r="Z20" t="s">
        <v>238</v>
      </c>
      <c r="AA20" t="s">
        <v>239</v>
      </c>
      <c r="AB20" t="s">
        <v>240</v>
      </c>
    </row>
    <row r="21" spans="1:43" x14ac:dyDescent="0.25">
      <c r="A21" t="s">
        <v>0</v>
      </c>
      <c r="B21" s="1">
        <v>83255128</v>
      </c>
      <c r="C21" s="1">
        <v>83442656</v>
      </c>
      <c r="D21" s="1">
        <v>83307928</v>
      </c>
      <c r="E21" s="1">
        <v>83307928</v>
      </c>
      <c r="F21" s="1">
        <v>80351320</v>
      </c>
      <c r="G21" s="1">
        <v>77898752</v>
      </c>
      <c r="H21" s="1">
        <v>74783368</v>
      </c>
      <c r="I21" s="1">
        <v>83422976</v>
      </c>
      <c r="J21" s="1">
        <v>78020208</v>
      </c>
      <c r="K21" s="1">
        <v>78574056</v>
      </c>
      <c r="L21" s="1">
        <v>80820936</v>
      </c>
      <c r="M21" s="1">
        <v>84041312</v>
      </c>
      <c r="N21" s="1">
        <v>82589784</v>
      </c>
      <c r="O21" s="1">
        <v>83409376</v>
      </c>
      <c r="P21" s="1">
        <v>80656104</v>
      </c>
      <c r="Q21" s="1">
        <v>91718872</v>
      </c>
      <c r="R21" s="1">
        <v>97133096</v>
      </c>
      <c r="S21" s="1">
        <v>86119632</v>
      </c>
      <c r="T21" s="1">
        <v>82611800</v>
      </c>
      <c r="U21" s="1">
        <v>92404696</v>
      </c>
      <c r="V21" s="1">
        <v>84339744</v>
      </c>
      <c r="W21" s="1">
        <v>74019800</v>
      </c>
      <c r="X21" s="1">
        <v>78934168</v>
      </c>
      <c r="Y21" s="1">
        <v>71667448</v>
      </c>
      <c r="Z21" s="1">
        <v>64075028</v>
      </c>
      <c r="AA21" s="1">
        <v>61581356</v>
      </c>
      <c r="AB21" s="1">
        <v>62964268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t="s">
        <v>1</v>
      </c>
      <c r="B22" s="1">
        <v>5019015.5</v>
      </c>
      <c r="C22" s="1">
        <v>5073109.5</v>
      </c>
      <c r="D22" s="1">
        <v>5005725.5</v>
      </c>
      <c r="E22" s="1">
        <v>5005725.5</v>
      </c>
      <c r="F22" s="1">
        <v>4918342</v>
      </c>
      <c r="G22" s="1">
        <v>4876872.5</v>
      </c>
      <c r="H22" s="1">
        <v>4482182.5</v>
      </c>
      <c r="I22" s="1">
        <v>5237424</v>
      </c>
      <c r="J22" s="1">
        <v>4700210</v>
      </c>
      <c r="K22" s="1">
        <v>4932430.5</v>
      </c>
      <c r="L22" s="1">
        <v>5111571.5</v>
      </c>
      <c r="M22" s="1">
        <v>5126175.5</v>
      </c>
      <c r="N22" s="1">
        <v>5142546</v>
      </c>
      <c r="O22" s="1">
        <v>5110219.5</v>
      </c>
      <c r="P22" s="1">
        <v>4962166.5</v>
      </c>
      <c r="Q22" s="1">
        <v>5637562.5</v>
      </c>
      <c r="R22" s="1">
        <v>6268742</v>
      </c>
      <c r="S22" s="1">
        <v>5363305</v>
      </c>
      <c r="T22" s="1">
        <v>5462707.5</v>
      </c>
      <c r="U22" s="1">
        <v>5777894.5</v>
      </c>
      <c r="V22" s="1">
        <v>5426008.5</v>
      </c>
      <c r="W22" s="1">
        <v>4613800</v>
      </c>
      <c r="X22" s="1">
        <v>4949621.5</v>
      </c>
      <c r="Y22" s="1">
        <v>4600292</v>
      </c>
      <c r="Z22" s="1">
        <v>4400351</v>
      </c>
      <c r="AA22" s="1">
        <v>3950825.25</v>
      </c>
      <c r="AB22" s="1">
        <v>3961628.75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t="s">
        <v>2</v>
      </c>
      <c r="B23" s="1">
        <v>584062.18999999994</v>
      </c>
      <c r="C23" s="1">
        <v>18149.87</v>
      </c>
      <c r="D23" s="1">
        <v>12296.39</v>
      </c>
      <c r="E23" s="1">
        <v>12296.39</v>
      </c>
      <c r="F23" s="1">
        <v>254080.94</v>
      </c>
      <c r="G23" s="1">
        <v>5963.02</v>
      </c>
      <c r="H23" s="1">
        <v>55985.71</v>
      </c>
      <c r="I23" s="1">
        <v>201094.14</v>
      </c>
      <c r="J23" s="1">
        <v>9301.93</v>
      </c>
      <c r="K23" s="1">
        <v>20219.13</v>
      </c>
      <c r="L23" s="1">
        <v>9867.5300000000007</v>
      </c>
      <c r="M23" s="1">
        <v>11339.05</v>
      </c>
      <c r="N23" s="1">
        <v>12106.65</v>
      </c>
      <c r="O23" s="1">
        <v>12634.1</v>
      </c>
      <c r="P23" s="1">
        <v>7606.98</v>
      </c>
      <c r="Q23" s="1">
        <v>13021.15</v>
      </c>
      <c r="R23" s="1">
        <v>9955.44</v>
      </c>
      <c r="S23" s="1">
        <v>12076.77</v>
      </c>
      <c r="T23" s="1">
        <v>16014.74</v>
      </c>
      <c r="U23" s="1">
        <v>14095.91</v>
      </c>
      <c r="V23" s="1">
        <v>8228.7900000000009</v>
      </c>
      <c r="W23" s="1">
        <v>16784.97</v>
      </c>
      <c r="X23" s="1">
        <v>9551.48</v>
      </c>
      <c r="Y23" s="1">
        <v>9714.65</v>
      </c>
      <c r="Z23" s="1">
        <v>0</v>
      </c>
      <c r="AA23" s="1">
        <v>6512.66</v>
      </c>
      <c r="AB23" s="1">
        <v>3144.19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t="s">
        <v>3</v>
      </c>
      <c r="B24" s="1">
        <v>56505.440000000002</v>
      </c>
      <c r="C24" s="1">
        <v>43053.25</v>
      </c>
      <c r="D24" s="1">
        <v>12381.92</v>
      </c>
      <c r="E24" s="1">
        <v>12381.92</v>
      </c>
      <c r="F24" s="1">
        <v>18729.78</v>
      </c>
      <c r="G24" s="1">
        <v>19255.150000000001</v>
      </c>
      <c r="H24" s="1">
        <v>19199.04</v>
      </c>
      <c r="I24" s="1">
        <v>25985.21</v>
      </c>
      <c r="J24" s="1">
        <v>13649.52</v>
      </c>
      <c r="K24" s="1">
        <v>13778.78</v>
      </c>
      <c r="L24" s="1">
        <v>16839.349999999999</v>
      </c>
      <c r="M24" s="1">
        <v>15616.38</v>
      </c>
      <c r="N24" s="1">
        <v>12915</v>
      </c>
      <c r="O24" s="1">
        <v>2907.66</v>
      </c>
      <c r="P24" s="1">
        <v>26406.34</v>
      </c>
      <c r="Q24" s="1">
        <v>22230.86</v>
      </c>
      <c r="R24" s="1">
        <v>0</v>
      </c>
      <c r="S24" s="1">
        <v>0</v>
      </c>
      <c r="T24" s="1">
        <v>5585.01</v>
      </c>
      <c r="U24" s="1">
        <v>15616.09</v>
      </c>
      <c r="V24" s="1">
        <v>27700.880000000001</v>
      </c>
      <c r="W24" s="1">
        <v>3086.35</v>
      </c>
      <c r="X24" s="1">
        <v>0</v>
      </c>
      <c r="Y24" s="1">
        <v>0</v>
      </c>
      <c r="Z24" s="1">
        <v>10699.26</v>
      </c>
      <c r="AA24" s="1">
        <v>0</v>
      </c>
      <c r="AB24" s="1">
        <v>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t="s">
        <v>4</v>
      </c>
      <c r="B25" s="1">
        <v>153001.29999999999</v>
      </c>
      <c r="C25" s="1">
        <v>144154.70000000001</v>
      </c>
      <c r="D25" s="1">
        <v>160493.48000000001</v>
      </c>
      <c r="E25" s="1">
        <v>160493.48000000001</v>
      </c>
      <c r="F25" s="1">
        <v>179125.88</v>
      </c>
      <c r="G25" s="1">
        <v>181290.5</v>
      </c>
      <c r="H25" s="1">
        <v>161862.79999999999</v>
      </c>
      <c r="I25" s="1">
        <v>167672.45000000001</v>
      </c>
      <c r="J25" s="1">
        <v>121282.02</v>
      </c>
      <c r="K25" s="1">
        <v>172916.48000000001</v>
      </c>
      <c r="L25" s="1">
        <v>128054.62</v>
      </c>
      <c r="M25" s="1">
        <v>174005.2</v>
      </c>
      <c r="N25" s="1">
        <v>174100.17</v>
      </c>
      <c r="O25" s="1">
        <v>150147.17000000001</v>
      </c>
      <c r="P25" s="1">
        <v>173043.05</v>
      </c>
      <c r="Q25" s="1">
        <v>141504.59</v>
      </c>
      <c r="R25" s="1">
        <v>131414.82999999999</v>
      </c>
      <c r="S25" s="1">
        <v>158739.57999999999</v>
      </c>
      <c r="T25" s="1">
        <v>142408.54999999999</v>
      </c>
      <c r="U25" s="1">
        <v>137954.82999999999</v>
      </c>
      <c r="V25" s="1">
        <v>127688.41</v>
      </c>
      <c r="W25" s="1">
        <v>196387.61</v>
      </c>
      <c r="X25" s="1">
        <v>164413.98000000001</v>
      </c>
      <c r="Y25" s="1">
        <v>173981.39</v>
      </c>
      <c r="Z25" s="1">
        <v>179090.45</v>
      </c>
      <c r="AA25" s="1">
        <v>168459.55</v>
      </c>
      <c r="AB25" s="1">
        <v>159357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t="s">
        <v>5</v>
      </c>
      <c r="B26" s="1">
        <v>3512566</v>
      </c>
      <c r="C26" s="1">
        <v>3276351</v>
      </c>
      <c r="D26" s="1">
        <v>3471711</v>
      </c>
      <c r="E26" s="1">
        <v>3471711</v>
      </c>
      <c r="F26" s="1">
        <v>3363795.25</v>
      </c>
      <c r="G26" s="1">
        <v>3697459</v>
      </c>
      <c r="H26" s="1">
        <v>3425384.75</v>
      </c>
      <c r="I26" s="1">
        <v>3734928.25</v>
      </c>
      <c r="J26" s="1">
        <v>3658447.75</v>
      </c>
      <c r="K26" s="1">
        <v>3755952</v>
      </c>
      <c r="L26" s="1">
        <v>3522085.75</v>
      </c>
      <c r="M26" s="1">
        <v>3578640</v>
      </c>
      <c r="N26" s="1">
        <v>4380863.5</v>
      </c>
      <c r="O26" s="1">
        <v>4069533.25</v>
      </c>
      <c r="P26" s="1">
        <v>3759853.25</v>
      </c>
      <c r="Q26" s="1">
        <v>3308238</v>
      </c>
      <c r="R26" s="1">
        <v>3323981.75</v>
      </c>
      <c r="S26" s="1">
        <v>3248091</v>
      </c>
      <c r="T26" s="1">
        <v>3575349.25</v>
      </c>
      <c r="U26" s="1">
        <v>3754612.25</v>
      </c>
      <c r="V26" s="1">
        <v>3401987</v>
      </c>
      <c r="W26" s="1">
        <v>3727205.25</v>
      </c>
      <c r="X26" s="1">
        <v>3794803.25</v>
      </c>
      <c r="Y26" s="1">
        <v>3504692</v>
      </c>
      <c r="Z26" s="1">
        <v>4263687.5</v>
      </c>
      <c r="AA26" s="1">
        <v>4037490.75</v>
      </c>
      <c r="AB26" s="1">
        <v>4307470.5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t="s">
        <v>6</v>
      </c>
      <c r="B27" s="1">
        <v>47961436</v>
      </c>
      <c r="C27" s="1">
        <v>47345292</v>
      </c>
      <c r="D27" s="1">
        <v>47893804</v>
      </c>
      <c r="E27" s="1">
        <v>47893804</v>
      </c>
      <c r="F27" s="1">
        <v>48449316</v>
      </c>
      <c r="G27" s="1">
        <v>46715252</v>
      </c>
      <c r="H27" s="1">
        <v>46726576</v>
      </c>
      <c r="I27" s="1">
        <v>49528628</v>
      </c>
      <c r="J27" s="1">
        <v>48072692</v>
      </c>
      <c r="K27" s="1">
        <v>49137792</v>
      </c>
      <c r="L27" s="1">
        <v>49876252</v>
      </c>
      <c r="M27" s="1">
        <v>48825452</v>
      </c>
      <c r="N27" s="1">
        <v>56633360</v>
      </c>
      <c r="O27" s="1">
        <v>53778844</v>
      </c>
      <c r="P27" s="1">
        <v>50810372</v>
      </c>
      <c r="Q27" s="1">
        <v>45226796</v>
      </c>
      <c r="R27" s="1">
        <v>45773536</v>
      </c>
      <c r="S27" s="1">
        <v>44848320</v>
      </c>
      <c r="T27" s="1">
        <v>47900612</v>
      </c>
      <c r="U27" s="1">
        <v>49846868</v>
      </c>
      <c r="V27" s="1">
        <v>45164484</v>
      </c>
      <c r="W27" s="1">
        <v>49129964</v>
      </c>
      <c r="X27" s="1">
        <v>51343392</v>
      </c>
      <c r="Y27" s="1">
        <v>46538912</v>
      </c>
      <c r="Z27" s="1">
        <v>54542384</v>
      </c>
      <c r="AA27" s="1">
        <v>53147628</v>
      </c>
      <c r="AB27" s="1">
        <v>54116732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t="s">
        <v>8</v>
      </c>
      <c r="B28" s="2">
        <f>SUM(B21:B22)/SUM(B21:B27)</f>
        <v>0.6280992362873653</v>
      </c>
      <c r="C28" s="2">
        <f t="shared" ref="C28:AB28" si="9">SUM(C21:C22)/SUM(C21:C27)</f>
        <v>0.6352376075032411</v>
      </c>
      <c r="D28" s="2">
        <f t="shared" si="9"/>
        <v>0.6314236589318416</v>
      </c>
      <c r="E28" s="2">
        <f t="shared" si="9"/>
        <v>0.6314236589318416</v>
      </c>
      <c r="F28" s="2">
        <f t="shared" si="9"/>
        <v>0.61998648990496996</v>
      </c>
      <c r="G28" s="2">
        <f t="shared" si="9"/>
        <v>0.6205309134325292</v>
      </c>
      <c r="H28" s="2">
        <f t="shared" si="9"/>
        <v>0.61135953285122746</v>
      </c>
      <c r="I28" s="2">
        <f t="shared" si="9"/>
        <v>0.62297080415353023</v>
      </c>
      <c r="J28" s="2">
        <f t="shared" si="9"/>
        <v>0.61458398698954508</v>
      </c>
      <c r="K28" s="2">
        <f t="shared" si="9"/>
        <v>0.61128930384455249</v>
      </c>
      <c r="L28" s="2">
        <f t="shared" si="9"/>
        <v>0.61606720221690547</v>
      </c>
      <c r="M28" s="2">
        <f t="shared" si="9"/>
        <v>0.62894751986694197</v>
      </c>
      <c r="N28" s="2">
        <f t="shared" si="9"/>
        <v>0.58902233859098529</v>
      </c>
      <c r="O28" s="2">
        <f t="shared" si="9"/>
        <v>0.60409051739462405</v>
      </c>
      <c r="P28" s="2">
        <f t="shared" si="9"/>
        <v>0.60983606109415534</v>
      </c>
      <c r="Q28" s="2">
        <f t="shared" si="9"/>
        <v>0.66651343530291163</v>
      </c>
      <c r="R28" s="2">
        <f t="shared" si="9"/>
        <v>0.677419720779182</v>
      </c>
      <c r="S28" s="2">
        <f t="shared" si="9"/>
        <v>0.6546177417787058</v>
      </c>
      <c r="T28" s="2">
        <f t="shared" si="9"/>
        <v>0.63038927217600027</v>
      </c>
      <c r="U28" s="2">
        <f t="shared" si="9"/>
        <v>0.64614325616585033</v>
      </c>
      <c r="V28" s="2">
        <f t="shared" si="9"/>
        <v>0.64814763732922764</v>
      </c>
      <c r="W28" s="2">
        <f t="shared" si="9"/>
        <v>0.59703419845244587</v>
      </c>
      <c r="X28" s="2">
        <f t="shared" si="9"/>
        <v>0.60263096285091267</v>
      </c>
      <c r="Y28" s="2">
        <f t="shared" si="9"/>
        <v>0.60293067598447159</v>
      </c>
      <c r="Z28" s="2">
        <f t="shared" si="9"/>
        <v>0.53718296681817457</v>
      </c>
      <c r="AA28" s="2">
        <f t="shared" si="9"/>
        <v>0.53324899988843655</v>
      </c>
      <c r="AB28" s="2">
        <f t="shared" si="9"/>
        <v>0.53322054132718921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x14ac:dyDescent="0.25">
      <c r="A29" t="s">
        <v>121</v>
      </c>
      <c r="B29" s="10">
        <v>0.5</v>
      </c>
    </row>
    <row r="30" spans="1:43" x14ac:dyDescent="0.25">
      <c r="A30" t="s">
        <v>122</v>
      </c>
      <c r="B30" s="2">
        <f>(B28/(1-B28))*$B$29</f>
        <v>0.8444446712304865</v>
      </c>
      <c r="C30" s="2">
        <f t="shared" ref="C30:AB30" si="10">(C28/(1-C28))*$B$29</f>
        <v>0.87075534727567272</v>
      </c>
      <c r="D30" s="2">
        <f t="shared" si="10"/>
        <v>0.8565710662571755</v>
      </c>
      <c r="E30" s="2">
        <f t="shared" si="10"/>
        <v>0.8565710662571755</v>
      </c>
      <c r="F30" s="2">
        <f t="shared" si="10"/>
        <v>0.8157426952398743</v>
      </c>
      <c r="G30" s="2">
        <f t="shared" si="10"/>
        <v>0.81763038861163839</v>
      </c>
      <c r="H30" s="2">
        <f t="shared" si="10"/>
        <v>0.78653612339499057</v>
      </c>
      <c r="I30" s="2">
        <f t="shared" si="10"/>
        <v>0.82615724593276652</v>
      </c>
      <c r="J30" s="2">
        <f t="shared" si="10"/>
        <v>0.79729949748205409</v>
      </c>
      <c r="K30" s="2">
        <f t="shared" si="10"/>
        <v>0.78630368277812268</v>
      </c>
      <c r="L30" s="2">
        <f>(L28/(1-L28))*$B$29</f>
        <v>0.80231124531975628</v>
      </c>
      <c r="M30" s="2">
        <f>(M28/(1-M28))*$B$29</f>
        <v>0.84751828048879196</v>
      </c>
      <c r="N30" s="2">
        <f t="shared" si="10"/>
        <v>0.71661113717416425</v>
      </c>
      <c r="O30" s="2">
        <f t="shared" si="10"/>
        <v>0.76291493881286143</v>
      </c>
      <c r="P30" s="2">
        <f t="shared" si="10"/>
        <v>0.78151259032850096</v>
      </c>
      <c r="Q30" s="2">
        <f t="shared" si="10"/>
        <v>0.99931077569544269</v>
      </c>
      <c r="R30" s="2">
        <f t="shared" si="10"/>
        <v>1.0500017583459642</v>
      </c>
      <c r="S30" s="2">
        <f t="shared" si="10"/>
        <v>0.94767134992683588</v>
      </c>
      <c r="T30" s="2">
        <f t="shared" si="10"/>
        <v>0.85277458785798199</v>
      </c>
      <c r="U30" s="2">
        <f t="shared" si="10"/>
        <v>0.91300118964059285</v>
      </c>
      <c r="V30" s="2">
        <f t="shared" si="10"/>
        <v>0.92105056849610845</v>
      </c>
      <c r="W30" s="2">
        <f t="shared" si="10"/>
        <v>0.74080008298420041</v>
      </c>
      <c r="X30" s="2">
        <f t="shared" si="10"/>
        <v>0.75827619481184427</v>
      </c>
      <c r="Y30" s="2">
        <f t="shared" si="10"/>
        <v>0.75922595818670247</v>
      </c>
      <c r="Z30" s="2">
        <f t="shared" si="10"/>
        <v>0.5803405323320644</v>
      </c>
      <c r="AA30" s="2">
        <f t="shared" si="10"/>
        <v>0.57123498370756431</v>
      </c>
      <c r="AB30" s="2">
        <f t="shared" si="10"/>
        <v>0.57116967276504593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x14ac:dyDescent="0.25">
      <c r="A31" t="s">
        <v>12</v>
      </c>
      <c r="B31" s="2">
        <v>186.11</v>
      </c>
    </row>
    <row r="32" spans="1:43" x14ac:dyDescent="0.25">
      <c r="A32" t="s">
        <v>11</v>
      </c>
      <c r="B32">
        <v>180.15600000000001</v>
      </c>
    </row>
    <row r="33" spans="1:43" x14ac:dyDescent="0.25">
      <c r="A33" t="s">
        <v>123</v>
      </c>
      <c r="B33" s="2">
        <f>B30*($B$32/$B$31)</f>
        <v>0.81742933851055577</v>
      </c>
      <c r="C33" s="2">
        <f t="shared" ref="C33:AB33" si="11">C30*($B$32/$B$31)</f>
        <v>0.84289828780718978</v>
      </c>
      <c r="D33" s="2">
        <f t="shared" si="11"/>
        <v>0.82916778793524104</v>
      </c>
      <c r="E33" s="2">
        <f t="shared" si="11"/>
        <v>0.82916778793524104</v>
      </c>
      <c r="F33" s="2">
        <f t="shared" si="11"/>
        <v>0.78964559133649348</v>
      </c>
      <c r="G33" s="2">
        <f t="shared" si="11"/>
        <v>0.79147289393755482</v>
      </c>
      <c r="H33" s="2">
        <f t="shared" si="11"/>
        <v>0.76137339125435455</v>
      </c>
      <c r="I33" s="2">
        <f t="shared" si="11"/>
        <v>0.79972696146506628</v>
      </c>
      <c r="J33" s="2">
        <f t="shared" si="11"/>
        <v>0.77179242527740011</v>
      </c>
      <c r="K33" s="2">
        <f t="shared" si="11"/>
        <v>0.76114838683883435</v>
      </c>
      <c r="L33" s="2">
        <f t="shared" si="11"/>
        <v>0.77664383811630766</v>
      </c>
      <c r="M33" s="2">
        <f>M30*($B$32/$B$31)</f>
        <v>0.8204046173754167</v>
      </c>
      <c r="N33" s="2">
        <f t="shared" si="11"/>
        <v>0.69368543350034251</v>
      </c>
      <c r="O33" s="2">
        <f t="shared" si="11"/>
        <v>0.73850789165960917</v>
      </c>
      <c r="P33" s="2">
        <f t="shared" si="11"/>
        <v>0.75651057021772827</v>
      </c>
      <c r="Q33" s="2">
        <f t="shared" si="11"/>
        <v>0.96734099245708549</v>
      </c>
      <c r="R33" s="2">
        <f t="shared" si="11"/>
        <v>1.0164102776668396</v>
      </c>
      <c r="S33" s="2">
        <f t="shared" si="11"/>
        <v>0.91735360656288778</v>
      </c>
      <c r="T33" s="2">
        <f t="shared" si="11"/>
        <v>0.82549276583817421</v>
      </c>
      <c r="U33" s="2">
        <f t="shared" si="11"/>
        <v>0.88379260824722283</v>
      </c>
      <c r="V33" s="2">
        <f t="shared" si="11"/>
        <v>0.89158447272035313</v>
      </c>
      <c r="W33" s="2">
        <f t="shared" si="11"/>
        <v>0.71710053060072865</v>
      </c>
      <c r="X33" s="2">
        <f t="shared" si="11"/>
        <v>0.73401754958101451</v>
      </c>
      <c r="Y33" s="2">
        <f t="shared" si="11"/>
        <v>0.73493692828479695</v>
      </c>
      <c r="Z33" s="2">
        <f t="shared" si="11"/>
        <v>0.56177437506214278</v>
      </c>
      <c r="AA33" s="2">
        <f t="shared" si="11"/>
        <v>0.55296012962667218</v>
      </c>
      <c r="AB33" s="2">
        <f t="shared" si="11"/>
        <v>0.55289690810090597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x14ac:dyDescent="0.25">
      <c r="A34" t="s">
        <v>149</v>
      </c>
      <c r="B34" s="21">
        <v>150</v>
      </c>
    </row>
    <row r="35" spans="1:43" x14ac:dyDescent="0.25">
      <c r="A35" t="s">
        <v>149</v>
      </c>
      <c r="B35" s="21">
        <v>100</v>
      </c>
    </row>
    <row r="36" spans="1:43" x14ac:dyDescent="0.25">
      <c r="A36" t="s">
        <v>131</v>
      </c>
      <c r="B36" s="2">
        <f>B33*$B$34</f>
        <v>122.61440077658337</v>
      </c>
      <c r="C36" s="2">
        <f t="shared" ref="C36:N36" si="12">C33*$B$34</f>
        <v>126.43474317107847</v>
      </c>
      <c r="D36" s="2">
        <f t="shared" si="12"/>
        <v>124.37516819028616</v>
      </c>
      <c r="E36" s="2">
        <f t="shared" si="12"/>
        <v>124.37516819028616</v>
      </c>
      <c r="F36" s="2">
        <f t="shared" si="12"/>
        <v>118.44683870047402</v>
      </c>
      <c r="G36" s="2">
        <f t="shared" si="12"/>
        <v>118.72093409063322</v>
      </c>
      <c r="H36" s="2">
        <f t="shared" si="12"/>
        <v>114.20600868815318</v>
      </c>
      <c r="I36" s="2">
        <f t="shared" si="12"/>
        <v>119.95904421975995</v>
      </c>
      <c r="J36" s="2">
        <f t="shared" si="12"/>
        <v>115.76886379161002</v>
      </c>
      <c r="K36" s="2">
        <f t="shared" si="12"/>
        <v>114.17225802582516</v>
      </c>
      <c r="L36" s="2">
        <f t="shared" si="12"/>
        <v>116.49657571744615</v>
      </c>
      <c r="M36" s="2">
        <f>M33*$B$34</f>
        <v>123.0606926063125</v>
      </c>
      <c r="N36" s="2">
        <f t="shared" si="12"/>
        <v>104.05281502505137</v>
      </c>
      <c r="O36" s="2">
        <f>O33*$B$34</f>
        <v>110.77618374894138</v>
      </c>
      <c r="P36" s="2">
        <f>P33*$B$34</f>
        <v>113.47658553265924</v>
      </c>
      <c r="Q36" s="2">
        <f>Q33*$B$35</f>
        <v>96.734099245708549</v>
      </c>
      <c r="R36" s="2">
        <f t="shared" ref="R36:AB36" si="13">R33*$B$35</f>
        <v>101.64102776668396</v>
      </c>
      <c r="S36" s="2">
        <f t="shared" si="13"/>
        <v>91.735360656288776</v>
      </c>
      <c r="T36" s="2">
        <f t="shared" si="13"/>
        <v>82.549276583817417</v>
      </c>
      <c r="U36" s="2">
        <f t="shared" si="13"/>
        <v>88.37926082472228</v>
      </c>
      <c r="V36" s="2">
        <f t="shared" si="13"/>
        <v>89.158447272035318</v>
      </c>
      <c r="W36" s="2">
        <f t="shared" si="13"/>
        <v>71.710053060072866</v>
      </c>
      <c r="X36" s="2">
        <f t="shared" si="13"/>
        <v>73.401754958101449</v>
      </c>
      <c r="Y36" s="2">
        <f t="shared" si="13"/>
        <v>73.493692828479695</v>
      </c>
      <c r="Z36" s="2">
        <f t="shared" si="13"/>
        <v>56.177437506214275</v>
      </c>
      <c r="AA36" s="2">
        <f t="shared" si="13"/>
        <v>55.29601296266722</v>
      </c>
      <c r="AB36" s="2">
        <f t="shared" si="13"/>
        <v>55.289690810090597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8" spans="1:43" ht="30" x14ac:dyDescent="0.25">
      <c r="A38" s="4" t="s">
        <v>14</v>
      </c>
      <c r="B38" s="6" t="s">
        <v>145</v>
      </c>
      <c r="C38" s="6" t="s">
        <v>146</v>
      </c>
      <c r="D38" s="6" t="s">
        <v>147</v>
      </c>
      <c r="E38" s="6" t="s">
        <v>148</v>
      </c>
      <c r="F38" s="6" t="s">
        <v>423</v>
      </c>
      <c r="G38" s="3"/>
      <c r="H38" s="3"/>
      <c r="I38" s="3"/>
    </row>
    <row r="39" spans="1:43" x14ac:dyDescent="0.25">
      <c r="A39">
        <v>0</v>
      </c>
      <c r="B39" s="11">
        <f t="shared" ref="B39:B48" si="14">O5</f>
        <v>5.4385121370685838E-2</v>
      </c>
      <c r="C39" s="2">
        <f>B36</f>
        <v>122.61440077658337</v>
      </c>
      <c r="D39" s="2">
        <f t="shared" ref="D39:E39" si="15">C36</f>
        <v>126.43474317107847</v>
      </c>
      <c r="E39" s="2">
        <f t="shared" si="15"/>
        <v>124.37516819028616</v>
      </c>
      <c r="F39" s="2">
        <f>AVERAGE(C39:E39)</f>
        <v>124.47477071264933</v>
      </c>
      <c r="G39" s="2"/>
      <c r="H39" s="2"/>
      <c r="I39" s="2"/>
    </row>
    <row r="40" spans="1:43" x14ac:dyDescent="0.25">
      <c r="A40">
        <v>1</v>
      </c>
      <c r="B40" s="11">
        <f t="shared" si="14"/>
        <v>8.1030180834176208E-2</v>
      </c>
      <c r="C40" s="2">
        <f>E36</f>
        <v>124.37516819028616</v>
      </c>
      <c r="D40" s="2">
        <f t="shared" ref="D40:E40" si="16">F36</f>
        <v>118.44683870047402</v>
      </c>
      <c r="E40" s="2">
        <f t="shared" si="16"/>
        <v>118.72093409063322</v>
      </c>
      <c r="F40" s="2">
        <f t="shared" ref="F40:F48" si="17">AVERAGE(C40:E40)</f>
        <v>120.51431366046445</v>
      </c>
      <c r="G40" s="2"/>
      <c r="H40" s="2"/>
      <c r="I40" s="2"/>
    </row>
    <row r="41" spans="1:43" x14ac:dyDescent="0.25">
      <c r="A41">
        <v>2</v>
      </c>
      <c r="B41" s="11">
        <f t="shared" si="14"/>
        <v>0.12665528265522136</v>
      </c>
      <c r="C41" s="2">
        <f>H36</f>
        <v>114.20600868815318</v>
      </c>
      <c r="D41" s="2">
        <f t="shared" ref="D41:E41" si="18">I36</f>
        <v>119.95904421975995</v>
      </c>
      <c r="E41" s="2">
        <f t="shared" si="18"/>
        <v>115.76886379161002</v>
      </c>
      <c r="F41" s="2">
        <f t="shared" si="17"/>
        <v>116.64463889984104</v>
      </c>
      <c r="G41" s="2"/>
      <c r="H41" s="2"/>
      <c r="I41" s="2"/>
    </row>
    <row r="42" spans="1:43" x14ac:dyDescent="0.25">
      <c r="A42">
        <v>3</v>
      </c>
      <c r="B42" s="11">
        <f t="shared" si="14"/>
        <v>0.21389047733705974</v>
      </c>
      <c r="C42" s="2">
        <f>K36</f>
        <v>114.17225802582516</v>
      </c>
      <c r="D42" s="2">
        <f t="shared" ref="D42:E42" si="19">L36</f>
        <v>116.49657571744615</v>
      </c>
      <c r="E42" s="2">
        <f t="shared" si="19"/>
        <v>123.0606926063125</v>
      </c>
      <c r="F42" s="2">
        <f t="shared" si="17"/>
        <v>117.90984211652794</v>
      </c>
      <c r="G42" s="2"/>
      <c r="H42" s="2"/>
      <c r="I42" s="2"/>
    </row>
    <row r="43" spans="1:43" x14ac:dyDescent="0.25">
      <c r="A43">
        <v>4</v>
      </c>
      <c r="B43" s="11">
        <f t="shared" si="14"/>
        <v>0.32375572252213647</v>
      </c>
      <c r="C43" s="2">
        <f>N36</f>
        <v>104.05281502505137</v>
      </c>
      <c r="D43" s="2">
        <f>O36</f>
        <v>110.77618374894138</v>
      </c>
      <c r="E43" s="2">
        <f t="shared" ref="E43" si="20">P36</f>
        <v>113.47658553265924</v>
      </c>
      <c r="F43" s="2">
        <f t="shared" si="17"/>
        <v>109.435194768884</v>
      </c>
      <c r="G43" s="2"/>
      <c r="H43" s="2"/>
      <c r="I43" s="2"/>
    </row>
    <row r="44" spans="1:43" x14ac:dyDescent="0.25">
      <c r="A44">
        <v>5</v>
      </c>
      <c r="B44" s="11">
        <f t="shared" si="14"/>
        <v>0.47888106871369007</v>
      </c>
      <c r="C44" s="2">
        <f>Q36</f>
        <v>96.734099245708549</v>
      </c>
      <c r="D44" s="2">
        <f t="shared" ref="D44:E44" si="21">R36</f>
        <v>101.64102776668396</v>
      </c>
      <c r="E44" s="2">
        <f t="shared" si="21"/>
        <v>91.735360656288776</v>
      </c>
      <c r="F44" s="2">
        <f t="shared" si="17"/>
        <v>96.703495889560429</v>
      </c>
      <c r="G44" s="2"/>
      <c r="H44" s="2"/>
      <c r="I44" s="2"/>
    </row>
    <row r="45" spans="1:43" x14ac:dyDescent="0.25">
      <c r="A45">
        <v>6</v>
      </c>
      <c r="B45" s="11">
        <f t="shared" si="14"/>
        <v>0.65663646540848197</v>
      </c>
      <c r="C45" s="2">
        <f>T36</f>
        <v>82.549276583817417</v>
      </c>
      <c r="D45" s="2">
        <f t="shared" ref="D45:E45" si="22">U36</f>
        <v>88.37926082472228</v>
      </c>
      <c r="E45" s="2">
        <f t="shared" si="22"/>
        <v>89.158447272035318</v>
      </c>
      <c r="F45" s="2">
        <f t="shared" si="17"/>
        <v>86.695661560191681</v>
      </c>
      <c r="G45" s="2"/>
      <c r="H45" s="2"/>
      <c r="I45" s="2"/>
    </row>
    <row r="46" spans="1:43" x14ac:dyDescent="0.25">
      <c r="A46">
        <v>7</v>
      </c>
      <c r="B46" s="11">
        <f t="shared" si="14"/>
        <v>0.87600195496406719</v>
      </c>
      <c r="C46" s="2">
        <f>W36</f>
        <v>71.710053060072866</v>
      </c>
      <c r="D46" s="2">
        <f t="shared" ref="D46:E46" si="23">X36</f>
        <v>73.401754958101449</v>
      </c>
      <c r="E46" s="2">
        <f t="shared" si="23"/>
        <v>73.493692828479695</v>
      </c>
      <c r="F46" s="2">
        <f t="shared" si="17"/>
        <v>72.868500282218008</v>
      </c>
    </row>
    <row r="47" spans="1:43" x14ac:dyDescent="0.25">
      <c r="A47">
        <v>8</v>
      </c>
      <c r="B47" s="11">
        <f t="shared" si="14"/>
        <v>1.0387923182615564</v>
      </c>
      <c r="C47" s="2">
        <f>Z36</f>
        <v>56.177437506214275</v>
      </c>
      <c r="D47" s="2">
        <f t="shared" ref="D47:E47" si="24">AA36</f>
        <v>55.29601296266722</v>
      </c>
      <c r="E47" s="2">
        <f t="shared" si="24"/>
        <v>55.289690810090597</v>
      </c>
      <c r="F47" s="2">
        <f t="shared" si="17"/>
        <v>55.587713759657362</v>
      </c>
    </row>
    <row r="48" spans="1:43" x14ac:dyDescent="0.25">
      <c r="A48">
        <v>9</v>
      </c>
      <c r="B48" s="11">
        <f t="shared" si="14"/>
        <v>1.1632575960293674</v>
      </c>
      <c r="C48" s="2">
        <f>AC36</f>
        <v>0</v>
      </c>
      <c r="D48" s="2">
        <f t="shared" ref="D48:E48" si="25">AD36</f>
        <v>0</v>
      </c>
      <c r="E48" s="2">
        <f t="shared" si="25"/>
        <v>0</v>
      </c>
      <c r="F48" s="2">
        <f t="shared" si="17"/>
        <v>0</v>
      </c>
    </row>
    <row r="49" spans="1:7" x14ac:dyDescent="0.25">
      <c r="C49" s="6" t="s">
        <v>62</v>
      </c>
      <c r="D49" s="6" t="s">
        <v>63</v>
      </c>
      <c r="E49" s="6" t="s">
        <v>64</v>
      </c>
      <c r="F49" s="6" t="s">
        <v>135</v>
      </c>
      <c r="G49" s="6" t="s">
        <v>136</v>
      </c>
    </row>
    <row r="50" spans="1:7" x14ac:dyDescent="0.25">
      <c r="B50" t="s">
        <v>133</v>
      </c>
      <c r="C50">
        <f>SLOPE(C42:C45,$B$42:$B$45)</f>
        <v>-68.681595130352576</v>
      </c>
      <c r="D50">
        <f t="shared" ref="D50:E50" si="26">SLOPE(D42:D45,$B$42:$B$45)</f>
        <v>-63.499984335259875</v>
      </c>
      <c r="E50">
        <f t="shared" si="26"/>
        <v>-81.589284737188976</v>
      </c>
      <c r="F50" s="19">
        <f>ABS(AVERAGE(C50:E50))</f>
        <v>71.25695473426714</v>
      </c>
      <c r="G50" s="19">
        <f>_xlfn.STDEV.S(C50:E50)/(SQRT(COUNT(C50:E50)))</f>
        <v>5.3783533748696506</v>
      </c>
    </row>
    <row r="51" spans="1:7" x14ac:dyDescent="0.25">
      <c r="B51" t="s">
        <v>134</v>
      </c>
      <c r="C51" s="22">
        <f>(CORREL($B$42:$B$45,C42:C45))^2</f>
        <v>0.98796499582855357</v>
      </c>
      <c r="D51" s="22">
        <f t="shared" ref="D51:E51" si="27">(CORREL($B$42:$B$45,D42:D45))^2</f>
        <v>0.99365159461524233</v>
      </c>
      <c r="E51" s="22">
        <f t="shared" si="27"/>
        <v>0.89908311130487051</v>
      </c>
    </row>
    <row r="60" spans="1:7" x14ac:dyDescent="0.25">
      <c r="A60">
        <v>0.191</v>
      </c>
      <c r="B60">
        <f>AVERAGE(A60:A63)</f>
        <v>0.37524999999999997</v>
      </c>
      <c r="C60">
        <f>B60*B2</f>
        <v>0.15437500489202499</v>
      </c>
      <c r="D60" t="e">
        <f>F42/(C60*G42)</f>
        <v>#DIV/0!</v>
      </c>
    </row>
    <row r="61" spans="1:7" x14ac:dyDescent="0.25">
      <c r="A61">
        <v>0.28999999999999998</v>
      </c>
    </row>
    <row r="62" spans="1:7" x14ac:dyDescent="0.25">
      <c r="A62">
        <v>0.432</v>
      </c>
    </row>
    <row r="63" spans="1:7" x14ac:dyDescent="0.25">
      <c r="A63">
        <v>0.58799999999999997</v>
      </c>
    </row>
  </sheetData>
  <mergeCells count="3">
    <mergeCell ref="B3:D3"/>
    <mergeCell ref="H3:L3"/>
    <mergeCell ref="Q3:W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EE3E-65DE-431E-B72F-2994D18300B8}">
  <dimension ref="A1:AQ51"/>
  <sheetViews>
    <sheetView topLeftCell="A12" zoomScale="85" zoomScaleNormal="85" workbookViewId="0">
      <selection activeCell="Q47" sqref="Q47"/>
    </sheetView>
  </sheetViews>
  <sheetFormatPr defaultColWidth="8.85546875" defaultRowHeight="15" x14ac:dyDescent="0.25"/>
  <cols>
    <col min="1" max="1" width="66.42578125" bestFit="1" customWidth="1"/>
    <col min="2" max="43" width="11.85546875" customWidth="1"/>
    <col min="44" max="46" width="21.7109375" bestFit="1" customWidth="1"/>
  </cols>
  <sheetData>
    <row r="1" spans="1:23" x14ac:dyDescent="0.25">
      <c r="A1" t="s">
        <v>124</v>
      </c>
      <c r="B1">
        <v>20221219</v>
      </c>
    </row>
    <row r="2" spans="1:23" x14ac:dyDescent="0.25">
      <c r="A2" t="s">
        <v>57</v>
      </c>
      <c r="B2">
        <v>0.41139241809999999</v>
      </c>
    </row>
    <row r="3" spans="1:23" x14ac:dyDescent="0.25">
      <c r="B3" s="42" t="s">
        <v>212</v>
      </c>
      <c r="C3" s="42"/>
      <c r="D3" s="42"/>
      <c r="H3" s="42" t="s">
        <v>60</v>
      </c>
      <c r="I3" s="42"/>
      <c r="J3" s="42"/>
      <c r="K3" s="42"/>
      <c r="L3" s="42"/>
      <c r="Q3" s="42" t="s">
        <v>144</v>
      </c>
      <c r="R3" s="42"/>
      <c r="S3" s="42"/>
      <c r="T3" s="42"/>
      <c r="U3" s="42"/>
      <c r="V3" s="42"/>
      <c r="W3" s="42"/>
    </row>
    <row r="4" spans="1:23" ht="30" x14ac:dyDescent="0.25">
      <c r="A4" s="4" t="s">
        <v>14</v>
      </c>
      <c r="B4" s="18" t="s">
        <v>62</v>
      </c>
      <c r="C4" s="18" t="s">
        <v>63</v>
      </c>
      <c r="D4" s="18" t="s">
        <v>64</v>
      </c>
      <c r="E4" s="3" t="s">
        <v>135</v>
      </c>
      <c r="F4" s="18" t="s">
        <v>61</v>
      </c>
      <c r="H4" s="18" t="s">
        <v>62</v>
      </c>
      <c r="I4" s="18" t="s">
        <v>63</v>
      </c>
      <c r="J4" s="18" t="s">
        <v>64</v>
      </c>
      <c r="K4" s="3" t="s">
        <v>135</v>
      </c>
      <c r="L4" s="18" t="s">
        <v>61</v>
      </c>
      <c r="N4" s="4" t="s">
        <v>14</v>
      </c>
      <c r="O4" s="3" t="s">
        <v>145</v>
      </c>
      <c r="R4" t="s">
        <v>62</v>
      </c>
      <c r="S4" t="s">
        <v>63</v>
      </c>
      <c r="T4" t="s">
        <v>64</v>
      </c>
      <c r="U4" s="20" t="s">
        <v>66</v>
      </c>
      <c r="V4" t="s">
        <v>214</v>
      </c>
      <c r="W4" t="s">
        <v>425</v>
      </c>
    </row>
    <row r="5" spans="1:23" x14ac:dyDescent="0.25">
      <c r="A5">
        <v>0</v>
      </c>
      <c r="B5">
        <v>0.05</v>
      </c>
      <c r="C5">
        <v>5.1999999999999998E-2</v>
      </c>
      <c r="D5">
        <v>5.1999999999999998E-2</v>
      </c>
      <c r="E5" s="10">
        <f>AVERAGE(B5:D5)</f>
        <v>5.1333333333333335E-2</v>
      </c>
      <c r="F5" s="11">
        <f t="shared" ref="F5:F15" si="0">_xlfn.STDEV.S(B5:D5)</f>
        <v>1.1547005383792486E-3</v>
      </c>
      <c r="H5" s="10">
        <f t="shared" ref="H5:H15" si="1">LN(B5)</f>
        <v>-2.9957322735539909</v>
      </c>
      <c r="I5" s="10">
        <f t="shared" ref="I5:I15" si="2">LN(C5)</f>
        <v>-2.9565115604007097</v>
      </c>
      <c r="J5" s="10">
        <f t="shared" ref="J5:J15" si="3">LN(D5)</f>
        <v>-2.9565115604007097</v>
      </c>
      <c r="K5" s="10">
        <f t="shared" ref="K5:K15" si="4">AVERAGE(H5:J5)</f>
        <v>-2.9695851314518031</v>
      </c>
      <c r="L5" s="11">
        <f t="shared" ref="L5:L15" si="5">_xlfn.STDEV.S(H5:J5)</f>
        <v>2.2644089296855956E-2</v>
      </c>
      <c r="N5">
        <v>0</v>
      </c>
      <c r="O5" s="11">
        <f>((AVERAGE(B5:D5))*$B$2)/0.3586</f>
        <v>5.8890530198364016E-2</v>
      </c>
      <c r="P5" s="10"/>
      <c r="Q5" t="s">
        <v>424</v>
      </c>
      <c r="R5" s="2">
        <f>SLOPE(H8:H11,$A$8:$A$11)</f>
        <v>0.36208661032972855</v>
      </c>
      <c r="S5" s="2">
        <f>SLOPE(I8:I11,$A$8:$A$11)</f>
        <v>0.3573034675575294</v>
      </c>
      <c r="T5" s="2">
        <f>SLOPE(J8:J11,$A$8:$A$11)</f>
        <v>0.35643713155029183</v>
      </c>
      <c r="U5" s="2">
        <f>AVERAGE(R5:T5)</f>
        <v>0.35860906981251661</v>
      </c>
      <c r="V5" s="10">
        <f>_xlfn.STDEV.S(R5:T5)</f>
        <v>3.0426305322857061E-3</v>
      </c>
      <c r="W5" s="10">
        <f>(_xlfn.STDEV.S(R5:T5))/(SQRT(COUNT(R5:T5)))</f>
        <v>1.7566635568597268E-3</v>
      </c>
    </row>
    <row r="6" spans="1:23" x14ac:dyDescent="0.25">
      <c r="A6">
        <v>1</v>
      </c>
      <c r="B6">
        <v>6.8000000000000005E-2</v>
      </c>
      <c r="C6">
        <v>7.0000000000000007E-2</v>
      </c>
      <c r="D6">
        <v>7.1999999999999995E-2</v>
      </c>
      <c r="E6" s="10">
        <f t="shared" ref="E6:E15" si="6">AVERAGE(B6:D6)</f>
        <v>7.0000000000000007E-2</v>
      </c>
      <c r="F6" s="11">
        <f t="shared" si="0"/>
        <v>1.9999999999999948E-3</v>
      </c>
      <c r="H6" s="10">
        <f t="shared" si="1"/>
        <v>-2.6882475738060303</v>
      </c>
      <c r="I6" s="10">
        <f t="shared" si="2"/>
        <v>-2.6592600369327779</v>
      </c>
      <c r="J6" s="10">
        <f t="shared" si="3"/>
        <v>-2.6310891599660819</v>
      </c>
      <c r="K6" s="10">
        <f t="shared" si="4"/>
        <v>-2.6595322569016298</v>
      </c>
      <c r="L6" s="11">
        <f t="shared" si="5"/>
        <v>2.8580179249932659E-2</v>
      </c>
      <c r="N6">
        <v>1</v>
      </c>
      <c r="O6" s="11">
        <f t="shared" ref="O6:O15" si="7">((AVERAGE(B6:D6))*$B$2)/0.3586</f>
        <v>8.030526845231456E-2</v>
      </c>
      <c r="P6" s="10"/>
      <c r="Q6" s="10"/>
      <c r="R6" s="11"/>
      <c r="V6" s="11"/>
    </row>
    <row r="7" spans="1:23" x14ac:dyDescent="0.25">
      <c r="A7">
        <v>2</v>
      </c>
      <c r="B7">
        <v>0.108</v>
      </c>
      <c r="C7">
        <v>0.113</v>
      </c>
      <c r="D7">
        <v>0.111</v>
      </c>
      <c r="E7" s="10">
        <f t="shared" si="6"/>
        <v>0.11066666666666668</v>
      </c>
      <c r="F7" s="11">
        <f t="shared" si="0"/>
        <v>2.5166114784235852E-3</v>
      </c>
      <c r="H7" s="10">
        <f t="shared" si="1"/>
        <v>-2.2256240518579173</v>
      </c>
      <c r="I7" s="10">
        <f t="shared" si="2"/>
        <v>-2.1803674602697964</v>
      </c>
      <c r="J7" s="10">
        <f t="shared" si="3"/>
        <v>-2.1982250776698029</v>
      </c>
      <c r="K7" s="10">
        <f t="shared" si="4"/>
        <v>-2.2014055299325057</v>
      </c>
      <c r="L7" s="11">
        <f t="shared" si="5"/>
        <v>2.2795311535269522E-2</v>
      </c>
      <c r="N7">
        <v>2</v>
      </c>
      <c r="O7" s="11">
        <f t="shared" si="7"/>
        <v>0.12695880536270684</v>
      </c>
      <c r="P7" s="10"/>
      <c r="Q7" s="10"/>
      <c r="R7" s="11"/>
      <c r="V7" s="11"/>
    </row>
    <row r="8" spans="1:23" x14ac:dyDescent="0.25">
      <c r="A8">
        <v>3</v>
      </c>
      <c r="B8">
        <v>0.182</v>
      </c>
      <c r="C8">
        <v>0.19</v>
      </c>
      <c r="D8">
        <v>0.189</v>
      </c>
      <c r="E8" s="10">
        <f t="shared" si="6"/>
        <v>0.18699999999999997</v>
      </c>
      <c r="F8" s="11">
        <f t="shared" si="0"/>
        <v>4.3588989435406778E-3</v>
      </c>
      <c r="H8" s="10">
        <f t="shared" si="1"/>
        <v>-1.7037485919053417</v>
      </c>
      <c r="I8" s="10">
        <f t="shared" si="2"/>
        <v>-1.6607312068216509</v>
      </c>
      <c r="J8" s="10">
        <f t="shared" si="3"/>
        <v>-1.6660082639224947</v>
      </c>
      <c r="K8" s="10">
        <f t="shared" si="4"/>
        <v>-1.6768293542164958</v>
      </c>
      <c r="L8" s="11">
        <f t="shared" si="5"/>
        <v>2.3461582453509582E-2</v>
      </c>
      <c r="N8">
        <v>3</v>
      </c>
      <c r="O8" s="11">
        <f t="shared" si="7"/>
        <v>0.21452978857975458</v>
      </c>
      <c r="P8" s="10"/>
      <c r="Q8" s="10"/>
      <c r="R8" s="11"/>
      <c r="V8" s="11"/>
    </row>
    <row r="9" spans="1:23" x14ac:dyDescent="0.25">
      <c r="A9">
        <v>4</v>
      </c>
      <c r="B9">
        <v>0.26600000000000001</v>
      </c>
      <c r="C9">
        <v>0.27900000000000003</v>
      </c>
      <c r="D9">
        <v>0.27800000000000002</v>
      </c>
      <c r="E9" s="10">
        <f t="shared" si="6"/>
        <v>0.27433333333333337</v>
      </c>
      <c r="F9" s="11">
        <f t="shared" si="0"/>
        <v>7.234178138070241E-3</v>
      </c>
      <c r="H9" s="10">
        <f t="shared" si="1"/>
        <v>-1.3242589702004379</v>
      </c>
      <c r="I9" s="10">
        <f t="shared" si="2"/>
        <v>-1.2765434971607714</v>
      </c>
      <c r="J9" s="10">
        <f t="shared" si="3"/>
        <v>-1.2801341652914999</v>
      </c>
      <c r="K9" s="10">
        <f t="shared" si="4"/>
        <v>-1.2936455442175696</v>
      </c>
      <c r="L9" s="11">
        <f t="shared" si="5"/>
        <v>2.6572723086139817E-2</v>
      </c>
      <c r="N9">
        <v>4</v>
      </c>
      <c r="O9" s="11">
        <f t="shared" si="7"/>
        <v>0.31472017112502332</v>
      </c>
      <c r="P9" s="10"/>
      <c r="Q9" s="10"/>
      <c r="R9" s="11"/>
      <c r="V9" s="11"/>
    </row>
    <row r="10" spans="1:23" x14ac:dyDescent="0.25">
      <c r="A10">
        <v>5</v>
      </c>
      <c r="B10">
        <v>0.39800000000000002</v>
      </c>
      <c r="C10">
        <v>0.41199999999999998</v>
      </c>
      <c r="D10">
        <v>0.40500000000000003</v>
      </c>
      <c r="E10" s="10">
        <f t="shared" si="6"/>
        <v>0.40500000000000003</v>
      </c>
      <c r="F10" s="11">
        <f t="shared" si="0"/>
        <v>6.9999999999999785E-3</v>
      </c>
      <c r="H10" s="10">
        <f t="shared" si="1"/>
        <v>-0.92130327369769927</v>
      </c>
      <c r="I10" s="10">
        <f t="shared" si="2"/>
        <v>-0.88673192963261072</v>
      </c>
      <c r="J10" s="10">
        <f t="shared" si="3"/>
        <v>-0.90386821187559785</v>
      </c>
      <c r="K10" s="10">
        <f t="shared" si="4"/>
        <v>-0.90396780506863594</v>
      </c>
      <c r="L10" s="11">
        <f t="shared" si="5"/>
        <v>1.7285887212398383E-2</v>
      </c>
      <c r="N10">
        <v>5</v>
      </c>
      <c r="O10" s="11">
        <f t="shared" si="7"/>
        <v>0.46462333890267715</v>
      </c>
      <c r="P10" s="10"/>
      <c r="Q10" s="10"/>
      <c r="R10" s="11"/>
      <c r="V10" s="11"/>
    </row>
    <row r="11" spans="1:23" x14ac:dyDescent="0.25">
      <c r="A11">
        <v>6</v>
      </c>
      <c r="B11">
        <v>0.53200000000000003</v>
      </c>
      <c r="C11">
        <v>0.54900000000000004</v>
      </c>
      <c r="D11">
        <v>0.54700000000000004</v>
      </c>
      <c r="E11" s="10">
        <f t="shared" si="6"/>
        <v>0.54266666666666674</v>
      </c>
      <c r="F11" s="11">
        <f t="shared" si="0"/>
        <v>9.2915732431775779E-3</v>
      </c>
      <c r="H11" s="10">
        <f t="shared" si="1"/>
        <v>-0.63111178964049264</v>
      </c>
      <c r="I11" s="10">
        <f t="shared" si="2"/>
        <v>-0.59965683747260634</v>
      </c>
      <c r="J11" s="10">
        <f t="shared" si="3"/>
        <v>-0.60330647656015579</v>
      </c>
      <c r="K11" s="10">
        <f t="shared" si="4"/>
        <v>-0.61135836789108489</v>
      </c>
      <c r="L11" s="11">
        <f t="shared" si="5"/>
        <v>1.7204017538785015E-2</v>
      </c>
      <c r="N11">
        <v>6</v>
      </c>
      <c r="O11" s="11">
        <f t="shared" si="7"/>
        <v>0.62255703352556258</v>
      </c>
      <c r="P11" s="10"/>
      <c r="Q11" s="10"/>
      <c r="R11" s="11"/>
      <c r="V11" s="11"/>
    </row>
    <row r="12" spans="1:23" x14ac:dyDescent="0.25">
      <c r="A12">
        <v>7</v>
      </c>
      <c r="B12">
        <v>0.72699999999999998</v>
      </c>
      <c r="C12">
        <v>0.73099999999999998</v>
      </c>
      <c r="D12">
        <v>0.72899999999999998</v>
      </c>
      <c r="E12" s="10">
        <f t="shared" si="6"/>
        <v>0.72899999999999998</v>
      </c>
      <c r="F12" s="11">
        <f t="shared" si="0"/>
        <v>2.0000000000000018E-3</v>
      </c>
      <c r="H12" s="10">
        <f t="shared" si="1"/>
        <v>-0.31882880144861769</v>
      </c>
      <c r="I12" s="10">
        <f t="shared" si="2"/>
        <v>-0.3133418192323586</v>
      </c>
      <c r="J12" s="10">
        <f t="shared" si="3"/>
        <v>-0.31608154697347896</v>
      </c>
      <c r="K12" s="10">
        <f t="shared" si="4"/>
        <v>-0.31608405588481842</v>
      </c>
      <c r="L12" s="11">
        <f t="shared" si="5"/>
        <v>2.7434919685253275E-3</v>
      </c>
      <c r="N12">
        <v>7</v>
      </c>
      <c r="O12" s="11">
        <f t="shared" si="7"/>
        <v>0.83632201002481876</v>
      </c>
      <c r="P12" s="10"/>
      <c r="Q12" s="10"/>
      <c r="R12" s="11"/>
      <c r="V12" s="11"/>
    </row>
    <row r="13" spans="1:23" x14ac:dyDescent="0.25">
      <c r="A13">
        <v>8</v>
      </c>
      <c r="B13">
        <v>0.89200000000000002</v>
      </c>
      <c r="C13">
        <v>0.89600000000000002</v>
      </c>
      <c r="D13">
        <v>0.89200000000000002</v>
      </c>
      <c r="E13" s="10">
        <f t="shared" si="6"/>
        <v>0.89333333333333342</v>
      </c>
      <c r="F13" s="11">
        <f t="shared" si="0"/>
        <v>2.3094010767585054E-3</v>
      </c>
      <c r="H13" s="10">
        <f t="shared" si="1"/>
        <v>-0.11428914640212766</v>
      </c>
      <c r="I13" s="10">
        <f t="shared" si="2"/>
        <v>-0.10981486600720657</v>
      </c>
      <c r="J13" s="10">
        <f t="shared" si="3"/>
        <v>-0.11428914640212766</v>
      </c>
      <c r="K13" s="10">
        <f t="shared" si="4"/>
        <v>-0.11279771960382062</v>
      </c>
      <c r="L13" s="11">
        <f t="shared" si="5"/>
        <v>2.583226990437558E-3</v>
      </c>
      <c r="N13">
        <v>8</v>
      </c>
      <c r="O13" s="11">
        <f t="shared" si="7"/>
        <v>1.0248481878676337</v>
      </c>
      <c r="P13" s="10"/>
      <c r="Q13" s="10"/>
      <c r="R13" s="11"/>
      <c r="V13" s="11"/>
    </row>
    <row r="14" spans="1:23" x14ac:dyDescent="0.25">
      <c r="A14">
        <v>9</v>
      </c>
      <c r="B14">
        <v>0.999</v>
      </c>
      <c r="C14">
        <v>1.0049999999999999</v>
      </c>
      <c r="D14">
        <v>1.0009999999999999</v>
      </c>
      <c r="E14" s="10">
        <f t="shared" si="6"/>
        <v>1.0016666666666667</v>
      </c>
      <c r="F14" s="11">
        <f t="shared" si="0"/>
        <v>3.0550504633038477E-3</v>
      </c>
      <c r="H14" s="10">
        <f t="shared" si="1"/>
        <v>-1.0005003335835344E-3</v>
      </c>
      <c r="I14" s="10">
        <f t="shared" si="2"/>
        <v>4.9875415110389679E-3</v>
      </c>
      <c r="J14" s="10">
        <f t="shared" si="3"/>
        <v>9.9950033308342321E-4</v>
      </c>
      <c r="K14" s="10">
        <f t="shared" si="4"/>
        <v>1.6621805035129521E-3</v>
      </c>
      <c r="L14" s="11">
        <f t="shared" si="5"/>
        <v>3.0485275198770798E-3</v>
      </c>
      <c r="N14">
        <v>9</v>
      </c>
      <c r="O14" s="11">
        <f t="shared" si="7"/>
        <v>1.1491301509485965</v>
      </c>
      <c r="P14" s="10"/>
      <c r="Q14" s="10"/>
      <c r="R14" s="11"/>
      <c r="V14" s="11"/>
    </row>
    <row r="15" spans="1:23" x14ac:dyDescent="0.25">
      <c r="A15">
        <v>10</v>
      </c>
      <c r="B15">
        <v>1.0429999999999999</v>
      </c>
      <c r="C15">
        <v>1.0609999999999999</v>
      </c>
      <c r="D15">
        <v>1.0649999999999999</v>
      </c>
      <c r="E15" s="10">
        <f t="shared" si="6"/>
        <v>1.0563333333333333</v>
      </c>
      <c r="F15" s="11">
        <f t="shared" si="0"/>
        <v>1.171893055416464E-2</v>
      </c>
      <c r="H15" s="10">
        <f t="shared" si="1"/>
        <v>4.2101176018635326E-2</v>
      </c>
      <c r="I15" s="10">
        <f t="shared" si="2"/>
        <v>5.9211859631846032E-2</v>
      </c>
      <c r="J15" s="10">
        <f t="shared" si="3"/>
        <v>6.2974799161388387E-2</v>
      </c>
      <c r="K15" s="10">
        <f t="shared" si="4"/>
        <v>5.4762611603956589E-2</v>
      </c>
      <c r="L15" s="11">
        <f t="shared" si="5"/>
        <v>1.1125371534770299E-2</v>
      </c>
      <c r="N15">
        <v>10</v>
      </c>
      <c r="O15" s="11">
        <f t="shared" si="7"/>
        <v>1.2118447415494515</v>
      </c>
      <c r="P15" s="10"/>
      <c r="Q15" s="10"/>
      <c r="R15" s="11"/>
      <c r="U15" s="11"/>
      <c r="V15" s="11"/>
    </row>
    <row r="16" spans="1:23" x14ac:dyDescent="0.25">
      <c r="F16" s="10"/>
      <c r="G16" s="10"/>
      <c r="H16" s="10"/>
      <c r="I16" s="10"/>
      <c r="J16" s="11"/>
      <c r="N16" s="10"/>
      <c r="O16" s="10"/>
      <c r="P16" s="10"/>
      <c r="Q16" s="10"/>
      <c r="R16" s="11"/>
      <c r="U16" s="11"/>
      <c r="V16" s="11"/>
    </row>
    <row r="17" spans="1:43" x14ac:dyDescent="0.25">
      <c r="F17" s="10"/>
      <c r="G17" s="10"/>
      <c r="H17" s="10"/>
      <c r="I17" s="10"/>
      <c r="J17" s="11"/>
      <c r="N17" s="10"/>
      <c r="O17" s="10"/>
      <c r="P17" s="10"/>
      <c r="Q17" s="10"/>
      <c r="R17" s="11"/>
      <c r="U17" s="11"/>
      <c r="V17" s="11"/>
    </row>
    <row r="18" spans="1:43" x14ac:dyDescent="0.25">
      <c r="F18" s="10"/>
      <c r="G18" s="10"/>
      <c r="H18" s="10"/>
      <c r="I18" s="10"/>
      <c r="J18" s="11"/>
      <c r="N18" s="10"/>
      <c r="O18" s="10"/>
      <c r="P18" s="10"/>
      <c r="Q18" s="10"/>
      <c r="R18" s="11"/>
      <c r="U18" s="11"/>
      <c r="V18" s="11"/>
    </row>
    <row r="20" spans="1:43" x14ac:dyDescent="0.25">
      <c r="A20" t="s">
        <v>7</v>
      </c>
      <c r="B20" t="s">
        <v>244</v>
      </c>
      <c r="C20" t="s">
        <v>245</v>
      </c>
      <c r="D20" t="s">
        <v>246</v>
      </c>
      <c r="E20" t="s">
        <v>247</v>
      </c>
      <c r="F20" t="s">
        <v>248</v>
      </c>
      <c r="G20" t="s">
        <v>249</v>
      </c>
      <c r="H20" t="s">
        <v>250</v>
      </c>
      <c r="I20" t="s">
        <v>251</v>
      </c>
      <c r="J20" t="s">
        <v>252</v>
      </c>
      <c r="K20" t="s">
        <v>253</v>
      </c>
      <c r="L20" t="s">
        <v>254</v>
      </c>
      <c r="M20" t="s">
        <v>255</v>
      </c>
      <c r="N20" t="s">
        <v>256</v>
      </c>
      <c r="O20" t="s">
        <v>257</v>
      </c>
      <c r="P20" t="s">
        <v>258</v>
      </c>
      <c r="Q20" t="s">
        <v>259</v>
      </c>
      <c r="R20" t="s">
        <v>260</v>
      </c>
      <c r="S20" t="s">
        <v>261</v>
      </c>
      <c r="T20" t="s">
        <v>262</v>
      </c>
      <c r="U20" t="s">
        <v>263</v>
      </c>
      <c r="V20" t="s">
        <v>264</v>
      </c>
      <c r="W20" t="s">
        <v>265</v>
      </c>
      <c r="X20" t="s">
        <v>266</v>
      </c>
      <c r="Y20" t="s">
        <v>267</v>
      </c>
      <c r="Z20" t="s">
        <v>268</v>
      </c>
      <c r="AA20" t="s">
        <v>269</v>
      </c>
      <c r="AB20" t="s">
        <v>270</v>
      </c>
    </row>
    <row r="21" spans="1:43" x14ac:dyDescent="0.25">
      <c r="A21" t="s">
        <v>0</v>
      </c>
      <c r="B21" s="1">
        <v>83684904</v>
      </c>
      <c r="C21" s="1">
        <v>80432200</v>
      </c>
      <c r="D21" s="1">
        <v>83564800</v>
      </c>
      <c r="E21" s="1">
        <v>75564376</v>
      </c>
      <c r="F21" s="1">
        <v>83289600</v>
      </c>
      <c r="G21" s="1">
        <v>83856560</v>
      </c>
      <c r="H21" s="1">
        <v>80867792</v>
      </c>
      <c r="I21" s="1">
        <v>79170176</v>
      </c>
      <c r="J21" s="1">
        <v>75910864</v>
      </c>
      <c r="K21" s="1">
        <v>74792232</v>
      </c>
      <c r="L21" s="1">
        <v>76797192</v>
      </c>
      <c r="M21" s="1">
        <v>76799400</v>
      </c>
      <c r="N21" s="1">
        <v>78150128</v>
      </c>
      <c r="O21" s="1">
        <v>73921000</v>
      </c>
      <c r="P21" s="1">
        <v>81156280</v>
      </c>
      <c r="Q21" s="1">
        <v>96510272</v>
      </c>
      <c r="R21" s="1">
        <v>95525048</v>
      </c>
      <c r="S21" s="1">
        <v>86660944</v>
      </c>
      <c r="T21" s="1">
        <v>87445368</v>
      </c>
      <c r="U21" s="1">
        <v>79972832</v>
      </c>
      <c r="V21" s="1">
        <v>84833408</v>
      </c>
      <c r="W21" s="1">
        <v>76964664</v>
      </c>
      <c r="X21" s="1">
        <v>78977960</v>
      </c>
      <c r="Y21" s="1">
        <v>81591328</v>
      </c>
      <c r="Z21" s="1">
        <v>71453928</v>
      </c>
      <c r="AA21" s="1">
        <v>67071548</v>
      </c>
      <c r="AB21" s="1">
        <v>68976448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t="s">
        <v>1</v>
      </c>
      <c r="B22" s="1">
        <v>5511306</v>
      </c>
      <c r="C22" s="1">
        <v>5140869.5</v>
      </c>
      <c r="D22" s="1">
        <v>5268436</v>
      </c>
      <c r="E22" s="1">
        <v>4869046</v>
      </c>
      <c r="F22" s="1">
        <v>5592716.5</v>
      </c>
      <c r="G22" s="1">
        <v>5439151.5</v>
      </c>
      <c r="H22" s="1">
        <v>5266326.5</v>
      </c>
      <c r="I22" s="1">
        <v>5340169.5</v>
      </c>
      <c r="J22" s="1">
        <v>4702236</v>
      </c>
      <c r="K22" s="1">
        <v>4755984</v>
      </c>
      <c r="L22" s="1">
        <v>4883422.5</v>
      </c>
      <c r="M22" s="1">
        <v>4855927.5</v>
      </c>
      <c r="N22" s="1">
        <v>4599828</v>
      </c>
      <c r="O22" s="1">
        <v>5211372</v>
      </c>
      <c r="P22" s="1">
        <v>5192154.5</v>
      </c>
      <c r="Q22" s="1">
        <v>6282313.5</v>
      </c>
      <c r="R22" s="1">
        <v>6121958</v>
      </c>
      <c r="S22" s="1">
        <v>5817666.5</v>
      </c>
      <c r="T22" s="1">
        <v>5517551.5</v>
      </c>
      <c r="U22" s="1">
        <v>4972805.5</v>
      </c>
      <c r="V22" s="1">
        <v>5560964.5</v>
      </c>
      <c r="W22" s="1">
        <v>5006362.5</v>
      </c>
      <c r="X22" s="1">
        <v>4653318.5</v>
      </c>
      <c r="Y22" s="1">
        <v>5074825.5</v>
      </c>
      <c r="Z22" s="1">
        <v>4438739</v>
      </c>
      <c r="AA22" s="1">
        <v>4350284.5</v>
      </c>
      <c r="AB22" s="1">
        <v>4432519.5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t="s">
        <v>2</v>
      </c>
      <c r="B23" s="1">
        <v>9647.34</v>
      </c>
      <c r="C23" s="1">
        <v>0</v>
      </c>
      <c r="D23" s="1">
        <v>13700.04</v>
      </c>
      <c r="E23" s="1">
        <v>0</v>
      </c>
      <c r="F23" s="1">
        <v>12697.78</v>
      </c>
      <c r="G23" s="1">
        <v>4910.82</v>
      </c>
      <c r="H23" s="1">
        <v>0</v>
      </c>
      <c r="I23" s="1">
        <v>9882.07</v>
      </c>
      <c r="J23" s="1">
        <v>10785.96</v>
      </c>
      <c r="K23" s="1">
        <v>16042.44</v>
      </c>
      <c r="L23" s="1">
        <v>0</v>
      </c>
      <c r="M23" s="1">
        <v>0</v>
      </c>
      <c r="N23" s="1">
        <v>6823.61</v>
      </c>
      <c r="O23" s="1">
        <v>7413.03</v>
      </c>
      <c r="P23" s="1">
        <v>0</v>
      </c>
      <c r="Q23" s="1">
        <v>8730.02</v>
      </c>
      <c r="R23" s="1">
        <v>0</v>
      </c>
      <c r="S23" s="1">
        <v>9177.7900000000009</v>
      </c>
      <c r="T23" s="1">
        <v>14202.83</v>
      </c>
      <c r="U23" s="1">
        <v>10623.63</v>
      </c>
      <c r="V23" s="1">
        <v>8747.5400000000009</v>
      </c>
      <c r="W23" s="1">
        <v>12178.6</v>
      </c>
      <c r="X23" s="1">
        <v>10936.25</v>
      </c>
      <c r="Y23" s="1">
        <v>15943.55</v>
      </c>
      <c r="Z23" s="1">
        <v>24193.95</v>
      </c>
      <c r="AA23" s="1">
        <v>8546.99</v>
      </c>
      <c r="AB23" s="1">
        <v>22098.45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t="s">
        <v>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12292.33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t="s">
        <v>4</v>
      </c>
      <c r="B25" s="1">
        <v>139801.35999999999</v>
      </c>
      <c r="C25" s="1">
        <v>136806.01999999999</v>
      </c>
      <c r="D25" s="1">
        <v>156838.35999999999</v>
      </c>
      <c r="E25" s="1">
        <v>166574.22</v>
      </c>
      <c r="F25" s="1">
        <v>175070.95</v>
      </c>
      <c r="G25" s="1">
        <v>144491.76999999999</v>
      </c>
      <c r="H25" s="1">
        <v>137462.73000000001</v>
      </c>
      <c r="I25" s="1">
        <v>175840.75</v>
      </c>
      <c r="J25" s="1">
        <v>155171.70000000001</v>
      </c>
      <c r="K25" s="1">
        <v>177981.83</v>
      </c>
      <c r="L25" s="1">
        <v>155317.29999999999</v>
      </c>
      <c r="M25" s="1">
        <v>150006.69</v>
      </c>
      <c r="N25" s="1">
        <v>144452.69</v>
      </c>
      <c r="O25" s="1">
        <v>159510.94</v>
      </c>
      <c r="P25" s="1">
        <v>112586.46</v>
      </c>
      <c r="Q25" s="1">
        <v>162177.12</v>
      </c>
      <c r="R25" s="1">
        <v>164788.07999999999</v>
      </c>
      <c r="S25" s="1">
        <v>142412.73000000001</v>
      </c>
      <c r="T25" s="1">
        <v>125585.32</v>
      </c>
      <c r="U25" s="1">
        <v>148843.72</v>
      </c>
      <c r="V25" s="1">
        <v>131438.44</v>
      </c>
      <c r="W25" s="1">
        <v>157780.32999999999</v>
      </c>
      <c r="X25" s="1">
        <v>178948.83</v>
      </c>
      <c r="Y25" s="1">
        <v>153439.67000000001</v>
      </c>
      <c r="Z25" s="1">
        <v>168121.33</v>
      </c>
      <c r="AA25" s="1">
        <v>164568.39000000001</v>
      </c>
      <c r="AB25" s="1">
        <v>184441.64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t="s">
        <v>5</v>
      </c>
      <c r="B26" s="1">
        <v>3297312</v>
      </c>
      <c r="C26" s="1">
        <v>3292981.25</v>
      </c>
      <c r="D26" s="1">
        <v>3668483.75</v>
      </c>
      <c r="E26" s="1">
        <v>3348926.25</v>
      </c>
      <c r="F26" s="1">
        <v>3701123.25</v>
      </c>
      <c r="G26" s="1">
        <v>3358629.75</v>
      </c>
      <c r="H26" s="1">
        <v>3176725.75</v>
      </c>
      <c r="I26" s="1">
        <v>3751329.25</v>
      </c>
      <c r="J26" s="1">
        <v>3561153</v>
      </c>
      <c r="K26" s="1">
        <v>3564945.25</v>
      </c>
      <c r="L26" s="1">
        <v>3626341</v>
      </c>
      <c r="M26" s="1">
        <v>3695530.75</v>
      </c>
      <c r="N26" s="1">
        <v>3579122</v>
      </c>
      <c r="O26" s="1">
        <v>3663726.75</v>
      </c>
      <c r="P26" s="1">
        <v>3725527</v>
      </c>
      <c r="Q26" s="1">
        <v>3438347.75</v>
      </c>
      <c r="R26" s="1">
        <v>3507272.75</v>
      </c>
      <c r="S26" s="1">
        <v>3276804.75</v>
      </c>
      <c r="T26" s="1">
        <v>3208404.75</v>
      </c>
      <c r="U26" s="1">
        <v>3268241.75</v>
      </c>
      <c r="V26" s="1">
        <v>3350669.25</v>
      </c>
      <c r="W26" s="1">
        <v>3574143.75</v>
      </c>
      <c r="X26" s="1">
        <v>3715870</v>
      </c>
      <c r="Y26" s="1">
        <v>3836150.75</v>
      </c>
      <c r="Z26" s="1">
        <v>4114228</v>
      </c>
      <c r="AA26" s="1">
        <v>4041548.75</v>
      </c>
      <c r="AB26" s="1">
        <v>4163075.25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t="s">
        <v>6</v>
      </c>
      <c r="B27" s="1">
        <v>44374064</v>
      </c>
      <c r="C27" s="1">
        <v>43082748</v>
      </c>
      <c r="D27" s="1">
        <v>47390084</v>
      </c>
      <c r="E27" s="1">
        <v>43091172</v>
      </c>
      <c r="F27" s="1">
        <v>48723692</v>
      </c>
      <c r="G27" s="1">
        <v>45949068</v>
      </c>
      <c r="H27" s="1">
        <v>46145472</v>
      </c>
      <c r="I27" s="1">
        <v>48732660</v>
      </c>
      <c r="J27" s="1">
        <v>48601804</v>
      </c>
      <c r="K27" s="1">
        <v>46374448</v>
      </c>
      <c r="L27" s="1">
        <v>50150080</v>
      </c>
      <c r="M27" s="1">
        <v>48878172</v>
      </c>
      <c r="N27" s="1">
        <v>48524544</v>
      </c>
      <c r="O27" s="1">
        <v>54255052</v>
      </c>
      <c r="P27" s="1">
        <v>48855508</v>
      </c>
      <c r="Q27" s="1">
        <v>46246672</v>
      </c>
      <c r="R27" s="1">
        <v>46270484</v>
      </c>
      <c r="S27" s="1">
        <v>42629840</v>
      </c>
      <c r="T27" s="1">
        <v>40323048</v>
      </c>
      <c r="U27" s="1">
        <v>42401632</v>
      </c>
      <c r="V27" s="1">
        <v>43444220</v>
      </c>
      <c r="W27" s="1">
        <v>46561056</v>
      </c>
      <c r="X27" s="1">
        <v>48857584</v>
      </c>
      <c r="Y27" s="1">
        <v>50650684</v>
      </c>
      <c r="Z27" s="1">
        <v>56568748</v>
      </c>
      <c r="AA27" s="1">
        <v>57414364</v>
      </c>
      <c r="AB27" s="1">
        <v>55246060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t="s">
        <v>8</v>
      </c>
      <c r="B28" s="2">
        <f>SUM(B21:B22)/SUM(B21:B27)</f>
        <v>0.65098628207285247</v>
      </c>
      <c r="C28" s="2">
        <f t="shared" ref="C28:AB28" si="8">SUM(C21:C22)/SUM(C21:C27)</f>
        <v>0.64786067830031868</v>
      </c>
      <c r="D28" s="2">
        <f t="shared" si="8"/>
        <v>0.63424068622859309</v>
      </c>
      <c r="E28" s="2">
        <f t="shared" si="8"/>
        <v>0.63313414820384939</v>
      </c>
      <c r="F28" s="2">
        <f t="shared" si="8"/>
        <v>0.62816621799428962</v>
      </c>
      <c r="G28" s="2">
        <f t="shared" si="8"/>
        <v>0.6435596534286423</v>
      </c>
      <c r="H28" s="2">
        <f t="shared" si="8"/>
        <v>0.63523650677738486</v>
      </c>
      <c r="I28" s="2">
        <f t="shared" si="8"/>
        <v>0.61605416266045965</v>
      </c>
      <c r="J28" s="2">
        <f t="shared" si="8"/>
        <v>0.60637790247250645</v>
      </c>
      <c r="K28" s="2">
        <f t="shared" si="8"/>
        <v>0.61341158220166747</v>
      </c>
      <c r="L28" s="2">
        <f t="shared" si="8"/>
        <v>0.60230954491632416</v>
      </c>
      <c r="M28" s="2">
        <f t="shared" si="8"/>
        <v>0.60764929827900882</v>
      </c>
      <c r="N28" s="2">
        <f t="shared" si="8"/>
        <v>0.61294039728927374</v>
      </c>
      <c r="O28" s="2">
        <f t="shared" si="8"/>
        <v>0.57669058658251371</v>
      </c>
      <c r="P28" s="2">
        <f t="shared" si="8"/>
        <v>0.62102386147714161</v>
      </c>
      <c r="Q28" s="2">
        <f t="shared" si="8"/>
        <v>0.67339395511026245</v>
      </c>
      <c r="R28" s="2">
        <f t="shared" si="8"/>
        <v>0.67054098018927422</v>
      </c>
      <c r="S28" s="2">
        <f t="shared" si="8"/>
        <v>0.6674787859975867</v>
      </c>
      <c r="T28" s="2">
        <f t="shared" si="8"/>
        <v>0.68037831262583748</v>
      </c>
      <c r="U28" s="2">
        <f t="shared" si="8"/>
        <v>0.64955573619187734</v>
      </c>
      <c r="V28" s="2">
        <f t="shared" si="8"/>
        <v>0.6582300736963721</v>
      </c>
      <c r="W28" s="2">
        <f t="shared" si="8"/>
        <v>0.61969602758391251</v>
      </c>
      <c r="X28" s="2">
        <f t="shared" si="8"/>
        <v>0.61315673582901808</v>
      </c>
      <c r="Y28" s="2">
        <f t="shared" si="8"/>
        <v>0.61325148027534726</v>
      </c>
      <c r="Z28" s="2">
        <f t="shared" si="8"/>
        <v>0.55490092821761472</v>
      </c>
      <c r="AA28" s="2">
        <f t="shared" si="8"/>
        <v>0.53680098093176842</v>
      </c>
      <c r="AB28" s="2">
        <f t="shared" si="8"/>
        <v>0.55184487575204522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x14ac:dyDescent="0.25">
      <c r="A29" t="s">
        <v>121</v>
      </c>
      <c r="B29" s="10">
        <v>0.5</v>
      </c>
    </row>
    <row r="30" spans="1:43" x14ac:dyDescent="0.25">
      <c r="A30" t="s">
        <v>122</v>
      </c>
      <c r="B30" s="2">
        <f>(B28/(1-B28))*$B$29</f>
        <v>0.93260844579286439</v>
      </c>
      <c r="C30" s="2">
        <f t="shared" ref="C30:AB30" si="9">(C28/(1-C28))*$B$29</f>
        <v>0.91989255158053684</v>
      </c>
      <c r="D30" s="2">
        <f t="shared" si="9"/>
        <v>0.867019187684968</v>
      </c>
      <c r="E30" s="2">
        <f t="shared" si="9"/>
        <v>0.86289599468588729</v>
      </c>
      <c r="F30" s="2">
        <f t="shared" si="9"/>
        <v>0.84468685793675768</v>
      </c>
      <c r="G30" s="2">
        <f t="shared" si="9"/>
        <v>0.90275926900408376</v>
      </c>
      <c r="H30" s="2">
        <f t="shared" si="9"/>
        <v>0.87075121082594198</v>
      </c>
      <c r="I30" s="2">
        <f t="shared" si="9"/>
        <v>0.80226701626622354</v>
      </c>
      <c r="J30" s="2">
        <f t="shared" si="9"/>
        <v>0.77025388854109289</v>
      </c>
      <c r="K30" s="2">
        <f t="shared" si="9"/>
        <v>0.79336518369474196</v>
      </c>
      <c r="L30" s="2">
        <f>(L28/(1-L28))*$B$29</f>
        <v>0.75725924172557213</v>
      </c>
      <c r="M30" s="2">
        <f>(M28/(1-M28))*$B$29</f>
        <v>0.77437009238627663</v>
      </c>
      <c r="N30" s="2">
        <f t="shared" si="9"/>
        <v>0.79179071258873046</v>
      </c>
      <c r="O30" s="2">
        <f t="shared" si="9"/>
        <v>0.68116910267449704</v>
      </c>
      <c r="P30" s="2">
        <f t="shared" si="9"/>
        <v>0.81934427837292956</v>
      </c>
      <c r="Q30" s="2">
        <f t="shared" si="9"/>
        <v>1.0308963438469132</v>
      </c>
      <c r="R30" s="2">
        <f t="shared" si="9"/>
        <v>1.0176394329323568</v>
      </c>
      <c r="S30" s="2">
        <f t="shared" si="9"/>
        <v>1.0036634624952716</v>
      </c>
      <c r="T30" s="2">
        <f t="shared" si="9"/>
        <v>1.0643494160478513</v>
      </c>
      <c r="U30" s="2">
        <f t="shared" si="9"/>
        <v>0.92676040568255103</v>
      </c>
      <c r="V30" s="2">
        <f t="shared" si="9"/>
        <v>0.96297248973217364</v>
      </c>
      <c r="W30" s="2">
        <f t="shared" si="9"/>
        <v>0.81473777889691368</v>
      </c>
      <c r="X30" s="2">
        <f t="shared" si="9"/>
        <v>0.79251313467100626</v>
      </c>
      <c r="Y30" s="2">
        <f t="shared" si="9"/>
        <v>0.79282977050817705</v>
      </c>
      <c r="Z30" s="2">
        <f t="shared" si="9"/>
        <v>0.62334541161311718</v>
      </c>
      <c r="AA30" s="2">
        <f t="shared" si="9"/>
        <v>0.57944960895167064</v>
      </c>
      <c r="AB30" s="2">
        <f t="shared" si="9"/>
        <v>0.61568511202241782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x14ac:dyDescent="0.25">
      <c r="A31" t="s">
        <v>12</v>
      </c>
      <c r="B31" s="2">
        <v>186.11</v>
      </c>
    </row>
    <row r="32" spans="1:43" x14ac:dyDescent="0.25">
      <c r="A32" t="s">
        <v>11</v>
      </c>
      <c r="B32">
        <v>180.15600000000001</v>
      </c>
    </row>
    <row r="33" spans="1:43" x14ac:dyDescent="0.25">
      <c r="A33" t="s">
        <v>123</v>
      </c>
      <c r="B33" s="2">
        <f>B30*($B$32/$B$31)</f>
        <v>0.90277259233925788</v>
      </c>
      <c r="C33" s="2">
        <f t="shared" ref="C33:AB33" si="10">C30*($B$32/$B$31)</f>
        <v>0.890463502888309</v>
      </c>
      <c r="D33" s="2">
        <f t="shared" si="10"/>
        <v>0.83928165480937666</v>
      </c>
      <c r="E33" s="2">
        <f t="shared" si="10"/>
        <v>0.8352903703112714</v>
      </c>
      <c r="F33" s="2">
        <f t="shared" si="10"/>
        <v>0.81766377722021666</v>
      </c>
      <c r="G33" s="2">
        <f t="shared" si="10"/>
        <v>0.87387834542313536</v>
      </c>
      <c r="H33" s="2">
        <f t="shared" si="10"/>
        <v>0.84289428369006714</v>
      </c>
      <c r="I33" s="2">
        <f t="shared" si="10"/>
        <v>0.77660102403125986</v>
      </c>
      <c r="J33" s="2">
        <f t="shared" si="10"/>
        <v>0.74561205493530236</v>
      </c>
      <c r="K33" s="2">
        <f t="shared" si="10"/>
        <v>0.76798397739890356</v>
      </c>
      <c r="L33" s="2">
        <f t="shared" si="10"/>
        <v>0.73303313068783071</v>
      </c>
      <c r="M33" s="2">
        <f>M30*($B$32/$B$31)</f>
        <v>0.74959657387535361</v>
      </c>
      <c r="N33" s="2">
        <f t="shared" si="10"/>
        <v>0.76645987650924363</v>
      </c>
      <c r="O33" s="2">
        <f t="shared" si="10"/>
        <v>0.6593772546420219</v>
      </c>
      <c r="P33" s="2">
        <f t="shared" si="10"/>
        <v>0.79313195322418728</v>
      </c>
      <c r="Q33" s="2">
        <f t="shared" si="10"/>
        <v>0.99791608039376978</v>
      </c>
      <c r="R33" s="2">
        <f t="shared" si="10"/>
        <v>0.98508328235646481</v>
      </c>
      <c r="S33" s="2">
        <f t="shared" si="10"/>
        <v>0.97155442882863985</v>
      </c>
      <c r="T33" s="2">
        <f t="shared" si="10"/>
        <v>1.030298927502642</v>
      </c>
      <c r="U33" s="2">
        <f t="shared" si="10"/>
        <v>0.89711164175028568</v>
      </c>
      <c r="V33" s="2">
        <f t="shared" si="10"/>
        <v>0.93216523486212177</v>
      </c>
      <c r="W33" s="2">
        <f t="shared" si="10"/>
        <v>0.78867282410914186</v>
      </c>
      <c r="X33" s="2">
        <f t="shared" si="10"/>
        <v>0.76715918698506158</v>
      </c>
      <c r="Y33" s="2">
        <f t="shared" si="10"/>
        <v>0.76746569306147516</v>
      </c>
      <c r="Z33" s="2">
        <f t="shared" si="10"/>
        <v>0.60340344943620838</v>
      </c>
      <c r="AA33" s="2">
        <f t="shared" si="10"/>
        <v>0.56091195395356064</v>
      </c>
      <c r="AB33" s="2">
        <f t="shared" si="10"/>
        <v>0.59598821686911341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x14ac:dyDescent="0.25">
      <c r="A34" t="s">
        <v>149</v>
      </c>
      <c r="B34" s="21">
        <v>150</v>
      </c>
    </row>
    <row r="35" spans="1:43" x14ac:dyDescent="0.25">
      <c r="A35" t="s">
        <v>149</v>
      </c>
      <c r="B35" s="21">
        <v>100</v>
      </c>
    </row>
    <row r="36" spans="1:43" x14ac:dyDescent="0.25">
      <c r="A36" t="s">
        <v>131</v>
      </c>
      <c r="B36" s="2">
        <f>B33*$B$34</f>
        <v>135.41588885088868</v>
      </c>
      <c r="C36" s="2">
        <f t="shared" ref="C36:O36" si="11">C33*$B$34</f>
        <v>133.56952543324635</v>
      </c>
      <c r="D36" s="2">
        <f>D33*$B$34</f>
        <v>125.8922482214065</v>
      </c>
      <c r="E36" s="2">
        <f t="shared" si="11"/>
        <v>125.29355554669071</v>
      </c>
      <c r="F36" s="2">
        <f t="shared" si="11"/>
        <v>122.6495665830325</v>
      </c>
      <c r="G36" s="2">
        <f t="shared" si="11"/>
        <v>131.08175181347031</v>
      </c>
      <c r="H36" s="2">
        <f t="shared" si="11"/>
        <v>126.43414255351007</v>
      </c>
      <c r="I36" s="2">
        <f t="shared" si="11"/>
        <v>116.49015360468898</v>
      </c>
      <c r="J36" s="2">
        <f t="shared" si="11"/>
        <v>111.84180824029535</v>
      </c>
      <c r="K36" s="2">
        <f t="shared" si="11"/>
        <v>115.19759660983553</v>
      </c>
      <c r="L36" s="2">
        <f t="shared" si="11"/>
        <v>109.9549696031746</v>
      </c>
      <c r="M36" s="2">
        <f>M33*$B$34</f>
        <v>112.43948608130304</v>
      </c>
      <c r="N36" s="2">
        <f t="shared" si="11"/>
        <v>114.96898147638655</v>
      </c>
      <c r="O36" s="2">
        <f t="shared" si="11"/>
        <v>98.906588196303289</v>
      </c>
      <c r="P36" s="2">
        <f>P33*$B$34</f>
        <v>118.9697929836281</v>
      </c>
      <c r="Q36" s="2">
        <f>Q33*$B$35</f>
        <v>99.791608039376982</v>
      </c>
      <c r="R36" s="2">
        <f t="shared" ref="R36:AB36" si="12">R33*$B$35</f>
        <v>98.508328235646474</v>
      </c>
      <c r="S36" s="2">
        <f t="shared" si="12"/>
        <v>97.15544288286398</v>
      </c>
      <c r="T36" s="2">
        <f>T33*$B$35</f>
        <v>103.0298927502642</v>
      </c>
      <c r="U36" s="2">
        <f t="shared" si="12"/>
        <v>89.711164175028571</v>
      </c>
      <c r="V36" s="2">
        <f t="shared" si="12"/>
        <v>93.216523486212182</v>
      </c>
      <c r="W36" s="2">
        <f t="shared" si="12"/>
        <v>78.867282410914186</v>
      </c>
      <c r="X36" s="2">
        <f t="shared" si="12"/>
        <v>76.715918698506158</v>
      </c>
      <c r="Y36" s="2">
        <f t="shared" si="12"/>
        <v>76.746569306147521</v>
      </c>
      <c r="Z36" s="2">
        <f t="shared" si="12"/>
        <v>60.340344943620835</v>
      </c>
      <c r="AA36" s="2">
        <f t="shared" si="12"/>
        <v>56.091195395356067</v>
      </c>
      <c r="AB36" s="2">
        <f t="shared" si="12"/>
        <v>59.598821686911343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8" spans="1:43" ht="30" x14ac:dyDescent="0.25">
      <c r="A38" s="4" t="s">
        <v>14</v>
      </c>
      <c r="B38" s="6" t="s">
        <v>145</v>
      </c>
      <c r="C38" s="6" t="s">
        <v>146</v>
      </c>
      <c r="D38" s="6" t="s">
        <v>147</v>
      </c>
      <c r="E38" s="6" t="s">
        <v>148</v>
      </c>
      <c r="F38" s="6" t="s">
        <v>423</v>
      </c>
      <c r="G38" s="3"/>
      <c r="H38" s="3"/>
      <c r="I38" s="3"/>
    </row>
    <row r="39" spans="1:43" x14ac:dyDescent="0.25">
      <c r="A39">
        <v>0</v>
      </c>
      <c r="B39" s="11">
        <f>O5</f>
        <v>5.8890530198364016E-2</v>
      </c>
      <c r="C39" s="2">
        <f>B36</f>
        <v>135.41588885088868</v>
      </c>
      <c r="D39" s="2">
        <f t="shared" ref="D39:E39" si="13">C36</f>
        <v>133.56952543324635</v>
      </c>
      <c r="E39" s="2">
        <f t="shared" si="13"/>
        <v>125.8922482214065</v>
      </c>
      <c r="F39" s="2">
        <f>AVERAGE(C39:E39)</f>
        <v>131.62588750184716</v>
      </c>
      <c r="G39" s="2"/>
      <c r="H39" s="2"/>
      <c r="I39" s="2"/>
    </row>
    <row r="40" spans="1:43" x14ac:dyDescent="0.25">
      <c r="A40">
        <v>1</v>
      </c>
      <c r="B40" s="11">
        <f>O6</f>
        <v>8.030526845231456E-2</v>
      </c>
      <c r="C40" s="2">
        <f>E36</f>
        <v>125.29355554669071</v>
      </c>
      <c r="D40" s="2">
        <f t="shared" ref="D40:E40" si="14">F36</f>
        <v>122.6495665830325</v>
      </c>
      <c r="E40" s="2">
        <f t="shared" si="14"/>
        <v>131.08175181347031</v>
      </c>
      <c r="F40" s="2">
        <f t="shared" ref="F40:F47" si="15">AVERAGE(C40:E40)</f>
        <v>126.34162464773117</v>
      </c>
      <c r="G40" s="2"/>
      <c r="H40" s="2"/>
      <c r="I40" s="2"/>
    </row>
    <row r="41" spans="1:43" x14ac:dyDescent="0.25">
      <c r="A41">
        <v>2</v>
      </c>
      <c r="B41" s="11">
        <f>O7</f>
        <v>0.12695880536270684</v>
      </c>
      <c r="C41" s="2">
        <f>H36</f>
        <v>126.43414255351007</v>
      </c>
      <c r="D41" s="2">
        <f t="shared" ref="D41:E41" si="16">I36</f>
        <v>116.49015360468898</v>
      </c>
      <c r="E41" s="2">
        <f t="shared" si="16"/>
        <v>111.84180824029535</v>
      </c>
      <c r="F41" s="2">
        <f t="shared" si="15"/>
        <v>118.25536813283146</v>
      </c>
      <c r="G41" s="2"/>
      <c r="H41" s="2"/>
      <c r="I41" s="2"/>
    </row>
    <row r="42" spans="1:43" x14ac:dyDescent="0.25">
      <c r="A42">
        <v>3</v>
      </c>
      <c r="B42" s="11">
        <f t="shared" ref="B42:B48" si="17">O8</f>
        <v>0.21452978857975458</v>
      </c>
      <c r="C42" s="2">
        <f>K36</f>
        <v>115.19759660983553</v>
      </c>
      <c r="D42" s="2">
        <f t="shared" ref="D42:E42" si="18">L36</f>
        <v>109.9549696031746</v>
      </c>
      <c r="E42" s="2">
        <f t="shared" si="18"/>
        <v>112.43948608130304</v>
      </c>
      <c r="F42" s="2">
        <f t="shared" si="15"/>
        <v>112.53068409810437</v>
      </c>
      <c r="G42" s="2"/>
      <c r="H42" s="2"/>
      <c r="I42" s="2"/>
    </row>
    <row r="43" spans="1:43" x14ac:dyDescent="0.25">
      <c r="A43">
        <v>4</v>
      </c>
      <c r="B43" s="11">
        <f t="shared" si="17"/>
        <v>0.31472017112502332</v>
      </c>
      <c r="C43" s="2">
        <f>N36</f>
        <v>114.96898147638655</v>
      </c>
      <c r="D43" s="2">
        <f>O36</f>
        <v>98.906588196303289</v>
      </c>
      <c r="E43" s="2">
        <f t="shared" ref="E43" si="19">P36</f>
        <v>118.9697929836281</v>
      </c>
      <c r="F43" s="2">
        <f t="shared" si="15"/>
        <v>110.94845421877265</v>
      </c>
      <c r="G43" s="2"/>
      <c r="H43" s="2"/>
      <c r="I43" s="2"/>
    </row>
    <row r="44" spans="1:43" x14ac:dyDescent="0.25">
      <c r="A44">
        <v>5</v>
      </c>
      <c r="B44" s="11">
        <f t="shared" si="17"/>
        <v>0.46462333890267715</v>
      </c>
      <c r="C44" s="2">
        <f>Q36</f>
        <v>99.791608039376982</v>
      </c>
      <c r="D44" s="2">
        <f t="shared" ref="D44:E44" si="20">R36</f>
        <v>98.508328235646474</v>
      </c>
      <c r="E44" s="2">
        <f t="shared" si="20"/>
        <v>97.15544288286398</v>
      </c>
      <c r="F44" s="2">
        <f t="shared" si="15"/>
        <v>98.485126385962488</v>
      </c>
      <c r="G44" s="2"/>
      <c r="H44" s="2"/>
      <c r="I44" s="2"/>
    </row>
    <row r="45" spans="1:43" x14ac:dyDescent="0.25">
      <c r="A45">
        <v>6</v>
      </c>
      <c r="B45" s="11">
        <f t="shared" si="17"/>
        <v>0.62255703352556258</v>
      </c>
      <c r="C45" s="35"/>
      <c r="D45" s="2">
        <f t="shared" ref="D45:E45" si="21">U36</f>
        <v>89.711164175028571</v>
      </c>
      <c r="E45" s="2">
        <f t="shared" si="21"/>
        <v>93.216523486212182</v>
      </c>
      <c r="F45" s="2">
        <f t="shared" si="15"/>
        <v>91.463843830620377</v>
      </c>
      <c r="G45" s="2"/>
      <c r="H45" s="2"/>
      <c r="I45" s="2"/>
    </row>
    <row r="46" spans="1:43" x14ac:dyDescent="0.25">
      <c r="A46">
        <v>7</v>
      </c>
      <c r="B46" s="11">
        <f t="shared" si="17"/>
        <v>0.83632201002481876</v>
      </c>
      <c r="C46" s="2">
        <f>W36</f>
        <v>78.867282410914186</v>
      </c>
      <c r="D46" s="2">
        <f t="shared" ref="D46:E46" si="22">X36</f>
        <v>76.715918698506158</v>
      </c>
      <c r="E46" s="2">
        <f t="shared" si="22"/>
        <v>76.746569306147521</v>
      </c>
      <c r="F46" s="2">
        <f t="shared" si="15"/>
        <v>77.443256805189279</v>
      </c>
    </row>
    <row r="47" spans="1:43" x14ac:dyDescent="0.25">
      <c r="A47">
        <v>8</v>
      </c>
      <c r="B47" s="11">
        <f t="shared" si="17"/>
        <v>1.0248481878676337</v>
      </c>
      <c r="C47" s="2">
        <f>Z36</f>
        <v>60.340344943620835</v>
      </c>
      <c r="D47" s="2">
        <f t="shared" ref="D47:E47" si="23">AA36</f>
        <v>56.091195395356067</v>
      </c>
      <c r="E47" s="2">
        <f t="shared" si="23"/>
        <v>59.598821686911343</v>
      </c>
      <c r="F47" s="2">
        <f t="shared" si="15"/>
        <v>58.676787341962751</v>
      </c>
    </row>
    <row r="48" spans="1:43" x14ac:dyDescent="0.25">
      <c r="A48">
        <v>9</v>
      </c>
      <c r="B48" s="11">
        <f t="shared" si="17"/>
        <v>1.1491301509485965</v>
      </c>
      <c r="C48" s="2">
        <f>AC36</f>
        <v>0</v>
      </c>
      <c r="D48" s="2">
        <f t="shared" ref="D48:E48" si="24">AD36</f>
        <v>0</v>
      </c>
      <c r="E48" s="2">
        <f t="shared" si="24"/>
        <v>0</v>
      </c>
    </row>
    <row r="49" spans="2:7" x14ac:dyDescent="0.25">
      <c r="C49" s="6" t="s">
        <v>62</v>
      </c>
      <c r="D49" s="6" t="s">
        <v>63</v>
      </c>
      <c r="E49" s="6" t="s">
        <v>64</v>
      </c>
      <c r="F49" s="6" t="s">
        <v>135</v>
      </c>
      <c r="G49" s="6" t="s">
        <v>136</v>
      </c>
    </row>
    <row r="50" spans="2:7" x14ac:dyDescent="0.25">
      <c r="B50" t="s">
        <v>133</v>
      </c>
      <c r="C50">
        <f>SLOPE(C42:C46,$B$42:$B$46)</f>
        <v>-62.056883978322865</v>
      </c>
      <c r="D50">
        <f t="shared" ref="D50:E50" si="25">SLOPE(D42:D46,$B$42:$B$46)</f>
        <v>-48.725416704202772</v>
      </c>
      <c r="E50">
        <f t="shared" si="25"/>
        <v>-63.86309442087758</v>
      </c>
      <c r="F50" s="19">
        <f>ABS(AVERAGE(C50:E50))</f>
        <v>58.215131701134403</v>
      </c>
      <c r="G50" s="19">
        <f>_xlfn.STDEV.S(C50:E50)/(SQRT(COUNT(C50:E50)))</f>
        <v>4.7734200556463646</v>
      </c>
    </row>
    <row r="51" spans="2:7" x14ac:dyDescent="0.25">
      <c r="B51" t="s">
        <v>134</v>
      </c>
      <c r="C51" s="22">
        <f>(CORREL($B$42:$B$46,C42:C46))^2</f>
        <v>0.97336039692077603</v>
      </c>
      <c r="D51" s="22">
        <f t="shared" ref="D51:E51" si="26">(CORREL($B$42:$B$46,D42:D46))^2</f>
        <v>0.94763489442501869</v>
      </c>
      <c r="E51" s="22">
        <f t="shared" si="26"/>
        <v>0.90014453821064633</v>
      </c>
    </row>
  </sheetData>
  <mergeCells count="3">
    <mergeCell ref="B3:D3"/>
    <mergeCell ref="H3:L3"/>
    <mergeCell ref="Q3:W3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A3CC-6FE2-4C40-8F98-EBBF1D15C041}">
  <dimension ref="A1:AQ51"/>
  <sheetViews>
    <sheetView topLeftCell="B7" zoomScale="70" zoomScaleNormal="70" workbookViewId="0">
      <selection activeCell="F50" sqref="F50"/>
    </sheetView>
  </sheetViews>
  <sheetFormatPr defaultColWidth="8.85546875" defaultRowHeight="15" x14ac:dyDescent="0.25"/>
  <cols>
    <col min="1" max="1" width="66.42578125" bestFit="1" customWidth="1"/>
    <col min="2" max="43" width="11.85546875" customWidth="1"/>
    <col min="44" max="46" width="21.7109375" bestFit="1" customWidth="1"/>
  </cols>
  <sheetData>
    <row r="1" spans="1:23" x14ac:dyDescent="0.25">
      <c r="A1" t="s">
        <v>124</v>
      </c>
      <c r="B1">
        <v>20221219</v>
      </c>
    </row>
    <row r="2" spans="1:23" x14ac:dyDescent="0.25">
      <c r="A2" t="s">
        <v>57</v>
      </c>
      <c r="B2">
        <v>0.41139241809999999</v>
      </c>
    </row>
    <row r="3" spans="1:23" x14ac:dyDescent="0.25">
      <c r="B3" s="42" t="s">
        <v>213</v>
      </c>
      <c r="C3" s="42"/>
      <c r="D3" s="42"/>
      <c r="H3" s="42" t="s">
        <v>60</v>
      </c>
      <c r="I3" s="42"/>
      <c r="J3" s="42"/>
      <c r="K3" s="42"/>
      <c r="L3" s="42"/>
      <c r="Q3" s="42" t="s">
        <v>144</v>
      </c>
      <c r="R3" s="42"/>
      <c r="S3" s="42"/>
      <c r="T3" s="42"/>
      <c r="U3" s="42"/>
      <c r="V3" s="42"/>
      <c r="W3" s="42"/>
    </row>
    <row r="4" spans="1:23" ht="30" x14ac:dyDescent="0.25">
      <c r="A4" s="4" t="s">
        <v>14</v>
      </c>
      <c r="B4" s="18" t="s">
        <v>62</v>
      </c>
      <c r="C4" s="18" t="s">
        <v>63</v>
      </c>
      <c r="D4" s="18" t="s">
        <v>64</v>
      </c>
      <c r="E4" s="3" t="s">
        <v>135</v>
      </c>
      <c r="F4" s="18" t="s">
        <v>61</v>
      </c>
      <c r="H4" s="18" t="s">
        <v>62</v>
      </c>
      <c r="I4" s="18" t="s">
        <v>63</v>
      </c>
      <c r="J4" s="18" t="s">
        <v>64</v>
      </c>
      <c r="K4" s="3" t="s">
        <v>135</v>
      </c>
      <c r="L4" s="18" t="s">
        <v>61</v>
      </c>
      <c r="N4" s="4" t="s">
        <v>14</v>
      </c>
      <c r="O4" s="3" t="s">
        <v>145</v>
      </c>
      <c r="R4" t="s">
        <v>62</v>
      </c>
      <c r="S4" t="s">
        <v>63</v>
      </c>
      <c r="T4" t="s">
        <v>64</v>
      </c>
      <c r="U4" s="20" t="s">
        <v>66</v>
      </c>
      <c r="V4" t="s">
        <v>214</v>
      </c>
      <c r="W4" t="s">
        <v>425</v>
      </c>
    </row>
    <row r="5" spans="1:23" x14ac:dyDescent="0.25">
      <c r="A5">
        <v>0</v>
      </c>
      <c r="B5">
        <v>0.05</v>
      </c>
      <c r="C5">
        <v>6.9000000000000006E-2</v>
      </c>
      <c r="D5">
        <v>5.2999999999999999E-2</v>
      </c>
      <c r="E5" s="10">
        <f t="shared" ref="E5:E15" si="0">AVERAGE(B5:D5)</f>
        <v>5.733333333333334E-2</v>
      </c>
      <c r="F5" s="11">
        <f t="shared" ref="F5:F15" si="1">_xlfn.STDEV.S(B5:D5)</f>
        <v>1.0214368964029693E-2</v>
      </c>
      <c r="H5" s="10">
        <f t="shared" ref="H5:H15" si="2">LN(B5)</f>
        <v>-2.9957322735539909</v>
      </c>
      <c r="I5" s="10">
        <f t="shared" ref="I5:I15" si="3">LN(C5)</f>
        <v>-2.6736487743848776</v>
      </c>
      <c r="J5" s="10">
        <f t="shared" ref="J5:J15" si="4">LN(D5)</f>
        <v>-2.9374633654300153</v>
      </c>
      <c r="K5" s="10">
        <f t="shared" ref="K5:K15" si="5">AVERAGE(H5:J5)</f>
        <v>-2.8689481377896278</v>
      </c>
      <c r="L5" s="11">
        <f t="shared" ref="L5:L15" si="6">_xlfn.STDEV.S(H5:J5)</f>
        <v>0.17162516547177931</v>
      </c>
      <c r="N5">
        <v>0</v>
      </c>
      <c r="O5" s="11">
        <f>((AVERAGE(B5:D5))*$B$2)/0.3761</f>
        <v>6.2713370480545969E-2</v>
      </c>
      <c r="P5" s="10"/>
      <c r="Q5" t="s">
        <v>424</v>
      </c>
      <c r="R5" s="2">
        <f>SLOPE(H8:H11,$A$8:$A$11)</f>
        <v>0.38274224642511695</v>
      </c>
      <c r="S5" s="2">
        <f>SLOPE(I8:I11,$A$8:$A$11)</f>
        <v>0.36232389867526887</v>
      </c>
      <c r="T5" s="2">
        <f>SLOPE(J8:J11,$A$8:$A$11)</f>
        <v>0.38317110823195144</v>
      </c>
      <c r="U5" s="2">
        <f>AVERAGE(R5:T5)</f>
        <v>0.37607908444411242</v>
      </c>
      <c r="V5" s="10">
        <f>_xlfn.STDEV.S(R5:T5)</f>
        <v>1.1914270110413286E-2</v>
      </c>
      <c r="W5" s="10">
        <f>(_xlfn.STDEV.S(R5:T5))/(SQRT(COUNT(R5:T5)))</f>
        <v>6.8787070554450231E-3</v>
      </c>
    </row>
    <row r="6" spans="1:23" x14ac:dyDescent="0.25">
      <c r="A6">
        <v>1</v>
      </c>
      <c r="B6">
        <v>7.3999999999999996E-2</v>
      </c>
      <c r="C6">
        <v>0.10299999999999999</v>
      </c>
      <c r="D6">
        <v>7.8E-2</v>
      </c>
      <c r="E6" s="10">
        <f t="shared" si="0"/>
        <v>8.5000000000000006E-2</v>
      </c>
      <c r="F6" s="11">
        <f t="shared" si="1"/>
        <v>1.5716233645501679E-2</v>
      </c>
      <c r="H6" s="10">
        <f t="shared" si="2"/>
        <v>-2.6036901857779675</v>
      </c>
      <c r="I6" s="10">
        <f t="shared" si="3"/>
        <v>-2.2730262907525014</v>
      </c>
      <c r="J6" s="10">
        <f t="shared" si="4"/>
        <v>-2.5510464522925451</v>
      </c>
      <c r="K6" s="10">
        <f t="shared" si="5"/>
        <v>-2.4759209762743377</v>
      </c>
      <c r="L6" s="11">
        <f t="shared" si="6"/>
        <v>0.17767253791336121</v>
      </c>
      <c r="N6">
        <v>1</v>
      </c>
      <c r="O6" s="11">
        <f t="shared" ref="O6:O15" si="7">((AVERAGE(B6:D6))*$B$2)/0.3761</f>
        <v>9.2976217863600108E-2</v>
      </c>
      <c r="P6" s="10"/>
      <c r="Q6" s="10"/>
      <c r="R6" s="11"/>
      <c r="V6" s="11"/>
    </row>
    <row r="7" spans="1:23" x14ac:dyDescent="0.25">
      <c r="A7">
        <v>2</v>
      </c>
      <c r="B7">
        <v>0.115</v>
      </c>
      <c r="C7">
        <v>0.156</v>
      </c>
      <c r="D7">
        <v>0.122</v>
      </c>
      <c r="E7" s="10">
        <f t="shared" si="0"/>
        <v>0.13100000000000001</v>
      </c>
      <c r="F7" s="11">
        <f t="shared" si="1"/>
        <v>2.193171219946128E-2</v>
      </c>
      <c r="H7" s="10">
        <f t="shared" si="2"/>
        <v>-2.1628231506188871</v>
      </c>
      <c r="I7" s="10">
        <f t="shared" si="3"/>
        <v>-1.8578992717325999</v>
      </c>
      <c r="J7" s="10">
        <f t="shared" si="4"/>
        <v>-2.1037342342488805</v>
      </c>
      <c r="K7" s="10">
        <f t="shared" si="5"/>
        <v>-2.0414855522001223</v>
      </c>
      <c r="L7" s="11">
        <f t="shared" si="6"/>
        <v>0.16171214175617829</v>
      </c>
      <c r="N7">
        <v>2</v>
      </c>
      <c r="O7" s="11">
        <f t="shared" si="7"/>
        <v>0.14329275929566604</v>
      </c>
      <c r="P7" s="10"/>
      <c r="Q7" s="10"/>
      <c r="R7" s="11"/>
      <c r="V7" s="11"/>
    </row>
    <row r="8" spans="1:23" x14ac:dyDescent="0.25">
      <c r="A8">
        <v>3</v>
      </c>
      <c r="B8">
        <v>0.186</v>
      </c>
      <c r="C8">
        <v>0.255</v>
      </c>
      <c r="D8">
        <v>0.19900000000000001</v>
      </c>
      <c r="E8" s="10">
        <f t="shared" si="0"/>
        <v>0.21333333333333335</v>
      </c>
      <c r="F8" s="11">
        <f t="shared" si="1"/>
        <v>3.6665151483845478E-2</v>
      </c>
      <c r="H8" s="10">
        <f t="shared" si="2"/>
        <v>-1.6820086052689358</v>
      </c>
      <c r="I8" s="10">
        <f t="shared" si="3"/>
        <v>-1.3664917338237108</v>
      </c>
      <c r="J8" s="10">
        <f t="shared" si="4"/>
        <v>-1.6144504542576446</v>
      </c>
      <c r="K8" s="10">
        <f t="shared" si="5"/>
        <v>-1.5543169311167635</v>
      </c>
      <c r="L8" s="11">
        <f t="shared" si="6"/>
        <v>0.16613173837544348</v>
      </c>
      <c r="N8">
        <v>3</v>
      </c>
      <c r="O8" s="11">
        <f t="shared" si="7"/>
        <v>0.23335207620668261</v>
      </c>
      <c r="P8" s="10"/>
      <c r="Q8" s="10"/>
      <c r="R8" s="11"/>
      <c r="V8" s="11"/>
    </row>
    <row r="9" spans="1:23" x14ac:dyDescent="0.25">
      <c r="A9">
        <v>4</v>
      </c>
      <c r="B9">
        <v>0.29199999999999998</v>
      </c>
      <c r="C9">
        <v>0.4</v>
      </c>
      <c r="D9">
        <v>0.314</v>
      </c>
      <c r="E9" s="10">
        <f t="shared" si="0"/>
        <v>0.33533333333333332</v>
      </c>
      <c r="F9" s="11">
        <f t="shared" si="1"/>
        <v>5.7073052602198894E-2</v>
      </c>
      <c r="H9" s="10">
        <f t="shared" si="2"/>
        <v>-1.2310014767138553</v>
      </c>
      <c r="I9" s="10">
        <f t="shared" si="3"/>
        <v>-0.916290731874155</v>
      </c>
      <c r="J9" s="10">
        <f t="shared" si="4"/>
        <v>-1.1583622930738837</v>
      </c>
      <c r="K9" s="10">
        <f t="shared" si="5"/>
        <v>-1.101884833887298</v>
      </c>
      <c r="L9" s="11">
        <f t="shared" si="6"/>
        <v>0.164781645751337</v>
      </c>
      <c r="N9">
        <v>4</v>
      </c>
      <c r="O9" s="11">
        <f t="shared" si="7"/>
        <v>0.36680029478737924</v>
      </c>
      <c r="P9" s="10"/>
      <c r="Q9" s="10"/>
      <c r="R9" s="11"/>
      <c r="V9" s="11"/>
    </row>
    <row r="10" spans="1:23" x14ac:dyDescent="0.25">
      <c r="A10">
        <v>5</v>
      </c>
      <c r="B10">
        <v>0.42899999999999999</v>
      </c>
      <c r="C10">
        <v>0.57499999999999996</v>
      </c>
      <c r="D10">
        <v>0.46100000000000002</v>
      </c>
      <c r="E10" s="10">
        <f t="shared" si="0"/>
        <v>0.48833333333333334</v>
      </c>
      <c r="F10" s="11">
        <f t="shared" si="1"/>
        <v>7.6741991981791186E-2</v>
      </c>
      <c r="H10" s="10">
        <f t="shared" si="2"/>
        <v>-0.84629836005412007</v>
      </c>
      <c r="I10" s="10">
        <f t="shared" si="3"/>
        <v>-0.55338523818478669</v>
      </c>
      <c r="J10" s="10">
        <f t="shared" si="4"/>
        <v>-0.77435723598548845</v>
      </c>
      <c r="K10" s="10">
        <f t="shared" si="5"/>
        <v>-0.7246802780747984</v>
      </c>
      <c r="L10" s="11">
        <f t="shared" si="6"/>
        <v>0.15264460144811937</v>
      </c>
      <c r="N10">
        <v>5</v>
      </c>
      <c r="O10" s="11">
        <f t="shared" si="7"/>
        <v>0.53415748694185938</v>
      </c>
      <c r="P10" s="10"/>
      <c r="Q10" s="10"/>
      <c r="R10" s="11"/>
      <c r="V10" s="11"/>
    </row>
    <row r="11" spans="1:23" x14ac:dyDescent="0.25">
      <c r="A11">
        <v>6</v>
      </c>
      <c r="B11">
        <v>0.58599999999999997</v>
      </c>
      <c r="C11">
        <v>0.75600000000000001</v>
      </c>
      <c r="D11">
        <v>0.628</v>
      </c>
      <c r="E11" s="10">
        <f t="shared" si="0"/>
        <v>0.65666666666666673</v>
      </c>
      <c r="F11" s="11">
        <f t="shared" si="1"/>
        <v>8.8551303397145176E-2</v>
      </c>
      <c r="H11" s="10">
        <f t="shared" si="2"/>
        <v>-0.53443548940512453</v>
      </c>
      <c r="I11" s="10">
        <f t="shared" si="3"/>
        <v>-0.27971390280260405</v>
      </c>
      <c r="J11" s="10">
        <f t="shared" si="4"/>
        <v>-0.46521511251393838</v>
      </c>
      <c r="K11" s="10">
        <f t="shared" si="5"/>
        <v>-0.4264548349072223</v>
      </c>
      <c r="L11" s="11">
        <f t="shared" si="6"/>
        <v>0.13171006419571235</v>
      </c>
      <c r="N11">
        <v>6</v>
      </c>
      <c r="O11" s="11">
        <f t="shared" si="7"/>
        <v>0.71828685957369498</v>
      </c>
      <c r="P11" s="10"/>
      <c r="Q11" s="10"/>
      <c r="R11" s="11"/>
      <c r="V11" s="11"/>
    </row>
    <row r="12" spans="1:23" x14ac:dyDescent="0.25">
      <c r="A12">
        <v>7</v>
      </c>
      <c r="B12">
        <v>0.79200000000000004</v>
      </c>
      <c r="C12">
        <v>0.92500000000000004</v>
      </c>
      <c r="D12">
        <v>0.83899999999999997</v>
      </c>
      <c r="E12" s="10">
        <f t="shared" si="0"/>
        <v>0.85199999999999998</v>
      </c>
      <c r="F12" s="11">
        <f t="shared" si="1"/>
        <v>6.7446274915668999E-2</v>
      </c>
      <c r="H12" s="10">
        <f t="shared" si="2"/>
        <v>-0.23319388716771114</v>
      </c>
      <c r="I12" s="10">
        <f t="shared" si="3"/>
        <v>-7.7961541469711806E-2</v>
      </c>
      <c r="J12" s="10">
        <f t="shared" si="4"/>
        <v>-0.17554457251493091</v>
      </c>
      <c r="K12" s="10">
        <f t="shared" si="5"/>
        <v>-0.1622333337174513</v>
      </c>
      <c r="L12" s="11">
        <f t="shared" si="6"/>
        <v>7.8467586279102733E-2</v>
      </c>
      <c r="N12">
        <v>7</v>
      </c>
      <c r="O12" s="11">
        <f t="shared" si="7"/>
        <v>0.93194985435043864</v>
      </c>
      <c r="P12" s="10"/>
      <c r="Q12" s="10"/>
      <c r="R12" s="11"/>
      <c r="V12" s="11"/>
    </row>
    <row r="13" spans="1:23" x14ac:dyDescent="0.25">
      <c r="A13">
        <v>8</v>
      </c>
      <c r="B13">
        <v>0.93300000000000005</v>
      </c>
      <c r="C13">
        <v>1.0209999999999999</v>
      </c>
      <c r="D13">
        <v>0.96899999999999997</v>
      </c>
      <c r="E13" s="10">
        <f t="shared" si="0"/>
        <v>0.97433333333333338</v>
      </c>
      <c r="F13" s="11">
        <f t="shared" si="1"/>
        <v>4.4241760061432087E-2</v>
      </c>
      <c r="H13" s="10">
        <f t="shared" si="2"/>
        <v>-6.9350078134793172E-2</v>
      </c>
      <c r="I13" s="10">
        <f t="shared" si="3"/>
        <v>2.0782539182528412E-2</v>
      </c>
      <c r="J13" s="10">
        <f t="shared" si="4"/>
        <v>-3.1490667091370848E-2</v>
      </c>
      <c r="K13" s="10">
        <f t="shared" si="5"/>
        <v>-2.6686068681211872E-2</v>
      </c>
      <c r="L13" s="11">
        <f t="shared" si="6"/>
        <v>4.525798604146964E-2</v>
      </c>
      <c r="N13">
        <v>8</v>
      </c>
      <c r="O13" s="11">
        <f t="shared" si="7"/>
        <v>1.0657626855502085</v>
      </c>
      <c r="P13" s="10"/>
      <c r="Q13" s="10"/>
      <c r="R13" s="11"/>
      <c r="V13" s="11"/>
    </row>
    <row r="14" spans="1:23" x14ac:dyDescent="0.25">
      <c r="A14">
        <v>9</v>
      </c>
      <c r="B14">
        <v>1.0269999999999999</v>
      </c>
      <c r="C14">
        <v>1.1000000000000001</v>
      </c>
      <c r="D14">
        <v>1.0820000000000001</v>
      </c>
      <c r="E14" s="10">
        <f t="shared" si="0"/>
        <v>1.0696666666666665</v>
      </c>
      <c r="F14" s="11">
        <f t="shared" si="1"/>
        <v>3.8030689361794913E-2</v>
      </c>
      <c r="H14" s="10">
        <f t="shared" si="2"/>
        <v>2.6641930946421092E-2</v>
      </c>
      <c r="I14" s="10">
        <f t="shared" si="3"/>
        <v>9.5310179804324935E-2</v>
      </c>
      <c r="J14" s="10">
        <f t="shared" si="4"/>
        <v>7.8811180424289848E-2</v>
      </c>
      <c r="K14" s="10">
        <f t="shared" si="5"/>
        <v>6.69210970583453E-2</v>
      </c>
      <c r="L14" s="11">
        <f t="shared" si="6"/>
        <v>3.5844980989527479E-2</v>
      </c>
      <c r="N14">
        <v>9</v>
      </c>
      <c r="O14" s="11">
        <f t="shared" si="7"/>
        <v>1.1700418946050695</v>
      </c>
      <c r="P14" s="10"/>
      <c r="Q14" s="10"/>
      <c r="R14" s="11"/>
      <c r="V14" s="11"/>
    </row>
    <row r="15" spans="1:23" x14ac:dyDescent="0.25">
      <c r="A15">
        <v>10</v>
      </c>
      <c r="B15">
        <v>1.1000000000000001</v>
      </c>
      <c r="C15">
        <v>1.0449999999999999</v>
      </c>
      <c r="D15">
        <v>1.1040000000000001</v>
      </c>
      <c r="E15" s="10">
        <f t="shared" si="0"/>
        <v>1.083</v>
      </c>
      <c r="F15" s="11">
        <f t="shared" si="1"/>
        <v>3.2969683043669165E-2</v>
      </c>
      <c r="H15" s="10">
        <f t="shared" si="2"/>
        <v>9.5310179804324935E-2</v>
      </c>
      <c r="I15" s="10">
        <f t="shared" si="3"/>
        <v>4.401688541677426E-2</v>
      </c>
      <c r="J15" s="10">
        <f t="shared" si="4"/>
        <v>9.8939947854903648E-2</v>
      </c>
      <c r="K15" s="10">
        <f t="shared" si="5"/>
        <v>7.9422337692000952E-2</v>
      </c>
      <c r="L15" s="11">
        <f t="shared" si="6"/>
        <v>3.0715685604187071E-2</v>
      </c>
      <c r="N15">
        <v>10</v>
      </c>
      <c r="O15" s="11">
        <f t="shared" si="7"/>
        <v>1.1846263993679873</v>
      </c>
      <c r="P15" s="10"/>
      <c r="Q15" s="10"/>
      <c r="R15" s="11"/>
      <c r="U15" s="11"/>
      <c r="V15" s="11"/>
    </row>
    <row r="16" spans="1:23" x14ac:dyDescent="0.25">
      <c r="F16" s="10"/>
      <c r="G16" s="10"/>
      <c r="H16" s="10"/>
      <c r="I16" s="10"/>
      <c r="J16" s="11"/>
      <c r="N16" s="10"/>
      <c r="O16" s="10"/>
      <c r="P16" s="10"/>
      <c r="Q16" s="10"/>
      <c r="R16" s="11"/>
      <c r="U16" s="11"/>
      <c r="V16" s="11"/>
    </row>
    <row r="17" spans="1:43" x14ac:dyDescent="0.25">
      <c r="F17" s="10"/>
      <c r="G17" s="10"/>
      <c r="H17" s="10"/>
      <c r="I17" s="10"/>
      <c r="J17" s="11"/>
      <c r="N17" s="10"/>
      <c r="O17" s="10"/>
      <c r="P17" s="10"/>
      <c r="Q17" s="10"/>
      <c r="R17" s="11"/>
      <c r="U17" s="11"/>
      <c r="V17" s="11"/>
    </row>
    <row r="18" spans="1:43" x14ac:dyDescent="0.25">
      <c r="F18" s="10"/>
      <c r="G18" s="10"/>
      <c r="H18" s="10"/>
      <c r="I18" s="10"/>
      <c r="J18" s="11"/>
      <c r="N18" s="10"/>
      <c r="O18" s="10"/>
      <c r="P18" s="10"/>
      <c r="Q18" s="10"/>
      <c r="R18" s="11"/>
      <c r="U18" s="11"/>
      <c r="V18" s="11"/>
    </row>
    <row r="20" spans="1:43" x14ac:dyDescent="0.25">
      <c r="A20" t="s">
        <v>7</v>
      </c>
      <c r="B20" t="s">
        <v>295</v>
      </c>
      <c r="C20" t="s">
        <v>296</v>
      </c>
      <c r="D20" t="s">
        <v>297</v>
      </c>
      <c r="E20" t="s">
        <v>271</v>
      </c>
      <c r="F20" t="s">
        <v>272</v>
      </c>
      <c r="G20" t="s">
        <v>273</v>
      </c>
      <c r="H20" t="s">
        <v>274</v>
      </c>
      <c r="I20" t="s">
        <v>275</v>
      </c>
      <c r="J20" t="s">
        <v>276</v>
      </c>
      <c r="K20" t="s">
        <v>277</v>
      </c>
      <c r="L20" t="s">
        <v>278</v>
      </c>
      <c r="M20" t="s">
        <v>279</v>
      </c>
      <c r="N20" t="s">
        <v>280</v>
      </c>
      <c r="O20" t="s">
        <v>281</v>
      </c>
      <c r="P20" t="s">
        <v>282</v>
      </c>
      <c r="Q20" t="s">
        <v>283</v>
      </c>
      <c r="R20" t="s">
        <v>284</v>
      </c>
      <c r="S20" t="s">
        <v>285</v>
      </c>
      <c r="T20" t="s">
        <v>286</v>
      </c>
      <c r="U20" t="s">
        <v>287</v>
      </c>
      <c r="V20" t="s">
        <v>288</v>
      </c>
      <c r="W20" t="s">
        <v>289</v>
      </c>
      <c r="X20" t="s">
        <v>290</v>
      </c>
      <c r="Y20" t="s">
        <v>291</v>
      </c>
      <c r="Z20" t="s">
        <v>292</v>
      </c>
      <c r="AA20" t="s">
        <v>293</v>
      </c>
      <c r="AB20" t="s">
        <v>294</v>
      </c>
    </row>
    <row r="21" spans="1:43" x14ac:dyDescent="0.25">
      <c r="A21" t="s">
        <v>0</v>
      </c>
      <c r="B21" s="1">
        <v>74880696</v>
      </c>
      <c r="C21" s="1">
        <v>87680072</v>
      </c>
      <c r="D21" s="1">
        <v>81085624</v>
      </c>
      <c r="E21" s="1">
        <v>82483000</v>
      </c>
      <c r="F21" s="1">
        <v>79100104</v>
      </c>
      <c r="G21" s="1">
        <v>78510424</v>
      </c>
      <c r="H21" s="1">
        <v>76568536</v>
      </c>
      <c r="I21" s="1">
        <v>79646048</v>
      </c>
      <c r="J21" s="1">
        <v>79250000</v>
      </c>
      <c r="K21" s="1">
        <v>82305192</v>
      </c>
      <c r="L21" s="1">
        <v>73604896</v>
      </c>
      <c r="M21" s="1">
        <v>80425840</v>
      </c>
      <c r="N21" s="1">
        <v>76896344</v>
      </c>
      <c r="O21" s="1">
        <v>75520032</v>
      </c>
      <c r="P21" s="1">
        <v>83048072</v>
      </c>
      <c r="Q21" s="1">
        <v>85021960</v>
      </c>
      <c r="R21" s="1">
        <v>85634600</v>
      </c>
      <c r="S21" s="1">
        <v>84951736</v>
      </c>
      <c r="T21" s="1">
        <v>82766560</v>
      </c>
      <c r="U21" s="1">
        <v>74928312</v>
      </c>
      <c r="V21" s="1">
        <v>85096200</v>
      </c>
      <c r="W21" s="1">
        <v>71212520</v>
      </c>
      <c r="X21" s="1">
        <v>79209608</v>
      </c>
      <c r="Y21" s="1">
        <v>79459456</v>
      </c>
      <c r="Z21" s="1">
        <v>62782476</v>
      </c>
      <c r="AA21" s="1">
        <v>54477812</v>
      </c>
      <c r="AB21" s="1">
        <v>61107444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t="s">
        <v>1</v>
      </c>
      <c r="B22" s="1">
        <v>4843885.5</v>
      </c>
      <c r="C22" s="1">
        <v>5731722.5</v>
      </c>
      <c r="D22" s="1">
        <v>4973189.5</v>
      </c>
      <c r="E22" s="1">
        <v>5303528.5</v>
      </c>
      <c r="F22" s="1">
        <v>4918248</v>
      </c>
      <c r="G22" s="1">
        <v>4867757</v>
      </c>
      <c r="H22" s="1">
        <v>4779291</v>
      </c>
      <c r="I22" s="1">
        <v>5124398</v>
      </c>
      <c r="J22" s="1">
        <v>4846278.5</v>
      </c>
      <c r="K22" s="1">
        <v>5189896</v>
      </c>
      <c r="L22" s="1">
        <v>4856436</v>
      </c>
      <c r="M22" s="1">
        <v>5089083.5</v>
      </c>
      <c r="N22" s="1">
        <v>5032631.5</v>
      </c>
      <c r="O22" s="1">
        <v>4645007.5</v>
      </c>
      <c r="P22" s="1">
        <v>5196311.5</v>
      </c>
      <c r="Q22" s="1">
        <v>5383622</v>
      </c>
      <c r="R22" s="1">
        <v>5404694</v>
      </c>
      <c r="S22" s="1">
        <v>5419101.5</v>
      </c>
      <c r="T22" s="1">
        <v>5559885.5</v>
      </c>
      <c r="U22" s="1">
        <v>4761461.5</v>
      </c>
      <c r="V22" s="1">
        <v>5518758</v>
      </c>
      <c r="W22" s="1">
        <v>4590412.5</v>
      </c>
      <c r="X22" s="1">
        <v>4920922</v>
      </c>
      <c r="Y22" s="1">
        <v>5082604.5</v>
      </c>
      <c r="Z22" s="1">
        <v>3841657.25</v>
      </c>
      <c r="AA22" s="1">
        <v>3316558.25</v>
      </c>
      <c r="AB22" s="1">
        <v>3740902.25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t="s">
        <v>2</v>
      </c>
      <c r="B23" s="1">
        <v>9262.68</v>
      </c>
      <c r="C23" s="1">
        <v>1670.48</v>
      </c>
      <c r="D23" s="1">
        <v>11657.59</v>
      </c>
      <c r="E23" s="1">
        <v>9595.61</v>
      </c>
      <c r="F23" s="1">
        <v>13321.86</v>
      </c>
      <c r="G23" s="1">
        <v>17682.16</v>
      </c>
      <c r="H23" s="1">
        <v>11358.01</v>
      </c>
      <c r="I23" s="1">
        <v>10103.030000000001</v>
      </c>
      <c r="J23" s="1">
        <v>13733.81</v>
      </c>
      <c r="K23" s="1">
        <v>10128.14</v>
      </c>
      <c r="L23" s="1">
        <v>14554.02</v>
      </c>
      <c r="M23" s="1">
        <v>20683.52</v>
      </c>
      <c r="N23" s="1">
        <v>8676.39</v>
      </c>
      <c r="O23" s="1">
        <v>5362.23</v>
      </c>
      <c r="P23" s="1">
        <v>8352.27</v>
      </c>
      <c r="Q23" s="1">
        <v>12680.81</v>
      </c>
      <c r="R23" s="1">
        <v>11397.55</v>
      </c>
      <c r="S23" s="1">
        <v>0</v>
      </c>
      <c r="T23" s="1">
        <v>7382.07</v>
      </c>
      <c r="U23" s="1">
        <v>11398.77</v>
      </c>
      <c r="V23" s="1">
        <v>10874.21</v>
      </c>
      <c r="W23" s="1">
        <v>0</v>
      </c>
      <c r="X23" s="1">
        <v>15125.68</v>
      </c>
      <c r="Y23" s="1">
        <v>10487.55</v>
      </c>
      <c r="Z23" s="1">
        <v>7511.17</v>
      </c>
      <c r="AA23" s="1">
        <v>10475</v>
      </c>
      <c r="AB23" s="1">
        <v>5913.95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t="s">
        <v>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t="s">
        <v>4</v>
      </c>
      <c r="B25" s="1">
        <v>157277.69</v>
      </c>
      <c r="C25" s="1">
        <v>157559.64000000001</v>
      </c>
      <c r="D25" s="1">
        <v>163054.19</v>
      </c>
      <c r="E25" s="1">
        <v>176559.25</v>
      </c>
      <c r="F25" s="1">
        <v>137375.47</v>
      </c>
      <c r="G25" s="1">
        <v>157740.32999999999</v>
      </c>
      <c r="H25" s="1">
        <v>138312.67000000001</v>
      </c>
      <c r="I25" s="1">
        <v>197467.88</v>
      </c>
      <c r="J25" s="1">
        <v>140862</v>
      </c>
      <c r="K25" s="1">
        <v>125310</v>
      </c>
      <c r="L25" s="1">
        <v>178577.02</v>
      </c>
      <c r="M25" s="1">
        <v>175302.3</v>
      </c>
      <c r="N25" s="1">
        <v>154259.48000000001</v>
      </c>
      <c r="O25" s="1">
        <v>151091.94</v>
      </c>
      <c r="P25" s="1">
        <v>144536.23000000001</v>
      </c>
      <c r="Q25" s="1">
        <v>162007.92000000001</v>
      </c>
      <c r="R25" s="1">
        <v>147148.89000000001</v>
      </c>
      <c r="S25" s="1">
        <v>116595.45</v>
      </c>
      <c r="T25" s="1">
        <v>150564.67000000001</v>
      </c>
      <c r="U25" s="1">
        <v>153627.76999999999</v>
      </c>
      <c r="V25" s="1">
        <v>148047.26999999999</v>
      </c>
      <c r="W25" s="1">
        <v>202814.55</v>
      </c>
      <c r="X25" s="1">
        <v>134091.20000000001</v>
      </c>
      <c r="Y25" s="1">
        <v>168485.55</v>
      </c>
      <c r="Z25" s="1">
        <v>193413.64</v>
      </c>
      <c r="AA25" s="1">
        <v>191053.14</v>
      </c>
      <c r="AB25" s="1">
        <v>173118.45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t="s">
        <v>5</v>
      </c>
      <c r="B26" s="1">
        <v>3392800</v>
      </c>
      <c r="C26" s="1">
        <v>3854750.75</v>
      </c>
      <c r="D26" s="1">
        <v>3583156.75</v>
      </c>
      <c r="E26" s="1">
        <v>3629066.25</v>
      </c>
      <c r="F26" s="1">
        <v>3688036.25</v>
      </c>
      <c r="G26" s="1">
        <v>3567732.75</v>
      </c>
      <c r="H26" s="1">
        <v>3516590.75</v>
      </c>
      <c r="I26" s="1">
        <v>4033151.75</v>
      </c>
      <c r="J26" s="1">
        <v>3830457</v>
      </c>
      <c r="K26" s="1">
        <v>3399591.25</v>
      </c>
      <c r="L26" s="1">
        <v>3417894</v>
      </c>
      <c r="M26" s="1">
        <v>3857388.75</v>
      </c>
      <c r="N26" s="1">
        <v>3691114.25</v>
      </c>
      <c r="O26" s="1">
        <v>3746964.25</v>
      </c>
      <c r="P26" s="1">
        <v>4036707.75</v>
      </c>
      <c r="Q26" s="1">
        <v>3444052.75</v>
      </c>
      <c r="R26" s="1">
        <v>3683293</v>
      </c>
      <c r="S26" s="1">
        <v>3181205.25</v>
      </c>
      <c r="T26" s="1">
        <v>3611700.75</v>
      </c>
      <c r="U26" s="1">
        <v>3527328</v>
      </c>
      <c r="V26" s="1">
        <v>3745421.25</v>
      </c>
      <c r="W26" s="1">
        <v>4356023.5</v>
      </c>
      <c r="X26" s="1">
        <v>3620479.75</v>
      </c>
      <c r="Y26" s="1">
        <v>3846432.75</v>
      </c>
      <c r="Z26" s="1">
        <v>4327087</v>
      </c>
      <c r="AA26" s="1">
        <v>4429984.5</v>
      </c>
      <c r="AB26" s="1">
        <v>4002584.75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t="s">
        <v>6</v>
      </c>
      <c r="B27" s="1">
        <v>44561792</v>
      </c>
      <c r="C27" s="1">
        <v>51593120</v>
      </c>
      <c r="D27" s="1">
        <v>47868564</v>
      </c>
      <c r="E27" s="1">
        <v>46927188</v>
      </c>
      <c r="F27" s="1">
        <v>49202480</v>
      </c>
      <c r="G27" s="1">
        <v>48611908</v>
      </c>
      <c r="H27" s="1">
        <v>46232524</v>
      </c>
      <c r="I27" s="1">
        <v>52173052</v>
      </c>
      <c r="J27" s="1">
        <v>50055588</v>
      </c>
      <c r="K27" s="1">
        <v>47749892</v>
      </c>
      <c r="L27" s="1">
        <v>46272196</v>
      </c>
      <c r="M27" s="1">
        <v>51159340</v>
      </c>
      <c r="N27" s="1">
        <v>49672492</v>
      </c>
      <c r="O27" s="1">
        <v>51011616</v>
      </c>
      <c r="P27" s="1">
        <v>53696172</v>
      </c>
      <c r="Q27" s="1">
        <v>45871920</v>
      </c>
      <c r="R27" s="1">
        <v>45983488</v>
      </c>
      <c r="S27" s="1">
        <v>42393556</v>
      </c>
      <c r="T27" s="1">
        <v>46737244</v>
      </c>
      <c r="U27" s="1">
        <v>47338828</v>
      </c>
      <c r="V27" s="1">
        <v>46288608</v>
      </c>
      <c r="W27" s="1">
        <v>56554212</v>
      </c>
      <c r="X27" s="1">
        <v>48054052</v>
      </c>
      <c r="Y27" s="1">
        <v>52021268</v>
      </c>
      <c r="Z27" s="1">
        <v>58052844</v>
      </c>
      <c r="AA27" s="1">
        <v>59090320</v>
      </c>
      <c r="AB27" s="1">
        <v>53127332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t="s">
        <v>8</v>
      </c>
      <c r="B28" s="2">
        <f>SUM(B21:B22)/SUM(B21:B27)</f>
        <v>0.6235999556548919</v>
      </c>
      <c r="C28" s="2">
        <f t="shared" ref="C28:AB28" si="8">SUM(C21:C22)/SUM(C21:C27)</f>
        <v>0.62684530218847234</v>
      </c>
      <c r="D28" s="2">
        <f t="shared" si="8"/>
        <v>0.6250401984338162</v>
      </c>
      <c r="E28" s="2">
        <f t="shared" si="8"/>
        <v>0.63370534716107529</v>
      </c>
      <c r="F28" s="2">
        <f t="shared" si="8"/>
        <v>0.61300611631487711</v>
      </c>
      <c r="G28" s="2">
        <f t="shared" si="8"/>
        <v>0.61427973277182457</v>
      </c>
      <c r="H28" s="2">
        <f t="shared" si="8"/>
        <v>0.61980896492384996</v>
      </c>
      <c r="I28" s="2">
        <f t="shared" si="8"/>
        <v>0.60042436473226202</v>
      </c>
      <c r="J28" s="2">
        <f t="shared" si="8"/>
        <v>0.60878930064507453</v>
      </c>
      <c r="K28" s="2">
        <f t="shared" si="8"/>
        <v>0.63045887073058948</v>
      </c>
      <c r="L28" s="2">
        <f t="shared" si="8"/>
        <v>0.61133355597527117</v>
      </c>
      <c r="M28" s="2">
        <f t="shared" si="8"/>
        <v>0.60766260752179768</v>
      </c>
      <c r="N28" s="2">
        <f t="shared" si="8"/>
        <v>0.60484044459406494</v>
      </c>
      <c r="O28" s="2">
        <f t="shared" si="8"/>
        <v>0.5934631006159875</v>
      </c>
      <c r="P28" s="2">
        <f t="shared" si="8"/>
        <v>0.60387526080838416</v>
      </c>
      <c r="Q28" s="2">
        <f t="shared" si="8"/>
        <v>0.64623309211962254</v>
      </c>
      <c r="R28" s="2">
        <f t="shared" si="8"/>
        <v>0.64628927454845264</v>
      </c>
      <c r="S28" s="2">
        <f t="shared" si="8"/>
        <v>0.66418771232780849</v>
      </c>
      <c r="T28" s="2">
        <f t="shared" si="8"/>
        <v>0.63620487279911775</v>
      </c>
      <c r="U28" s="2">
        <f t="shared" si="8"/>
        <v>0.60961743177287742</v>
      </c>
      <c r="V28" s="2">
        <f t="shared" si="8"/>
        <v>0.64353599749680768</v>
      </c>
      <c r="W28" s="2">
        <f t="shared" si="8"/>
        <v>0.55364560870253199</v>
      </c>
      <c r="X28" s="2">
        <f t="shared" si="8"/>
        <v>0.61881487546972691</v>
      </c>
      <c r="Y28" s="2">
        <f t="shared" si="8"/>
        <v>0.60134306557970663</v>
      </c>
      <c r="Z28" s="2">
        <f t="shared" si="8"/>
        <v>0.51564675431427187</v>
      </c>
      <c r="AA28" s="2">
        <f t="shared" si="8"/>
        <v>0.4756104031848094</v>
      </c>
      <c r="AB28" s="2">
        <f t="shared" si="8"/>
        <v>0.53085938124003351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x14ac:dyDescent="0.25">
      <c r="A29" t="s">
        <v>121</v>
      </c>
      <c r="B29" s="10">
        <v>0.5</v>
      </c>
    </row>
    <row r="30" spans="1:43" x14ac:dyDescent="0.25">
      <c r="A30" t="s">
        <v>122</v>
      </c>
      <c r="B30" s="2">
        <f>(B28/(1-B28))*$B$29</f>
        <v>0.82837391363739432</v>
      </c>
      <c r="C30" s="2">
        <f t="shared" ref="C30:AB30" si="9">(C28/(1-C28))*$B$29</f>
        <v>0.83992685321233485</v>
      </c>
      <c r="D30" s="2">
        <f t="shared" si="9"/>
        <v>0.83347627642091515</v>
      </c>
      <c r="E30" s="2">
        <f t="shared" si="9"/>
        <v>0.86502129126048477</v>
      </c>
      <c r="F30" s="2">
        <f t="shared" si="9"/>
        <v>0.79201008356717184</v>
      </c>
      <c r="G30" s="2">
        <f t="shared" si="9"/>
        <v>0.79627619412651096</v>
      </c>
      <c r="H30" s="2">
        <f t="shared" si="9"/>
        <v>0.8151283272627744</v>
      </c>
      <c r="I30" s="2">
        <f t="shared" si="9"/>
        <v>0.75132754819990988</v>
      </c>
      <c r="J30" s="2">
        <f t="shared" si="9"/>
        <v>0.77808365370491961</v>
      </c>
      <c r="K30" s="2">
        <f t="shared" si="9"/>
        <v>0.85302936641588178</v>
      </c>
      <c r="L30" s="2">
        <f>(L28/(1-L28))*$B$29</f>
        <v>0.7864501365808354</v>
      </c>
      <c r="M30" s="2">
        <f>(M28/(1-M28))*$B$29</f>
        <v>0.77441332278258246</v>
      </c>
      <c r="N30" s="2">
        <f t="shared" si="9"/>
        <v>0.76531167767502328</v>
      </c>
      <c r="O30" s="2">
        <f t="shared" si="9"/>
        <v>0.72990065786796587</v>
      </c>
      <c r="P30" s="2">
        <f t="shared" si="9"/>
        <v>0.76222866317404381</v>
      </c>
      <c r="Q30" s="2">
        <f t="shared" si="9"/>
        <v>0.9133600087011805</v>
      </c>
      <c r="R30" s="2">
        <f t="shared" si="9"/>
        <v>0.9135845028778804</v>
      </c>
      <c r="S30" s="2">
        <f t="shared" si="9"/>
        <v>0.98892705346173315</v>
      </c>
      <c r="T30" s="2">
        <f t="shared" si="9"/>
        <v>0.87439993725893816</v>
      </c>
      <c r="U30" s="2">
        <f t="shared" si="9"/>
        <v>0.78079489376457645</v>
      </c>
      <c r="V30" s="2">
        <f t="shared" si="9"/>
        <v>0.90266617804001748</v>
      </c>
      <c r="W30" s="2">
        <f t="shared" si="9"/>
        <v>0.62018613404159495</v>
      </c>
      <c r="X30" s="2">
        <f t="shared" si="9"/>
        <v>0.81169861524932307</v>
      </c>
      <c r="Y30" s="2">
        <f t="shared" si="9"/>
        <v>0.75421121979747963</v>
      </c>
      <c r="Z30" s="2">
        <f t="shared" si="9"/>
        <v>0.53230442750955409</v>
      </c>
      <c r="AA30" s="2">
        <f t="shared" si="9"/>
        <v>0.45348954868037522</v>
      </c>
      <c r="AB30" s="2">
        <f t="shared" si="9"/>
        <v>0.56577853207765527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x14ac:dyDescent="0.25">
      <c r="A31" t="s">
        <v>12</v>
      </c>
      <c r="B31" s="2">
        <v>186.11</v>
      </c>
    </row>
    <row r="32" spans="1:43" x14ac:dyDescent="0.25">
      <c r="A32" t="s">
        <v>11</v>
      </c>
      <c r="B32">
        <v>180.15600000000001</v>
      </c>
    </row>
    <row r="33" spans="1:43" x14ac:dyDescent="0.25">
      <c r="A33" t="s">
        <v>123</v>
      </c>
      <c r="B33" s="2">
        <f>B30*($B$32/$B$31)</f>
        <v>0.8018727139071431</v>
      </c>
      <c r="C33" s="2">
        <f t="shared" ref="C33:AB33" si="10">C30*($B$32/$B$31)</f>
        <v>0.81305605377100321</v>
      </c>
      <c r="D33" s="2">
        <f t="shared" si="10"/>
        <v>0.80681184275367468</v>
      </c>
      <c r="E33" s="2">
        <f t="shared" si="10"/>
        <v>0.83734767475323135</v>
      </c>
      <c r="F33" s="2">
        <f t="shared" si="10"/>
        <v>0.76667222940802437</v>
      </c>
      <c r="G33" s="2">
        <f t="shared" si="10"/>
        <v>0.77080185927169798</v>
      </c>
      <c r="H33" s="2">
        <f t="shared" si="10"/>
        <v>0.7890508781169866</v>
      </c>
      <c r="I33" s="2">
        <f t="shared" si="10"/>
        <v>0.72729120290958549</v>
      </c>
      <c r="J33" s="2">
        <f t="shared" si="10"/>
        <v>0.75319133156124607</v>
      </c>
      <c r="K33" s="2">
        <f t="shared" si="10"/>
        <v>0.82573939356305193</v>
      </c>
      <c r="L33" s="2">
        <f t="shared" si="10"/>
        <v>0.76129015531597966</v>
      </c>
      <c r="M33" s="2">
        <f>M30*($B$32/$B$31)</f>
        <v>0.74963842125204949</v>
      </c>
      <c r="N33" s="2">
        <f t="shared" si="10"/>
        <v>0.74082795445285854</v>
      </c>
      <c r="O33" s="2">
        <f t="shared" si="10"/>
        <v>0.70654979807028784</v>
      </c>
      <c r="P33" s="2">
        <f t="shared" si="10"/>
        <v>0.73784357123627442</v>
      </c>
      <c r="Q33" s="2">
        <f t="shared" si="10"/>
        <v>0.88413994802842333</v>
      </c>
      <c r="R33" s="2">
        <f t="shared" si="10"/>
        <v>0.88435726022496064</v>
      </c>
      <c r="S33" s="2">
        <f t="shared" si="10"/>
        <v>0.95728946452878405</v>
      </c>
      <c r="T33" s="2">
        <f t="shared" si="10"/>
        <v>0.84642628067713321</v>
      </c>
      <c r="U33" s="2">
        <f t="shared" si="10"/>
        <v>0.75581583408226871</v>
      </c>
      <c r="V33" s="2">
        <f t="shared" si="10"/>
        <v>0.87378823260962546</v>
      </c>
      <c r="W33" s="2">
        <f t="shared" si="10"/>
        <v>0.60034524294448222</v>
      </c>
      <c r="X33" s="2">
        <f t="shared" si="10"/>
        <v>0.78573088887677744</v>
      </c>
      <c r="Y33" s="2">
        <f t="shared" si="10"/>
        <v>0.73008262056759299</v>
      </c>
      <c r="Z33" s="2">
        <f t="shared" si="10"/>
        <v>0.51527503327285595</v>
      </c>
      <c r="AA33" s="2">
        <f t="shared" si="10"/>
        <v>0.43898158686831273</v>
      </c>
      <c r="AB33" s="2">
        <f t="shared" si="10"/>
        <v>0.54767823988491782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x14ac:dyDescent="0.25">
      <c r="A34" t="s">
        <v>149</v>
      </c>
      <c r="B34" s="21">
        <v>150</v>
      </c>
    </row>
    <row r="35" spans="1:43" x14ac:dyDescent="0.25">
      <c r="B35" s="21">
        <v>100</v>
      </c>
    </row>
    <row r="36" spans="1:43" x14ac:dyDescent="0.25">
      <c r="A36" t="s">
        <v>131</v>
      </c>
      <c r="B36" s="2">
        <f>B33*$B$34</f>
        <v>120.28090708607147</v>
      </c>
      <c r="C36" s="2">
        <f t="shared" ref="C36:P36" si="11">C33*$B$34</f>
        <v>121.95840806565047</v>
      </c>
      <c r="D36" s="2">
        <f t="shared" si="11"/>
        <v>121.0217764130512</v>
      </c>
      <c r="E36" s="2">
        <f t="shared" si="11"/>
        <v>125.60215121298471</v>
      </c>
      <c r="F36" s="2">
        <f t="shared" si="11"/>
        <v>115.00083441120366</v>
      </c>
      <c r="G36" s="2">
        <f t="shared" si="11"/>
        <v>115.62027889075469</v>
      </c>
      <c r="H36" s="2">
        <f t="shared" si="11"/>
        <v>118.35763171754799</v>
      </c>
      <c r="I36" s="2">
        <f t="shared" si="11"/>
        <v>109.09368043643782</v>
      </c>
      <c r="J36" s="2">
        <f t="shared" si="11"/>
        <v>112.9786997341869</v>
      </c>
      <c r="K36" s="2">
        <f>K33*$B$34</f>
        <v>123.86090903445779</v>
      </c>
      <c r="L36" s="2">
        <f t="shared" si="11"/>
        <v>114.19352329739695</v>
      </c>
      <c r="M36" s="2">
        <f>M33*$B$34</f>
        <v>112.44576318780743</v>
      </c>
      <c r="N36" s="2">
        <f>N33*$B$34</f>
        <v>111.12419316792878</v>
      </c>
      <c r="O36" s="2">
        <f t="shared" si="11"/>
        <v>105.98246971054317</v>
      </c>
      <c r="P36" s="2">
        <f t="shared" si="11"/>
        <v>110.67653568544117</v>
      </c>
      <c r="Q36" s="2">
        <f>Q33*$B$35</f>
        <v>88.413994802842339</v>
      </c>
      <c r="R36" s="2">
        <f t="shared" ref="R36:AB36" si="12">R33*$B$35</f>
        <v>88.43572602249607</v>
      </c>
      <c r="S36" s="2">
        <f t="shared" si="12"/>
        <v>95.728946452878404</v>
      </c>
      <c r="T36" s="2">
        <f t="shared" si="12"/>
        <v>84.642628067713318</v>
      </c>
      <c r="U36" s="2">
        <f t="shared" si="12"/>
        <v>75.581583408226876</v>
      </c>
      <c r="V36" s="2">
        <f t="shared" si="12"/>
        <v>87.378823260962548</v>
      </c>
      <c r="W36" s="2">
        <f t="shared" si="12"/>
        <v>60.034524294448218</v>
      </c>
      <c r="X36" s="2">
        <f t="shared" si="12"/>
        <v>78.573088887677741</v>
      </c>
      <c r="Y36" s="2">
        <f t="shared" si="12"/>
        <v>73.008262056759293</v>
      </c>
      <c r="Z36" s="2">
        <f t="shared" si="12"/>
        <v>51.527503327285594</v>
      </c>
      <c r="AA36" s="2">
        <f t="shared" si="12"/>
        <v>43.898158686831273</v>
      </c>
      <c r="AB36" s="2">
        <f t="shared" si="12"/>
        <v>54.767823988491784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8" spans="1:43" ht="30" x14ac:dyDescent="0.25">
      <c r="A38" s="4" t="s">
        <v>14</v>
      </c>
      <c r="B38" s="6" t="s">
        <v>145</v>
      </c>
      <c r="C38" s="6" t="s">
        <v>146</v>
      </c>
      <c r="D38" s="6" t="s">
        <v>147</v>
      </c>
      <c r="E38" s="6" t="s">
        <v>148</v>
      </c>
      <c r="F38" s="3"/>
      <c r="G38" s="3"/>
      <c r="H38" s="3"/>
      <c r="I38" s="3"/>
    </row>
    <row r="39" spans="1:43" x14ac:dyDescent="0.25">
      <c r="A39">
        <v>0</v>
      </c>
      <c r="B39" s="11">
        <f t="shared" ref="B39:B48" si="13">O5</f>
        <v>6.2713370480545969E-2</v>
      </c>
      <c r="C39" s="2">
        <f>B36</f>
        <v>120.28090708607147</v>
      </c>
      <c r="D39" s="2">
        <f t="shared" ref="D39:E39" si="14">C36</f>
        <v>121.95840806565047</v>
      </c>
      <c r="E39" s="2">
        <f t="shared" si="14"/>
        <v>121.0217764130512</v>
      </c>
      <c r="G39" s="2"/>
      <c r="H39" s="2"/>
      <c r="I39" s="2"/>
    </row>
    <row r="40" spans="1:43" x14ac:dyDescent="0.25">
      <c r="A40">
        <v>1</v>
      </c>
      <c r="B40" s="11">
        <f t="shared" si="13"/>
        <v>9.2976217863600108E-2</v>
      </c>
      <c r="C40" s="2">
        <f>E36</f>
        <v>125.60215121298471</v>
      </c>
      <c r="D40" s="2">
        <f t="shared" ref="D40:E40" si="15">F36</f>
        <v>115.00083441120366</v>
      </c>
      <c r="E40" s="2">
        <f t="shared" si="15"/>
        <v>115.62027889075469</v>
      </c>
      <c r="G40" s="2"/>
      <c r="H40" s="2"/>
      <c r="I40" s="2"/>
    </row>
    <row r="41" spans="1:43" x14ac:dyDescent="0.25">
      <c r="A41">
        <v>2</v>
      </c>
      <c r="B41" s="11">
        <f t="shared" si="13"/>
        <v>0.14329275929566604</v>
      </c>
      <c r="C41" s="2">
        <f>H36</f>
        <v>118.35763171754799</v>
      </c>
      <c r="D41" s="2">
        <f t="shared" ref="D41:E41" si="16">I36</f>
        <v>109.09368043643782</v>
      </c>
      <c r="E41" s="2">
        <f t="shared" si="16"/>
        <v>112.9786997341869</v>
      </c>
      <c r="G41" s="2"/>
      <c r="H41" s="2"/>
      <c r="I41" s="2"/>
    </row>
    <row r="42" spans="1:43" x14ac:dyDescent="0.25">
      <c r="A42">
        <v>3</v>
      </c>
      <c r="B42" s="11">
        <f t="shared" si="13"/>
        <v>0.23335207620668261</v>
      </c>
      <c r="C42" s="2">
        <f>K36</f>
        <v>123.86090903445779</v>
      </c>
      <c r="D42" s="2">
        <f t="shared" ref="D42:E42" si="17">L36</f>
        <v>114.19352329739695</v>
      </c>
      <c r="E42" s="2">
        <f t="shared" si="17"/>
        <v>112.44576318780743</v>
      </c>
      <c r="G42" s="2"/>
      <c r="H42" s="2"/>
      <c r="I42" s="2"/>
    </row>
    <row r="43" spans="1:43" x14ac:dyDescent="0.25">
      <c r="A43">
        <v>4</v>
      </c>
      <c r="B43" s="11">
        <f t="shared" si="13"/>
        <v>0.36680029478737924</v>
      </c>
      <c r="C43" s="2">
        <f>N36</f>
        <v>111.12419316792878</v>
      </c>
      <c r="D43" s="2">
        <f>O36</f>
        <v>105.98246971054317</v>
      </c>
      <c r="E43" s="2">
        <f t="shared" ref="E43" si="18">P36</f>
        <v>110.67653568544117</v>
      </c>
      <c r="G43" s="2"/>
      <c r="H43" s="2"/>
      <c r="I43" s="2"/>
    </row>
    <row r="44" spans="1:43" x14ac:dyDescent="0.25">
      <c r="A44">
        <v>5</v>
      </c>
      <c r="B44" s="11">
        <f t="shared" si="13"/>
        <v>0.53415748694185938</v>
      </c>
      <c r="C44" s="2">
        <f>Q36</f>
        <v>88.413994802842339</v>
      </c>
      <c r="D44" s="2">
        <f t="shared" ref="D44:E44" si="19">R36</f>
        <v>88.43572602249607</v>
      </c>
      <c r="E44" s="2">
        <f t="shared" si="19"/>
        <v>95.728946452878404</v>
      </c>
      <c r="G44" s="2"/>
      <c r="H44" s="2"/>
      <c r="I44" s="2"/>
    </row>
    <row r="45" spans="1:43" x14ac:dyDescent="0.25">
      <c r="A45">
        <v>6</v>
      </c>
      <c r="B45" s="11">
        <f t="shared" si="13"/>
        <v>0.71828685957369498</v>
      </c>
      <c r="C45" s="2">
        <f>T36</f>
        <v>84.642628067713318</v>
      </c>
      <c r="D45" s="2">
        <f t="shared" ref="D45:E45" si="20">U36</f>
        <v>75.581583408226876</v>
      </c>
      <c r="E45" s="2">
        <f t="shared" si="20"/>
        <v>87.378823260962548</v>
      </c>
      <c r="G45" s="2"/>
      <c r="H45" s="2"/>
      <c r="I45" s="2"/>
    </row>
    <row r="46" spans="1:43" x14ac:dyDescent="0.25">
      <c r="A46">
        <v>7</v>
      </c>
      <c r="B46" s="11">
        <f t="shared" si="13"/>
        <v>0.93194985435043864</v>
      </c>
      <c r="C46" s="2">
        <f>W36</f>
        <v>60.034524294448218</v>
      </c>
      <c r="D46" s="2">
        <f t="shared" ref="D46:E46" si="21">X36</f>
        <v>78.573088887677741</v>
      </c>
      <c r="E46" s="2">
        <f t="shared" si="21"/>
        <v>73.008262056759293</v>
      </c>
    </row>
    <row r="47" spans="1:43" x14ac:dyDescent="0.25">
      <c r="A47">
        <v>8</v>
      </c>
      <c r="B47" s="11">
        <f t="shared" si="13"/>
        <v>1.0657626855502085</v>
      </c>
      <c r="C47" s="2">
        <f>Z36</f>
        <v>51.527503327285594</v>
      </c>
      <c r="D47" s="2">
        <f t="shared" ref="D47:E47" si="22">AA36</f>
        <v>43.898158686831273</v>
      </c>
      <c r="E47" s="2">
        <f t="shared" si="22"/>
        <v>54.767823988491784</v>
      </c>
    </row>
    <row r="48" spans="1:43" x14ac:dyDescent="0.25">
      <c r="A48">
        <v>9</v>
      </c>
      <c r="B48" s="11">
        <f t="shared" si="13"/>
        <v>1.1700418946050695</v>
      </c>
      <c r="C48" s="2">
        <f>AC36</f>
        <v>0</v>
      </c>
      <c r="D48" s="2">
        <f t="shared" ref="D48:E48" si="23">AD36</f>
        <v>0</v>
      </c>
      <c r="E48" s="2">
        <f t="shared" si="23"/>
        <v>0</v>
      </c>
    </row>
    <row r="49" spans="2:7" x14ac:dyDescent="0.25">
      <c r="C49" s="6" t="s">
        <v>62</v>
      </c>
      <c r="D49" s="6" t="s">
        <v>63</v>
      </c>
      <c r="E49" s="6" t="s">
        <v>64</v>
      </c>
      <c r="F49" s="6" t="s">
        <v>135</v>
      </c>
      <c r="G49" s="6" t="s">
        <v>136</v>
      </c>
    </row>
    <row r="50" spans="2:7" x14ac:dyDescent="0.25">
      <c r="B50" t="s">
        <v>133</v>
      </c>
      <c r="C50">
        <f>SLOPE(C42:C45,$B$42:$B$45)</f>
        <v>-85.428077827938139</v>
      </c>
      <c r="D50">
        <f t="shared" ref="D50:E50" si="24">SLOPE(D42:D45,$B$42:$B$45)</f>
        <v>-82.352571106227799</v>
      </c>
      <c r="E50">
        <f t="shared" si="24"/>
        <v>-56.055704790793726</v>
      </c>
      <c r="F50" s="19">
        <f>ABS(AVERAGE(C50:E50))</f>
        <v>74.612117908319888</v>
      </c>
      <c r="G50" s="19">
        <f>_xlfn.STDEV.S(C50:E50)/(SQRT(COUNT(C50:E50)))</f>
        <v>9.3205871817900476</v>
      </c>
    </row>
    <row r="51" spans="2:7" x14ac:dyDescent="0.25">
      <c r="B51" t="s">
        <v>134</v>
      </c>
      <c r="C51" s="22">
        <f>(CORREL($B$42:$B$45,C42:C45))^2</f>
        <v>0.92166330452448564</v>
      </c>
      <c r="D51" s="22">
        <f t="shared" ref="D51:E51" si="25">(CORREL($B$42:$B$45,D42:D45))^2</f>
        <v>0.99113957744724379</v>
      </c>
      <c r="E51" s="22">
        <f t="shared" si="25"/>
        <v>0.95139190228464343</v>
      </c>
    </row>
  </sheetData>
  <mergeCells count="3">
    <mergeCell ref="B3:D3"/>
    <mergeCell ref="H3:L3"/>
    <mergeCell ref="Q3:W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DB26-D8DB-477A-87AE-43765E87D3F4}">
  <sheetPr>
    <tabColor rgb="FFFF0000"/>
  </sheetPr>
  <dimension ref="A1:AQ49"/>
  <sheetViews>
    <sheetView workbookViewId="0">
      <selection activeCell="E4" sqref="E4:G12"/>
    </sheetView>
  </sheetViews>
  <sheetFormatPr defaultColWidth="8.85546875" defaultRowHeight="15" x14ac:dyDescent="0.25"/>
  <cols>
    <col min="1" max="1" width="63.42578125" bestFit="1" customWidth="1"/>
    <col min="2" max="43" width="11.85546875" customWidth="1"/>
    <col min="44" max="46" width="21.7109375" bestFit="1" customWidth="1"/>
  </cols>
  <sheetData>
    <row r="1" spans="1:43" ht="15.75" thickBot="1" x14ac:dyDescent="0.3">
      <c r="A1" t="s">
        <v>57</v>
      </c>
      <c r="B1">
        <v>0.41139241809999999</v>
      </c>
      <c r="I1" s="43" t="s">
        <v>60</v>
      </c>
      <c r="J1" s="44"/>
      <c r="K1" s="44"/>
      <c r="L1" s="44"/>
      <c r="M1" s="44"/>
      <c r="N1" s="44"/>
      <c r="O1" s="44"/>
      <c r="P1" s="44"/>
      <c r="Q1" s="44"/>
      <c r="R1" s="45"/>
    </row>
    <row r="2" spans="1:43" x14ac:dyDescent="0.25">
      <c r="B2" s="43" t="s">
        <v>113</v>
      </c>
      <c r="C2" s="44"/>
      <c r="D2" s="45"/>
      <c r="E2" s="42" t="s">
        <v>114</v>
      </c>
      <c r="F2" s="42"/>
      <c r="G2" s="42"/>
      <c r="I2" s="46" t="s">
        <v>113</v>
      </c>
      <c r="J2" s="42"/>
      <c r="K2" s="42"/>
      <c r="L2" s="42"/>
      <c r="M2" s="42"/>
      <c r="N2" s="42" t="s">
        <v>114</v>
      </c>
      <c r="O2" s="42"/>
      <c r="P2" s="42"/>
      <c r="Q2" s="42"/>
      <c r="R2" s="47"/>
    </row>
    <row r="3" spans="1:43" x14ac:dyDescent="0.25">
      <c r="A3" s="4" t="s">
        <v>14</v>
      </c>
      <c r="B3" s="7" t="s">
        <v>62</v>
      </c>
      <c r="C3" t="s">
        <v>63</v>
      </c>
      <c r="D3" s="8" t="s">
        <v>64</v>
      </c>
      <c r="E3" t="s">
        <v>62</v>
      </c>
      <c r="F3" t="s">
        <v>63</v>
      </c>
      <c r="G3" t="s">
        <v>64</v>
      </c>
      <c r="I3" s="7" t="s">
        <v>62</v>
      </c>
      <c r="J3" t="s">
        <v>63</v>
      </c>
      <c r="K3" t="s">
        <v>64</v>
      </c>
      <c r="L3" t="s">
        <v>65</v>
      </c>
      <c r="M3" t="s">
        <v>61</v>
      </c>
      <c r="N3" t="s">
        <v>62</v>
      </c>
      <c r="O3" t="s">
        <v>63</v>
      </c>
      <c r="P3" t="s">
        <v>64</v>
      </c>
      <c r="Q3" t="s">
        <v>66</v>
      </c>
      <c r="R3" s="8" t="s">
        <v>61</v>
      </c>
      <c r="T3" s="4" t="s">
        <v>14</v>
      </c>
      <c r="U3" t="s">
        <v>67</v>
      </c>
      <c r="V3" t="s">
        <v>68</v>
      </c>
    </row>
    <row r="4" spans="1:43" x14ac:dyDescent="0.25">
      <c r="A4">
        <v>0</v>
      </c>
      <c r="B4" s="7">
        <v>0.13100000000000001</v>
      </c>
      <c r="C4">
        <v>0.13800000000000001</v>
      </c>
      <c r="D4" s="8">
        <v>0.127</v>
      </c>
      <c r="E4" s="17">
        <v>6.3E-2</v>
      </c>
      <c r="F4" s="17">
        <v>6.5000000000000002E-2</v>
      </c>
      <c r="G4" s="17">
        <v>6.5000000000000002E-2</v>
      </c>
      <c r="I4" s="9">
        <f>LN(B4)</f>
        <v>-2.0325579557809856</v>
      </c>
      <c r="J4" s="10">
        <f t="shared" ref="J4:K12" si="0">LN(C4)</f>
        <v>-1.9805015938249322</v>
      </c>
      <c r="K4" s="10">
        <f t="shared" si="0"/>
        <v>-2.0635681925235456</v>
      </c>
      <c r="L4" s="10">
        <f>AVERAGE(I4:K4)</f>
        <v>-2.0255425807098213</v>
      </c>
      <c r="M4" s="11">
        <f>_xlfn.STDEV.S(I4:K4)</f>
        <v>4.1975309056407895E-2</v>
      </c>
      <c r="N4" s="10">
        <f>LN(E4)</f>
        <v>-2.7646205525906042</v>
      </c>
      <c r="O4" s="10">
        <f>LN(F4)</f>
        <v>-2.7333680090865</v>
      </c>
      <c r="P4" s="10">
        <f>LN(G4)</f>
        <v>-2.7333680090865</v>
      </c>
      <c r="Q4" s="10">
        <f>AVERAGE(N4:P4)</f>
        <v>-2.7437855235878685</v>
      </c>
      <c r="R4" s="12">
        <f>_xlfn.STDEV.S(N4:P4)</f>
        <v>1.8043664404955063E-2</v>
      </c>
      <c r="T4">
        <v>0</v>
      </c>
      <c r="U4">
        <f>((AVERAGE(B4:D4))*$B$1)/0.3851</f>
        <v>0.1410122025167489</v>
      </c>
      <c r="V4">
        <f>((AVERAGE(E4:G4))*$B$1)/0.4286</f>
        <v>6.1750456286592016E-2</v>
      </c>
    </row>
    <row r="5" spans="1:43" x14ac:dyDescent="0.25">
      <c r="A5">
        <v>1</v>
      </c>
      <c r="B5" s="7">
        <v>0.184</v>
      </c>
      <c r="C5">
        <v>0.2</v>
      </c>
      <c r="D5" s="8">
        <v>0.17699999999999999</v>
      </c>
      <c r="E5" s="17">
        <v>9.6000000000000002E-2</v>
      </c>
      <c r="F5" s="17">
        <v>9.4E-2</v>
      </c>
      <c r="G5" s="17">
        <v>9.2999999999999999E-2</v>
      </c>
      <c r="I5" s="9">
        <f t="shared" ref="I5:I12" si="1">LN(B5)</f>
        <v>-1.6928195213731514</v>
      </c>
      <c r="J5" s="10">
        <f t="shared" si="0"/>
        <v>-1.6094379124341003</v>
      </c>
      <c r="K5" s="10">
        <f t="shared" si="0"/>
        <v>-1.731605546408308</v>
      </c>
      <c r="L5" s="10">
        <f t="shared" ref="L5:L12" si="2">AVERAGE(I5:K5)</f>
        <v>-1.6779543267385197</v>
      </c>
      <c r="M5" s="11">
        <f t="shared" ref="M5:M12" si="3">_xlfn.STDEV.S(I5:K5)</f>
        <v>6.2425661441094127E-2</v>
      </c>
      <c r="N5" s="10">
        <f t="shared" ref="N5:P12" si="4">LN(E5)</f>
        <v>-2.3434070875143007</v>
      </c>
      <c r="O5" s="10">
        <f t="shared" si="4"/>
        <v>-2.364460496712133</v>
      </c>
      <c r="P5" s="10">
        <f t="shared" si="4"/>
        <v>-2.375155785828881</v>
      </c>
      <c r="Q5" s="10">
        <f t="shared" ref="Q5:Q12" si="5">AVERAGE(N5:P5)</f>
        <v>-2.3610077900184385</v>
      </c>
      <c r="R5" s="12">
        <f t="shared" ref="R5:R12" si="6">_xlfn.STDEV.S(N5:P5)</f>
        <v>1.6153508869656507E-2</v>
      </c>
      <c r="T5">
        <v>1</v>
      </c>
      <c r="U5">
        <f t="shared" ref="U5:U12" si="7">((AVERAGE(B5:D5))*$B$1)/0.3851</f>
        <v>0.19976728689872755</v>
      </c>
      <c r="V5">
        <f t="shared" ref="V5:V12" si="8">((AVERAGE(E5:G5))*$B$1)/0.4286</f>
        <v>9.0546005850287756E-2</v>
      </c>
    </row>
    <row r="6" spans="1:43" x14ac:dyDescent="0.25">
      <c r="A6">
        <v>2</v>
      </c>
      <c r="B6" s="7">
        <v>0.26500000000000001</v>
      </c>
      <c r="C6">
        <v>0.28899999999999998</v>
      </c>
      <c r="D6" s="8">
        <v>0.26700000000000002</v>
      </c>
      <c r="E6" s="17">
        <v>0.14000000000000001</v>
      </c>
      <c r="F6" s="17">
        <v>0.15</v>
      </c>
      <c r="G6" s="17">
        <v>0.14899999999999999</v>
      </c>
      <c r="I6" s="9">
        <f t="shared" si="1"/>
        <v>-1.3280254529959148</v>
      </c>
      <c r="J6" s="10">
        <f t="shared" si="0"/>
        <v>-1.2413285908697049</v>
      </c>
      <c r="K6" s="10">
        <f t="shared" si="0"/>
        <v>-1.3205066205818874</v>
      </c>
      <c r="L6" s="10">
        <f t="shared" si="2"/>
        <v>-1.2966202214825024</v>
      </c>
      <c r="M6" s="11">
        <f t="shared" si="3"/>
        <v>4.8031307728231665E-2</v>
      </c>
      <c r="N6" s="10">
        <f t="shared" si="4"/>
        <v>-1.9661128563728327</v>
      </c>
      <c r="O6" s="10">
        <f t="shared" si="4"/>
        <v>-1.8971199848858813</v>
      </c>
      <c r="P6" s="10">
        <f t="shared" si="4"/>
        <v>-1.9038089730366781</v>
      </c>
      <c r="Q6" s="10">
        <f t="shared" si="5"/>
        <v>-1.9223472714317975</v>
      </c>
      <c r="R6" s="12">
        <f t="shared" si="6"/>
        <v>3.8049381854947543E-2</v>
      </c>
      <c r="T6">
        <v>2</v>
      </c>
      <c r="U6">
        <f t="shared" si="7"/>
        <v>0.29235105622790619</v>
      </c>
      <c r="V6">
        <f t="shared" si="8"/>
        <v>0.14045829176069374</v>
      </c>
    </row>
    <row r="7" spans="1:43" x14ac:dyDescent="0.25">
      <c r="A7">
        <v>2.25</v>
      </c>
      <c r="B7" s="7">
        <v>0.29499999999999998</v>
      </c>
      <c r="C7">
        <v>0.3</v>
      </c>
      <c r="D7" s="8">
        <v>0.30099999999999999</v>
      </c>
      <c r="E7" s="17">
        <v>0.29099999999999998</v>
      </c>
      <c r="F7" s="17">
        <v>0.29799999999999999</v>
      </c>
      <c r="G7" s="17">
        <v>0.29299999999999998</v>
      </c>
      <c r="I7" s="9">
        <f t="shared" si="1"/>
        <v>-1.2207799226423173</v>
      </c>
      <c r="J7" s="10">
        <f t="shared" si="0"/>
        <v>-1.2039728043259361</v>
      </c>
      <c r="K7" s="10">
        <f t="shared" si="0"/>
        <v>-1.2006450142332614</v>
      </c>
      <c r="L7" s="10">
        <f t="shared" si="2"/>
        <v>-1.2084659137338383</v>
      </c>
      <c r="M7" s="11">
        <f t="shared" si="3"/>
        <v>1.0793269118937094E-2</v>
      </c>
      <c r="N7" s="10">
        <f t="shared" si="4"/>
        <v>-1.2344320118106447</v>
      </c>
      <c r="O7" s="10">
        <f t="shared" si="4"/>
        <v>-1.2106617924767327</v>
      </c>
      <c r="P7" s="10">
        <f t="shared" si="4"/>
        <v>-1.2275826699650698</v>
      </c>
      <c r="Q7" s="10">
        <f t="shared" si="5"/>
        <v>-1.2242254914174824</v>
      </c>
      <c r="R7" s="12">
        <f t="shared" si="6"/>
        <v>1.2235555469444647E-2</v>
      </c>
      <c r="T7">
        <v>3.5</v>
      </c>
      <c r="U7">
        <f t="shared" si="7"/>
        <v>0.3190579127651692</v>
      </c>
      <c r="V7">
        <f t="shared" si="8"/>
        <v>0.28219638572421835</v>
      </c>
    </row>
    <row r="8" spans="1:43" x14ac:dyDescent="0.25">
      <c r="A8">
        <v>3.25</v>
      </c>
      <c r="B8" s="7">
        <v>0.46200000000000002</v>
      </c>
      <c r="C8">
        <v>0.46700000000000003</v>
      </c>
      <c r="D8" s="8">
        <v>0.46200000000000002</v>
      </c>
      <c r="E8" s="17">
        <v>0.442</v>
      </c>
      <c r="F8" s="17">
        <v>0.46400000000000002</v>
      </c>
      <c r="G8" s="17">
        <v>0.46400000000000002</v>
      </c>
      <c r="I8" s="9">
        <f t="shared" si="1"/>
        <v>-0.77219038790039818</v>
      </c>
      <c r="J8" s="10">
        <f t="shared" si="0"/>
        <v>-0.76142602131323966</v>
      </c>
      <c r="K8" s="10">
        <f t="shared" si="0"/>
        <v>-0.77219038790039818</v>
      </c>
      <c r="L8" s="10">
        <f t="shared" si="2"/>
        <v>-0.76860226570467871</v>
      </c>
      <c r="M8" s="11">
        <f t="shared" si="3"/>
        <v>6.2148099467517811E-3</v>
      </c>
      <c r="N8" s="10">
        <f t="shared" si="4"/>
        <v>-0.81644539690443896</v>
      </c>
      <c r="O8" s="10">
        <f t="shared" si="4"/>
        <v>-0.76787072675588175</v>
      </c>
      <c r="P8" s="10">
        <f t="shared" si="4"/>
        <v>-0.76787072675588175</v>
      </c>
      <c r="Q8" s="10">
        <f t="shared" si="5"/>
        <v>-0.78406228347206752</v>
      </c>
      <c r="R8" s="12">
        <f t="shared" si="6"/>
        <v>2.8044598886066783E-2</v>
      </c>
      <c r="T8">
        <v>4.5</v>
      </c>
      <c r="U8">
        <f t="shared" si="7"/>
        <v>0.49532316591110531</v>
      </c>
      <c r="V8">
        <f t="shared" si="8"/>
        <v>0.43833225446959101</v>
      </c>
    </row>
    <row r="9" spans="1:43" x14ac:dyDescent="0.25">
      <c r="A9">
        <v>4.25</v>
      </c>
      <c r="B9" s="7">
        <v>0.66400000000000003</v>
      </c>
      <c r="C9">
        <v>0.68100000000000005</v>
      </c>
      <c r="D9" s="8">
        <v>0.64400000000000002</v>
      </c>
      <c r="E9">
        <v>0.627</v>
      </c>
      <c r="F9">
        <v>0.63200000000000001</v>
      </c>
      <c r="G9">
        <v>0.65300000000000002</v>
      </c>
      <c r="I9" s="9">
        <f t="shared" si="1"/>
        <v>-0.40947312950570314</v>
      </c>
      <c r="J9" s="10">
        <f t="shared" si="0"/>
        <v>-0.3841929728326246</v>
      </c>
      <c r="K9" s="10">
        <f t="shared" si="0"/>
        <v>-0.44005655287778339</v>
      </c>
      <c r="L9" s="10">
        <f t="shared" si="2"/>
        <v>-0.41124088507203704</v>
      </c>
      <c r="M9" s="11">
        <f t="shared" si="3"/>
        <v>2.7973712904657368E-2</v>
      </c>
      <c r="N9" s="10">
        <f t="shared" si="4"/>
        <v>-0.46680873834921638</v>
      </c>
      <c r="O9" s="10">
        <f t="shared" si="4"/>
        <v>-0.45886588483527962</v>
      </c>
      <c r="P9" s="10">
        <f t="shared" si="4"/>
        <v>-0.42617814970570594</v>
      </c>
      <c r="Q9" s="10">
        <f t="shared" si="5"/>
        <v>-0.45061759096340065</v>
      </c>
      <c r="R9" s="12">
        <f t="shared" si="6"/>
        <v>2.1534552403688286E-2</v>
      </c>
      <c r="T9">
        <v>5.5</v>
      </c>
      <c r="U9">
        <f t="shared" si="7"/>
        <v>0.70826583536821619</v>
      </c>
      <c r="V9">
        <f t="shared" si="8"/>
        <v>0.61174545295318095</v>
      </c>
    </row>
    <row r="10" spans="1:43" x14ac:dyDescent="0.25">
      <c r="A10">
        <v>5.25</v>
      </c>
      <c r="B10" s="7">
        <v>0.82</v>
      </c>
      <c r="C10">
        <v>0.82399999999999995</v>
      </c>
      <c r="D10" s="8">
        <v>0.82799999999999996</v>
      </c>
      <c r="E10">
        <v>0.83699999999999997</v>
      </c>
      <c r="F10">
        <v>0.86199999999999999</v>
      </c>
      <c r="G10">
        <v>0.85099999999999998</v>
      </c>
      <c r="I10" s="9">
        <f t="shared" si="1"/>
        <v>-0.19845093872383832</v>
      </c>
      <c r="J10" s="10">
        <f t="shared" si="0"/>
        <v>-0.1935847490726654</v>
      </c>
      <c r="K10" s="10">
        <f t="shared" si="0"/>
        <v>-0.18874212459687742</v>
      </c>
      <c r="L10" s="10">
        <f t="shared" si="2"/>
        <v>-0.19359260413112703</v>
      </c>
      <c r="M10" s="11">
        <f t="shared" si="3"/>
        <v>4.8544118299157979E-3</v>
      </c>
      <c r="N10" s="10">
        <f t="shared" si="4"/>
        <v>-0.17793120849266178</v>
      </c>
      <c r="O10" s="10">
        <f t="shared" si="4"/>
        <v>-0.14850000831844395</v>
      </c>
      <c r="P10" s="10">
        <f t="shared" si="4"/>
        <v>-0.16134315040876293</v>
      </c>
      <c r="Q10" s="10">
        <f t="shared" si="5"/>
        <v>-0.16259145573995623</v>
      </c>
      <c r="R10" s="12">
        <f t="shared" si="6"/>
        <v>1.4755256201558618E-2</v>
      </c>
      <c r="T10">
        <v>6.5</v>
      </c>
      <c r="U10">
        <f t="shared" si="7"/>
        <v>0.88025799146819006</v>
      </c>
      <c r="V10">
        <f t="shared" si="8"/>
        <v>0.81587390430471296</v>
      </c>
    </row>
    <row r="11" spans="1:43" x14ac:dyDescent="0.25">
      <c r="A11">
        <v>6.25</v>
      </c>
      <c r="B11" s="7">
        <v>0.86199999999999999</v>
      </c>
      <c r="C11">
        <v>0.85299999999999998</v>
      </c>
      <c r="D11" s="8">
        <v>0.86399999999999999</v>
      </c>
      <c r="E11">
        <v>0.98099999999999998</v>
      </c>
      <c r="F11">
        <v>1.006</v>
      </c>
      <c r="G11">
        <v>1.008</v>
      </c>
      <c r="I11" s="9">
        <f t="shared" si="1"/>
        <v>-0.14850000831844395</v>
      </c>
      <c r="J11" s="10">
        <f t="shared" si="0"/>
        <v>-0.15899573149045795</v>
      </c>
      <c r="K11" s="10">
        <f t="shared" si="0"/>
        <v>-0.14618251017808145</v>
      </c>
      <c r="L11" s="10">
        <f t="shared" si="2"/>
        <v>-0.15122608332899445</v>
      </c>
      <c r="M11" s="11">
        <f t="shared" si="3"/>
        <v>6.8277575983880512E-3</v>
      </c>
      <c r="N11" s="10">
        <f t="shared" si="4"/>
        <v>-1.9182819416773987E-2</v>
      </c>
      <c r="O11" s="10">
        <f t="shared" si="4"/>
        <v>5.9820716775474689E-3</v>
      </c>
      <c r="P11" s="10">
        <f t="shared" si="4"/>
        <v>7.9681696491768813E-3</v>
      </c>
      <c r="Q11" s="10">
        <f t="shared" si="5"/>
        <v>-1.7441926966832125E-3</v>
      </c>
      <c r="R11" s="12">
        <f t="shared" si="6"/>
        <v>1.5134907422915594E-2</v>
      </c>
      <c r="T11">
        <v>7.5</v>
      </c>
      <c r="U11">
        <f t="shared" si="7"/>
        <v>0.91835977346135189</v>
      </c>
      <c r="V11">
        <f t="shared" si="8"/>
        <v>0.95825189936965327</v>
      </c>
    </row>
    <row r="12" spans="1:43" ht="15.75" thickBot="1" x14ac:dyDescent="0.3">
      <c r="A12">
        <v>7.25</v>
      </c>
      <c r="B12" s="7">
        <v>0.81499999999999995</v>
      </c>
      <c r="C12">
        <v>0.81399999999999995</v>
      </c>
      <c r="D12" s="8">
        <v>0.8</v>
      </c>
      <c r="E12">
        <v>1.1000000000000001</v>
      </c>
      <c r="F12">
        <v>1.075</v>
      </c>
      <c r="G12">
        <v>1.087</v>
      </c>
      <c r="I12" s="13">
        <f t="shared" si="1"/>
        <v>-0.2045671657412744</v>
      </c>
      <c r="J12" s="14">
        <f t="shared" si="0"/>
        <v>-0.20579491297959682</v>
      </c>
      <c r="K12" s="14">
        <f t="shared" si="0"/>
        <v>-0.22314355131420971</v>
      </c>
      <c r="L12" s="14">
        <f t="shared" si="2"/>
        <v>-0.21116854334502699</v>
      </c>
      <c r="M12" s="15">
        <f t="shared" si="3"/>
        <v>1.0388813826264987E-2</v>
      </c>
      <c r="N12" s="14">
        <f t="shared" si="4"/>
        <v>9.5310179804324935E-2</v>
      </c>
      <c r="O12" s="14">
        <f t="shared" si="4"/>
        <v>7.2320661579626078E-2</v>
      </c>
      <c r="P12" s="14">
        <f t="shared" si="4"/>
        <v>8.3421608139072359E-2</v>
      </c>
      <c r="Q12" s="14">
        <f t="shared" si="5"/>
        <v>8.3684149841007791E-2</v>
      </c>
      <c r="R12" s="16">
        <f t="shared" si="6"/>
        <v>1.1497007574142213E-2</v>
      </c>
      <c r="T12">
        <v>8.5</v>
      </c>
      <c r="U12">
        <f t="shared" si="7"/>
        <v>0.86494606038682598</v>
      </c>
      <c r="V12">
        <f t="shared" si="8"/>
        <v>1.0436786964086173</v>
      </c>
    </row>
    <row r="14" spans="1:43" x14ac:dyDescent="0.25">
      <c r="A14" t="s">
        <v>7</v>
      </c>
      <c r="B14" t="s">
        <v>110</v>
      </c>
      <c r="C14" t="s">
        <v>111</v>
      </c>
      <c r="D14" t="s">
        <v>112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 t="s">
        <v>100</v>
      </c>
      <c r="N14" t="s">
        <v>101</v>
      </c>
      <c r="O14" t="s">
        <v>102</v>
      </c>
      <c r="P14" t="s">
        <v>103</v>
      </c>
      <c r="Q14" t="s">
        <v>104</v>
      </c>
      <c r="R14" t="s">
        <v>105</v>
      </c>
      <c r="S14" t="s">
        <v>106</v>
      </c>
      <c r="T14" t="s">
        <v>107</v>
      </c>
      <c r="U14" t="s">
        <v>108</v>
      </c>
      <c r="V14" t="s">
        <v>109</v>
      </c>
      <c r="W14" t="s">
        <v>87</v>
      </c>
      <c r="X14" t="s">
        <v>88</v>
      </c>
      <c r="Y14" t="s">
        <v>89</v>
      </c>
      <c r="Z14" t="s">
        <v>69</v>
      </c>
      <c r="AA14" t="s">
        <v>70</v>
      </c>
      <c r="AB14" t="s">
        <v>71</v>
      </c>
      <c r="AC14" t="s">
        <v>72</v>
      </c>
      <c r="AD14" t="s">
        <v>73</v>
      </c>
      <c r="AE14" t="s">
        <v>74</v>
      </c>
      <c r="AF14" t="s">
        <v>75</v>
      </c>
      <c r="AG14" t="s">
        <v>76</v>
      </c>
      <c r="AH14" t="s">
        <v>77</v>
      </c>
      <c r="AI14" t="s">
        <v>78</v>
      </c>
      <c r="AJ14" t="s">
        <v>79</v>
      </c>
      <c r="AK14" t="s">
        <v>80</v>
      </c>
      <c r="AL14" t="s">
        <v>81</v>
      </c>
      <c r="AM14" t="s">
        <v>82</v>
      </c>
      <c r="AN14" t="s">
        <v>83</v>
      </c>
      <c r="AO14" t="s">
        <v>84</v>
      </c>
      <c r="AP14" t="s">
        <v>85</v>
      </c>
      <c r="AQ14" t="s">
        <v>86</v>
      </c>
    </row>
    <row r="15" spans="1:43" x14ac:dyDescent="0.25">
      <c r="A15" t="s">
        <v>0</v>
      </c>
      <c r="B15" s="1">
        <v>110838464</v>
      </c>
      <c r="C15" s="1">
        <v>98822376</v>
      </c>
      <c r="D15" s="1">
        <v>95639672</v>
      </c>
      <c r="E15" s="1">
        <v>78576744</v>
      </c>
      <c r="F15" s="1">
        <v>83529128</v>
      </c>
      <c r="G15" s="1">
        <v>78427848</v>
      </c>
      <c r="H15" s="1">
        <v>64620284</v>
      </c>
      <c r="I15" s="1">
        <v>70436168</v>
      </c>
      <c r="J15" s="1">
        <v>65976336</v>
      </c>
      <c r="K15" s="1">
        <v>45721508</v>
      </c>
      <c r="L15" s="1">
        <v>45880724</v>
      </c>
      <c r="M15" s="1">
        <v>47720428</v>
      </c>
      <c r="N15" s="1">
        <v>6434864</v>
      </c>
      <c r="O15" s="1">
        <v>4780700.5</v>
      </c>
      <c r="P15" s="1">
        <v>6557238.5</v>
      </c>
      <c r="Q15" s="1">
        <v>1437672</v>
      </c>
      <c r="R15" s="1">
        <v>1272824.6200000001</v>
      </c>
      <c r="S15" s="1">
        <v>1636763.62</v>
      </c>
      <c r="T15" s="1">
        <v>718139</v>
      </c>
      <c r="U15" s="1">
        <v>694834.56</v>
      </c>
      <c r="V15" s="1">
        <v>879319.25</v>
      </c>
      <c r="W15" s="1">
        <v>108789816</v>
      </c>
      <c r="X15" s="1">
        <v>102215864</v>
      </c>
      <c r="Y15" s="1">
        <v>108795232</v>
      </c>
      <c r="Z15" s="1">
        <v>91917656</v>
      </c>
      <c r="AA15" s="1">
        <v>98618688</v>
      </c>
      <c r="AB15" s="1">
        <v>87747464</v>
      </c>
      <c r="AC15" s="1">
        <v>87679432</v>
      </c>
      <c r="AD15" s="1">
        <v>96696936</v>
      </c>
      <c r="AE15" s="1">
        <v>82240480</v>
      </c>
      <c r="AF15" s="1">
        <v>81533416</v>
      </c>
      <c r="AG15" s="1">
        <v>77930744</v>
      </c>
      <c r="AH15" s="1">
        <v>85636728</v>
      </c>
      <c r="AI15" s="1">
        <v>72918880</v>
      </c>
      <c r="AJ15" s="1">
        <v>68332232</v>
      </c>
      <c r="AK15" s="1">
        <v>79202608</v>
      </c>
      <c r="AL15" s="1">
        <v>53343908</v>
      </c>
      <c r="AM15" s="1">
        <v>50603824</v>
      </c>
      <c r="AN15" s="1">
        <v>52096692</v>
      </c>
      <c r="AO15" s="1">
        <v>36751596</v>
      </c>
      <c r="AP15" s="1">
        <v>34215356</v>
      </c>
      <c r="AQ15" s="1">
        <v>36522452</v>
      </c>
    </row>
    <row r="16" spans="1:43" x14ac:dyDescent="0.25">
      <c r="A16" t="s">
        <v>1</v>
      </c>
      <c r="B16" s="1">
        <v>7031841.5</v>
      </c>
      <c r="C16" s="1">
        <v>6091118</v>
      </c>
      <c r="D16" s="1">
        <v>5961265.5</v>
      </c>
      <c r="E16" s="1">
        <v>4915261.5</v>
      </c>
      <c r="F16" s="1">
        <v>5148149.5</v>
      </c>
      <c r="G16" s="1">
        <v>4942709.5</v>
      </c>
      <c r="H16" s="1">
        <v>3972854</v>
      </c>
      <c r="I16" s="1">
        <v>4347439.5</v>
      </c>
      <c r="J16" s="1">
        <v>4193084.25</v>
      </c>
      <c r="K16" s="1">
        <v>2825258</v>
      </c>
      <c r="L16" s="1">
        <v>2858536</v>
      </c>
      <c r="M16" s="1">
        <v>2777365.75</v>
      </c>
      <c r="N16" s="1">
        <v>378316.72</v>
      </c>
      <c r="O16" s="1">
        <v>296229.19</v>
      </c>
      <c r="P16" s="1">
        <v>431980.75</v>
      </c>
      <c r="Q16" s="1">
        <v>110382.46</v>
      </c>
      <c r="R16" s="1">
        <v>93183.24</v>
      </c>
      <c r="S16" s="1">
        <v>80152.62</v>
      </c>
      <c r="T16" s="1">
        <v>50847.35</v>
      </c>
      <c r="U16" s="1">
        <v>64363.46</v>
      </c>
      <c r="V16" s="1">
        <v>60636.19</v>
      </c>
      <c r="W16" s="1">
        <v>6858482</v>
      </c>
      <c r="X16" s="1">
        <v>6683541.5</v>
      </c>
      <c r="Y16" s="1">
        <v>6634842.5</v>
      </c>
      <c r="Z16" s="1">
        <v>5946106.5</v>
      </c>
      <c r="AA16" s="1">
        <v>5956574</v>
      </c>
      <c r="AB16" s="1">
        <v>5400238.5</v>
      </c>
      <c r="AC16" s="1">
        <v>5605412</v>
      </c>
      <c r="AD16" s="1">
        <v>5978951.5</v>
      </c>
      <c r="AE16" s="1">
        <v>5279970.5</v>
      </c>
      <c r="AF16" s="1">
        <v>5095772</v>
      </c>
      <c r="AG16" s="1">
        <v>4911033</v>
      </c>
      <c r="AH16" s="1">
        <v>5235596</v>
      </c>
      <c r="AI16" s="1">
        <v>4538499</v>
      </c>
      <c r="AJ16" s="1">
        <v>4372707.5</v>
      </c>
      <c r="AK16" s="1">
        <v>4882346</v>
      </c>
      <c r="AL16" s="1">
        <v>3368991.25</v>
      </c>
      <c r="AM16" s="1">
        <v>3149826</v>
      </c>
      <c r="AN16" s="1">
        <v>3395284.75</v>
      </c>
      <c r="AO16" s="1">
        <v>2209912.75</v>
      </c>
      <c r="AP16" s="1">
        <v>2099401</v>
      </c>
      <c r="AQ16" s="1">
        <v>2170822.75</v>
      </c>
    </row>
    <row r="17" spans="1:43" x14ac:dyDescent="0.25">
      <c r="A17" t="s">
        <v>2</v>
      </c>
      <c r="B17" s="1">
        <v>1136379.3799999999</v>
      </c>
      <c r="C17" s="1">
        <v>1104123.75</v>
      </c>
      <c r="D17" s="1">
        <v>1108108.3799999999</v>
      </c>
      <c r="E17" s="1">
        <v>851811</v>
      </c>
      <c r="F17" s="1">
        <v>873529.94</v>
      </c>
      <c r="G17" s="1">
        <v>712875.69</v>
      </c>
      <c r="H17" s="1">
        <v>749308</v>
      </c>
      <c r="I17" s="1">
        <v>786262.19</v>
      </c>
      <c r="J17" s="1">
        <v>683887.44</v>
      </c>
      <c r="K17" s="1">
        <v>484384.41</v>
      </c>
      <c r="L17" s="1">
        <v>472214.59</v>
      </c>
      <c r="M17" s="1">
        <v>471693.88</v>
      </c>
      <c r="N17" s="1">
        <v>60975.89</v>
      </c>
      <c r="O17" s="1">
        <v>57125.85</v>
      </c>
      <c r="P17" s="1">
        <v>80056.070000000007</v>
      </c>
      <c r="Q17" s="1">
        <v>12921.79</v>
      </c>
      <c r="R17" s="1">
        <v>7797.64</v>
      </c>
      <c r="S17" s="1">
        <v>10405.36</v>
      </c>
      <c r="T17" s="1">
        <v>0</v>
      </c>
      <c r="U17" s="1">
        <v>0</v>
      </c>
      <c r="V17" s="1">
        <v>6985.57</v>
      </c>
      <c r="W17" s="1">
        <v>1153681.1200000001</v>
      </c>
      <c r="X17" s="1">
        <v>1136363</v>
      </c>
      <c r="Y17" s="1">
        <v>1154738.5</v>
      </c>
      <c r="Z17" s="1">
        <v>943405.5</v>
      </c>
      <c r="AA17" s="1">
        <v>1054741.75</v>
      </c>
      <c r="AB17" s="1">
        <v>955889.69</v>
      </c>
      <c r="AC17" s="1">
        <v>951667.19</v>
      </c>
      <c r="AD17" s="1">
        <v>858657.06</v>
      </c>
      <c r="AE17" s="1">
        <v>870827.44</v>
      </c>
      <c r="AF17" s="1">
        <v>846619.5</v>
      </c>
      <c r="AG17" s="1">
        <v>796223.25</v>
      </c>
      <c r="AH17" s="1">
        <v>902201.81</v>
      </c>
      <c r="AI17" s="1">
        <v>784631.31</v>
      </c>
      <c r="AJ17" s="1">
        <v>725090.31</v>
      </c>
      <c r="AK17" s="1">
        <v>852554</v>
      </c>
      <c r="AL17" s="1">
        <v>550697.68999999994</v>
      </c>
      <c r="AM17" s="1">
        <v>563977.06000000006</v>
      </c>
      <c r="AN17" s="1">
        <v>636645.5</v>
      </c>
      <c r="AO17" s="1">
        <v>403217.34</v>
      </c>
      <c r="AP17" s="1">
        <v>350169</v>
      </c>
      <c r="AQ17" s="1">
        <v>341777.72</v>
      </c>
    </row>
    <row r="18" spans="1:43" x14ac:dyDescent="0.25">
      <c r="A18" t="s">
        <v>3</v>
      </c>
      <c r="B18" s="1">
        <v>84835.1</v>
      </c>
      <c r="C18" s="1">
        <v>68406.990000000005</v>
      </c>
      <c r="D18" s="1">
        <v>71244.28</v>
      </c>
      <c r="E18" s="1">
        <v>65389.82</v>
      </c>
      <c r="F18" s="1">
        <v>64042.16</v>
      </c>
      <c r="G18" s="1">
        <v>80251.34</v>
      </c>
      <c r="H18" s="1">
        <v>37710.32</v>
      </c>
      <c r="I18" s="1">
        <v>39372.03</v>
      </c>
      <c r="J18" s="1">
        <v>37729.79</v>
      </c>
      <c r="K18" s="1">
        <v>12519.3</v>
      </c>
      <c r="L18" s="1">
        <v>16513.45</v>
      </c>
      <c r="M18" s="1">
        <v>10224.64</v>
      </c>
      <c r="N18" s="1">
        <v>7288.07</v>
      </c>
      <c r="O18" s="1">
        <v>8990.5</v>
      </c>
      <c r="P18" s="1">
        <v>4061.75</v>
      </c>
      <c r="Q18" s="1">
        <v>1756.08</v>
      </c>
      <c r="R18" s="1">
        <v>9266.76</v>
      </c>
      <c r="S18" s="1">
        <v>0</v>
      </c>
      <c r="T18" s="1">
        <v>5559.6</v>
      </c>
      <c r="U18" s="1">
        <v>5743.22</v>
      </c>
      <c r="V18" s="1">
        <v>0</v>
      </c>
      <c r="W18" s="1">
        <v>76060.67</v>
      </c>
      <c r="X18" s="1">
        <v>55382.93</v>
      </c>
      <c r="Y18" s="1">
        <v>88987.46</v>
      </c>
      <c r="Z18" s="1">
        <v>45029.99</v>
      </c>
      <c r="AA18" s="1">
        <v>87106.46</v>
      </c>
      <c r="AB18" s="1">
        <v>88591.94</v>
      </c>
      <c r="AC18" s="1">
        <v>75743.13</v>
      </c>
      <c r="AD18" s="1">
        <v>59726.89</v>
      </c>
      <c r="AE18" s="1">
        <v>46949.69</v>
      </c>
      <c r="AF18" s="1">
        <v>71248.45</v>
      </c>
      <c r="AG18" s="1">
        <v>43134.78</v>
      </c>
      <c r="AH18" s="1">
        <v>52771.53</v>
      </c>
      <c r="AI18" s="1">
        <v>33230.85</v>
      </c>
      <c r="AJ18" s="1">
        <v>45751.75</v>
      </c>
      <c r="AK18" s="1">
        <v>70765.570000000007</v>
      </c>
      <c r="AL18" s="1">
        <v>29138.26</v>
      </c>
      <c r="AM18" s="1">
        <v>31752.65</v>
      </c>
      <c r="AN18" s="1">
        <v>18356.21</v>
      </c>
      <c r="AO18" s="1">
        <v>26285.35</v>
      </c>
      <c r="AP18" s="1">
        <v>12099.32</v>
      </c>
      <c r="AQ18" s="1">
        <v>14409.09</v>
      </c>
    </row>
    <row r="19" spans="1:43" x14ac:dyDescent="0.25">
      <c r="A19" t="s">
        <v>4</v>
      </c>
      <c r="B19" s="1">
        <v>172460.79999999999</v>
      </c>
      <c r="C19" s="1">
        <v>170674.58</v>
      </c>
      <c r="D19" s="1">
        <v>131933.56</v>
      </c>
      <c r="E19" s="1">
        <v>154877.89000000001</v>
      </c>
      <c r="F19" s="1">
        <v>192983.36</v>
      </c>
      <c r="G19" s="1">
        <v>126611.34</v>
      </c>
      <c r="H19" s="1">
        <v>159972.70000000001</v>
      </c>
      <c r="I19" s="1">
        <v>220372.88</v>
      </c>
      <c r="J19" s="1">
        <v>164773.04999999999</v>
      </c>
      <c r="K19" s="1">
        <v>211607.25</v>
      </c>
      <c r="L19" s="1">
        <v>228271.55</v>
      </c>
      <c r="M19" s="1">
        <v>190713.38</v>
      </c>
      <c r="N19" s="1">
        <v>253616.36</v>
      </c>
      <c r="O19" s="1">
        <v>320364.40999999997</v>
      </c>
      <c r="P19" s="1">
        <v>263222.21999999997</v>
      </c>
      <c r="Q19" s="1">
        <v>276469.5</v>
      </c>
      <c r="R19" s="1">
        <v>277528.94</v>
      </c>
      <c r="S19" s="1">
        <v>264746.09000000003</v>
      </c>
      <c r="T19" s="1">
        <v>261009.25</v>
      </c>
      <c r="U19" s="1">
        <v>297397.09000000003</v>
      </c>
      <c r="V19" s="1">
        <v>259961.7</v>
      </c>
      <c r="W19" s="1">
        <v>144832.72</v>
      </c>
      <c r="X19" s="1">
        <v>141817.34</v>
      </c>
      <c r="Y19" s="1">
        <v>134454.73000000001</v>
      </c>
      <c r="Z19" s="1">
        <v>149591.25</v>
      </c>
      <c r="AA19" s="1">
        <v>156727.06</v>
      </c>
      <c r="AB19" s="1">
        <v>128613</v>
      </c>
      <c r="AC19" s="1">
        <v>160172.12</v>
      </c>
      <c r="AD19" s="1">
        <v>165598.04999999999</v>
      </c>
      <c r="AE19" s="1">
        <v>173310.7</v>
      </c>
      <c r="AF19" s="1">
        <v>182203.67</v>
      </c>
      <c r="AG19" s="1">
        <v>165323.88</v>
      </c>
      <c r="AH19" s="1">
        <v>166692.17000000001</v>
      </c>
      <c r="AI19" s="1">
        <v>190340.38</v>
      </c>
      <c r="AJ19" s="1">
        <v>166128.47</v>
      </c>
      <c r="AK19" s="1">
        <v>158004.82999999999</v>
      </c>
      <c r="AL19" s="1">
        <v>204435.52</v>
      </c>
      <c r="AM19" s="1">
        <v>205408</v>
      </c>
      <c r="AN19" s="1">
        <v>198469.12</v>
      </c>
      <c r="AO19" s="1">
        <v>228729.94</v>
      </c>
      <c r="AP19" s="1">
        <v>208534.48</v>
      </c>
      <c r="AQ19" s="1">
        <v>223102.95</v>
      </c>
    </row>
    <row r="20" spans="1:43" x14ac:dyDescent="0.25">
      <c r="A20" t="s">
        <v>5</v>
      </c>
      <c r="B20" s="1">
        <v>3638329.25</v>
      </c>
      <c r="C20" s="1">
        <v>3019185</v>
      </c>
      <c r="D20" s="1">
        <v>3222960.25</v>
      </c>
      <c r="E20" s="1">
        <v>3437687.25</v>
      </c>
      <c r="F20" s="1">
        <v>3745118</v>
      </c>
      <c r="G20" s="1">
        <v>3272734</v>
      </c>
      <c r="H20" s="1">
        <v>3922603.25</v>
      </c>
      <c r="I20" s="1">
        <v>4304576.5</v>
      </c>
      <c r="J20" s="1">
        <v>3674937.75</v>
      </c>
      <c r="K20" s="1">
        <v>4381556</v>
      </c>
      <c r="L20" s="1">
        <v>4862922.5</v>
      </c>
      <c r="M20" s="1">
        <v>4450507.5</v>
      </c>
      <c r="N20" s="1">
        <v>6295567.5</v>
      </c>
      <c r="O20" s="1">
        <v>5906378.5</v>
      </c>
      <c r="P20" s="1">
        <v>5815063.5</v>
      </c>
      <c r="Q20" s="1">
        <v>6080571.5</v>
      </c>
      <c r="R20" s="1">
        <v>6208347.5</v>
      </c>
      <c r="S20" s="1">
        <v>6355169.5</v>
      </c>
      <c r="T20" s="1">
        <v>5996132.5</v>
      </c>
      <c r="U20" s="1">
        <v>6011954.5</v>
      </c>
      <c r="V20" s="1">
        <v>6535085.5</v>
      </c>
      <c r="W20" s="1">
        <v>3210430</v>
      </c>
      <c r="X20" s="1">
        <v>3058360.75</v>
      </c>
      <c r="Y20" s="1">
        <v>3138057.25</v>
      </c>
      <c r="Z20" s="1">
        <v>3209988</v>
      </c>
      <c r="AA20" s="1">
        <v>3442825.25</v>
      </c>
      <c r="AB20" s="1">
        <v>3142024.75</v>
      </c>
      <c r="AC20" s="1">
        <v>3417744.75</v>
      </c>
      <c r="AD20" s="1">
        <v>3617176</v>
      </c>
      <c r="AE20" s="1">
        <v>3537055.25</v>
      </c>
      <c r="AF20" s="1">
        <v>3652549.75</v>
      </c>
      <c r="AG20" s="1">
        <v>3166471.25</v>
      </c>
      <c r="AH20" s="1">
        <v>3633430.75</v>
      </c>
      <c r="AI20" s="1">
        <v>4342028.5</v>
      </c>
      <c r="AJ20" s="1">
        <v>3926973</v>
      </c>
      <c r="AK20" s="1">
        <v>4124494.75</v>
      </c>
      <c r="AL20" s="1">
        <v>4311614</v>
      </c>
      <c r="AM20" s="1">
        <v>4493846.5</v>
      </c>
      <c r="AN20" s="1">
        <v>4275467.5</v>
      </c>
      <c r="AO20" s="1">
        <v>4764142</v>
      </c>
      <c r="AP20" s="1">
        <v>5133354.5</v>
      </c>
      <c r="AQ20" s="1">
        <v>5269158.5</v>
      </c>
    </row>
    <row r="21" spans="1:43" x14ac:dyDescent="0.25">
      <c r="A21" t="s">
        <v>6</v>
      </c>
      <c r="B21" s="1">
        <v>46654996</v>
      </c>
      <c r="C21" s="1">
        <v>40762388</v>
      </c>
      <c r="D21" s="1">
        <v>41179332</v>
      </c>
      <c r="E21" s="1">
        <v>46127120</v>
      </c>
      <c r="F21" s="1">
        <v>49039164</v>
      </c>
      <c r="G21" s="1">
        <v>44970368</v>
      </c>
      <c r="H21" s="1">
        <v>48329244</v>
      </c>
      <c r="I21" s="1">
        <v>56613568</v>
      </c>
      <c r="J21" s="1">
        <v>48907332</v>
      </c>
      <c r="K21" s="1">
        <v>57939536</v>
      </c>
      <c r="L21" s="1">
        <v>64637652</v>
      </c>
      <c r="M21" s="1">
        <v>59668124</v>
      </c>
      <c r="N21" s="1">
        <v>81304712</v>
      </c>
      <c r="O21" s="1">
        <v>78411304</v>
      </c>
      <c r="P21" s="1">
        <v>74509800</v>
      </c>
      <c r="Q21" s="1">
        <v>79132072</v>
      </c>
      <c r="R21" s="1">
        <v>80269928</v>
      </c>
      <c r="S21" s="1">
        <v>83677880</v>
      </c>
      <c r="T21" s="1">
        <v>77755296</v>
      </c>
      <c r="U21" s="1">
        <v>78715688</v>
      </c>
      <c r="V21" s="1">
        <v>87674360</v>
      </c>
      <c r="W21" s="1">
        <v>40475244</v>
      </c>
      <c r="X21" s="1">
        <v>41300932</v>
      </c>
      <c r="Y21" s="1">
        <v>42063092</v>
      </c>
      <c r="Z21" s="1">
        <v>43490740</v>
      </c>
      <c r="AA21" s="1">
        <v>45189132</v>
      </c>
      <c r="AB21" s="1">
        <v>44403020</v>
      </c>
      <c r="AC21" s="1">
        <v>45174732</v>
      </c>
      <c r="AD21" s="1">
        <v>46482820</v>
      </c>
      <c r="AE21" s="1">
        <v>47059392</v>
      </c>
      <c r="AF21" s="1">
        <v>47735328</v>
      </c>
      <c r="AG21" s="1">
        <v>47189420</v>
      </c>
      <c r="AH21" s="1">
        <v>47154284</v>
      </c>
      <c r="AI21" s="1">
        <v>55595904</v>
      </c>
      <c r="AJ21" s="1">
        <v>51503676</v>
      </c>
      <c r="AK21" s="1">
        <v>53204000</v>
      </c>
      <c r="AL21" s="1">
        <v>57373372</v>
      </c>
      <c r="AM21" s="1">
        <v>57215124</v>
      </c>
      <c r="AN21" s="1">
        <v>55352960</v>
      </c>
      <c r="AO21" s="1">
        <v>68035688</v>
      </c>
      <c r="AP21" s="1">
        <v>66515040</v>
      </c>
      <c r="AQ21" s="1">
        <v>67422952</v>
      </c>
    </row>
    <row r="22" spans="1:43" x14ac:dyDescent="0.25">
      <c r="A22" t="s">
        <v>8</v>
      </c>
      <c r="B22" s="2">
        <f>SUM(B15:B16)/SUM(B15:B21)</f>
        <v>0.69516500503461098</v>
      </c>
      <c r="C22" s="2">
        <f t="shared" ref="C22:AQ22" si="9">SUM(C15:C16)/SUM(C15:C21)</f>
        <v>0.69924488184082556</v>
      </c>
      <c r="D22" s="2">
        <f t="shared" si="9"/>
        <v>0.68968720991956156</v>
      </c>
      <c r="E22" s="2">
        <f t="shared" si="9"/>
        <v>0.62247592290658005</v>
      </c>
      <c r="F22" s="2">
        <f t="shared" si="9"/>
        <v>0.62189467857234459</v>
      </c>
      <c r="G22" s="2">
        <f t="shared" si="9"/>
        <v>0.62905319594821607</v>
      </c>
      <c r="H22" s="2">
        <f t="shared" si="9"/>
        <v>0.56319915400614107</v>
      </c>
      <c r="I22" s="2">
        <f t="shared" si="9"/>
        <v>0.54687263610157399</v>
      </c>
      <c r="J22" s="2">
        <f t="shared" si="9"/>
        <v>0.56753890137317808</v>
      </c>
      <c r="K22" s="2">
        <f t="shared" si="9"/>
        <v>0.43509899499780247</v>
      </c>
      <c r="L22" s="2">
        <f t="shared" si="9"/>
        <v>0.40972223557265314</v>
      </c>
      <c r="M22" s="2">
        <f t="shared" si="9"/>
        <v>0.43801029341664627</v>
      </c>
      <c r="N22" s="2">
        <f t="shared" si="9"/>
        <v>7.1918047490664563E-2</v>
      </c>
      <c r="O22" s="2">
        <f t="shared" si="9"/>
        <v>5.6547871307686064E-2</v>
      </c>
      <c r="P22" s="2">
        <f t="shared" si="9"/>
        <v>7.9729703529262105E-2</v>
      </c>
      <c r="Q22" s="2">
        <f t="shared" si="9"/>
        <v>1.7783132041963804E-2</v>
      </c>
      <c r="R22" s="2">
        <f t="shared" si="9"/>
        <v>1.5498357945376448E-2</v>
      </c>
      <c r="S22" s="2">
        <f t="shared" si="9"/>
        <v>1.865703943038902E-2</v>
      </c>
      <c r="T22" s="2">
        <f t="shared" si="9"/>
        <v>9.0696273937623268E-3</v>
      </c>
      <c r="U22" s="2">
        <f t="shared" si="9"/>
        <v>8.8494951584662807E-3</v>
      </c>
      <c r="V22" s="2">
        <f t="shared" si="9"/>
        <v>9.8510942583054026E-3</v>
      </c>
      <c r="W22" s="2">
        <f t="shared" si="9"/>
        <v>0.71961510766823999</v>
      </c>
      <c r="X22" s="2">
        <f t="shared" si="9"/>
        <v>0.70442986233118399</v>
      </c>
      <c r="Y22" s="2">
        <f t="shared" si="9"/>
        <v>0.71248996253639951</v>
      </c>
      <c r="Z22" s="2">
        <f t="shared" si="9"/>
        <v>0.67166830301771385</v>
      </c>
      <c r="AA22" s="2">
        <f t="shared" si="9"/>
        <v>0.67683715245037801</v>
      </c>
      <c r="AB22" s="2">
        <f t="shared" si="9"/>
        <v>0.6565900661188816</v>
      </c>
      <c r="AC22" s="2">
        <f t="shared" si="9"/>
        <v>0.65204562348958039</v>
      </c>
      <c r="AD22" s="2">
        <f t="shared" si="9"/>
        <v>0.66733379212527644</v>
      </c>
      <c r="AE22" s="2">
        <f t="shared" si="9"/>
        <v>0.62870280131813117</v>
      </c>
      <c r="AF22" s="2">
        <f t="shared" si="9"/>
        <v>0.62270680404814882</v>
      </c>
      <c r="AG22" s="2">
        <f t="shared" si="9"/>
        <v>0.6172900616213769</v>
      </c>
      <c r="AH22" s="2">
        <f t="shared" si="9"/>
        <v>0.63644235422855711</v>
      </c>
      <c r="AI22" s="2">
        <f t="shared" si="9"/>
        <v>0.55964893331836973</v>
      </c>
      <c r="AJ22" s="2">
        <f t="shared" si="9"/>
        <v>0.56328734818917925</v>
      </c>
      <c r="AK22" s="2">
        <f t="shared" si="9"/>
        <v>0.59009149698063867</v>
      </c>
      <c r="AL22" s="2">
        <f t="shared" si="9"/>
        <v>0.47585058712469991</v>
      </c>
      <c r="AM22" s="2">
        <f t="shared" si="9"/>
        <v>0.46234227095005925</v>
      </c>
      <c r="AN22" s="2">
        <f t="shared" si="9"/>
        <v>0.47848687225222963</v>
      </c>
      <c r="AO22" s="2">
        <f t="shared" si="9"/>
        <v>0.34657229405636614</v>
      </c>
      <c r="AP22" s="2">
        <f t="shared" si="9"/>
        <v>0.33459351254835834</v>
      </c>
      <c r="AQ22" s="2">
        <f t="shared" si="9"/>
        <v>0.34558466540044125</v>
      </c>
    </row>
    <row r="23" spans="1:43" x14ac:dyDescent="0.25">
      <c r="A23" t="s">
        <v>9</v>
      </c>
      <c r="B23" s="2">
        <v>5</v>
      </c>
    </row>
    <row r="24" spans="1:43" x14ac:dyDescent="0.25">
      <c r="A24" t="s">
        <v>10</v>
      </c>
      <c r="B24" s="2">
        <f>(B22/(1-B22))*$B$23</f>
        <v>11.402316277918485</v>
      </c>
      <c r="C24" s="2">
        <f t="shared" ref="C24:AQ24" si="10">(C22/(1-C22))*$B$23</f>
        <v>11.624820985934987</v>
      </c>
      <c r="D24" s="2">
        <f t="shared" si="10"/>
        <v>11.112774464448963</v>
      </c>
      <c r="E24" s="2">
        <f t="shared" si="10"/>
        <v>8.2441883932153246</v>
      </c>
      <c r="F24" s="2">
        <f t="shared" si="10"/>
        <v>8.2238286970438015</v>
      </c>
      <c r="G24" s="2">
        <f t="shared" si="10"/>
        <v>8.47902164241858</v>
      </c>
      <c r="H24" s="2">
        <f t="shared" si="10"/>
        <v>6.446864276609702</v>
      </c>
      <c r="I24" s="2">
        <f t="shared" si="10"/>
        <v>6.0344251933564763</v>
      </c>
      <c r="J24" s="2">
        <f t="shared" si="10"/>
        <v>6.5617335660393952</v>
      </c>
      <c r="K24" s="2">
        <f t="shared" si="10"/>
        <v>3.8511083459314244</v>
      </c>
      <c r="L24" s="2">
        <f t="shared" si="10"/>
        <v>3.470588426875115</v>
      </c>
      <c r="M24" s="2">
        <f t="shared" si="10"/>
        <v>3.8969601069702255</v>
      </c>
      <c r="N24" s="2">
        <f t="shared" si="10"/>
        <v>0.38745526349377613</v>
      </c>
      <c r="O24" s="2">
        <f t="shared" si="10"/>
        <v>0.29968595961548727</v>
      </c>
      <c r="P24" s="2">
        <f t="shared" si="10"/>
        <v>0.43318633577019561</v>
      </c>
      <c r="Q24" s="2">
        <f t="shared" si="10"/>
        <v>9.0525486896461865E-2</v>
      </c>
      <c r="R24" s="2">
        <f t="shared" si="10"/>
        <v>7.8711691699324488E-2</v>
      </c>
      <c r="S24" s="2">
        <f t="shared" si="10"/>
        <v>9.5058711276431451E-2</v>
      </c>
      <c r="T24" s="2">
        <f t="shared" si="10"/>
        <v>4.5763192069228714E-2</v>
      </c>
      <c r="U24" s="2">
        <f t="shared" si="10"/>
        <v>4.4642539731547373E-2</v>
      </c>
      <c r="V24" s="2">
        <f t="shared" si="10"/>
        <v>4.9745519089001093E-2</v>
      </c>
      <c r="W24" s="2">
        <f t="shared" si="10"/>
        <v>12.832629848272447</v>
      </c>
      <c r="X24" s="2">
        <f t="shared" si="10"/>
        <v>11.916458609233588</v>
      </c>
      <c r="Y24" s="2">
        <f t="shared" si="10"/>
        <v>12.390697187860834</v>
      </c>
      <c r="Z24" s="2">
        <f t="shared" si="10"/>
        <v>10.228502291905601</v>
      </c>
      <c r="AA24" s="2">
        <f t="shared" si="10"/>
        <v>10.472075574009928</v>
      </c>
      <c r="AB24" s="2">
        <f t="shared" si="10"/>
        <v>9.5598583695336519</v>
      </c>
      <c r="AC24" s="2">
        <f t="shared" si="10"/>
        <v>9.369699988096782</v>
      </c>
      <c r="AD24" s="2">
        <f t="shared" si="10"/>
        <v>10.030080848737468</v>
      </c>
      <c r="AE24" s="2">
        <f t="shared" si="10"/>
        <v>8.4663014365590463</v>
      </c>
      <c r="AF24" s="2">
        <f t="shared" si="10"/>
        <v>8.2522930539094119</v>
      </c>
      <c r="AG24" s="2">
        <f t="shared" si="10"/>
        <v>8.0647247395320925</v>
      </c>
      <c r="AH24" s="2">
        <f t="shared" si="10"/>
        <v>8.7529771637462428</v>
      </c>
      <c r="AI24" s="2">
        <f t="shared" si="10"/>
        <v>6.354576787286299</v>
      </c>
      <c r="AJ24" s="2">
        <f t="shared" si="10"/>
        <v>6.4491759725018145</v>
      </c>
      <c r="AK24" s="2">
        <f t="shared" si="10"/>
        <v>7.1978440631758103</v>
      </c>
      <c r="AL24" s="2">
        <f t="shared" si="10"/>
        <v>4.5392647157072084</v>
      </c>
      <c r="AM24" s="2">
        <f t="shared" si="10"/>
        <v>4.2995966203911324</v>
      </c>
      <c r="AN24" s="2">
        <f t="shared" si="10"/>
        <v>4.5874863622191464</v>
      </c>
      <c r="AO24" s="2">
        <f t="shared" si="10"/>
        <v>2.6519559157341748</v>
      </c>
      <c r="AP24" s="2">
        <f t="shared" si="10"/>
        <v>2.5142038652927541</v>
      </c>
      <c r="AQ24" s="2">
        <f t="shared" si="10"/>
        <v>2.6404077588730934</v>
      </c>
    </row>
    <row r="25" spans="1:43" x14ac:dyDescent="0.25">
      <c r="A25" t="s">
        <v>12</v>
      </c>
      <c r="B25" s="2">
        <v>186.11</v>
      </c>
    </row>
    <row r="26" spans="1:43" x14ac:dyDescent="0.25">
      <c r="A26" t="s">
        <v>11</v>
      </c>
      <c r="B26">
        <v>180.15600000000001</v>
      </c>
    </row>
    <row r="27" spans="1:43" x14ac:dyDescent="0.25">
      <c r="A27" t="s">
        <v>13</v>
      </c>
      <c r="B27" s="2">
        <f>B24*($B$26/$B$25)</f>
        <v>11.037535282170129</v>
      </c>
      <c r="C27" s="2">
        <f>C24*($B$26/$B$25)</f>
        <v>11.252921656773433</v>
      </c>
      <c r="D27" s="2">
        <f>D24*($B$26/$B$25)</f>
        <v>10.757256441981985</v>
      </c>
      <c r="E27" s="2">
        <f t="shared" ref="E27:AQ27" si="11">E24*($B$26/$B$25)</f>
        <v>7.9804416966745473</v>
      </c>
      <c r="F27" s="2">
        <f t="shared" si="11"/>
        <v>7.9607333444985393</v>
      </c>
      <c r="G27" s="2">
        <f t="shared" si="11"/>
        <v>8.2077621998364503</v>
      </c>
      <c r="H27" s="2">
        <f t="shared" si="11"/>
        <v>6.2406172726715248</v>
      </c>
      <c r="I27" s="2">
        <f t="shared" si="11"/>
        <v>5.8413728716045856</v>
      </c>
      <c r="J27" s="2">
        <f t="shared" si="11"/>
        <v>6.3518116830014151</v>
      </c>
      <c r="K27" s="2">
        <f t="shared" si="11"/>
        <v>3.7279043316835296</v>
      </c>
      <c r="L27" s="2">
        <f t="shared" si="11"/>
        <v>3.3595579422498156</v>
      </c>
      <c r="M27" s="2">
        <f t="shared" si="11"/>
        <v>3.7722892108501851</v>
      </c>
      <c r="N27" s="2">
        <f t="shared" si="11"/>
        <v>0.37505985949161641</v>
      </c>
      <c r="O27" s="2">
        <f t="shared" si="11"/>
        <v>0.29009845650683858</v>
      </c>
      <c r="P27" s="2">
        <f t="shared" si="11"/>
        <v>0.41932791095059568</v>
      </c>
      <c r="Q27" s="2">
        <f t="shared" si="11"/>
        <v>8.7629410656702933E-2</v>
      </c>
      <c r="R27" s="2">
        <f t="shared" si="11"/>
        <v>7.6193560420092968E-2</v>
      </c>
      <c r="S27" s="2">
        <f t="shared" si="11"/>
        <v>9.2017608880322302E-2</v>
      </c>
      <c r="T27" s="2">
        <f t="shared" si="11"/>
        <v>4.4299143680747777E-2</v>
      </c>
      <c r="U27" s="2">
        <f t="shared" si="11"/>
        <v>4.3214343065265962E-2</v>
      </c>
      <c r="V27" s="2">
        <f t="shared" si="11"/>
        <v>4.8154068760400195E-2</v>
      </c>
      <c r="W27" s="2">
        <f t="shared" si="11"/>
        <v>12.422090499948261</v>
      </c>
      <c r="X27" s="2">
        <f t="shared" si="11"/>
        <v>11.535229257993048</v>
      </c>
      <c r="Y27" s="2">
        <f t="shared" si="11"/>
        <v>11.994296075311677</v>
      </c>
      <c r="Z27" s="2">
        <f t="shared" si="11"/>
        <v>9.9012737569208831</v>
      </c>
      <c r="AA27" s="2">
        <f t="shared" si="11"/>
        <v>10.137054683312732</v>
      </c>
      <c r="AB27" s="2">
        <f t="shared" si="11"/>
        <v>9.2540209791075423</v>
      </c>
      <c r="AC27" s="2">
        <f t="shared" si="11"/>
        <v>9.0699461128126586</v>
      </c>
      <c r="AD27" s="2">
        <f t="shared" si="11"/>
        <v>9.7092001793839522</v>
      </c>
      <c r="AE27" s="2">
        <f t="shared" si="11"/>
        <v>8.1954489366757919</v>
      </c>
      <c r="AF27" s="2">
        <f t="shared" si="11"/>
        <v>7.9882870744189134</v>
      </c>
      <c r="AG27" s="2">
        <f t="shared" si="11"/>
        <v>7.8067194141913046</v>
      </c>
      <c r="AH27" s="2">
        <f t="shared" si="11"/>
        <v>8.4729533819347065</v>
      </c>
      <c r="AI27" s="2">
        <f t="shared" si="11"/>
        <v>6.1512822292748934</v>
      </c>
      <c r="AJ27" s="2">
        <f t="shared" si="11"/>
        <v>6.2428550131752019</v>
      </c>
      <c r="AK27" s="2">
        <f t="shared" si="11"/>
        <v>6.9675718394793469</v>
      </c>
      <c r="AL27" s="2">
        <f t="shared" si="11"/>
        <v>4.3940453179460954</v>
      </c>
      <c r="AM27" s="2">
        <f t="shared" si="11"/>
        <v>4.1620446442597654</v>
      </c>
      <c r="AN27" s="2">
        <f t="shared" si="11"/>
        <v>4.4407242656061072</v>
      </c>
      <c r="AO27" s="2">
        <f t="shared" si="11"/>
        <v>2.5671149855193489</v>
      </c>
      <c r="AP27" s="2">
        <f t="shared" si="11"/>
        <v>2.4337698756417248</v>
      </c>
      <c r="AQ27" s="2">
        <f t="shared" si="11"/>
        <v>2.555936275361566</v>
      </c>
    </row>
    <row r="29" spans="1:43" ht="45" x14ac:dyDescent="0.25">
      <c r="A29" s="4" t="s">
        <v>14</v>
      </c>
      <c r="B29" s="5" t="s">
        <v>67</v>
      </c>
      <c r="C29" s="5" t="s">
        <v>115</v>
      </c>
      <c r="D29" s="5" t="s">
        <v>116</v>
      </c>
      <c r="E29" s="6" t="s">
        <v>68</v>
      </c>
      <c r="F29" s="6" t="s">
        <v>117</v>
      </c>
      <c r="G29" s="6" t="s">
        <v>118</v>
      </c>
      <c r="H29" s="3"/>
    </row>
    <row r="30" spans="1:43" x14ac:dyDescent="0.25">
      <c r="A30">
        <v>-3.5</v>
      </c>
      <c r="B30">
        <f>U4</f>
        <v>0.1410122025167489</v>
      </c>
      <c r="C30" s="2">
        <f>AVERAGE(B27:D27)</f>
        <v>11.015904460308517</v>
      </c>
      <c r="D30" s="2">
        <f t="shared" ref="D30:D36" si="12">(C30/$B$26)*1000</f>
        <v>61.146475611739369</v>
      </c>
      <c r="E30">
        <f>V4</f>
        <v>6.1750456286592016E-2</v>
      </c>
      <c r="F30" s="2">
        <f>AVERAGE(W27:Y27)</f>
        <v>11.983871944417663</v>
      </c>
      <c r="G30" s="2">
        <f t="shared" ref="G30:G36" si="13">(F30/$B$26)*1000</f>
        <v>66.519416197171694</v>
      </c>
    </row>
    <row r="31" spans="1:43" x14ac:dyDescent="0.25">
      <c r="A31">
        <v>0</v>
      </c>
      <c r="B31">
        <f>U7</f>
        <v>0.3190579127651692</v>
      </c>
      <c r="C31" s="2">
        <f>AVERAGE(E27:G27)</f>
        <v>8.0496457470031775</v>
      </c>
      <c r="D31" s="2">
        <f t="shared" si="12"/>
        <v>44.681530157214731</v>
      </c>
      <c r="E31">
        <f t="shared" ref="E31:E36" si="14">V7</f>
        <v>0.28219638572421835</v>
      </c>
      <c r="F31" s="2">
        <f>AVERAGE(Z27:AB27)</f>
        <v>9.7641164731137184</v>
      </c>
      <c r="G31" s="2">
        <f t="shared" si="13"/>
        <v>54.198119813460103</v>
      </c>
    </row>
    <row r="32" spans="1:43" x14ac:dyDescent="0.25">
      <c r="A32">
        <v>1</v>
      </c>
      <c r="B32">
        <f t="shared" ref="B32:B34" si="15">U8</f>
        <v>0.49532316591110531</v>
      </c>
      <c r="C32" s="2">
        <f>AVERAGE(H27:J27)</f>
        <v>6.1446006090925094</v>
      </c>
      <c r="D32" s="2">
        <f t="shared" si="12"/>
        <v>34.107110554699865</v>
      </c>
      <c r="E32">
        <f t="shared" si="14"/>
        <v>0.43833225446959101</v>
      </c>
      <c r="F32" s="2">
        <f>AVERAGE(AC27:AE27)</f>
        <v>8.9915317429574682</v>
      </c>
      <c r="G32" s="2">
        <f t="shared" si="13"/>
        <v>49.909699055027133</v>
      </c>
    </row>
    <row r="33" spans="1:22" x14ac:dyDescent="0.25">
      <c r="A33">
        <v>2</v>
      </c>
      <c r="B33">
        <f t="shared" si="15"/>
        <v>0.70826583536821619</v>
      </c>
      <c r="C33" s="2">
        <f>AVERAGE(K27:M27)</f>
        <v>3.6199171615945098</v>
      </c>
      <c r="D33" s="2">
        <f t="shared" si="12"/>
        <v>20.093236759222616</v>
      </c>
      <c r="E33">
        <f t="shared" si="14"/>
        <v>0.61174545295318095</v>
      </c>
      <c r="F33" s="2">
        <f>AVERAGE(AF27:AH27)</f>
        <v>8.0893199568483087</v>
      </c>
      <c r="G33" s="2">
        <f t="shared" si="13"/>
        <v>44.901751575569556</v>
      </c>
    </row>
    <row r="34" spans="1:22" x14ac:dyDescent="0.25">
      <c r="A34">
        <v>3</v>
      </c>
      <c r="B34">
        <f t="shared" si="15"/>
        <v>0.88025799146819006</v>
      </c>
      <c r="C34" s="2">
        <f>AVERAGE(N27:P27)</f>
        <v>0.36149540898301691</v>
      </c>
      <c r="D34" s="2">
        <f t="shared" si="12"/>
        <v>2.00656880138889</v>
      </c>
      <c r="E34">
        <f t="shared" si="14"/>
        <v>0.81587390430471296</v>
      </c>
      <c r="F34" s="2">
        <f>AVERAGE(AI27:AK27)</f>
        <v>6.4539030273098144</v>
      </c>
      <c r="G34" s="2">
        <f t="shared" si="13"/>
        <v>35.823969378260031</v>
      </c>
    </row>
    <row r="35" spans="1:22" x14ac:dyDescent="0.25">
      <c r="A35">
        <v>4</v>
      </c>
      <c r="B35">
        <f>U11</f>
        <v>0.91835977346135189</v>
      </c>
      <c r="C35" s="2">
        <f>AVERAGE(Q27:S27)</f>
        <v>8.5280193319039396E-2</v>
      </c>
      <c r="D35" s="2">
        <f t="shared" si="12"/>
        <v>0.47336859898665262</v>
      </c>
      <c r="E35">
        <f t="shared" si="14"/>
        <v>0.95825189936965327</v>
      </c>
      <c r="F35" s="2">
        <f>AVERAGE(AL27:AN27)</f>
        <v>4.332271409270656</v>
      </c>
      <c r="G35" s="2">
        <f t="shared" si="13"/>
        <v>24.047333473604297</v>
      </c>
    </row>
    <row r="36" spans="1:22" x14ac:dyDescent="0.25">
      <c r="A36">
        <v>5</v>
      </c>
      <c r="B36">
        <f t="shared" ref="B36" si="16">U12</f>
        <v>0.86494606038682598</v>
      </c>
      <c r="C36" s="2">
        <f>AVERAGE(T27:V27)</f>
        <v>4.522251850213798E-2</v>
      </c>
      <c r="D36" s="2">
        <f t="shared" si="12"/>
        <v>0.25101866439162718</v>
      </c>
      <c r="E36">
        <f t="shared" si="14"/>
        <v>1.0436786964086173</v>
      </c>
      <c r="F36" s="2">
        <f>AVERAGE(AO27:AQ27)</f>
        <v>2.5189403788408797</v>
      </c>
      <c r="G36" s="2">
        <f t="shared" si="13"/>
        <v>13.981995486361152</v>
      </c>
    </row>
    <row r="41" spans="1:22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B42" t="s">
        <v>92</v>
      </c>
      <c r="C42" t="s">
        <v>93</v>
      </c>
      <c r="D42" t="s">
        <v>94</v>
      </c>
      <c r="E42" t="s">
        <v>95</v>
      </c>
      <c r="F42" t="s">
        <v>96</v>
      </c>
      <c r="G42" t="s">
        <v>97</v>
      </c>
      <c r="H42" t="s">
        <v>98</v>
      </c>
      <c r="I42" t="s">
        <v>99</v>
      </c>
      <c r="J42" t="s">
        <v>100</v>
      </c>
      <c r="K42" t="s">
        <v>101</v>
      </c>
      <c r="L42" t="s">
        <v>102</v>
      </c>
      <c r="M42" t="s">
        <v>103</v>
      </c>
      <c r="N42" t="s">
        <v>104</v>
      </c>
      <c r="O42" t="s">
        <v>105</v>
      </c>
      <c r="P42" t="s">
        <v>106</v>
      </c>
      <c r="Q42" t="s">
        <v>107</v>
      </c>
      <c r="R42" t="s">
        <v>108</v>
      </c>
      <c r="S42" t="s">
        <v>109</v>
      </c>
      <c r="T42" t="s">
        <v>110</v>
      </c>
      <c r="U42" t="s">
        <v>111</v>
      </c>
      <c r="V42" t="s">
        <v>112</v>
      </c>
    </row>
    <row r="43" spans="1:22" x14ac:dyDescent="0.25">
      <c r="B43" s="1">
        <v>78576744</v>
      </c>
      <c r="C43" s="1">
        <v>83529128</v>
      </c>
      <c r="D43" s="1">
        <v>78427848</v>
      </c>
      <c r="E43" s="1">
        <v>64620284</v>
      </c>
      <c r="F43" s="1">
        <v>70436168</v>
      </c>
      <c r="G43" s="1">
        <v>65976336</v>
      </c>
      <c r="H43" s="1">
        <v>45721508</v>
      </c>
      <c r="I43" s="1">
        <v>45880724</v>
      </c>
      <c r="J43" s="1">
        <v>47720428</v>
      </c>
      <c r="K43" s="1">
        <v>6434864</v>
      </c>
      <c r="L43" s="1">
        <v>4780700.5</v>
      </c>
      <c r="M43" s="1">
        <v>6557238.5</v>
      </c>
      <c r="N43" s="1">
        <v>1437672</v>
      </c>
      <c r="O43" s="1">
        <v>1272824.6200000001</v>
      </c>
      <c r="P43" s="1">
        <v>1636763.62</v>
      </c>
      <c r="Q43" s="1">
        <v>718139</v>
      </c>
      <c r="R43" s="1">
        <v>694834.56</v>
      </c>
      <c r="S43" s="1">
        <v>879319.25</v>
      </c>
      <c r="T43" s="1">
        <v>110838464</v>
      </c>
      <c r="U43" s="1">
        <v>98822376</v>
      </c>
      <c r="V43" s="1">
        <v>95639672</v>
      </c>
    </row>
    <row r="44" spans="1:22" x14ac:dyDescent="0.25">
      <c r="B44" s="1">
        <v>4915261.5</v>
      </c>
      <c r="C44" s="1">
        <v>5148149.5</v>
      </c>
      <c r="D44" s="1">
        <v>4942709.5</v>
      </c>
      <c r="E44" s="1">
        <v>3972854</v>
      </c>
      <c r="F44" s="1">
        <v>4347439.5</v>
      </c>
      <c r="G44" s="1">
        <v>4193084.25</v>
      </c>
      <c r="H44" s="1">
        <v>2825258</v>
      </c>
      <c r="I44" s="1">
        <v>2858536</v>
      </c>
      <c r="J44" s="1">
        <v>2777365.75</v>
      </c>
      <c r="K44" s="1">
        <v>378316.72</v>
      </c>
      <c r="L44" s="1">
        <v>296229.19</v>
      </c>
      <c r="M44" s="1">
        <v>431980.75</v>
      </c>
      <c r="N44" s="1">
        <v>110382.46</v>
      </c>
      <c r="O44" s="1">
        <v>93183.24</v>
      </c>
      <c r="P44" s="1">
        <v>80152.62</v>
      </c>
      <c r="Q44" s="1">
        <v>50847.35</v>
      </c>
      <c r="R44" s="1">
        <v>64363.46</v>
      </c>
      <c r="S44" s="1">
        <v>60636.19</v>
      </c>
      <c r="T44" s="1">
        <v>7031841.5</v>
      </c>
      <c r="U44" s="1">
        <v>6091118</v>
      </c>
      <c r="V44" s="1">
        <v>5961265.5</v>
      </c>
    </row>
    <row r="45" spans="1:22" x14ac:dyDescent="0.25">
      <c r="B45" s="1">
        <v>851811</v>
      </c>
      <c r="C45" s="1">
        <v>873529.94</v>
      </c>
      <c r="D45" s="1">
        <v>712875.69</v>
      </c>
      <c r="E45" s="1">
        <v>749308</v>
      </c>
      <c r="F45" s="1">
        <v>786262.19</v>
      </c>
      <c r="G45" s="1">
        <v>683887.44</v>
      </c>
      <c r="H45" s="1">
        <v>484384.41</v>
      </c>
      <c r="I45" s="1">
        <v>472214.59</v>
      </c>
      <c r="J45" s="1">
        <v>471693.88</v>
      </c>
      <c r="K45" s="1">
        <v>60975.89</v>
      </c>
      <c r="L45" s="1">
        <v>57125.85</v>
      </c>
      <c r="M45" s="1">
        <v>80056.070000000007</v>
      </c>
      <c r="N45" s="1">
        <v>12921.79</v>
      </c>
      <c r="O45" s="1">
        <v>7797.64</v>
      </c>
      <c r="P45" s="1">
        <v>10405.36</v>
      </c>
      <c r="Q45" s="1">
        <v>0</v>
      </c>
      <c r="R45" s="1">
        <v>0</v>
      </c>
      <c r="S45" s="1">
        <v>6985.57</v>
      </c>
      <c r="T45" s="1">
        <v>1136379.3799999999</v>
      </c>
      <c r="U45" s="1">
        <v>1104123.75</v>
      </c>
      <c r="V45" s="1">
        <v>1108108.3799999999</v>
      </c>
    </row>
    <row r="46" spans="1:22" x14ac:dyDescent="0.25">
      <c r="B46" s="1">
        <v>65389.82</v>
      </c>
      <c r="C46" s="1">
        <v>64042.16</v>
      </c>
      <c r="D46" s="1">
        <v>80251.34</v>
      </c>
      <c r="E46" s="1">
        <v>37710.32</v>
      </c>
      <c r="F46" s="1">
        <v>39372.03</v>
      </c>
      <c r="G46" s="1">
        <v>37729.79</v>
      </c>
      <c r="H46" s="1">
        <v>12519.3</v>
      </c>
      <c r="I46" s="1">
        <v>16513.45</v>
      </c>
      <c r="J46" s="1">
        <v>10224.64</v>
      </c>
      <c r="K46" s="1">
        <v>7288.07</v>
      </c>
      <c r="L46" s="1">
        <v>8990.5</v>
      </c>
      <c r="M46" s="1">
        <v>4061.75</v>
      </c>
      <c r="N46" s="1">
        <v>1756.08</v>
      </c>
      <c r="O46" s="1">
        <v>9266.76</v>
      </c>
      <c r="P46" s="1">
        <v>0</v>
      </c>
      <c r="Q46" s="1">
        <v>5559.6</v>
      </c>
      <c r="R46" s="1">
        <v>5743.22</v>
      </c>
      <c r="S46" s="1">
        <v>0</v>
      </c>
      <c r="T46" s="1">
        <v>84835.1</v>
      </c>
      <c r="U46" s="1">
        <v>68406.990000000005</v>
      </c>
      <c r="V46" s="1">
        <v>71244.28</v>
      </c>
    </row>
    <row r="47" spans="1:22" x14ac:dyDescent="0.25">
      <c r="B47" s="1">
        <v>154877.89000000001</v>
      </c>
      <c r="C47" s="1">
        <v>192983.36</v>
      </c>
      <c r="D47" s="1">
        <v>126611.34</v>
      </c>
      <c r="E47" s="1">
        <v>159972.70000000001</v>
      </c>
      <c r="F47" s="1">
        <v>220372.88</v>
      </c>
      <c r="G47" s="1">
        <v>164773.04999999999</v>
      </c>
      <c r="H47" s="1">
        <v>211607.25</v>
      </c>
      <c r="I47" s="1">
        <v>228271.55</v>
      </c>
      <c r="J47" s="1">
        <v>190713.38</v>
      </c>
      <c r="K47" s="1">
        <v>253616.36</v>
      </c>
      <c r="L47" s="1">
        <v>320364.40999999997</v>
      </c>
      <c r="M47" s="1">
        <v>263222.21999999997</v>
      </c>
      <c r="N47" s="1">
        <v>276469.5</v>
      </c>
      <c r="O47" s="1">
        <v>277528.94</v>
      </c>
      <c r="P47" s="1">
        <v>264746.09000000003</v>
      </c>
      <c r="Q47" s="1">
        <v>261009.25</v>
      </c>
      <c r="R47" s="1">
        <v>297397.09000000003</v>
      </c>
      <c r="S47" s="1">
        <v>259961.7</v>
      </c>
      <c r="T47" s="1">
        <v>172460.79999999999</v>
      </c>
      <c r="U47" s="1">
        <v>170674.58</v>
      </c>
      <c r="V47" s="1">
        <v>131933.56</v>
      </c>
    </row>
    <row r="48" spans="1:22" x14ac:dyDescent="0.25">
      <c r="B48" s="1">
        <v>3437687.25</v>
      </c>
      <c r="C48" s="1">
        <v>3745118</v>
      </c>
      <c r="D48" s="1">
        <v>3272734</v>
      </c>
      <c r="E48" s="1">
        <v>3922603.25</v>
      </c>
      <c r="F48" s="1">
        <v>4304576.5</v>
      </c>
      <c r="G48" s="1">
        <v>3674937.75</v>
      </c>
      <c r="H48" s="1">
        <v>4381556</v>
      </c>
      <c r="I48" s="1">
        <v>4862922.5</v>
      </c>
      <c r="J48" s="1">
        <v>4450507.5</v>
      </c>
      <c r="K48" s="1">
        <v>6295567.5</v>
      </c>
      <c r="L48" s="1">
        <v>5906378.5</v>
      </c>
      <c r="M48" s="1">
        <v>5815063.5</v>
      </c>
      <c r="N48" s="1">
        <v>6080571.5</v>
      </c>
      <c r="O48" s="1">
        <v>6208347.5</v>
      </c>
      <c r="P48" s="1">
        <v>6355169.5</v>
      </c>
      <c r="Q48" s="1">
        <v>5996132.5</v>
      </c>
      <c r="R48" s="1">
        <v>6011954.5</v>
      </c>
      <c r="S48" s="1">
        <v>6535085.5</v>
      </c>
      <c r="T48" s="1">
        <v>3638329.25</v>
      </c>
      <c r="U48" s="1">
        <v>3019185</v>
      </c>
      <c r="V48" s="1">
        <v>3222960.25</v>
      </c>
    </row>
    <row r="49" spans="2:22" x14ac:dyDescent="0.25">
      <c r="B49" s="1">
        <v>46127120</v>
      </c>
      <c r="C49" s="1">
        <v>49039164</v>
      </c>
      <c r="D49" s="1">
        <v>44970368</v>
      </c>
      <c r="E49" s="1">
        <v>48329244</v>
      </c>
      <c r="F49" s="1">
        <v>56613568</v>
      </c>
      <c r="G49" s="1">
        <v>48907332</v>
      </c>
      <c r="H49" s="1">
        <v>57939536</v>
      </c>
      <c r="I49" s="1">
        <v>64637652</v>
      </c>
      <c r="J49" s="1">
        <v>59668124</v>
      </c>
      <c r="K49" s="1">
        <v>81304712</v>
      </c>
      <c r="L49" s="1">
        <v>78411304</v>
      </c>
      <c r="M49" s="1">
        <v>74509800</v>
      </c>
      <c r="N49" s="1">
        <v>79132072</v>
      </c>
      <c r="O49" s="1">
        <v>80269928</v>
      </c>
      <c r="P49" s="1">
        <v>83677880</v>
      </c>
      <c r="Q49" s="1">
        <v>77755296</v>
      </c>
      <c r="R49" s="1">
        <v>78715688</v>
      </c>
      <c r="S49" s="1">
        <v>87674360</v>
      </c>
      <c r="T49" s="1">
        <v>46654996</v>
      </c>
      <c r="U49" s="1">
        <v>40762388</v>
      </c>
      <c r="V49" s="1">
        <v>41179332</v>
      </c>
    </row>
  </sheetData>
  <mergeCells count="5">
    <mergeCell ref="I1:R1"/>
    <mergeCell ref="B2:D2"/>
    <mergeCell ref="E2:G2"/>
    <mergeCell ref="I2:M2"/>
    <mergeCell ref="N2:R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8C1B-3D2F-440D-83B8-393FBCA0377B}">
  <dimension ref="A1:AQ54"/>
  <sheetViews>
    <sheetView zoomScale="85" zoomScaleNormal="85" workbookViewId="0">
      <selection activeCell="A19" sqref="A19"/>
    </sheetView>
  </sheetViews>
  <sheetFormatPr defaultColWidth="8.85546875" defaultRowHeight="15" x14ac:dyDescent="0.25"/>
  <cols>
    <col min="1" max="1" width="66.42578125" bestFit="1" customWidth="1"/>
    <col min="2" max="43" width="11.85546875" customWidth="1"/>
    <col min="44" max="46" width="21.7109375" bestFit="1" customWidth="1"/>
  </cols>
  <sheetData>
    <row r="1" spans="1:22" x14ac:dyDescent="0.25">
      <c r="A1" t="s">
        <v>124</v>
      </c>
      <c r="B1">
        <v>20230110</v>
      </c>
    </row>
    <row r="2" spans="1:22" x14ac:dyDescent="0.25">
      <c r="A2" t="s">
        <v>57</v>
      </c>
      <c r="B2">
        <v>0.41139241809999999</v>
      </c>
      <c r="H2" s="42" t="s">
        <v>60</v>
      </c>
      <c r="I2" s="42"/>
      <c r="J2" s="42"/>
      <c r="K2" s="42"/>
      <c r="L2" s="42"/>
    </row>
    <row r="3" spans="1:22" ht="29.25" customHeight="1" x14ac:dyDescent="0.25">
      <c r="B3" s="49" t="s">
        <v>216</v>
      </c>
      <c r="C3" s="49"/>
      <c r="D3" s="49"/>
      <c r="H3" s="42"/>
      <c r="I3" s="42"/>
      <c r="J3" s="42"/>
      <c r="K3" s="42"/>
      <c r="L3" s="42"/>
    </row>
    <row r="4" spans="1:22" ht="30" x14ac:dyDescent="0.25">
      <c r="A4" s="4" t="s">
        <v>14</v>
      </c>
      <c r="B4" s="18" t="s">
        <v>62</v>
      </c>
      <c r="C4" s="18" t="s">
        <v>63</v>
      </c>
      <c r="D4" s="18" t="s">
        <v>64</v>
      </c>
      <c r="E4" s="18" t="s">
        <v>135</v>
      </c>
      <c r="F4" s="18" t="s">
        <v>214</v>
      </c>
      <c r="H4" s="18" t="s">
        <v>62</v>
      </c>
      <c r="I4" s="18" t="s">
        <v>63</v>
      </c>
      <c r="J4" s="18" t="s">
        <v>64</v>
      </c>
      <c r="K4" s="3" t="s">
        <v>135</v>
      </c>
      <c r="L4" s="18" t="s">
        <v>61</v>
      </c>
      <c r="N4" s="4" t="s">
        <v>14</v>
      </c>
      <c r="O4" s="3" t="s">
        <v>145</v>
      </c>
      <c r="Q4" s="20"/>
      <c r="V4" s="3"/>
    </row>
    <row r="5" spans="1:22" x14ac:dyDescent="0.25">
      <c r="A5">
        <v>0</v>
      </c>
      <c r="B5">
        <v>5.5E-2</v>
      </c>
      <c r="C5">
        <v>5.7000000000000002E-2</v>
      </c>
      <c r="D5">
        <v>5.8000000000000003E-2</v>
      </c>
      <c r="E5" s="10">
        <f>AVERAGE(B5:D5)</f>
        <v>5.6666666666666671E-2</v>
      </c>
      <c r="F5" s="10">
        <f>_xlfn.STDEV.S(B5:D5)</f>
        <v>1.5275252316519481E-3</v>
      </c>
      <c r="H5" s="10">
        <f t="shared" ref="H5:J19" si="0">LN(B5)</f>
        <v>-2.9004220937496661</v>
      </c>
      <c r="I5" s="10">
        <f t="shared" si="0"/>
        <v>-2.864704011147587</v>
      </c>
      <c r="J5" s="10">
        <f t="shared" si="0"/>
        <v>-2.8473122684357177</v>
      </c>
      <c r="K5" s="10">
        <f t="shared" ref="K5:K19" si="1">AVERAGE(H5:J5)</f>
        <v>-2.8708127911109904</v>
      </c>
      <c r="L5" s="11">
        <f t="shared" ref="L5:L19" si="2">_xlfn.STDEV.S(H5:J5)</f>
        <v>2.70767664373072E-2</v>
      </c>
      <c r="N5">
        <v>0</v>
      </c>
      <c r="O5" s="11">
        <f>((AVERAGE(B5:D5))*$B$2)/0.2874</f>
        <v>8.1114255482486658E-2</v>
      </c>
      <c r="P5" s="10"/>
      <c r="Q5" s="10"/>
      <c r="R5" s="11"/>
      <c r="V5" s="11"/>
    </row>
    <row r="6" spans="1:22" x14ac:dyDescent="0.25">
      <c r="A6">
        <v>1</v>
      </c>
      <c r="B6">
        <v>6.3E-2</v>
      </c>
      <c r="C6">
        <v>6.2E-2</v>
      </c>
      <c r="D6">
        <v>0.06</v>
      </c>
      <c r="E6" s="10">
        <f t="shared" ref="E6:E19" si="3">AVERAGE(B6:D6)</f>
        <v>6.1666666666666668E-2</v>
      </c>
      <c r="F6" s="10">
        <f t="shared" ref="F6:F19" si="4">_xlfn.STDEV.S(B6:D6)</f>
        <v>1.5275252316519481E-3</v>
      </c>
      <c r="H6" s="10">
        <f t="shared" si="0"/>
        <v>-2.7646205525906042</v>
      </c>
      <c r="I6" s="10">
        <f t="shared" si="0"/>
        <v>-2.7806208939370456</v>
      </c>
      <c r="J6" s="10">
        <f t="shared" si="0"/>
        <v>-2.8134107167600364</v>
      </c>
      <c r="K6" s="10">
        <f t="shared" si="1"/>
        <v>-2.7862173877625622</v>
      </c>
      <c r="L6" s="11">
        <f t="shared" si="2"/>
        <v>2.4871883468573875E-2</v>
      </c>
      <c r="N6">
        <v>1</v>
      </c>
      <c r="O6" s="11">
        <f t="shared" ref="O6:O19" si="5">((AVERAGE(B6:D6))*$B$2)/0.2874</f>
        <v>8.8271395672117836E-2</v>
      </c>
      <c r="P6" s="10"/>
      <c r="Q6" s="10"/>
      <c r="R6" s="11"/>
      <c r="V6" s="11"/>
    </row>
    <row r="7" spans="1:22" x14ac:dyDescent="0.25">
      <c r="A7">
        <v>2</v>
      </c>
      <c r="B7">
        <v>7.5999999999999998E-2</v>
      </c>
      <c r="C7">
        <v>7.4999999999999997E-2</v>
      </c>
      <c r="D7">
        <v>7.3999999999999996E-2</v>
      </c>
      <c r="E7" s="10">
        <f t="shared" si="3"/>
        <v>7.4999999999999997E-2</v>
      </c>
      <c r="F7" s="10">
        <f t="shared" si="4"/>
        <v>1.0000000000000009E-3</v>
      </c>
      <c r="H7" s="10">
        <f t="shared" si="0"/>
        <v>-2.5770219386958062</v>
      </c>
      <c r="I7" s="10">
        <f t="shared" si="0"/>
        <v>-2.5902671654458267</v>
      </c>
      <c r="J7" s="10">
        <f t="shared" si="0"/>
        <v>-2.6036901857779675</v>
      </c>
      <c r="K7" s="10">
        <f t="shared" si="1"/>
        <v>-2.5903264299731998</v>
      </c>
      <c r="L7" s="11">
        <f t="shared" si="2"/>
        <v>1.3334222317853972E-2</v>
      </c>
      <c r="N7">
        <v>2</v>
      </c>
      <c r="O7" s="11">
        <f t="shared" si="5"/>
        <v>0.10735710284446763</v>
      </c>
      <c r="P7" s="10"/>
      <c r="Q7" s="10"/>
      <c r="R7" s="11"/>
      <c r="V7" s="11"/>
    </row>
    <row r="8" spans="1:22" x14ac:dyDescent="0.25">
      <c r="A8">
        <v>3</v>
      </c>
      <c r="B8">
        <v>9.5000000000000001E-2</v>
      </c>
      <c r="C8">
        <v>9.2999999999999999E-2</v>
      </c>
      <c r="D8">
        <v>9.4E-2</v>
      </c>
      <c r="E8" s="10">
        <f t="shared" si="3"/>
        <v>9.4000000000000014E-2</v>
      </c>
      <c r="F8" s="10">
        <f t="shared" si="4"/>
        <v>1.0000000000000009E-3</v>
      </c>
      <c r="H8" s="10">
        <f t="shared" si="0"/>
        <v>-2.353878387381596</v>
      </c>
      <c r="I8" s="10">
        <f t="shared" si="0"/>
        <v>-2.375155785828881</v>
      </c>
      <c r="J8" s="10">
        <f t="shared" si="0"/>
        <v>-2.364460496712133</v>
      </c>
      <c r="K8" s="10">
        <f t="shared" si="1"/>
        <v>-2.3644982233075367</v>
      </c>
      <c r="L8" s="11">
        <f t="shared" si="2"/>
        <v>1.0638749392815464E-2</v>
      </c>
      <c r="N8">
        <v>3</v>
      </c>
      <c r="O8" s="11">
        <f t="shared" si="5"/>
        <v>0.13455423556506613</v>
      </c>
      <c r="P8" s="10"/>
      <c r="Q8" s="10"/>
      <c r="R8" s="11"/>
      <c r="V8" s="11"/>
    </row>
    <row r="9" spans="1:22" x14ac:dyDescent="0.25">
      <c r="A9">
        <v>4</v>
      </c>
      <c r="B9">
        <v>0.125</v>
      </c>
      <c r="C9">
        <v>0.124</v>
      </c>
      <c r="D9">
        <v>0.122</v>
      </c>
      <c r="E9" s="10">
        <f t="shared" si="3"/>
        <v>0.12366666666666666</v>
      </c>
      <c r="F9" s="10">
        <f t="shared" si="4"/>
        <v>1.5275252316519479E-3</v>
      </c>
      <c r="H9" s="10">
        <f t="shared" si="0"/>
        <v>-2.0794415416798357</v>
      </c>
      <c r="I9" s="10">
        <f t="shared" si="0"/>
        <v>-2.0874737133771002</v>
      </c>
      <c r="J9" s="10">
        <f t="shared" si="0"/>
        <v>-2.1037342342488805</v>
      </c>
      <c r="K9" s="10">
        <f t="shared" si="1"/>
        <v>-2.0902164964352719</v>
      </c>
      <c r="L9" s="11">
        <f t="shared" si="2"/>
        <v>1.237642404904086E-2</v>
      </c>
      <c r="N9">
        <v>4</v>
      </c>
      <c r="O9" s="11">
        <f t="shared" si="5"/>
        <v>0.17701993402354441</v>
      </c>
      <c r="P9" s="10"/>
      <c r="Q9" s="10"/>
      <c r="R9" s="11"/>
      <c r="V9" s="11"/>
    </row>
    <row r="10" spans="1:22" x14ac:dyDescent="0.25">
      <c r="A10">
        <v>5</v>
      </c>
      <c r="B10">
        <v>0.157</v>
      </c>
      <c r="C10">
        <v>0.156</v>
      </c>
      <c r="D10">
        <v>0.153</v>
      </c>
      <c r="E10" s="10">
        <f t="shared" si="3"/>
        <v>0.15533333333333332</v>
      </c>
      <c r="F10" s="10">
        <f t="shared" si="4"/>
        <v>2.0816659994661343E-3</v>
      </c>
      <c r="H10" s="10">
        <f t="shared" si="0"/>
        <v>-1.8515094736338289</v>
      </c>
      <c r="I10" s="10">
        <f t="shared" si="0"/>
        <v>-1.8578992717325999</v>
      </c>
      <c r="J10" s="10">
        <f t="shared" si="0"/>
        <v>-1.8773173575897015</v>
      </c>
      <c r="K10" s="10">
        <f t="shared" si="1"/>
        <v>-1.86224203431871</v>
      </c>
      <c r="L10" s="11">
        <f t="shared" si="2"/>
        <v>1.34408485122568E-2</v>
      </c>
      <c r="N10">
        <v>5</v>
      </c>
      <c r="O10" s="11">
        <f t="shared" si="5"/>
        <v>0.22234848855787517</v>
      </c>
      <c r="P10" s="10"/>
      <c r="Q10" s="10"/>
      <c r="R10" s="11"/>
      <c r="V10" s="11"/>
    </row>
    <row r="11" spans="1:22" x14ac:dyDescent="0.25">
      <c r="A11">
        <v>6</v>
      </c>
      <c r="B11">
        <v>0.20399999999999999</v>
      </c>
      <c r="C11">
        <v>0.20300000000000001</v>
      </c>
      <c r="D11">
        <v>0.19900000000000001</v>
      </c>
      <c r="E11" s="10">
        <f t="shared" si="3"/>
        <v>0.20200000000000004</v>
      </c>
      <c r="F11" s="10">
        <f t="shared" si="4"/>
        <v>2.6457513110645825E-3</v>
      </c>
      <c r="H11" s="10">
        <f t="shared" si="0"/>
        <v>-1.5896352851379207</v>
      </c>
      <c r="I11" s="10">
        <f t="shared" si="0"/>
        <v>-1.5945492999403497</v>
      </c>
      <c r="J11" s="10">
        <f t="shared" si="0"/>
        <v>-1.6144504542576446</v>
      </c>
      <c r="K11" s="10">
        <f t="shared" si="1"/>
        <v>-1.5995450131119717</v>
      </c>
      <c r="L11" s="11">
        <f t="shared" si="2"/>
        <v>1.3140244182661204E-2</v>
      </c>
      <c r="N11">
        <v>6</v>
      </c>
      <c r="O11" s="11">
        <f t="shared" si="5"/>
        <v>0.28914846366109959</v>
      </c>
      <c r="P11" s="10"/>
      <c r="Q11" s="10"/>
      <c r="R11" s="11"/>
      <c r="V11" s="11"/>
    </row>
    <row r="12" spans="1:22" x14ac:dyDescent="0.25">
      <c r="A12">
        <v>7</v>
      </c>
      <c r="B12">
        <v>0.28299999999999997</v>
      </c>
      <c r="C12">
        <v>0.27800000000000002</v>
      </c>
      <c r="D12">
        <v>0.27700000000000002</v>
      </c>
      <c r="E12" s="10">
        <f t="shared" si="3"/>
        <v>0.27933333333333332</v>
      </c>
      <c r="F12" s="10">
        <f t="shared" si="4"/>
        <v>3.2145502536642897E-3</v>
      </c>
      <c r="H12" s="10">
        <f t="shared" si="0"/>
        <v>-1.2623083813388996</v>
      </c>
      <c r="I12" s="10">
        <f t="shared" si="0"/>
        <v>-1.2801341652914999</v>
      </c>
      <c r="J12" s="10">
        <f t="shared" si="0"/>
        <v>-1.2837377727947985</v>
      </c>
      <c r="K12" s="10">
        <f t="shared" si="1"/>
        <v>-1.2753934398083995</v>
      </c>
      <c r="L12" s="11">
        <f t="shared" si="2"/>
        <v>1.1474343690256461E-2</v>
      </c>
      <c r="N12">
        <v>7</v>
      </c>
      <c r="O12" s="11">
        <f t="shared" si="5"/>
        <v>0.3998455652607284</v>
      </c>
      <c r="P12" s="10"/>
      <c r="Q12" s="10"/>
      <c r="R12" s="11"/>
      <c r="V12" s="11"/>
    </row>
    <row r="13" spans="1:22" x14ac:dyDescent="0.25">
      <c r="A13">
        <v>8</v>
      </c>
      <c r="B13">
        <v>0.377</v>
      </c>
      <c r="C13">
        <v>0.379</v>
      </c>
      <c r="D13">
        <v>0.376</v>
      </c>
      <c r="E13" s="10">
        <f t="shared" si="3"/>
        <v>0.37733333333333335</v>
      </c>
      <c r="F13" s="10">
        <f t="shared" si="4"/>
        <v>1.5275252316519481E-3</v>
      </c>
      <c r="H13" s="10">
        <f t="shared" si="0"/>
        <v>-0.97551009153412627</v>
      </c>
      <c r="I13" s="10">
        <f t="shared" si="0"/>
        <v>-0.97021907389971074</v>
      </c>
      <c r="J13" s="10">
        <f t="shared" si="0"/>
        <v>-0.97816613559224252</v>
      </c>
      <c r="K13" s="10">
        <f t="shared" si="1"/>
        <v>-0.97463176700869314</v>
      </c>
      <c r="L13" s="11">
        <f t="shared" si="2"/>
        <v>4.0456813845395068E-3</v>
      </c>
      <c r="N13">
        <v>8</v>
      </c>
      <c r="O13" s="11">
        <f t="shared" si="5"/>
        <v>0.54012551297749944</v>
      </c>
      <c r="P13" s="10"/>
      <c r="Q13" s="10"/>
      <c r="R13" s="11"/>
      <c r="V13" s="11"/>
    </row>
    <row r="14" spans="1:22" x14ac:dyDescent="0.25">
      <c r="A14">
        <v>9</v>
      </c>
      <c r="B14">
        <v>0.51900000000000002</v>
      </c>
      <c r="C14">
        <v>0.51200000000000001</v>
      </c>
      <c r="D14">
        <v>0.5</v>
      </c>
      <c r="E14" s="10">
        <f t="shared" si="3"/>
        <v>0.51033333333333342</v>
      </c>
      <c r="F14" s="10">
        <f t="shared" si="4"/>
        <v>9.6090235369330583E-3</v>
      </c>
      <c r="H14" s="10">
        <f t="shared" si="0"/>
        <v>-0.65585139581624841</v>
      </c>
      <c r="I14" s="10">
        <f t="shared" si="0"/>
        <v>-0.66943065394262924</v>
      </c>
      <c r="J14" s="10">
        <f t="shared" si="0"/>
        <v>-0.69314718055994529</v>
      </c>
      <c r="K14" s="10">
        <f t="shared" si="1"/>
        <v>-0.67280974343960764</v>
      </c>
      <c r="L14" s="11">
        <f t="shared" si="2"/>
        <v>1.8876111206588223E-2</v>
      </c>
      <c r="N14">
        <v>9</v>
      </c>
      <c r="O14" s="11">
        <f t="shared" si="5"/>
        <v>0.73050544202168888</v>
      </c>
      <c r="P14" s="10"/>
      <c r="Q14" s="10"/>
      <c r="R14" s="11"/>
      <c r="V14" s="11"/>
    </row>
    <row r="15" spans="1:22" x14ac:dyDescent="0.25">
      <c r="A15">
        <v>10</v>
      </c>
      <c r="B15">
        <v>0.68799999999999994</v>
      </c>
      <c r="C15">
        <v>0.68799999999999994</v>
      </c>
      <c r="D15">
        <v>0.66900000000000004</v>
      </c>
      <c r="E15" s="10">
        <f t="shared" si="3"/>
        <v>0.68166666666666664</v>
      </c>
      <c r="F15" s="10">
        <f t="shared" si="4"/>
        <v>1.0969655114602834E-2</v>
      </c>
      <c r="G15" s="10"/>
      <c r="H15" s="10">
        <f t="shared" si="0"/>
        <v>-0.37396644104879345</v>
      </c>
      <c r="I15" s="10">
        <f t="shared" si="0"/>
        <v>-0.37396644104879345</v>
      </c>
      <c r="J15" s="11">
        <f t="shared" si="0"/>
        <v>-0.40197121885390852</v>
      </c>
      <c r="K15" s="10">
        <f t="shared" si="1"/>
        <v>-0.38330136698383183</v>
      </c>
      <c r="L15" s="11">
        <f t="shared" si="2"/>
        <v>1.616856600437884E-2</v>
      </c>
      <c r="N15">
        <v>10</v>
      </c>
      <c r="O15" s="11">
        <f t="shared" si="5"/>
        <v>0.97575677918638359</v>
      </c>
      <c r="P15" s="10"/>
      <c r="Q15" s="10"/>
      <c r="R15" s="11"/>
      <c r="U15" s="11"/>
      <c r="V15" s="11"/>
    </row>
    <row r="16" spans="1:22" x14ac:dyDescent="0.25">
      <c r="A16">
        <v>11</v>
      </c>
      <c r="B16">
        <v>0.88100000000000001</v>
      </c>
      <c r="C16">
        <v>0.877</v>
      </c>
      <c r="D16">
        <v>0.86599999999999999</v>
      </c>
      <c r="E16" s="10">
        <f t="shared" si="3"/>
        <v>0.8746666666666667</v>
      </c>
      <c r="F16" s="10">
        <f t="shared" si="4"/>
        <v>7.7674534651540356E-3</v>
      </c>
      <c r="G16" s="10"/>
      <c r="H16" s="10">
        <f t="shared" si="0"/>
        <v>-0.12669765304595754</v>
      </c>
      <c r="I16" s="10">
        <f t="shared" si="0"/>
        <v>-0.13124828660995402</v>
      </c>
      <c r="J16" s="11">
        <f t="shared" si="0"/>
        <v>-0.14387037041970191</v>
      </c>
      <c r="K16" s="10">
        <f t="shared" si="1"/>
        <v>-0.13393877002520449</v>
      </c>
      <c r="L16" s="11">
        <f t="shared" si="2"/>
        <v>8.8968860426234982E-3</v>
      </c>
      <c r="N16">
        <v>11</v>
      </c>
      <c r="O16" s="11">
        <f t="shared" si="5"/>
        <v>1.2520223905061472</v>
      </c>
      <c r="P16" s="10"/>
      <c r="Q16" s="10"/>
      <c r="R16" s="11"/>
      <c r="U16" s="11"/>
      <c r="V16" s="11"/>
    </row>
    <row r="17" spans="1:43" x14ac:dyDescent="0.25">
      <c r="A17">
        <v>12</v>
      </c>
      <c r="B17">
        <v>0.995</v>
      </c>
      <c r="C17">
        <v>0.998</v>
      </c>
      <c r="D17">
        <v>0.99</v>
      </c>
      <c r="E17" s="10">
        <f t="shared" si="3"/>
        <v>0.99433333333333318</v>
      </c>
      <c r="F17" s="10">
        <f t="shared" si="4"/>
        <v>4.0414518843273836E-3</v>
      </c>
      <c r="G17" s="10"/>
      <c r="H17" s="10">
        <f t="shared" si="0"/>
        <v>-5.0125418235442863E-3</v>
      </c>
      <c r="I17" s="10">
        <f t="shared" si="0"/>
        <v>-2.0020026706730793E-3</v>
      </c>
      <c r="J17" s="11">
        <f t="shared" si="0"/>
        <v>-1.0050335853501451E-2</v>
      </c>
      <c r="K17" s="10">
        <f t="shared" si="1"/>
        <v>-5.6882934492396052E-3</v>
      </c>
      <c r="L17" s="11">
        <f t="shared" si="2"/>
        <v>4.0664968892372777E-3</v>
      </c>
      <c r="N17">
        <v>12</v>
      </c>
      <c r="O17" s="11">
        <f t="shared" si="5"/>
        <v>1.4233166123779863</v>
      </c>
      <c r="P17" s="10"/>
      <c r="Q17" s="10"/>
      <c r="R17" s="11"/>
      <c r="U17" s="11"/>
      <c r="V17" s="11"/>
    </row>
    <row r="18" spans="1:43" x14ac:dyDescent="0.25">
      <c r="A18">
        <v>13</v>
      </c>
      <c r="B18">
        <v>1.0609999999999999</v>
      </c>
      <c r="C18">
        <v>1.056</v>
      </c>
      <c r="D18">
        <v>1.0640000000000001</v>
      </c>
      <c r="E18" s="10">
        <f t="shared" si="3"/>
        <v>1.0603333333333333</v>
      </c>
      <c r="F18" s="10">
        <f t="shared" si="4"/>
        <v>4.0414518843273749E-3</v>
      </c>
      <c r="G18" s="10"/>
      <c r="H18" s="10">
        <f t="shared" si="0"/>
        <v>5.9211859631846032E-2</v>
      </c>
      <c r="I18" s="10">
        <f t="shared" si="0"/>
        <v>5.4488185284069776E-2</v>
      </c>
      <c r="J18" s="11">
        <f t="shared" si="0"/>
        <v>6.2035390919452697E-2</v>
      </c>
      <c r="K18" s="10">
        <f t="shared" si="1"/>
        <v>5.8578478611789504E-2</v>
      </c>
      <c r="L18" s="11">
        <f t="shared" si="2"/>
        <v>3.8132606602637089E-3</v>
      </c>
      <c r="N18">
        <v>13</v>
      </c>
      <c r="O18" s="11">
        <f t="shared" si="5"/>
        <v>1.5177908628811181</v>
      </c>
      <c r="P18" s="10"/>
      <c r="Q18" s="10"/>
      <c r="R18" s="11"/>
      <c r="U18" s="11"/>
      <c r="V18" s="11"/>
    </row>
    <row r="19" spans="1:43" x14ac:dyDescent="0.25">
      <c r="A19">
        <v>14</v>
      </c>
      <c r="B19">
        <v>1.083</v>
      </c>
      <c r="C19">
        <v>1.075</v>
      </c>
      <c r="D19">
        <v>1.089</v>
      </c>
      <c r="E19" s="10">
        <f t="shared" si="3"/>
        <v>1.0823333333333334</v>
      </c>
      <c r="F19" s="10">
        <f t="shared" si="4"/>
        <v>7.0237691685684995E-3</v>
      </c>
      <c r="H19" s="10">
        <f t="shared" si="0"/>
        <v>7.9734968018853519E-2</v>
      </c>
      <c r="I19" s="10">
        <f t="shared" si="0"/>
        <v>7.2320661579626078E-2</v>
      </c>
      <c r="J19" s="11">
        <f t="shared" si="0"/>
        <v>8.5259843950823394E-2</v>
      </c>
      <c r="K19" s="10">
        <f t="shared" si="1"/>
        <v>7.9105157849767668E-2</v>
      </c>
      <c r="L19" s="11">
        <f t="shared" si="2"/>
        <v>6.4925423175816741E-3</v>
      </c>
      <c r="N19">
        <v>14</v>
      </c>
      <c r="O19" s="11">
        <f t="shared" si="5"/>
        <v>1.5492822797154953</v>
      </c>
    </row>
    <row r="20" spans="1:43" x14ac:dyDescent="0.25">
      <c r="E20" s="10"/>
      <c r="F20" s="10"/>
      <c r="H20" s="10"/>
      <c r="I20" s="10"/>
      <c r="J20" s="11"/>
      <c r="K20" s="10"/>
      <c r="L20" s="11"/>
      <c r="O20" s="10"/>
    </row>
    <row r="21" spans="1:43" x14ac:dyDescent="0.25">
      <c r="A21" t="s">
        <v>7</v>
      </c>
      <c r="B21" t="s">
        <v>346</v>
      </c>
      <c r="C21" t="s">
        <v>347</v>
      </c>
      <c r="D21" t="s">
        <v>348</v>
      </c>
      <c r="E21" t="s">
        <v>349</v>
      </c>
      <c r="F21" t="s">
        <v>350</v>
      </c>
      <c r="G21" t="s">
        <v>351</v>
      </c>
      <c r="H21" t="s">
        <v>352</v>
      </c>
      <c r="I21" t="s">
        <v>353</v>
      </c>
      <c r="J21" t="s">
        <v>354</v>
      </c>
      <c r="K21" t="s">
        <v>355</v>
      </c>
      <c r="L21" t="s">
        <v>356</v>
      </c>
      <c r="M21" t="s">
        <v>357</v>
      </c>
      <c r="N21" t="s">
        <v>358</v>
      </c>
      <c r="O21" t="s">
        <v>359</v>
      </c>
      <c r="P21" t="s">
        <v>360</v>
      </c>
      <c r="Q21" t="s">
        <v>361</v>
      </c>
      <c r="R21" t="s">
        <v>362</v>
      </c>
      <c r="S21" t="s">
        <v>363</v>
      </c>
      <c r="T21" t="s">
        <v>364</v>
      </c>
      <c r="U21" t="s">
        <v>365</v>
      </c>
      <c r="V21" t="s">
        <v>366</v>
      </c>
      <c r="W21" t="s">
        <v>367</v>
      </c>
      <c r="X21" t="s">
        <v>368</v>
      </c>
      <c r="Y21" t="s">
        <v>369</v>
      </c>
      <c r="Z21" t="s">
        <v>370</v>
      </c>
      <c r="AA21" t="s">
        <v>371</v>
      </c>
      <c r="AB21" t="s">
        <v>372</v>
      </c>
    </row>
    <row r="22" spans="1:43" x14ac:dyDescent="0.25">
      <c r="A22" t="s">
        <v>0</v>
      </c>
      <c r="B22" s="1">
        <v>84070984</v>
      </c>
      <c r="C22" s="1">
        <v>94380960</v>
      </c>
      <c r="D22" s="1">
        <v>90096344</v>
      </c>
      <c r="E22" s="1">
        <v>82350104</v>
      </c>
      <c r="F22" s="1">
        <v>92786872</v>
      </c>
      <c r="G22" s="1">
        <v>81872640</v>
      </c>
      <c r="H22" s="1">
        <v>79463336</v>
      </c>
      <c r="I22" s="1">
        <v>83848736</v>
      </c>
      <c r="J22" s="1">
        <v>83933800</v>
      </c>
      <c r="K22" s="1">
        <v>83734408</v>
      </c>
      <c r="L22" s="1">
        <v>81871640</v>
      </c>
      <c r="M22" s="1">
        <v>78583864</v>
      </c>
      <c r="N22" s="1">
        <v>78069960</v>
      </c>
      <c r="O22" s="1">
        <v>76492136</v>
      </c>
      <c r="P22" s="1">
        <v>80430712</v>
      </c>
      <c r="Q22" s="1">
        <v>104211456</v>
      </c>
      <c r="R22" s="1">
        <v>93964256</v>
      </c>
      <c r="S22" s="1">
        <v>96846216</v>
      </c>
      <c r="T22" s="1">
        <v>83938200</v>
      </c>
      <c r="U22" s="1">
        <v>84408368</v>
      </c>
      <c r="V22" s="1">
        <v>85250216</v>
      </c>
      <c r="W22" s="1">
        <v>76175352</v>
      </c>
      <c r="X22" s="1">
        <v>74451680</v>
      </c>
      <c r="Y22" s="1">
        <v>78449176</v>
      </c>
      <c r="Z22" s="1">
        <v>61809584</v>
      </c>
      <c r="AA22" s="1">
        <v>59643724</v>
      </c>
      <c r="AB22" s="1">
        <v>61189772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t="s">
        <v>1</v>
      </c>
      <c r="B23" s="1">
        <v>5198060.5</v>
      </c>
      <c r="C23" s="1">
        <v>5832656.5</v>
      </c>
      <c r="D23" s="1">
        <v>5149386</v>
      </c>
      <c r="E23" s="1">
        <v>4957801.5</v>
      </c>
      <c r="F23" s="1">
        <v>5524717.5</v>
      </c>
      <c r="G23" s="1">
        <v>4971140.5</v>
      </c>
      <c r="H23" s="1">
        <v>5085801.5</v>
      </c>
      <c r="I23" s="1">
        <v>4846849.5</v>
      </c>
      <c r="J23" s="1">
        <v>5602964.5</v>
      </c>
      <c r="K23" s="1">
        <v>4919507.5</v>
      </c>
      <c r="L23" s="1">
        <v>4993074.5</v>
      </c>
      <c r="M23" s="1">
        <v>4922147.5</v>
      </c>
      <c r="N23" s="1">
        <v>4758656.5</v>
      </c>
      <c r="O23" s="1">
        <v>4657220.5</v>
      </c>
      <c r="P23" s="1">
        <v>4881839.5</v>
      </c>
      <c r="Q23" s="1">
        <v>6395618</v>
      </c>
      <c r="R23" s="1">
        <v>5861852</v>
      </c>
      <c r="S23" s="1">
        <v>5861481.5</v>
      </c>
      <c r="T23" s="1">
        <v>5254165.5</v>
      </c>
      <c r="U23" s="1">
        <v>5709719.5</v>
      </c>
      <c r="V23" s="1">
        <v>5311566</v>
      </c>
      <c r="W23" s="1">
        <v>4617363</v>
      </c>
      <c r="X23" s="1">
        <v>4606893.5</v>
      </c>
      <c r="Y23" s="1">
        <v>4942184.5</v>
      </c>
      <c r="Z23" s="1">
        <v>3596538.75</v>
      </c>
      <c r="AA23" s="1">
        <v>3499780</v>
      </c>
      <c r="AB23" s="1">
        <v>3804338.25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t="s">
        <v>2</v>
      </c>
      <c r="B24" s="1">
        <v>867156.56</v>
      </c>
      <c r="C24" s="1">
        <v>1186166.6200000001</v>
      </c>
      <c r="D24" s="1">
        <v>629346.31000000006</v>
      </c>
      <c r="E24" s="1">
        <v>637364.93999999994</v>
      </c>
      <c r="F24" s="1">
        <v>1037735</v>
      </c>
      <c r="G24" s="1">
        <v>925010.06</v>
      </c>
      <c r="H24" s="1">
        <v>928584</v>
      </c>
      <c r="I24" s="1">
        <v>894840.81</v>
      </c>
      <c r="J24" s="1">
        <v>921904.31</v>
      </c>
      <c r="K24" s="1">
        <v>893274.25</v>
      </c>
      <c r="L24" s="1">
        <v>1019201.5</v>
      </c>
      <c r="M24" s="1">
        <v>900479.25</v>
      </c>
      <c r="N24" s="1">
        <v>926976.69</v>
      </c>
      <c r="O24" s="1">
        <v>848702.69</v>
      </c>
      <c r="P24" s="1">
        <v>877966.94</v>
      </c>
      <c r="Q24" s="1">
        <v>1118126.3799999999</v>
      </c>
      <c r="R24" s="1">
        <v>1084363.6200000001</v>
      </c>
      <c r="S24" s="1">
        <v>1117163.6200000001</v>
      </c>
      <c r="T24" s="1">
        <v>917928.31</v>
      </c>
      <c r="U24" s="1">
        <v>939285.44</v>
      </c>
      <c r="V24" s="1">
        <v>943221.75</v>
      </c>
      <c r="W24" s="1">
        <v>845774.56</v>
      </c>
      <c r="X24" s="1">
        <v>835490</v>
      </c>
      <c r="Y24" s="1">
        <v>947400</v>
      </c>
      <c r="Z24" s="1">
        <v>751907.81</v>
      </c>
      <c r="AA24" s="1">
        <v>709570.5</v>
      </c>
      <c r="AB24" s="1">
        <v>662175.31000000006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t="s">
        <v>3</v>
      </c>
      <c r="B25" s="1">
        <v>25269.06</v>
      </c>
      <c r="C25" s="1">
        <v>38793.440000000002</v>
      </c>
      <c r="D25" s="1">
        <v>25642.6</v>
      </c>
      <c r="E25" s="1">
        <v>45994.75</v>
      </c>
      <c r="F25" s="1">
        <v>29707.45</v>
      </c>
      <c r="G25" s="1">
        <v>24280.74</v>
      </c>
      <c r="H25" s="1">
        <v>52189.1</v>
      </c>
      <c r="I25" s="1">
        <v>26206.45</v>
      </c>
      <c r="J25" s="1">
        <v>52860.41</v>
      </c>
      <c r="K25" s="1">
        <v>24532.42</v>
      </c>
      <c r="L25" s="1">
        <v>35847.18</v>
      </c>
      <c r="M25" s="1">
        <v>42402.32</v>
      </c>
      <c r="N25" s="1">
        <v>27283.64</v>
      </c>
      <c r="O25" s="1">
        <v>29087.95</v>
      </c>
      <c r="P25" s="1">
        <v>27175.74</v>
      </c>
      <c r="Q25" s="1">
        <v>37431.29</v>
      </c>
      <c r="R25" s="1">
        <v>68754.52</v>
      </c>
      <c r="S25" s="1">
        <v>31761.58</v>
      </c>
      <c r="T25" s="1">
        <v>26627.39</v>
      </c>
      <c r="U25" s="1">
        <v>28625.55</v>
      </c>
      <c r="V25" s="1">
        <v>23152.83</v>
      </c>
      <c r="W25" s="1">
        <v>51057.71</v>
      </c>
      <c r="X25" s="1">
        <v>19560.55</v>
      </c>
      <c r="Y25" s="1">
        <v>34462.83</v>
      </c>
      <c r="Z25" s="1">
        <v>15763.63</v>
      </c>
      <c r="AA25" s="1">
        <v>15766.68</v>
      </c>
      <c r="AB25" s="1">
        <v>21246.98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t="s">
        <v>4</v>
      </c>
      <c r="B26" s="1">
        <v>167970.36</v>
      </c>
      <c r="C26" s="1">
        <v>207667.55</v>
      </c>
      <c r="D26" s="1">
        <v>218123.8</v>
      </c>
      <c r="E26" s="1">
        <v>161233.64000000001</v>
      </c>
      <c r="F26" s="1">
        <v>192066.86</v>
      </c>
      <c r="G26" s="1">
        <v>198282.31</v>
      </c>
      <c r="H26" s="1">
        <v>165711.01999999999</v>
      </c>
      <c r="I26" s="1">
        <v>197390.88</v>
      </c>
      <c r="J26" s="1">
        <v>158619.35999999999</v>
      </c>
      <c r="K26" s="1">
        <v>200501.55</v>
      </c>
      <c r="L26" s="1">
        <v>179671.89</v>
      </c>
      <c r="M26" s="1">
        <v>202195.39</v>
      </c>
      <c r="N26" s="1">
        <v>200690.39</v>
      </c>
      <c r="O26" s="1">
        <v>199129.64</v>
      </c>
      <c r="P26" s="1">
        <v>227632.94</v>
      </c>
      <c r="Q26" s="1">
        <v>173952.11</v>
      </c>
      <c r="R26" s="1">
        <v>147642.25</v>
      </c>
      <c r="S26" s="1">
        <v>198737.17</v>
      </c>
      <c r="T26" s="1">
        <v>207212.38</v>
      </c>
      <c r="U26" s="1">
        <v>186966.12</v>
      </c>
      <c r="V26" s="1">
        <v>208024.92</v>
      </c>
      <c r="W26" s="1">
        <v>204025.5</v>
      </c>
      <c r="X26" s="1">
        <v>214708.58</v>
      </c>
      <c r="Y26" s="1">
        <v>193608.92</v>
      </c>
      <c r="Z26" s="1">
        <v>219691.23</v>
      </c>
      <c r="AA26" s="1">
        <v>184236.11</v>
      </c>
      <c r="AB26" s="1">
        <v>193591.67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t="s">
        <v>5</v>
      </c>
      <c r="B27" s="1">
        <v>4037465</v>
      </c>
      <c r="C27" s="1">
        <v>4281153</v>
      </c>
      <c r="D27" s="1">
        <v>4197831.5</v>
      </c>
      <c r="E27" s="1">
        <v>3893662.75</v>
      </c>
      <c r="F27" s="1">
        <v>4540048.5</v>
      </c>
      <c r="G27" s="1">
        <v>4029084.25</v>
      </c>
      <c r="H27" s="1">
        <v>4062098.75</v>
      </c>
      <c r="I27" s="1">
        <v>3934893.75</v>
      </c>
      <c r="J27" s="1">
        <v>4362882</v>
      </c>
      <c r="K27" s="1">
        <v>3992108</v>
      </c>
      <c r="L27" s="1">
        <v>4067137</v>
      </c>
      <c r="M27" s="1">
        <v>4435567.5</v>
      </c>
      <c r="N27" s="1">
        <v>4166223.25</v>
      </c>
      <c r="O27" s="1">
        <v>4039931.75</v>
      </c>
      <c r="P27" s="1">
        <v>4657247</v>
      </c>
      <c r="Q27" s="1">
        <v>4023080</v>
      </c>
      <c r="R27" s="1">
        <v>3662287</v>
      </c>
      <c r="S27" s="1">
        <v>3817391</v>
      </c>
      <c r="T27" s="1">
        <v>3866347.75</v>
      </c>
      <c r="U27" s="1">
        <v>3853338.75</v>
      </c>
      <c r="V27" s="1">
        <v>3874240.25</v>
      </c>
      <c r="W27" s="1">
        <v>4427773.5</v>
      </c>
      <c r="X27" s="1">
        <v>4122389.25</v>
      </c>
      <c r="Y27" s="1">
        <v>4457884</v>
      </c>
      <c r="Z27" s="1">
        <v>4678883</v>
      </c>
      <c r="AA27" s="1">
        <v>4813849.5</v>
      </c>
      <c r="AB27" s="1">
        <v>4710422.5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t="s">
        <v>6</v>
      </c>
      <c r="B28" s="1">
        <v>52914740</v>
      </c>
      <c r="C28" s="1">
        <v>56933036</v>
      </c>
      <c r="D28" s="1">
        <v>56513520</v>
      </c>
      <c r="E28" s="1">
        <v>55302752</v>
      </c>
      <c r="F28" s="1">
        <v>61249612</v>
      </c>
      <c r="G28" s="1">
        <v>55532500</v>
      </c>
      <c r="H28" s="1">
        <v>53372188</v>
      </c>
      <c r="I28" s="1">
        <v>57850732</v>
      </c>
      <c r="J28" s="1">
        <v>58602612</v>
      </c>
      <c r="K28" s="1">
        <v>56381948</v>
      </c>
      <c r="L28" s="1">
        <v>58409964</v>
      </c>
      <c r="M28" s="1">
        <v>58583340</v>
      </c>
      <c r="N28" s="1">
        <v>57830736</v>
      </c>
      <c r="O28" s="1">
        <v>56271264</v>
      </c>
      <c r="P28" s="1">
        <v>60170212</v>
      </c>
      <c r="Q28" s="1">
        <v>54750768</v>
      </c>
      <c r="R28" s="1">
        <v>50780500</v>
      </c>
      <c r="S28" s="1">
        <v>51991636</v>
      </c>
      <c r="T28" s="1">
        <v>51387348</v>
      </c>
      <c r="U28" s="1">
        <v>52280620</v>
      </c>
      <c r="V28" s="1">
        <v>54268236</v>
      </c>
      <c r="W28" s="1">
        <v>56491504</v>
      </c>
      <c r="X28" s="1">
        <v>55871696</v>
      </c>
      <c r="Y28" s="1">
        <v>57319780</v>
      </c>
      <c r="Z28" s="1">
        <v>63576784</v>
      </c>
      <c r="AA28" s="1">
        <v>63524228</v>
      </c>
      <c r="AB28" s="1">
        <v>64854340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t="s">
        <v>8</v>
      </c>
      <c r="B29" s="2">
        <f>SUM(B22:B23)/SUM(B22:B28)</f>
        <v>0.60611112952375457</v>
      </c>
      <c r="C29" s="2">
        <f t="shared" ref="C29:AB29" si="6">SUM(C22:C23)/SUM(C22:C28)</f>
        <v>0.61533433619394351</v>
      </c>
      <c r="D29" s="2">
        <f t="shared" si="6"/>
        <v>0.60731755437644441</v>
      </c>
      <c r="E29" s="2">
        <f t="shared" si="6"/>
        <v>0.59252493539830553</v>
      </c>
      <c r="F29" s="2">
        <f t="shared" si="6"/>
        <v>0.59452792736453475</v>
      </c>
      <c r="G29" s="2">
        <f t="shared" si="6"/>
        <v>0.58856015854051247</v>
      </c>
      <c r="H29" s="2">
        <f t="shared" si="6"/>
        <v>0.5907160736904481</v>
      </c>
      <c r="I29" s="2">
        <f t="shared" si="6"/>
        <v>0.58506458198874078</v>
      </c>
      <c r="J29" s="2">
        <f t="shared" si="6"/>
        <v>0.58278640943215432</v>
      </c>
      <c r="K29" s="2">
        <f t="shared" si="6"/>
        <v>0.59045029730557486</v>
      </c>
      <c r="L29" s="2">
        <f t="shared" si="6"/>
        <v>0.57688081268929148</v>
      </c>
      <c r="M29" s="2">
        <f t="shared" si="6"/>
        <v>0.5654907143264204</v>
      </c>
      <c r="N29" s="2">
        <f t="shared" si="6"/>
        <v>0.56739497043135989</v>
      </c>
      <c r="O29" s="2">
        <f t="shared" si="6"/>
        <v>0.56931945726005784</v>
      </c>
      <c r="P29" s="2">
        <f t="shared" si="6"/>
        <v>0.5639649648042061</v>
      </c>
      <c r="Q29" s="2">
        <f t="shared" si="6"/>
        <v>0.64792217351159231</v>
      </c>
      <c r="R29" s="2">
        <f t="shared" si="6"/>
        <v>0.64168110258870459</v>
      </c>
      <c r="S29" s="2">
        <f t="shared" si="6"/>
        <v>0.64246765343378698</v>
      </c>
      <c r="T29" s="2">
        <f t="shared" si="6"/>
        <v>0.61259406071119349</v>
      </c>
      <c r="U29" s="2">
        <f t="shared" si="6"/>
        <v>0.61135586745754056</v>
      </c>
      <c r="V29" s="2">
        <f t="shared" si="6"/>
        <v>0.6042340074265844</v>
      </c>
      <c r="W29" s="2">
        <f t="shared" si="6"/>
        <v>0.56572440678310409</v>
      </c>
      <c r="X29" s="2">
        <f t="shared" si="6"/>
        <v>0.56421074297836693</v>
      </c>
      <c r="Y29" s="2">
        <f t="shared" si="6"/>
        <v>0.56982915406359191</v>
      </c>
      <c r="Z29" s="2">
        <f t="shared" si="6"/>
        <v>0.48575220545008752</v>
      </c>
      <c r="AA29" s="2">
        <f t="shared" si="6"/>
        <v>0.47694654601479064</v>
      </c>
      <c r="AB29" s="2">
        <f t="shared" si="6"/>
        <v>0.47988839464068805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25">
      <c r="A30" t="s">
        <v>121</v>
      </c>
      <c r="B30" s="10">
        <v>0.5</v>
      </c>
    </row>
    <row r="31" spans="1:43" x14ac:dyDescent="0.25">
      <c r="A31" t="s">
        <v>122</v>
      </c>
      <c r="B31" s="2">
        <f>(B29/(1-B29))*$B$30</f>
        <v>0.76939357132750952</v>
      </c>
      <c r="C31" s="2">
        <f t="shared" ref="C31:AB31" si="7">(C29/(1-C29))*$B$30</f>
        <v>0.79983007854866295</v>
      </c>
      <c r="D31" s="2">
        <f t="shared" si="7"/>
        <v>0.77329348579876223</v>
      </c>
      <c r="E31" s="2">
        <f t="shared" si="7"/>
        <v>0.727068950804998</v>
      </c>
      <c r="F31" s="2">
        <f t="shared" si="7"/>
        <v>0.73313055015140072</v>
      </c>
      <c r="G31" s="2">
        <f t="shared" si="7"/>
        <v>0.71524448927057194</v>
      </c>
      <c r="H31" s="2">
        <f t="shared" si="7"/>
        <v>0.72164582545036771</v>
      </c>
      <c r="I31" s="2">
        <f t="shared" si="7"/>
        <v>0.70500679936276867</v>
      </c>
      <c r="J31" s="2">
        <f t="shared" si="7"/>
        <v>0.69842692401146</v>
      </c>
      <c r="K31" s="2">
        <f t="shared" si="7"/>
        <v>0.72085304106071346</v>
      </c>
      <c r="L31" s="2">
        <f t="shared" si="7"/>
        <v>0.68170013318927014</v>
      </c>
      <c r="M31" s="2">
        <f t="shared" si="7"/>
        <v>0.65072339415001501</v>
      </c>
      <c r="N31" s="2">
        <f t="shared" si="7"/>
        <v>0.65578868904635923</v>
      </c>
      <c r="O31" s="2">
        <f t="shared" si="7"/>
        <v>0.66095330617690573</v>
      </c>
      <c r="P31" s="2">
        <f t="shared" si="7"/>
        <v>0.6466968469070008</v>
      </c>
      <c r="Q31" s="2">
        <f t="shared" si="7"/>
        <v>0.9201405552486922</v>
      </c>
      <c r="R31" s="2">
        <f t="shared" si="7"/>
        <v>0.89540505290759564</v>
      </c>
      <c r="S31" s="2">
        <f t="shared" si="7"/>
        <v>0.89847486472780658</v>
      </c>
      <c r="T31" s="2">
        <f t="shared" si="7"/>
        <v>0.79063586613538195</v>
      </c>
      <c r="U31" s="2">
        <f t="shared" si="7"/>
        <v>0.78652398977199256</v>
      </c>
      <c r="V31" s="2">
        <f t="shared" si="7"/>
        <v>0.76337282480694379</v>
      </c>
      <c r="W31" s="2">
        <f t="shared" si="7"/>
        <v>0.65134262162018053</v>
      </c>
      <c r="X31" s="2">
        <f t="shared" si="7"/>
        <v>0.64734356559684403</v>
      </c>
      <c r="Y31" s="2">
        <f t="shared" si="7"/>
        <v>0.6623288856584082</v>
      </c>
      <c r="Z31" s="2">
        <f t="shared" si="7"/>
        <v>0.47229391219386246</v>
      </c>
      <c r="AA31" s="2">
        <f t="shared" si="7"/>
        <v>0.45592524280346064</v>
      </c>
      <c r="AB31" s="2">
        <f t="shared" si="7"/>
        <v>0.46133213496472908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3" x14ac:dyDescent="0.25">
      <c r="A32" t="s">
        <v>12</v>
      </c>
      <c r="B32" s="2">
        <v>186.11</v>
      </c>
    </row>
    <row r="33" spans="1:43" x14ac:dyDescent="0.25">
      <c r="A33" t="s">
        <v>11</v>
      </c>
      <c r="B33">
        <v>180.15600000000001</v>
      </c>
    </row>
    <row r="34" spans="1:43" x14ac:dyDescent="0.25">
      <c r="A34" t="s">
        <v>123</v>
      </c>
      <c r="B34" s="2">
        <f>B31*($B$33/$B$32)</f>
        <v>0.74477926084615986</v>
      </c>
      <c r="C34" s="2">
        <f t="shared" ref="C34:AB34" si="8">C31*($B$33/$B$32)</f>
        <v>0.77424204841767197</v>
      </c>
      <c r="D34" s="2">
        <f t="shared" si="8"/>
        <v>0.74855440990576438</v>
      </c>
      <c r="E34" s="2">
        <f t="shared" si="8"/>
        <v>0.70380868250618034</v>
      </c>
      <c r="F34" s="2">
        <f t="shared" si="8"/>
        <v>0.70967636017987079</v>
      </c>
      <c r="G34" s="2">
        <f t="shared" si="8"/>
        <v>0.69236250716796066</v>
      </c>
      <c r="H34" s="2">
        <f t="shared" si="8"/>
        <v>0.69855905287107867</v>
      </c>
      <c r="I34" s="2">
        <f t="shared" si="8"/>
        <v>0.68245233972381358</v>
      </c>
      <c r="J34" s="2">
        <f t="shared" si="8"/>
        <v>0.67608296664450374</v>
      </c>
      <c r="K34" s="2">
        <f t="shared" si="8"/>
        <v>0.69779163110705444</v>
      </c>
      <c r="L34" s="2">
        <f t="shared" si="8"/>
        <v>0.65989129651736156</v>
      </c>
      <c r="M34" s="2">
        <f t="shared" si="8"/>
        <v>0.62990556013373866</v>
      </c>
      <c r="N34" s="2">
        <f t="shared" si="8"/>
        <v>0.63480880696274189</v>
      </c>
      <c r="O34" s="2">
        <f t="shared" si="8"/>
        <v>0.63980819852563875</v>
      </c>
      <c r="P34" s="2">
        <f t="shared" si="8"/>
        <v>0.6260078295168322</v>
      </c>
      <c r="Q34" s="2">
        <f t="shared" si="8"/>
        <v>0.89070357246458221</v>
      </c>
      <c r="R34" s="2">
        <f t="shared" si="8"/>
        <v>0.86675940417828601</v>
      </c>
      <c r="S34" s="2">
        <f t="shared" si="8"/>
        <v>0.86973100709205697</v>
      </c>
      <c r="T34" s="2">
        <f t="shared" si="8"/>
        <v>0.76534197571052531</v>
      </c>
      <c r="U34" s="2">
        <f t="shared" si="8"/>
        <v>0.76136164580819454</v>
      </c>
      <c r="V34" s="2">
        <f t="shared" si="8"/>
        <v>0.73895112904153337</v>
      </c>
      <c r="W34" s="2">
        <f t="shared" si="8"/>
        <v>0.63050497738222155</v>
      </c>
      <c r="X34" s="2">
        <f t="shared" si="8"/>
        <v>0.62663385849048969</v>
      </c>
      <c r="Y34" s="2">
        <f t="shared" si="8"/>
        <v>0.64113977069838368</v>
      </c>
      <c r="Z34" s="2">
        <f t="shared" si="8"/>
        <v>0.45718436432860937</v>
      </c>
      <c r="AA34" s="2">
        <f t="shared" si="8"/>
        <v>0.44133935867229196</v>
      </c>
      <c r="AB34" s="2">
        <f t="shared" si="8"/>
        <v>0.44657327444363942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x14ac:dyDescent="0.25">
      <c r="A35" t="s">
        <v>149</v>
      </c>
      <c r="B35" s="21">
        <v>150</v>
      </c>
    </row>
    <row r="36" spans="1:43" x14ac:dyDescent="0.25">
      <c r="A36" t="s">
        <v>149</v>
      </c>
      <c r="B36" s="21">
        <v>100</v>
      </c>
    </row>
    <row r="37" spans="1:43" x14ac:dyDescent="0.25">
      <c r="A37" t="s">
        <v>131</v>
      </c>
      <c r="B37" s="2">
        <f>B34*$B$35</f>
        <v>111.71688912692397</v>
      </c>
      <c r="C37" s="2">
        <f t="shared" ref="C37:P37" si="9">C34*$B$35</f>
        <v>116.13630726265079</v>
      </c>
      <c r="D37" s="2">
        <f t="shared" si="9"/>
        <v>112.28316148586465</v>
      </c>
      <c r="E37" s="2">
        <f t="shared" si="9"/>
        <v>105.57130237592705</v>
      </c>
      <c r="F37" s="2">
        <f t="shared" si="9"/>
        <v>106.45145402698061</v>
      </c>
      <c r="G37" s="2">
        <f t="shared" si="9"/>
        <v>103.8543760751941</v>
      </c>
      <c r="H37" s="2">
        <f t="shared" si="9"/>
        <v>104.7838579306618</v>
      </c>
      <c r="I37" s="2">
        <f t="shared" si="9"/>
        <v>102.36785095857203</v>
      </c>
      <c r="J37" s="2">
        <f t="shared" si="9"/>
        <v>101.41244499667556</v>
      </c>
      <c r="K37" s="2">
        <f t="shared" si="9"/>
        <v>104.66874466605816</v>
      </c>
      <c r="L37" s="2">
        <f t="shared" si="9"/>
        <v>98.983694477604232</v>
      </c>
      <c r="M37" s="2">
        <f t="shared" si="9"/>
        <v>94.485834020060793</v>
      </c>
      <c r="N37" s="2">
        <f>N34*$B$35</f>
        <v>95.221321044411283</v>
      </c>
      <c r="O37" s="2">
        <f t="shared" si="9"/>
        <v>95.97122977884581</v>
      </c>
      <c r="P37" s="2">
        <f t="shared" si="9"/>
        <v>93.901174427524836</v>
      </c>
      <c r="Q37" s="2">
        <f>Q34*$B$36</f>
        <v>89.070357246458215</v>
      </c>
      <c r="R37" s="2">
        <f t="shared" ref="R37:AB37" si="10">R34*$B$36</f>
        <v>86.675940417828599</v>
      </c>
      <c r="S37" s="2">
        <f t="shared" si="10"/>
        <v>86.973100709205696</v>
      </c>
      <c r="T37" s="2">
        <f t="shared" si="10"/>
        <v>76.53419757105253</v>
      </c>
      <c r="U37" s="2">
        <f t="shared" si="10"/>
        <v>76.136164580819454</v>
      </c>
      <c r="V37" s="2">
        <f t="shared" si="10"/>
        <v>73.895112904153336</v>
      </c>
      <c r="W37" s="2">
        <f t="shared" si="10"/>
        <v>63.050497738222155</v>
      </c>
      <c r="X37" s="2">
        <f t="shared" si="10"/>
        <v>62.663385849048971</v>
      </c>
      <c r="Y37" s="2">
        <f t="shared" si="10"/>
        <v>64.11397706983837</v>
      </c>
      <c r="Z37" s="2">
        <f t="shared" si="10"/>
        <v>45.71843643286094</v>
      </c>
      <c r="AA37" s="2">
        <f t="shared" si="10"/>
        <v>44.133935867229198</v>
      </c>
      <c r="AB37" s="2">
        <f t="shared" si="10"/>
        <v>44.657327444363943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9" spans="1:43" ht="30" x14ac:dyDescent="0.25">
      <c r="A39" s="4" t="s">
        <v>14</v>
      </c>
      <c r="B39" s="6" t="s">
        <v>145</v>
      </c>
      <c r="C39" s="6" t="s">
        <v>146</v>
      </c>
      <c r="D39" s="6" t="s">
        <v>147</v>
      </c>
      <c r="E39" s="6" t="s">
        <v>148</v>
      </c>
      <c r="F39" s="3"/>
      <c r="G39" s="3"/>
      <c r="H39" s="3"/>
      <c r="I39" s="3"/>
    </row>
    <row r="40" spans="1:43" x14ac:dyDescent="0.25">
      <c r="A40">
        <v>0</v>
      </c>
      <c r="B40" s="11">
        <f>O5</f>
        <v>8.1114255482486658E-2</v>
      </c>
      <c r="C40" s="2">
        <f>B37</f>
        <v>111.71688912692397</v>
      </c>
      <c r="D40" s="2">
        <f>C37</f>
        <v>116.13630726265079</v>
      </c>
      <c r="E40" s="2">
        <f>D37</f>
        <v>112.28316148586465</v>
      </c>
      <c r="G40" s="2"/>
      <c r="H40" s="2"/>
      <c r="I40" s="2"/>
    </row>
    <row r="41" spans="1:43" x14ac:dyDescent="0.25">
      <c r="A41">
        <v>4</v>
      </c>
      <c r="B41" s="11">
        <f>O9</f>
        <v>0.17701993402354441</v>
      </c>
      <c r="C41" s="2">
        <f>E37</f>
        <v>105.57130237592705</v>
      </c>
      <c r="D41" s="2">
        <f>F37</f>
        <v>106.45145402698061</v>
      </c>
      <c r="E41" s="2">
        <f t="shared" ref="E41" si="11">G37</f>
        <v>103.8543760751941</v>
      </c>
      <c r="G41" s="2"/>
      <c r="H41" s="2"/>
      <c r="I41" s="2"/>
    </row>
    <row r="42" spans="1:43" x14ac:dyDescent="0.25">
      <c r="A42">
        <v>5</v>
      </c>
      <c r="B42" s="11">
        <f t="shared" ref="B42:B48" si="12">O10</f>
        <v>0.22234848855787517</v>
      </c>
      <c r="C42" s="2">
        <f>H37</f>
        <v>104.7838579306618</v>
      </c>
      <c r="D42" s="2">
        <f t="shared" ref="D42:E42" si="13">I37</f>
        <v>102.36785095857203</v>
      </c>
      <c r="E42" s="2">
        <f t="shared" si="13"/>
        <v>101.41244499667556</v>
      </c>
      <c r="G42" s="2"/>
      <c r="H42" s="2"/>
      <c r="I42" s="2"/>
    </row>
    <row r="43" spans="1:43" x14ac:dyDescent="0.25">
      <c r="A43">
        <v>6</v>
      </c>
      <c r="B43" s="11">
        <f t="shared" si="12"/>
        <v>0.28914846366109959</v>
      </c>
      <c r="C43" s="2">
        <f>K37</f>
        <v>104.66874466605816</v>
      </c>
      <c r="D43" s="2">
        <f t="shared" ref="D43:E43" si="14">L37</f>
        <v>98.983694477604232</v>
      </c>
      <c r="E43" s="2">
        <f t="shared" si="14"/>
        <v>94.485834020060793</v>
      </c>
      <c r="G43" s="2"/>
      <c r="H43" s="2"/>
      <c r="I43" s="2"/>
    </row>
    <row r="44" spans="1:43" x14ac:dyDescent="0.25">
      <c r="A44">
        <v>7</v>
      </c>
      <c r="B44" s="11">
        <f t="shared" si="12"/>
        <v>0.3998455652607284</v>
      </c>
      <c r="C44" s="2">
        <f>N37</f>
        <v>95.221321044411283</v>
      </c>
      <c r="D44" s="2">
        <f t="shared" ref="D44:E44" si="15">O37</f>
        <v>95.97122977884581</v>
      </c>
      <c r="E44" s="2">
        <f t="shared" si="15"/>
        <v>93.901174427524836</v>
      </c>
      <c r="G44" s="2"/>
      <c r="H44" s="2"/>
      <c r="I44" s="2"/>
    </row>
    <row r="45" spans="1:43" x14ac:dyDescent="0.25">
      <c r="A45">
        <v>8</v>
      </c>
      <c r="B45" s="11">
        <f t="shared" si="12"/>
        <v>0.54012551297749944</v>
      </c>
      <c r="C45" s="2">
        <f>Q37</f>
        <v>89.070357246458215</v>
      </c>
      <c r="D45" s="2">
        <f t="shared" ref="D45:E45" si="16">R37</f>
        <v>86.675940417828599</v>
      </c>
      <c r="E45" s="2">
        <f t="shared" si="16"/>
        <v>86.973100709205696</v>
      </c>
      <c r="G45" s="2"/>
      <c r="H45" s="2"/>
      <c r="I45" s="2"/>
    </row>
    <row r="46" spans="1:43" x14ac:dyDescent="0.25">
      <c r="A46">
        <v>9</v>
      </c>
      <c r="B46" s="11">
        <f t="shared" si="12"/>
        <v>0.73050544202168888</v>
      </c>
      <c r="C46" s="2">
        <f>T37</f>
        <v>76.53419757105253</v>
      </c>
      <c r="D46" s="2">
        <f t="shared" ref="D46:E46" si="17">U37</f>
        <v>76.136164580819454</v>
      </c>
      <c r="E46" s="2">
        <f t="shared" si="17"/>
        <v>73.895112904153336</v>
      </c>
      <c r="G46" s="2"/>
      <c r="H46" s="2"/>
      <c r="I46" s="2"/>
    </row>
    <row r="47" spans="1:43" x14ac:dyDescent="0.25">
      <c r="A47">
        <v>10</v>
      </c>
      <c r="B47" s="11">
        <f t="shared" si="12"/>
        <v>0.97575677918638359</v>
      </c>
      <c r="C47" s="2">
        <f>W37</f>
        <v>63.050497738222155</v>
      </c>
      <c r="D47" s="2">
        <f t="shared" ref="D47:E47" si="18">X37</f>
        <v>62.663385849048971</v>
      </c>
      <c r="E47" s="2">
        <f t="shared" si="18"/>
        <v>64.11397706983837</v>
      </c>
    </row>
    <row r="48" spans="1:43" x14ac:dyDescent="0.25">
      <c r="A48">
        <v>11</v>
      </c>
      <c r="B48" s="11">
        <f t="shared" si="12"/>
        <v>1.2520223905061472</v>
      </c>
      <c r="C48" s="2">
        <f>Z37</f>
        <v>45.71843643286094</v>
      </c>
      <c r="D48" s="2">
        <f t="shared" ref="D48:E48" si="19">AA37</f>
        <v>44.133935867229198</v>
      </c>
      <c r="E48" s="2">
        <f t="shared" si="19"/>
        <v>44.657327444363943</v>
      </c>
    </row>
    <row r="49" spans="2:7" x14ac:dyDescent="0.25">
      <c r="C49" s="6" t="s">
        <v>62</v>
      </c>
      <c r="D49" s="6" t="s">
        <v>63</v>
      </c>
      <c r="E49" s="6" t="s">
        <v>64</v>
      </c>
      <c r="F49" s="6" t="s">
        <v>135</v>
      </c>
      <c r="G49" s="6" t="s">
        <v>136</v>
      </c>
    </row>
    <row r="50" spans="2:7" x14ac:dyDescent="0.25">
      <c r="B50" t="s">
        <v>133</v>
      </c>
      <c r="C50">
        <f>SLOPE(C44:C47,$B$44:$B$47)</f>
        <v>-57.036563050247047</v>
      </c>
      <c r="D50">
        <f t="shared" ref="D50:E50" si="20">SLOPE(D44:D47,$B$44:$B$47)</f>
        <v>-57.328845034726122</v>
      </c>
      <c r="E50">
        <f t="shared" si="20"/>
        <v>-53.007075282676333</v>
      </c>
      <c r="F50" s="19">
        <f>ABS(AVERAGE(C50:E50))</f>
        <v>55.7908277892165</v>
      </c>
      <c r="G50" s="19">
        <f>_xlfn.STDEV.S(C50:E50)/(SQRT(COUNT(C50:E50)))</f>
        <v>1.3944312703110968</v>
      </c>
    </row>
    <row r="51" spans="2:7" x14ac:dyDescent="0.25">
      <c r="B51" t="s">
        <v>134</v>
      </c>
      <c r="C51" s="22">
        <f>(CORREL($B$44:$B$47,C44:C47))^2</f>
        <v>0.99657265685742047</v>
      </c>
      <c r="D51" s="22">
        <f t="shared" ref="D51:E51" si="21">(CORREL($B$44:$B$47,D44:D47))^2</f>
        <v>0.99843905115259646</v>
      </c>
      <c r="E51" s="22">
        <f t="shared" si="21"/>
        <v>0.9876294182224713</v>
      </c>
    </row>
    <row r="52" spans="2:7" x14ac:dyDescent="0.25">
      <c r="B52" s="11"/>
    </row>
    <row r="53" spans="2:7" x14ac:dyDescent="0.25">
      <c r="B53" s="11"/>
    </row>
    <row r="54" spans="2:7" x14ac:dyDescent="0.25">
      <c r="B54" s="11"/>
    </row>
  </sheetData>
  <mergeCells count="2">
    <mergeCell ref="H2:L3"/>
    <mergeCell ref="B3:D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22D8-0F90-4E07-B534-BB2A02590AEF}">
  <dimension ref="A1:J7"/>
  <sheetViews>
    <sheetView zoomScale="70" zoomScaleNormal="70" workbookViewId="0">
      <selection activeCell="D6" activeCellId="1" sqref="D4 D6"/>
    </sheetView>
  </sheetViews>
  <sheetFormatPr defaultColWidth="8.85546875" defaultRowHeight="15" x14ac:dyDescent="0.25"/>
  <cols>
    <col min="1" max="1" width="29.85546875" bestFit="1" customWidth="1"/>
    <col min="2" max="2" width="28" customWidth="1"/>
    <col min="3" max="3" width="5.28515625" bestFit="1" customWidth="1"/>
    <col min="4" max="4" width="24.42578125" customWidth="1"/>
    <col min="5" max="5" width="17.85546875" customWidth="1"/>
    <col min="6" max="6" width="9.42578125" bestFit="1" customWidth="1"/>
    <col min="9" max="10" width="11.85546875" bestFit="1" customWidth="1"/>
  </cols>
  <sheetData>
    <row r="1" spans="1:10" ht="71.25" customHeight="1" x14ac:dyDescent="0.25">
      <c r="A1" s="20" t="s">
        <v>334</v>
      </c>
      <c r="B1" s="29" t="s">
        <v>335</v>
      </c>
      <c r="C1" s="20" t="s">
        <v>342</v>
      </c>
      <c r="D1" s="20" t="s">
        <v>343</v>
      </c>
      <c r="E1" s="30" t="s">
        <v>344</v>
      </c>
      <c r="F1" s="20" t="s">
        <v>342</v>
      </c>
      <c r="I1" t="s">
        <v>432</v>
      </c>
    </row>
    <row r="2" spans="1:10" x14ac:dyDescent="0.25">
      <c r="A2" s="27" t="s">
        <v>336</v>
      </c>
      <c r="B2" s="27">
        <v>149</v>
      </c>
      <c r="C2" s="27">
        <v>14</v>
      </c>
      <c r="D2">
        <v>64.900000000000006</v>
      </c>
      <c r="E2" s="28">
        <f>(B2/0.4113924181)/D2</f>
        <v>5.5806564546573787</v>
      </c>
      <c r="F2" s="10">
        <f t="shared" ref="F2:F7" si="0">(C2/0.4113924181)/D2</f>
        <v>0.52435698231680061</v>
      </c>
      <c r="G2" s="31">
        <f>E2/1000</f>
        <v>5.5806564546573784E-3</v>
      </c>
      <c r="I2">
        <f>(E2/1000000)*100</f>
        <v>5.5806564546573788E-4</v>
      </c>
      <c r="J2">
        <f>(F2/1000000)*100</f>
        <v>5.2435698231680063E-5</v>
      </c>
    </row>
    <row r="3" spans="1:10" x14ac:dyDescent="0.25">
      <c r="A3" s="27" t="s">
        <v>337</v>
      </c>
      <c r="B3" s="27">
        <v>174</v>
      </c>
      <c r="C3" s="27">
        <v>85</v>
      </c>
      <c r="D3">
        <v>72.400000000000006</v>
      </c>
      <c r="E3" s="28">
        <f>(B3/0.4113924181)/D3</f>
        <v>5.8419037672757526</v>
      </c>
      <c r="F3" s="10">
        <f t="shared" si="0"/>
        <v>2.8538035644737874</v>
      </c>
      <c r="G3" s="31">
        <f>E3/1000</f>
        <v>5.8419037672757523E-3</v>
      </c>
      <c r="I3">
        <f t="shared" ref="I3:I7" si="1">(E3/1000000)*100</f>
        <v>5.8419037672757519E-4</v>
      </c>
      <c r="J3">
        <f t="shared" ref="J3:J7" si="2">(F3/1000000)*100</f>
        <v>2.8538035644737873E-4</v>
      </c>
    </row>
    <row r="4" spans="1:10" x14ac:dyDescent="0.25">
      <c r="A4" s="27" t="s">
        <v>338</v>
      </c>
      <c r="B4" s="27">
        <v>785</v>
      </c>
      <c r="C4" s="27">
        <v>203</v>
      </c>
      <c r="D4">
        <v>57.3</v>
      </c>
      <c r="E4" s="28">
        <f t="shared" ref="E4:E7" si="3">(B4/0.4113924181)/D4</f>
        <v>33.301113188235966</v>
      </c>
      <c r="F4" s="10">
        <f t="shared" si="0"/>
        <v>8.6116254486775805</v>
      </c>
      <c r="G4" s="31">
        <f t="shared" ref="G4:G7" si="4">E4/1000</f>
        <v>3.3301113188235969E-2</v>
      </c>
      <c r="I4">
        <f t="shared" si="1"/>
        <v>3.3301113188235962E-3</v>
      </c>
      <c r="J4">
        <f t="shared" si="2"/>
        <v>8.6116254486775818E-4</v>
      </c>
    </row>
    <row r="5" spans="1:10" x14ac:dyDescent="0.25">
      <c r="A5" s="27" t="s">
        <v>339</v>
      </c>
      <c r="B5" s="27">
        <v>457</v>
      </c>
      <c r="C5" s="27">
        <v>103</v>
      </c>
      <c r="D5">
        <v>68.3</v>
      </c>
      <c r="E5" s="28">
        <f t="shared" si="3"/>
        <v>16.264443678758301</v>
      </c>
      <c r="F5" s="10">
        <f t="shared" si="0"/>
        <v>3.6657280063722211</v>
      </c>
      <c r="G5" s="31">
        <f t="shared" si="4"/>
        <v>1.62644436787583E-2</v>
      </c>
      <c r="I5">
        <f t="shared" si="1"/>
        <v>1.6264443678758304E-3</v>
      </c>
      <c r="J5">
        <f t="shared" si="2"/>
        <v>3.6657280063722212E-4</v>
      </c>
    </row>
    <row r="6" spans="1:10" x14ac:dyDescent="0.25">
      <c r="A6" s="27" t="s">
        <v>340</v>
      </c>
      <c r="B6" s="27">
        <v>236</v>
      </c>
      <c r="C6" s="27">
        <v>53</v>
      </c>
      <c r="D6">
        <v>31.8</v>
      </c>
      <c r="E6" s="28">
        <f t="shared" si="3"/>
        <v>18.039670449139816</v>
      </c>
      <c r="F6" s="10">
        <f t="shared" si="0"/>
        <v>4.0512819229000439</v>
      </c>
      <c r="G6" s="31">
        <f t="shared" si="4"/>
        <v>1.8039670449139816E-2</v>
      </c>
      <c r="I6">
        <f t="shared" si="1"/>
        <v>1.8039670449139817E-3</v>
      </c>
      <c r="J6">
        <f t="shared" si="2"/>
        <v>4.0512819229000438E-4</v>
      </c>
    </row>
    <row r="7" spans="1:10" x14ac:dyDescent="0.25">
      <c r="A7" s="27" t="s">
        <v>341</v>
      </c>
      <c r="B7" s="27">
        <v>278</v>
      </c>
      <c r="C7" s="27">
        <v>82</v>
      </c>
      <c r="D7">
        <v>33.6</v>
      </c>
      <c r="E7" s="28">
        <f t="shared" si="3"/>
        <v>20.111720974396643</v>
      </c>
      <c r="F7" s="10">
        <f t="shared" si="0"/>
        <v>5.9322342442464917</v>
      </c>
      <c r="G7" s="31">
        <f t="shared" si="4"/>
        <v>2.0111720974396643E-2</v>
      </c>
      <c r="I7">
        <f t="shared" si="1"/>
        <v>2.0111720974396643E-3</v>
      </c>
      <c r="J7">
        <f t="shared" si="2"/>
        <v>5.9322342442464911E-4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606C-F3D5-42D0-B498-93B74B120C14}">
  <dimension ref="A1:I10"/>
  <sheetViews>
    <sheetView zoomScaleNormal="100" workbookViewId="0">
      <selection activeCell="I26" sqref="I26"/>
    </sheetView>
  </sheetViews>
  <sheetFormatPr defaultColWidth="8.85546875" defaultRowHeight="15" x14ac:dyDescent="0.25"/>
  <cols>
    <col min="1" max="1" width="29.85546875" bestFit="1" customWidth="1"/>
    <col min="2" max="2" width="17" bestFit="1" customWidth="1"/>
    <col min="3" max="4" width="5.42578125" bestFit="1" customWidth="1"/>
    <col min="5" max="5" width="51.28515625" bestFit="1" customWidth="1"/>
    <col min="6" max="6" width="6.28515625" customWidth="1"/>
    <col min="7" max="7" width="17.85546875" customWidth="1"/>
    <col min="8" max="8" width="9.42578125" bestFit="1" customWidth="1"/>
  </cols>
  <sheetData>
    <row r="1" spans="1:9" s="37" customFormat="1" x14ac:dyDescent="0.25">
      <c r="A1" s="37" t="s">
        <v>334</v>
      </c>
      <c r="B1" s="37" t="s">
        <v>424</v>
      </c>
      <c r="C1" s="37" t="s">
        <v>214</v>
      </c>
      <c r="D1" s="37" t="s">
        <v>425</v>
      </c>
      <c r="E1" s="37" t="s">
        <v>426</v>
      </c>
      <c r="F1" s="37" t="s">
        <v>425</v>
      </c>
    </row>
    <row r="2" spans="1:9" x14ac:dyDescent="0.25">
      <c r="A2" s="27" t="s">
        <v>336</v>
      </c>
      <c r="B2" s="39">
        <v>0.36251811643335269</v>
      </c>
      <c r="C2" s="38">
        <v>7.8069213801973151E-3</v>
      </c>
      <c r="D2" s="10">
        <v>4.507328160399165E-3</v>
      </c>
      <c r="E2" s="19">
        <v>64.857297196202438</v>
      </c>
      <c r="F2" s="19">
        <v>2.9861742650300722</v>
      </c>
      <c r="G2" s="28"/>
      <c r="H2" s="10"/>
      <c r="I2" s="36"/>
    </row>
    <row r="3" spans="1:9" x14ac:dyDescent="0.25">
      <c r="A3" s="27" t="s">
        <v>337</v>
      </c>
      <c r="B3" s="40">
        <v>0.36262291033340949</v>
      </c>
      <c r="C3" s="38">
        <v>6.9745020745891357E-3</v>
      </c>
      <c r="D3" s="38">
        <v>4.0267306502276409E-3</v>
      </c>
      <c r="E3" s="41">
        <v>72.422656036196997</v>
      </c>
      <c r="F3" s="19">
        <v>2.6216494767780816</v>
      </c>
      <c r="G3" s="28"/>
      <c r="H3" s="10"/>
      <c r="I3" s="36"/>
    </row>
    <row r="4" spans="1:9" x14ac:dyDescent="0.25">
      <c r="A4" s="27" t="s">
        <v>338</v>
      </c>
      <c r="B4" s="40">
        <v>0.35183467995412454</v>
      </c>
      <c r="C4" s="38">
        <v>2.2470948131717954E-3</v>
      </c>
      <c r="D4" s="38">
        <v>1.297360795279348E-3</v>
      </c>
      <c r="E4" s="41">
        <v>57.261655894902894</v>
      </c>
      <c r="F4" s="19">
        <v>3.5227414965264656</v>
      </c>
      <c r="G4" s="28"/>
      <c r="H4" s="10"/>
      <c r="I4" s="36"/>
    </row>
    <row r="5" spans="1:9" x14ac:dyDescent="0.25">
      <c r="A5" s="27" t="s">
        <v>339</v>
      </c>
      <c r="B5" s="40">
        <v>0.36263863499091475</v>
      </c>
      <c r="C5" s="38">
        <v>7.399354634120091E-3</v>
      </c>
      <c r="D5" s="38">
        <v>4.2720193898387396E-3</v>
      </c>
      <c r="E5" s="41">
        <v>68.267289189609372</v>
      </c>
      <c r="F5" s="19">
        <v>6.8650069332796333</v>
      </c>
      <c r="G5" s="28"/>
      <c r="H5" s="10"/>
      <c r="I5" s="36"/>
    </row>
    <row r="6" spans="1:9" x14ac:dyDescent="0.25">
      <c r="A6" s="27" t="s">
        <v>340</v>
      </c>
      <c r="B6" s="40">
        <v>0.17165037185939261</v>
      </c>
      <c r="C6" s="38">
        <v>2.0076344504029606E-2</v>
      </c>
      <c r="D6" s="38">
        <v>1.1591082903745158E-2</v>
      </c>
      <c r="E6" s="41">
        <v>33.827052113796945</v>
      </c>
      <c r="F6" s="19">
        <v>1.0227239226931355</v>
      </c>
      <c r="G6" s="28"/>
      <c r="H6" s="10"/>
      <c r="I6" s="36"/>
    </row>
    <row r="7" spans="1:9" x14ac:dyDescent="0.25">
      <c r="A7" s="27" t="s">
        <v>341</v>
      </c>
      <c r="B7" s="40">
        <v>0.13574343313135562</v>
      </c>
      <c r="C7" s="38">
        <v>1.7459688067261253E-2</v>
      </c>
      <c r="D7" s="38">
        <v>1.0080355605600182E-2</v>
      </c>
      <c r="E7" s="41">
        <v>33.578846445667494</v>
      </c>
      <c r="F7" s="19">
        <v>4.8891014298996476</v>
      </c>
      <c r="G7" s="28"/>
      <c r="H7" s="10"/>
      <c r="I7" s="36"/>
    </row>
    <row r="8" spans="1:9" x14ac:dyDescent="0.25">
      <c r="A8" s="27" t="s">
        <v>427</v>
      </c>
      <c r="B8" s="2">
        <v>0.37567250659910445</v>
      </c>
      <c r="C8" s="10">
        <v>2.3526396389143551E-3</v>
      </c>
      <c r="D8" s="10">
        <v>1.3582971288333869E-3</v>
      </c>
      <c r="E8" s="19">
        <v>71.25695473426714</v>
      </c>
      <c r="F8" s="19">
        <v>5.3783533748696506</v>
      </c>
    </row>
    <row r="9" spans="1:9" x14ac:dyDescent="0.25">
      <c r="A9" s="27" t="s">
        <v>428</v>
      </c>
      <c r="B9" s="2">
        <v>0.35860906981251661</v>
      </c>
      <c r="C9" s="10">
        <v>3.0426305322857061E-3</v>
      </c>
      <c r="D9" s="10">
        <v>1.7566635568597268E-3</v>
      </c>
      <c r="E9" s="19">
        <v>58.215131701134403</v>
      </c>
      <c r="F9" s="19">
        <v>4.7734200556463646</v>
      </c>
    </row>
    <row r="10" spans="1:9" x14ac:dyDescent="0.25">
      <c r="A10" s="27" t="s">
        <v>429</v>
      </c>
      <c r="B10" s="2">
        <v>0.37607908444411242</v>
      </c>
      <c r="C10" s="10">
        <v>1.1914270110413286E-2</v>
      </c>
      <c r="D10" s="10">
        <v>6.8787070554450231E-3</v>
      </c>
      <c r="E10" s="19">
        <v>74.612117908319888</v>
      </c>
      <c r="F10" s="19">
        <v>9.3205871817900476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GFP</vt:lpstr>
      <vt:lpstr>IspS</vt:lpstr>
      <vt:lpstr>DXS2_IspS</vt:lpstr>
      <vt:lpstr>DXS2_IspS_IDI</vt:lpstr>
      <vt:lpstr>DXS2_IspG_IspH_IspS</vt:lpstr>
      <vt:lpstr>DXS2_IspG_IspH_IspS_IDI</vt:lpstr>
      <vt:lpstr>DXS2</vt:lpstr>
      <vt:lpstr>DXS2_IspG</vt:lpstr>
      <vt:lpstr>DXS2_IspG_IspH</vt:lpstr>
      <vt:lpstr>DXS2_IspG_IspH_IspS_IDI_run1</vt:lpstr>
      <vt:lpstr>DXS2_IspG_IspH_IspS_IDI_run2</vt:lpstr>
      <vt:lpstr>Adjusted Isp Production Rates</vt:lpstr>
      <vt:lpstr>Growth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DAVEN B KHANA</dc:creator>
  <cp:lastModifiedBy>Kirsten Fisher</cp:lastModifiedBy>
  <dcterms:created xsi:type="dcterms:W3CDTF">2022-12-12T18:45:41Z</dcterms:created>
  <dcterms:modified xsi:type="dcterms:W3CDTF">2026-06-25T21:17:21Z</dcterms:modified>
</cp:coreProperties>
</file>