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ZMRBA_inputs/"/>
    </mc:Choice>
  </mc:AlternateContent>
  <xr:revisionPtr revIDLastSave="58" documentId="13_ncr:1_{F63ABB47-5912-6247-9D43-6BA4F57D542B}" xr6:coauthVersionLast="47" xr6:coauthVersionMax="47" xr10:uidLastSave="{1CA4A349-47A3-054E-8271-BFD1DD03A6EF}"/>
  <bookViews>
    <workbookView xWindow="-120" yWindow="760" windowWidth="29040" windowHeight="15840" tabRatio="500" xr2:uid="{00000000-000D-0000-FFFF-FFFF00000000}"/>
  </bookViews>
  <sheets>
    <sheet name="Sheet 1" sheetId="2" r:id="rId1"/>
  </sheets>
  <definedNames>
    <definedName name="_xlnm._FilterDatabase" localSheetId="0">'Sheet 1'!$A$1:$G$61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3" i="2" l="1"/>
  <c r="O2" i="2"/>
  <c r="O4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2" i="2"/>
</calcChain>
</file>

<file path=xl/sharedStrings.xml><?xml version="1.0" encoding="utf-8"?>
<sst xmlns="http://schemas.openxmlformats.org/spreadsheetml/2006/main" count="297" uniqueCount="185">
  <si>
    <t>id</t>
  </si>
  <si>
    <t>name</t>
  </si>
  <si>
    <t>factor_subunit</t>
  </si>
  <si>
    <t>paralog</t>
  </si>
  <si>
    <t>MW (g/mmol)</t>
  </si>
  <si>
    <t>Ribosome protein MW</t>
  </si>
  <si>
    <t>Ribosome RNA MW</t>
  </si>
  <si>
    <t>RPS12</t>
  </si>
  <si>
    <t>RPS13</t>
  </si>
  <si>
    <t>RPS15</t>
  </si>
  <si>
    <t>RPS2</t>
  </si>
  <si>
    <t>RPS20</t>
  </si>
  <si>
    <t>RPS3</t>
  </si>
  <si>
    <t>RPS5</t>
  </si>
  <si>
    <t>RPL10</t>
  </si>
  <si>
    <t>RPL25</t>
  </si>
  <si>
    <t>RPL28</t>
  </si>
  <si>
    <t>RPL29</t>
  </si>
  <si>
    <t>RPL3</t>
  </si>
  <si>
    <t>RPL30</t>
  </si>
  <si>
    <t>RPL32</t>
  </si>
  <si>
    <t>RPL5</t>
  </si>
  <si>
    <t>rrna5s_c</t>
  </si>
  <si>
    <t>RDN5-1</t>
  </si>
  <si>
    <t>ZMO1798</t>
  </si>
  <si>
    <t>ZMO1156</t>
  </si>
  <si>
    <t>ZMO0522</t>
  </si>
  <si>
    <t>ZMO1366</t>
  </si>
  <si>
    <t>ZMO0533</t>
  </si>
  <si>
    <t>ZMO1225</t>
  </si>
  <si>
    <t>ZMO0514</t>
  </si>
  <si>
    <t>ZMO0530</t>
  </si>
  <si>
    <t>RPS1</t>
  </si>
  <si>
    <t>RPS4</t>
  </si>
  <si>
    <t>RPS6</t>
  </si>
  <si>
    <t>RPS7</t>
  </si>
  <si>
    <t>RPS8</t>
  </si>
  <si>
    <t>RPS9</t>
  </si>
  <si>
    <t>ZMO2003</t>
  </si>
  <si>
    <t>ZMO0540</t>
  </si>
  <si>
    <t>ZMO2002</t>
  </si>
  <si>
    <t>ZMO0539</t>
  </si>
  <si>
    <t>ZMO0529</t>
  </si>
  <si>
    <t>ZMO0550</t>
  </si>
  <si>
    <t>ZMO1076</t>
  </si>
  <si>
    <t>ZMO0525</t>
  </si>
  <si>
    <t>ZMO1226</t>
  </si>
  <si>
    <t>ZMO2004</t>
  </si>
  <si>
    <t>ZMO1358</t>
  </si>
  <si>
    <t>ZMO1713</t>
  </si>
  <si>
    <t>RPS10</t>
  </si>
  <si>
    <t>RPS11</t>
  </si>
  <si>
    <t>RPS14</t>
  </si>
  <si>
    <t>RPS16</t>
  </si>
  <si>
    <t>RPS17</t>
  </si>
  <si>
    <t>RPS18</t>
  </si>
  <si>
    <t>RPS19</t>
  </si>
  <si>
    <t>RPS21</t>
  </si>
  <si>
    <t>SSU</t>
  </si>
  <si>
    <t>ZMO0726</t>
  </si>
  <si>
    <t>RPL1</t>
  </si>
  <si>
    <t>ZMO0520</t>
  </si>
  <si>
    <t>ZMO0517</t>
  </si>
  <si>
    <t>RPL2</t>
  </si>
  <si>
    <t>RPL4/L1e</t>
  </si>
  <si>
    <t>ZMO0518</t>
  </si>
  <si>
    <t>ZMO0528</t>
  </si>
  <si>
    <t>ZMO0531</t>
  </si>
  <si>
    <t>RPL6 signature 1</t>
  </si>
  <si>
    <t>ZMO0728</t>
  </si>
  <si>
    <t>RPL7/L12</t>
  </si>
  <si>
    <t>ZMO1227</t>
  </si>
  <si>
    <t>ZMO0727</t>
  </si>
  <si>
    <t>ZMO0725</t>
  </si>
  <si>
    <t>RPL9</t>
  </si>
  <si>
    <t>RPL11</t>
  </si>
  <si>
    <t>ZMO0884</t>
  </si>
  <si>
    <t>ZMO0526</t>
  </si>
  <si>
    <t>ZMO0536</t>
  </si>
  <si>
    <t>ZMO0523</t>
  </si>
  <si>
    <t>RPL13</t>
  </si>
  <si>
    <t>RPL14</t>
  </si>
  <si>
    <t>RPL15</t>
  </si>
  <si>
    <t>RPL16</t>
  </si>
  <si>
    <t>RPL17</t>
  </si>
  <si>
    <t>RPL18</t>
  </si>
  <si>
    <t>RPL19</t>
  </si>
  <si>
    <t>RPL20</t>
  </si>
  <si>
    <t>RPL21</t>
  </si>
  <si>
    <t>RPL22</t>
  </si>
  <si>
    <t>RPL25/L23</t>
  </si>
  <si>
    <t>RPL24</t>
  </si>
  <si>
    <t>RPL27</t>
  </si>
  <si>
    <t>RPL31</t>
  </si>
  <si>
    <t>RPL33</t>
  </si>
  <si>
    <t>RPL35</t>
  </si>
  <si>
    <t>ZMO0542</t>
  </si>
  <si>
    <t>ZMO0532</t>
  </si>
  <si>
    <t>ZMO1079</t>
  </si>
  <si>
    <t>ZMO1515</t>
  </si>
  <si>
    <t>ZMO0211</t>
  </si>
  <si>
    <t>ZMO0521</t>
  </si>
  <si>
    <t>ZMO0519</t>
  </si>
  <si>
    <t>ZMO0527</t>
  </si>
  <si>
    <t>ZMO0209</t>
  </si>
  <si>
    <t>ZMO0294</t>
  </si>
  <si>
    <t>ZMO0524</t>
  </si>
  <si>
    <t>ZMO0534</t>
  </si>
  <si>
    <t>ZMO1145</t>
  </si>
  <si>
    <t>ZMO2031</t>
  </si>
  <si>
    <t>ZMO0249</t>
  </si>
  <si>
    <t>ZMO1516</t>
  </si>
  <si>
    <t>LSU</t>
  </si>
  <si>
    <t>ZMO1910</t>
  </si>
  <si>
    <t>Link</t>
  </si>
  <si>
    <t>Mass (Da)</t>
  </si>
  <si>
    <t>30S</t>
  </si>
  <si>
    <t>https://www.uniprot.org/uniprotkb/D2N0W0/entry#sequences</t>
  </si>
  <si>
    <t>https://www.uniprot.org/uniprotkb/Q5NLI8/entry#sequences</t>
  </si>
  <si>
    <t>https://www.uniprot.org/uniprotkb/Q5NQ59/entry#sequences</t>
  </si>
  <si>
    <t>https://www.uniprot.org/uniprotkb/Q9X5E7/entry#sequences</t>
  </si>
  <si>
    <t>https://www.uniprot.org/uniprotkb/Q9Z5U7/entry#sequences</t>
  </si>
  <si>
    <t>https://www.uniprot.org/uniprotkb/Q5NQ48/entry#sequences</t>
  </si>
  <si>
    <t>https://www.uniprot.org/uniprotkb/Q5NN61/entry#sequences</t>
  </si>
  <si>
    <t>https://www.uniprot.org/uniprotkb/Q5NQ67/entry#sequences</t>
  </si>
  <si>
    <t>https://www.uniprot.org/uniprotkb/Q5NQ51/entry#sequences</t>
  </si>
  <si>
    <t>https://www.uniprot.org/uniprotkb/Q5NP53/entry#sequences</t>
  </si>
  <si>
    <t>https://www.uniprot.org/uniprotkb/Q5NQ41/entry#sequences</t>
  </si>
  <si>
    <t>https://www.uniprot.org/uniprotkb/D2N0V9/entry#sequences</t>
  </si>
  <si>
    <t>https://www.uniprot.org/uniprotkb/Q5NPL0/entry#sequences</t>
  </si>
  <si>
    <t>https://www.uniprot.org/uniprotkb/Q5NQ61/entry#sequences</t>
  </si>
  <si>
    <t>50S</t>
  </si>
  <si>
    <t>https://www.uniprot.org/uniprotkb/Q5NQ64/entry#sequences</t>
  </si>
  <si>
    <t>https://www.uniprot.org/uniprotkb/Q5NQ63/entry#sequences</t>
  </si>
  <si>
    <t>https://www.uniprot.org/uniprotkb/Q5NQ53/entry#sequences</t>
  </si>
  <si>
    <t>https://www.uniprot.org/uniprotkb/Q5NQ50/entry#sequences</t>
  </si>
  <si>
    <t>https://www.uniprot.org/uniprotkb/Q5NPK7/entry#sequences</t>
  </si>
  <si>
    <t>https://www.uniprot.org/uniprotkb/Q5NN59/entry#sequences</t>
  </si>
  <si>
    <t>https://www.uniprot.org/uniprotkb/Q5NPK9/entry#sequences</t>
  </si>
  <si>
    <t>https://www.uniprot.org/uniprotkb/Q5NPL1/entry#sequences</t>
  </si>
  <si>
    <t>https://www.uniprot.org/uniprotkb/Q5NP52/entry#sequences</t>
  </si>
  <si>
    <t>https://www.uniprot.org/uniprotkb/Q5NQ55/entry#sequences</t>
  </si>
  <si>
    <t>https://www.uniprot.org/uniprotkb/Q5NQ45/entry#sequences</t>
  </si>
  <si>
    <t>https://www.uniprot.org/uniprotkb/Q5NQ58/entry#sequences</t>
  </si>
  <si>
    <t>https://www.uniprot.org/uniprotkb/Q5NQ39/entry#sequences</t>
  </si>
  <si>
    <t>https://www.uniprot.org/uniprotkb/Q5NQ49/entry#sequences</t>
  </si>
  <si>
    <t>https://www.uniprot.org/uniprotkb/Q5NNK7/entry#sequences</t>
  </si>
  <si>
    <t>https://www.uniprot.org/uniprotkb/Q5NMC1/entry#sequences</t>
  </si>
  <si>
    <t>https://www.uniprot.org/uniprotkb/Q5NR19/entry#sequences</t>
  </si>
  <si>
    <t>https://www.uniprot.org/uniprotkb/Q5NQ60/entry#sequences</t>
  </si>
  <si>
    <t>https://www.uniprot.org/uniprotkb/Q5NQ54/entry#sequences</t>
  </si>
  <si>
    <t>https://www.uniprot.org/uniprotkb/Q5NL76/entry#sequences</t>
  </si>
  <si>
    <t>https://www.uniprot.org/uniprotkb/Q5NR21/entry#sequences</t>
  </si>
  <si>
    <t>https://www.uniprot.org/uniprotkb/Q9FDL9/entry#sequences</t>
  </si>
  <si>
    <t>https://www.uniprot.org/uniprotkb/Q5NQ57/entry#sequences</t>
  </si>
  <si>
    <t>https://www.uniprot.org/uniprotkb/Q5NNE1/entry#sequences</t>
  </si>
  <si>
    <t>https://www.uniprot.org/uniprotkb/D2N0X9/entry#sequences</t>
  </si>
  <si>
    <t>https://www.uniprot.org/uniprotkb/Q5NQY1/entry#sequences</t>
  </si>
  <si>
    <t>https://www.uniprot.org/uniprotkb/Q5NMC0/entry#sequences</t>
  </si>
  <si>
    <t>https://www.uniprot.org/uniprotkb/Q5NQ42/entry#sequences</t>
  </si>
  <si>
    <t>https://www.uniprot.org/uniprotkb/Q5NQ31/entry#sequences</t>
  </si>
  <si>
    <t>https://www.uniprot.org/uniprotkb/Q5NNL0/entry#sequences</t>
  </si>
  <si>
    <t>https://www.uniprot.org/uniprotkb/Q5NQ56/entry#sequences</t>
  </si>
  <si>
    <t>https://www.uniprot.org/uniprotkb/Q5NN60/entry#sequences</t>
  </si>
  <si>
    <t>https://www.uniprot.org/uniprotkb/D2N0W1/entry#sequences</t>
  </si>
  <si>
    <t>https://www.uniprot.org/uniprotkb/Q9Z5V0/entry#sequences</t>
  </si>
  <si>
    <t>https://www.uniprot.org/uniprotkb/Q5NLS3/entry#sequences</t>
  </si>
  <si>
    <t>https://www.uniprot.org/uniprotkb/Q5NQ52/entry#sequences</t>
  </si>
  <si>
    <t>https://www.uniprot.org/uniprotkb/Q5NQ62/entry#sequences</t>
  </si>
  <si>
    <t>https://www.uniprot.org/uniprotkb/Q5NQ47/entry#sequences</t>
  </si>
  <si>
    <t>rrna16s_c</t>
  </si>
  <si>
    <t>rrna23s_c</t>
  </si>
  <si>
    <t>RDN16-1</t>
  </si>
  <si>
    <t>RDN23-1</t>
  </si>
  <si>
    <t>Ribosome Total MW</t>
  </si>
  <si>
    <t>RNA Central</t>
  </si>
  <si>
    <t>https://en.wikipedia.org/wiki/Ribosome</t>
  </si>
  <si>
    <t>RSP L36P</t>
  </si>
  <si>
    <t>https://www.uniprot.org/uniprotkb/Q5NN40/entry#sequences</t>
  </si>
  <si>
    <t>https://rnacentral.org/rna/URS0000469D01/264203</t>
  </si>
  <si>
    <t>https://rnacentral.org/rna/URS0000304C39/264203</t>
  </si>
  <si>
    <t>https://rnacentral.org/rna/URS000014DFF8/120045</t>
  </si>
  <si>
    <t>ZMO1246</t>
  </si>
  <si>
    <t>*Note: no experimental proteomics data</t>
  </si>
  <si>
    <t>ZMO0883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</si>
</sst>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8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3" fontId="3" fillId="0" borderId="0" xfId="0" applyNumberFormat="1" applyFont="1"/>
    <xf numFmtId="0" fontId="3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2" fillId="0" borderId="0" xfId="1"/>
    <xf numFmtId="0" fontId="4" fillId="5" borderId="0" xfId="0" applyFont="1" applyFill="1"/>
    <xf numFmtId="3" fontId="4" fillId="5" borderId="0" xfId="0" applyNumberFormat="1" applyFont="1" applyFill="1"/>
    <xf numFmtId="0" fontId="2" fillId="5" borderId="0" xfId="1" applyFill="1"/>
    <xf numFmtId="0" fontId="3" fillId="5" borderId="0" xfId="0" applyFont="1" applyFill="1"/>
    <xf numFmtId="49" fontId="3" fillId="0" borderId="0" xfId="0" applyNumberFormat="1" applyFont="1"/>
    <xf numFmtId="49" fontId="0" fillId="0" borderId="0" xfId="0" applyNumberFormat="1"/>
    <xf numFmtId="2" fontId="3" fillId="0" borderId="0" xfId="0" applyNumberFormat="1" applyFont="1"/>
    <xf numFmtId="0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acentral.org/rna/URS0000469D01/264203" TargetMode="External"/><Relationship Id="rId3" Type="http://schemas.openxmlformats.org/officeDocument/2006/relationships/hyperlink" Target="https://www.uniprot.org/uniprotkb/Q5NQ60/entry" TargetMode="External"/><Relationship Id="rId7" Type="http://schemas.openxmlformats.org/officeDocument/2006/relationships/hyperlink" Target="https://rnacentral.org/rna/URS0000304C39/264203" TargetMode="External"/><Relationship Id="rId2" Type="http://schemas.openxmlformats.org/officeDocument/2006/relationships/hyperlink" Target="https://www.uniprot.org/uniprotkb/Q5NQ49/entry" TargetMode="External"/><Relationship Id="rId1" Type="http://schemas.openxmlformats.org/officeDocument/2006/relationships/hyperlink" Target="https://www.uniprot.org/uniprotkb/Q5NQ53/entry" TargetMode="External"/><Relationship Id="rId6" Type="http://schemas.openxmlformats.org/officeDocument/2006/relationships/hyperlink" Target="https://www.uniprot.org/uniprotkb/Q5NQ47/entry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uniprot.org/uniprotkb/Q5NQ52/entry" TargetMode="External"/><Relationship Id="rId10" Type="http://schemas.openxmlformats.org/officeDocument/2006/relationships/hyperlink" Target="https://en.wikipedia.org/wiki/Ribosome" TargetMode="External"/><Relationship Id="rId4" Type="http://schemas.openxmlformats.org/officeDocument/2006/relationships/hyperlink" Target="https://www.uniprot.org/uniprotkb/Q5NQ62/entry" TargetMode="External"/><Relationship Id="rId9" Type="http://schemas.openxmlformats.org/officeDocument/2006/relationships/hyperlink" Target="https://www.uniprot.org/uniprotkb/Q5NN40/e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8623-8A3F-47E2-B2DF-B5B81CFBFA3B}">
  <dimension ref="A1:P59"/>
  <sheetViews>
    <sheetView tabSelected="1" zoomScale="130" zoomScaleNormal="130" workbookViewId="0">
      <selection activeCell="A10" sqref="A10"/>
    </sheetView>
  </sheetViews>
  <sheetFormatPr baseColWidth="10" defaultColWidth="11.6640625" defaultRowHeight="13" x14ac:dyDescent="0.15"/>
  <cols>
    <col min="2" max="2" width="16.5" customWidth="1"/>
    <col min="3" max="5" width="12.83203125" customWidth="1"/>
    <col min="7" max="7" width="12.5" customWidth="1"/>
    <col min="9" max="9" width="20.1640625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115</v>
      </c>
      <c r="G1" s="1" t="s">
        <v>4</v>
      </c>
      <c r="H1" s="1" t="s">
        <v>114</v>
      </c>
      <c r="I1" s="1"/>
      <c r="J1" s="1"/>
      <c r="K1" s="1"/>
      <c r="L1" s="1"/>
      <c r="M1" s="1"/>
      <c r="N1" s="1"/>
      <c r="O1" s="1" t="s">
        <v>4</v>
      </c>
      <c r="P1" s="1"/>
    </row>
    <row r="2" spans="1:16" x14ac:dyDescent="0.15">
      <c r="A2" s="15" t="s">
        <v>24</v>
      </c>
      <c r="B2" s="1" t="s">
        <v>32</v>
      </c>
      <c r="C2" s="1" t="s">
        <v>58</v>
      </c>
      <c r="D2" s="1" t="s">
        <v>116</v>
      </c>
      <c r="E2" s="1"/>
      <c r="F2" s="2">
        <v>61709</v>
      </c>
      <c r="G2" s="1">
        <f>F2/1000</f>
        <v>61.709000000000003</v>
      </c>
      <c r="H2" s="1" t="s">
        <v>118</v>
      </c>
      <c r="I2" s="1"/>
      <c r="J2" s="1"/>
      <c r="K2" s="1"/>
      <c r="L2" s="1"/>
      <c r="M2" s="4" t="s">
        <v>5</v>
      </c>
      <c r="N2" s="4"/>
      <c r="O2" s="4">
        <f>SUM(G2:G53)</f>
        <v>834.26099999999985</v>
      </c>
      <c r="P2" s="1"/>
    </row>
    <row r="3" spans="1:16" x14ac:dyDescent="0.15">
      <c r="A3" s="15" t="s">
        <v>25</v>
      </c>
      <c r="B3" s="1" t="s">
        <v>10</v>
      </c>
      <c r="C3" s="1" t="s">
        <v>58</v>
      </c>
      <c r="D3" s="1" t="s">
        <v>116</v>
      </c>
      <c r="E3" s="1"/>
      <c r="F3" s="2">
        <v>27380</v>
      </c>
      <c r="G3" s="1">
        <f t="shared" ref="G3:G53" si="0">F3/1000</f>
        <v>27.38</v>
      </c>
      <c r="H3" s="1" t="s">
        <v>120</v>
      </c>
      <c r="I3" s="1"/>
      <c r="J3" s="1"/>
      <c r="K3" s="1"/>
      <c r="L3" s="1"/>
      <c r="M3" s="5" t="s">
        <v>6</v>
      </c>
      <c r="N3" s="5"/>
      <c r="O3" s="5">
        <f>SUM(G55:G57)</f>
        <v>1422.5283999999999</v>
      </c>
      <c r="P3" s="1"/>
    </row>
    <row r="4" spans="1:16" x14ac:dyDescent="0.15">
      <c r="A4" s="15" t="s">
        <v>26</v>
      </c>
      <c r="B4" s="1" t="s">
        <v>12</v>
      </c>
      <c r="C4" s="1" t="s">
        <v>58</v>
      </c>
      <c r="D4" s="1" t="s">
        <v>116</v>
      </c>
      <c r="E4" s="1"/>
      <c r="F4" s="2">
        <v>25785</v>
      </c>
      <c r="G4" s="1">
        <f t="shared" si="0"/>
        <v>25.785</v>
      </c>
      <c r="H4" s="1" t="s">
        <v>119</v>
      </c>
      <c r="I4" s="1"/>
      <c r="J4" s="1"/>
      <c r="K4" s="1"/>
      <c r="L4" s="1"/>
      <c r="M4" s="6" t="s">
        <v>174</v>
      </c>
      <c r="N4" s="6"/>
      <c r="O4" s="6">
        <f>O2+O3</f>
        <v>2256.7893999999997</v>
      </c>
      <c r="P4" s="1"/>
    </row>
    <row r="5" spans="1:16" x14ac:dyDescent="0.15">
      <c r="A5" s="15" t="s">
        <v>27</v>
      </c>
      <c r="B5" s="1" t="s">
        <v>33</v>
      </c>
      <c r="C5" s="1" t="s">
        <v>58</v>
      </c>
      <c r="D5" s="1" t="s">
        <v>116</v>
      </c>
      <c r="E5" s="1"/>
      <c r="F5" s="2">
        <v>23367</v>
      </c>
      <c r="G5" s="1">
        <f t="shared" si="0"/>
        <v>23.367000000000001</v>
      </c>
      <c r="H5" s="1" t="s">
        <v>121</v>
      </c>
      <c r="I5" s="1"/>
      <c r="J5" s="1"/>
      <c r="K5" s="1"/>
      <c r="L5" s="1"/>
      <c r="M5" s="1"/>
      <c r="N5" s="1"/>
      <c r="O5" s="1"/>
      <c r="P5" s="1"/>
    </row>
    <row r="6" spans="1:16" x14ac:dyDescent="0.15">
      <c r="A6" s="15" t="s">
        <v>28</v>
      </c>
      <c r="B6" s="1" t="s">
        <v>13</v>
      </c>
      <c r="C6" s="1" t="s">
        <v>58</v>
      </c>
      <c r="D6" s="1" t="s">
        <v>116</v>
      </c>
      <c r="E6" s="1"/>
      <c r="F6" s="2">
        <v>24623</v>
      </c>
      <c r="G6" s="1">
        <f t="shared" si="0"/>
        <v>24.623000000000001</v>
      </c>
      <c r="H6" s="1" t="s">
        <v>122</v>
      </c>
      <c r="I6" s="1"/>
      <c r="J6" s="1"/>
      <c r="K6" s="1"/>
      <c r="L6" s="1"/>
      <c r="M6" s="1"/>
      <c r="N6" s="1"/>
      <c r="O6" s="1"/>
      <c r="P6" s="1"/>
    </row>
    <row r="7" spans="1:16" x14ac:dyDescent="0.15">
      <c r="A7" s="15" t="s">
        <v>29</v>
      </c>
      <c r="B7" s="1" t="s">
        <v>34</v>
      </c>
      <c r="C7" s="1" t="s">
        <v>58</v>
      </c>
      <c r="D7" s="1" t="s">
        <v>116</v>
      </c>
      <c r="E7" s="1"/>
      <c r="F7" s="2">
        <v>14351</v>
      </c>
      <c r="G7" s="1">
        <f t="shared" si="0"/>
        <v>14.351000000000001</v>
      </c>
      <c r="H7" s="1" t="s">
        <v>123</v>
      </c>
      <c r="I7" s="1"/>
      <c r="J7" s="1"/>
      <c r="K7" s="1"/>
      <c r="L7" s="1"/>
      <c r="M7" s="1"/>
      <c r="N7" s="1"/>
      <c r="O7" s="1"/>
      <c r="P7" s="1"/>
    </row>
    <row r="8" spans="1:16" x14ac:dyDescent="0.15">
      <c r="A8" s="15" t="s">
        <v>30</v>
      </c>
      <c r="B8" s="1" t="s">
        <v>35</v>
      </c>
      <c r="C8" s="1" t="s">
        <v>58</v>
      </c>
      <c r="D8" s="1" t="s">
        <v>116</v>
      </c>
      <c r="E8" s="1"/>
      <c r="F8" s="2">
        <v>17791</v>
      </c>
      <c r="G8" s="1">
        <f t="shared" si="0"/>
        <v>17.791</v>
      </c>
      <c r="H8" s="1" t="s">
        <v>124</v>
      </c>
      <c r="I8" s="1"/>
      <c r="J8" s="1"/>
      <c r="K8" s="1"/>
      <c r="L8" s="1"/>
      <c r="M8" s="1"/>
      <c r="N8" s="1"/>
      <c r="O8" s="1"/>
      <c r="P8" s="1"/>
    </row>
    <row r="9" spans="1:16" x14ac:dyDescent="0.15">
      <c r="A9" s="15" t="s">
        <v>31</v>
      </c>
      <c r="B9" s="1" t="s">
        <v>36</v>
      </c>
      <c r="C9" s="1" t="s">
        <v>58</v>
      </c>
      <c r="D9" s="1" t="s">
        <v>116</v>
      </c>
      <c r="E9" s="1"/>
      <c r="F9" s="2">
        <v>14410</v>
      </c>
      <c r="G9" s="1">
        <f t="shared" si="0"/>
        <v>14.41</v>
      </c>
      <c r="H9" s="1" t="s">
        <v>125</v>
      </c>
      <c r="I9" s="1"/>
      <c r="J9" s="1"/>
      <c r="K9" s="1"/>
      <c r="L9" s="1"/>
      <c r="M9" s="1"/>
      <c r="N9" s="1"/>
      <c r="O9" s="1"/>
      <c r="P9" s="1"/>
    </row>
    <row r="10" spans="1:16" x14ac:dyDescent="0.15">
      <c r="A10" s="15" t="s">
        <v>184</v>
      </c>
      <c r="B10" s="12" t="s">
        <v>37</v>
      </c>
      <c r="C10" s="12" t="s">
        <v>58</v>
      </c>
      <c r="D10" s="12" t="s">
        <v>116</v>
      </c>
      <c r="E10" s="12"/>
      <c r="F10" s="14">
        <v>19626</v>
      </c>
      <c r="G10" s="14">
        <f t="shared" si="0"/>
        <v>19.626000000000001</v>
      </c>
      <c r="H10" s="13" t="s">
        <v>126</v>
      </c>
      <c r="I10" s="12"/>
      <c r="J10" s="12"/>
      <c r="K10" s="12"/>
      <c r="L10" s="1"/>
      <c r="M10" s="1"/>
      <c r="N10" s="1"/>
      <c r="O10" s="1"/>
      <c r="P10" s="1"/>
    </row>
    <row r="11" spans="1:16" x14ac:dyDescent="0.15">
      <c r="A11" s="15" t="s">
        <v>38</v>
      </c>
      <c r="B11" s="1" t="s">
        <v>50</v>
      </c>
      <c r="C11" s="1" t="s">
        <v>58</v>
      </c>
      <c r="D11" s="1" t="s">
        <v>116</v>
      </c>
      <c r="E11" s="1"/>
      <c r="F11" s="2">
        <v>13933</v>
      </c>
      <c r="G11" s="1">
        <f t="shared" si="0"/>
        <v>13.933</v>
      </c>
      <c r="H11" s="1" t="s">
        <v>117</v>
      </c>
      <c r="I11" s="1"/>
      <c r="J11" s="1"/>
      <c r="K11" s="1"/>
      <c r="L11" s="1"/>
      <c r="M11" s="1"/>
      <c r="N11" s="1"/>
      <c r="O11" s="1"/>
      <c r="P11" s="1"/>
    </row>
    <row r="12" spans="1:16" x14ac:dyDescent="0.15">
      <c r="A12" s="15" t="s">
        <v>39</v>
      </c>
      <c r="B12" s="1" t="s">
        <v>51</v>
      </c>
      <c r="C12" s="1" t="s">
        <v>58</v>
      </c>
      <c r="D12" s="1" t="s">
        <v>116</v>
      </c>
      <c r="E12" s="1"/>
      <c r="F12" s="2">
        <v>13904</v>
      </c>
      <c r="G12" s="1">
        <f t="shared" si="0"/>
        <v>13.904</v>
      </c>
      <c r="H12" s="1" t="s">
        <v>127</v>
      </c>
      <c r="I12" s="1"/>
      <c r="J12" s="1"/>
      <c r="K12" s="1"/>
      <c r="L12" s="1"/>
      <c r="M12" s="1"/>
      <c r="N12" s="1"/>
      <c r="O12" s="1"/>
      <c r="P12" s="1"/>
    </row>
    <row r="13" spans="1:16" x14ac:dyDescent="0.15">
      <c r="A13" s="15" t="s">
        <v>40</v>
      </c>
      <c r="B13" s="1" t="s">
        <v>7</v>
      </c>
      <c r="C13" s="1" t="s">
        <v>58</v>
      </c>
      <c r="D13" s="1" t="s">
        <v>116</v>
      </c>
      <c r="E13" s="1"/>
      <c r="F13" s="2">
        <v>13991</v>
      </c>
      <c r="G13" s="1">
        <f t="shared" si="0"/>
        <v>13.991</v>
      </c>
      <c r="H13" s="1" t="s">
        <v>128</v>
      </c>
      <c r="I13" s="1"/>
      <c r="J13" s="1"/>
      <c r="K13" s="1"/>
      <c r="L13" s="1"/>
      <c r="M13" s="1"/>
      <c r="N13" s="1"/>
      <c r="O13" s="1"/>
      <c r="P13" s="1"/>
    </row>
    <row r="14" spans="1:16" x14ac:dyDescent="0.15">
      <c r="A14" s="15" t="s">
        <v>41</v>
      </c>
      <c r="B14" s="1" t="s">
        <v>8</v>
      </c>
      <c r="C14" s="1" t="s">
        <v>58</v>
      </c>
      <c r="D14" s="1" t="s">
        <v>116</v>
      </c>
      <c r="E14" s="1"/>
      <c r="F14" s="2">
        <v>13678</v>
      </c>
      <c r="G14" s="1">
        <f t="shared" si="0"/>
        <v>13.678000000000001</v>
      </c>
      <c r="H14" s="1" t="s">
        <v>159</v>
      </c>
      <c r="I14" s="1"/>
      <c r="J14" s="1"/>
      <c r="K14" s="1"/>
      <c r="L14" s="1"/>
      <c r="M14" s="1"/>
      <c r="N14" s="1"/>
      <c r="O14" s="1"/>
      <c r="P14" s="1"/>
    </row>
    <row r="15" spans="1:16" x14ac:dyDescent="0.15">
      <c r="A15" s="15" t="s">
        <v>42</v>
      </c>
      <c r="B15" s="1" t="s">
        <v>52</v>
      </c>
      <c r="C15" s="1" t="s">
        <v>58</v>
      </c>
      <c r="D15" s="1" t="s">
        <v>116</v>
      </c>
      <c r="E15" s="1"/>
      <c r="F15" s="2">
        <v>11539</v>
      </c>
      <c r="G15" s="1">
        <f t="shared" si="0"/>
        <v>11.539</v>
      </c>
      <c r="H15" s="3" t="s">
        <v>167</v>
      </c>
      <c r="I15" s="1"/>
      <c r="J15" s="1"/>
      <c r="K15" s="1"/>
      <c r="L15" s="1"/>
      <c r="M15" s="1"/>
      <c r="N15" s="1"/>
      <c r="O15" s="1"/>
      <c r="P15" s="1"/>
    </row>
    <row r="16" spans="1:16" x14ac:dyDescent="0.15">
      <c r="A16" s="15" t="s">
        <v>43</v>
      </c>
      <c r="B16" s="1" t="s">
        <v>9</v>
      </c>
      <c r="C16" s="1" t="s">
        <v>58</v>
      </c>
      <c r="D16" s="1" t="s">
        <v>116</v>
      </c>
      <c r="E16" s="1"/>
      <c r="F16" s="2">
        <v>10304</v>
      </c>
      <c r="G16" s="1">
        <f t="shared" si="0"/>
        <v>10.304</v>
      </c>
      <c r="H16" s="1" t="s">
        <v>160</v>
      </c>
      <c r="I16" s="1"/>
      <c r="J16" s="1"/>
      <c r="K16" s="1"/>
      <c r="L16" s="1"/>
      <c r="M16" s="1"/>
      <c r="N16" s="1"/>
      <c r="O16" s="1"/>
      <c r="P16" s="1"/>
    </row>
    <row r="17" spans="1:16" x14ac:dyDescent="0.15">
      <c r="A17" s="15" t="s">
        <v>44</v>
      </c>
      <c r="B17" s="1" t="s">
        <v>53</v>
      </c>
      <c r="C17" s="1" t="s">
        <v>58</v>
      </c>
      <c r="D17" s="1" t="s">
        <v>116</v>
      </c>
      <c r="E17" s="1"/>
      <c r="F17" s="2">
        <v>15516</v>
      </c>
      <c r="G17" s="1">
        <f t="shared" si="0"/>
        <v>15.516</v>
      </c>
      <c r="H17" s="1" t="s">
        <v>161</v>
      </c>
      <c r="I17" s="1"/>
      <c r="J17" s="1"/>
      <c r="K17" s="1"/>
      <c r="L17" s="1"/>
      <c r="M17" s="1"/>
      <c r="N17" s="1"/>
      <c r="O17" s="1"/>
      <c r="P17" s="1"/>
    </row>
    <row r="18" spans="1:16" x14ac:dyDescent="0.15">
      <c r="A18" s="15" t="s">
        <v>45</v>
      </c>
      <c r="B18" s="1" t="s">
        <v>54</v>
      </c>
      <c r="C18" s="1" t="s">
        <v>58</v>
      </c>
      <c r="D18" s="1" t="s">
        <v>116</v>
      </c>
      <c r="E18" s="1"/>
      <c r="F18" s="2">
        <v>9426</v>
      </c>
      <c r="G18" s="1">
        <f t="shared" si="0"/>
        <v>9.4260000000000002</v>
      </c>
      <c r="H18" s="1" t="s">
        <v>162</v>
      </c>
      <c r="I18" s="1"/>
      <c r="J18" s="1"/>
      <c r="K18" s="1"/>
      <c r="L18" s="1"/>
      <c r="M18" s="1"/>
      <c r="N18" s="1"/>
      <c r="O18" s="1"/>
      <c r="P18" s="1"/>
    </row>
    <row r="19" spans="1:16" x14ac:dyDescent="0.15">
      <c r="A19" s="15" t="s">
        <v>46</v>
      </c>
      <c r="B19" s="1" t="s">
        <v>55</v>
      </c>
      <c r="C19" s="1" t="s">
        <v>58</v>
      </c>
      <c r="D19" s="1" t="s">
        <v>116</v>
      </c>
      <c r="E19" s="1"/>
      <c r="F19" s="2">
        <v>8506</v>
      </c>
      <c r="G19" s="1">
        <f t="shared" si="0"/>
        <v>8.5060000000000002</v>
      </c>
      <c r="H19" s="1" t="s">
        <v>163</v>
      </c>
      <c r="I19" s="1"/>
      <c r="J19" s="1"/>
      <c r="K19" s="1"/>
      <c r="L19" s="1"/>
      <c r="M19" s="1"/>
      <c r="N19" s="1"/>
      <c r="O19" s="1"/>
      <c r="P19" s="1"/>
    </row>
    <row r="20" spans="1:16" x14ac:dyDescent="0.15">
      <c r="A20" s="15" t="s">
        <v>47</v>
      </c>
      <c r="B20" s="1" t="s">
        <v>56</v>
      </c>
      <c r="C20" s="1" t="s">
        <v>58</v>
      </c>
      <c r="D20" s="1" t="s">
        <v>116</v>
      </c>
      <c r="E20" s="1"/>
      <c r="F20" s="2">
        <v>10229</v>
      </c>
      <c r="G20" s="1">
        <f t="shared" si="0"/>
        <v>10.228999999999999</v>
      </c>
      <c r="H20" s="1" t="s">
        <v>164</v>
      </c>
      <c r="I20" s="1"/>
      <c r="J20" s="1"/>
      <c r="K20" s="1"/>
      <c r="L20" s="1"/>
      <c r="M20" s="1"/>
      <c r="N20" s="1"/>
      <c r="O20" s="1"/>
      <c r="P20" s="1"/>
    </row>
    <row r="21" spans="1:16" x14ac:dyDescent="0.15">
      <c r="A21" s="1" t="s">
        <v>48</v>
      </c>
      <c r="B21" s="1" t="s">
        <v>11</v>
      </c>
      <c r="C21" s="1" t="s">
        <v>58</v>
      </c>
      <c r="D21" s="1" t="s">
        <v>116</v>
      </c>
      <c r="E21" s="1"/>
      <c r="F21" s="2">
        <v>9515</v>
      </c>
      <c r="G21" s="1">
        <f t="shared" si="0"/>
        <v>9.5150000000000006</v>
      </c>
      <c r="H21" s="1" t="s">
        <v>165</v>
      </c>
      <c r="I21" s="1"/>
      <c r="J21" s="1"/>
      <c r="K21" s="1"/>
      <c r="L21" s="1"/>
      <c r="M21" s="1"/>
      <c r="N21" s="1"/>
      <c r="O21" s="1"/>
      <c r="P21" s="1"/>
    </row>
    <row r="22" spans="1:16" x14ac:dyDescent="0.15">
      <c r="A22" s="1" t="s">
        <v>49</v>
      </c>
      <c r="B22" s="1" t="s">
        <v>57</v>
      </c>
      <c r="C22" s="1" t="s">
        <v>58</v>
      </c>
      <c r="D22" s="1" t="s">
        <v>116</v>
      </c>
      <c r="E22" s="1"/>
      <c r="F22" s="2">
        <v>8315</v>
      </c>
      <c r="G22" s="1">
        <f t="shared" si="0"/>
        <v>8.3149999999999995</v>
      </c>
      <c r="H22" s="1" t="s">
        <v>166</v>
      </c>
      <c r="I22" s="1"/>
      <c r="J22" s="1"/>
      <c r="K22" s="1"/>
      <c r="L22" s="1"/>
      <c r="M22" s="1"/>
      <c r="N22" s="1"/>
      <c r="O22" s="1"/>
      <c r="P22" s="1"/>
    </row>
    <row r="23" spans="1:16" x14ac:dyDescent="0.15">
      <c r="A23" s="1" t="s">
        <v>59</v>
      </c>
      <c r="B23" s="1" t="s">
        <v>60</v>
      </c>
      <c r="C23" s="1" t="s">
        <v>112</v>
      </c>
      <c r="D23" s="1" t="s">
        <v>131</v>
      </c>
      <c r="E23" s="1"/>
      <c r="F23" s="2">
        <v>24173</v>
      </c>
      <c r="G23" s="1">
        <f t="shared" si="0"/>
        <v>24.172999999999998</v>
      </c>
      <c r="H23" s="1" t="s">
        <v>129</v>
      </c>
      <c r="I23" s="1"/>
      <c r="J23" s="1"/>
      <c r="K23" s="1"/>
      <c r="L23" s="1"/>
      <c r="M23" s="1"/>
      <c r="N23" s="1"/>
      <c r="O23" s="1"/>
      <c r="P23" s="1"/>
    </row>
    <row r="24" spans="1:16" x14ac:dyDescent="0.15">
      <c r="A24" s="1" t="s">
        <v>61</v>
      </c>
      <c r="B24" s="1" t="s">
        <v>63</v>
      </c>
      <c r="C24" s="1" t="s">
        <v>112</v>
      </c>
      <c r="D24" s="1" t="s">
        <v>131</v>
      </c>
      <c r="E24" s="1"/>
      <c r="F24" s="2">
        <v>30543</v>
      </c>
      <c r="G24" s="1">
        <f t="shared" si="0"/>
        <v>30.542999999999999</v>
      </c>
      <c r="H24" s="1" t="s">
        <v>130</v>
      </c>
      <c r="I24" s="1"/>
      <c r="J24" s="1"/>
      <c r="K24" s="1"/>
      <c r="L24" s="1"/>
      <c r="M24" s="1"/>
      <c r="N24" s="1"/>
      <c r="O24" s="1"/>
      <c r="P24" s="1"/>
    </row>
    <row r="25" spans="1:16" x14ac:dyDescent="0.15">
      <c r="A25" s="1" t="s">
        <v>62</v>
      </c>
      <c r="B25" s="1" t="s">
        <v>18</v>
      </c>
      <c r="C25" s="1" t="s">
        <v>112</v>
      </c>
      <c r="D25" s="1" t="s">
        <v>131</v>
      </c>
      <c r="E25" s="1"/>
      <c r="F25" s="2">
        <v>25650</v>
      </c>
      <c r="G25" s="1">
        <f t="shared" si="0"/>
        <v>25.65</v>
      </c>
      <c r="H25" s="1" t="s">
        <v>132</v>
      </c>
      <c r="I25" s="1"/>
      <c r="J25" s="1"/>
      <c r="K25" s="1"/>
      <c r="L25" s="1"/>
      <c r="M25" s="1"/>
      <c r="N25" s="1"/>
      <c r="O25" s="1"/>
      <c r="P25" s="1"/>
    </row>
    <row r="26" spans="1:16" x14ac:dyDescent="0.15">
      <c r="A26" s="1" t="s">
        <v>65</v>
      </c>
      <c r="B26" s="1" t="s">
        <v>64</v>
      </c>
      <c r="C26" s="1" t="s">
        <v>112</v>
      </c>
      <c r="D26" s="1" t="s">
        <v>131</v>
      </c>
      <c r="E26" s="1"/>
      <c r="F26" s="2">
        <v>22281</v>
      </c>
      <c r="G26" s="1">
        <f t="shared" si="0"/>
        <v>22.280999999999999</v>
      </c>
      <c r="H26" s="1" t="s">
        <v>133</v>
      </c>
      <c r="I26" s="1"/>
      <c r="J26" s="1"/>
      <c r="K26" s="1"/>
      <c r="L26" s="1"/>
      <c r="M26" s="1"/>
      <c r="N26" s="1"/>
      <c r="O26" s="1"/>
      <c r="P26" s="1"/>
    </row>
    <row r="27" spans="1:16" x14ac:dyDescent="0.15">
      <c r="A27" s="1" t="s">
        <v>66</v>
      </c>
      <c r="B27" s="1" t="s">
        <v>21</v>
      </c>
      <c r="C27" s="1" t="s">
        <v>112</v>
      </c>
      <c r="D27" s="1" t="s">
        <v>131</v>
      </c>
      <c r="E27" s="1"/>
      <c r="F27" s="2">
        <v>21740</v>
      </c>
      <c r="G27" s="1">
        <f t="shared" si="0"/>
        <v>21.74</v>
      </c>
      <c r="H27" s="3" t="s">
        <v>134</v>
      </c>
      <c r="I27" s="1"/>
      <c r="J27" s="1"/>
      <c r="K27" s="1"/>
      <c r="L27" s="1"/>
      <c r="M27" s="1"/>
      <c r="N27" s="1"/>
      <c r="O27" s="1"/>
      <c r="P27" s="1"/>
    </row>
    <row r="28" spans="1:16" x14ac:dyDescent="0.15">
      <c r="A28" s="1" t="s">
        <v>67</v>
      </c>
      <c r="B28" s="1" t="s">
        <v>68</v>
      </c>
      <c r="C28" s="1" t="s">
        <v>112</v>
      </c>
      <c r="D28" s="1" t="s">
        <v>131</v>
      </c>
      <c r="E28" s="1"/>
      <c r="F28" s="2">
        <v>19363</v>
      </c>
      <c r="G28" s="1">
        <f t="shared" si="0"/>
        <v>19.363</v>
      </c>
      <c r="H28" s="1" t="s">
        <v>135</v>
      </c>
      <c r="I28" s="1"/>
      <c r="J28" s="1"/>
      <c r="K28" s="1"/>
      <c r="L28" s="1"/>
      <c r="M28" s="1"/>
      <c r="N28" s="1"/>
      <c r="O28" s="1"/>
      <c r="P28" s="1"/>
    </row>
    <row r="29" spans="1:16" x14ac:dyDescent="0.15">
      <c r="A29" s="1" t="s">
        <v>69</v>
      </c>
      <c r="B29" s="1" t="s">
        <v>70</v>
      </c>
      <c r="C29" s="1" t="s">
        <v>112</v>
      </c>
      <c r="D29" s="1" t="s">
        <v>131</v>
      </c>
      <c r="E29" s="1"/>
      <c r="F29" s="2">
        <v>12506</v>
      </c>
      <c r="G29" s="1">
        <f t="shared" si="0"/>
        <v>12.506</v>
      </c>
      <c r="H29" s="1" t="s">
        <v>136</v>
      </c>
      <c r="I29" s="1"/>
      <c r="J29" s="1"/>
      <c r="K29" s="1"/>
      <c r="L29" s="1"/>
      <c r="M29" s="1"/>
      <c r="N29" s="1"/>
      <c r="O29" s="1"/>
      <c r="P29" s="1"/>
    </row>
    <row r="30" spans="1:16" x14ac:dyDescent="0.15">
      <c r="A30" s="1" t="s">
        <v>71</v>
      </c>
      <c r="B30" s="1" t="s">
        <v>74</v>
      </c>
      <c r="C30" s="1" t="s">
        <v>112</v>
      </c>
      <c r="D30" s="1" t="s">
        <v>131</v>
      </c>
      <c r="E30" s="1"/>
      <c r="F30" s="2">
        <v>22802</v>
      </c>
      <c r="G30" s="1">
        <f t="shared" si="0"/>
        <v>22.802</v>
      </c>
      <c r="H30" s="1" t="s">
        <v>137</v>
      </c>
      <c r="I30" s="1"/>
      <c r="J30" s="1"/>
      <c r="K30" s="1"/>
      <c r="L30" s="1"/>
      <c r="M30" s="1"/>
      <c r="N30" s="1"/>
      <c r="O30" s="1"/>
      <c r="P30" s="1"/>
    </row>
    <row r="31" spans="1:16" x14ac:dyDescent="0.15">
      <c r="A31" s="1" t="s">
        <v>72</v>
      </c>
      <c r="B31" s="1" t="s">
        <v>14</v>
      </c>
      <c r="C31" s="1" t="s">
        <v>112</v>
      </c>
      <c r="D31" s="1" t="s">
        <v>131</v>
      </c>
      <c r="E31" s="1"/>
      <c r="F31" s="2">
        <v>17489</v>
      </c>
      <c r="G31" s="1">
        <f t="shared" si="0"/>
        <v>17.489000000000001</v>
      </c>
      <c r="H31" s="1" t="s">
        <v>138</v>
      </c>
      <c r="I31" s="1"/>
      <c r="J31" s="1"/>
      <c r="K31" s="1"/>
      <c r="L31" s="1"/>
      <c r="M31" s="1"/>
      <c r="N31" s="1"/>
      <c r="O31" s="1"/>
      <c r="P31" s="1"/>
    </row>
    <row r="32" spans="1:16" x14ac:dyDescent="0.15">
      <c r="A32" s="1" t="s">
        <v>73</v>
      </c>
      <c r="B32" s="1" t="s">
        <v>75</v>
      </c>
      <c r="C32" s="1" t="s">
        <v>112</v>
      </c>
      <c r="D32" s="1" t="s">
        <v>131</v>
      </c>
      <c r="E32" s="1"/>
      <c r="F32" s="2">
        <v>15186</v>
      </c>
      <c r="G32" s="1">
        <f t="shared" si="0"/>
        <v>15.186</v>
      </c>
      <c r="H32" s="1" t="s">
        <v>139</v>
      </c>
      <c r="I32" s="1"/>
      <c r="J32" s="1"/>
      <c r="K32" s="1"/>
      <c r="L32" s="1"/>
      <c r="M32" s="1"/>
      <c r="N32" s="1"/>
      <c r="O32" s="1"/>
      <c r="P32" s="1"/>
    </row>
    <row r="33" spans="1:16" x14ac:dyDescent="0.15">
      <c r="A33" s="1" t="s">
        <v>76</v>
      </c>
      <c r="B33" s="1" t="s">
        <v>80</v>
      </c>
      <c r="C33" s="1" t="s">
        <v>112</v>
      </c>
      <c r="D33" s="1" t="s">
        <v>131</v>
      </c>
      <c r="E33" s="1"/>
      <c r="F33" s="2">
        <v>17615</v>
      </c>
      <c r="G33" s="1">
        <f t="shared" si="0"/>
        <v>17.614999999999998</v>
      </c>
      <c r="H33" s="1" t="s">
        <v>140</v>
      </c>
      <c r="I33" s="1"/>
      <c r="J33" s="1"/>
      <c r="K33" s="1"/>
      <c r="L33" s="1"/>
      <c r="M33" s="1"/>
      <c r="N33" s="1"/>
      <c r="O33" s="1"/>
      <c r="P33" s="1"/>
    </row>
    <row r="34" spans="1:16" x14ac:dyDescent="0.15">
      <c r="A34" s="1" t="s">
        <v>77</v>
      </c>
      <c r="B34" s="1" t="s">
        <v>81</v>
      </c>
      <c r="C34" s="1" t="s">
        <v>112</v>
      </c>
      <c r="D34" s="1" t="s">
        <v>131</v>
      </c>
      <c r="E34" s="1"/>
      <c r="F34" s="2">
        <v>13289</v>
      </c>
      <c r="G34" s="1">
        <f t="shared" si="0"/>
        <v>13.289</v>
      </c>
      <c r="H34" s="1" t="s">
        <v>141</v>
      </c>
      <c r="I34" s="1"/>
      <c r="J34" s="1"/>
      <c r="K34" s="1"/>
      <c r="L34" s="1"/>
      <c r="M34" s="1"/>
      <c r="N34" s="1"/>
      <c r="O34" s="1"/>
      <c r="P34" s="1"/>
    </row>
    <row r="35" spans="1:16" x14ac:dyDescent="0.15">
      <c r="A35" s="1" t="s">
        <v>78</v>
      </c>
      <c r="B35" s="1" t="s">
        <v>82</v>
      </c>
      <c r="C35" s="1" t="s">
        <v>112</v>
      </c>
      <c r="D35" s="1" t="s">
        <v>131</v>
      </c>
      <c r="E35" s="1"/>
      <c r="F35" s="2">
        <v>17063</v>
      </c>
      <c r="G35" s="1">
        <f t="shared" si="0"/>
        <v>17.062999999999999</v>
      </c>
      <c r="H35" s="1" t="s">
        <v>142</v>
      </c>
      <c r="I35" s="1"/>
      <c r="J35" s="1"/>
      <c r="K35" s="1"/>
      <c r="L35" s="1"/>
      <c r="M35" s="1"/>
      <c r="N35" s="1"/>
      <c r="O35" s="1"/>
      <c r="P35" s="1"/>
    </row>
    <row r="36" spans="1:16" x14ac:dyDescent="0.15">
      <c r="A36" s="1" t="s">
        <v>79</v>
      </c>
      <c r="B36" s="1" t="s">
        <v>83</v>
      </c>
      <c r="C36" s="1" t="s">
        <v>112</v>
      </c>
      <c r="D36" s="1" t="s">
        <v>131</v>
      </c>
      <c r="E36" s="1"/>
      <c r="F36" s="2">
        <v>15888</v>
      </c>
      <c r="G36" s="1">
        <f t="shared" si="0"/>
        <v>15.888</v>
      </c>
      <c r="H36" s="1" t="s">
        <v>143</v>
      </c>
      <c r="I36" s="1"/>
      <c r="J36" s="1"/>
      <c r="K36" s="1"/>
      <c r="L36" s="1"/>
      <c r="M36" s="1"/>
      <c r="N36" s="1"/>
      <c r="O36" s="1"/>
      <c r="P36" s="1"/>
    </row>
    <row r="37" spans="1:16" x14ac:dyDescent="0.15">
      <c r="A37" s="1" t="s">
        <v>96</v>
      </c>
      <c r="B37" s="1" t="s">
        <v>84</v>
      </c>
      <c r="C37" s="1" t="s">
        <v>112</v>
      </c>
      <c r="D37" s="1" t="s">
        <v>131</v>
      </c>
      <c r="E37" s="1"/>
      <c r="F37" s="2">
        <v>15803</v>
      </c>
      <c r="G37" s="1">
        <f t="shared" si="0"/>
        <v>15.803000000000001</v>
      </c>
      <c r="H37" s="1" t="s">
        <v>144</v>
      </c>
      <c r="I37" s="1"/>
      <c r="J37" s="1"/>
      <c r="K37" s="1"/>
      <c r="L37" s="1"/>
      <c r="M37" s="1"/>
      <c r="N37" s="1"/>
      <c r="O37" s="1"/>
      <c r="P37" s="1"/>
    </row>
    <row r="38" spans="1:16" x14ac:dyDescent="0.15">
      <c r="A38" s="1" t="s">
        <v>97</v>
      </c>
      <c r="B38" s="1" t="s">
        <v>85</v>
      </c>
      <c r="C38" s="1" t="s">
        <v>112</v>
      </c>
      <c r="D38" s="1" t="s">
        <v>131</v>
      </c>
      <c r="E38" s="1"/>
      <c r="F38" s="2">
        <v>12896</v>
      </c>
      <c r="G38" s="1">
        <f t="shared" si="0"/>
        <v>12.896000000000001</v>
      </c>
      <c r="H38" s="3" t="s">
        <v>145</v>
      </c>
      <c r="I38" s="1"/>
      <c r="J38" s="1"/>
      <c r="K38" s="1"/>
      <c r="L38" s="1"/>
      <c r="M38" s="1"/>
      <c r="N38" s="1"/>
      <c r="O38" s="1"/>
      <c r="P38" s="1"/>
    </row>
    <row r="39" spans="1:16" x14ac:dyDescent="0.15">
      <c r="A39" s="1" t="s">
        <v>98</v>
      </c>
      <c r="B39" s="1" t="s">
        <v>86</v>
      </c>
      <c r="C39" s="1" t="s">
        <v>112</v>
      </c>
      <c r="D39" s="1" t="s">
        <v>131</v>
      </c>
      <c r="E39" s="1"/>
      <c r="F39" s="2">
        <v>14122</v>
      </c>
      <c r="G39" s="1">
        <f t="shared" si="0"/>
        <v>14.122</v>
      </c>
      <c r="H39" s="1" t="s">
        <v>146</v>
      </c>
      <c r="I39" s="1"/>
      <c r="J39" s="1"/>
      <c r="K39" s="1"/>
      <c r="L39" s="1"/>
      <c r="M39" s="1"/>
      <c r="N39" s="1"/>
      <c r="O39" s="1"/>
      <c r="P39" s="1"/>
    </row>
    <row r="40" spans="1:16" x14ac:dyDescent="0.15">
      <c r="A40" s="1" t="s">
        <v>99</v>
      </c>
      <c r="B40" s="1" t="s">
        <v>87</v>
      </c>
      <c r="C40" s="1" t="s">
        <v>112</v>
      </c>
      <c r="D40" s="1" t="s">
        <v>131</v>
      </c>
      <c r="E40" s="1"/>
      <c r="F40" s="2">
        <v>13968</v>
      </c>
      <c r="G40" s="1">
        <f t="shared" si="0"/>
        <v>13.968</v>
      </c>
      <c r="H40" s="1" t="s">
        <v>147</v>
      </c>
      <c r="I40" s="1"/>
      <c r="J40" s="1"/>
      <c r="K40" s="1"/>
      <c r="L40" s="1"/>
      <c r="M40" s="1"/>
      <c r="N40" s="1"/>
      <c r="O40" s="1"/>
      <c r="P40" s="1"/>
    </row>
    <row r="41" spans="1:16" x14ac:dyDescent="0.15">
      <c r="A41" s="1" t="s">
        <v>100</v>
      </c>
      <c r="B41" s="1" t="s">
        <v>88</v>
      </c>
      <c r="C41" s="1" t="s">
        <v>112</v>
      </c>
      <c r="D41" s="1" t="s">
        <v>131</v>
      </c>
      <c r="E41" s="1"/>
      <c r="F41" s="2">
        <v>11047</v>
      </c>
      <c r="G41" s="1">
        <f t="shared" si="0"/>
        <v>11.047000000000001</v>
      </c>
      <c r="H41" s="1" t="s">
        <v>148</v>
      </c>
      <c r="I41" s="1"/>
      <c r="J41" s="1"/>
      <c r="K41" s="1"/>
      <c r="L41" s="1"/>
      <c r="M41" s="1"/>
      <c r="N41" s="1"/>
      <c r="O41" s="1"/>
      <c r="P41" s="1"/>
    </row>
    <row r="42" spans="1:16" x14ac:dyDescent="0.15">
      <c r="A42" s="1" t="s">
        <v>101</v>
      </c>
      <c r="B42" s="1" t="s">
        <v>89</v>
      </c>
      <c r="C42" s="1" t="s">
        <v>112</v>
      </c>
      <c r="D42" s="1" t="s">
        <v>131</v>
      </c>
      <c r="E42" s="1"/>
      <c r="F42" s="2">
        <v>13728</v>
      </c>
      <c r="G42" s="1">
        <f t="shared" si="0"/>
        <v>13.728</v>
      </c>
      <c r="H42" s="3" t="s">
        <v>149</v>
      </c>
      <c r="I42" s="1"/>
      <c r="J42" s="1"/>
      <c r="K42" s="1"/>
      <c r="L42" s="1"/>
      <c r="M42" s="1"/>
      <c r="N42" s="1"/>
      <c r="O42" s="1"/>
      <c r="P42" s="1"/>
    </row>
    <row r="43" spans="1:16" x14ac:dyDescent="0.15">
      <c r="A43" s="1" t="s">
        <v>102</v>
      </c>
      <c r="B43" s="1" t="s">
        <v>90</v>
      </c>
      <c r="C43" s="1" t="s">
        <v>112</v>
      </c>
      <c r="D43" s="1" t="s">
        <v>131</v>
      </c>
      <c r="E43" s="1"/>
      <c r="F43" s="2">
        <v>11102</v>
      </c>
      <c r="G43" s="1">
        <f t="shared" si="0"/>
        <v>11.102</v>
      </c>
      <c r="H43" s="3" t="s">
        <v>168</v>
      </c>
      <c r="I43" s="1"/>
      <c r="J43" s="1"/>
      <c r="K43" s="1"/>
      <c r="L43" s="1"/>
      <c r="M43" s="1"/>
      <c r="N43" s="1"/>
      <c r="O43" s="1"/>
      <c r="P43" s="1"/>
    </row>
    <row r="44" spans="1:16" x14ac:dyDescent="0.15">
      <c r="A44" s="1" t="s">
        <v>103</v>
      </c>
      <c r="B44" s="1" t="s">
        <v>91</v>
      </c>
      <c r="C44" s="1" t="s">
        <v>112</v>
      </c>
      <c r="D44" s="1" t="s">
        <v>131</v>
      </c>
      <c r="E44" s="1"/>
      <c r="F44" s="2">
        <v>11221</v>
      </c>
      <c r="G44" s="1">
        <f t="shared" si="0"/>
        <v>11.221</v>
      </c>
      <c r="H44" s="1" t="s">
        <v>150</v>
      </c>
      <c r="I44" s="1"/>
      <c r="J44" s="1"/>
      <c r="K44" s="1"/>
      <c r="L44" s="1"/>
      <c r="M44" s="1"/>
      <c r="N44" s="1"/>
      <c r="O44" s="1"/>
      <c r="P44" s="1"/>
    </row>
    <row r="45" spans="1:16" x14ac:dyDescent="0.15">
      <c r="A45" s="1" t="s">
        <v>113</v>
      </c>
      <c r="B45" s="1" t="s">
        <v>15</v>
      </c>
      <c r="C45" s="1" t="s">
        <v>112</v>
      </c>
      <c r="D45" s="1" t="s">
        <v>131</v>
      </c>
      <c r="E45" s="1"/>
      <c r="F45" s="2">
        <v>23377</v>
      </c>
      <c r="G45" s="1">
        <f t="shared" si="0"/>
        <v>23.376999999999999</v>
      </c>
      <c r="H45" s="1" t="s">
        <v>151</v>
      </c>
      <c r="I45" s="1"/>
      <c r="J45" s="1"/>
      <c r="K45" s="1"/>
      <c r="L45" s="1"/>
      <c r="M45" s="1"/>
      <c r="N45" s="1"/>
      <c r="O45" s="1"/>
      <c r="P45" s="1"/>
    </row>
    <row r="46" spans="1:16" x14ac:dyDescent="0.15">
      <c r="A46" s="1" t="s">
        <v>104</v>
      </c>
      <c r="B46" s="1" t="s">
        <v>92</v>
      </c>
      <c r="C46" s="1" t="s">
        <v>112</v>
      </c>
      <c r="D46" s="1" t="s">
        <v>131</v>
      </c>
      <c r="E46" s="1"/>
      <c r="F46" s="2">
        <v>9381</v>
      </c>
      <c r="G46" s="1">
        <f t="shared" si="0"/>
        <v>9.3810000000000002</v>
      </c>
      <c r="H46" s="1" t="s">
        <v>152</v>
      </c>
      <c r="I46" s="1"/>
      <c r="J46" s="1"/>
      <c r="K46" s="1"/>
      <c r="L46" s="1"/>
      <c r="M46" s="1"/>
      <c r="N46" s="1"/>
      <c r="O46" s="1"/>
      <c r="P46" s="1"/>
    </row>
    <row r="47" spans="1:16" x14ac:dyDescent="0.15">
      <c r="A47" s="1" t="s">
        <v>105</v>
      </c>
      <c r="B47" s="1" t="s">
        <v>16</v>
      </c>
      <c r="C47" s="1" t="s">
        <v>112</v>
      </c>
      <c r="D47" s="1" t="s">
        <v>131</v>
      </c>
      <c r="E47" s="1"/>
      <c r="F47" s="2">
        <v>10416</v>
      </c>
      <c r="G47" s="1">
        <f t="shared" si="0"/>
        <v>10.416</v>
      </c>
      <c r="H47" s="1" t="s">
        <v>153</v>
      </c>
      <c r="I47" s="1"/>
      <c r="J47" s="1"/>
      <c r="K47" s="1"/>
      <c r="L47" s="1"/>
      <c r="M47" s="1"/>
      <c r="N47" s="1"/>
      <c r="O47" s="1"/>
      <c r="P47" s="1"/>
    </row>
    <row r="48" spans="1:16" x14ac:dyDescent="0.15">
      <c r="A48" s="1" t="s">
        <v>106</v>
      </c>
      <c r="B48" s="1" t="s">
        <v>17</v>
      </c>
      <c r="C48" s="1" t="s">
        <v>112</v>
      </c>
      <c r="D48" s="1" t="s">
        <v>131</v>
      </c>
      <c r="E48" s="1"/>
      <c r="F48" s="2">
        <v>7729</v>
      </c>
      <c r="G48" s="1">
        <f t="shared" si="0"/>
        <v>7.7290000000000001</v>
      </c>
      <c r="H48" s="1" t="s">
        <v>154</v>
      </c>
      <c r="I48" s="1"/>
      <c r="J48" s="1"/>
      <c r="K48" s="1"/>
      <c r="L48" s="1"/>
      <c r="M48" s="1"/>
      <c r="N48" s="1"/>
      <c r="O48" s="1"/>
      <c r="P48" s="1"/>
    </row>
    <row r="49" spans="1:16" x14ac:dyDescent="0.15">
      <c r="A49" s="1" t="s">
        <v>107</v>
      </c>
      <c r="B49" s="1" t="s">
        <v>19</v>
      </c>
      <c r="C49" s="1" t="s">
        <v>112</v>
      </c>
      <c r="D49" s="1" t="s">
        <v>131</v>
      </c>
      <c r="E49" s="1"/>
      <c r="F49" s="2">
        <v>6548</v>
      </c>
      <c r="G49" s="1">
        <f t="shared" si="0"/>
        <v>6.548</v>
      </c>
      <c r="H49" s="3" t="s">
        <v>169</v>
      </c>
      <c r="I49" s="1"/>
      <c r="J49" s="1"/>
      <c r="K49" s="1"/>
      <c r="L49" s="1"/>
      <c r="M49" s="1"/>
      <c r="N49" s="1"/>
      <c r="O49" s="1"/>
      <c r="P49" s="1"/>
    </row>
    <row r="50" spans="1:16" x14ac:dyDescent="0.15">
      <c r="A50" s="1" t="s">
        <v>108</v>
      </c>
      <c r="B50" s="1" t="s">
        <v>93</v>
      </c>
      <c r="C50" s="1" t="s">
        <v>112</v>
      </c>
      <c r="D50" s="1" t="s">
        <v>131</v>
      </c>
      <c r="E50" s="1"/>
      <c r="F50" s="2">
        <v>8526</v>
      </c>
      <c r="G50" s="1">
        <f t="shared" si="0"/>
        <v>8.5259999999999998</v>
      </c>
      <c r="H50" s="1" t="s">
        <v>155</v>
      </c>
      <c r="I50" s="1"/>
      <c r="J50" s="1"/>
      <c r="K50" s="1"/>
      <c r="L50" s="1"/>
      <c r="M50" s="1"/>
      <c r="N50" s="1"/>
      <c r="O50" s="1"/>
      <c r="P50" s="1"/>
    </row>
    <row r="51" spans="1:16" x14ac:dyDescent="0.15">
      <c r="A51" s="1" t="s">
        <v>109</v>
      </c>
      <c r="B51" s="1" t="s">
        <v>20</v>
      </c>
      <c r="C51" s="1" t="s">
        <v>112</v>
      </c>
      <c r="D51" s="1" t="s">
        <v>131</v>
      </c>
      <c r="E51" s="1"/>
      <c r="F51" s="2">
        <v>6741</v>
      </c>
      <c r="G51" s="1">
        <f t="shared" si="0"/>
        <v>6.7409999999999997</v>
      </c>
      <c r="H51" s="1" t="s">
        <v>156</v>
      </c>
      <c r="I51" s="1"/>
      <c r="J51" s="1"/>
      <c r="K51" s="1"/>
      <c r="L51" s="1"/>
      <c r="M51" s="1"/>
      <c r="N51" s="1"/>
      <c r="O51" s="1"/>
      <c r="P51" s="1"/>
    </row>
    <row r="52" spans="1:16" x14ac:dyDescent="0.15">
      <c r="A52" s="1" t="s">
        <v>110</v>
      </c>
      <c r="B52" s="1" t="s">
        <v>94</v>
      </c>
      <c r="C52" s="1" t="s">
        <v>112</v>
      </c>
      <c r="D52" s="1" t="s">
        <v>131</v>
      </c>
      <c r="E52" s="1"/>
      <c r="F52" s="2">
        <v>6470</v>
      </c>
      <c r="G52" s="1">
        <f t="shared" si="0"/>
        <v>6.47</v>
      </c>
      <c r="H52" s="1" t="s">
        <v>157</v>
      </c>
      <c r="I52" s="1"/>
      <c r="J52" s="1"/>
      <c r="K52" s="1"/>
      <c r="L52" s="1"/>
      <c r="M52" s="1"/>
      <c r="N52" s="1"/>
      <c r="O52" s="1"/>
      <c r="P52" s="1"/>
    </row>
    <row r="53" spans="1:16" x14ac:dyDescent="0.15">
      <c r="A53" s="1" t="s">
        <v>111</v>
      </c>
      <c r="B53" s="1" t="s">
        <v>95</v>
      </c>
      <c r="C53" s="1" t="s">
        <v>112</v>
      </c>
      <c r="D53" s="1" t="s">
        <v>131</v>
      </c>
      <c r="E53" s="1"/>
      <c r="F53" s="2">
        <v>7700</v>
      </c>
      <c r="G53" s="1">
        <f t="shared" si="0"/>
        <v>7.7</v>
      </c>
      <c r="H53" s="1" t="s">
        <v>158</v>
      </c>
      <c r="I53" s="1"/>
      <c r="J53" s="1"/>
      <c r="K53" s="1"/>
      <c r="L53" s="1"/>
      <c r="M53" s="1"/>
      <c r="N53" s="1"/>
      <c r="O53" s="1"/>
      <c r="P53" s="1"/>
    </row>
    <row r="54" spans="1:16" x14ac:dyDescent="0.15">
      <c r="A54" s="8" t="s">
        <v>182</v>
      </c>
      <c r="B54" s="8" t="s">
        <v>177</v>
      </c>
      <c r="C54" s="8" t="s">
        <v>112</v>
      </c>
      <c r="D54" s="8" t="s">
        <v>131</v>
      </c>
      <c r="E54" s="8"/>
      <c r="F54" s="9">
        <v>5037</v>
      </c>
      <c r="G54" s="8">
        <v>5.0369999999999999</v>
      </c>
      <c r="H54" s="10" t="s">
        <v>178</v>
      </c>
      <c r="I54" s="11"/>
      <c r="J54" s="11"/>
      <c r="K54" s="11"/>
      <c r="L54" s="1" t="s">
        <v>183</v>
      </c>
      <c r="M54" s="1"/>
      <c r="N54" s="1"/>
      <c r="O54" s="1"/>
      <c r="P54" s="1"/>
    </row>
    <row r="55" spans="1:16" x14ac:dyDescent="0.15">
      <c r="A55" s="1" t="s">
        <v>22</v>
      </c>
      <c r="B55" s="1" t="s">
        <v>23</v>
      </c>
      <c r="C55" s="1" t="s">
        <v>112</v>
      </c>
      <c r="D55" s="1" t="s">
        <v>131</v>
      </c>
      <c r="E55" s="1"/>
      <c r="F55" s="1"/>
      <c r="G55" s="1">
        <v>37.484199999999994</v>
      </c>
      <c r="H55" s="1" t="s">
        <v>175</v>
      </c>
      <c r="I55" s="7" t="s">
        <v>179</v>
      </c>
      <c r="J55" s="1"/>
      <c r="K55" s="1"/>
      <c r="L55" s="1"/>
      <c r="M55" s="1"/>
      <c r="N55" s="1"/>
      <c r="O55" s="1"/>
      <c r="P55" s="1"/>
    </row>
    <row r="56" spans="1:16" x14ac:dyDescent="0.15">
      <c r="A56" s="1" t="s">
        <v>170</v>
      </c>
      <c r="B56" s="1" t="s">
        <v>172</v>
      </c>
      <c r="C56" s="1" t="s">
        <v>58</v>
      </c>
      <c r="D56" s="1" t="s">
        <v>116</v>
      </c>
      <c r="E56" s="1"/>
      <c r="F56" s="1"/>
      <c r="G56" s="1">
        <v>482.75699999999995</v>
      </c>
      <c r="H56" s="1" t="s">
        <v>175</v>
      </c>
      <c r="I56" s="7" t="s">
        <v>180</v>
      </c>
      <c r="J56" s="1"/>
      <c r="K56" s="1"/>
      <c r="L56" s="1"/>
      <c r="M56" s="1"/>
      <c r="N56" s="1"/>
      <c r="O56" s="1"/>
      <c r="P56" s="1"/>
    </row>
    <row r="57" spans="1:16" x14ac:dyDescent="0.15">
      <c r="A57" s="1" t="s">
        <v>171</v>
      </c>
      <c r="B57" s="1" t="s">
        <v>173</v>
      </c>
      <c r="C57" s="1" t="s">
        <v>112</v>
      </c>
      <c r="D57" s="1" t="s">
        <v>131</v>
      </c>
      <c r="E57" s="1"/>
      <c r="F57" s="1"/>
      <c r="G57" s="1">
        <v>902.28719999999998</v>
      </c>
      <c r="H57" s="1" t="s">
        <v>175</v>
      </c>
      <c r="I57" s="7" t="s">
        <v>181</v>
      </c>
      <c r="J57" s="1"/>
      <c r="K57" s="1"/>
      <c r="L57" s="1"/>
      <c r="M57" s="1"/>
      <c r="N57" s="1"/>
      <c r="O57" s="1"/>
      <c r="P57" s="1"/>
    </row>
    <row r="59" spans="1:16" x14ac:dyDescent="0.15">
      <c r="H59" s="7" t="s">
        <v>176</v>
      </c>
    </row>
  </sheetData>
  <autoFilter ref="A1:F61" xr:uid="{00000000-0009-0000-0000-000000000000}"/>
  <phoneticPr fontId="1" type="noConversion"/>
  <hyperlinks>
    <hyperlink ref="H27" r:id="rId1" location="sequences" xr:uid="{DDAD4FA1-69E2-420E-8AC3-E49B15686063}"/>
    <hyperlink ref="H38" r:id="rId2" location="sequences" xr:uid="{732FC505-4D07-42F9-A50F-8B70CDEEEFA9}"/>
    <hyperlink ref="H42" r:id="rId3" location="sequences" xr:uid="{78B4A036-4BC0-4D82-9450-59D3D365AFE1}"/>
    <hyperlink ref="H43" r:id="rId4" location="sequences" xr:uid="{0F9C85EA-7D75-4AC0-BEAF-6F707430C5E5}"/>
    <hyperlink ref="H15" r:id="rId5" location="sequences" xr:uid="{1E7F4FE3-CC14-4951-9738-7C473D9D1393}"/>
    <hyperlink ref="H49" r:id="rId6" location="sequences" xr:uid="{39AA279D-6D16-49F1-BA62-557FFEAEF7CE}"/>
    <hyperlink ref="I56" r:id="rId7" xr:uid="{D2C14358-B202-4364-B85E-0A30E2D2DBB6}"/>
    <hyperlink ref="I55" r:id="rId8" xr:uid="{5641EF98-E0CA-4E06-8775-8702BDFC965C}"/>
    <hyperlink ref="H54" r:id="rId9" location="sequences" xr:uid="{6B1CE18C-0BF8-42E0-B8EB-34F4D1EE7A3C}"/>
    <hyperlink ref="H59" r:id="rId10" xr:uid="{114D4749-6BAA-44FD-B48E-F5D4D0F2C0DD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XUEJUN QIAN</dc:creator>
  <dc:description/>
  <cp:lastModifiedBy>Kirsten Fisher</cp:lastModifiedBy>
  <cp:revision>35</cp:revision>
  <dcterms:created xsi:type="dcterms:W3CDTF">2021-04-15T10:27:40Z</dcterms:created>
  <dcterms:modified xsi:type="dcterms:W3CDTF">2026-04-03T16:18:53Z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