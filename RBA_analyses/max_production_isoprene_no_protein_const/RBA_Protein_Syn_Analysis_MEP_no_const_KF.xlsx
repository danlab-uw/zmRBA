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max_production_isoprene_no_protein_const/"/>
    </mc:Choice>
  </mc:AlternateContent>
  <xr:revisionPtr revIDLastSave="0" documentId="13_ncr:1_{152DA82D-8F1B-A944-947F-DDAE4C5FCA68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I24" i="2" s="1"/>
  <c r="G25" i="2"/>
  <c r="I25" i="2" s="1"/>
  <c r="G26" i="2"/>
  <c r="G27" i="2"/>
  <c r="G28" i="2"/>
  <c r="G29" i="2"/>
  <c r="G30" i="2"/>
  <c r="G31" i="2"/>
  <c r="J66" i="2"/>
  <c r="G33" i="2"/>
  <c r="H35" i="2"/>
  <c r="J67" i="2"/>
  <c r="H37" i="2"/>
  <c r="H41" i="2"/>
  <c r="G7" i="2"/>
  <c r="H34" i="2"/>
  <c r="H30" i="2"/>
  <c r="I31" i="2"/>
  <c r="H38" i="2"/>
  <c r="L66" i="2"/>
  <c r="K66" i="2"/>
  <c r="P42" i="2"/>
  <c r="O42" i="2"/>
  <c r="H42" i="2"/>
  <c r="P41" i="2"/>
  <c r="O41" i="2"/>
  <c r="P40" i="2"/>
  <c r="O40" i="2"/>
  <c r="H40" i="2"/>
  <c r="P39" i="2"/>
  <c r="O39" i="2"/>
  <c r="P38" i="2"/>
  <c r="O38" i="2"/>
  <c r="P37" i="2"/>
  <c r="O37" i="2"/>
  <c r="P36" i="2"/>
  <c r="L67" i="2" s="1"/>
  <c r="O36" i="2"/>
  <c r="K67" i="2" s="1"/>
  <c r="P32" i="2"/>
  <c r="O32" i="2"/>
  <c r="P31" i="2"/>
  <c r="O31" i="2"/>
  <c r="P30" i="2"/>
  <c r="O30" i="2"/>
  <c r="P29" i="2"/>
  <c r="O29" i="2"/>
  <c r="I29" i="2"/>
  <c r="P28" i="2"/>
  <c r="O28" i="2"/>
  <c r="I28" i="2"/>
  <c r="P27" i="2"/>
  <c r="O27" i="2"/>
  <c r="P26" i="2"/>
  <c r="O26" i="2"/>
  <c r="I26" i="2"/>
  <c r="P25" i="2"/>
  <c r="O25" i="2"/>
  <c r="P24" i="2"/>
  <c r="O24" i="2"/>
  <c r="P23" i="2"/>
  <c r="O23" i="2"/>
  <c r="H23" i="2"/>
  <c r="P21" i="2"/>
  <c r="O21" i="2"/>
  <c r="P20" i="2"/>
  <c r="G70" i="2" s="1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O18" i="1"/>
  <c r="O19" i="1"/>
  <c r="O20" i="1"/>
  <c r="N18" i="1"/>
  <c r="N19" i="1"/>
  <c r="N20" i="1"/>
  <c r="N17" i="1"/>
  <c r="O17" i="1"/>
  <c r="M18" i="1"/>
  <c r="M19" i="1"/>
  <c r="M20" i="1"/>
  <c r="M21" i="1"/>
  <c r="M80" i="1"/>
  <c r="O32" i="1"/>
  <c r="N32" i="1"/>
  <c r="O8" i="1"/>
  <c r="N8" i="1"/>
  <c r="M8" i="1"/>
  <c r="M51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L51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22" i="1"/>
  <c r="O23" i="1"/>
  <c r="O24" i="1"/>
  <c r="O25" i="1"/>
  <c r="O26" i="1"/>
  <c r="O27" i="1"/>
  <c r="O21" i="1"/>
  <c r="O9" i="1"/>
  <c r="O10" i="1"/>
  <c r="O11" i="1"/>
  <c r="O12" i="1"/>
  <c r="O13" i="1"/>
  <c r="O14" i="1"/>
  <c r="O15" i="1"/>
  <c r="O16" i="1"/>
  <c r="N22" i="1"/>
  <c r="N23" i="1"/>
  <c r="N24" i="1"/>
  <c r="N25" i="1"/>
  <c r="N26" i="1"/>
  <c r="N27" i="1"/>
  <c r="N21" i="1"/>
  <c r="N9" i="1"/>
  <c r="N10" i="1"/>
  <c r="N11" i="1"/>
  <c r="N12" i="1"/>
  <c r="N13" i="1"/>
  <c r="N14" i="1"/>
  <c r="N15" i="1"/>
  <c r="N16" i="1"/>
  <c r="M22" i="1"/>
  <c r="M23" i="1"/>
  <c r="M24" i="1"/>
  <c r="M25" i="1"/>
  <c r="M26" i="1"/>
  <c r="M27" i="1"/>
  <c r="M9" i="1"/>
  <c r="M10" i="1"/>
  <c r="M11" i="1"/>
  <c r="M12" i="1"/>
  <c r="M13" i="1"/>
  <c r="M14" i="1"/>
  <c r="M15" i="1"/>
  <c r="M16" i="1"/>
  <c r="M17" i="1"/>
  <c r="H33" i="2" l="1"/>
  <c r="H29" i="2"/>
  <c r="H39" i="2"/>
  <c r="H31" i="2"/>
  <c r="H27" i="2"/>
  <c r="H25" i="2"/>
  <c r="I27" i="2"/>
  <c r="H24" i="2"/>
  <c r="H28" i="2"/>
  <c r="H32" i="2"/>
  <c r="I30" i="2"/>
  <c r="I36" i="2"/>
  <c r="H26" i="2"/>
  <c r="H36" i="2"/>
  <c r="M104" i="1"/>
  <c r="N104" i="1"/>
  <c r="M106" i="1" l="1"/>
  <c r="J82" i="1" l="1"/>
  <c r="J8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<sst xmlns="http://schemas.openxmlformats.org/spreadsheetml/2006/main" count="684" uniqueCount="427">
  <si>
    <t>Exp_PROSYN</t>
  </si>
  <si>
    <t>Model_PROSYN</t>
  </si>
  <si>
    <t>Model_PROWASTE</t>
  </si>
  <si>
    <t>Active_Protein</t>
  </si>
  <si>
    <t>Utilization_%</t>
  </si>
  <si>
    <t>Model Use vs Exp</t>
  </si>
  <si>
    <t>ZMO0177</t>
  </si>
  <si>
    <t>ZMO0342</t>
  </si>
  <si>
    <t>ZMO1360</t>
  </si>
  <si>
    <t>ZMO0152</t>
  </si>
  <si>
    <t>ZMO1608</t>
  </si>
  <si>
    <t>ZMO1873</t>
  </si>
  <si>
    <t>ZMO1240</t>
  </si>
  <si>
    <t>ZMO1000</t>
  </si>
  <si>
    <t>ZMO0493</t>
  </si>
  <si>
    <t>ZMO0178</t>
  </si>
  <si>
    <t>ZMO0997</t>
  </si>
  <si>
    <t>ZMO1076</t>
  </si>
  <si>
    <t>ZMO1226</t>
  </si>
  <si>
    <t>ZMO1713</t>
  </si>
  <si>
    <t>ZMO2002</t>
  </si>
  <si>
    <t>ZMO1225</t>
  </si>
  <si>
    <t>ZMO1910</t>
  </si>
  <si>
    <t>ZMO2004</t>
  </si>
  <si>
    <t>ZMO0523</t>
  </si>
  <si>
    <t>ZMO0531</t>
  </si>
  <si>
    <t>ZMO1798</t>
  </si>
  <si>
    <t>ZMO0727</t>
  </si>
  <si>
    <t>ZMO2003</t>
  </si>
  <si>
    <t>ZMO0533</t>
  </si>
  <si>
    <t>ZMO0540</t>
  </si>
  <si>
    <t>ZMO0294</t>
  </si>
  <si>
    <t>ZMO0209</t>
  </si>
  <si>
    <t>ZMO1516</t>
  </si>
  <si>
    <t>ZMO0726</t>
  </si>
  <si>
    <t>ZMO0211</t>
  </si>
  <si>
    <t>ZMO1515</t>
  </si>
  <si>
    <t>ZMO0517</t>
  </si>
  <si>
    <t>ZMO0518</t>
  </si>
  <si>
    <t>ZMO0521</t>
  </si>
  <si>
    <t>ZMO0520</t>
  </si>
  <si>
    <t>ZMO0532</t>
  </si>
  <si>
    <t>ZMO2031</t>
  </si>
  <si>
    <t>ZMO0530</t>
  </si>
  <si>
    <t>ZMO0725</t>
  </si>
  <si>
    <t>ZMO0522</t>
  </si>
  <si>
    <t>ZMO0527</t>
  </si>
  <si>
    <t>ZMO0728</t>
  </si>
  <si>
    <t>ZMO0526</t>
  </si>
  <si>
    <t>ZMO0528</t>
  </si>
  <si>
    <t>ZMO0884</t>
  </si>
  <si>
    <t>ZMO1246</t>
  </si>
  <si>
    <t>inf</t>
  </si>
  <si>
    <t>ZMO1079</t>
  </si>
  <si>
    <t>ZMO1358</t>
  </si>
  <si>
    <t>ZMO1366</t>
  </si>
  <si>
    <t>ZMO1156</t>
  </si>
  <si>
    <t>ZMO0514</t>
  </si>
  <si>
    <t>ZMO0550</t>
  </si>
  <si>
    <t>ZMO0519</t>
  </si>
  <si>
    <t>ZMO0542</t>
  </si>
  <si>
    <t>ZMO0539</t>
  </si>
  <si>
    <t>ZMO1227</t>
  </si>
  <si>
    <t>ZMO1145</t>
  </si>
  <si>
    <t>ZMO0525</t>
  </si>
  <si>
    <t>ZMO0534</t>
  </si>
  <si>
    <t>ZMO0524</t>
  </si>
  <si>
    <t>ZMO0529</t>
  </si>
  <si>
    <t>ZMO0536</t>
  </si>
  <si>
    <t>ZMO0249</t>
  </si>
  <si>
    <t>ZMO0367</t>
  </si>
  <si>
    <t>ZMO1036</t>
  </si>
  <si>
    <t>ZMO0009</t>
  </si>
  <si>
    <t>ZMO0008</t>
  </si>
  <si>
    <t>ZMO0368</t>
  </si>
  <si>
    <t>ZMO1137</t>
  </si>
  <si>
    <t>ZMO1141</t>
  </si>
  <si>
    <t>ZMO1551</t>
  </si>
  <si>
    <t>ZMO0734</t>
  </si>
  <si>
    <t>ZMO1201</t>
  </si>
  <si>
    <t>ZMO0784</t>
  </si>
  <si>
    <t>ZMO0273</t>
  </si>
  <si>
    <t>ZMO0004</t>
  </si>
  <si>
    <t>ZMO0005</t>
  </si>
  <si>
    <t>ZMO0018</t>
  </si>
  <si>
    <t>ZMO1321</t>
  </si>
  <si>
    <t>ZMO0369</t>
  </si>
  <si>
    <t>ZMO1685</t>
  </si>
  <si>
    <t>ZMO1278</t>
  </si>
  <si>
    <t>ZMO1684</t>
  </si>
  <si>
    <t>ZMO0687</t>
  </si>
  <si>
    <t>ZMO1140</t>
  </si>
  <si>
    <t>ZMO0409</t>
  </si>
  <si>
    <t>ZMO1279</t>
  </si>
  <si>
    <t>ZMO0460</t>
  </si>
  <si>
    <t>ZMO0676</t>
  </si>
  <si>
    <t>ZMO0875</t>
  </si>
  <si>
    <t>ZMO1223</t>
  </si>
  <si>
    <t>ZMO1692</t>
  </si>
  <si>
    <t>ZMO0914</t>
  </si>
  <si>
    <t>ZMO0748</t>
  </si>
  <si>
    <t>ZMO1222</t>
  </si>
  <si>
    <t>ZMO1407</t>
  </si>
  <si>
    <t>ZMO1519</t>
  </si>
  <si>
    <t>ZMO1052</t>
  </si>
  <si>
    <t>ZMO1116</t>
  </si>
  <si>
    <t>ZMO1117</t>
  </si>
  <si>
    <t>ZMO0408</t>
  </si>
  <si>
    <t>ZMO0913</t>
  </si>
  <si>
    <t>ZMO1212</t>
  </si>
  <si>
    <t>ZMO1267</t>
  </si>
  <si>
    <t>ZMO0180</t>
  </si>
  <si>
    <t>ZMO0366</t>
  </si>
  <si>
    <t>ZMO1687</t>
  </si>
  <si>
    <t>ZMO0454</t>
  </si>
  <si>
    <t>ZMO0973</t>
  </si>
  <si>
    <t>ZMO0187</t>
  </si>
  <si>
    <t>ZMO0475</t>
  </si>
  <si>
    <t>ZMO0182</t>
  </si>
  <si>
    <t>ZMO0007</t>
  </si>
  <si>
    <t>ZMO1797</t>
  </si>
  <si>
    <t>ZMO0563</t>
  </si>
  <si>
    <t>ZMO1133</t>
  </si>
  <si>
    <t>ZMO0431</t>
  </si>
  <si>
    <t>ZMO1682</t>
  </si>
  <si>
    <t>ZMO1211</t>
  </si>
  <si>
    <t>ZMO0843</t>
  </si>
  <si>
    <t>ZMO0587</t>
  </si>
  <si>
    <t>ZMO0339</t>
  </si>
  <si>
    <t>ZMO1146</t>
  </si>
  <si>
    <t>ZMO0765</t>
  </si>
  <si>
    <t>ZMO1514</t>
  </si>
  <si>
    <t>ZMO1513</t>
  </si>
  <si>
    <t>ZMO1557</t>
  </si>
  <si>
    <t>ZMO0543</t>
  </si>
  <si>
    <t>ZMO1770</t>
  </si>
  <si>
    <t>ZMO0715</t>
  </si>
  <si>
    <t>ZMO0855</t>
  </si>
  <si>
    <t>ZMO0593</t>
  </si>
  <si>
    <t>ZMO0662</t>
  </si>
  <si>
    <t>ZMO0120</t>
  </si>
  <si>
    <t>ZMO0677</t>
  </si>
  <si>
    <t>ZMO1653</t>
  </si>
  <si>
    <t>ZMO0327</t>
  </si>
  <si>
    <t>ZMO1508</t>
  </si>
  <si>
    <t>ZMO1618</t>
  </si>
  <si>
    <t>ZMO1617</t>
  </si>
  <si>
    <t>ZMO0186</t>
  </si>
  <si>
    <t>ZMO1707</t>
  </si>
  <si>
    <t>ZMO1059</t>
  </si>
  <si>
    <t>ZMO1767</t>
  </si>
  <si>
    <t>ZMO1128</t>
  </si>
  <si>
    <t>ZMO1891</t>
  </si>
  <si>
    <t>ZMO1796</t>
  </si>
  <si>
    <t>ZMO1092</t>
  </si>
  <si>
    <t>ZMO0003</t>
  </si>
  <si>
    <t>ZMO1478</t>
  </si>
  <si>
    <t>ZMO0709</t>
  </si>
  <si>
    <t>ZMO0206</t>
  </si>
  <si>
    <t>ZMO1518</t>
  </si>
  <si>
    <t>ZMO1606</t>
  </si>
  <si>
    <t>ZMO1605</t>
  </si>
  <si>
    <t>ZMO0510</t>
  </si>
  <si>
    <t>ZMO0512</t>
  </si>
  <si>
    <t>ZMO0544</t>
  </si>
  <si>
    <t>ZMO0144</t>
  </si>
  <si>
    <t>ZMO1191</t>
  </si>
  <si>
    <t>ZMO1275</t>
  </si>
  <si>
    <t>ZMO0986</t>
  </si>
  <si>
    <t>ZMO0027</t>
  </si>
  <si>
    <t>ZMO1640</t>
  </si>
  <si>
    <t>ZMO0056</t>
  </si>
  <si>
    <t>ZMO1550</t>
  </si>
  <si>
    <t>ZMO1150</t>
  </si>
  <si>
    <t>ZMO0483</t>
  </si>
  <si>
    <t>ZMO1693</t>
  </si>
  <si>
    <t>ZMO0567</t>
  </si>
  <si>
    <t>ZMO1481</t>
  </si>
  <si>
    <t>ZMO1420</t>
  </si>
  <si>
    <t>ZMO0874</t>
  </si>
  <si>
    <t>ZMO1501</t>
  </si>
  <si>
    <t>ZMO1435</t>
  </si>
  <si>
    <t>ZMO0462</t>
  </si>
  <si>
    <t>ZMO0538</t>
  </si>
  <si>
    <t>ZMO0845</t>
  </si>
  <si>
    <t>ZMO1724</t>
  </si>
  <si>
    <t>ZMO0442</t>
  </si>
  <si>
    <t>ZMO1661</t>
  </si>
  <si>
    <t>ZMO1421</t>
  </si>
  <si>
    <t>ZMO1698</t>
  </si>
  <si>
    <t>ZMO0833</t>
  </si>
  <si>
    <t>ZMO0323</t>
  </si>
  <si>
    <t>ZMO0890</t>
  </si>
  <si>
    <t>ZMO1643</t>
  </si>
  <si>
    <t>ZMO0832</t>
  </si>
  <si>
    <t>ZMO0200</t>
  </si>
  <si>
    <t>ZMO0834</t>
  </si>
  <si>
    <t>ZMO1496</t>
  </si>
  <si>
    <t>ZMO1502</t>
  </si>
  <si>
    <t>ZMO1500</t>
  </si>
  <si>
    <t>ZMO1200</t>
  </si>
  <si>
    <t>ZMO0201</t>
  </si>
  <si>
    <t>ZMO0468</t>
  </si>
  <si>
    <t>ZMO0584</t>
  </si>
  <si>
    <t>ZMO0585</t>
  </si>
  <si>
    <t>ZMO0473</t>
  </si>
  <si>
    <t>ZMO0105</t>
  </si>
  <si>
    <t>ZMO0106</t>
  </si>
  <si>
    <t>ZMO1792</t>
  </si>
  <si>
    <t>ZMO0707</t>
  </si>
  <si>
    <t>ZMO0176</t>
  </si>
  <si>
    <t>ZMO0433</t>
  </si>
  <si>
    <t>ZMO0421</t>
  </si>
  <si>
    <t>ZMO0820</t>
  </si>
  <si>
    <t>ZMO1532</t>
  </si>
  <si>
    <t>ZMO1531</t>
  </si>
  <si>
    <t>ZMO0903</t>
  </si>
  <si>
    <t>ZMO1963</t>
  </si>
  <si>
    <t>ZMO1878</t>
  </si>
  <si>
    <t>ZMO1446</t>
  </si>
  <si>
    <t>ZMO1444</t>
  </si>
  <si>
    <t>ZMO0299</t>
  </si>
  <si>
    <t>ZMO1871</t>
  </si>
  <si>
    <t>ZMO0974</t>
  </si>
  <si>
    <t>ZMO1178</t>
  </si>
  <si>
    <t>ZMO0712</t>
  </si>
  <si>
    <t>ZMO0498</t>
  </si>
  <si>
    <t>ZMO1503</t>
  </si>
  <si>
    <t>ZMO0420</t>
  </si>
  <si>
    <t>ZMO0582</t>
  </si>
  <si>
    <t>ZMO1598</t>
  </si>
  <si>
    <t>ZMO1313</t>
  </si>
  <si>
    <t>ZMO1708</t>
  </si>
  <si>
    <t>ZMO1678</t>
  </si>
  <si>
    <t>ZMO1229</t>
  </si>
  <si>
    <t>ZMO0708</t>
  </si>
  <si>
    <t>ZMO0831</t>
  </si>
  <si>
    <t>ZMO0736</t>
  </si>
  <si>
    <t>ZMO0599</t>
  </si>
  <si>
    <t>ZMO0583</t>
  </si>
  <si>
    <t>ZMO0735</t>
  </si>
  <si>
    <t>ZMO0041</t>
  </si>
  <si>
    <t>ZMO0426</t>
  </si>
  <si>
    <t>ZMO0425</t>
  </si>
  <si>
    <t>ZMO0423</t>
  </si>
  <si>
    <t>ZMO1730</t>
  </si>
  <si>
    <t>ZMO0586</t>
  </si>
  <si>
    <t>IspS</t>
  </si>
  <si>
    <t>ZMO1768</t>
  </si>
  <si>
    <t>ZMO1008</t>
  </si>
  <si>
    <t>ZMO1002</t>
  </si>
  <si>
    <t>ZMO1747</t>
  </si>
  <si>
    <t>ZMO0827</t>
  </si>
  <si>
    <t>ZMO1600</t>
  </si>
  <si>
    <t>ZMO0465</t>
  </si>
  <si>
    <t>ZMO1190</t>
  </si>
  <si>
    <t>ZMO1033</t>
  </si>
  <si>
    <t>ZMO1753</t>
  </si>
  <si>
    <t>ZMO1182</t>
  </si>
  <si>
    <t>ZMO1870</t>
  </si>
  <si>
    <t>ZMO0826</t>
  </si>
  <si>
    <t>ZMO1755</t>
  </si>
  <si>
    <t>ZMO1899</t>
  </si>
  <si>
    <t>ZMO1072</t>
  </si>
  <si>
    <t>ZMO0938</t>
  </si>
  <si>
    <t>ZMO1209</t>
  </si>
  <si>
    <t>ZMO1160</t>
  </si>
  <si>
    <t>ZMO0427</t>
  </si>
  <si>
    <t>ZMO1067</t>
  </si>
  <si>
    <t>ZMO1329</t>
  </si>
  <si>
    <t>ZMO1233</t>
  </si>
  <si>
    <t>ZMO0791</t>
  </si>
  <si>
    <t>ZMO0113</t>
  </si>
  <si>
    <t>ZMO0114</t>
  </si>
  <si>
    <t>ZMO0225</t>
  </si>
  <si>
    <t>ZMO0872</t>
  </si>
  <si>
    <t>ZMO1499</t>
  </si>
  <si>
    <t>ZMO0322</t>
  </si>
  <si>
    <t>ZMO0829</t>
  </si>
  <si>
    <t>ZMO0429</t>
  </si>
  <si>
    <t>ZMO0899</t>
  </si>
  <si>
    <t>ZMO1592</t>
  </si>
  <si>
    <t>ZMO1632</t>
  </si>
  <si>
    <t>ZMO0546</t>
  </si>
  <si>
    <t>ZMO0594</t>
  </si>
  <si>
    <t>ZMO0737</t>
  </si>
  <si>
    <t>ZMO1905</t>
  </si>
  <si>
    <t>ZMO1006</t>
  </si>
  <si>
    <t>ZMO1090</t>
  </si>
  <si>
    <t>ZMO1195</t>
  </si>
  <si>
    <t>ZMO1277</t>
  </si>
  <si>
    <t>ZMO0419</t>
  </si>
  <si>
    <t>ZMO0545</t>
  </si>
  <si>
    <t>ZMO1867</t>
  </si>
  <si>
    <t>ZMO0972</t>
  </si>
  <si>
    <t>ZMO0242</t>
  </si>
  <si>
    <t>ZMO0241</t>
  </si>
  <si>
    <t>ZMO0240</t>
  </si>
  <si>
    <t>ZMO0667</t>
  </si>
  <si>
    <t>ZMO0239</t>
  </si>
  <si>
    <t>ZMO0238</t>
  </si>
  <si>
    <t>ZMO0669</t>
  </si>
  <si>
    <t>ZMO0668</t>
  </si>
  <si>
    <t>ZMO0671</t>
  </si>
  <si>
    <t>ZMO1115</t>
  </si>
  <si>
    <t>ZMO1553</t>
  </si>
  <si>
    <t>ZMO1541</t>
  </si>
  <si>
    <t>ZMO1197</t>
  </si>
  <si>
    <t>ZMO1975</t>
  </si>
  <si>
    <t>ZMO0854</t>
  </si>
  <si>
    <t>ZMO1020</t>
  </si>
  <si>
    <t>ZMO0314</t>
  </si>
  <si>
    <t>ZMO0873</t>
  </si>
  <si>
    <t>ZMO0866</t>
  </si>
  <si>
    <t>ZMO0096</t>
  </si>
  <si>
    <t>ZMO1812</t>
  </si>
  <si>
    <t>ZMO1814</t>
  </si>
  <si>
    <t>ZMO1813</t>
  </si>
  <si>
    <t>ZMO1809</t>
  </si>
  <si>
    <t>ZMO1811</t>
  </si>
  <si>
    <t>ZMO1808</t>
  </si>
  <si>
    <t>ZMO1810</t>
  </si>
  <si>
    <t>ZMO0040</t>
  </si>
  <si>
    <t>ZMO1234</t>
  </si>
  <si>
    <t>ZMO1570</t>
  </si>
  <si>
    <t>ZMO1569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</si>
  <si>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</si>
  <si>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</si>
  <si>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</si>
  <si>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</si>
  <si>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</si>
  <si>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</si>
  <si>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</si>
  <si>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</si>
  <si>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ZMO1049</t>
  </si>
  <si>
    <t>ZMO1047</t>
  </si>
  <si>
    <t>ZMO1048</t>
  </si>
  <si>
    <t>ZMO1647</t>
  </si>
  <si>
    <t>ZMO0828</t>
  </si>
  <si>
    <t>ZMO1151</t>
  </si>
  <si>
    <t>ZMO1089</t>
  </si>
  <si>
    <t>ZMO0197</t>
  </si>
  <si>
    <t>ZMO0359</t>
  </si>
  <si>
    <t>ZMO0825</t>
  </si>
  <si>
    <t>ZMO1639</t>
  </si>
  <si>
    <t>ZMO0719</t>
  </si>
  <si>
    <t>ZMO0422</t>
  </si>
  <si>
    <t>ZMO0220</t>
  </si>
  <si>
    <t>ZMO1851</t>
  </si>
  <si>
    <t>DXS1</t>
  </si>
  <si>
    <t>DXS2</t>
  </si>
  <si>
    <t>DXR</t>
  </si>
  <si>
    <t>IspDF</t>
  </si>
  <si>
    <t>IspE</t>
  </si>
  <si>
    <t>IspG</t>
  </si>
  <si>
    <t>IspH</t>
  </si>
  <si>
    <t>FPR</t>
  </si>
  <si>
    <t>FLDA</t>
  </si>
  <si>
    <t xml:space="preserve">RNF </t>
  </si>
  <si>
    <t>FDXA</t>
  </si>
  <si>
    <t>Model Prosyn</t>
  </si>
  <si>
    <t>Model/Exp</t>
  </si>
  <si>
    <t>Exp Prosyn</t>
  </si>
  <si>
    <t>ZMO0792</t>
  </si>
  <si>
    <t>ZMO1236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</si>
  <si>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</si>
  <si>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</si>
  <si>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</si>
  <si>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</si>
  <si>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</si>
  <si>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</si>
  <si>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</si>
  <si>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</si>
  <si>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</si>
  <si>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</si>
  <si>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</si>
  <si>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</si>
  <si>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</si>
  <si>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</si>
  <si>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</si>
  <si>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</si>
  <si>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</si>
  <si>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</si>
  <si>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</si>
  <si>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</si>
  <si>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</si>
  <si>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</si>
  <si>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</si>
  <si>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</si>
  <si>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</si>
  <si>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</si>
  <si>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</si>
  <si>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</si>
  <si>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ZMO1596</t>
  </si>
  <si>
    <t>ADH</t>
  </si>
  <si>
    <t>Model</t>
  </si>
  <si>
    <t>Exp</t>
  </si>
  <si>
    <t>ZMO0883</t>
  </si>
  <si>
    <t>Gene</t>
  </si>
  <si>
    <t>ZMO0311</t>
  </si>
  <si>
    <t>ZMO0900</t>
  </si>
  <si>
    <t>ZMO1955</t>
  </si>
  <si>
    <t>ZMO1307</t>
  </si>
  <si>
    <t>ZMO0870</t>
  </si>
  <si>
    <t>ZMO1853</t>
  </si>
  <si>
    <t>ZMO0547</t>
  </si>
  <si>
    <t>ZMO1025</t>
  </si>
  <si>
    <t>vglc was 55.1</t>
  </si>
  <si>
    <t>exp vglc 51</t>
  </si>
  <si>
    <t>u 0.36</t>
  </si>
  <si>
    <t>mmol/gDW/h</t>
  </si>
  <si>
    <t>mmol/gDW</t>
  </si>
  <si>
    <t>g/gDCW</t>
  </si>
  <si>
    <t>mmol/gDCW</t>
  </si>
  <si>
    <t>MW (g/mmol)</t>
  </si>
  <si>
    <t>Model Pro Con</t>
  </si>
  <si>
    <t>St Dev</t>
  </si>
  <si>
    <t>RNF</t>
  </si>
  <si>
    <t>ZMO0860</t>
  </si>
  <si>
    <t>ZMO0456</t>
  </si>
  <si>
    <t>ZMO1818</t>
  </si>
  <si>
    <t>FDX</t>
  </si>
  <si>
    <t>ZMO0221</t>
  </si>
  <si>
    <t>ZMO0222</t>
  </si>
  <si>
    <t>ZMO0223</t>
  </si>
  <si>
    <t>u was 0.359</t>
  </si>
  <si>
    <t>FLD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</si>
</sst>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theme="1"/>
      <name val="Consola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11" fontId="0" fillId="0" borderId="0" xfId="0" applyNumberFormat="1"/>
    <xf numFmtId="2" fontId="0" fillId="0" borderId="0" xfId="0" applyNumberForma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3" borderId="0" xfId="0" applyNumberFormat="1" applyFill="1"/>
    <xf numFmtId="11" fontId="0" fillId="4" borderId="0" xfId="0" applyNumberFormat="1" applyFill="1"/>
    <xf numFmtId="0" fontId="0" fillId="4" borderId="0" xfId="0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Sheet2!$E$57:$E$70</c:f>
              <c:numCache>
                <c:formatCode>General</c:formatCode>
                <c:ptCount val="14"/>
                <c:pt idx="0">
                  <c:v>2.5259291966573819E-5</c:v>
                </c:pt>
                <c:pt idx="1">
                  <c:v>4.660422175208914E-5</c:v>
                </c:pt>
                <c:pt idx="2">
                  <c:v>7.6879944596100283E-6</c:v>
                </c:pt>
                <c:pt idx="3">
                  <c:v>4.4019134016713098E-5</c:v>
                </c:pt>
                <c:pt idx="4">
                  <c:v>5.033527705292479E-5</c:v>
                </c:pt>
                <c:pt idx="5">
                  <c:v>1.4681841002785515E-5</c:v>
                </c:pt>
                <c:pt idx="6">
                  <c:v>2.1961948328690809E-6</c:v>
                </c:pt>
                <c:pt idx="7">
                  <c:v>2.2031688958217273E-4</c:v>
                </c:pt>
                <c:pt idx="8">
                  <c:v>6.259399974094708E-5</c:v>
                </c:pt>
                <c:pt idx="9">
                  <c:v>6.8310850740947078E-5</c:v>
                </c:pt>
                <c:pt idx="10">
                  <c:v>1.1189895964066853E-4</c:v>
                </c:pt>
                <c:pt idx="11">
                  <c:v>1.4812917530083566E-4</c:v>
                </c:pt>
                <c:pt idx="12">
                  <c:v>1.9364301830362119E-4</c:v>
                </c:pt>
                <c:pt idx="13">
                  <c:v>7.5750931983286903E-5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2-8F43-875C-2748F0B97F5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[1]ProteinComp_Anal!$G$36:$G$49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Sheet2!$D$57:$D$70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Sheet2!$F$57:$F$70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 formatCode="0.00E+00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2-8F43-875C-2748F0B97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Sheet2!$J$57:$J$67</c:f>
              <c:numCache>
                <c:formatCode>General</c:formatCode>
                <c:ptCount val="11"/>
                <c:pt idx="0">
                  <c:v>#N/A</c:v>
                </c:pt>
                <c:pt idx="1">
                  <c:v>6.4616793871866304E-6</c:v>
                </c:pt>
                <c:pt idx="2">
                  <c:v>9.5833258969359343E-6</c:v>
                </c:pt>
                <c:pt idx="3">
                  <c:v>9.8792923676880224E-6</c:v>
                </c:pt>
                <c:pt idx="4">
                  <c:v>2.4078290445682456E-6</c:v>
                </c:pt>
                <c:pt idx="5">
                  <c:v>1.984177902506964E-5</c:v>
                </c:pt>
                <c:pt idx="6">
                  <c:v>3.917440644011142E-5</c:v>
                </c:pt>
                <c:pt idx="7">
                  <c:v>6.7818216518105859E-6</c:v>
                </c:pt>
                <c:pt idx="8">
                  <c:v>4.2760793788300838E-6</c:v>
                </c:pt>
                <c:pt idx="9" formatCode="0.00E+00">
                  <c:v>2.8438198362116993E-5</c:v>
                </c:pt>
                <c:pt idx="10" formatCode="0.00E+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B-B849-8129-EE4A97C01E4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plus>
            <c:minus>
              <c:numRef>
                <c:f>Sheet2!$L$57:$L$67</c:f>
                <c:numCache>
                  <c:formatCode>General</c:formatCode>
                  <c:ptCount val="11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  <c:pt idx="7">
                    <c:v>1.4757599744892745E-7</c:v>
                  </c:pt>
                  <c:pt idx="8">
                    <c:v>5.0257579251254371E-8</c:v>
                  </c:pt>
                  <c:pt idx="9">
                    <c:v>3.9855099360629118E-7</c:v>
                  </c:pt>
                  <c:pt idx="10">
                    <c:v>3.6593133749968266E-7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Sheet2!$I$57:$I$67</c:f>
              <c:strCache>
                <c:ptCount val="11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  <c:pt idx="7">
                  <c:v>FPR</c:v>
                </c:pt>
                <c:pt idx="8">
                  <c:v>FLD</c:v>
                </c:pt>
                <c:pt idx="9">
                  <c:v>FDX</c:v>
                </c:pt>
                <c:pt idx="10">
                  <c:v>RNF</c:v>
                </c:pt>
              </c:strCache>
            </c:strRef>
          </c:cat>
          <c:val>
            <c:numRef>
              <c:f>Sheet2!$K$57:$K$67</c:f>
              <c:numCache>
                <c:formatCode>General</c:formatCode>
                <c:ptCount val="11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  <c:pt idx="7">
                  <c:v>4.3083497000719311E-6</c:v>
                </c:pt>
                <c:pt idx="8">
                  <c:v>1.0337618847484315E-6</c:v>
                </c:pt>
                <c:pt idx="9" formatCode="0.00E+00">
                  <c:v>1.7924064899633691E-5</c:v>
                </c:pt>
                <c:pt idx="10" formatCode="0.00E+00">
                  <c:v>8.3250001618405446E-6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B-B849-8129-EE4A97C01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534104</xdr:colOff>
      <xdr:row>2</xdr:row>
      <xdr:rowOff>12557</xdr:rowOff>
    </xdr:from>
    <xdr:to>
      <xdr:col>29</xdr:col>
      <xdr:colOff>529403</xdr:colOff>
      <xdr:row>27</xdr:row>
      <xdr:rowOff>9878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AD883-C83D-2D45-A82A-79F386CDF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807357</xdr:colOff>
      <xdr:row>31</xdr:row>
      <xdr:rowOff>37418</xdr:rowOff>
    </xdr:from>
    <xdr:to>
      <xdr:col>31</xdr:col>
      <xdr:colOff>207848</xdr:colOff>
      <xdr:row>68</xdr:row>
      <xdr:rowOff>136590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D6036FF-6BC8-374B-9DC1-1F7B051FB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Relationship Id="rId1" Type="http://schemas.openxmlformats.org/officeDocument/2006/relationships/externalLinkPath" Target="https://uwprod-my.sharepoint.com/personal/kfisher22_wisc_edu/Documents/Jun%20ZmRBA%20Paper/Updating_model_MEP_fdxA_rnf/Updated/Analyses/max_production_EtOH/RBA_Protein_Syn_Analysis_K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roteinComp_Anal"/>
    </sheetNames>
    <sheetDataSet>
      <sheetData sheetId="0"/>
      <sheetData sheetId="1">
        <row r="36">
          <cell r="G36">
            <v>1.4395022274275469E-6</v>
          </cell>
        </row>
        <row r="37">
          <cell r="G37">
            <v>2.3507037397174724E-6</v>
          </cell>
        </row>
        <row r="38">
          <cell r="G38">
            <v>3.9789753763346777E-7</v>
          </cell>
        </row>
        <row r="39">
          <cell r="G39">
            <v>1.2956243276383541E-6</v>
          </cell>
        </row>
        <row r="40">
          <cell r="G40">
            <v>5.1853664646378207E-6</v>
          </cell>
        </row>
        <row r="41">
          <cell r="G41">
            <v>4.2566707209922493E-7</v>
          </cell>
        </row>
        <row r="42">
          <cell r="G42">
            <v>9.5219307494572958E-8</v>
          </cell>
        </row>
        <row r="43">
          <cell r="G43">
            <v>8.0624462797256548E-6</v>
          </cell>
        </row>
        <row r="44">
          <cell r="G44">
            <v>1.2700185121069086E-6</v>
          </cell>
        </row>
        <row r="45">
          <cell r="G45">
            <v>9.8903303303634984E-7</v>
          </cell>
        </row>
        <row r="46">
          <cell r="G46">
            <v>4.2471286134047097E-6</v>
          </cell>
        </row>
        <row r="47">
          <cell r="G47">
            <v>4.9882284513233268E-6</v>
          </cell>
        </row>
        <row r="48">
          <cell r="G48">
            <v>3.3452024769860749E-6</v>
          </cell>
        </row>
        <row r="49">
          <cell r="G49">
            <v>2.8129494821783982E-6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6"/>
  <sheetViews>
    <sheetView topLeftCell="A10" zoomScale="97" workbookViewId="0">
      <selection activeCell="O32" sqref="O32:O45"/>
    </sheetView>
  </sheetViews>
  <sheetFormatPr baseColWidth="10" defaultColWidth="8.83203125" defaultRowHeight="15" x14ac:dyDescent="0.2"/>
  <cols>
    <col min="13" max="15" width="12.1640625" bestFit="1" customWidth="1"/>
  </cols>
  <sheetData>
    <row r="1" spans="1:16" x14ac:dyDescent="0.2">
      <c r="A1" s="1" t="s">
        <v>398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 x14ac:dyDescent="0.2">
      <c r="A2" t="s">
        <v>11</v>
      </c>
      <c r="B2">
        <v>2.5153930592011149E-6</v>
      </c>
      <c r="C2">
        <v>3.4684328135260001E-3</v>
      </c>
      <c r="D2">
        <v>0</v>
      </c>
      <c r="E2">
        <v>3.4684328135260001E-3</v>
      </c>
      <c r="F2">
        <v>100</v>
      </c>
      <c r="G2">
        <v>1378.883034140028</v>
      </c>
    </row>
    <row r="3" spans="1:16" x14ac:dyDescent="0.2">
      <c r="A3" t="s">
        <v>6</v>
      </c>
      <c r="B3">
        <v>7.9140683417981147E-5</v>
      </c>
      <c r="C3">
        <v>7.9093763360000004E-5</v>
      </c>
      <c r="D3">
        <v>0</v>
      </c>
      <c r="E3">
        <v>7.9093763360000004E-5</v>
      </c>
      <c r="F3">
        <v>100</v>
      </c>
      <c r="G3">
        <v>0.9994071309981829</v>
      </c>
    </row>
    <row r="4" spans="1:16" x14ac:dyDescent="0.2">
      <c r="A4" t="s">
        <v>7</v>
      </c>
      <c r="B4">
        <v>5.1293242219424909E-6</v>
      </c>
      <c r="C4">
        <v>7.8420829512999994E-5</v>
      </c>
      <c r="D4">
        <v>0</v>
      </c>
      <c r="E4">
        <v>7.8420829512999994E-5</v>
      </c>
      <c r="F4">
        <v>100</v>
      </c>
      <c r="G4">
        <v>15.28872539924992</v>
      </c>
    </row>
    <row r="5" spans="1:16" x14ac:dyDescent="0.2">
      <c r="A5" t="s">
        <v>8</v>
      </c>
      <c r="B5">
        <v>6.9456594322519794E-5</v>
      </c>
      <c r="C5">
        <v>6.9517843571000005E-5</v>
      </c>
      <c r="D5">
        <v>0</v>
      </c>
      <c r="E5">
        <v>6.9517843571000005E-5</v>
      </c>
      <c r="F5">
        <v>100</v>
      </c>
      <c r="G5">
        <v>1.00088183489383</v>
      </c>
    </row>
    <row r="6" spans="1:16" x14ac:dyDescent="0.2">
      <c r="A6" t="s">
        <v>9</v>
      </c>
      <c r="B6">
        <v>5.3556948900675673E-5</v>
      </c>
      <c r="C6">
        <v>5.3178373933E-5</v>
      </c>
      <c r="D6">
        <v>0</v>
      </c>
      <c r="E6">
        <v>5.3178373933E-5</v>
      </c>
      <c r="F6">
        <v>100</v>
      </c>
      <c r="G6">
        <v>0.9929313567063397</v>
      </c>
    </row>
    <row r="7" spans="1:16" x14ac:dyDescent="0.2">
      <c r="A7" t="s">
        <v>10</v>
      </c>
      <c r="B7">
        <v>4.0249642034541729E-5</v>
      </c>
      <c r="C7">
        <v>4.0171726511E-5</v>
      </c>
      <c r="D7">
        <v>0</v>
      </c>
      <c r="E7">
        <v>4.0171726511E-5</v>
      </c>
      <c r="F7">
        <v>100</v>
      </c>
      <c r="G7">
        <v>0.99806419337904018</v>
      </c>
      <c r="M7" t="s">
        <v>360</v>
      </c>
      <c r="N7" t="s">
        <v>361</v>
      </c>
      <c r="O7" t="s">
        <v>362</v>
      </c>
    </row>
    <row r="8" spans="1:16" x14ac:dyDescent="0.2">
      <c r="A8" t="s">
        <v>247</v>
      </c>
      <c r="B8">
        <v>0</v>
      </c>
      <c r="C8">
        <v>3.6902641333999999E-5</v>
      </c>
      <c r="D8">
        <v>0</v>
      </c>
      <c r="E8">
        <v>3.6902641333999999E-5</v>
      </c>
      <c r="F8">
        <v>100</v>
      </c>
      <c r="G8" t="s">
        <v>52</v>
      </c>
      <c r="K8" t="s">
        <v>323</v>
      </c>
      <c r="L8" t="s">
        <v>349</v>
      </c>
      <c r="M8" t="e">
        <f t="shared" ref="M8:M18" si="0">_xlfn.XLOOKUP(K8,A:A,C:C)</f>
        <v>#N/A</v>
      </c>
      <c r="N8" t="e">
        <f t="shared" ref="N8:N17" si="1">_xlfn.XLOOKUP(K8,A:A,G:G)</f>
        <v>#N/A</v>
      </c>
      <c r="O8" t="e">
        <f t="shared" ref="O8:O17" si="2">_xlfn.XLOOKUP(K8,A:A,B:B)</f>
        <v>#N/A</v>
      </c>
      <c r="P8" t="s">
        <v>323</v>
      </c>
    </row>
    <row r="9" spans="1:16" x14ac:dyDescent="0.2">
      <c r="A9" t="s">
        <v>364</v>
      </c>
      <c r="B9">
        <v>1.184285241552041E-6</v>
      </c>
      <c r="C9">
        <v>2.7194584581999999E-5</v>
      </c>
      <c r="D9">
        <v>0</v>
      </c>
      <c r="E9">
        <v>2.7194584581999999E-5</v>
      </c>
      <c r="F9">
        <v>100</v>
      </c>
      <c r="G9">
        <v>22.962867076145169</v>
      </c>
      <c r="K9" s="2" t="s">
        <v>230</v>
      </c>
      <c r="L9" s="3" t="s">
        <v>350</v>
      </c>
      <c r="M9">
        <f t="shared" si="0"/>
        <v>2.3197429000000002E-6</v>
      </c>
      <c r="N9">
        <f t="shared" si="1"/>
        <v>1.8019841517181741</v>
      </c>
      <c r="O9">
        <f t="shared" si="2"/>
        <v>1.287327026593518E-6</v>
      </c>
      <c r="P9" s="2" t="s">
        <v>230</v>
      </c>
    </row>
    <row r="10" spans="1:16" x14ac:dyDescent="0.2">
      <c r="A10" t="s">
        <v>13</v>
      </c>
      <c r="B10">
        <v>1.572948586282125E-5</v>
      </c>
      <c r="C10">
        <v>2.5487220439999999E-5</v>
      </c>
      <c r="D10">
        <v>0</v>
      </c>
      <c r="E10">
        <v>2.5487220439999999E-5</v>
      </c>
      <c r="F10">
        <v>100</v>
      </c>
      <c r="G10">
        <v>1.62034669551676</v>
      </c>
      <c r="K10" s="2" t="s">
        <v>173</v>
      </c>
      <c r="L10" s="3" t="s">
        <v>351</v>
      </c>
      <c r="M10">
        <f t="shared" si="0"/>
        <v>3.440413997E-6</v>
      </c>
      <c r="N10">
        <f t="shared" si="1"/>
        <v>1.7168582023131891</v>
      </c>
      <c r="O10">
        <f t="shared" si="2"/>
        <v>2.0039010748613938E-6</v>
      </c>
      <c r="P10" s="2" t="s">
        <v>173</v>
      </c>
    </row>
    <row r="11" spans="1:16" x14ac:dyDescent="0.2">
      <c r="A11" t="s">
        <v>14</v>
      </c>
      <c r="B11">
        <v>2.520488644377294E-5</v>
      </c>
      <c r="C11">
        <v>2.5094584961999999E-5</v>
      </c>
      <c r="D11">
        <v>0</v>
      </c>
      <c r="E11">
        <v>2.5094584961999999E-5</v>
      </c>
      <c r="F11">
        <v>100</v>
      </c>
      <c r="G11">
        <v>0.99562380564502817</v>
      </c>
      <c r="K11" s="2" t="s">
        <v>151</v>
      </c>
      <c r="L11" s="3" t="s">
        <v>352</v>
      </c>
      <c r="M11">
        <f t="shared" si="0"/>
        <v>3.54666596E-6</v>
      </c>
      <c r="N11">
        <f t="shared" si="1"/>
        <v>1.716858202004679</v>
      </c>
      <c r="O11">
        <f t="shared" si="2"/>
        <v>2.065788517571665E-6</v>
      </c>
      <c r="P11" s="2" t="s">
        <v>151</v>
      </c>
    </row>
    <row r="12" spans="1:16" x14ac:dyDescent="0.2">
      <c r="A12" t="s">
        <v>12</v>
      </c>
      <c r="B12">
        <v>2.4571160430798931E-5</v>
      </c>
      <c r="C12">
        <v>2.4523595416000001E-5</v>
      </c>
      <c r="D12">
        <v>0</v>
      </c>
      <c r="E12">
        <v>2.4523595416000001E-5</v>
      </c>
      <c r="F12">
        <v>100</v>
      </c>
      <c r="G12">
        <v>0.99806419338912034</v>
      </c>
      <c r="K12" s="2" t="s">
        <v>258</v>
      </c>
      <c r="L12" s="3" t="s">
        <v>353</v>
      </c>
      <c r="M12">
        <f t="shared" si="0"/>
        <v>8.6441062700000005E-7</v>
      </c>
      <c r="N12">
        <f t="shared" si="1"/>
        <v>1.716858202409854</v>
      </c>
      <c r="O12">
        <f t="shared" si="2"/>
        <v>5.0348399523424642E-7</v>
      </c>
      <c r="P12" s="2" t="s">
        <v>258</v>
      </c>
    </row>
    <row r="13" spans="1:16" x14ac:dyDescent="0.2">
      <c r="A13" t="s">
        <v>15</v>
      </c>
      <c r="B13">
        <v>2.2484575836490229E-5</v>
      </c>
      <c r="C13">
        <v>2.2471245906999999E-5</v>
      </c>
      <c r="D13">
        <v>0</v>
      </c>
      <c r="E13">
        <v>2.2471245906999999E-5</v>
      </c>
      <c r="F13">
        <v>100</v>
      </c>
      <c r="G13">
        <v>0.99940715228131649</v>
      </c>
      <c r="K13" s="2" t="s">
        <v>111</v>
      </c>
      <c r="L13" s="3" t="s">
        <v>354</v>
      </c>
      <c r="M13">
        <f t="shared" si="0"/>
        <v>7.1231986700000003E-6</v>
      </c>
      <c r="N13">
        <f t="shared" si="1"/>
        <v>1.71685820206204</v>
      </c>
      <c r="O13">
        <f t="shared" si="2"/>
        <v>4.148973200841311E-6</v>
      </c>
      <c r="P13" s="2" t="s">
        <v>111</v>
      </c>
    </row>
    <row r="14" spans="1:16" x14ac:dyDescent="0.2">
      <c r="A14" t="s">
        <v>41</v>
      </c>
      <c r="B14">
        <v>7.9422356037627257E-6</v>
      </c>
      <c r="C14">
        <v>1.8679266025000001E-5</v>
      </c>
      <c r="D14">
        <v>0</v>
      </c>
      <c r="E14">
        <v>1.8679266025000001E-5</v>
      </c>
      <c r="F14">
        <v>100</v>
      </c>
      <c r="G14">
        <v>2.3518901927500719</v>
      </c>
      <c r="K14" s="2" t="s">
        <v>96</v>
      </c>
      <c r="L14" s="3" t="s">
        <v>355</v>
      </c>
      <c r="M14">
        <f t="shared" si="0"/>
        <v>1.4063611912E-5</v>
      </c>
      <c r="N14">
        <f t="shared" si="1"/>
        <v>1.7168582019248151</v>
      </c>
      <c r="O14">
        <f t="shared" si="2"/>
        <v>8.191481332723294E-6</v>
      </c>
      <c r="P14" s="2" t="s">
        <v>96</v>
      </c>
    </row>
    <row r="15" spans="1:16" x14ac:dyDescent="0.2">
      <c r="A15" t="s">
        <v>25</v>
      </c>
      <c r="B15">
        <v>2.4166010723320329E-5</v>
      </c>
      <c r="C15">
        <v>1.8679266025000001E-5</v>
      </c>
      <c r="D15">
        <v>0</v>
      </c>
      <c r="E15">
        <v>1.8679266025000001E-5</v>
      </c>
      <c r="F15">
        <v>100</v>
      </c>
      <c r="G15">
        <v>0.77295612581080297</v>
      </c>
      <c r="K15" s="4" t="s">
        <v>257</v>
      </c>
      <c r="L15" s="5" t="s">
        <v>356</v>
      </c>
      <c r="M15">
        <f t="shared" si="0"/>
        <v>2.4346739730000001E-6</v>
      </c>
      <c r="N15">
        <f t="shared" si="1"/>
        <v>1.569738700231418</v>
      </c>
      <c r="O15">
        <f t="shared" si="2"/>
        <v>1.5510058920258949E-6</v>
      </c>
      <c r="P15" s="4" t="s">
        <v>257</v>
      </c>
    </row>
    <row r="16" spans="1:16" x14ac:dyDescent="0.2">
      <c r="A16" t="s">
        <v>49</v>
      </c>
      <c r="B16">
        <v>1.159874159869983E-5</v>
      </c>
      <c r="C16">
        <v>1.8679266025000001E-5</v>
      </c>
      <c r="D16">
        <v>0</v>
      </c>
      <c r="E16">
        <v>1.8679266025000001E-5</v>
      </c>
      <c r="F16">
        <v>100</v>
      </c>
      <c r="G16">
        <v>1.610456260797626</v>
      </c>
      <c r="K16" s="4" t="s">
        <v>348</v>
      </c>
      <c r="L16" s="5" t="s">
        <v>357</v>
      </c>
      <c r="M16">
        <f t="shared" si="0"/>
        <v>1.535112497E-6</v>
      </c>
      <c r="N16">
        <f t="shared" si="1"/>
        <v>4.1249357743473576</v>
      </c>
      <c r="O16">
        <f t="shared" si="2"/>
        <v>3.7215427850943527E-7</v>
      </c>
      <c r="P16" s="4" t="s">
        <v>348</v>
      </c>
    </row>
    <row r="17" spans="1:16" x14ac:dyDescent="0.2">
      <c r="A17" t="s">
        <v>46</v>
      </c>
      <c r="B17">
        <v>2.6975631851590762E-5</v>
      </c>
      <c r="C17">
        <v>1.8679266025000001E-5</v>
      </c>
      <c r="D17">
        <v>0</v>
      </c>
      <c r="E17">
        <v>1.8679266025000001E-5</v>
      </c>
      <c r="F17">
        <v>100</v>
      </c>
      <c r="G17">
        <v>0.69244962000393262</v>
      </c>
      <c r="K17" s="2" t="s">
        <v>347</v>
      </c>
      <c r="L17" s="3" t="s">
        <v>359</v>
      </c>
      <c r="M17" t="e">
        <f t="shared" si="0"/>
        <v>#N/A</v>
      </c>
      <c r="N17" t="e">
        <f t="shared" si="1"/>
        <v>#N/A</v>
      </c>
      <c r="O17" t="e">
        <f t="shared" si="2"/>
        <v>#N/A</v>
      </c>
      <c r="P17" s="2" t="s">
        <v>347</v>
      </c>
    </row>
    <row r="18" spans="1:16" x14ac:dyDescent="0.2">
      <c r="A18" t="s">
        <v>48</v>
      </c>
      <c r="B18">
        <v>2.448155940947796E-5</v>
      </c>
      <c r="C18">
        <v>1.8679266025000001E-5</v>
      </c>
      <c r="D18">
        <v>0</v>
      </c>
      <c r="E18">
        <v>1.8679266025000001E-5</v>
      </c>
      <c r="F18">
        <v>100</v>
      </c>
      <c r="G18">
        <v>0.76299330906871821</v>
      </c>
      <c r="K18" s="19" t="s">
        <v>418</v>
      </c>
      <c r="L18" s="3" t="s">
        <v>421</v>
      </c>
      <c r="M18">
        <f t="shared" si="0"/>
        <v>1.0209313212E-5</v>
      </c>
      <c r="N18">
        <f t="shared" ref="N18:N20" si="3">_xlfn.XLOOKUP(K18,A:A,G:G)</f>
        <v>527.1947382988883</v>
      </c>
      <c r="O18">
        <f t="shared" ref="O18:O20" si="4">_xlfn.XLOOKUP(K18,A:A,B:B)</f>
        <v>1.9365354906505009E-8</v>
      </c>
      <c r="P18" s="2" t="s">
        <v>422</v>
      </c>
    </row>
    <row r="19" spans="1:16" x14ac:dyDescent="0.2">
      <c r="A19" t="s">
        <v>59</v>
      </c>
      <c r="B19">
        <v>1.431510487258141E-5</v>
      </c>
      <c r="C19">
        <v>1.8679266025000001E-5</v>
      </c>
      <c r="D19">
        <v>0</v>
      </c>
      <c r="E19">
        <v>1.8679266025000001E-5</v>
      </c>
      <c r="F19">
        <v>100</v>
      </c>
      <c r="G19">
        <v>1.3048640712914039</v>
      </c>
      <c r="K19" s="19" t="s">
        <v>419</v>
      </c>
      <c r="L19" s="3" t="s">
        <v>421</v>
      </c>
      <c r="M19" t="e">
        <f t="shared" ref="M19:M20" si="5">_xlfn.XLOOKUP(K19,A:A,C:C)</f>
        <v>#N/A</v>
      </c>
      <c r="N19" t="e">
        <f t="shared" si="3"/>
        <v>#N/A</v>
      </c>
      <c r="O19" t="e">
        <f t="shared" si="4"/>
        <v>#N/A</v>
      </c>
      <c r="P19" s="2" t="s">
        <v>423</v>
      </c>
    </row>
    <row r="20" spans="1:16" x14ac:dyDescent="0.2">
      <c r="A20" t="s">
        <v>66</v>
      </c>
      <c r="B20">
        <v>2.9693381536298769E-6</v>
      </c>
      <c r="C20">
        <v>1.8679266025000001E-5</v>
      </c>
      <c r="D20">
        <v>0</v>
      </c>
      <c r="E20">
        <v>1.8679266025000001E-5</v>
      </c>
      <c r="F20">
        <v>100</v>
      </c>
      <c r="G20">
        <v>6.2907170078172054</v>
      </c>
      <c r="K20" s="19" t="s">
        <v>420</v>
      </c>
      <c r="L20" s="3" t="s">
        <v>421</v>
      </c>
      <c r="M20" t="e">
        <f t="shared" si="5"/>
        <v>#N/A</v>
      </c>
      <c r="N20" t="e">
        <f t="shared" si="3"/>
        <v>#N/A</v>
      </c>
      <c r="O20" t="e">
        <f t="shared" si="4"/>
        <v>#N/A</v>
      </c>
      <c r="P20" s="2" t="s">
        <v>424</v>
      </c>
    </row>
    <row r="21" spans="1:16" x14ac:dyDescent="0.2">
      <c r="A21" t="s">
        <v>24</v>
      </c>
      <c r="B21">
        <v>3.4854239853689131E-5</v>
      </c>
      <c r="C21">
        <v>1.8679266025000001E-5</v>
      </c>
      <c r="D21">
        <v>0</v>
      </c>
      <c r="E21">
        <v>1.8679266025000001E-5</v>
      </c>
      <c r="F21">
        <v>100</v>
      </c>
      <c r="G21">
        <v>0.53592521608308441</v>
      </c>
      <c r="K21" s="22" t="s">
        <v>358</v>
      </c>
      <c r="L21" t="s">
        <v>320</v>
      </c>
      <c r="M21" t="e">
        <f>_xlfn.XLOOKUP(L21,A:A,C:C)</f>
        <v>#N/A</v>
      </c>
      <c r="N21" t="e">
        <f>_xlfn.XLOOKUP(L21,A:A,G:G)</f>
        <v>#N/A</v>
      </c>
      <c r="O21" t="e">
        <f>_xlfn.XLOOKUP(L21,A:A,B:B)</f>
        <v>#N/A</v>
      </c>
      <c r="P21" t="s">
        <v>320</v>
      </c>
    </row>
    <row r="22" spans="1:16" x14ac:dyDescent="0.2">
      <c r="A22" t="s">
        <v>39</v>
      </c>
      <c r="B22">
        <v>2.4017962844023299E-5</v>
      </c>
      <c r="C22">
        <v>1.8679266025000001E-5</v>
      </c>
      <c r="D22">
        <v>0</v>
      </c>
      <c r="E22">
        <v>1.8679266025000001E-5</v>
      </c>
      <c r="F22">
        <v>100</v>
      </c>
      <c r="G22">
        <v>0.77772066458368294</v>
      </c>
      <c r="K22" s="22"/>
      <c r="L22" t="s">
        <v>318</v>
      </c>
      <c r="M22" t="e">
        <f t="shared" ref="M22:M27" si="6">_xlfn.XLOOKUP(L22,A:A,C:C)</f>
        <v>#N/A</v>
      </c>
      <c r="N22" t="e">
        <f t="shared" ref="N22:N27" si="7">_xlfn.XLOOKUP(L22,A:A,G:G)</f>
        <v>#N/A</v>
      </c>
      <c r="O22" t="e">
        <f t="shared" ref="O22:O27" si="8">_xlfn.XLOOKUP(L22,A:A,B:B)</f>
        <v>#N/A</v>
      </c>
      <c r="P22" t="s">
        <v>318</v>
      </c>
    </row>
    <row r="23" spans="1:16" x14ac:dyDescent="0.2">
      <c r="A23" t="s">
        <v>40</v>
      </c>
      <c r="B23">
        <v>1.8503497250297242E-5</v>
      </c>
      <c r="C23">
        <v>1.8679266025000001E-5</v>
      </c>
      <c r="D23">
        <v>0</v>
      </c>
      <c r="E23">
        <v>1.8679266025000001E-5</v>
      </c>
      <c r="F23">
        <v>100</v>
      </c>
      <c r="G23">
        <v>1.0094992191111301</v>
      </c>
      <c r="K23" s="22"/>
      <c r="L23" t="s">
        <v>321</v>
      </c>
      <c r="M23" t="e">
        <f t="shared" si="6"/>
        <v>#N/A</v>
      </c>
      <c r="N23" t="e">
        <f t="shared" si="7"/>
        <v>#N/A</v>
      </c>
      <c r="O23" t="e">
        <f t="shared" si="8"/>
        <v>#N/A</v>
      </c>
      <c r="P23" t="s">
        <v>321</v>
      </c>
    </row>
    <row r="24" spans="1:16" x14ac:dyDescent="0.2">
      <c r="A24" t="s">
        <v>68</v>
      </c>
      <c r="B24">
        <v>2.4208967424806201E-5</v>
      </c>
      <c r="C24">
        <v>1.8679266025000001E-5</v>
      </c>
      <c r="D24">
        <v>0</v>
      </c>
      <c r="E24">
        <v>1.8679266025000001E-5</v>
      </c>
      <c r="F24">
        <v>100</v>
      </c>
      <c r="G24">
        <v>0.77158458257331197</v>
      </c>
      <c r="K24" s="22"/>
      <c r="L24" t="s">
        <v>319</v>
      </c>
      <c r="M24" t="e">
        <f t="shared" si="6"/>
        <v>#N/A</v>
      </c>
      <c r="N24" t="e">
        <f t="shared" si="7"/>
        <v>#N/A</v>
      </c>
      <c r="O24" t="e">
        <f t="shared" si="8"/>
        <v>#N/A</v>
      </c>
      <c r="P24" t="s">
        <v>319</v>
      </c>
    </row>
    <row r="25" spans="1:16" x14ac:dyDescent="0.2">
      <c r="A25" t="s">
        <v>65</v>
      </c>
      <c r="B25">
        <v>7.2723726703549367E-6</v>
      </c>
      <c r="C25">
        <v>1.8679266025000001E-5</v>
      </c>
      <c r="D25">
        <v>0</v>
      </c>
      <c r="E25">
        <v>1.8679266025000001E-5</v>
      </c>
      <c r="F25">
        <v>100</v>
      </c>
      <c r="G25">
        <v>2.5685243140995881</v>
      </c>
      <c r="K25" s="22"/>
      <c r="L25" t="s">
        <v>315</v>
      </c>
      <c r="M25" t="e">
        <f t="shared" si="6"/>
        <v>#N/A</v>
      </c>
      <c r="N25" t="e">
        <f t="shared" si="7"/>
        <v>#N/A</v>
      </c>
      <c r="O25" t="e">
        <f t="shared" si="8"/>
        <v>#N/A</v>
      </c>
      <c r="P25" t="s">
        <v>315</v>
      </c>
    </row>
    <row r="26" spans="1:16" x14ac:dyDescent="0.2">
      <c r="A26" t="s">
        <v>34</v>
      </c>
      <c r="B26">
        <v>2.243302056829462E-5</v>
      </c>
      <c r="C26">
        <v>1.8679266025000001E-5</v>
      </c>
      <c r="D26">
        <v>0</v>
      </c>
      <c r="E26">
        <v>1.8679266025000001E-5</v>
      </c>
      <c r="F26">
        <v>100</v>
      </c>
      <c r="G26">
        <v>0.832668341213045</v>
      </c>
      <c r="K26" s="22"/>
      <c r="L26" t="s">
        <v>317</v>
      </c>
      <c r="M26" t="e">
        <f t="shared" si="6"/>
        <v>#N/A</v>
      </c>
      <c r="N26" t="e">
        <f t="shared" si="7"/>
        <v>#N/A</v>
      </c>
      <c r="O26" t="e">
        <f t="shared" si="8"/>
        <v>#N/A</v>
      </c>
      <c r="P26" t="s">
        <v>317</v>
      </c>
    </row>
    <row r="27" spans="1:16" x14ac:dyDescent="0.2">
      <c r="A27" t="s">
        <v>61</v>
      </c>
      <c r="B27">
        <v>1.8296300549796079E-5</v>
      </c>
      <c r="C27">
        <v>1.8679266025000001E-5</v>
      </c>
      <c r="D27">
        <v>0</v>
      </c>
      <c r="E27">
        <v>1.8679266025000001E-5</v>
      </c>
      <c r="F27">
        <v>100</v>
      </c>
      <c r="G27">
        <v>1.0209313065317021</v>
      </c>
      <c r="K27" s="22"/>
      <c r="L27" t="s">
        <v>316</v>
      </c>
      <c r="M27" t="e">
        <f t="shared" si="6"/>
        <v>#N/A</v>
      </c>
      <c r="N27" t="e">
        <f t="shared" si="7"/>
        <v>#N/A</v>
      </c>
      <c r="O27" t="e">
        <f t="shared" si="8"/>
        <v>#N/A</v>
      </c>
      <c r="P27" t="s">
        <v>316</v>
      </c>
    </row>
    <row r="28" spans="1:16" x14ac:dyDescent="0.2">
      <c r="A28" t="s">
        <v>60</v>
      </c>
      <c r="B28">
        <v>1.8173991331524889E-5</v>
      </c>
      <c r="C28">
        <v>1.8679266025000001E-5</v>
      </c>
      <c r="D28">
        <v>0</v>
      </c>
      <c r="E28">
        <v>1.8679266025000001E-5</v>
      </c>
      <c r="F28">
        <v>100</v>
      </c>
      <c r="G28">
        <v>1.0278020762890241</v>
      </c>
    </row>
    <row r="29" spans="1:16" x14ac:dyDescent="0.2">
      <c r="A29" t="s">
        <v>58</v>
      </c>
      <c r="B29">
        <v>4.0224730139951734E-6</v>
      </c>
      <c r="C29">
        <v>1.8679266025000001E-5</v>
      </c>
      <c r="D29">
        <v>0</v>
      </c>
      <c r="E29">
        <v>1.8679266025000001E-5</v>
      </c>
      <c r="F29">
        <v>100</v>
      </c>
      <c r="G29">
        <v>4.6437268715067166</v>
      </c>
    </row>
    <row r="30" spans="1:16" x14ac:dyDescent="0.2">
      <c r="A30" t="s">
        <v>44</v>
      </c>
      <c r="B30">
        <v>2.0066830609458499E-5</v>
      </c>
      <c r="C30">
        <v>1.8679266025000001E-5</v>
      </c>
      <c r="D30">
        <v>0</v>
      </c>
      <c r="E30">
        <v>1.8679266025000001E-5</v>
      </c>
      <c r="F30">
        <v>100</v>
      </c>
      <c r="G30">
        <v>0.9308528281588988</v>
      </c>
    </row>
    <row r="31" spans="1:16" x14ac:dyDescent="0.2">
      <c r="A31" t="s">
        <v>37</v>
      </c>
      <c r="B31">
        <v>1.5292262792934869E-5</v>
      </c>
      <c r="C31">
        <v>1.8679266025000001E-5</v>
      </c>
      <c r="D31">
        <v>0</v>
      </c>
      <c r="E31">
        <v>1.8679266025000001E-5</v>
      </c>
      <c r="F31">
        <v>100</v>
      </c>
      <c r="G31">
        <v>1.2214847650689049</v>
      </c>
      <c r="N31" t="s">
        <v>361</v>
      </c>
      <c r="O31" t="s">
        <v>360</v>
      </c>
    </row>
    <row r="32" spans="1:16" x14ac:dyDescent="0.2">
      <c r="A32" t="s">
        <v>27</v>
      </c>
      <c r="B32">
        <v>1.20284485816458E-5</v>
      </c>
      <c r="C32">
        <v>1.8679266025000001E-5</v>
      </c>
      <c r="D32">
        <v>0</v>
      </c>
      <c r="E32">
        <v>1.8679266025000001E-5</v>
      </c>
      <c r="F32">
        <v>100</v>
      </c>
      <c r="G32">
        <v>1.552923961740392</v>
      </c>
      <c r="K32" s="6" t="s">
        <v>86</v>
      </c>
      <c r="L32" s="6" t="s">
        <v>365</v>
      </c>
      <c r="M32" t="s">
        <v>366</v>
      </c>
      <c r="N32">
        <f>_xlfn.XLOOKUP(K32,A:A,G:G)</f>
        <v>1.001045241596217</v>
      </c>
      <c r="O32">
        <f>_xlfn.XLOOKUP(K32,A:A,C:C)</f>
        <v>9.0680858160000007E-6</v>
      </c>
    </row>
    <row r="33" spans="1:15" x14ac:dyDescent="0.2">
      <c r="A33" t="s">
        <v>47</v>
      </c>
      <c r="B33">
        <v>4.0824040813439983E-5</v>
      </c>
      <c r="C33">
        <v>1.8679266025000001E-5</v>
      </c>
      <c r="D33">
        <v>0</v>
      </c>
      <c r="E33">
        <v>1.8679266025000001E-5</v>
      </c>
      <c r="F33">
        <v>100</v>
      </c>
      <c r="G33">
        <v>0.45755553964786511</v>
      </c>
      <c r="K33" s="7" t="s">
        <v>70</v>
      </c>
      <c r="L33" s="6" t="s">
        <v>367</v>
      </c>
      <c r="M33" t="s">
        <v>368</v>
      </c>
      <c r="N33">
        <f t="shared" ref="N33:N46" si="9">_xlfn.XLOOKUP(K33,A:A,G:G)</f>
        <v>1.000881697053799</v>
      </c>
      <c r="O33">
        <f t="shared" ref="O33:O46" si="10">_xlfn.XLOOKUP(K33,A:A,C:C)</f>
        <v>1.6730915609E-5</v>
      </c>
    </row>
    <row r="34" spans="1:15" x14ac:dyDescent="0.2">
      <c r="A34" t="s">
        <v>53</v>
      </c>
      <c r="B34">
        <v>3.7068272977491683E-5</v>
      </c>
      <c r="C34">
        <v>1.8679266025000001E-5</v>
      </c>
      <c r="D34">
        <v>0</v>
      </c>
      <c r="E34">
        <v>1.8679266025000001E-5</v>
      </c>
      <c r="F34">
        <v>100</v>
      </c>
      <c r="G34">
        <v>0.50391519551888175</v>
      </c>
      <c r="K34" s="7" t="s">
        <v>156</v>
      </c>
      <c r="L34" s="6" t="s">
        <v>369</v>
      </c>
      <c r="M34" t="s">
        <v>370</v>
      </c>
      <c r="N34">
        <f t="shared" si="9"/>
        <v>1.0008816969640979</v>
      </c>
      <c r="O34">
        <f t="shared" si="10"/>
        <v>2.7599900110000001E-6</v>
      </c>
    </row>
    <row r="35" spans="1:15" x14ac:dyDescent="0.2">
      <c r="A35" t="s">
        <v>63</v>
      </c>
      <c r="B35">
        <v>2.5584326230154989E-5</v>
      </c>
      <c r="C35">
        <v>1.8679266025000001E-5</v>
      </c>
      <c r="D35">
        <v>0</v>
      </c>
      <c r="E35">
        <v>1.8679266025000001E-5</v>
      </c>
      <c r="F35">
        <v>100</v>
      </c>
      <c r="G35">
        <v>0.73010584124680478</v>
      </c>
      <c r="K35" s="7" t="s">
        <v>74</v>
      </c>
      <c r="L35" s="6" t="s">
        <v>371</v>
      </c>
      <c r="M35" t="s">
        <v>372</v>
      </c>
      <c r="N35">
        <f t="shared" si="9"/>
        <v>1.000881697076343</v>
      </c>
      <c r="O35">
        <f t="shared" si="10"/>
        <v>1.5802869112000001E-5</v>
      </c>
    </row>
    <row r="36" spans="1:15" x14ac:dyDescent="0.2">
      <c r="A36" t="s">
        <v>62</v>
      </c>
      <c r="B36">
        <v>2.023414874598557E-5</v>
      </c>
      <c r="C36">
        <v>1.8679266025000001E-5</v>
      </c>
      <c r="D36">
        <v>0</v>
      </c>
      <c r="E36">
        <v>1.8679266025000001E-5</v>
      </c>
      <c r="F36">
        <v>100</v>
      </c>
      <c r="G36">
        <v>0.92315551592976919</v>
      </c>
      <c r="K36" s="7" t="s">
        <v>16</v>
      </c>
      <c r="L36" s="6" t="s">
        <v>373</v>
      </c>
      <c r="M36" t="s">
        <v>374</v>
      </c>
      <c r="N36">
        <f>_xlfn.XLOOKUP(K36,A:A,G:G)</f>
        <v>1.000881697071845</v>
      </c>
      <c r="O36">
        <f t="shared" si="10"/>
        <v>1.8070364462E-5</v>
      </c>
    </row>
    <row r="37" spans="1:15" x14ac:dyDescent="0.2">
      <c r="A37" t="s">
        <v>36</v>
      </c>
      <c r="B37">
        <v>8.2977971092660056E-6</v>
      </c>
      <c r="C37">
        <v>1.8679266025000001E-5</v>
      </c>
      <c r="D37">
        <v>0</v>
      </c>
      <c r="E37">
        <v>1.8679266025000001E-5</v>
      </c>
      <c r="F37">
        <v>100</v>
      </c>
      <c r="G37">
        <v>2.2511114430770052</v>
      </c>
      <c r="K37" s="7" t="s">
        <v>109</v>
      </c>
      <c r="L37" s="6" t="s">
        <v>375</v>
      </c>
      <c r="M37" t="s">
        <v>376</v>
      </c>
      <c r="N37">
        <f t="shared" si="9"/>
        <v>1.022989231162662</v>
      </c>
      <c r="O37">
        <f t="shared" si="10"/>
        <v>5.2707809199999998E-6</v>
      </c>
    </row>
    <row r="38" spans="1:15" x14ac:dyDescent="0.2">
      <c r="A38" t="s">
        <v>33</v>
      </c>
      <c r="B38">
        <v>1.5940482652975939E-5</v>
      </c>
      <c r="C38">
        <v>1.8679266025000001E-5</v>
      </c>
      <c r="D38">
        <v>0</v>
      </c>
      <c r="E38">
        <v>1.8679266025000001E-5</v>
      </c>
      <c r="F38">
        <v>100</v>
      </c>
      <c r="G38">
        <v>1.1718130769091091</v>
      </c>
      <c r="K38" s="7" t="s">
        <v>254</v>
      </c>
      <c r="L38" s="6" t="s">
        <v>377</v>
      </c>
      <c r="M38" t="s">
        <v>378</v>
      </c>
      <c r="N38">
        <f t="shared" si="9"/>
        <v>0.99445216025463523</v>
      </c>
      <c r="O38">
        <f t="shared" si="10"/>
        <v>7.8843394500000004E-7</v>
      </c>
    </row>
    <row r="39" spans="1:15" x14ac:dyDescent="0.2">
      <c r="A39" t="s">
        <v>22</v>
      </c>
      <c r="B39">
        <v>1.7555980106113982E-5</v>
      </c>
      <c r="C39">
        <v>1.8679266025000001E-5</v>
      </c>
      <c r="D39">
        <v>0</v>
      </c>
      <c r="E39">
        <v>1.8679266025000001E-5</v>
      </c>
      <c r="F39">
        <v>100</v>
      </c>
      <c r="G39">
        <v>1.063983093629437</v>
      </c>
      <c r="K39" s="7" t="s">
        <v>6</v>
      </c>
      <c r="L39" s="6" t="s">
        <v>379</v>
      </c>
      <c r="M39" t="s">
        <v>380</v>
      </c>
      <c r="N39">
        <f t="shared" si="9"/>
        <v>0.9994071309981829</v>
      </c>
      <c r="O39">
        <f t="shared" si="10"/>
        <v>7.9093763360000004E-5</v>
      </c>
    </row>
    <row r="40" spans="1:15" x14ac:dyDescent="0.2">
      <c r="A40" t="s">
        <v>20</v>
      </c>
      <c r="B40">
        <v>2.6337826133788269E-5</v>
      </c>
      <c r="C40">
        <v>1.8679266025000001E-5</v>
      </c>
      <c r="D40">
        <v>0</v>
      </c>
      <c r="E40">
        <v>1.8679266025000001E-5</v>
      </c>
      <c r="F40">
        <v>100</v>
      </c>
      <c r="G40">
        <v>0.70921821452214484</v>
      </c>
      <c r="K40" s="7" t="s">
        <v>15</v>
      </c>
      <c r="L40" s="6" t="s">
        <v>381</v>
      </c>
      <c r="M40" t="s">
        <v>382</v>
      </c>
      <c r="N40">
        <f t="shared" si="9"/>
        <v>0.99940715228131649</v>
      </c>
      <c r="O40">
        <f t="shared" si="10"/>
        <v>2.2471245906999999E-5</v>
      </c>
    </row>
    <row r="41" spans="1:15" x14ac:dyDescent="0.2">
      <c r="A41" t="s">
        <v>38</v>
      </c>
      <c r="B41">
        <v>3.347229587197548E-5</v>
      </c>
      <c r="C41">
        <v>1.8679266025000001E-5</v>
      </c>
      <c r="D41">
        <v>0</v>
      </c>
      <c r="E41">
        <v>1.8679266025000001E-5</v>
      </c>
      <c r="F41">
        <v>100</v>
      </c>
      <c r="G41">
        <v>0.55805153301835886</v>
      </c>
      <c r="K41" s="7" t="s">
        <v>12</v>
      </c>
      <c r="L41" s="6" t="s">
        <v>383</v>
      </c>
      <c r="M41" t="s">
        <v>384</v>
      </c>
      <c r="N41">
        <f t="shared" si="9"/>
        <v>0.99806419338912034</v>
      </c>
      <c r="O41">
        <f t="shared" si="10"/>
        <v>2.4523595416000001E-5</v>
      </c>
    </row>
    <row r="42" spans="1:15" x14ac:dyDescent="0.2">
      <c r="A42" t="s">
        <v>50</v>
      </c>
      <c r="B42">
        <v>1.4174365940076971E-5</v>
      </c>
      <c r="C42">
        <v>1.8679266025000001E-5</v>
      </c>
      <c r="D42">
        <v>0</v>
      </c>
      <c r="E42">
        <v>1.8679266025000001E-5</v>
      </c>
      <c r="F42">
        <v>100</v>
      </c>
      <c r="G42">
        <v>1.3178202188350281</v>
      </c>
      <c r="K42" s="7" t="s">
        <v>10</v>
      </c>
      <c r="L42" s="6" t="s">
        <v>385</v>
      </c>
      <c r="M42" t="s">
        <v>386</v>
      </c>
      <c r="N42">
        <f t="shared" si="9"/>
        <v>0.99806419337904018</v>
      </c>
      <c r="O42">
        <f t="shared" si="10"/>
        <v>4.0171726511E-5</v>
      </c>
    </row>
    <row r="43" spans="1:15" x14ac:dyDescent="0.2">
      <c r="A43" t="s">
        <v>30</v>
      </c>
      <c r="B43">
        <v>1.5432907206250031E-5</v>
      </c>
      <c r="C43">
        <v>1.8679266025000001E-5</v>
      </c>
      <c r="D43">
        <v>0</v>
      </c>
      <c r="E43">
        <v>1.8679266025000001E-5</v>
      </c>
      <c r="F43">
        <v>100</v>
      </c>
      <c r="G43">
        <v>1.2103530316980879</v>
      </c>
      <c r="K43" s="7" t="s">
        <v>9</v>
      </c>
      <c r="L43" s="6" t="s">
        <v>387</v>
      </c>
      <c r="M43" t="s">
        <v>388</v>
      </c>
      <c r="N43">
        <f t="shared" si="9"/>
        <v>0.9929313567063397</v>
      </c>
      <c r="O43">
        <f t="shared" si="10"/>
        <v>5.3178373933E-5</v>
      </c>
    </row>
    <row r="44" spans="1:15" x14ac:dyDescent="0.2">
      <c r="A44" t="s">
        <v>51</v>
      </c>
      <c r="B44">
        <v>0</v>
      </c>
      <c r="C44">
        <v>1.8679266025000001E-5</v>
      </c>
      <c r="D44">
        <v>0</v>
      </c>
      <c r="E44">
        <v>1.8679266025000001E-5</v>
      </c>
      <c r="F44">
        <v>100</v>
      </c>
      <c r="G44" t="s">
        <v>52</v>
      </c>
      <c r="K44" s="7" t="s">
        <v>8</v>
      </c>
      <c r="L44" s="6" t="s">
        <v>389</v>
      </c>
      <c r="M44" t="s">
        <v>390</v>
      </c>
      <c r="N44">
        <f t="shared" si="9"/>
        <v>1.00088183489383</v>
      </c>
      <c r="O44">
        <f t="shared" si="10"/>
        <v>6.9517843571000005E-5</v>
      </c>
    </row>
    <row r="45" spans="1:15" x14ac:dyDescent="0.2">
      <c r="A45" t="s">
        <v>43</v>
      </c>
      <c r="B45">
        <v>1.970975696184218E-5</v>
      </c>
      <c r="C45">
        <v>1.8679266025000001E-5</v>
      </c>
      <c r="D45">
        <v>0</v>
      </c>
      <c r="E45">
        <v>1.8679266025000001E-5</v>
      </c>
      <c r="F45">
        <v>100</v>
      </c>
      <c r="G45">
        <v>0.94771671011280378</v>
      </c>
      <c r="K45" s="7" t="s">
        <v>364</v>
      </c>
      <c r="L45" s="6" t="s">
        <v>391</v>
      </c>
      <c r="M45" t="s">
        <v>392</v>
      </c>
      <c r="N45">
        <f t="shared" si="9"/>
        <v>22.962867076145169</v>
      </c>
      <c r="O45">
        <f t="shared" si="10"/>
        <v>2.7194584581999999E-5</v>
      </c>
    </row>
    <row r="46" spans="1:15" x14ac:dyDescent="0.2">
      <c r="A46" t="s">
        <v>17</v>
      </c>
      <c r="B46">
        <v>2.5367036090936612E-5</v>
      </c>
      <c r="C46">
        <v>1.8679266025000001E-5</v>
      </c>
      <c r="D46">
        <v>0</v>
      </c>
      <c r="E46">
        <v>1.8679266025000001E-5</v>
      </c>
      <c r="F46">
        <v>100</v>
      </c>
      <c r="G46">
        <v>0.73635981586646293</v>
      </c>
      <c r="K46" s="7" t="s">
        <v>393</v>
      </c>
      <c r="L46" s="6" t="s">
        <v>394</v>
      </c>
      <c r="N46" t="e">
        <f t="shared" si="9"/>
        <v>#N/A</v>
      </c>
      <c r="O46" t="e">
        <f t="shared" si="10"/>
        <v>#N/A</v>
      </c>
    </row>
    <row r="47" spans="1:15" x14ac:dyDescent="0.2">
      <c r="A47" t="s">
        <v>21</v>
      </c>
      <c r="B47">
        <v>1.8491563183537081E-5</v>
      </c>
      <c r="C47">
        <v>1.8679266025000001E-5</v>
      </c>
      <c r="D47">
        <v>0</v>
      </c>
      <c r="E47">
        <v>1.8679266025000001E-5</v>
      </c>
      <c r="F47">
        <v>100</v>
      </c>
      <c r="G47">
        <v>1.0101507287188149</v>
      </c>
      <c r="K47" s="7"/>
      <c r="L47" s="6"/>
    </row>
    <row r="48" spans="1:15" x14ac:dyDescent="0.2">
      <c r="A48" t="s">
        <v>18</v>
      </c>
      <c r="B48">
        <v>1.164491927639474E-5</v>
      </c>
      <c r="C48">
        <v>1.8679266025000001E-5</v>
      </c>
      <c r="D48">
        <v>0</v>
      </c>
      <c r="E48">
        <v>1.8679266025000001E-5</v>
      </c>
      <c r="F48">
        <v>100</v>
      </c>
      <c r="G48">
        <v>1.6040700310275651</v>
      </c>
    </row>
    <row r="49" spans="1:14" x14ac:dyDescent="0.2">
      <c r="A49" t="s">
        <v>19</v>
      </c>
      <c r="B49">
        <v>1.7153835017132889E-5</v>
      </c>
      <c r="C49">
        <v>1.8679266025000001E-5</v>
      </c>
      <c r="D49">
        <v>0</v>
      </c>
      <c r="E49">
        <v>1.8679266025000001E-5</v>
      </c>
      <c r="F49">
        <v>100</v>
      </c>
      <c r="G49">
        <v>1.0889265290440031</v>
      </c>
    </row>
    <row r="50" spans="1:14" x14ac:dyDescent="0.2">
      <c r="A50" t="s">
        <v>26</v>
      </c>
      <c r="B50">
        <v>1.7999705599719628E-5</v>
      </c>
      <c r="C50">
        <v>1.8679266025000001E-5</v>
      </c>
      <c r="D50">
        <v>0</v>
      </c>
      <c r="E50">
        <v>1.8679266025000001E-5</v>
      </c>
      <c r="F50">
        <v>100</v>
      </c>
      <c r="G50">
        <v>1.037753974447835</v>
      </c>
      <c r="K50" s="7"/>
      <c r="M50" t="s">
        <v>395</v>
      </c>
      <c r="N50" t="s">
        <v>396</v>
      </c>
    </row>
    <row r="51" spans="1:14" x14ac:dyDescent="0.2">
      <c r="A51" t="s">
        <v>23</v>
      </c>
      <c r="B51">
        <v>8.5857512739490604E-6</v>
      </c>
      <c r="C51">
        <v>1.8679266025000001E-5</v>
      </c>
      <c r="D51">
        <v>0</v>
      </c>
      <c r="E51">
        <v>1.8679266025000001E-5</v>
      </c>
      <c r="F51">
        <v>100</v>
      </c>
      <c r="G51">
        <v>2.1756122940198308</v>
      </c>
      <c r="K51" s="8" t="s">
        <v>20</v>
      </c>
      <c r="L51">
        <f>_xlfn.XLOOKUP(K51,A:A,G:G)</f>
        <v>0.70921821452214484</v>
      </c>
      <c r="M51">
        <f>_xlfn.XLOOKUP(K51,A:A,C:C)</f>
        <v>1.8679266025000001E-5</v>
      </c>
      <c r="N51">
        <f>_xlfn.XLOOKUP(K51,A:A,B:B)</f>
        <v>2.6337826133788269E-5</v>
      </c>
    </row>
    <row r="52" spans="1:14" x14ac:dyDescent="0.2">
      <c r="A52" t="s">
        <v>67</v>
      </c>
      <c r="B52">
        <v>9.9514291476037482E-6</v>
      </c>
      <c r="C52">
        <v>1.8679266025000001E-5</v>
      </c>
      <c r="D52">
        <v>0</v>
      </c>
      <c r="E52">
        <v>1.8679266025000001E-5</v>
      </c>
      <c r="F52">
        <v>100</v>
      </c>
      <c r="G52">
        <v>1.8770435630843909</v>
      </c>
      <c r="K52" s="9" t="s">
        <v>22</v>
      </c>
      <c r="L52">
        <f t="shared" ref="L52:L103" si="11">_xlfn.XLOOKUP(K52,A:A,G:G)</f>
        <v>1.063983093629437</v>
      </c>
      <c r="M52">
        <f t="shared" ref="M52:M103" si="12">_xlfn.XLOOKUP(K52,A:A,C:C)</f>
        <v>1.8679266025000001E-5</v>
      </c>
      <c r="N52">
        <f t="shared" ref="N52:N103" si="13">_xlfn.XLOOKUP(K52,A:A,B:B)</f>
        <v>1.7555980106113982E-5</v>
      </c>
    </row>
    <row r="53" spans="1:14" x14ac:dyDescent="0.2">
      <c r="A53" t="s">
        <v>28</v>
      </c>
      <c r="B53">
        <v>4.7955473044123879E-6</v>
      </c>
      <c r="C53">
        <v>1.8679266025000001E-5</v>
      </c>
      <c r="D53">
        <v>0</v>
      </c>
      <c r="E53">
        <v>1.8679266025000001E-5</v>
      </c>
      <c r="F53">
        <v>100</v>
      </c>
      <c r="G53">
        <v>3.89512705000599</v>
      </c>
      <c r="K53" s="8" t="s">
        <v>33</v>
      </c>
      <c r="L53">
        <f t="shared" si="11"/>
        <v>1.1718130769091091</v>
      </c>
      <c r="M53">
        <f t="shared" si="12"/>
        <v>1.8679266025000001E-5</v>
      </c>
      <c r="N53">
        <f t="shared" si="13"/>
        <v>1.5940482652975939E-5</v>
      </c>
    </row>
    <row r="54" spans="1:14" x14ac:dyDescent="0.2">
      <c r="A54" t="s">
        <v>29</v>
      </c>
      <c r="B54">
        <v>1.996419619453535E-5</v>
      </c>
      <c r="C54">
        <v>1.8679266025000001E-5</v>
      </c>
      <c r="D54">
        <v>0</v>
      </c>
      <c r="E54">
        <v>1.8679266025000001E-5</v>
      </c>
      <c r="F54">
        <v>100</v>
      </c>
      <c r="G54">
        <v>0.93563827178341075</v>
      </c>
      <c r="K54" s="9" t="s">
        <v>36</v>
      </c>
      <c r="L54">
        <f t="shared" si="11"/>
        <v>2.2511114430770052</v>
      </c>
      <c r="M54">
        <f t="shared" si="12"/>
        <v>1.8679266025000001E-5</v>
      </c>
      <c r="N54">
        <f t="shared" si="13"/>
        <v>8.2977971092660056E-6</v>
      </c>
    </row>
    <row r="55" spans="1:14" x14ac:dyDescent="0.2">
      <c r="A55" t="s">
        <v>42</v>
      </c>
      <c r="B55">
        <v>1.3071532262372181E-7</v>
      </c>
      <c r="C55">
        <v>1.8679266025000001E-5</v>
      </c>
      <c r="D55">
        <v>0</v>
      </c>
      <c r="E55">
        <v>1.8679266025000001E-5</v>
      </c>
      <c r="F55">
        <v>100</v>
      </c>
      <c r="G55">
        <v>142.90035513870311</v>
      </c>
      <c r="K55" s="8" t="s">
        <v>62</v>
      </c>
      <c r="L55">
        <f t="shared" si="11"/>
        <v>0.92315551592976919</v>
      </c>
      <c r="M55">
        <f t="shared" si="12"/>
        <v>1.8679266025000001E-5</v>
      </c>
      <c r="N55">
        <f t="shared" si="13"/>
        <v>2.023414874598557E-5</v>
      </c>
    </row>
    <row r="56" spans="1:14" x14ac:dyDescent="0.2">
      <c r="A56" t="s">
        <v>31</v>
      </c>
      <c r="B56">
        <v>1.689715842958496E-5</v>
      </c>
      <c r="C56">
        <v>1.8679266025000001E-5</v>
      </c>
      <c r="D56">
        <v>0</v>
      </c>
      <c r="E56">
        <v>1.8679266025000001E-5</v>
      </c>
      <c r="F56">
        <v>100</v>
      </c>
      <c r="G56">
        <v>1.1054678869729231</v>
      </c>
      <c r="K56" s="9" t="s">
        <v>63</v>
      </c>
      <c r="L56">
        <f t="shared" si="11"/>
        <v>0.73010584124680478</v>
      </c>
      <c r="M56">
        <f t="shared" si="12"/>
        <v>1.8679266025000001E-5</v>
      </c>
      <c r="N56">
        <f t="shared" si="13"/>
        <v>2.5584326230154989E-5</v>
      </c>
    </row>
    <row r="57" spans="1:14" x14ac:dyDescent="0.2">
      <c r="A57" t="s">
        <v>32</v>
      </c>
      <c r="B57">
        <v>2.4134131784147979E-5</v>
      </c>
      <c r="C57">
        <v>1.8679266025000001E-5</v>
      </c>
      <c r="D57">
        <v>0</v>
      </c>
      <c r="E57">
        <v>1.8679266025000001E-5</v>
      </c>
      <c r="F57">
        <v>100</v>
      </c>
      <c r="G57">
        <v>0.77397712882586889</v>
      </c>
      <c r="K57" s="8" t="s">
        <v>53</v>
      </c>
      <c r="L57">
        <f t="shared" si="11"/>
        <v>0.50391519551888175</v>
      </c>
      <c r="M57">
        <f t="shared" si="12"/>
        <v>1.8679266025000001E-5</v>
      </c>
      <c r="N57">
        <f t="shared" si="13"/>
        <v>3.7068272977491683E-5</v>
      </c>
    </row>
    <row r="58" spans="1:14" x14ac:dyDescent="0.2">
      <c r="A58" t="s">
        <v>35</v>
      </c>
      <c r="B58">
        <v>9.1969666296093531E-6</v>
      </c>
      <c r="C58">
        <v>1.8679266025000001E-5</v>
      </c>
      <c r="D58">
        <v>0</v>
      </c>
      <c r="E58">
        <v>1.8679266025000001E-5</v>
      </c>
      <c r="F58">
        <v>100</v>
      </c>
      <c r="G58">
        <v>2.0310246603334048</v>
      </c>
      <c r="K58" s="9" t="s">
        <v>50</v>
      </c>
      <c r="L58">
        <f t="shared" si="11"/>
        <v>1.3178202188350281</v>
      </c>
      <c r="M58">
        <f t="shared" si="12"/>
        <v>1.8679266025000001E-5</v>
      </c>
      <c r="N58">
        <f t="shared" si="13"/>
        <v>1.4174365940076971E-5</v>
      </c>
    </row>
    <row r="59" spans="1:14" x14ac:dyDescent="0.2">
      <c r="A59" t="s">
        <v>64</v>
      </c>
      <c r="B59">
        <v>2.1265809535522229E-5</v>
      </c>
      <c r="C59">
        <v>1.8679266025000001E-5</v>
      </c>
      <c r="D59">
        <v>0</v>
      </c>
      <c r="E59">
        <v>1.8679266025000001E-5</v>
      </c>
      <c r="F59">
        <v>100</v>
      </c>
      <c r="G59">
        <v>0.87837079485727154</v>
      </c>
      <c r="K59" s="8" t="s">
        <v>47</v>
      </c>
      <c r="L59">
        <f t="shared" si="11"/>
        <v>0.45755553964786511</v>
      </c>
      <c r="M59">
        <f t="shared" si="12"/>
        <v>1.8679266025000001E-5</v>
      </c>
      <c r="N59">
        <f t="shared" si="13"/>
        <v>4.0824040813439983E-5</v>
      </c>
    </row>
    <row r="60" spans="1:14" x14ac:dyDescent="0.2">
      <c r="A60" t="s">
        <v>45</v>
      </c>
      <c r="B60">
        <v>1.9888491439317389E-5</v>
      </c>
      <c r="C60">
        <v>1.8679266025000001E-5</v>
      </c>
      <c r="D60">
        <v>0</v>
      </c>
      <c r="E60">
        <v>1.8679266025000001E-5</v>
      </c>
      <c r="F60">
        <v>100</v>
      </c>
      <c r="G60">
        <v>0.9391997418201925</v>
      </c>
      <c r="K60" s="9" t="s">
        <v>27</v>
      </c>
      <c r="L60">
        <f t="shared" si="11"/>
        <v>1.552923961740392</v>
      </c>
      <c r="M60">
        <f t="shared" si="12"/>
        <v>1.8679266025000001E-5</v>
      </c>
      <c r="N60">
        <f t="shared" si="13"/>
        <v>1.20284485816458E-5</v>
      </c>
    </row>
    <row r="61" spans="1:14" x14ac:dyDescent="0.2">
      <c r="A61" t="s">
        <v>69</v>
      </c>
      <c r="B61">
        <v>4.5939457952547752E-5</v>
      </c>
      <c r="C61">
        <v>1.8679266025000001E-5</v>
      </c>
      <c r="D61">
        <v>0</v>
      </c>
      <c r="E61">
        <v>1.8679266025000001E-5</v>
      </c>
      <c r="F61">
        <v>100</v>
      </c>
      <c r="G61">
        <v>0.40660614768886427</v>
      </c>
      <c r="K61" s="8" t="s">
        <v>34</v>
      </c>
      <c r="L61">
        <f t="shared" si="11"/>
        <v>0.832668341213045</v>
      </c>
      <c r="M61">
        <f t="shared" si="12"/>
        <v>1.8679266025000001E-5</v>
      </c>
      <c r="N61">
        <f t="shared" si="13"/>
        <v>2.243302056829462E-5</v>
      </c>
    </row>
    <row r="62" spans="1:14" x14ac:dyDescent="0.2">
      <c r="A62" t="s">
        <v>57</v>
      </c>
      <c r="B62">
        <v>2.3553569790335719E-5</v>
      </c>
      <c r="C62">
        <v>1.8679266025000001E-5</v>
      </c>
      <c r="D62">
        <v>0</v>
      </c>
      <c r="E62">
        <v>1.8679266025000001E-5</v>
      </c>
      <c r="F62">
        <v>100</v>
      </c>
      <c r="G62">
        <v>0.7930545641817871</v>
      </c>
      <c r="K62" s="9" t="s">
        <v>44</v>
      </c>
      <c r="L62">
        <f t="shared" si="11"/>
        <v>0.9308528281588988</v>
      </c>
      <c r="M62">
        <f t="shared" si="12"/>
        <v>1.8679266025000001E-5</v>
      </c>
      <c r="N62">
        <f t="shared" si="13"/>
        <v>2.0066830609458499E-5</v>
      </c>
    </row>
    <row r="63" spans="1:14" x14ac:dyDescent="0.2">
      <c r="A63" t="s">
        <v>55</v>
      </c>
      <c r="B63">
        <v>3.0281026626162721E-5</v>
      </c>
      <c r="C63">
        <v>1.8679266025000001E-5</v>
      </c>
      <c r="D63">
        <v>0</v>
      </c>
      <c r="E63">
        <v>1.8679266025000001E-5</v>
      </c>
      <c r="F63">
        <v>100</v>
      </c>
      <c r="G63">
        <v>0.61686369671697883</v>
      </c>
      <c r="K63" s="8" t="s">
        <v>58</v>
      </c>
      <c r="L63">
        <f t="shared" si="11"/>
        <v>4.6437268715067166</v>
      </c>
      <c r="M63">
        <f t="shared" si="12"/>
        <v>1.8679266025000001E-5</v>
      </c>
      <c r="N63">
        <f t="shared" si="13"/>
        <v>4.0224730139951734E-6</v>
      </c>
    </row>
    <row r="64" spans="1:14" x14ac:dyDescent="0.2">
      <c r="A64" t="s">
        <v>56</v>
      </c>
      <c r="B64">
        <v>1.8709665821546599E-5</v>
      </c>
      <c r="C64">
        <v>1.8679266025000001E-5</v>
      </c>
      <c r="D64">
        <v>0</v>
      </c>
      <c r="E64">
        <v>1.8679266025000001E-5</v>
      </c>
      <c r="F64">
        <v>100</v>
      </c>
      <c r="G64">
        <v>0.99837518228082978</v>
      </c>
      <c r="K64" s="9" t="s">
        <v>60</v>
      </c>
      <c r="L64">
        <f t="shared" si="11"/>
        <v>1.0278020762890241</v>
      </c>
      <c r="M64">
        <f t="shared" si="12"/>
        <v>1.8679266025000001E-5</v>
      </c>
      <c r="N64">
        <f t="shared" si="13"/>
        <v>1.8173991331524889E-5</v>
      </c>
    </row>
    <row r="65" spans="1:14" x14ac:dyDescent="0.2">
      <c r="A65" t="s">
        <v>54</v>
      </c>
      <c r="B65">
        <v>1.017747470025709E-5</v>
      </c>
      <c r="C65">
        <v>1.8679266025000001E-5</v>
      </c>
      <c r="D65">
        <v>0</v>
      </c>
      <c r="E65">
        <v>1.8679266025000001E-5</v>
      </c>
      <c r="F65">
        <v>100</v>
      </c>
      <c r="G65">
        <v>1.835353717413627</v>
      </c>
      <c r="K65" s="8" t="s">
        <v>61</v>
      </c>
      <c r="L65">
        <f t="shared" si="11"/>
        <v>1.0209313065317021</v>
      </c>
      <c r="M65">
        <f t="shared" si="12"/>
        <v>1.8679266025000001E-5</v>
      </c>
      <c r="N65">
        <f t="shared" si="13"/>
        <v>1.8296300549796079E-5</v>
      </c>
    </row>
    <row r="66" spans="1:14" x14ac:dyDescent="0.2">
      <c r="A66" t="s">
        <v>397</v>
      </c>
      <c r="B66">
        <v>3.1141859353631277E-5</v>
      </c>
      <c r="C66">
        <v>1.8679266025000001E-5</v>
      </c>
      <c r="D66">
        <v>0</v>
      </c>
      <c r="E66">
        <v>1.8679266025000001E-5</v>
      </c>
      <c r="F66">
        <v>100</v>
      </c>
      <c r="G66">
        <v>0.59981216320090769</v>
      </c>
      <c r="K66" s="9" t="s">
        <v>68</v>
      </c>
      <c r="L66">
        <f t="shared" si="11"/>
        <v>0.77158458257331197</v>
      </c>
      <c r="M66">
        <f t="shared" si="12"/>
        <v>1.8679266025000001E-5</v>
      </c>
      <c r="N66">
        <f t="shared" si="13"/>
        <v>2.4208967424806201E-5</v>
      </c>
    </row>
    <row r="67" spans="1:14" x14ac:dyDescent="0.2">
      <c r="A67" t="s">
        <v>16</v>
      </c>
      <c r="B67">
        <v>1.8054445909907452E-5</v>
      </c>
      <c r="C67">
        <v>1.8070364462E-5</v>
      </c>
      <c r="D67">
        <v>0</v>
      </c>
      <c r="E67">
        <v>1.8070364462E-5</v>
      </c>
      <c r="F67">
        <v>100</v>
      </c>
      <c r="G67">
        <v>1.000881697071845</v>
      </c>
      <c r="K67" s="8" t="s">
        <v>65</v>
      </c>
      <c r="L67">
        <f t="shared" si="11"/>
        <v>2.5685243140995881</v>
      </c>
      <c r="M67">
        <f t="shared" si="12"/>
        <v>1.8679266025000001E-5</v>
      </c>
      <c r="N67">
        <f t="shared" si="13"/>
        <v>7.2723726703549367E-6</v>
      </c>
    </row>
    <row r="68" spans="1:14" x14ac:dyDescent="0.2">
      <c r="A68" t="s">
        <v>80</v>
      </c>
      <c r="B68">
        <v>3.4334803678130349E-7</v>
      </c>
      <c r="C68">
        <v>1.7294374463E-5</v>
      </c>
      <c r="D68">
        <v>0</v>
      </c>
      <c r="E68">
        <v>1.7294374463E-5</v>
      </c>
      <c r="F68">
        <v>100</v>
      </c>
      <c r="G68">
        <v>50.369807339296663</v>
      </c>
      <c r="K68" s="9" t="s">
        <v>41</v>
      </c>
      <c r="L68">
        <f t="shared" si="11"/>
        <v>2.3518901927500719</v>
      </c>
      <c r="M68">
        <f t="shared" si="12"/>
        <v>1.8679266025000001E-5</v>
      </c>
      <c r="N68">
        <f t="shared" si="13"/>
        <v>7.9422356037627257E-6</v>
      </c>
    </row>
    <row r="69" spans="1:14" x14ac:dyDescent="0.2">
      <c r="A69" t="s">
        <v>79</v>
      </c>
      <c r="B69">
        <v>1.0516543579352531E-5</v>
      </c>
      <c r="C69">
        <v>1.7218799470000001E-5</v>
      </c>
      <c r="D69">
        <v>0</v>
      </c>
      <c r="E69">
        <v>1.7218799470000001E-5</v>
      </c>
      <c r="F69">
        <v>100</v>
      </c>
      <c r="G69">
        <v>1.6373059589470269</v>
      </c>
      <c r="K69" s="8" t="s">
        <v>25</v>
      </c>
      <c r="L69">
        <f t="shared" si="11"/>
        <v>0.77295612581080297</v>
      </c>
      <c r="M69">
        <f t="shared" si="12"/>
        <v>1.8679266025000001E-5</v>
      </c>
      <c r="N69">
        <f t="shared" si="13"/>
        <v>2.4166010723320329E-5</v>
      </c>
    </row>
    <row r="70" spans="1:14" x14ac:dyDescent="0.2">
      <c r="A70" t="s">
        <v>70</v>
      </c>
      <c r="B70">
        <v>1.671617700498392E-5</v>
      </c>
      <c r="C70">
        <v>1.6730915609E-5</v>
      </c>
      <c r="D70">
        <v>0</v>
      </c>
      <c r="E70">
        <v>1.6730915609E-5</v>
      </c>
      <c r="F70">
        <v>100</v>
      </c>
      <c r="G70">
        <v>1.000881697053799</v>
      </c>
      <c r="K70" s="9" t="s">
        <v>49</v>
      </c>
      <c r="L70">
        <f t="shared" si="11"/>
        <v>1.610456260797626</v>
      </c>
      <c r="M70">
        <f t="shared" si="12"/>
        <v>1.8679266025000001E-5</v>
      </c>
      <c r="N70">
        <f t="shared" si="13"/>
        <v>1.159874159869983E-5</v>
      </c>
    </row>
    <row r="71" spans="1:14" x14ac:dyDescent="0.2">
      <c r="A71" t="s">
        <v>74</v>
      </c>
      <c r="B71">
        <v>1.5788948042672241E-5</v>
      </c>
      <c r="C71">
        <v>1.5802869112000001E-5</v>
      </c>
      <c r="D71">
        <v>0</v>
      </c>
      <c r="E71">
        <v>1.5802869112000001E-5</v>
      </c>
      <c r="F71">
        <v>100</v>
      </c>
      <c r="G71">
        <v>1.000881697076343</v>
      </c>
      <c r="K71" s="8" t="s">
        <v>46</v>
      </c>
      <c r="L71">
        <f t="shared" si="11"/>
        <v>0.69244962000393262</v>
      </c>
      <c r="M71">
        <f t="shared" si="12"/>
        <v>1.8679266025000001E-5</v>
      </c>
      <c r="N71">
        <f t="shared" si="13"/>
        <v>2.6975631851590762E-5</v>
      </c>
    </row>
    <row r="72" spans="1:14" x14ac:dyDescent="0.2">
      <c r="A72" t="s">
        <v>96</v>
      </c>
      <c r="B72">
        <v>8.191481332723294E-6</v>
      </c>
      <c r="C72">
        <v>1.4063611912E-5</v>
      </c>
      <c r="D72">
        <v>0</v>
      </c>
      <c r="E72">
        <v>1.4063611912E-5</v>
      </c>
      <c r="F72">
        <v>100</v>
      </c>
      <c r="G72">
        <v>1.7168582019248151</v>
      </c>
      <c r="K72" s="9" t="s">
        <v>48</v>
      </c>
      <c r="L72">
        <f t="shared" si="11"/>
        <v>0.76299330906871821</v>
      </c>
      <c r="M72">
        <f t="shared" si="12"/>
        <v>1.8679266025000001E-5</v>
      </c>
      <c r="N72">
        <f t="shared" si="13"/>
        <v>2.448155940947796E-5</v>
      </c>
    </row>
    <row r="73" spans="1:14" x14ac:dyDescent="0.2">
      <c r="A73" t="s">
        <v>76</v>
      </c>
      <c r="B73">
        <v>1.499112849077773E-5</v>
      </c>
      <c r="C73">
        <v>1.3977061944E-5</v>
      </c>
      <c r="D73">
        <v>0</v>
      </c>
      <c r="E73">
        <v>1.3977061944E-5</v>
      </c>
      <c r="F73">
        <v>100</v>
      </c>
      <c r="G73">
        <v>0.93235555632775968</v>
      </c>
      <c r="K73" s="8" t="s">
        <v>66</v>
      </c>
      <c r="L73">
        <f t="shared" si="11"/>
        <v>6.2907170078172054</v>
      </c>
      <c r="M73">
        <f t="shared" si="12"/>
        <v>1.8679266025000001E-5</v>
      </c>
      <c r="N73">
        <f t="shared" si="13"/>
        <v>2.9693381536298769E-6</v>
      </c>
    </row>
    <row r="74" spans="1:14" x14ac:dyDescent="0.2">
      <c r="A74" t="s">
        <v>75</v>
      </c>
      <c r="B74">
        <v>9.9146883481267862E-6</v>
      </c>
      <c r="C74">
        <v>1.2289718104000001E-5</v>
      </c>
      <c r="D74">
        <v>0</v>
      </c>
      <c r="E74">
        <v>1.2289718104000001E-5</v>
      </c>
      <c r="F74">
        <v>100</v>
      </c>
      <c r="G74">
        <v>1.2395465870918609</v>
      </c>
      <c r="K74" s="9" t="s">
        <v>24</v>
      </c>
      <c r="L74">
        <f t="shared" si="11"/>
        <v>0.53592521608308441</v>
      </c>
      <c r="M74">
        <f t="shared" si="12"/>
        <v>1.8679266025000001E-5</v>
      </c>
      <c r="N74">
        <f t="shared" si="13"/>
        <v>3.4854239853689131E-5</v>
      </c>
    </row>
    <row r="75" spans="1:14" x14ac:dyDescent="0.2">
      <c r="A75" t="s">
        <v>81</v>
      </c>
      <c r="B75">
        <v>1.120256793450235E-5</v>
      </c>
      <c r="C75">
        <v>1.1140417883E-5</v>
      </c>
      <c r="D75">
        <v>0</v>
      </c>
      <c r="E75">
        <v>1.1140417883E-5</v>
      </c>
      <c r="F75">
        <v>100</v>
      </c>
      <c r="G75">
        <v>0.99445216026667116</v>
      </c>
      <c r="K75" s="8" t="s">
        <v>39</v>
      </c>
      <c r="L75">
        <f t="shared" si="11"/>
        <v>0.77772066458368294</v>
      </c>
      <c r="M75">
        <f t="shared" si="12"/>
        <v>1.8679266025000001E-5</v>
      </c>
      <c r="N75">
        <f t="shared" si="13"/>
        <v>2.4017962844023299E-5</v>
      </c>
    </row>
    <row r="76" spans="1:14" x14ac:dyDescent="0.2">
      <c r="A76" t="s">
        <v>71</v>
      </c>
      <c r="B76">
        <v>7.2874614947283827E-6</v>
      </c>
      <c r="C76">
        <v>1.0599996274000001E-5</v>
      </c>
      <c r="D76">
        <v>0</v>
      </c>
      <c r="E76">
        <v>1.0599996274000001E-5</v>
      </c>
      <c r="F76">
        <v>100</v>
      </c>
      <c r="G76">
        <v>1.4545526287401791</v>
      </c>
      <c r="K76" s="9" t="s">
        <v>40</v>
      </c>
      <c r="L76">
        <f t="shared" si="11"/>
        <v>1.0094992191111301</v>
      </c>
      <c r="M76">
        <f t="shared" si="12"/>
        <v>1.8679266025000001E-5</v>
      </c>
      <c r="N76">
        <f t="shared" si="13"/>
        <v>1.8503497250297242E-5</v>
      </c>
    </row>
    <row r="77" spans="1:14" x14ac:dyDescent="0.2">
      <c r="A77" t="s">
        <v>114</v>
      </c>
      <c r="B77">
        <v>9.3609650129150653E-6</v>
      </c>
      <c r="C77">
        <v>9.3778657529999994E-6</v>
      </c>
      <c r="D77">
        <v>0</v>
      </c>
      <c r="E77">
        <v>9.3778657529999994E-6</v>
      </c>
      <c r="F77">
        <v>100</v>
      </c>
      <c r="G77">
        <v>1.001805448483315</v>
      </c>
      <c r="K77" s="8" t="s">
        <v>59</v>
      </c>
      <c r="L77">
        <f t="shared" si="11"/>
        <v>1.3048640712914039</v>
      </c>
      <c r="M77">
        <f t="shared" si="12"/>
        <v>1.8679266025000001E-5</v>
      </c>
      <c r="N77">
        <f t="shared" si="13"/>
        <v>1.431510487258141E-5</v>
      </c>
    </row>
    <row r="78" spans="1:14" x14ac:dyDescent="0.2">
      <c r="A78" t="s">
        <v>98</v>
      </c>
      <c r="B78">
        <v>9.9903708914870944E-6</v>
      </c>
      <c r="C78">
        <v>9.2822258929999996E-6</v>
      </c>
      <c r="D78">
        <v>0</v>
      </c>
      <c r="E78">
        <v>9.2822258929999996E-6</v>
      </c>
      <c r="F78">
        <v>100</v>
      </c>
      <c r="G78">
        <v>0.92911724637865922</v>
      </c>
      <c r="K78" s="9" t="s">
        <v>38</v>
      </c>
      <c r="L78">
        <f t="shared" si="11"/>
        <v>0.55805153301835886</v>
      </c>
      <c r="M78">
        <f t="shared" si="12"/>
        <v>1.8679266025000001E-5</v>
      </c>
      <c r="N78">
        <f t="shared" si="13"/>
        <v>3.347229587197548E-5</v>
      </c>
    </row>
    <row r="79" spans="1:14" x14ac:dyDescent="0.2">
      <c r="A79" t="s">
        <v>86</v>
      </c>
      <c r="B79">
        <v>9.0586173723182378E-6</v>
      </c>
      <c r="C79">
        <v>9.0680858160000007E-6</v>
      </c>
      <c r="D79">
        <v>0</v>
      </c>
      <c r="E79">
        <v>9.0680858160000007E-6</v>
      </c>
      <c r="F79">
        <v>100</v>
      </c>
      <c r="G79">
        <v>1.001045241596217</v>
      </c>
      <c r="K79" s="8" t="s">
        <v>37</v>
      </c>
      <c r="L79">
        <f t="shared" si="11"/>
        <v>1.2214847650689049</v>
      </c>
      <c r="M79">
        <f t="shared" si="12"/>
        <v>1.8679266025000001E-5</v>
      </c>
      <c r="N79">
        <f t="shared" si="13"/>
        <v>1.5292262792934869E-5</v>
      </c>
    </row>
    <row r="80" spans="1:14" x14ac:dyDescent="0.2">
      <c r="A80" t="s">
        <v>85</v>
      </c>
      <c r="B80">
        <v>9.1019417352818277E-6</v>
      </c>
      <c r="C80">
        <v>9.0512247439999998E-6</v>
      </c>
      <c r="D80">
        <v>0</v>
      </c>
      <c r="E80">
        <v>9.0512247439999998E-6</v>
      </c>
      <c r="F80">
        <v>100</v>
      </c>
      <c r="G80">
        <v>0.99442789321697878</v>
      </c>
      <c r="K80" s="9" t="s">
        <v>69</v>
      </c>
      <c r="L80">
        <f t="shared" si="11"/>
        <v>0.40660614768886427</v>
      </c>
      <c r="M80">
        <f>_xlfn.XLOOKUP(K80,A:A,C:C)</f>
        <v>1.8679266025000001E-5</v>
      </c>
      <c r="N80">
        <f t="shared" si="13"/>
        <v>4.5939457952547752E-5</v>
      </c>
    </row>
    <row r="81" spans="1:14" x14ac:dyDescent="0.2">
      <c r="A81" t="s">
        <v>95</v>
      </c>
      <c r="B81">
        <v>5.6546673886133104E-6</v>
      </c>
      <c r="C81">
        <v>9.0463228149999995E-6</v>
      </c>
      <c r="D81">
        <v>0</v>
      </c>
      <c r="E81">
        <v>9.0463228149999995E-6</v>
      </c>
      <c r="F81">
        <v>100</v>
      </c>
      <c r="G81">
        <v>1.599797511205769</v>
      </c>
      <c r="K81" s="8" t="s">
        <v>35</v>
      </c>
      <c r="L81">
        <f t="shared" si="11"/>
        <v>2.0310246603334048</v>
      </c>
      <c r="M81">
        <f t="shared" si="12"/>
        <v>1.8679266025000001E-5</v>
      </c>
      <c r="N81">
        <f t="shared" si="13"/>
        <v>9.1969666296093531E-6</v>
      </c>
    </row>
    <row r="82" spans="1:14" x14ac:dyDescent="0.2">
      <c r="A82" t="s">
        <v>102</v>
      </c>
      <c r="B82">
        <v>1.028839772270428E-5</v>
      </c>
      <c r="C82">
        <v>8.7620709250000007E-6</v>
      </c>
      <c r="D82">
        <v>0</v>
      </c>
      <c r="E82">
        <v>8.7620709250000007E-6</v>
      </c>
      <c r="F82">
        <v>100</v>
      </c>
      <c r="G82">
        <v>0.85164582096821506</v>
      </c>
      <c r="J82" cm="1">
        <f t="array" aca="1" ref="J82" ca="1">J47:J82</f>
        <v>0</v>
      </c>
      <c r="K82" s="9" t="s">
        <v>32</v>
      </c>
      <c r="L82">
        <f t="shared" si="11"/>
        <v>0.77397712882586889</v>
      </c>
      <c r="M82">
        <f t="shared" si="12"/>
        <v>1.8679266025000001E-5</v>
      </c>
      <c r="N82">
        <f t="shared" si="13"/>
        <v>2.4134131784147979E-5</v>
      </c>
    </row>
    <row r="83" spans="1:14" x14ac:dyDescent="0.2">
      <c r="A83" t="s">
        <v>90</v>
      </c>
      <c r="B83">
        <v>2.669796863190507E-6</v>
      </c>
      <c r="C83">
        <v>8.2687910349999993E-6</v>
      </c>
      <c r="D83">
        <v>0</v>
      </c>
      <c r="E83">
        <v>8.2687910349999993E-6</v>
      </c>
      <c r="F83">
        <v>100</v>
      </c>
      <c r="G83">
        <v>3.097161117014156</v>
      </c>
      <c r="K83" s="8" t="s">
        <v>31</v>
      </c>
      <c r="L83">
        <f t="shared" si="11"/>
        <v>1.1054678869729231</v>
      </c>
      <c r="M83">
        <f t="shared" si="12"/>
        <v>1.8679266025000001E-5</v>
      </c>
      <c r="N83">
        <f t="shared" si="13"/>
        <v>1.689715842958496E-5</v>
      </c>
    </row>
    <row r="84" spans="1:14" x14ac:dyDescent="0.2">
      <c r="A84" t="s">
        <v>91</v>
      </c>
      <c r="B84">
        <v>2.3109590147324012E-6</v>
      </c>
      <c r="C84">
        <v>8.2687910349999993E-6</v>
      </c>
      <c r="D84">
        <v>0</v>
      </c>
      <c r="E84">
        <v>8.2687910349999993E-6</v>
      </c>
      <c r="F84">
        <v>100</v>
      </c>
      <c r="G84">
        <v>3.578077751395123</v>
      </c>
      <c r="K84" s="9" t="s">
        <v>42</v>
      </c>
      <c r="L84">
        <f t="shared" si="11"/>
        <v>142.90035513870311</v>
      </c>
      <c r="M84">
        <f t="shared" si="12"/>
        <v>1.8679266025000001E-5</v>
      </c>
      <c r="N84">
        <f t="shared" si="13"/>
        <v>1.3071532262372181E-7</v>
      </c>
    </row>
    <row r="85" spans="1:14" x14ac:dyDescent="0.2">
      <c r="A85" t="s">
        <v>77</v>
      </c>
      <c r="B85">
        <v>4.6493206297021656E-6</v>
      </c>
      <c r="C85">
        <v>7.6313984310000002E-6</v>
      </c>
      <c r="D85">
        <v>0</v>
      </c>
      <c r="E85">
        <v>7.6313984310000002E-6</v>
      </c>
      <c r="F85">
        <v>100</v>
      </c>
      <c r="G85">
        <v>1.641400763424842</v>
      </c>
      <c r="K85" s="8" t="s">
        <v>29</v>
      </c>
      <c r="L85">
        <f t="shared" si="11"/>
        <v>0.93563827178341075</v>
      </c>
      <c r="M85">
        <f t="shared" si="12"/>
        <v>1.8679266025000001E-5</v>
      </c>
      <c r="N85">
        <f t="shared" si="13"/>
        <v>1.996419619453535E-5</v>
      </c>
    </row>
    <row r="86" spans="1:14" x14ac:dyDescent="0.2">
      <c r="A86" t="s">
        <v>101</v>
      </c>
      <c r="B86">
        <v>7.5831560396117636E-6</v>
      </c>
      <c r="C86">
        <v>7.5410859070000003E-6</v>
      </c>
      <c r="D86">
        <v>0</v>
      </c>
      <c r="E86">
        <v>7.5410859070000003E-6</v>
      </c>
      <c r="F86">
        <v>100</v>
      </c>
      <c r="G86">
        <v>0.99445216049992857</v>
      </c>
      <c r="K86" s="9" t="s">
        <v>28</v>
      </c>
      <c r="L86">
        <f t="shared" si="11"/>
        <v>3.89512705000599</v>
      </c>
      <c r="M86">
        <f t="shared" si="12"/>
        <v>1.8679266025000001E-5</v>
      </c>
      <c r="N86">
        <f t="shared" si="13"/>
        <v>4.7955473044123879E-6</v>
      </c>
    </row>
    <row r="87" spans="1:14" x14ac:dyDescent="0.2">
      <c r="A87" t="s">
        <v>87</v>
      </c>
      <c r="B87">
        <v>6.0772838787277643E-6</v>
      </c>
      <c r="C87">
        <v>7.5330764910000003E-6</v>
      </c>
      <c r="D87">
        <v>0</v>
      </c>
      <c r="E87">
        <v>7.5330764910000003E-6</v>
      </c>
      <c r="F87">
        <v>100</v>
      </c>
      <c r="G87">
        <v>1.2395465871469209</v>
      </c>
      <c r="K87" s="8" t="s">
        <v>23</v>
      </c>
      <c r="L87">
        <f t="shared" si="11"/>
        <v>2.1756122940198308</v>
      </c>
      <c r="M87">
        <f t="shared" si="12"/>
        <v>1.8679266025000001E-5</v>
      </c>
      <c r="N87">
        <f t="shared" si="13"/>
        <v>8.5857512739490604E-6</v>
      </c>
    </row>
    <row r="88" spans="1:14" x14ac:dyDescent="0.2">
      <c r="A88" t="s">
        <v>111</v>
      </c>
      <c r="B88">
        <v>4.148973200841311E-6</v>
      </c>
      <c r="C88">
        <v>7.1231986700000003E-6</v>
      </c>
      <c r="D88">
        <v>0</v>
      </c>
      <c r="E88">
        <v>7.1231986700000003E-6</v>
      </c>
      <c r="F88">
        <v>100</v>
      </c>
      <c r="G88">
        <v>1.71685820206204</v>
      </c>
      <c r="K88" s="9" t="s">
        <v>26</v>
      </c>
      <c r="L88">
        <f t="shared" si="11"/>
        <v>1.037753974447835</v>
      </c>
      <c r="M88">
        <f t="shared" si="12"/>
        <v>1.8679266025000001E-5</v>
      </c>
      <c r="N88">
        <f t="shared" si="13"/>
        <v>1.7999705599719628E-5</v>
      </c>
    </row>
    <row r="89" spans="1:14" x14ac:dyDescent="0.2">
      <c r="A89" t="s">
        <v>89</v>
      </c>
      <c r="B89">
        <v>5.7453844310403773E-6</v>
      </c>
      <c r="C89">
        <v>7.1205845279999998E-6</v>
      </c>
      <c r="D89">
        <v>0</v>
      </c>
      <c r="E89">
        <v>7.1205845279999998E-6</v>
      </c>
      <c r="F89">
        <v>100</v>
      </c>
      <c r="G89">
        <v>1.2393573682432599</v>
      </c>
      <c r="K89" s="8" t="s">
        <v>19</v>
      </c>
      <c r="L89">
        <f t="shared" si="11"/>
        <v>1.0889265290440031</v>
      </c>
      <c r="M89">
        <f t="shared" si="12"/>
        <v>1.8679266025000001E-5</v>
      </c>
      <c r="N89">
        <f t="shared" si="13"/>
        <v>1.7153835017132889E-5</v>
      </c>
    </row>
    <row r="90" spans="1:14" x14ac:dyDescent="0.2">
      <c r="A90" t="s">
        <v>104</v>
      </c>
      <c r="B90">
        <v>6.2073538026646286E-6</v>
      </c>
      <c r="C90">
        <v>6.1776890770000002E-6</v>
      </c>
      <c r="D90">
        <v>0</v>
      </c>
      <c r="E90">
        <v>6.1776890770000002E-6</v>
      </c>
      <c r="F90">
        <v>100</v>
      </c>
      <c r="G90">
        <v>0.99522103514513782</v>
      </c>
      <c r="K90" s="9" t="s">
        <v>18</v>
      </c>
      <c r="L90">
        <f t="shared" si="11"/>
        <v>1.6040700310275651</v>
      </c>
      <c r="M90">
        <f t="shared" si="12"/>
        <v>1.8679266025000001E-5</v>
      </c>
      <c r="N90">
        <f t="shared" si="13"/>
        <v>1.164491927639474E-5</v>
      </c>
    </row>
    <row r="91" spans="1:14" x14ac:dyDescent="0.2">
      <c r="A91" t="s">
        <v>92</v>
      </c>
      <c r="B91">
        <v>4.082226103714911E-6</v>
      </c>
      <c r="C91">
        <v>5.9378127099999999E-6</v>
      </c>
      <c r="D91">
        <v>0</v>
      </c>
      <c r="E91">
        <v>5.9378127099999999E-6</v>
      </c>
      <c r="F91">
        <v>100</v>
      </c>
      <c r="G91">
        <v>1.454552628673965</v>
      </c>
      <c r="K91" s="8" t="s">
        <v>21</v>
      </c>
      <c r="L91">
        <f t="shared" si="11"/>
        <v>1.0101507287188149</v>
      </c>
      <c r="M91">
        <f t="shared" si="12"/>
        <v>1.8679266025000001E-5</v>
      </c>
      <c r="N91">
        <f t="shared" si="13"/>
        <v>1.8491563183537081E-5</v>
      </c>
    </row>
    <row r="92" spans="1:14" x14ac:dyDescent="0.2">
      <c r="A92" t="s">
        <v>94</v>
      </c>
      <c r="B92">
        <v>4.2598763298337833E-6</v>
      </c>
      <c r="C92">
        <v>5.6426814219999999E-6</v>
      </c>
      <c r="D92">
        <v>0</v>
      </c>
      <c r="E92">
        <v>5.6426814219999999E-6</v>
      </c>
      <c r="F92">
        <v>100</v>
      </c>
      <c r="G92">
        <v>1.3246115579651521</v>
      </c>
      <c r="K92" s="9" t="s">
        <v>17</v>
      </c>
      <c r="L92">
        <f t="shared" si="11"/>
        <v>0.73635981586646293</v>
      </c>
      <c r="M92">
        <f t="shared" si="12"/>
        <v>1.8679266025000001E-5</v>
      </c>
      <c r="N92">
        <f t="shared" si="13"/>
        <v>2.5367036090936612E-5</v>
      </c>
    </row>
    <row r="93" spans="1:14" x14ac:dyDescent="0.2">
      <c r="A93" t="s">
        <v>120</v>
      </c>
      <c r="B93">
        <v>1.118045023342824E-6</v>
      </c>
      <c r="C93">
        <v>5.5953921509999998E-6</v>
      </c>
      <c r="D93">
        <v>0</v>
      </c>
      <c r="E93">
        <v>5.5953921509999998E-6</v>
      </c>
      <c r="F93">
        <v>100</v>
      </c>
      <c r="G93">
        <v>5.0046214903496749</v>
      </c>
      <c r="K93" s="8" t="s">
        <v>30</v>
      </c>
      <c r="L93">
        <f t="shared" si="11"/>
        <v>1.2103530316980879</v>
      </c>
      <c r="M93">
        <f t="shared" si="12"/>
        <v>1.8679266025000001E-5</v>
      </c>
      <c r="N93">
        <f t="shared" si="13"/>
        <v>1.5432907206250031E-5</v>
      </c>
    </row>
    <row r="94" spans="1:14" x14ac:dyDescent="0.2">
      <c r="A94" t="s">
        <v>105</v>
      </c>
      <c r="B94">
        <v>5.4731064042806382E-6</v>
      </c>
      <c r="C94">
        <v>5.3159011360000001E-6</v>
      </c>
      <c r="D94">
        <v>0</v>
      </c>
      <c r="E94">
        <v>5.3159011360000001E-6</v>
      </c>
      <c r="F94">
        <v>100</v>
      </c>
      <c r="G94">
        <v>0.97127677471103346</v>
      </c>
      <c r="K94" s="9" t="s">
        <v>43</v>
      </c>
      <c r="L94">
        <f t="shared" si="11"/>
        <v>0.94771671011280378</v>
      </c>
      <c r="M94">
        <f t="shared" si="12"/>
        <v>1.8679266025000001E-5</v>
      </c>
      <c r="N94">
        <f t="shared" si="13"/>
        <v>1.970975696184218E-5</v>
      </c>
    </row>
    <row r="95" spans="1:14" x14ac:dyDescent="0.2">
      <c r="A95" t="s">
        <v>106</v>
      </c>
      <c r="B95">
        <v>6.3979720480545081E-6</v>
      </c>
      <c r="C95">
        <v>5.3159011360000001E-6</v>
      </c>
      <c r="D95">
        <v>0</v>
      </c>
      <c r="E95">
        <v>5.3159011360000001E-6</v>
      </c>
      <c r="F95">
        <v>100</v>
      </c>
      <c r="G95">
        <v>0.83087282908909499</v>
      </c>
      <c r="K95" s="8" t="s">
        <v>67</v>
      </c>
      <c r="L95">
        <f t="shared" si="11"/>
        <v>1.8770435630843909</v>
      </c>
      <c r="M95">
        <f t="shared" si="12"/>
        <v>1.8679266025000001E-5</v>
      </c>
      <c r="N95">
        <f t="shared" si="13"/>
        <v>9.9514291476037482E-6</v>
      </c>
    </row>
    <row r="96" spans="1:14" x14ac:dyDescent="0.2">
      <c r="A96" t="s">
        <v>109</v>
      </c>
      <c r="B96">
        <v>5.1523327513522104E-6</v>
      </c>
      <c r="C96">
        <v>5.2707809199999998E-6</v>
      </c>
      <c r="D96">
        <v>0</v>
      </c>
      <c r="E96">
        <v>5.2707809199999998E-6</v>
      </c>
      <c r="F96">
        <v>100</v>
      </c>
      <c r="G96">
        <v>1.022989231162662</v>
      </c>
      <c r="K96" s="9" t="s">
        <v>64</v>
      </c>
      <c r="L96">
        <f t="shared" si="11"/>
        <v>0.87837079485727154</v>
      </c>
      <c r="M96">
        <f t="shared" si="12"/>
        <v>1.8679266025000001E-5</v>
      </c>
      <c r="N96">
        <f t="shared" si="13"/>
        <v>2.1265809535522229E-5</v>
      </c>
    </row>
    <row r="97" spans="1:14" x14ac:dyDescent="0.2">
      <c r="A97" t="s">
        <v>103</v>
      </c>
      <c r="B97">
        <v>5.0035909535039748E-6</v>
      </c>
      <c r="C97">
        <v>5.1374350309999998E-6</v>
      </c>
      <c r="D97">
        <v>0</v>
      </c>
      <c r="E97">
        <v>5.1374350309999998E-6</v>
      </c>
      <c r="F97">
        <v>100</v>
      </c>
      <c r="G97">
        <v>1.026749604182231</v>
      </c>
      <c r="K97" s="8" t="s">
        <v>45</v>
      </c>
      <c r="L97">
        <f t="shared" si="11"/>
        <v>0.9391997418201925</v>
      </c>
      <c r="M97">
        <f t="shared" si="12"/>
        <v>1.8679266025000001E-5</v>
      </c>
      <c r="N97">
        <f t="shared" si="13"/>
        <v>1.9888491439317389E-5</v>
      </c>
    </row>
    <row r="98" spans="1:14" x14ac:dyDescent="0.2">
      <c r="A98" t="s">
        <v>112</v>
      </c>
      <c r="B98">
        <v>5.1086705889646481E-6</v>
      </c>
      <c r="C98">
        <v>5.1140103840000001E-6</v>
      </c>
      <c r="D98">
        <v>0</v>
      </c>
      <c r="E98">
        <v>5.1140103840000001E-6</v>
      </c>
      <c r="F98">
        <v>100</v>
      </c>
      <c r="G98">
        <v>1.0010452416029501</v>
      </c>
      <c r="K98" s="9" t="s">
        <v>57</v>
      </c>
      <c r="L98">
        <f t="shared" si="11"/>
        <v>0.7930545641817871</v>
      </c>
      <c r="M98">
        <f t="shared" si="12"/>
        <v>1.8679266025000001E-5</v>
      </c>
      <c r="N98">
        <f t="shared" si="13"/>
        <v>2.3553569790335719E-5</v>
      </c>
    </row>
    <row r="99" spans="1:14" x14ac:dyDescent="0.2">
      <c r="A99" t="s">
        <v>141</v>
      </c>
      <c r="B99">
        <v>5.9527856215434761E-6</v>
      </c>
      <c r="C99">
        <v>4.8526315909999999E-6</v>
      </c>
      <c r="D99">
        <v>0</v>
      </c>
      <c r="E99">
        <v>4.8526315909999999E-6</v>
      </c>
      <c r="F99">
        <v>100</v>
      </c>
      <c r="G99">
        <v>0.81518668729443988</v>
      </c>
      <c r="K99" s="8" t="s">
        <v>56</v>
      </c>
      <c r="L99">
        <f t="shared" si="11"/>
        <v>0.99837518228082978</v>
      </c>
      <c r="M99">
        <f t="shared" si="12"/>
        <v>1.8679266025000001E-5</v>
      </c>
      <c r="N99">
        <f t="shared" si="13"/>
        <v>1.8709665821546599E-5</v>
      </c>
    </row>
    <row r="100" spans="1:14" x14ac:dyDescent="0.2">
      <c r="A100" t="s">
        <v>100</v>
      </c>
      <c r="B100">
        <v>1.979213061036183E-6</v>
      </c>
      <c r="C100">
        <v>4.7903510309999998E-6</v>
      </c>
      <c r="D100">
        <v>0</v>
      </c>
      <c r="E100">
        <v>4.7903510309999998E-6</v>
      </c>
      <c r="F100">
        <v>100</v>
      </c>
      <c r="G100">
        <v>2.420331153479804</v>
      </c>
      <c r="K100" s="9" t="s">
        <v>55</v>
      </c>
      <c r="L100">
        <f t="shared" si="11"/>
        <v>0.61686369671697883</v>
      </c>
      <c r="M100">
        <f t="shared" si="12"/>
        <v>1.8679266025000001E-5</v>
      </c>
      <c r="N100">
        <f t="shared" si="13"/>
        <v>3.0281026626162721E-5</v>
      </c>
    </row>
    <row r="101" spans="1:14" x14ac:dyDescent="0.2">
      <c r="A101" t="s">
        <v>136</v>
      </c>
      <c r="B101">
        <v>4.3936619012399989E-6</v>
      </c>
      <c r="C101">
        <v>4.7549219939999999E-6</v>
      </c>
      <c r="D101">
        <v>0</v>
      </c>
      <c r="E101">
        <v>4.7549219939999999E-6</v>
      </c>
      <c r="F101">
        <v>100</v>
      </c>
      <c r="G101">
        <v>1.082223006885906</v>
      </c>
      <c r="K101" s="8" t="s">
        <v>54</v>
      </c>
      <c r="L101">
        <f t="shared" si="11"/>
        <v>1.835353717413627</v>
      </c>
      <c r="M101">
        <f t="shared" si="12"/>
        <v>1.8679266025000001E-5</v>
      </c>
      <c r="N101">
        <f t="shared" si="13"/>
        <v>1.017747470025709E-5</v>
      </c>
    </row>
    <row r="102" spans="1:14" x14ac:dyDescent="0.2">
      <c r="A102" t="s">
        <v>116</v>
      </c>
      <c r="B102">
        <v>4.5707251138211418E-6</v>
      </c>
      <c r="C102">
        <v>4.6927080199999998E-6</v>
      </c>
      <c r="D102">
        <v>0</v>
      </c>
      <c r="E102">
        <v>4.6927080199999998E-6</v>
      </c>
      <c r="F102">
        <v>100</v>
      </c>
      <c r="G102">
        <v>1.026687867491747</v>
      </c>
      <c r="K102" s="9" t="s">
        <v>397</v>
      </c>
      <c r="L102">
        <f t="shared" si="11"/>
        <v>0.59981216320090769</v>
      </c>
      <c r="M102">
        <f t="shared" si="12"/>
        <v>1.8679266025000001E-5</v>
      </c>
      <c r="N102">
        <f t="shared" si="13"/>
        <v>3.1141859353631277E-5</v>
      </c>
    </row>
    <row r="103" spans="1:14" x14ac:dyDescent="0.2">
      <c r="A103" t="s">
        <v>128</v>
      </c>
      <c r="B103">
        <v>4.70391007751055E-6</v>
      </c>
      <c r="C103">
        <v>4.6778135399999999E-6</v>
      </c>
      <c r="D103">
        <v>0</v>
      </c>
      <c r="E103">
        <v>4.6778135399999999E-6</v>
      </c>
      <c r="F103">
        <v>100</v>
      </c>
      <c r="G103">
        <v>0.99445216063221153</v>
      </c>
      <c r="K103" s="8" t="s">
        <v>51</v>
      </c>
      <c r="L103" t="str">
        <f t="shared" si="11"/>
        <v>inf</v>
      </c>
      <c r="M103">
        <f t="shared" si="12"/>
        <v>1.8679266025000001E-5</v>
      </c>
      <c r="N103">
        <f t="shared" si="13"/>
        <v>0</v>
      </c>
    </row>
    <row r="104" spans="1:14" x14ac:dyDescent="0.2">
      <c r="A104" t="s">
        <v>142</v>
      </c>
      <c r="B104">
        <v>5.4306282171780179E-6</v>
      </c>
      <c r="C104">
        <v>4.6249718270000002E-6</v>
      </c>
      <c r="D104">
        <v>0</v>
      </c>
      <c r="E104">
        <v>4.6249718270000002E-6</v>
      </c>
      <c r="F104">
        <v>100</v>
      </c>
      <c r="G104">
        <v>0.85164582108022291</v>
      </c>
      <c r="M104" s="10">
        <f>SUM(M51:M103)</f>
        <v>9.9000109932499887E-4</v>
      </c>
      <c r="N104" s="10">
        <f>SUM(N51:N103)</f>
        <v>9.9152150092675318E-4</v>
      </c>
    </row>
    <row r="105" spans="1:14" x14ac:dyDescent="0.2">
      <c r="A105" t="s">
        <v>93</v>
      </c>
      <c r="B105">
        <v>7.4723306919170039E-6</v>
      </c>
      <c r="C105">
        <v>4.603776129E-6</v>
      </c>
      <c r="D105">
        <v>0</v>
      </c>
      <c r="E105">
        <v>4.603776129E-6</v>
      </c>
      <c r="F105">
        <v>100</v>
      </c>
      <c r="G105">
        <v>0.61610979476323402</v>
      </c>
    </row>
    <row r="106" spans="1:14" x14ac:dyDescent="0.2">
      <c r="A106" t="s">
        <v>97</v>
      </c>
      <c r="B106">
        <v>4.6294596281174284E-6</v>
      </c>
      <c r="C106">
        <v>4.603776129E-6</v>
      </c>
      <c r="D106">
        <v>0</v>
      </c>
      <c r="E106">
        <v>4.603776129E-6</v>
      </c>
      <c r="F106">
        <v>100</v>
      </c>
      <c r="G106">
        <v>0.9944521604721559</v>
      </c>
      <c r="M106" s="11">
        <f>M104/N104</f>
        <v>0.99846659744611366</v>
      </c>
    </row>
    <row r="107" spans="1:14" x14ac:dyDescent="0.2">
      <c r="A107" t="s">
        <v>121</v>
      </c>
      <c r="B107">
        <v>2.3844282777061768E-6</v>
      </c>
      <c r="C107">
        <v>4.5044686130000002E-6</v>
      </c>
      <c r="D107">
        <v>0</v>
      </c>
      <c r="E107">
        <v>4.5044686130000002E-6</v>
      </c>
      <c r="F107">
        <v>100</v>
      </c>
      <c r="G107">
        <v>1.8891189368603301</v>
      </c>
    </row>
    <row r="108" spans="1:14" x14ac:dyDescent="0.2">
      <c r="A108" t="s">
        <v>118</v>
      </c>
      <c r="B108">
        <v>4.5109788073484206E-6</v>
      </c>
      <c r="C108">
        <v>4.4859526019999997E-6</v>
      </c>
      <c r="D108">
        <v>0</v>
      </c>
      <c r="E108">
        <v>4.4859526019999997E-6</v>
      </c>
      <c r="F108">
        <v>100</v>
      </c>
      <c r="G108">
        <v>0.99445215630194184</v>
      </c>
    </row>
    <row r="109" spans="1:14" x14ac:dyDescent="0.2">
      <c r="A109" t="s">
        <v>115</v>
      </c>
      <c r="B109">
        <v>4.4211422103078333E-6</v>
      </c>
      <c r="C109">
        <v>4.396614418E-6</v>
      </c>
      <c r="D109">
        <v>0</v>
      </c>
      <c r="E109">
        <v>4.396614418E-6</v>
      </c>
      <c r="F109">
        <v>100</v>
      </c>
      <c r="G109">
        <v>0.99445215938753406</v>
      </c>
    </row>
    <row r="110" spans="1:14" x14ac:dyDescent="0.2">
      <c r="A110" t="s">
        <v>134</v>
      </c>
      <c r="B110">
        <v>4.0241380868463312E-6</v>
      </c>
      <c r="C110">
        <v>4.3020700970000001E-6</v>
      </c>
      <c r="D110">
        <v>0</v>
      </c>
      <c r="E110">
        <v>4.3020700970000001E-6</v>
      </c>
      <c r="F110">
        <v>100</v>
      </c>
      <c r="G110">
        <v>1.0690662209286861</v>
      </c>
    </row>
    <row r="111" spans="1:14" x14ac:dyDescent="0.2">
      <c r="A111" t="s">
        <v>152</v>
      </c>
      <c r="B111">
        <v>4.7786038475621507E-6</v>
      </c>
      <c r="C111">
        <v>4.28968763E-6</v>
      </c>
      <c r="D111">
        <v>0</v>
      </c>
      <c r="E111">
        <v>4.28968763E-6</v>
      </c>
      <c r="F111">
        <v>100</v>
      </c>
      <c r="G111">
        <v>0.89768638850203586</v>
      </c>
    </row>
    <row r="112" spans="1:14" x14ac:dyDescent="0.2">
      <c r="A112" t="s">
        <v>122</v>
      </c>
      <c r="B112">
        <v>4.1462304451138196E-6</v>
      </c>
      <c r="C112">
        <v>4.283303949E-6</v>
      </c>
      <c r="D112">
        <v>0</v>
      </c>
      <c r="E112">
        <v>4.283303949E-6</v>
      </c>
      <c r="F112">
        <v>100</v>
      </c>
      <c r="G112">
        <v>1.033059789054348</v>
      </c>
    </row>
    <row r="113" spans="1:7" x14ac:dyDescent="0.2">
      <c r="A113" t="s">
        <v>148</v>
      </c>
      <c r="B113">
        <v>4.1817964881440671E-6</v>
      </c>
      <c r="C113">
        <v>4.1540338900000003E-6</v>
      </c>
      <c r="D113">
        <v>0</v>
      </c>
      <c r="E113">
        <v>4.1540338900000003E-6</v>
      </c>
      <c r="F113">
        <v>100</v>
      </c>
      <c r="G113">
        <v>0.99336108339495299</v>
      </c>
    </row>
    <row r="114" spans="1:7" x14ac:dyDescent="0.2">
      <c r="A114" t="s">
        <v>131</v>
      </c>
      <c r="B114">
        <v>2.4659871188521548E-6</v>
      </c>
      <c r="C114">
        <v>4.0952334589999997E-6</v>
      </c>
      <c r="D114">
        <v>0</v>
      </c>
      <c r="E114">
        <v>4.0952334589999997E-6</v>
      </c>
      <c r="F114">
        <v>100</v>
      </c>
      <c r="G114">
        <v>1.6606872873310921</v>
      </c>
    </row>
    <row r="115" spans="1:7" x14ac:dyDescent="0.2">
      <c r="A115" t="s">
        <v>132</v>
      </c>
      <c r="B115">
        <v>3.3892876759251431E-6</v>
      </c>
      <c r="C115">
        <v>4.0952334589999997E-6</v>
      </c>
      <c r="D115">
        <v>0</v>
      </c>
      <c r="E115">
        <v>4.0952334589999997E-6</v>
      </c>
      <c r="F115">
        <v>100</v>
      </c>
      <c r="G115">
        <v>1.208287360228919</v>
      </c>
    </row>
    <row r="116" spans="1:7" x14ac:dyDescent="0.2">
      <c r="A116" t="s">
        <v>113</v>
      </c>
      <c r="B116">
        <v>3.7343241602429591E-6</v>
      </c>
      <c r="C116">
        <v>4.0913627900000002E-6</v>
      </c>
      <c r="D116">
        <v>0</v>
      </c>
      <c r="E116">
        <v>4.0913627900000002E-6</v>
      </c>
      <c r="F116">
        <v>100</v>
      </c>
      <c r="G116">
        <v>1.0956099723634629</v>
      </c>
    </row>
    <row r="117" spans="1:7" x14ac:dyDescent="0.2">
      <c r="A117" t="s">
        <v>73</v>
      </c>
      <c r="B117">
        <v>2.8653869345941338E-6</v>
      </c>
      <c r="C117">
        <v>3.9782966190000002E-6</v>
      </c>
      <c r="D117">
        <v>0</v>
      </c>
      <c r="E117">
        <v>3.9782966190000002E-6</v>
      </c>
      <c r="F117">
        <v>100</v>
      </c>
      <c r="G117">
        <v>1.388397696300484</v>
      </c>
    </row>
    <row r="118" spans="1:7" x14ac:dyDescent="0.2">
      <c r="A118" t="s">
        <v>72</v>
      </c>
      <c r="B118">
        <v>2.2219679734768768E-6</v>
      </c>
      <c r="C118">
        <v>3.9782966190000002E-6</v>
      </c>
      <c r="D118">
        <v>0</v>
      </c>
      <c r="E118">
        <v>3.9782966190000002E-6</v>
      </c>
      <c r="F118">
        <v>100</v>
      </c>
      <c r="G118">
        <v>1.790438326064109</v>
      </c>
    </row>
    <row r="119" spans="1:7" x14ac:dyDescent="0.2">
      <c r="A119" t="s">
        <v>124</v>
      </c>
      <c r="B119">
        <v>1.3277304302840461E-7</v>
      </c>
      <c r="C119">
        <v>3.9487802429999998E-6</v>
      </c>
      <c r="D119">
        <v>0</v>
      </c>
      <c r="E119">
        <v>3.9487802429999998E-6</v>
      </c>
      <c r="F119">
        <v>100</v>
      </c>
      <c r="G119">
        <v>29.740828054646769</v>
      </c>
    </row>
    <row r="120" spans="1:7" x14ac:dyDescent="0.2">
      <c r="A120" t="s">
        <v>123</v>
      </c>
      <c r="B120">
        <v>6.0502092742296481E-6</v>
      </c>
      <c r="C120">
        <v>3.866088135E-6</v>
      </c>
      <c r="D120">
        <v>0</v>
      </c>
      <c r="E120">
        <v>3.866088135E-6</v>
      </c>
      <c r="F120">
        <v>100</v>
      </c>
      <c r="G120">
        <v>0.63900072869665414</v>
      </c>
    </row>
    <row r="121" spans="1:7" x14ac:dyDescent="0.2">
      <c r="A121" t="s">
        <v>110</v>
      </c>
      <c r="B121">
        <v>3.8310587282889228E-6</v>
      </c>
      <c r="C121">
        <v>3.8097116600000001E-6</v>
      </c>
      <c r="D121">
        <v>0</v>
      </c>
      <c r="E121">
        <v>3.8097116600000001E-6</v>
      </c>
      <c r="F121">
        <v>100</v>
      </c>
      <c r="G121">
        <v>0.99442789322667025</v>
      </c>
    </row>
    <row r="122" spans="1:7" x14ac:dyDescent="0.2">
      <c r="A122" t="s">
        <v>363</v>
      </c>
      <c r="B122">
        <v>2.8799273992450332E-6</v>
      </c>
      <c r="C122">
        <v>3.767716973E-6</v>
      </c>
      <c r="D122">
        <v>0</v>
      </c>
      <c r="E122">
        <v>3.767716973E-6</v>
      </c>
      <c r="F122">
        <v>100</v>
      </c>
      <c r="G122">
        <v>1.308268039669229</v>
      </c>
    </row>
    <row r="123" spans="1:7" x14ac:dyDescent="0.2">
      <c r="A123" t="s">
        <v>147</v>
      </c>
      <c r="B123">
        <v>1.161945522755708E-6</v>
      </c>
      <c r="C123">
        <v>3.7419345190000001E-6</v>
      </c>
      <c r="D123">
        <v>0</v>
      </c>
      <c r="E123">
        <v>3.7419345190000001E-6</v>
      </c>
      <c r="F123">
        <v>100</v>
      </c>
      <c r="G123">
        <v>3.2204044386913311</v>
      </c>
    </row>
    <row r="124" spans="1:7" x14ac:dyDescent="0.2">
      <c r="A124" t="s">
        <v>164</v>
      </c>
      <c r="B124">
        <v>3.499839241088597E-6</v>
      </c>
      <c r="C124">
        <v>3.7415599109999998E-6</v>
      </c>
      <c r="D124">
        <v>0</v>
      </c>
      <c r="E124">
        <v>3.7415599109999998E-6</v>
      </c>
      <c r="F124">
        <v>100</v>
      </c>
      <c r="G124">
        <v>1.0690662208348229</v>
      </c>
    </row>
    <row r="125" spans="1:7" x14ac:dyDescent="0.2">
      <c r="A125" t="s">
        <v>135</v>
      </c>
      <c r="B125">
        <v>2.520101032789099E-6</v>
      </c>
      <c r="C125">
        <v>3.6656195820000002E-6</v>
      </c>
      <c r="D125">
        <v>0</v>
      </c>
      <c r="E125">
        <v>3.6656195820000002E-6</v>
      </c>
      <c r="F125">
        <v>100</v>
      </c>
      <c r="G125">
        <v>1.45455262876628</v>
      </c>
    </row>
    <row r="126" spans="1:7" x14ac:dyDescent="0.2">
      <c r="A126" t="s">
        <v>174</v>
      </c>
      <c r="B126">
        <v>3.8514078400552881E-6</v>
      </c>
      <c r="C126">
        <v>3.6501712329999999E-6</v>
      </c>
      <c r="D126">
        <v>0</v>
      </c>
      <c r="E126">
        <v>3.6501712329999999E-6</v>
      </c>
      <c r="F126">
        <v>100</v>
      </c>
      <c r="G126">
        <v>0.94774985786693544</v>
      </c>
    </row>
    <row r="127" spans="1:7" x14ac:dyDescent="0.2">
      <c r="A127" t="s">
        <v>151</v>
      </c>
      <c r="B127">
        <v>2.065788517571665E-6</v>
      </c>
      <c r="C127">
        <v>3.54666596E-6</v>
      </c>
      <c r="D127">
        <v>0</v>
      </c>
      <c r="E127">
        <v>3.54666596E-6</v>
      </c>
      <c r="F127">
        <v>100</v>
      </c>
      <c r="G127">
        <v>1.716858202004679</v>
      </c>
    </row>
    <row r="128" spans="1:7" x14ac:dyDescent="0.2">
      <c r="A128" t="s">
        <v>157</v>
      </c>
      <c r="B128">
        <v>3.468509703570578E-6</v>
      </c>
      <c r="C128">
        <v>3.451933818E-6</v>
      </c>
      <c r="D128">
        <v>0</v>
      </c>
      <c r="E128">
        <v>3.451933818E-6</v>
      </c>
      <c r="F128">
        <v>100</v>
      </c>
      <c r="G128">
        <v>0.99522103526090344</v>
      </c>
    </row>
    <row r="129" spans="1:7" x14ac:dyDescent="0.2">
      <c r="A129" t="s">
        <v>173</v>
      </c>
      <c r="B129">
        <v>2.0039010748613938E-6</v>
      </c>
      <c r="C129">
        <v>3.440413997E-6</v>
      </c>
      <c r="D129">
        <v>0</v>
      </c>
      <c r="E129">
        <v>3.440413997E-6</v>
      </c>
      <c r="F129">
        <v>100</v>
      </c>
      <c r="G129">
        <v>1.7168582023131891</v>
      </c>
    </row>
    <row r="130" spans="1:7" x14ac:dyDescent="0.2">
      <c r="A130" t="s">
        <v>126</v>
      </c>
      <c r="B130">
        <v>2.3423086699325159E-6</v>
      </c>
      <c r="C130">
        <v>3.4070112330000001E-6</v>
      </c>
      <c r="D130">
        <v>0</v>
      </c>
      <c r="E130">
        <v>3.4070112330000001E-6</v>
      </c>
      <c r="F130">
        <v>100</v>
      </c>
      <c r="G130">
        <v>1.454552628667066</v>
      </c>
    </row>
    <row r="131" spans="1:7" x14ac:dyDescent="0.2">
      <c r="A131" t="s">
        <v>107</v>
      </c>
      <c r="B131">
        <v>5.2331677868847894E-6</v>
      </c>
      <c r="C131">
        <v>3.343998029E-6</v>
      </c>
      <c r="D131">
        <v>0</v>
      </c>
      <c r="E131">
        <v>3.343998029E-6</v>
      </c>
      <c r="F131">
        <v>100</v>
      </c>
      <c r="G131">
        <v>0.6390007286562891</v>
      </c>
    </row>
    <row r="132" spans="1:7" x14ac:dyDescent="0.2">
      <c r="A132" t="s">
        <v>168</v>
      </c>
      <c r="B132">
        <v>2.703883369089756E-6</v>
      </c>
      <c r="C132">
        <v>3.2875982919999998E-6</v>
      </c>
      <c r="D132">
        <v>0</v>
      </c>
      <c r="E132">
        <v>3.2875982919999998E-6</v>
      </c>
      <c r="F132">
        <v>100</v>
      </c>
      <c r="G132">
        <v>1.215880214946826</v>
      </c>
    </row>
    <row r="133" spans="1:7" x14ac:dyDescent="0.2">
      <c r="A133" t="s">
        <v>144</v>
      </c>
      <c r="B133">
        <v>1.953200469533907E-6</v>
      </c>
      <c r="C133">
        <v>3.2059847430000001E-6</v>
      </c>
      <c r="D133">
        <v>0</v>
      </c>
      <c r="E133">
        <v>3.2059847430000001E-6</v>
      </c>
      <c r="F133">
        <v>100</v>
      </c>
      <c r="G133">
        <v>1.641400764031685</v>
      </c>
    </row>
    <row r="134" spans="1:7" x14ac:dyDescent="0.2">
      <c r="A134" t="s">
        <v>180</v>
      </c>
      <c r="B134">
        <v>1.9077852110873829E-6</v>
      </c>
      <c r="C134">
        <v>3.1314401030000001E-6</v>
      </c>
      <c r="D134">
        <v>0</v>
      </c>
      <c r="E134">
        <v>3.1314401030000001E-6</v>
      </c>
      <c r="F134">
        <v>100</v>
      </c>
      <c r="G134">
        <v>1.641400763985988</v>
      </c>
    </row>
    <row r="135" spans="1:7" x14ac:dyDescent="0.2">
      <c r="A135" t="s">
        <v>139</v>
      </c>
      <c r="B135">
        <v>2.9658920796951871E-6</v>
      </c>
      <c r="C135">
        <v>3.0625387969999999E-6</v>
      </c>
      <c r="D135">
        <v>0</v>
      </c>
      <c r="E135">
        <v>3.0625387969999999E-6</v>
      </c>
      <c r="F135">
        <v>100</v>
      </c>
      <c r="G135">
        <v>1.0325860532709421</v>
      </c>
    </row>
    <row r="136" spans="1:7" x14ac:dyDescent="0.2">
      <c r="A136" t="s">
        <v>183</v>
      </c>
      <c r="B136">
        <v>3.0460660760943791E-6</v>
      </c>
      <c r="C136">
        <v>3.0204480230000002E-6</v>
      </c>
      <c r="D136">
        <v>0</v>
      </c>
      <c r="E136">
        <v>3.0204480230000002E-6</v>
      </c>
      <c r="F136">
        <v>100</v>
      </c>
      <c r="G136">
        <v>0.99158979074832598</v>
      </c>
    </row>
    <row r="137" spans="1:7" x14ac:dyDescent="0.2">
      <c r="A137" t="s">
        <v>403</v>
      </c>
      <c r="B137">
        <v>2.2316777165531428E-6</v>
      </c>
      <c r="C137">
        <v>2.960132786E-6</v>
      </c>
      <c r="D137">
        <v>0</v>
      </c>
      <c r="E137">
        <v>2.960132786E-6</v>
      </c>
      <c r="F137">
        <v>100</v>
      </c>
      <c r="G137">
        <v>1.3264158906295691</v>
      </c>
    </row>
    <row r="138" spans="1:7" x14ac:dyDescent="0.2">
      <c r="A138" t="s">
        <v>172</v>
      </c>
      <c r="B138">
        <v>1.7910854013543009E-6</v>
      </c>
      <c r="C138">
        <v>2.9398889459999999E-6</v>
      </c>
      <c r="D138">
        <v>0</v>
      </c>
      <c r="E138">
        <v>2.9398889459999999E-6</v>
      </c>
      <c r="F138">
        <v>100</v>
      </c>
      <c r="G138">
        <v>1.641400763903859</v>
      </c>
    </row>
    <row r="139" spans="1:7" x14ac:dyDescent="0.2">
      <c r="A139" t="s">
        <v>88</v>
      </c>
      <c r="B139">
        <v>2.9384873366788441E-6</v>
      </c>
      <c r="C139">
        <v>2.9221850810000001E-6</v>
      </c>
      <c r="D139">
        <v>0</v>
      </c>
      <c r="E139">
        <v>2.9221850810000001E-6</v>
      </c>
      <c r="F139">
        <v>100</v>
      </c>
      <c r="G139">
        <v>0.99445216064899955</v>
      </c>
    </row>
    <row r="140" spans="1:7" x14ac:dyDescent="0.2">
      <c r="A140" t="s">
        <v>153</v>
      </c>
      <c r="B140">
        <v>1.698691413100525E-6</v>
      </c>
      <c r="C140">
        <v>2.893944347E-6</v>
      </c>
      <c r="D140">
        <v>0</v>
      </c>
      <c r="E140">
        <v>2.893944347E-6</v>
      </c>
      <c r="F140">
        <v>100</v>
      </c>
      <c r="G140">
        <v>1.7036315864562159</v>
      </c>
    </row>
    <row r="141" spans="1:7" x14ac:dyDescent="0.2">
      <c r="A141" t="s">
        <v>400</v>
      </c>
      <c r="B141">
        <v>1.1229370984338651E-6</v>
      </c>
      <c r="C141">
        <v>2.887753541E-6</v>
      </c>
      <c r="D141">
        <v>0</v>
      </c>
      <c r="E141">
        <v>2.887753541E-6</v>
      </c>
      <c r="F141">
        <v>100</v>
      </c>
      <c r="G141">
        <v>2.5716075682489121</v>
      </c>
    </row>
    <row r="142" spans="1:7" x14ac:dyDescent="0.2">
      <c r="A142" t="s">
        <v>129</v>
      </c>
      <c r="B142">
        <v>2.8990870971563589E-6</v>
      </c>
      <c r="C142">
        <v>2.883003427E-6</v>
      </c>
      <c r="D142">
        <v>0</v>
      </c>
      <c r="E142">
        <v>2.883003427E-6</v>
      </c>
      <c r="F142">
        <v>100</v>
      </c>
      <c r="G142">
        <v>0.99445216041555462</v>
      </c>
    </row>
    <row r="143" spans="1:7" x14ac:dyDescent="0.2">
      <c r="A143" t="s">
        <v>150</v>
      </c>
      <c r="B143">
        <v>2.8768709936199359E-6</v>
      </c>
      <c r="C143">
        <v>2.8609105749999999E-6</v>
      </c>
      <c r="D143">
        <v>0</v>
      </c>
      <c r="E143">
        <v>2.8609105749999999E-6</v>
      </c>
      <c r="F143">
        <v>100</v>
      </c>
      <c r="G143">
        <v>0.99445216047040985</v>
      </c>
    </row>
    <row r="144" spans="1:7" x14ac:dyDescent="0.2">
      <c r="A144" t="s">
        <v>138</v>
      </c>
      <c r="B144">
        <v>2.7633519286789962E-6</v>
      </c>
      <c r="C144">
        <v>2.8370998990000001E-6</v>
      </c>
      <c r="D144">
        <v>0</v>
      </c>
      <c r="E144">
        <v>2.8370998990000001E-6</v>
      </c>
      <c r="F144">
        <v>100</v>
      </c>
      <c r="G144">
        <v>1.02668786756968</v>
      </c>
    </row>
    <row r="145" spans="1:7" x14ac:dyDescent="0.2">
      <c r="A145" t="s">
        <v>133</v>
      </c>
      <c r="B145">
        <v>2.8418972564963631E-6</v>
      </c>
      <c r="C145">
        <v>2.8283159290000002E-6</v>
      </c>
      <c r="D145">
        <v>0</v>
      </c>
      <c r="E145">
        <v>2.8283159290000002E-6</v>
      </c>
      <c r="F145">
        <v>100</v>
      </c>
      <c r="G145">
        <v>0.99522103500915926</v>
      </c>
    </row>
    <row r="146" spans="1:7" x14ac:dyDescent="0.2">
      <c r="A146" t="s">
        <v>193</v>
      </c>
      <c r="B146">
        <v>1.219780086126881E-6</v>
      </c>
      <c r="C146">
        <v>2.79307468E-6</v>
      </c>
      <c r="D146">
        <v>0</v>
      </c>
      <c r="E146">
        <v>2.79307468E-6</v>
      </c>
      <c r="F146">
        <v>100</v>
      </c>
      <c r="G146">
        <v>2.2898182318000768</v>
      </c>
    </row>
    <row r="147" spans="1:7" x14ac:dyDescent="0.2">
      <c r="A147" t="s">
        <v>190</v>
      </c>
      <c r="B147">
        <v>2.7798639738269548E-6</v>
      </c>
      <c r="C147">
        <v>2.7644417340000001E-6</v>
      </c>
      <c r="D147">
        <v>0</v>
      </c>
      <c r="E147">
        <v>2.7644417340000001E-6</v>
      </c>
      <c r="F147">
        <v>100</v>
      </c>
      <c r="G147">
        <v>0.99445216025958139</v>
      </c>
    </row>
    <row r="148" spans="1:7" x14ac:dyDescent="0.2">
      <c r="A148" t="s">
        <v>156</v>
      </c>
      <c r="B148">
        <v>2.757558679883625E-6</v>
      </c>
      <c r="C148">
        <v>2.7599900110000001E-6</v>
      </c>
      <c r="D148">
        <v>0</v>
      </c>
      <c r="E148">
        <v>2.7599900110000001E-6</v>
      </c>
      <c r="F148">
        <v>100</v>
      </c>
      <c r="G148">
        <v>1.0008816969640979</v>
      </c>
    </row>
    <row r="149" spans="1:7" x14ac:dyDescent="0.2">
      <c r="A149" t="s">
        <v>78</v>
      </c>
      <c r="B149">
        <v>1.522215546050785E-6</v>
      </c>
      <c r="C149">
        <v>2.7542420069999998E-6</v>
      </c>
      <c r="D149">
        <v>0</v>
      </c>
      <c r="E149">
        <v>2.7542420069999998E-6</v>
      </c>
      <c r="F149">
        <v>100</v>
      </c>
      <c r="G149">
        <v>1.809363998512278</v>
      </c>
    </row>
    <row r="150" spans="1:7" x14ac:dyDescent="0.2">
      <c r="A150" t="s">
        <v>169</v>
      </c>
      <c r="B150">
        <v>2.5531574718005931E-6</v>
      </c>
      <c r="C150">
        <v>2.6792509099999999E-6</v>
      </c>
      <c r="D150">
        <v>0</v>
      </c>
      <c r="E150">
        <v>2.6792509099999999E-6</v>
      </c>
      <c r="F150">
        <v>100</v>
      </c>
      <c r="G150">
        <v>1.0493872546413989</v>
      </c>
    </row>
    <row r="151" spans="1:7" x14ac:dyDescent="0.2">
      <c r="A151" t="s">
        <v>137</v>
      </c>
      <c r="B151">
        <v>2.658207005213593E-6</v>
      </c>
      <c r="C151">
        <v>2.6434596989999998E-6</v>
      </c>
      <c r="D151">
        <v>0</v>
      </c>
      <c r="E151">
        <v>2.6434596989999998E-6</v>
      </c>
      <c r="F151">
        <v>100</v>
      </c>
      <c r="G151">
        <v>0.99445216035294859</v>
      </c>
    </row>
    <row r="152" spans="1:7" x14ac:dyDescent="0.2">
      <c r="A152" t="s">
        <v>401</v>
      </c>
      <c r="B152">
        <v>2.1962607725948442E-6</v>
      </c>
      <c r="C152">
        <v>2.619800053E-6</v>
      </c>
      <c r="D152">
        <v>0</v>
      </c>
      <c r="E152">
        <v>2.619800053E-6</v>
      </c>
      <c r="F152">
        <v>100</v>
      </c>
      <c r="G152">
        <v>1.1928456245679571</v>
      </c>
    </row>
    <row r="153" spans="1:7" x14ac:dyDescent="0.2">
      <c r="A153" t="s">
        <v>154</v>
      </c>
      <c r="B153">
        <v>1.6055147354615869E-6</v>
      </c>
      <c r="C153">
        <v>2.5765270509999998E-6</v>
      </c>
      <c r="D153">
        <v>0</v>
      </c>
      <c r="E153">
        <v>2.5765270509999998E-6</v>
      </c>
      <c r="F153">
        <v>100</v>
      </c>
      <c r="G153">
        <v>1.6047981336398289</v>
      </c>
    </row>
    <row r="154" spans="1:7" x14ac:dyDescent="0.2">
      <c r="A154" t="s">
        <v>108</v>
      </c>
      <c r="B154">
        <v>2.6039830945021642E-6</v>
      </c>
      <c r="C154">
        <v>2.572456994E-6</v>
      </c>
      <c r="D154">
        <v>0</v>
      </c>
      <c r="E154">
        <v>2.572456994E-6</v>
      </c>
      <c r="F154">
        <v>100</v>
      </c>
      <c r="G154">
        <v>0.98789312397276108</v>
      </c>
    </row>
    <row r="155" spans="1:7" x14ac:dyDescent="0.2">
      <c r="A155" t="s">
        <v>143</v>
      </c>
      <c r="B155">
        <v>1.5680262300588369E-6</v>
      </c>
      <c r="C155">
        <v>2.50852446E-6</v>
      </c>
      <c r="D155">
        <v>0</v>
      </c>
      <c r="E155">
        <v>2.50852446E-6</v>
      </c>
      <c r="F155">
        <v>100</v>
      </c>
      <c r="G155">
        <v>1.5997975109803311</v>
      </c>
    </row>
    <row r="156" spans="1:7" x14ac:dyDescent="0.2">
      <c r="A156" t="s">
        <v>177</v>
      </c>
      <c r="B156">
        <v>3.8135415239981631E-6</v>
      </c>
      <c r="C156">
        <v>2.436855813E-6</v>
      </c>
      <c r="D156">
        <v>0</v>
      </c>
      <c r="E156">
        <v>2.436855813E-6</v>
      </c>
      <c r="F156">
        <v>100</v>
      </c>
      <c r="G156">
        <v>0.63900072876226888</v>
      </c>
    </row>
    <row r="157" spans="1:7" x14ac:dyDescent="0.2">
      <c r="A157" t="s">
        <v>176</v>
      </c>
      <c r="B157">
        <v>4.3770236655595758E-6</v>
      </c>
      <c r="C157">
        <v>2.436855813E-6</v>
      </c>
      <c r="D157">
        <v>0</v>
      </c>
      <c r="E157">
        <v>2.436855813E-6</v>
      </c>
      <c r="F157">
        <v>100</v>
      </c>
      <c r="G157">
        <v>0.55673809400993102</v>
      </c>
    </row>
    <row r="158" spans="1:7" x14ac:dyDescent="0.2">
      <c r="A158" t="s">
        <v>257</v>
      </c>
      <c r="B158">
        <v>1.5510058920258949E-6</v>
      </c>
      <c r="C158">
        <v>2.4346739730000001E-6</v>
      </c>
      <c r="D158">
        <v>0</v>
      </c>
      <c r="E158">
        <v>2.4346739730000001E-6</v>
      </c>
      <c r="F158">
        <v>100</v>
      </c>
      <c r="G158">
        <v>1.569738700231418</v>
      </c>
    </row>
    <row r="159" spans="1:7" x14ac:dyDescent="0.2">
      <c r="A159" t="s">
        <v>197</v>
      </c>
      <c r="B159">
        <v>2.1566826484258469E-6</v>
      </c>
      <c r="C159">
        <v>2.4298672140000001E-6</v>
      </c>
      <c r="D159">
        <v>0</v>
      </c>
      <c r="E159">
        <v>2.4298672140000001E-6</v>
      </c>
      <c r="F159">
        <v>100</v>
      </c>
      <c r="G159">
        <v>1.126668875355189</v>
      </c>
    </row>
    <row r="160" spans="1:7" x14ac:dyDescent="0.2">
      <c r="A160" t="s">
        <v>186</v>
      </c>
      <c r="B160">
        <v>2.4004300443980441E-6</v>
      </c>
      <c r="C160">
        <v>2.387112844E-6</v>
      </c>
      <c r="D160">
        <v>0</v>
      </c>
      <c r="E160">
        <v>2.387112844E-6</v>
      </c>
      <c r="F160">
        <v>100</v>
      </c>
      <c r="G160">
        <v>0.99445216059133967</v>
      </c>
    </row>
    <row r="161" spans="1:7" x14ac:dyDescent="0.2">
      <c r="A161" t="s">
        <v>262</v>
      </c>
      <c r="B161">
        <v>2.395197211533533E-6</v>
      </c>
      <c r="C161">
        <v>2.381909042E-6</v>
      </c>
      <c r="D161">
        <v>0</v>
      </c>
      <c r="E161">
        <v>2.381909042E-6</v>
      </c>
      <c r="F161">
        <v>100</v>
      </c>
      <c r="G161">
        <v>0.99445216056968233</v>
      </c>
    </row>
    <row r="162" spans="1:7" x14ac:dyDescent="0.2">
      <c r="A162" t="s">
        <v>127</v>
      </c>
      <c r="B162">
        <v>2.382295855178748E-6</v>
      </c>
      <c r="C162">
        <v>2.366479992E-6</v>
      </c>
      <c r="D162">
        <v>0</v>
      </c>
      <c r="E162">
        <v>2.366479992E-6</v>
      </c>
      <c r="F162">
        <v>100</v>
      </c>
      <c r="G162">
        <v>0.99336108353445407</v>
      </c>
    </row>
    <row r="163" spans="1:7" x14ac:dyDescent="0.2">
      <c r="A163" t="s">
        <v>230</v>
      </c>
      <c r="B163">
        <v>1.287327026593518E-6</v>
      </c>
      <c r="C163">
        <v>2.3197429000000002E-6</v>
      </c>
      <c r="D163">
        <v>0</v>
      </c>
      <c r="E163">
        <v>2.3197429000000002E-6</v>
      </c>
      <c r="F163">
        <v>100</v>
      </c>
      <c r="G163">
        <v>1.8019841517181741</v>
      </c>
    </row>
    <row r="164" spans="1:7" x14ac:dyDescent="0.2">
      <c r="A164" t="s">
        <v>117</v>
      </c>
      <c r="B164">
        <v>2.245322156576637E-6</v>
      </c>
      <c r="C164">
        <v>2.2328654649999998E-6</v>
      </c>
      <c r="D164">
        <v>0</v>
      </c>
      <c r="E164">
        <v>2.2328654649999998E-6</v>
      </c>
      <c r="F164">
        <v>100</v>
      </c>
      <c r="G164">
        <v>0.99445215843964729</v>
      </c>
    </row>
    <row r="165" spans="1:7" x14ac:dyDescent="0.2">
      <c r="A165" t="s">
        <v>191</v>
      </c>
      <c r="B165">
        <v>1.9283438591086809E-6</v>
      </c>
      <c r="C165">
        <v>2.216515953E-6</v>
      </c>
      <c r="D165">
        <v>0</v>
      </c>
      <c r="E165">
        <v>2.216515953E-6</v>
      </c>
      <c r="F165">
        <v>100</v>
      </c>
      <c r="G165">
        <v>1.149440200994297</v>
      </c>
    </row>
    <row r="166" spans="1:7" x14ac:dyDescent="0.2">
      <c r="A166" t="s">
        <v>167</v>
      </c>
      <c r="B166">
        <v>1.881718457095449E-6</v>
      </c>
      <c r="C166">
        <v>2.1629228420000001E-6</v>
      </c>
      <c r="D166">
        <v>0</v>
      </c>
      <c r="E166">
        <v>2.1629228420000001E-6</v>
      </c>
      <c r="F166">
        <v>100</v>
      </c>
      <c r="G166">
        <v>1.149440201239567</v>
      </c>
    </row>
    <row r="167" spans="1:7" x14ac:dyDescent="0.2">
      <c r="A167" t="s">
        <v>146</v>
      </c>
      <c r="B167">
        <v>2.656670853939595E-6</v>
      </c>
      <c r="C167">
        <v>2.1402472669999999E-6</v>
      </c>
      <c r="D167">
        <v>0</v>
      </c>
      <c r="E167">
        <v>2.1402472669999999E-6</v>
      </c>
      <c r="F167">
        <v>100</v>
      </c>
      <c r="G167">
        <v>0.80561250703157772</v>
      </c>
    </row>
    <row r="168" spans="1:7" x14ac:dyDescent="0.2">
      <c r="A168" t="s">
        <v>145</v>
      </c>
      <c r="B168">
        <v>1.893146221106331E-6</v>
      </c>
      <c r="C168">
        <v>2.1402472669999999E-6</v>
      </c>
      <c r="D168">
        <v>0</v>
      </c>
      <c r="E168">
        <v>2.1402472669999999E-6</v>
      </c>
      <c r="F168">
        <v>100</v>
      </c>
      <c r="G168">
        <v>1.1305240150701441</v>
      </c>
    </row>
    <row r="169" spans="1:7" x14ac:dyDescent="0.2">
      <c r="A169" t="s">
        <v>399</v>
      </c>
      <c r="B169">
        <v>4.3903101376622272E-7</v>
      </c>
      <c r="C169">
        <v>2.128687554E-6</v>
      </c>
      <c r="D169">
        <v>0</v>
      </c>
      <c r="E169">
        <v>2.128687554E-6</v>
      </c>
      <c r="F169">
        <v>100</v>
      </c>
      <c r="G169">
        <v>4.8486040558708536</v>
      </c>
    </row>
    <row r="170" spans="1:7" x14ac:dyDescent="0.2">
      <c r="A170" t="s">
        <v>83</v>
      </c>
      <c r="B170">
        <v>1.167727624142924E-6</v>
      </c>
      <c r="C170">
        <v>2.1128443229999999E-6</v>
      </c>
      <c r="D170">
        <v>0</v>
      </c>
      <c r="E170">
        <v>2.1128443229999999E-6</v>
      </c>
      <c r="F170">
        <v>100</v>
      </c>
      <c r="G170">
        <v>1.8093639983474421</v>
      </c>
    </row>
    <row r="171" spans="1:7" x14ac:dyDescent="0.2">
      <c r="A171" t="s">
        <v>82</v>
      </c>
      <c r="B171">
        <v>1.739854456654759E-6</v>
      </c>
      <c r="C171">
        <v>2.1128443229999999E-6</v>
      </c>
      <c r="D171">
        <v>0</v>
      </c>
      <c r="E171">
        <v>2.1128443229999999E-6</v>
      </c>
      <c r="F171">
        <v>100</v>
      </c>
      <c r="G171">
        <v>1.2143799240899691</v>
      </c>
    </row>
    <row r="172" spans="1:7" x14ac:dyDescent="0.2">
      <c r="A172" t="s">
        <v>181</v>
      </c>
      <c r="B172">
        <v>2.5768104240515701E-6</v>
      </c>
      <c r="C172">
        <v>2.1005815540000001E-6</v>
      </c>
      <c r="D172">
        <v>0</v>
      </c>
      <c r="E172">
        <v>2.1005815540000001E-6</v>
      </c>
      <c r="F172">
        <v>100</v>
      </c>
      <c r="G172">
        <v>0.81518668753955681</v>
      </c>
    </row>
    <row r="173" spans="1:7" x14ac:dyDescent="0.2">
      <c r="A173" t="s">
        <v>130</v>
      </c>
      <c r="B173">
        <v>2.238899447107777E-6</v>
      </c>
      <c r="C173">
        <v>2.0768854589999998E-6</v>
      </c>
      <c r="D173">
        <v>0</v>
      </c>
      <c r="E173">
        <v>2.0768854589999998E-6</v>
      </c>
      <c r="F173">
        <v>100</v>
      </c>
      <c r="G173">
        <v>0.92763677336332895</v>
      </c>
    </row>
    <row r="174" spans="1:7" x14ac:dyDescent="0.2">
      <c r="A174" t="s">
        <v>166</v>
      </c>
      <c r="B174">
        <v>2.0549659560173349E-6</v>
      </c>
      <c r="C174">
        <v>2.0435653349999999E-6</v>
      </c>
      <c r="D174">
        <v>0</v>
      </c>
      <c r="E174">
        <v>2.0435653349999999E-6</v>
      </c>
      <c r="F174">
        <v>100</v>
      </c>
      <c r="G174">
        <v>0.99445216063850017</v>
      </c>
    </row>
    <row r="175" spans="1:7" x14ac:dyDescent="0.2">
      <c r="A175" t="s">
        <v>84</v>
      </c>
      <c r="B175">
        <v>1.9080312533096261E-6</v>
      </c>
      <c r="C175">
        <v>1.9589133759999998E-6</v>
      </c>
      <c r="D175">
        <v>0</v>
      </c>
      <c r="E175">
        <v>1.9589133759999998E-6</v>
      </c>
      <c r="F175">
        <v>100</v>
      </c>
      <c r="G175">
        <v>1.02666734237299</v>
      </c>
    </row>
    <row r="176" spans="1:7" x14ac:dyDescent="0.2">
      <c r="A176" t="s">
        <v>208</v>
      </c>
      <c r="B176">
        <v>2.0624459051593421E-6</v>
      </c>
      <c r="C176">
        <v>1.9229328989999998E-6</v>
      </c>
      <c r="D176">
        <v>0</v>
      </c>
      <c r="E176">
        <v>1.9229328989999998E-6</v>
      </c>
      <c r="F176">
        <v>100</v>
      </c>
      <c r="G176">
        <v>0.93235555618193822</v>
      </c>
    </row>
    <row r="177" spans="1:7" x14ac:dyDescent="0.2">
      <c r="A177" t="s">
        <v>99</v>
      </c>
      <c r="B177">
        <v>1.774962489346677E-6</v>
      </c>
      <c r="C177">
        <v>1.901429775E-6</v>
      </c>
      <c r="D177">
        <v>0</v>
      </c>
      <c r="E177">
        <v>1.901429775E-6</v>
      </c>
      <c r="F177">
        <v>100</v>
      </c>
      <c r="G177">
        <v>1.071250680739666</v>
      </c>
    </row>
    <row r="178" spans="1:7" x14ac:dyDescent="0.2">
      <c r="A178" t="s">
        <v>189</v>
      </c>
      <c r="B178">
        <v>6.0457927947001129E-7</v>
      </c>
      <c r="C178">
        <v>1.886006923E-6</v>
      </c>
      <c r="D178">
        <v>0</v>
      </c>
      <c r="E178">
        <v>1.886006923E-6</v>
      </c>
      <c r="F178">
        <v>100</v>
      </c>
      <c r="G178">
        <v>3.119536158522203</v>
      </c>
    </row>
    <row r="179" spans="1:7" x14ac:dyDescent="0.2">
      <c r="A179" t="s">
        <v>171</v>
      </c>
      <c r="B179">
        <v>1.8890205187089879E-6</v>
      </c>
      <c r="C179">
        <v>1.878540536E-6</v>
      </c>
      <c r="D179">
        <v>0</v>
      </c>
      <c r="E179">
        <v>1.878540536E-6</v>
      </c>
      <c r="F179">
        <v>100</v>
      </c>
      <c r="G179">
        <v>0.9944521604687756</v>
      </c>
    </row>
    <row r="180" spans="1:7" x14ac:dyDescent="0.2">
      <c r="A180" t="s">
        <v>184</v>
      </c>
      <c r="B180">
        <v>3.4265450032540108E-6</v>
      </c>
      <c r="C180">
        <v>1.8779026070000001E-6</v>
      </c>
      <c r="D180">
        <v>0</v>
      </c>
      <c r="E180">
        <v>1.8779026070000001E-6</v>
      </c>
      <c r="F180">
        <v>100</v>
      </c>
      <c r="G180">
        <v>0.54804551092037423</v>
      </c>
    </row>
    <row r="181" spans="1:7" x14ac:dyDescent="0.2">
      <c r="A181" t="s">
        <v>182</v>
      </c>
      <c r="B181">
        <v>1.8756376615326789E-6</v>
      </c>
      <c r="C181">
        <v>1.864288894E-6</v>
      </c>
      <c r="D181">
        <v>0</v>
      </c>
      <c r="E181">
        <v>1.864288894E-6</v>
      </c>
      <c r="F181">
        <v>100</v>
      </c>
      <c r="G181">
        <v>0.993949381714054</v>
      </c>
    </row>
    <row r="182" spans="1:7" x14ac:dyDescent="0.2">
      <c r="A182" t="s">
        <v>170</v>
      </c>
      <c r="B182">
        <v>1.727723173424285E-6</v>
      </c>
      <c r="C182">
        <v>1.834979404E-6</v>
      </c>
      <c r="D182">
        <v>0</v>
      </c>
      <c r="E182">
        <v>1.834979404E-6</v>
      </c>
      <c r="F182">
        <v>100</v>
      </c>
      <c r="G182">
        <v>1.0620795230541109</v>
      </c>
    </row>
    <row r="183" spans="1:7" x14ac:dyDescent="0.2">
      <c r="A183" t="s">
        <v>221</v>
      </c>
      <c r="B183">
        <v>1.829258890215966E-6</v>
      </c>
      <c r="C183">
        <v>1.820516926E-6</v>
      </c>
      <c r="D183">
        <v>0</v>
      </c>
      <c r="E183">
        <v>1.820516926E-6</v>
      </c>
      <c r="F183">
        <v>100</v>
      </c>
      <c r="G183">
        <v>0.9952210349979852</v>
      </c>
    </row>
    <row r="184" spans="1:7" x14ac:dyDescent="0.2">
      <c r="A184" t="s">
        <v>194</v>
      </c>
      <c r="B184">
        <v>1.821507528905863E-6</v>
      </c>
      <c r="C184">
        <v>1.8114020979999999E-6</v>
      </c>
      <c r="D184">
        <v>0</v>
      </c>
      <c r="E184">
        <v>1.8114020979999999E-6</v>
      </c>
      <c r="F184">
        <v>100</v>
      </c>
      <c r="G184">
        <v>0.9944521607813871</v>
      </c>
    </row>
    <row r="185" spans="1:7" x14ac:dyDescent="0.2">
      <c r="A185" t="s">
        <v>175</v>
      </c>
      <c r="B185">
        <v>1.03745041361628E-6</v>
      </c>
      <c r="C185">
        <v>1.7674332940000001E-6</v>
      </c>
      <c r="D185">
        <v>0</v>
      </c>
      <c r="E185">
        <v>1.7674332940000001E-6</v>
      </c>
      <c r="F185">
        <v>100</v>
      </c>
      <c r="G185">
        <v>1.7036315864381331</v>
      </c>
    </row>
    <row r="186" spans="1:7" x14ac:dyDescent="0.2">
      <c r="A186" t="s">
        <v>215</v>
      </c>
      <c r="B186">
        <v>1.9738210091550311E-6</v>
      </c>
      <c r="C186">
        <v>1.7568666160000001E-6</v>
      </c>
      <c r="D186">
        <v>0</v>
      </c>
      <c r="E186">
        <v>1.7568666160000001E-6</v>
      </c>
      <c r="F186">
        <v>100</v>
      </c>
      <c r="G186">
        <v>0.89008405921877054</v>
      </c>
    </row>
    <row r="187" spans="1:7" x14ac:dyDescent="0.2">
      <c r="A187" t="s">
        <v>214</v>
      </c>
      <c r="B187">
        <v>1.779343542025036E-6</v>
      </c>
      <c r="C187">
        <v>1.7568666160000001E-6</v>
      </c>
      <c r="D187">
        <v>0</v>
      </c>
      <c r="E187">
        <v>1.7568666160000001E-6</v>
      </c>
      <c r="F187">
        <v>100</v>
      </c>
      <c r="G187">
        <v>0.98736785477668054</v>
      </c>
    </row>
    <row r="188" spans="1:7" x14ac:dyDescent="0.2">
      <c r="A188" t="s">
        <v>213</v>
      </c>
      <c r="B188">
        <v>1.765302936800632E-6</v>
      </c>
      <c r="C188">
        <v>1.7568666160000001E-6</v>
      </c>
      <c r="D188">
        <v>0</v>
      </c>
      <c r="E188">
        <v>1.7568666160000001E-6</v>
      </c>
      <c r="F188">
        <v>100</v>
      </c>
      <c r="G188">
        <v>0.99522103508425508</v>
      </c>
    </row>
    <row r="189" spans="1:7" x14ac:dyDescent="0.2">
      <c r="A189" t="s">
        <v>195</v>
      </c>
      <c r="B189">
        <v>1.5987013531885139E-6</v>
      </c>
      <c r="C189">
        <v>1.6979479709999999E-6</v>
      </c>
      <c r="D189">
        <v>0</v>
      </c>
      <c r="E189">
        <v>1.6979479709999999E-6</v>
      </c>
      <c r="F189">
        <v>100</v>
      </c>
      <c r="G189">
        <v>1.062079523241501</v>
      </c>
    </row>
    <row r="190" spans="1:7" x14ac:dyDescent="0.2">
      <c r="A190" t="s">
        <v>196</v>
      </c>
      <c r="B190">
        <v>1.6748814992885981E-6</v>
      </c>
      <c r="C190">
        <v>1.665589525E-6</v>
      </c>
      <c r="D190">
        <v>0</v>
      </c>
      <c r="E190">
        <v>1.665589525E-6</v>
      </c>
      <c r="F190">
        <v>100</v>
      </c>
      <c r="G190">
        <v>0.99445216017220051</v>
      </c>
    </row>
    <row r="191" spans="1:7" x14ac:dyDescent="0.2">
      <c r="A191" t="s">
        <v>205</v>
      </c>
      <c r="B191">
        <v>1.5892504515651879E-6</v>
      </c>
      <c r="C191">
        <v>1.5804335440000001E-6</v>
      </c>
      <c r="D191">
        <v>0</v>
      </c>
      <c r="E191">
        <v>1.5804335440000001E-6</v>
      </c>
      <c r="F191">
        <v>100</v>
      </c>
      <c r="G191">
        <v>0.99445215978607737</v>
      </c>
    </row>
    <row r="192" spans="1:7" x14ac:dyDescent="0.2">
      <c r="A192" t="s">
        <v>235</v>
      </c>
      <c r="B192">
        <v>1.5358062748432051E-6</v>
      </c>
      <c r="C192">
        <v>1.5284667109999999E-6</v>
      </c>
      <c r="D192">
        <v>0</v>
      </c>
      <c r="E192">
        <v>1.5284667109999999E-6</v>
      </c>
      <c r="F192">
        <v>100</v>
      </c>
      <c r="G192">
        <v>0.99522103538484707</v>
      </c>
    </row>
    <row r="193" spans="1:7" x14ac:dyDescent="0.2">
      <c r="A193" t="s">
        <v>158</v>
      </c>
      <c r="B193">
        <v>1.1292499556175861E-6</v>
      </c>
      <c r="C193">
        <v>1.472681752E-6</v>
      </c>
      <c r="D193">
        <v>0</v>
      </c>
      <c r="E193">
        <v>1.472681752E-6</v>
      </c>
      <c r="F193">
        <v>100</v>
      </c>
      <c r="G193">
        <v>1.3041238077309389</v>
      </c>
    </row>
    <row r="194" spans="1:7" x14ac:dyDescent="0.2">
      <c r="A194" t="s">
        <v>245</v>
      </c>
      <c r="B194">
        <v>7.8457717489401614E-7</v>
      </c>
      <c r="C194">
        <v>1.4195856939999999E-6</v>
      </c>
      <c r="D194">
        <v>0</v>
      </c>
      <c r="E194">
        <v>1.4195856939999999E-6</v>
      </c>
      <c r="F194">
        <v>100</v>
      </c>
      <c r="G194">
        <v>1.8093639981200871</v>
      </c>
    </row>
    <row r="195" spans="1:7" x14ac:dyDescent="0.2">
      <c r="A195" t="s">
        <v>220</v>
      </c>
      <c r="B195">
        <v>1.614710680509467E-6</v>
      </c>
      <c r="C195">
        <v>1.4158372460000001E-6</v>
      </c>
      <c r="D195">
        <v>0</v>
      </c>
      <c r="E195">
        <v>1.4158372460000001E-6</v>
      </c>
      <c r="F195">
        <v>100</v>
      </c>
      <c r="G195">
        <v>0.87683649033229927</v>
      </c>
    </row>
    <row r="196" spans="1:7" x14ac:dyDescent="0.2">
      <c r="A196" t="s">
        <v>219</v>
      </c>
      <c r="B196">
        <v>2.1691878329227749E-6</v>
      </c>
      <c r="C196">
        <v>1.4158372460000001E-6</v>
      </c>
      <c r="D196">
        <v>0</v>
      </c>
      <c r="E196">
        <v>1.4158372460000001E-6</v>
      </c>
      <c r="F196">
        <v>100</v>
      </c>
      <c r="G196">
        <v>0.65270384819201821</v>
      </c>
    </row>
    <row r="197" spans="1:7" x14ac:dyDescent="0.2">
      <c r="A197" t="s">
        <v>218</v>
      </c>
      <c r="B197">
        <v>1.515309574659911E-6</v>
      </c>
      <c r="C197">
        <v>1.412806648E-6</v>
      </c>
      <c r="D197">
        <v>0</v>
      </c>
      <c r="E197">
        <v>1.412806648E-6</v>
      </c>
      <c r="F197">
        <v>100</v>
      </c>
      <c r="G197">
        <v>0.93235512506880536</v>
      </c>
    </row>
    <row r="198" spans="1:7" x14ac:dyDescent="0.2">
      <c r="A198" t="s">
        <v>140</v>
      </c>
      <c r="B198">
        <v>1.3990317172293719E-6</v>
      </c>
      <c r="C198">
        <v>1.389743662E-6</v>
      </c>
      <c r="D198">
        <v>0</v>
      </c>
      <c r="E198">
        <v>1.389743662E-6</v>
      </c>
      <c r="F198">
        <v>100</v>
      </c>
      <c r="G198">
        <v>0.99336108315845328</v>
      </c>
    </row>
    <row r="199" spans="1:7" x14ac:dyDescent="0.2">
      <c r="A199" t="s">
        <v>206</v>
      </c>
      <c r="B199">
        <v>1.699922367950851E-6</v>
      </c>
      <c r="C199">
        <v>1.385754084E-6</v>
      </c>
      <c r="D199">
        <v>0</v>
      </c>
      <c r="E199">
        <v>1.385754084E-6</v>
      </c>
      <c r="F199">
        <v>100</v>
      </c>
      <c r="G199">
        <v>0.81518668741940192</v>
      </c>
    </row>
    <row r="200" spans="1:7" x14ac:dyDescent="0.2">
      <c r="A200" t="s">
        <v>207</v>
      </c>
      <c r="B200">
        <v>2.8942979457365028E-6</v>
      </c>
      <c r="C200">
        <v>1.385754084E-6</v>
      </c>
      <c r="D200">
        <v>0</v>
      </c>
      <c r="E200">
        <v>1.385754084E-6</v>
      </c>
      <c r="F200">
        <v>100</v>
      </c>
      <c r="G200">
        <v>0.47878764038142979</v>
      </c>
    </row>
    <row r="201" spans="1:7" x14ac:dyDescent="0.2">
      <c r="A201" t="s">
        <v>259</v>
      </c>
      <c r="B201">
        <v>1.361366385907211E-6</v>
      </c>
      <c r="C201">
        <v>1.3538137439999999E-6</v>
      </c>
      <c r="D201">
        <v>0</v>
      </c>
      <c r="E201">
        <v>1.3538137439999999E-6</v>
      </c>
      <c r="F201">
        <v>100</v>
      </c>
      <c r="G201">
        <v>0.99445216072220122</v>
      </c>
    </row>
    <row r="202" spans="1:7" x14ac:dyDescent="0.2">
      <c r="A202" t="s">
        <v>227</v>
      </c>
      <c r="B202">
        <v>8.1425200583069108E-7</v>
      </c>
      <c r="C202">
        <v>1.3365138639999999E-6</v>
      </c>
      <c r="D202">
        <v>0</v>
      </c>
      <c r="E202">
        <v>1.3365138639999999E-6</v>
      </c>
      <c r="F202">
        <v>100</v>
      </c>
      <c r="G202">
        <v>1.6414007634362571</v>
      </c>
    </row>
    <row r="203" spans="1:7" x14ac:dyDescent="0.2">
      <c r="A203" t="s">
        <v>119</v>
      </c>
      <c r="B203">
        <v>1.4600303893310601E-6</v>
      </c>
      <c r="C203">
        <v>1.328651404E-6</v>
      </c>
      <c r="D203">
        <v>0</v>
      </c>
      <c r="E203">
        <v>1.328651404E-6</v>
      </c>
      <c r="F203">
        <v>100</v>
      </c>
      <c r="G203">
        <v>0.91001626658520884</v>
      </c>
    </row>
    <row r="204" spans="1:7" x14ac:dyDescent="0.2">
      <c r="A204" t="s">
        <v>187</v>
      </c>
      <c r="B204">
        <v>1.0140946295064951E-6</v>
      </c>
      <c r="C204">
        <v>1.32250495E-6</v>
      </c>
      <c r="D204">
        <v>0</v>
      </c>
      <c r="E204">
        <v>1.32250495E-6</v>
      </c>
      <c r="F204">
        <v>100</v>
      </c>
      <c r="G204">
        <v>1.3041238080943121</v>
      </c>
    </row>
    <row r="205" spans="1:7" x14ac:dyDescent="0.2">
      <c r="A205" t="s">
        <v>216</v>
      </c>
      <c r="B205">
        <v>1.6135099111870621E-6</v>
      </c>
      <c r="C205">
        <v>1.3153118E-6</v>
      </c>
      <c r="D205">
        <v>0</v>
      </c>
      <c r="E205">
        <v>1.3153118E-6</v>
      </c>
      <c r="F205">
        <v>100</v>
      </c>
      <c r="G205">
        <v>0.81518668765556146</v>
      </c>
    </row>
    <row r="206" spans="1:7" x14ac:dyDescent="0.2">
      <c r="A206" t="s">
        <v>228</v>
      </c>
      <c r="B206">
        <v>5.6226930368670139E-7</v>
      </c>
      <c r="C206">
        <v>1.2874945019999999E-6</v>
      </c>
      <c r="D206">
        <v>0</v>
      </c>
      <c r="E206">
        <v>1.2874945019999999E-6</v>
      </c>
      <c r="F206">
        <v>100</v>
      </c>
      <c r="G206">
        <v>2.289818230442465</v>
      </c>
    </row>
    <row r="207" spans="1:7" x14ac:dyDescent="0.2">
      <c r="A207" t="s">
        <v>266</v>
      </c>
      <c r="B207">
        <v>1.28158156062106E-6</v>
      </c>
      <c r="C207">
        <v>1.274471552E-6</v>
      </c>
      <c r="D207">
        <v>0</v>
      </c>
      <c r="E207">
        <v>1.274471552E-6</v>
      </c>
      <c r="F207">
        <v>100</v>
      </c>
      <c r="G207">
        <v>0.99445216064312425</v>
      </c>
    </row>
    <row r="208" spans="1:7" x14ac:dyDescent="0.2">
      <c r="A208" t="s">
        <v>185</v>
      </c>
      <c r="B208">
        <v>1.277419404931769E-6</v>
      </c>
      <c r="C208">
        <v>1.2703324869999999E-6</v>
      </c>
      <c r="D208">
        <v>0</v>
      </c>
      <c r="E208">
        <v>1.2703324869999999E-6</v>
      </c>
      <c r="F208">
        <v>100</v>
      </c>
      <c r="G208">
        <v>0.99445216042248274</v>
      </c>
    </row>
    <row r="209" spans="1:7" x14ac:dyDescent="0.2">
      <c r="A209" t="s">
        <v>242</v>
      </c>
      <c r="B209">
        <v>6.1182655446455362E-7</v>
      </c>
      <c r="C209">
        <v>1.230259638E-6</v>
      </c>
      <c r="D209">
        <v>0</v>
      </c>
      <c r="E209">
        <v>1.230259638E-6</v>
      </c>
      <c r="F209">
        <v>100</v>
      </c>
      <c r="G209">
        <v>2.0107980423907472</v>
      </c>
    </row>
    <row r="210" spans="1:7" x14ac:dyDescent="0.2">
      <c r="A210" t="s">
        <v>243</v>
      </c>
      <c r="B210">
        <v>1.172789814215008E-6</v>
      </c>
      <c r="C210">
        <v>1.230259638E-6</v>
      </c>
      <c r="D210">
        <v>0</v>
      </c>
      <c r="E210">
        <v>1.230259638E-6</v>
      </c>
      <c r="F210">
        <v>100</v>
      </c>
      <c r="G210">
        <v>1.049002662786136</v>
      </c>
    </row>
    <row r="211" spans="1:7" x14ac:dyDescent="0.2">
      <c r="A211" t="s">
        <v>244</v>
      </c>
      <c r="B211">
        <v>7.7887687954185434E-7</v>
      </c>
      <c r="C211">
        <v>1.230259638E-6</v>
      </c>
      <c r="D211">
        <v>0</v>
      </c>
      <c r="E211">
        <v>1.230259638E-6</v>
      </c>
      <c r="F211">
        <v>100</v>
      </c>
      <c r="G211">
        <v>1.5795303087230621</v>
      </c>
    </row>
    <row r="212" spans="1:7" x14ac:dyDescent="0.2">
      <c r="A212" t="s">
        <v>178</v>
      </c>
      <c r="B212">
        <v>1.2217190544398841E-6</v>
      </c>
      <c r="C212">
        <v>1.2158805020000001E-6</v>
      </c>
      <c r="D212">
        <v>0</v>
      </c>
      <c r="E212">
        <v>1.2158805020000001E-6</v>
      </c>
      <c r="F212">
        <v>100</v>
      </c>
      <c r="G212">
        <v>0.99522103513187787</v>
      </c>
    </row>
    <row r="213" spans="1:7" x14ac:dyDescent="0.2">
      <c r="A213" t="s">
        <v>188</v>
      </c>
      <c r="B213">
        <v>1.173376515871842E-6</v>
      </c>
      <c r="C213">
        <v>1.1677689909999999E-6</v>
      </c>
      <c r="D213">
        <v>0</v>
      </c>
      <c r="E213">
        <v>1.1677689909999999E-6</v>
      </c>
      <c r="F213">
        <v>100</v>
      </c>
      <c r="G213">
        <v>0.99522103536589401</v>
      </c>
    </row>
    <row r="214" spans="1:7" x14ac:dyDescent="0.2">
      <c r="A214" t="s">
        <v>246</v>
      </c>
      <c r="B214">
        <v>1.093396482023827E-6</v>
      </c>
      <c r="C214">
        <v>1.161274014E-6</v>
      </c>
      <c r="D214">
        <v>0</v>
      </c>
      <c r="E214">
        <v>1.161274014E-6</v>
      </c>
      <c r="F214">
        <v>100</v>
      </c>
      <c r="G214">
        <v>1.0620795229288971</v>
      </c>
    </row>
    <row r="215" spans="1:7" x14ac:dyDescent="0.2">
      <c r="A215" t="s">
        <v>267</v>
      </c>
      <c r="B215">
        <v>1.129574755341195E-6</v>
      </c>
      <c r="C215">
        <v>1.136703215E-6</v>
      </c>
      <c r="D215">
        <v>0</v>
      </c>
      <c r="E215">
        <v>1.136703215E-6</v>
      </c>
      <c r="F215">
        <v>100</v>
      </c>
      <c r="G215">
        <v>1.0063107462565879</v>
      </c>
    </row>
    <row r="216" spans="1:7" x14ac:dyDescent="0.2">
      <c r="A216" t="s">
        <v>268</v>
      </c>
      <c r="B216">
        <v>1.1693655473819251E-6</v>
      </c>
      <c r="C216">
        <v>1.136703215E-6</v>
      </c>
      <c r="D216">
        <v>0</v>
      </c>
      <c r="E216">
        <v>1.136703215E-6</v>
      </c>
      <c r="F216">
        <v>100</v>
      </c>
      <c r="G216">
        <v>0.97206833016839578</v>
      </c>
    </row>
    <row r="217" spans="1:7" x14ac:dyDescent="0.2">
      <c r="A217" t="s">
        <v>212</v>
      </c>
      <c r="B217">
        <v>2.5081008194319922E-6</v>
      </c>
      <c r="C217">
        <v>1.136170792E-6</v>
      </c>
      <c r="D217">
        <v>0</v>
      </c>
      <c r="E217">
        <v>1.136170792E-6</v>
      </c>
      <c r="F217">
        <v>100</v>
      </c>
      <c r="G217">
        <v>0.45300044687091479</v>
      </c>
    </row>
    <row r="218" spans="1:7" x14ac:dyDescent="0.2">
      <c r="A218" t="s">
        <v>232</v>
      </c>
      <c r="B218">
        <v>1.7287051505047269E-6</v>
      </c>
      <c r="C218">
        <v>1.1098679769999999E-6</v>
      </c>
      <c r="D218">
        <v>0</v>
      </c>
      <c r="E218">
        <v>1.1098679769999999E-6</v>
      </c>
      <c r="F218">
        <v>100</v>
      </c>
      <c r="G218">
        <v>0.64202271664196398</v>
      </c>
    </row>
    <row r="219" spans="1:7" x14ac:dyDescent="0.2">
      <c r="A219" t="s">
        <v>231</v>
      </c>
      <c r="B219">
        <v>1.116059691319303E-6</v>
      </c>
      <c r="C219">
        <v>1.1098679769999999E-6</v>
      </c>
      <c r="D219">
        <v>0</v>
      </c>
      <c r="E219">
        <v>1.1098679769999999E-6</v>
      </c>
      <c r="F219">
        <v>100</v>
      </c>
      <c r="G219">
        <v>0.99445216562567207</v>
      </c>
    </row>
    <row r="220" spans="1:7" x14ac:dyDescent="0.2">
      <c r="A220" t="s">
        <v>209</v>
      </c>
      <c r="B220">
        <v>1.6387567860686091E-6</v>
      </c>
      <c r="C220">
        <v>1.047166781E-6</v>
      </c>
      <c r="D220">
        <v>0</v>
      </c>
      <c r="E220">
        <v>1.047166781E-6</v>
      </c>
      <c r="F220">
        <v>100</v>
      </c>
      <c r="G220">
        <v>0.63900072902957239</v>
      </c>
    </row>
    <row r="221" spans="1:7" x14ac:dyDescent="0.2">
      <c r="A221" t="s">
        <v>224</v>
      </c>
      <c r="B221">
        <v>6.3636947141521223E-7</v>
      </c>
      <c r="C221">
        <v>1.0445373369999999E-6</v>
      </c>
      <c r="D221">
        <v>0</v>
      </c>
      <c r="E221">
        <v>1.0445373369999999E-6</v>
      </c>
      <c r="F221">
        <v>100</v>
      </c>
      <c r="G221">
        <v>1.641400764680099</v>
      </c>
    </row>
    <row r="222" spans="1:7" x14ac:dyDescent="0.2">
      <c r="A222" t="s">
        <v>217</v>
      </c>
      <c r="B222">
        <v>9.7677084821617746E-7</v>
      </c>
      <c r="C222">
        <v>1.0442327190000001E-6</v>
      </c>
      <c r="D222">
        <v>0</v>
      </c>
      <c r="E222">
        <v>1.0442327190000001E-6</v>
      </c>
      <c r="F222">
        <v>100</v>
      </c>
      <c r="G222">
        <v>1.0690662205030219</v>
      </c>
    </row>
    <row r="223" spans="1:7" x14ac:dyDescent="0.2">
      <c r="A223" t="s">
        <v>250</v>
      </c>
      <c r="B223">
        <v>1.0133078431770641E-6</v>
      </c>
      <c r="C223">
        <v>1.0076861739999999E-6</v>
      </c>
      <c r="D223">
        <v>0</v>
      </c>
      <c r="E223">
        <v>1.0076861739999999E-6</v>
      </c>
      <c r="F223">
        <v>100</v>
      </c>
      <c r="G223">
        <v>0.99445216059964692</v>
      </c>
    </row>
    <row r="224" spans="1:7" x14ac:dyDescent="0.2">
      <c r="A224" t="s">
        <v>200</v>
      </c>
      <c r="B224">
        <v>9.6970643996963712E-7</v>
      </c>
      <c r="C224">
        <v>9.9564570299999992E-7</v>
      </c>
      <c r="D224">
        <v>0</v>
      </c>
      <c r="E224">
        <v>9.9564570299999992E-7</v>
      </c>
      <c r="F224">
        <v>100</v>
      </c>
      <c r="G224">
        <v>1.0267496037575821</v>
      </c>
    </row>
    <row r="225" spans="1:7" x14ac:dyDescent="0.2">
      <c r="A225" t="s">
        <v>201</v>
      </c>
      <c r="B225">
        <v>9.0767339811680412E-7</v>
      </c>
      <c r="C225">
        <v>9.6402133000000009E-7</v>
      </c>
      <c r="D225">
        <v>0</v>
      </c>
      <c r="E225">
        <v>9.6402133000000009E-7</v>
      </c>
      <c r="F225">
        <v>100</v>
      </c>
      <c r="G225">
        <v>1.062079523317643</v>
      </c>
    </row>
    <row r="226" spans="1:7" x14ac:dyDescent="0.2">
      <c r="A226" t="s">
        <v>202</v>
      </c>
      <c r="B226">
        <v>2.4999818944861388E-6</v>
      </c>
      <c r="C226">
        <v>9.6402133000000009E-7</v>
      </c>
      <c r="D226">
        <v>0</v>
      </c>
      <c r="E226">
        <v>9.6402133000000009E-7</v>
      </c>
      <c r="F226">
        <v>100</v>
      </c>
      <c r="G226">
        <v>0.38561132467647358</v>
      </c>
    </row>
    <row r="227" spans="1:7" x14ac:dyDescent="0.2">
      <c r="A227" t="s">
        <v>233</v>
      </c>
      <c r="B227">
        <v>5.7902663008489962E-7</v>
      </c>
      <c r="C227">
        <v>9.6158216399999992E-7</v>
      </c>
      <c r="D227">
        <v>0</v>
      </c>
      <c r="E227">
        <v>9.6158216399999992E-7</v>
      </c>
      <c r="F227">
        <v>100</v>
      </c>
      <c r="G227">
        <v>1.6606872880078209</v>
      </c>
    </row>
    <row r="228" spans="1:7" x14ac:dyDescent="0.2">
      <c r="A228" t="s">
        <v>253</v>
      </c>
      <c r="B228">
        <v>1.0628785150731249E-6</v>
      </c>
      <c r="C228">
        <v>9.5413157600000009E-7</v>
      </c>
      <c r="D228">
        <v>0</v>
      </c>
      <c r="E228">
        <v>9.5413157600000009E-7</v>
      </c>
      <c r="F228">
        <v>100</v>
      </c>
      <c r="G228">
        <v>0.89768638886670571</v>
      </c>
    </row>
    <row r="229" spans="1:7" x14ac:dyDescent="0.2">
      <c r="A229" t="s">
        <v>229</v>
      </c>
      <c r="B229">
        <v>9.5748427639140765E-7</v>
      </c>
      <c r="C229">
        <v>9.5217230599999998E-7</v>
      </c>
      <c r="D229">
        <v>0</v>
      </c>
      <c r="E229">
        <v>9.5217230599999998E-7</v>
      </c>
      <c r="F229">
        <v>100</v>
      </c>
      <c r="G229">
        <v>0.99445215913996254</v>
      </c>
    </row>
    <row r="230" spans="1:7" x14ac:dyDescent="0.2">
      <c r="A230" t="s">
        <v>192</v>
      </c>
      <c r="B230">
        <v>1.536374177708969E-6</v>
      </c>
      <c r="C230">
        <v>9.4985363000000004E-7</v>
      </c>
      <c r="D230">
        <v>0</v>
      </c>
      <c r="E230">
        <v>9.4985363000000004E-7</v>
      </c>
      <c r="F230">
        <v>100</v>
      </c>
      <c r="G230">
        <v>0.61824368293954002</v>
      </c>
    </row>
    <row r="231" spans="1:7" x14ac:dyDescent="0.2">
      <c r="A231" t="s">
        <v>198</v>
      </c>
      <c r="B231">
        <v>2.2475971044522118E-6</v>
      </c>
      <c r="C231">
        <v>9.4752507200000003E-7</v>
      </c>
      <c r="D231">
        <v>0</v>
      </c>
      <c r="E231">
        <v>9.4752507200000003E-7</v>
      </c>
      <c r="F231">
        <v>100</v>
      </c>
      <c r="G231">
        <v>0.42157247405376608</v>
      </c>
    </row>
    <row r="232" spans="1:7" x14ac:dyDescent="0.2">
      <c r="A232" t="s">
        <v>199</v>
      </c>
      <c r="B232">
        <v>5.7726613336220869E-7</v>
      </c>
      <c r="C232">
        <v>9.4752507200000003E-7</v>
      </c>
      <c r="D232">
        <v>0</v>
      </c>
      <c r="E232">
        <v>9.4752507200000003E-7</v>
      </c>
      <c r="F232">
        <v>100</v>
      </c>
      <c r="G232">
        <v>1.64140076342478</v>
      </c>
    </row>
    <row r="233" spans="1:7" x14ac:dyDescent="0.2">
      <c r="A233" t="s">
        <v>223</v>
      </c>
      <c r="B233">
        <v>9.3972717963710769E-7</v>
      </c>
      <c r="C233">
        <v>9.3451372400000003E-7</v>
      </c>
      <c r="D233">
        <v>0</v>
      </c>
      <c r="E233">
        <v>9.3451372400000003E-7</v>
      </c>
      <c r="F233">
        <v>100</v>
      </c>
      <c r="G233">
        <v>0.99445216042477247</v>
      </c>
    </row>
    <row r="234" spans="1:7" x14ac:dyDescent="0.2">
      <c r="A234" t="s">
        <v>125</v>
      </c>
      <c r="B234">
        <v>5.0686954548025543E-7</v>
      </c>
      <c r="C234">
        <v>9.3095580100000003E-7</v>
      </c>
      <c r="D234">
        <v>0</v>
      </c>
      <c r="E234">
        <v>9.3095580100000003E-7</v>
      </c>
      <c r="F234">
        <v>100</v>
      </c>
      <c r="G234">
        <v>1.8366773251644579</v>
      </c>
    </row>
    <row r="235" spans="1:7" x14ac:dyDescent="0.2">
      <c r="A235" t="s">
        <v>165</v>
      </c>
      <c r="B235">
        <v>9.319604943454738E-7</v>
      </c>
      <c r="C235">
        <v>9.2679012700000004E-7</v>
      </c>
      <c r="D235">
        <v>0</v>
      </c>
      <c r="E235">
        <v>9.2679012700000004E-7</v>
      </c>
      <c r="F235">
        <v>100</v>
      </c>
      <c r="G235">
        <v>0.99445216039001205</v>
      </c>
    </row>
    <row r="236" spans="1:7" x14ac:dyDescent="0.2">
      <c r="A236" t="s">
        <v>226</v>
      </c>
      <c r="B236">
        <v>9.2751541882729204E-7</v>
      </c>
      <c r="C236">
        <v>9.2236971199999998E-7</v>
      </c>
      <c r="D236">
        <v>0</v>
      </c>
      <c r="E236">
        <v>9.2236971199999998E-7</v>
      </c>
      <c r="F236">
        <v>100</v>
      </c>
      <c r="G236">
        <v>0.99445216033842532</v>
      </c>
    </row>
    <row r="237" spans="1:7" x14ac:dyDescent="0.2">
      <c r="A237" t="s">
        <v>225</v>
      </c>
      <c r="B237">
        <v>8.7505491690006275E-7</v>
      </c>
      <c r="C237">
        <v>9.2108572200000004E-7</v>
      </c>
      <c r="D237">
        <v>0</v>
      </c>
      <c r="E237">
        <v>9.2108572200000004E-7</v>
      </c>
      <c r="F237">
        <v>100</v>
      </c>
      <c r="G237">
        <v>1.0526033329005271</v>
      </c>
    </row>
    <row r="238" spans="1:7" x14ac:dyDescent="0.2">
      <c r="A238" t="s">
        <v>211</v>
      </c>
      <c r="B238">
        <v>8.8504752523797425E-7</v>
      </c>
      <c r="C238">
        <v>8.8011594599999998E-7</v>
      </c>
      <c r="D238">
        <v>0</v>
      </c>
      <c r="E238">
        <v>8.8011594599999998E-7</v>
      </c>
      <c r="F238">
        <v>100</v>
      </c>
      <c r="G238">
        <v>0.99442789330816073</v>
      </c>
    </row>
    <row r="239" spans="1:7" x14ac:dyDescent="0.2">
      <c r="A239" t="s">
        <v>210</v>
      </c>
      <c r="B239">
        <v>8.5535122951089746E-7</v>
      </c>
      <c r="C239">
        <v>8.7816117399999999E-7</v>
      </c>
      <c r="D239">
        <v>0</v>
      </c>
      <c r="E239">
        <v>8.7816117399999999E-7</v>
      </c>
      <c r="F239">
        <v>100</v>
      </c>
      <c r="G239">
        <v>1.026667342843647</v>
      </c>
    </row>
    <row r="240" spans="1:7" x14ac:dyDescent="0.2">
      <c r="A240" t="s">
        <v>222</v>
      </c>
      <c r="B240">
        <v>8.7508169269494031E-7</v>
      </c>
      <c r="C240">
        <v>8.7022688000000004E-7</v>
      </c>
      <c r="D240">
        <v>0</v>
      </c>
      <c r="E240">
        <v>8.7022688000000004E-7</v>
      </c>
      <c r="F240">
        <v>100</v>
      </c>
      <c r="G240">
        <v>0.99445216059772756</v>
      </c>
    </row>
    <row r="241" spans="1:7" x14ac:dyDescent="0.2">
      <c r="A241" t="s">
        <v>258</v>
      </c>
      <c r="B241">
        <v>5.0348399523424642E-7</v>
      </c>
      <c r="C241">
        <v>8.6441062700000005E-7</v>
      </c>
      <c r="D241">
        <v>0</v>
      </c>
      <c r="E241">
        <v>8.6441062700000005E-7</v>
      </c>
      <c r="F241">
        <v>100</v>
      </c>
      <c r="G241">
        <v>1.716858202409854</v>
      </c>
    </row>
    <row r="242" spans="1:7" x14ac:dyDescent="0.2">
      <c r="A242" t="s">
        <v>160</v>
      </c>
      <c r="B242">
        <v>3.0179925393311351E-6</v>
      </c>
      <c r="C242">
        <v>8.6223475899999996E-7</v>
      </c>
      <c r="D242">
        <v>0</v>
      </c>
      <c r="E242">
        <v>8.6223475899999996E-7</v>
      </c>
      <c r="F242">
        <v>100</v>
      </c>
      <c r="G242">
        <v>0.28569810818389008</v>
      </c>
    </row>
    <row r="243" spans="1:7" x14ac:dyDescent="0.2">
      <c r="A243" t="s">
        <v>162</v>
      </c>
      <c r="B243">
        <v>2.333399881476771E-6</v>
      </c>
      <c r="C243">
        <v>8.6223475899999996E-7</v>
      </c>
      <c r="D243">
        <v>0</v>
      </c>
      <c r="E243">
        <v>8.6223475899999996E-7</v>
      </c>
      <c r="F243">
        <v>100</v>
      </c>
      <c r="G243">
        <v>0.36951864352298919</v>
      </c>
    </row>
    <row r="244" spans="1:7" x14ac:dyDescent="0.2">
      <c r="A244" t="s">
        <v>161</v>
      </c>
      <c r="B244">
        <v>3.7348927034399971E-6</v>
      </c>
      <c r="C244">
        <v>8.6223475899999996E-7</v>
      </c>
      <c r="D244">
        <v>0</v>
      </c>
      <c r="E244">
        <v>8.6223475899999996E-7</v>
      </c>
      <c r="F244">
        <v>100</v>
      </c>
      <c r="G244">
        <v>0.23085931175635771</v>
      </c>
    </row>
    <row r="245" spans="1:7" x14ac:dyDescent="0.2">
      <c r="A245" t="s">
        <v>163</v>
      </c>
      <c r="B245">
        <v>8.2505013739130478E-7</v>
      </c>
      <c r="C245">
        <v>8.6223475899999996E-7</v>
      </c>
      <c r="D245">
        <v>0</v>
      </c>
      <c r="E245">
        <v>8.6223475899999996E-7</v>
      </c>
      <c r="F245">
        <v>100</v>
      </c>
      <c r="G245">
        <v>1.045069529624306</v>
      </c>
    </row>
    <row r="246" spans="1:7" x14ac:dyDescent="0.2">
      <c r="A246" t="s">
        <v>249</v>
      </c>
      <c r="B246">
        <v>8.309441250564245E-7</v>
      </c>
      <c r="C246">
        <v>8.2633417800000003E-7</v>
      </c>
      <c r="D246">
        <v>0</v>
      </c>
      <c r="E246">
        <v>8.2633417800000003E-7</v>
      </c>
      <c r="F246">
        <v>100</v>
      </c>
      <c r="G246">
        <v>0.99445215759108785</v>
      </c>
    </row>
    <row r="247" spans="1:7" x14ac:dyDescent="0.2">
      <c r="A247" t="s">
        <v>241</v>
      </c>
      <c r="B247">
        <v>7.8956496953481757E-7</v>
      </c>
      <c r="C247">
        <v>8.1063677500000001E-7</v>
      </c>
      <c r="D247">
        <v>0</v>
      </c>
      <c r="E247">
        <v>8.1063677500000001E-7</v>
      </c>
      <c r="F247">
        <v>100</v>
      </c>
      <c r="G247">
        <v>1.026687867722395</v>
      </c>
    </row>
    <row r="248" spans="1:7" x14ac:dyDescent="0.2">
      <c r="A248" t="s">
        <v>234</v>
      </c>
      <c r="B248">
        <v>7.9666118247586876E-7</v>
      </c>
      <c r="C248">
        <v>7.9224143399999997E-7</v>
      </c>
      <c r="D248">
        <v>0</v>
      </c>
      <c r="E248">
        <v>7.9224143399999997E-7</v>
      </c>
      <c r="F248">
        <v>100</v>
      </c>
      <c r="G248">
        <v>0.99445216037496253</v>
      </c>
    </row>
    <row r="249" spans="1:7" x14ac:dyDescent="0.2">
      <c r="A249" t="s">
        <v>254</v>
      </c>
      <c r="B249">
        <v>7.9283245239078864E-7</v>
      </c>
      <c r="C249">
        <v>7.8843394500000004E-7</v>
      </c>
      <c r="D249">
        <v>0</v>
      </c>
      <c r="E249">
        <v>7.8843394500000004E-7</v>
      </c>
      <c r="F249">
        <v>100</v>
      </c>
      <c r="G249">
        <v>0.99445216025463523</v>
      </c>
    </row>
    <row r="250" spans="1:7" x14ac:dyDescent="0.2">
      <c r="A250" t="s">
        <v>261</v>
      </c>
      <c r="B250">
        <v>7.637227850493753E-7</v>
      </c>
      <c r="C250">
        <v>7.5948577399999995E-7</v>
      </c>
      <c r="D250">
        <v>0</v>
      </c>
      <c r="E250">
        <v>7.5948577399999995E-7</v>
      </c>
      <c r="F250">
        <v>100</v>
      </c>
      <c r="G250">
        <v>0.99445216100354861</v>
      </c>
    </row>
    <row r="251" spans="1:7" x14ac:dyDescent="0.2">
      <c r="A251" t="s">
        <v>269</v>
      </c>
      <c r="B251">
        <v>7.6052570128421366E-7</v>
      </c>
      <c r="C251">
        <v>7.5630642799999999E-7</v>
      </c>
      <c r="D251">
        <v>0</v>
      </c>
      <c r="E251">
        <v>7.5630642799999999E-7</v>
      </c>
      <c r="F251">
        <v>100</v>
      </c>
      <c r="G251">
        <v>0.99445216213325982</v>
      </c>
    </row>
    <row r="252" spans="1:7" x14ac:dyDescent="0.2">
      <c r="A252" t="s">
        <v>265</v>
      </c>
      <c r="B252">
        <v>7.5759802677479755E-7</v>
      </c>
      <c r="C252">
        <v>7.5339499500000001E-7</v>
      </c>
      <c r="D252">
        <v>0</v>
      </c>
      <c r="E252">
        <v>7.5339499500000001E-7</v>
      </c>
      <c r="F252">
        <v>100</v>
      </c>
      <c r="G252">
        <v>0.99445216113789203</v>
      </c>
    </row>
    <row r="253" spans="1:7" x14ac:dyDescent="0.2">
      <c r="A253" t="s">
        <v>236</v>
      </c>
      <c r="B253">
        <v>7.5262379515820323E-7</v>
      </c>
      <c r="C253">
        <v>7.4844835899999998E-7</v>
      </c>
      <c r="D253">
        <v>0</v>
      </c>
      <c r="E253">
        <v>7.4844835899999998E-7</v>
      </c>
      <c r="F253">
        <v>100</v>
      </c>
      <c r="G253">
        <v>0.99445216031559891</v>
      </c>
    </row>
    <row r="254" spans="1:7" x14ac:dyDescent="0.2">
      <c r="A254" t="s">
        <v>159</v>
      </c>
      <c r="B254">
        <v>4.5440808396417002E-7</v>
      </c>
      <c r="C254">
        <v>7.4586577599999997E-7</v>
      </c>
      <c r="D254">
        <v>0</v>
      </c>
      <c r="E254">
        <v>7.4586577599999997E-7</v>
      </c>
      <c r="F254">
        <v>100</v>
      </c>
      <c r="G254">
        <v>1.641400763589433</v>
      </c>
    </row>
    <row r="255" spans="1:7" x14ac:dyDescent="0.2">
      <c r="A255" t="s">
        <v>251</v>
      </c>
      <c r="B255">
        <v>4.5893236269672498E-7</v>
      </c>
      <c r="C255">
        <v>7.2508108699999995E-7</v>
      </c>
      <c r="D255">
        <v>0</v>
      </c>
      <c r="E255">
        <v>7.2508108699999995E-7</v>
      </c>
      <c r="F255">
        <v>100</v>
      </c>
      <c r="G255">
        <v>1.5799301725843931</v>
      </c>
    </row>
    <row r="256" spans="1:7" x14ac:dyDescent="0.2">
      <c r="A256" t="s">
        <v>406</v>
      </c>
      <c r="B256">
        <v>1.319975085838414E-6</v>
      </c>
      <c r="C256">
        <v>7.1938616599999995E-7</v>
      </c>
      <c r="D256">
        <v>0</v>
      </c>
      <c r="E256">
        <v>7.1938616599999995E-7</v>
      </c>
      <c r="F256">
        <v>100</v>
      </c>
      <c r="G256">
        <v>0.54499980622214883</v>
      </c>
    </row>
    <row r="257" spans="1:7" x14ac:dyDescent="0.2">
      <c r="A257" t="s">
        <v>264</v>
      </c>
      <c r="B257">
        <v>7.1360173356291784E-7</v>
      </c>
      <c r="C257">
        <v>7.0964278500000004E-7</v>
      </c>
      <c r="D257">
        <v>0</v>
      </c>
      <c r="E257">
        <v>7.0964278500000004E-7</v>
      </c>
      <c r="F257">
        <v>100</v>
      </c>
      <c r="G257">
        <v>0.9944521595496254</v>
      </c>
    </row>
    <row r="258" spans="1:7" x14ac:dyDescent="0.2">
      <c r="A258" t="s">
        <v>280</v>
      </c>
      <c r="B258">
        <v>7.0125805011427707E-7</v>
      </c>
      <c r="C258">
        <v>6.9736758300000002E-7</v>
      </c>
      <c r="D258">
        <v>0</v>
      </c>
      <c r="E258">
        <v>6.9736758300000002E-7</v>
      </c>
      <c r="F258">
        <v>100</v>
      </c>
      <c r="G258">
        <v>0.99445216049406771</v>
      </c>
    </row>
    <row r="259" spans="1:7" x14ac:dyDescent="0.2">
      <c r="A259" t="s">
        <v>275</v>
      </c>
      <c r="B259">
        <v>2.5372305410322223E-7</v>
      </c>
      <c r="C259">
        <v>6.86385259E-7</v>
      </c>
      <c r="D259">
        <v>0</v>
      </c>
      <c r="E259">
        <v>6.86385259E-7</v>
      </c>
      <c r="F259">
        <v>100</v>
      </c>
      <c r="G259">
        <v>2.705253810797807</v>
      </c>
    </row>
    <row r="260" spans="1:7" x14ac:dyDescent="0.2">
      <c r="A260" t="s">
        <v>248</v>
      </c>
      <c r="B260">
        <v>1.093053399760971E-6</v>
      </c>
      <c r="C260">
        <v>6.7577335899999998E-7</v>
      </c>
      <c r="D260">
        <v>0</v>
      </c>
      <c r="E260">
        <v>6.7577335899999998E-7</v>
      </c>
      <c r="F260">
        <v>100</v>
      </c>
      <c r="G260">
        <v>0.61824368246581352</v>
      </c>
    </row>
    <row r="261" spans="1:7" x14ac:dyDescent="0.2">
      <c r="A261" t="s">
        <v>204</v>
      </c>
      <c r="B261">
        <v>1.936939655383592E-6</v>
      </c>
      <c r="C261">
        <v>6.6053650500000004E-7</v>
      </c>
      <c r="D261">
        <v>0</v>
      </c>
      <c r="E261">
        <v>6.6053650500000004E-7</v>
      </c>
      <c r="F261">
        <v>100</v>
      </c>
      <c r="G261">
        <v>0.34102069373409949</v>
      </c>
    </row>
    <row r="262" spans="1:7" x14ac:dyDescent="0.2">
      <c r="A262" t="s">
        <v>203</v>
      </c>
      <c r="B262">
        <v>2.7019258963612581E-6</v>
      </c>
      <c r="C262">
        <v>6.6053650500000004E-7</v>
      </c>
      <c r="D262">
        <v>0</v>
      </c>
      <c r="E262">
        <v>6.6053650500000004E-7</v>
      </c>
      <c r="F262">
        <v>100</v>
      </c>
      <c r="G262">
        <v>0.24446877166008099</v>
      </c>
    </row>
    <row r="263" spans="1:7" x14ac:dyDescent="0.2">
      <c r="A263" t="s">
        <v>282</v>
      </c>
      <c r="B263">
        <v>1.0216157216366201E-6</v>
      </c>
      <c r="C263">
        <v>6.5281319100000002E-7</v>
      </c>
      <c r="D263">
        <v>0</v>
      </c>
      <c r="E263">
        <v>6.5281319100000002E-7</v>
      </c>
      <c r="F263">
        <v>100</v>
      </c>
      <c r="G263">
        <v>0.63900072911387706</v>
      </c>
    </row>
    <row r="264" spans="1:7" x14ac:dyDescent="0.2">
      <c r="A264" t="s">
        <v>306</v>
      </c>
      <c r="B264">
        <v>6.4120684023300493E-7</v>
      </c>
      <c r="C264">
        <v>6.3764952800000003E-7</v>
      </c>
      <c r="D264">
        <v>0</v>
      </c>
      <c r="E264">
        <v>6.3764952800000003E-7</v>
      </c>
      <c r="F264">
        <v>100</v>
      </c>
      <c r="G264">
        <v>0.99445216112836188</v>
      </c>
    </row>
    <row r="265" spans="1:7" x14ac:dyDescent="0.2">
      <c r="A265" t="s">
        <v>256</v>
      </c>
      <c r="B265">
        <v>6.3790930707453429E-7</v>
      </c>
      <c r="C265">
        <v>6.3437028900000002E-7</v>
      </c>
      <c r="D265">
        <v>0</v>
      </c>
      <c r="E265">
        <v>6.3437028900000002E-7</v>
      </c>
      <c r="F265">
        <v>100</v>
      </c>
      <c r="G265">
        <v>0.99445216109047807</v>
      </c>
    </row>
    <row r="266" spans="1:7" x14ac:dyDescent="0.2">
      <c r="A266" t="s">
        <v>263</v>
      </c>
      <c r="B266">
        <v>9.6473186987531086E-7</v>
      </c>
      <c r="C266">
        <v>6.1646436799999997E-7</v>
      </c>
      <c r="D266">
        <v>0</v>
      </c>
      <c r="E266">
        <v>6.1646436799999997E-7</v>
      </c>
      <c r="F266">
        <v>100</v>
      </c>
      <c r="G266">
        <v>0.63900072885503034</v>
      </c>
    </row>
    <row r="267" spans="1:7" x14ac:dyDescent="0.2">
      <c r="A267" t="s">
        <v>279</v>
      </c>
      <c r="B267">
        <v>9.9520071952275695E-7</v>
      </c>
      <c r="C267">
        <v>6.0843223900000002E-7</v>
      </c>
      <c r="D267">
        <v>0</v>
      </c>
      <c r="E267">
        <v>6.0843223900000002E-7</v>
      </c>
      <c r="F267">
        <v>100</v>
      </c>
      <c r="G267">
        <v>0.61136635762459091</v>
      </c>
    </row>
    <row r="268" spans="1:7" x14ac:dyDescent="0.2">
      <c r="A268" t="s">
        <v>292</v>
      </c>
      <c r="B268">
        <v>5.5879633861186495E-7</v>
      </c>
      <c r="C268">
        <v>5.9348614899999996E-7</v>
      </c>
      <c r="D268">
        <v>0</v>
      </c>
      <c r="E268">
        <v>5.9348614899999996E-7</v>
      </c>
      <c r="F268">
        <v>100</v>
      </c>
      <c r="G268">
        <v>1.0620795234169029</v>
      </c>
    </row>
    <row r="269" spans="1:7" x14ac:dyDescent="0.2">
      <c r="A269" t="s">
        <v>270</v>
      </c>
      <c r="B269">
        <v>5.9110236647335976E-7</v>
      </c>
      <c r="C269">
        <v>5.8782302499999999E-7</v>
      </c>
      <c r="D269">
        <v>0</v>
      </c>
      <c r="E269">
        <v>5.8782302499999999E-7</v>
      </c>
      <c r="F269">
        <v>100</v>
      </c>
      <c r="G269">
        <v>0.99445215979606882</v>
      </c>
    </row>
    <row r="270" spans="1:7" x14ac:dyDescent="0.2">
      <c r="A270" t="s">
        <v>404</v>
      </c>
      <c r="B270">
        <v>6.2405758796261692E-8</v>
      </c>
      <c r="C270">
        <v>5.5848749499999999E-7</v>
      </c>
      <c r="D270">
        <v>0</v>
      </c>
      <c r="E270">
        <v>5.5848749499999999E-7</v>
      </c>
      <c r="F270">
        <v>100</v>
      </c>
      <c r="G270">
        <v>8.9492941961224126</v>
      </c>
    </row>
    <row r="271" spans="1:7" x14ac:dyDescent="0.2">
      <c r="A271" t="s">
        <v>405</v>
      </c>
      <c r="B271">
        <v>2.4202523029502799E-7</v>
      </c>
      <c r="C271">
        <v>5.5753349300000001E-7</v>
      </c>
      <c r="D271">
        <v>0</v>
      </c>
      <c r="E271">
        <v>5.5753349300000001E-7</v>
      </c>
      <c r="F271">
        <v>100</v>
      </c>
      <c r="G271">
        <v>2.3036172399066341</v>
      </c>
    </row>
    <row r="272" spans="1:7" x14ac:dyDescent="0.2">
      <c r="A272" t="s">
        <v>299</v>
      </c>
      <c r="B272">
        <v>1.519929370873219E-5</v>
      </c>
      <c r="C272">
        <v>5.3153991499999996E-7</v>
      </c>
      <c r="D272">
        <v>0</v>
      </c>
      <c r="E272">
        <v>5.3153991499999996E-7</v>
      </c>
      <c r="F272">
        <v>100</v>
      </c>
      <c r="G272">
        <v>3.4971356247601393E-2</v>
      </c>
    </row>
    <row r="273" spans="1:7" x14ac:dyDescent="0.2">
      <c r="A273" t="s">
        <v>297</v>
      </c>
      <c r="B273">
        <v>3.959199261464927E-6</v>
      </c>
      <c r="C273">
        <v>5.3153991499999996E-7</v>
      </c>
      <c r="D273">
        <v>0</v>
      </c>
      <c r="E273">
        <v>5.3153991499999996E-7</v>
      </c>
      <c r="F273">
        <v>100</v>
      </c>
      <c r="G273">
        <v>0.1342543984015917</v>
      </c>
    </row>
    <row r="274" spans="1:7" x14ac:dyDescent="0.2">
      <c r="A274" t="s">
        <v>296</v>
      </c>
      <c r="B274">
        <v>1.825600080427554E-5</v>
      </c>
      <c r="C274">
        <v>5.3153991499999996E-7</v>
      </c>
      <c r="D274">
        <v>0</v>
      </c>
      <c r="E274">
        <v>5.3153991499999996E-7</v>
      </c>
      <c r="F274">
        <v>100</v>
      </c>
      <c r="G274">
        <v>2.9115901160319511E-2</v>
      </c>
    </row>
    <row r="275" spans="1:7" x14ac:dyDescent="0.2">
      <c r="A275" t="s">
        <v>298</v>
      </c>
      <c r="B275">
        <v>6.7069952807728951E-7</v>
      </c>
      <c r="C275">
        <v>5.3153991499999996E-7</v>
      </c>
      <c r="D275">
        <v>0</v>
      </c>
      <c r="E275">
        <v>5.3153991499999996E-7</v>
      </c>
      <c r="F275">
        <v>100</v>
      </c>
      <c r="G275">
        <v>0.79251571344291571</v>
      </c>
    </row>
    <row r="276" spans="1:7" x14ac:dyDescent="0.2">
      <c r="A276" t="s">
        <v>302</v>
      </c>
      <c r="B276">
        <v>3.355831480221223E-6</v>
      </c>
      <c r="C276">
        <v>5.3153991499999996E-7</v>
      </c>
      <c r="D276">
        <v>0</v>
      </c>
      <c r="E276">
        <v>5.3153991499999996E-7</v>
      </c>
      <c r="F276">
        <v>100</v>
      </c>
      <c r="G276">
        <v>0.1583929104106741</v>
      </c>
    </row>
    <row r="277" spans="1:7" x14ac:dyDescent="0.2">
      <c r="A277" t="s">
        <v>301</v>
      </c>
      <c r="B277">
        <v>1.9559264068929248E-6</v>
      </c>
      <c r="C277">
        <v>5.3153991499999996E-7</v>
      </c>
      <c r="D277">
        <v>0</v>
      </c>
      <c r="E277">
        <v>5.3153991499999996E-7</v>
      </c>
      <c r="F277">
        <v>100</v>
      </c>
      <c r="G277">
        <v>0.27175864752722179</v>
      </c>
    </row>
    <row r="278" spans="1:7" x14ac:dyDescent="0.2">
      <c r="A278" t="s">
        <v>303</v>
      </c>
      <c r="B278">
        <v>4.8222333664969554E-6</v>
      </c>
      <c r="C278">
        <v>5.3153991499999996E-7</v>
      </c>
      <c r="D278">
        <v>0</v>
      </c>
      <c r="E278">
        <v>5.3153991499999996E-7</v>
      </c>
      <c r="F278">
        <v>100</v>
      </c>
      <c r="G278">
        <v>0.11022691657623571</v>
      </c>
    </row>
    <row r="279" spans="1:7" x14ac:dyDescent="0.2">
      <c r="A279" t="s">
        <v>295</v>
      </c>
      <c r="B279">
        <v>3.6967878370974742E-6</v>
      </c>
      <c r="C279">
        <v>5.3153991499999996E-7</v>
      </c>
      <c r="D279">
        <v>0</v>
      </c>
      <c r="E279">
        <v>5.3153991499999996E-7</v>
      </c>
      <c r="F279">
        <v>100</v>
      </c>
      <c r="G279">
        <v>0.14378426310159509</v>
      </c>
    </row>
    <row r="280" spans="1:7" x14ac:dyDescent="0.2">
      <c r="A280" t="s">
        <v>300</v>
      </c>
      <c r="B280">
        <v>7.1466893273635155E-7</v>
      </c>
      <c r="C280">
        <v>5.3153991499999996E-7</v>
      </c>
      <c r="D280">
        <v>0</v>
      </c>
      <c r="E280">
        <v>5.3153991499999996E-7</v>
      </c>
      <c r="F280">
        <v>100</v>
      </c>
      <c r="G280">
        <v>0.74375685111261203</v>
      </c>
    </row>
    <row r="281" spans="1:7" x14ac:dyDescent="0.2">
      <c r="A281" t="s">
        <v>278</v>
      </c>
      <c r="B281">
        <v>5.306753326574433E-7</v>
      </c>
      <c r="C281">
        <v>5.2773123100000005E-7</v>
      </c>
      <c r="D281">
        <v>0</v>
      </c>
      <c r="E281">
        <v>5.2773123100000005E-7</v>
      </c>
      <c r="F281">
        <v>100</v>
      </c>
      <c r="G281">
        <v>0.99445216033935446</v>
      </c>
    </row>
    <row r="282" spans="1:7" x14ac:dyDescent="0.2">
      <c r="A282" t="s">
        <v>252</v>
      </c>
      <c r="B282">
        <v>5.136824431307588E-7</v>
      </c>
      <c r="C282">
        <v>5.1083261499999999E-7</v>
      </c>
      <c r="D282">
        <v>0</v>
      </c>
      <c r="E282">
        <v>5.1083261499999999E-7</v>
      </c>
      <c r="F282">
        <v>100</v>
      </c>
      <c r="G282">
        <v>0.99445215975576295</v>
      </c>
    </row>
    <row r="283" spans="1:7" x14ac:dyDescent="0.2">
      <c r="A283" t="s">
        <v>313</v>
      </c>
      <c r="B283">
        <v>3.0912754370711861E-7</v>
      </c>
      <c r="C283">
        <v>5.0224585200000003E-7</v>
      </c>
      <c r="D283">
        <v>0</v>
      </c>
      <c r="E283">
        <v>5.0224585200000003E-7</v>
      </c>
      <c r="F283">
        <v>100</v>
      </c>
      <c r="G283">
        <v>1.6247204826104089</v>
      </c>
    </row>
    <row r="284" spans="1:7" x14ac:dyDescent="0.2">
      <c r="A284" t="s">
        <v>274</v>
      </c>
      <c r="B284">
        <v>3.0736414133253138E-7</v>
      </c>
      <c r="C284">
        <v>4.9172038800000004E-7</v>
      </c>
      <c r="D284">
        <v>0</v>
      </c>
      <c r="E284">
        <v>4.9172038800000004E-7</v>
      </c>
      <c r="F284">
        <v>100</v>
      </c>
      <c r="G284">
        <v>1.5997975101071309</v>
      </c>
    </row>
    <row r="285" spans="1:7" x14ac:dyDescent="0.2">
      <c r="A285" t="s">
        <v>260</v>
      </c>
      <c r="B285">
        <v>4.8707157730000338E-7</v>
      </c>
      <c r="C285">
        <v>4.8436938199999997E-7</v>
      </c>
      <c r="D285">
        <v>0</v>
      </c>
      <c r="E285">
        <v>4.8436938199999997E-7</v>
      </c>
      <c r="F285">
        <v>100</v>
      </c>
      <c r="G285">
        <v>0.99445215975240731</v>
      </c>
    </row>
    <row r="286" spans="1:7" x14ac:dyDescent="0.2">
      <c r="A286" t="s">
        <v>289</v>
      </c>
      <c r="B286">
        <v>2.8782723287781732E-7</v>
      </c>
      <c r="C286">
        <v>4.7132542900000001E-7</v>
      </c>
      <c r="D286">
        <v>0</v>
      </c>
      <c r="E286">
        <v>4.7132542900000001E-7</v>
      </c>
      <c r="F286">
        <v>100</v>
      </c>
      <c r="G286">
        <v>1.6375289589087549</v>
      </c>
    </row>
    <row r="287" spans="1:7" x14ac:dyDescent="0.2">
      <c r="A287" t="s">
        <v>402</v>
      </c>
      <c r="B287">
        <v>3.8324700416436482E-7</v>
      </c>
      <c r="C287">
        <v>4.57154512E-7</v>
      </c>
      <c r="D287">
        <v>0</v>
      </c>
      <c r="E287">
        <v>4.57154512E-7</v>
      </c>
      <c r="F287">
        <v>100</v>
      </c>
      <c r="G287">
        <v>1.1928456244473029</v>
      </c>
    </row>
    <row r="288" spans="1:7" x14ac:dyDescent="0.2">
      <c r="A288" t="s">
        <v>288</v>
      </c>
      <c r="B288">
        <v>4.5964905259227198E-7</v>
      </c>
      <c r="C288">
        <v>4.5709899299999998E-7</v>
      </c>
      <c r="D288">
        <v>0</v>
      </c>
      <c r="E288">
        <v>4.5709899299999998E-7</v>
      </c>
      <c r="F288">
        <v>100</v>
      </c>
      <c r="G288">
        <v>0.99445215958155353</v>
      </c>
    </row>
    <row r="289" spans="1:7" x14ac:dyDescent="0.2">
      <c r="A289" t="s">
        <v>276</v>
      </c>
      <c r="B289">
        <v>2.5966641847878079E-7</v>
      </c>
      <c r="C289">
        <v>4.2621665800000001E-7</v>
      </c>
      <c r="D289">
        <v>0</v>
      </c>
      <c r="E289">
        <v>4.2621665800000001E-7</v>
      </c>
      <c r="F289">
        <v>100</v>
      </c>
      <c r="G289">
        <v>1.641400765246928</v>
      </c>
    </row>
    <row r="290" spans="1:7" x14ac:dyDescent="0.2">
      <c r="A290" t="s">
        <v>155</v>
      </c>
      <c r="B290">
        <v>2.337070116278326E-7</v>
      </c>
      <c r="C290">
        <v>4.2286105300000002E-7</v>
      </c>
      <c r="D290">
        <v>0</v>
      </c>
      <c r="E290">
        <v>4.2286105300000002E-7</v>
      </c>
      <c r="F290">
        <v>100</v>
      </c>
      <c r="G290">
        <v>1.809363998344159</v>
      </c>
    </row>
    <row r="291" spans="1:7" x14ac:dyDescent="0.2">
      <c r="A291" t="s">
        <v>271</v>
      </c>
      <c r="B291">
        <v>3.9909528502258641E-7</v>
      </c>
      <c r="C291">
        <v>3.9644572499999998E-7</v>
      </c>
      <c r="D291">
        <v>0</v>
      </c>
      <c r="E291">
        <v>3.9644572499999998E-7</v>
      </c>
      <c r="F291">
        <v>100</v>
      </c>
      <c r="G291">
        <v>0.99336108412697366</v>
      </c>
    </row>
    <row r="292" spans="1:7" x14ac:dyDescent="0.2">
      <c r="A292" t="s">
        <v>281</v>
      </c>
      <c r="B292">
        <v>3.7740492275671731E-7</v>
      </c>
      <c r="C292">
        <v>3.75311141E-7</v>
      </c>
      <c r="D292">
        <v>0</v>
      </c>
      <c r="E292">
        <v>3.75311141E-7</v>
      </c>
      <c r="F292">
        <v>100</v>
      </c>
      <c r="G292">
        <v>0.99445216098024525</v>
      </c>
    </row>
    <row r="293" spans="1:7" x14ac:dyDescent="0.2">
      <c r="A293" t="s">
        <v>149</v>
      </c>
      <c r="B293">
        <v>3.7616036706062978E-7</v>
      </c>
      <c r="C293">
        <v>3.7407349000000002E-7</v>
      </c>
      <c r="D293">
        <v>0</v>
      </c>
      <c r="E293">
        <v>3.7407349000000002E-7</v>
      </c>
      <c r="F293">
        <v>100</v>
      </c>
      <c r="G293">
        <v>0.99445216124990277</v>
      </c>
    </row>
    <row r="294" spans="1:7" x14ac:dyDescent="0.2">
      <c r="A294" t="s">
        <v>272</v>
      </c>
      <c r="B294">
        <v>3.6288805957073349E-7</v>
      </c>
      <c r="C294">
        <v>3.6087481500000002E-7</v>
      </c>
      <c r="D294">
        <v>0</v>
      </c>
      <c r="E294">
        <v>3.6087481500000002E-7</v>
      </c>
      <c r="F294">
        <v>100</v>
      </c>
      <c r="G294">
        <v>0.9944521608864314</v>
      </c>
    </row>
    <row r="295" spans="1:7" x14ac:dyDescent="0.2">
      <c r="A295" t="s">
        <v>273</v>
      </c>
      <c r="B295">
        <v>7.2199183244019259E-7</v>
      </c>
      <c r="C295">
        <v>3.6087481500000002E-7</v>
      </c>
      <c r="D295">
        <v>0</v>
      </c>
      <c r="E295">
        <v>3.6087481500000002E-7</v>
      </c>
      <c r="F295">
        <v>100</v>
      </c>
      <c r="G295">
        <v>0.49983226788080548</v>
      </c>
    </row>
    <row r="296" spans="1:7" x14ac:dyDescent="0.2">
      <c r="A296" t="s">
        <v>179</v>
      </c>
      <c r="B296">
        <v>4.7523017924727976E-6</v>
      </c>
      <c r="C296">
        <v>3.3626283200000002E-7</v>
      </c>
      <c r="D296">
        <v>0</v>
      </c>
      <c r="E296">
        <v>3.3626283200000002E-7</v>
      </c>
      <c r="F296">
        <v>100</v>
      </c>
      <c r="G296">
        <v>7.075788674292717E-2</v>
      </c>
    </row>
    <row r="297" spans="1:7" x14ac:dyDescent="0.2">
      <c r="A297" t="s">
        <v>305</v>
      </c>
      <c r="B297">
        <v>3.3553643562699129E-7</v>
      </c>
      <c r="C297">
        <v>3.33674933E-7</v>
      </c>
      <c r="D297">
        <v>0</v>
      </c>
      <c r="E297">
        <v>3.33674933E-7</v>
      </c>
      <c r="F297">
        <v>100</v>
      </c>
      <c r="G297">
        <v>0.99445215949942112</v>
      </c>
    </row>
    <row r="298" spans="1:7" x14ac:dyDescent="0.2">
      <c r="A298" t="s">
        <v>255</v>
      </c>
      <c r="B298">
        <v>3.1825607541038179E-7</v>
      </c>
      <c r="C298">
        <v>3.1649044200000001E-7</v>
      </c>
      <c r="D298">
        <v>0</v>
      </c>
      <c r="E298">
        <v>3.1649044200000001E-7</v>
      </c>
      <c r="F298">
        <v>100</v>
      </c>
      <c r="G298">
        <v>0.99445216117836854</v>
      </c>
    </row>
    <row r="299" spans="1:7" x14ac:dyDescent="0.2">
      <c r="A299" t="s">
        <v>291</v>
      </c>
      <c r="B299">
        <v>2.9061571067994378E-7</v>
      </c>
      <c r="C299">
        <v>2.8900342099999998E-7</v>
      </c>
      <c r="D299">
        <v>0</v>
      </c>
      <c r="E299">
        <v>2.8900342099999998E-7</v>
      </c>
      <c r="F299">
        <v>100</v>
      </c>
      <c r="G299">
        <v>0.99445215925810881</v>
      </c>
    </row>
    <row r="300" spans="1:7" x14ac:dyDescent="0.2">
      <c r="A300" t="s">
        <v>310</v>
      </c>
      <c r="B300">
        <v>2.698582507041034E-7</v>
      </c>
      <c r="C300">
        <v>2.6836111999999999E-7</v>
      </c>
      <c r="D300">
        <v>0</v>
      </c>
      <c r="E300">
        <v>2.6836111999999999E-7</v>
      </c>
      <c r="F300">
        <v>100</v>
      </c>
      <c r="G300">
        <v>0.99445215886415494</v>
      </c>
    </row>
    <row r="301" spans="1:7" x14ac:dyDescent="0.2">
      <c r="A301" t="s">
        <v>293</v>
      </c>
      <c r="B301">
        <v>2.6883481391660849E-7</v>
      </c>
      <c r="C301">
        <v>2.6734336199999998E-7</v>
      </c>
      <c r="D301">
        <v>0</v>
      </c>
      <c r="E301">
        <v>2.6734336199999998E-7</v>
      </c>
      <c r="F301">
        <v>100</v>
      </c>
      <c r="G301">
        <v>0.9944521622966912</v>
      </c>
    </row>
    <row r="302" spans="1:7" x14ac:dyDescent="0.2">
      <c r="A302" t="s">
        <v>287</v>
      </c>
      <c r="B302">
        <v>2.535169823252404E-7</v>
      </c>
      <c r="C302">
        <v>2.52110511E-7</v>
      </c>
      <c r="D302">
        <v>0</v>
      </c>
      <c r="E302">
        <v>2.52110511E-7</v>
      </c>
      <c r="F302">
        <v>100</v>
      </c>
      <c r="G302">
        <v>0.9944521613016204</v>
      </c>
    </row>
    <row r="303" spans="1:7" x14ac:dyDescent="0.2">
      <c r="A303" t="s">
        <v>330</v>
      </c>
      <c r="B303">
        <v>2.5232000197109E-7</v>
      </c>
      <c r="C303">
        <v>2.5092017100000001E-7</v>
      </c>
      <c r="D303">
        <v>0</v>
      </c>
      <c r="E303">
        <v>2.5092017100000001E-7</v>
      </c>
      <c r="F303">
        <v>100</v>
      </c>
      <c r="G303">
        <v>0.99445216011352788</v>
      </c>
    </row>
    <row r="304" spans="1:7" x14ac:dyDescent="0.2">
      <c r="A304" t="s">
        <v>284</v>
      </c>
      <c r="B304">
        <v>1.2985647493364439E-7</v>
      </c>
      <c r="C304">
        <v>2.21227592E-7</v>
      </c>
      <c r="D304">
        <v>0</v>
      </c>
      <c r="E304">
        <v>2.21227592E-7</v>
      </c>
      <c r="F304">
        <v>100</v>
      </c>
      <c r="G304">
        <v>1.7036315833542031</v>
      </c>
    </row>
    <row r="305" spans="1:7" x14ac:dyDescent="0.2">
      <c r="A305" t="s">
        <v>286</v>
      </c>
      <c r="B305">
        <v>2.22252107099731E-7</v>
      </c>
      <c r="C305">
        <v>2.21019088E-7</v>
      </c>
      <c r="D305">
        <v>0</v>
      </c>
      <c r="E305">
        <v>2.21019088E-7</v>
      </c>
      <c r="F305">
        <v>100</v>
      </c>
      <c r="G305">
        <v>0.99445216013552717</v>
      </c>
    </row>
    <row r="306" spans="1:7" x14ac:dyDescent="0.2">
      <c r="A306" t="s">
        <v>307</v>
      </c>
      <c r="B306">
        <v>2.220920667817364E-7</v>
      </c>
      <c r="C306">
        <v>2.2085993600000001E-7</v>
      </c>
      <c r="D306">
        <v>0</v>
      </c>
      <c r="E306">
        <v>2.2085993600000001E-7</v>
      </c>
      <c r="F306">
        <v>100</v>
      </c>
      <c r="G306">
        <v>0.99445216211641063</v>
      </c>
    </row>
    <row r="307" spans="1:7" x14ac:dyDescent="0.2">
      <c r="A307" t="s">
        <v>304</v>
      </c>
      <c r="B307">
        <v>0</v>
      </c>
      <c r="C307">
        <v>2.0510575800000001E-7</v>
      </c>
      <c r="D307">
        <v>0</v>
      </c>
      <c r="E307">
        <v>2.0510575800000001E-7</v>
      </c>
      <c r="F307">
        <v>100</v>
      </c>
      <c r="G307" t="s">
        <v>52</v>
      </c>
    </row>
    <row r="308" spans="1:7" x14ac:dyDescent="0.2">
      <c r="A308" t="s">
        <v>308</v>
      </c>
      <c r="B308">
        <v>1.564436183934272E-7</v>
      </c>
      <c r="C308">
        <v>2.0198708400000001E-7</v>
      </c>
      <c r="D308">
        <v>0</v>
      </c>
      <c r="E308">
        <v>2.0198708400000001E-7</v>
      </c>
      <c r="F308">
        <v>100</v>
      </c>
      <c r="G308">
        <v>1.2911174394601339</v>
      </c>
    </row>
    <row r="309" spans="1:7" x14ac:dyDescent="0.2">
      <c r="A309" t="s">
        <v>277</v>
      </c>
      <c r="B309">
        <v>1.9666370249863871E-7</v>
      </c>
      <c r="C309">
        <v>1.9557264400000001E-7</v>
      </c>
      <c r="D309">
        <v>0</v>
      </c>
      <c r="E309">
        <v>1.9557264400000001E-7</v>
      </c>
      <c r="F309">
        <v>100</v>
      </c>
      <c r="G309">
        <v>0.99445216130492509</v>
      </c>
    </row>
    <row r="310" spans="1:7" x14ac:dyDescent="0.2">
      <c r="A310" t="s">
        <v>290</v>
      </c>
      <c r="B310">
        <v>1.94704630547409E-7</v>
      </c>
      <c r="C310">
        <v>1.9362444E-7</v>
      </c>
      <c r="D310">
        <v>0</v>
      </c>
      <c r="E310">
        <v>1.9362444E-7</v>
      </c>
      <c r="F310">
        <v>100</v>
      </c>
      <c r="G310">
        <v>0.99445215789489927</v>
      </c>
    </row>
    <row r="311" spans="1:7" x14ac:dyDescent="0.2">
      <c r="A311" t="s">
        <v>322</v>
      </c>
      <c r="B311">
        <v>1.6118947607285339E-7</v>
      </c>
      <c r="C311">
        <v>1.6029522300000001E-7</v>
      </c>
      <c r="D311">
        <v>0</v>
      </c>
      <c r="E311">
        <v>1.6029522300000001E-7</v>
      </c>
      <c r="F311">
        <v>100</v>
      </c>
      <c r="G311">
        <v>0.99445216217187016</v>
      </c>
    </row>
    <row r="312" spans="1:7" x14ac:dyDescent="0.2">
      <c r="A312" t="s">
        <v>309</v>
      </c>
      <c r="B312">
        <v>1.514242230706137E-7</v>
      </c>
      <c r="C312">
        <v>1.5058414599999999E-7</v>
      </c>
      <c r="D312">
        <v>0</v>
      </c>
      <c r="E312">
        <v>1.5058414599999999E-7</v>
      </c>
      <c r="F312">
        <v>100</v>
      </c>
      <c r="G312">
        <v>0.99445216192245589</v>
      </c>
    </row>
    <row r="313" spans="1:7" x14ac:dyDescent="0.2">
      <c r="A313" t="s">
        <v>325</v>
      </c>
      <c r="B313">
        <v>1.3649852339096529E-7</v>
      </c>
      <c r="C313">
        <v>1.3675394900000001E-7</v>
      </c>
      <c r="D313">
        <v>0</v>
      </c>
      <c r="E313">
        <v>1.3675394900000001E-7</v>
      </c>
      <c r="F313">
        <v>100</v>
      </c>
      <c r="G313">
        <v>1.001871270125781</v>
      </c>
    </row>
    <row r="314" spans="1:7" x14ac:dyDescent="0.2">
      <c r="A314" t="s">
        <v>324</v>
      </c>
      <c r="B314">
        <v>1.212520273796234E-6</v>
      </c>
      <c r="C314">
        <v>1.3675394900000001E-7</v>
      </c>
      <c r="D314">
        <v>0</v>
      </c>
      <c r="E314">
        <v>1.3675394900000001E-7</v>
      </c>
      <c r="F314">
        <v>100</v>
      </c>
      <c r="G314">
        <v>0.1127848762246608</v>
      </c>
    </row>
    <row r="315" spans="1:7" x14ac:dyDescent="0.2">
      <c r="A315" t="s">
        <v>314</v>
      </c>
      <c r="B315">
        <v>0</v>
      </c>
      <c r="C315">
        <v>1.3015502199999999E-7</v>
      </c>
      <c r="D315">
        <v>0</v>
      </c>
      <c r="E315">
        <v>1.3015502199999999E-7</v>
      </c>
      <c r="F315">
        <v>100</v>
      </c>
      <c r="G315" t="s">
        <v>52</v>
      </c>
    </row>
    <row r="316" spans="1:7" x14ac:dyDescent="0.2">
      <c r="A316" t="s">
        <v>328</v>
      </c>
      <c r="B316">
        <v>1.2643962243065269E-7</v>
      </c>
      <c r="C316">
        <v>1.2573815599999999E-7</v>
      </c>
      <c r="D316">
        <v>0</v>
      </c>
      <c r="E316">
        <v>1.2573815599999999E-7</v>
      </c>
      <c r="F316">
        <v>100</v>
      </c>
      <c r="G316">
        <v>0.99445216288084493</v>
      </c>
    </row>
    <row r="317" spans="1:7" x14ac:dyDescent="0.2">
      <c r="A317" t="s">
        <v>285</v>
      </c>
      <c r="B317">
        <v>1.059787987770069E-7</v>
      </c>
      <c r="C317">
        <v>1.0880714699999999E-7</v>
      </c>
      <c r="D317">
        <v>0</v>
      </c>
      <c r="E317">
        <v>1.0880714699999999E-7</v>
      </c>
      <c r="F317">
        <v>100</v>
      </c>
      <c r="G317">
        <v>1.0266878682871681</v>
      </c>
    </row>
    <row r="318" spans="1:7" x14ac:dyDescent="0.2">
      <c r="A318" t="s">
        <v>311</v>
      </c>
      <c r="B318">
        <v>1.04560809048475E-7</v>
      </c>
      <c r="C318">
        <v>1.0398072199999999E-7</v>
      </c>
      <c r="D318">
        <v>0</v>
      </c>
      <c r="E318">
        <v>1.0398072199999999E-7</v>
      </c>
      <c r="F318">
        <v>100</v>
      </c>
      <c r="G318">
        <v>0.99445215608262871</v>
      </c>
    </row>
    <row r="319" spans="1:7" x14ac:dyDescent="0.2">
      <c r="A319" t="s">
        <v>312</v>
      </c>
      <c r="B319">
        <v>9.0511226021999174E-8</v>
      </c>
      <c r="C319">
        <v>9.0009083999999996E-8</v>
      </c>
      <c r="D319">
        <v>0</v>
      </c>
      <c r="E319">
        <v>9.0009083999999996E-8</v>
      </c>
      <c r="F319">
        <v>100</v>
      </c>
      <c r="G319">
        <v>0.9944521575491958</v>
      </c>
    </row>
    <row r="320" spans="1:7" x14ac:dyDescent="0.2">
      <c r="A320" t="s">
        <v>294</v>
      </c>
      <c r="B320">
        <v>8.8127268039799641E-8</v>
      </c>
      <c r="C320">
        <v>8.7638352E-8</v>
      </c>
      <c r="D320">
        <v>0</v>
      </c>
      <c r="E320">
        <v>8.7638352E-8</v>
      </c>
      <c r="F320">
        <v>100</v>
      </c>
      <c r="G320">
        <v>0.99445215935232623</v>
      </c>
    </row>
    <row r="321" spans="1:7" x14ac:dyDescent="0.2">
      <c r="A321" t="s">
        <v>327</v>
      </c>
      <c r="B321">
        <v>8.4179571114440116E-8</v>
      </c>
      <c r="C321">
        <v>8.3712555999999994E-8</v>
      </c>
      <c r="D321">
        <v>0</v>
      </c>
      <c r="E321">
        <v>8.3712555999999994E-8</v>
      </c>
      <c r="F321">
        <v>100</v>
      </c>
      <c r="G321">
        <v>0.9944521561673767</v>
      </c>
    </row>
    <row r="322" spans="1:7" x14ac:dyDescent="0.2">
      <c r="A322" t="s">
        <v>329</v>
      </c>
      <c r="B322">
        <v>8.2743997154052865E-8</v>
      </c>
      <c r="C322">
        <v>8.2284947000000005E-8</v>
      </c>
      <c r="D322">
        <v>0</v>
      </c>
      <c r="E322">
        <v>8.2284947000000005E-8</v>
      </c>
      <c r="F322">
        <v>100</v>
      </c>
      <c r="G322">
        <v>0.99445216366332656</v>
      </c>
    </row>
    <row r="323" spans="1:7" x14ac:dyDescent="0.2">
      <c r="A323" t="s">
        <v>338</v>
      </c>
      <c r="B323">
        <v>8.2134056351863089E-8</v>
      </c>
      <c r="C323">
        <v>8.1678389999999997E-8</v>
      </c>
      <c r="D323">
        <v>0</v>
      </c>
      <c r="E323">
        <v>8.1678389999999997E-8</v>
      </c>
      <c r="F323">
        <v>100</v>
      </c>
      <c r="G323">
        <v>0.99445216305997342</v>
      </c>
    </row>
    <row r="324" spans="1:7" x14ac:dyDescent="0.2">
      <c r="A324" t="s">
        <v>333</v>
      </c>
      <c r="B324">
        <v>1.444425045057843E-6</v>
      </c>
      <c r="C324">
        <v>8.0762645000000003E-8</v>
      </c>
      <c r="D324">
        <v>0</v>
      </c>
      <c r="E324">
        <v>8.0762645000000003E-8</v>
      </c>
      <c r="F324">
        <v>100</v>
      </c>
      <c r="G324">
        <v>5.5913351320189701E-2</v>
      </c>
    </row>
    <row r="325" spans="1:7" x14ac:dyDescent="0.2">
      <c r="A325" t="s">
        <v>334</v>
      </c>
      <c r="B325">
        <v>2.8723804184092622E-7</v>
      </c>
      <c r="C325">
        <v>8.0762645000000003E-8</v>
      </c>
      <c r="D325">
        <v>0</v>
      </c>
      <c r="E325">
        <v>8.0762645000000003E-8</v>
      </c>
      <c r="F325">
        <v>100</v>
      </c>
      <c r="G325">
        <v>0.28116973811124479</v>
      </c>
    </row>
    <row r="326" spans="1:7" x14ac:dyDescent="0.2">
      <c r="A326" t="s">
        <v>336</v>
      </c>
      <c r="B326">
        <v>8.1218433560317273E-8</v>
      </c>
      <c r="C326">
        <v>8.0762645000000003E-8</v>
      </c>
      <c r="D326">
        <v>0</v>
      </c>
      <c r="E326">
        <v>8.0762645000000003E-8</v>
      </c>
      <c r="F326">
        <v>100</v>
      </c>
      <c r="G326">
        <v>0.99438811436841146</v>
      </c>
    </row>
    <row r="327" spans="1:7" x14ac:dyDescent="0.2">
      <c r="A327" t="s">
        <v>335</v>
      </c>
      <c r="B327">
        <v>7.0449012109265147E-7</v>
      </c>
      <c r="C327">
        <v>8.0762645000000003E-8</v>
      </c>
      <c r="D327">
        <v>0</v>
      </c>
      <c r="E327">
        <v>8.0762645000000003E-8</v>
      </c>
      <c r="F327">
        <v>100</v>
      </c>
      <c r="G327">
        <v>0.1146398545301652</v>
      </c>
    </row>
    <row r="328" spans="1:7" x14ac:dyDescent="0.2">
      <c r="A328" t="s">
        <v>326</v>
      </c>
      <c r="B328">
        <v>7.4207670701446902E-8</v>
      </c>
      <c r="C328">
        <v>7.3795977999999994E-8</v>
      </c>
      <c r="D328">
        <v>0</v>
      </c>
      <c r="E328">
        <v>7.3795977999999994E-8</v>
      </c>
      <c r="F328">
        <v>100</v>
      </c>
      <c r="G328">
        <v>0.99445215437224499</v>
      </c>
    </row>
    <row r="329" spans="1:7" x14ac:dyDescent="0.2">
      <c r="A329" t="s">
        <v>283</v>
      </c>
      <c r="B329">
        <v>3.7324430858512939E-8</v>
      </c>
      <c r="C329">
        <v>6.4246772E-8</v>
      </c>
      <c r="D329">
        <v>0</v>
      </c>
      <c r="E329">
        <v>6.4246772E-8</v>
      </c>
      <c r="F329">
        <v>100</v>
      </c>
      <c r="G329">
        <v>1.7213061397652001</v>
      </c>
    </row>
    <row r="330" spans="1:7" x14ac:dyDescent="0.2">
      <c r="A330" t="s">
        <v>237</v>
      </c>
      <c r="B330">
        <v>5.3945012991307429E-8</v>
      </c>
      <c r="C330">
        <v>5.3645735000000001E-8</v>
      </c>
      <c r="D330">
        <v>0</v>
      </c>
      <c r="E330">
        <v>5.3645735000000001E-8</v>
      </c>
      <c r="F330">
        <v>100</v>
      </c>
      <c r="G330">
        <v>0.99445216573855211</v>
      </c>
    </row>
    <row r="331" spans="1:7" x14ac:dyDescent="0.2">
      <c r="A331" t="s">
        <v>240</v>
      </c>
      <c r="B331">
        <v>2.4186054650682741E-6</v>
      </c>
      <c r="C331">
        <v>5.3645735000000001E-8</v>
      </c>
      <c r="D331">
        <v>0</v>
      </c>
      <c r="E331">
        <v>5.3645735000000001E-8</v>
      </c>
      <c r="F331">
        <v>100</v>
      </c>
      <c r="G331">
        <v>2.2180440660868869E-2</v>
      </c>
    </row>
    <row r="332" spans="1:7" x14ac:dyDescent="0.2">
      <c r="A332" t="s">
        <v>238</v>
      </c>
      <c r="B332">
        <v>1.867627060077278E-6</v>
      </c>
      <c r="C332">
        <v>5.3645735000000001E-8</v>
      </c>
      <c r="D332">
        <v>0</v>
      </c>
      <c r="E332">
        <v>5.3645735000000001E-8</v>
      </c>
      <c r="F332">
        <v>100</v>
      </c>
      <c r="G332">
        <v>2.8724008206317309E-2</v>
      </c>
    </row>
    <row r="333" spans="1:7" x14ac:dyDescent="0.2">
      <c r="A333" t="s">
        <v>239</v>
      </c>
      <c r="B333">
        <v>1.6177895310213249E-6</v>
      </c>
      <c r="C333">
        <v>5.3645735000000001E-8</v>
      </c>
      <c r="D333">
        <v>0</v>
      </c>
      <c r="E333">
        <v>5.3645735000000001E-8</v>
      </c>
      <c r="F333">
        <v>100</v>
      </c>
      <c r="G333">
        <v>3.3159897484398342E-2</v>
      </c>
    </row>
    <row r="334" spans="1:7" x14ac:dyDescent="0.2">
      <c r="A334" t="s">
        <v>331</v>
      </c>
      <c r="B334">
        <v>4.8219709043107341E-8</v>
      </c>
      <c r="C334">
        <v>4.7952194E-8</v>
      </c>
      <c r="D334">
        <v>0</v>
      </c>
      <c r="E334">
        <v>4.7952194E-8</v>
      </c>
      <c r="F334">
        <v>100</v>
      </c>
      <c r="G334">
        <v>0.99445216388866664</v>
      </c>
    </row>
    <row r="335" spans="1:7" x14ac:dyDescent="0.2">
      <c r="A335" t="s">
        <v>337</v>
      </c>
      <c r="B335">
        <v>4.2092215970948663E-8</v>
      </c>
      <c r="C335">
        <v>4.1858695000000003E-8</v>
      </c>
      <c r="D335">
        <v>0</v>
      </c>
      <c r="E335">
        <v>4.1858695000000003E-8</v>
      </c>
      <c r="F335">
        <v>100</v>
      </c>
      <c r="G335">
        <v>0.99445215782628715</v>
      </c>
    </row>
    <row r="336" spans="1:7" x14ac:dyDescent="0.2">
      <c r="A336" t="s">
        <v>332</v>
      </c>
      <c r="B336">
        <v>2.583898563375316E-6</v>
      </c>
      <c r="C336">
        <v>3.8444468E-8</v>
      </c>
      <c r="D336">
        <v>0</v>
      </c>
      <c r="E336">
        <v>3.8444468E-8</v>
      </c>
      <c r="F336">
        <v>100</v>
      </c>
      <c r="G336">
        <v>1.487847415719774E-2</v>
      </c>
    </row>
    <row r="337" spans="1:7" x14ac:dyDescent="0.2">
      <c r="A337" t="s">
        <v>339</v>
      </c>
      <c r="B337">
        <v>3.808356335163409E-8</v>
      </c>
      <c r="C337">
        <v>3.7872282E-8</v>
      </c>
      <c r="D337">
        <v>0</v>
      </c>
      <c r="E337">
        <v>3.7872282E-8</v>
      </c>
      <c r="F337">
        <v>100</v>
      </c>
      <c r="G337">
        <v>0.99445216431867778</v>
      </c>
    </row>
    <row r="338" spans="1:7" x14ac:dyDescent="0.2">
      <c r="A338" t="s">
        <v>346</v>
      </c>
      <c r="B338">
        <v>1.3469888076306591E-8</v>
      </c>
      <c r="C338">
        <v>1.3395159E-8</v>
      </c>
      <c r="D338">
        <v>0</v>
      </c>
      <c r="E338">
        <v>1.3395159E-8</v>
      </c>
      <c r="F338">
        <v>100</v>
      </c>
      <c r="G338">
        <v>0.99445213828925294</v>
      </c>
    </row>
    <row r="339" spans="1:7" x14ac:dyDescent="0.2">
      <c r="A339" t="s">
        <v>343</v>
      </c>
      <c r="B339">
        <v>2.113117870001836E-7</v>
      </c>
      <c r="C339">
        <v>8.1885629999999994E-9</v>
      </c>
      <c r="D339">
        <v>0</v>
      </c>
      <c r="E339">
        <v>8.1885629999999994E-9</v>
      </c>
      <c r="F339">
        <v>100</v>
      </c>
      <c r="G339">
        <v>3.8751094372188932E-2</v>
      </c>
    </row>
    <row r="340" spans="1:7" x14ac:dyDescent="0.2">
      <c r="A340" t="s">
        <v>341</v>
      </c>
      <c r="B340">
        <v>5.4049891202541512E-8</v>
      </c>
      <c r="C340">
        <v>8.1885629999999994E-9</v>
      </c>
      <c r="D340">
        <v>0</v>
      </c>
      <c r="E340">
        <v>8.1885629999999994E-9</v>
      </c>
      <c r="F340">
        <v>100</v>
      </c>
      <c r="G340">
        <v>0.15150008293846409</v>
      </c>
    </row>
    <row r="341" spans="1:7" x14ac:dyDescent="0.2">
      <c r="A341" t="s">
        <v>342</v>
      </c>
      <c r="B341">
        <v>3.858917475792461E-8</v>
      </c>
      <c r="C341">
        <v>8.1885629999999994E-9</v>
      </c>
      <c r="D341">
        <v>0</v>
      </c>
      <c r="E341">
        <v>8.1885629999999994E-9</v>
      </c>
      <c r="F341">
        <v>100</v>
      </c>
      <c r="G341">
        <v>0.2121984481753762</v>
      </c>
    </row>
    <row r="342" spans="1:7" x14ac:dyDescent="0.2">
      <c r="A342" t="s">
        <v>345</v>
      </c>
      <c r="B342">
        <v>3.6709147545628319E-7</v>
      </c>
      <c r="C342">
        <v>8.1885629999999994E-9</v>
      </c>
      <c r="D342">
        <v>0</v>
      </c>
      <c r="E342">
        <v>8.1885629999999994E-9</v>
      </c>
      <c r="F342">
        <v>100</v>
      </c>
      <c r="G342">
        <v>2.2306600799764889E-2</v>
      </c>
    </row>
    <row r="343" spans="1:7" x14ac:dyDescent="0.2">
      <c r="A343" t="s">
        <v>344</v>
      </c>
      <c r="B343">
        <v>8.2342454319652119E-9</v>
      </c>
      <c r="C343">
        <v>8.1885629999999994E-9</v>
      </c>
      <c r="D343">
        <v>0</v>
      </c>
      <c r="E343">
        <v>8.1885629999999994E-9</v>
      </c>
      <c r="F343">
        <v>100</v>
      </c>
      <c r="G343">
        <v>0.99445214108048396</v>
      </c>
    </row>
    <row r="344" spans="1:7" x14ac:dyDescent="0.2">
      <c r="A344" t="s">
        <v>340</v>
      </c>
      <c r="B344">
        <v>2.1906276287730562E-6</v>
      </c>
      <c r="C344">
        <v>8.1885629999999994E-9</v>
      </c>
      <c r="D344">
        <v>0</v>
      </c>
      <c r="E344">
        <v>8.1885629999999994E-9</v>
      </c>
      <c r="F344">
        <v>100</v>
      </c>
      <c r="G344">
        <v>3.7379985956747541E-3</v>
      </c>
    </row>
    <row r="345" spans="1:7" x14ac:dyDescent="0.2">
      <c r="A345" t="s">
        <v>418</v>
      </c>
      <c r="B345">
        <v>1.9365354906505009E-8</v>
      </c>
      <c r="C345">
        <v>1.0209313212E-5</v>
      </c>
      <c r="D345">
        <v>1.0209313212E-5</v>
      </c>
      <c r="E345">
        <v>0</v>
      </c>
      <c r="F345">
        <v>0</v>
      </c>
      <c r="G345">
        <v>527.1947382988883</v>
      </c>
    </row>
    <row r="346" spans="1:7" x14ac:dyDescent="0.2">
      <c r="A346" t="s">
        <v>348</v>
      </c>
      <c r="B346">
        <v>3.7215427850943527E-7</v>
      </c>
      <c r="C346">
        <v>1.535112497E-6</v>
      </c>
      <c r="D346">
        <v>1.535112497E-6</v>
      </c>
      <c r="E346">
        <v>0</v>
      </c>
      <c r="F346">
        <v>0</v>
      </c>
      <c r="G346">
        <v>4.1249357743473576</v>
      </c>
    </row>
  </sheetData>
  <sortState xmlns:xlrd2="http://schemas.microsoft.com/office/spreadsheetml/2017/richdata2" ref="A2:G361">
    <sortCondition descending="1" ref="G1:G361"/>
  </sortState>
  <mergeCells count="1">
    <mergeCell ref="K21:K2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D618-DC5C-1946-B7C5-78B94A63E2A6}">
  <dimension ref="A1:AJ100"/>
  <sheetViews>
    <sheetView tabSelected="1" zoomScale="56" zoomScaleNormal="50" workbookViewId="0">
      <selection activeCell="AI54" sqref="AI54"/>
    </sheetView>
  </sheetViews>
  <sheetFormatPr baseColWidth="10" defaultRowHeight="15" x14ac:dyDescent="0.2"/>
  <cols>
    <col min="1" max="1" width="11.33203125" bestFit="1" customWidth="1"/>
    <col min="5" max="5" width="12.5" bestFit="1" customWidth="1"/>
    <col min="6" max="6" width="13" bestFit="1" customWidth="1"/>
    <col min="7" max="8" width="11.33203125" bestFit="1" customWidth="1"/>
    <col min="9" max="9" width="11.1640625" bestFit="1" customWidth="1"/>
    <col min="10" max="11" width="12.6640625" bestFit="1" customWidth="1"/>
    <col min="12" max="12" width="11.33203125" bestFit="1" customWidth="1"/>
    <col min="13" max="13" width="12.6640625" bestFit="1" customWidth="1"/>
    <col min="15" max="16" width="12.6640625" bestFit="1" customWidth="1"/>
  </cols>
  <sheetData>
    <row r="1" spans="1:36" x14ac:dyDescent="0.2">
      <c r="B1" t="s">
        <v>407</v>
      </c>
      <c r="C1" s="12" t="s">
        <v>408</v>
      </c>
      <c r="D1" s="12"/>
      <c r="E1" s="12"/>
      <c r="G1" s="10"/>
      <c r="O1" s="10"/>
      <c r="AJ1" s="12"/>
    </row>
    <row r="2" spans="1:36" x14ac:dyDescent="0.2">
      <c r="B2" t="s">
        <v>425</v>
      </c>
      <c r="C2" s="12" t="s">
        <v>409</v>
      </c>
      <c r="D2" s="12"/>
      <c r="E2" s="12"/>
      <c r="G2" s="10"/>
      <c r="O2" s="10"/>
      <c r="AJ2" s="12"/>
    </row>
    <row r="3" spans="1:36" x14ac:dyDescent="0.2">
      <c r="B3" s="12"/>
      <c r="C3" s="12"/>
      <c r="D3" s="12"/>
      <c r="E3" s="12"/>
      <c r="G3" s="10"/>
      <c r="O3" s="10"/>
      <c r="AJ3" s="12"/>
    </row>
    <row r="4" spans="1:36" x14ac:dyDescent="0.2">
      <c r="B4" s="12"/>
      <c r="C4" s="12"/>
      <c r="D4" s="12"/>
      <c r="E4" s="12"/>
      <c r="G4" s="10"/>
      <c r="O4" s="10"/>
      <c r="AJ4" s="12"/>
    </row>
    <row r="5" spans="1:36" x14ac:dyDescent="0.2">
      <c r="B5" s="12"/>
      <c r="C5" s="12"/>
      <c r="D5" s="12"/>
      <c r="E5" s="12"/>
      <c r="F5" t="s">
        <v>410</v>
      </c>
      <c r="G5" s="15" t="s">
        <v>411</v>
      </c>
      <c r="I5" s="20"/>
      <c r="J5" s="20"/>
      <c r="L5" s="20" t="s">
        <v>412</v>
      </c>
      <c r="M5" s="20"/>
      <c r="O5" s="21" t="s">
        <v>413</v>
      </c>
      <c r="P5" s="21"/>
      <c r="AJ5" s="12"/>
    </row>
    <row r="6" spans="1:36" x14ac:dyDescent="0.2">
      <c r="A6" t="s">
        <v>414</v>
      </c>
      <c r="B6" s="12"/>
      <c r="C6" s="12"/>
      <c r="D6" s="12"/>
      <c r="E6" s="12" t="s">
        <v>361</v>
      </c>
      <c r="F6" s="12" t="s">
        <v>360</v>
      </c>
      <c r="G6" s="15" t="s">
        <v>415</v>
      </c>
      <c r="L6" t="s">
        <v>396</v>
      </c>
      <c r="M6" t="s">
        <v>416</v>
      </c>
      <c r="O6" s="16" t="s">
        <v>396</v>
      </c>
      <c r="P6" s="17" t="s">
        <v>416</v>
      </c>
      <c r="AJ6" s="12"/>
    </row>
    <row r="7" spans="1:36" x14ac:dyDescent="0.2">
      <c r="A7">
        <v>34.896999999999998</v>
      </c>
      <c r="B7" s="13" t="s">
        <v>86</v>
      </c>
      <c r="C7" s="7" t="s">
        <v>365</v>
      </c>
      <c r="D7" s="12" t="s">
        <v>366</v>
      </c>
      <c r="E7" s="12"/>
      <c r="F7" s="12">
        <v>9.0680858160000007E-6</v>
      </c>
      <c r="G7" s="15">
        <f>F7/ 0.359</f>
        <v>2.5259291966573819E-5</v>
      </c>
      <c r="K7" s="13" t="s">
        <v>86</v>
      </c>
      <c r="L7">
        <v>8.7810714011608197E-4</v>
      </c>
      <c r="M7">
        <v>5.0234309230539104E-5</v>
      </c>
      <c r="O7" s="16">
        <f>L7/A7</f>
        <v>2.5162826034217326E-5</v>
      </c>
      <c r="P7" s="17">
        <f>M7/A7</f>
        <v>1.4395022274275469E-6</v>
      </c>
      <c r="AJ7" s="12"/>
    </row>
    <row r="8" spans="1:36" x14ac:dyDescent="0.2">
      <c r="A8">
        <v>53.859000000000002</v>
      </c>
      <c r="B8" s="13" t="s">
        <v>70</v>
      </c>
      <c r="C8" s="7" t="s">
        <v>367</v>
      </c>
      <c r="D8" s="12" t="s">
        <v>368</v>
      </c>
      <c r="E8" s="12"/>
      <c r="F8" s="12">
        <v>1.6730915609E-5</v>
      </c>
      <c r="G8" s="15">
        <f t="shared" ref="G8:G42" si="0">F8/ 0.359</f>
        <v>4.660422175208914E-5</v>
      </c>
      <c r="K8" s="13" t="s">
        <v>70</v>
      </c>
      <c r="L8">
        <v>2.500879381420637E-3</v>
      </c>
      <c r="M8">
        <v>1.2660655271744335E-4</v>
      </c>
      <c r="O8" s="16">
        <f t="shared" ref="O8:O28" si="1">L8/A8</f>
        <v>4.6433825013844236E-5</v>
      </c>
      <c r="P8" s="17">
        <f t="shared" ref="P8:P42" si="2">M8/A8</f>
        <v>2.3507037397174724E-6</v>
      </c>
      <c r="AJ8" s="12"/>
    </row>
    <row r="9" spans="1:36" x14ac:dyDescent="0.2">
      <c r="A9">
        <v>25.530999999999999</v>
      </c>
      <c r="B9" s="13" t="s">
        <v>156</v>
      </c>
      <c r="C9" s="7" t="s">
        <v>369</v>
      </c>
      <c r="D9" s="12" t="s">
        <v>370</v>
      </c>
      <c r="E9" s="12"/>
      <c r="F9" s="12">
        <v>2.7599900110000001E-6</v>
      </c>
      <c r="G9" s="15">
        <f t="shared" si="0"/>
        <v>7.6879944596100283E-6</v>
      </c>
      <c r="K9" s="13" t="s">
        <v>156</v>
      </c>
      <c r="L9">
        <v>1.9556452960030229E-4</v>
      </c>
      <c r="M9">
        <v>1.0158722033320065E-5</v>
      </c>
      <c r="O9" s="16">
        <f t="shared" si="1"/>
        <v>7.6598852218989575E-6</v>
      </c>
      <c r="P9" s="17">
        <f t="shared" si="2"/>
        <v>3.9789753763346777E-7</v>
      </c>
      <c r="AJ9" s="12"/>
    </row>
    <row r="10" spans="1:36" x14ac:dyDescent="0.2">
      <c r="A10">
        <v>65.391999999999996</v>
      </c>
      <c r="B10" s="13" t="s">
        <v>74</v>
      </c>
      <c r="C10" s="7" t="s">
        <v>371</v>
      </c>
      <c r="D10" s="12" t="s">
        <v>372</v>
      </c>
      <c r="E10" s="12"/>
      <c r="F10" s="12">
        <v>1.5802869112000001E-5</v>
      </c>
      <c r="G10" s="15">
        <f t="shared" si="0"/>
        <v>4.4019134016713098E-5</v>
      </c>
      <c r="K10" s="13" t="s">
        <v>74</v>
      </c>
      <c r="L10">
        <v>2.8679746955733972E-3</v>
      </c>
      <c r="M10">
        <v>8.472346603292725E-5</v>
      </c>
      <c r="O10" s="16">
        <f t="shared" si="1"/>
        <v>4.3858189007422885E-5</v>
      </c>
      <c r="P10" s="17">
        <f t="shared" si="2"/>
        <v>1.2956243276383541E-6</v>
      </c>
      <c r="AJ10" s="12"/>
    </row>
    <row r="11" spans="1:36" x14ac:dyDescent="0.2">
      <c r="A11">
        <v>21.504999999999999</v>
      </c>
      <c r="B11" s="13" t="s">
        <v>16</v>
      </c>
      <c r="C11" s="7" t="s">
        <v>373</v>
      </c>
      <c r="D11" s="12" t="s">
        <v>374</v>
      </c>
      <c r="E11" s="12"/>
      <c r="F11" s="12">
        <v>1.8070364462E-5</v>
      </c>
      <c r="G11" s="15">
        <f t="shared" si="0"/>
        <v>5.033527705292479E-5</v>
      </c>
      <c r="K11" s="13" t="s">
        <v>16</v>
      </c>
      <c r="L11">
        <v>1.0785023869237772E-3</v>
      </c>
      <c r="M11">
        <v>1.1151130582203634E-4</v>
      </c>
      <c r="O11" s="16">
        <f t="shared" si="1"/>
        <v>5.0151238638631813E-5</v>
      </c>
      <c r="P11" s="17">
        <f t="shared" si="2"/>
        <v>5.1853664646378207E-6</v>
      </c>
      <c r="AJ11" s="12"/>
    </row>
    <row r="12" spans="1:36" x14ac:dyDescent="0.2">
      <c r="A12">
        <v>55.399000000000001</v>
      </c>
      <c r="B12" s="13" t="s">
        <v>109</v>
      </c>
      <c r="C12" s="7" t="s">
        <v>375</v>
      </c>
      <c r="D12" s="12" t="s">
        <v>376</v>
      </c>
      <c r="E12" s="12"/>
      <c r="F12" s="12">
        <v>5.2707809199999998E-6</v>
      </c>
      <c r="G12" s="15">
        <f t="shared" si="0"/>
        <v>1.4681841002785515E-5</v>
      </c>
      <c r="K12" s="13" t="s">
        <v>109</v>
      </c>
      <c r="L12">
        <v>7.9287245025600318E-4</v>
      </c>
      <c r="M12">
        <v>2.3581530127224962E-5</v>
      </c>
      <c r="O12" s="16">
        <f t="shared" si="1"/>
        <v>1.4312035420422808E-5</v>
      </c>
      <c r="P12" s="17">
        <f t="shared" si="2"/>
        <v>4.2566707209922493E-7</v>
      </c>
      <c r="AJ12" s="12"/>
    </row>
    <row r="13" spans="1:36" x14ac:dyDescent="0.2">
      <c r="A13">
        <v>26.266999999999999</v>
      </c>
      <c r="B13" s="13" t="s">
        <v>254</v>
      </c>
      <c r="C13" s="7" t="s">
        <v>377</v>
      </c>
      <c r="D13" s="12" t="s">
        <v>378</v>
      </c>
      <c r="E13" s="12"/>
      <c r="F13" s="12">
        <v>7.8843394500000004E-7</v>
      </c>
      <c r="G13" s="15">
        <f t="shared" si="0"/>
        <v>2.1961948328690809E-6</v>
      </c>
      <c r="K13" s="13" t="s">
        <v>254</v>
      </c>
      <c r="L13">
        <v>5.7848138963746799E-5</v>
      </c>
      <c r="M13">
        <v>2.5011255499599478E-6</v>
      </c>
      <c r="O13" s="16">
        <f t="shared" si="1"/>
        <v>2.2023123677521908E-6</v>
      </c>
      <c r="P13" s="17">
        <f t="shared" si="2"/>
        <v>9.5219307494572958E-8</v>
      </c>
      <c r="AJ13" s="12"/>
    </row>
    <row r="14" spans="1:36" x14ac:dyDescent="0.2">
      <c r="A14">
        <v>36.101999999999997</v>
      </c>
      <c r="B14" s="13" t="s">
        <v>6</v>
      </c>
      <c r="C14" s="7" t="s">
        <v>379</v>
      </c>
      <c r="D14" s="12" t="s">
        <v>380</v>
      </c>
      <c r="E14" s="12"/>
      <c r="F14" s="12">
        <v>7.9093763360000004E-5</v>
      </c>
      <c r="G14" s="15">
        <f t="shared" si="0"/>
        <v>2.2031688958217273E-4</v>
      </c>
      <c r="K14" s="13" t="s">
        <v>6</v>
      </c>
      <c r="L14">
        <v>7.9364915354332086E-3</v>
      </c>
      <c r="M14">
        <v>2.9107043559065555E-4</v>
      </c>
      <c r="O14" s="16">
        <f t="shared" si="1"/>
        <v>2.1983523171661431E-4</v>
      </c>
      <c r="P14" s="17">
        <f t="shared" si="2"/>
        <v>8.0624462797256548E-6</v>
      </c>
      <c r="AJ14" s="12"/>
    </row>
    <row r="15" spans="1:36" x14ac:dyDescent="0.2">
      <c r="A15">
        <v>41.387999999999998</v>
      </c>
      <c r="B15" s="13" t="s">
        <v>15</v>
      </c>
      <c r="C15" s="7" t="s">
        <v>381</v>
      </c>
      <c r="D15" s="12" t="s">
        <v>382</v>
      </c>
      <c r="E15" s="12"/>
      <c r="F15" s="12">
        <v>2.2471245906999999E-5</v>
      </c>
      <c r="G15" s="15">
        <f t="shared" si="0"/>
        <v>6.259399974094708E-5</v>
      </c>
      <c r="K15" s="13" t="s">
        <v>15</v>
      </c>
      <c r="L15">
        <v>2.5849767353351601E-3</v>
      </c>
      <c r="M15">
        <v>5.2563526179080733E-5</v>
      </c>
      <c r="O15" s="16">
        <f t="shared" si="1"/>
        <v>6.2457155101361755E-5</v>
      </c>
      <c r="P15" s="17">
        <f t="shared" si="2"/>
        <v>1.2700185121069086E-6</v>
      </c>
      <c r="AJ15" s="12"/>
    </row>
    <row r="16" spans="1:36" x14ac:dyDescent="0.2">
      <c r="A16">
        <v>25.937999999999999</v>
      </c>
      <c r="B16" s="13" t="s">
        <v>12</v>
      </c>
      <c r="C16" s="7" t="s">
        <v>383</v>
      </c>
      <c r="D16" s="12" t="s">
        <v>384</v>
      </c>
      <c r="E16" s="12"/>
      <c r="F16" s="12">
        <v>2.4523595416000001E-5</v>
      </c>
      <c r="G16" s="15">
        <f t="shared" si="0"/>
        <v>6.8310850740947078E-5</v>
      </c>
      <c r="K16" s="13" t="s">
        <v>12</v>
      </c>
      <c r="L16">
        <v>1.7703521090390627E-3</v>
      </c>
      <c r="M16">
        <v>2.5653538810896839E-5</v>
      </c>
      <c r="O16" s="16">
        <f t="shared" si="1"/>
        <v>6.8253223418885916E-5</v>
      </c>
      <c r="P16" s="17">
        <f t="shared" si="2"/>
        <v>9.8903303303634984E-7</v>
      </c>
      <c r="AJ16" s="12"/>
    </row>
    <row r="17" spans="1:36" x14ac:dyDescent="0.2">
      <c r="A17">
        <v>45.743000000000002</v>
      </c>
      <c r="B17" s="13" t="s">
        <v>10</v>
      </c>
      <c r="C17" s="7" t="s">
        <v>385</v>
      </c>
      <c r="D17" s="12" t="s">
        <v>386</v>
      </c>
      <c r="E17" s="12"/>
      <c r="F17" s="12">
        <v>4.0171726511E-5</v>
      </c>
      <c r="G17" s="15">
        <f t="shared" si="0"/>
        <v>1.1189895964066853E-4</v>
      </c>
      <c r="K17" s="13" t="s">
        <v>10</v>
      </c>
      <c r="L17">
        <v>5.1142760432945624E-3</v>
      </c>
      <c r="M17">
        <v>1.9427640416297163E-4</v>
      </c>
      <c r="O17" s="16">
        <f t="shared" si="1"/>
        <v>1.1180456120706036E-4</v>
      </c>
      <c r="P17" s="17">
        <f t="shared" si="2"/>
        <v>4.2471286134047097E-6</v>
      </c>
      <c r="AJ17" s="12"/>
    </row>
    <row r="18" spans="1:36" x14ac:dyDescent="0.2">
      <c r="A18">
        <v>51.445</v>
      </c>
      <c r="B18" s="13" t="s">
        <v>9</v>
      </c>
      <c r="C18" s="7" t="s">
        <v>387</v>
      </c>
      <c r="D18" s="12" t="s">
        <v>388</v>
      </c>
      <c r="E18" s="12"/>
      <c r="F18" s="12">
        <v>5.3178373933E-5</v>
      </c>
      <c r="G18" s="15">
        <f t="shared" si="0"/>
        <v>1.4812917530083566E-4</v>
      </c>
      <c r="K18" s="13" t="s">
        <v>9</v>
      </c>
      <c r="L18">
        <v>7.6534367672090545E-3</v>
      </c>
      <c r="M18">
        <v>2.5661941267832855E-4</v>
      </c>
      <c r="O18" s="16">
        <f t="shared" si="1"/>
        <v>1.4876930250187686E-4</v>
      </c>
      <c r="P18" s="17">
        <f t="shared" si="2"/>
        <v>4.9882284513233268E-6</v>
      </c>
      <c r="AJ18" s="12"/>
    </row>
    <row r="19" spans="1:36" x14ac:dyDescent="0.2">
      <c r="A19">
        <v>60.926000000000002</v>
      </c>
      <c r="B19" s="13" t="s">
        <v>8</v>
      </c>
      <c r="C19" s="7" t="s">
        <v>389</v>
      </c>
      <c r="D19" s="12" t="s">
        <v>390</v>
      </c>
      <c r="E19" s="12"/>
      <c r="F19" s="12">
        <v>6.9517843571000005E-5</v>
      </c>
      <c r="G19" s="15">
        <f t="shared" si="0"/>
        <v>1.9364301830362119E-4</v>
      </c>
      <c r="K19" s="13" t="s">
        <v>8</v>
      </c>
      <c r="L19">
        <v>1.175475684914956E-2</v>
      </c>
      <c r="M19">
        <v>2.0380980611285361E-4</v>
      </c>
      <c r="O19" s="16">
        <f t="shared" si="1"/>
        <v>1.9293498422922166E-4</v>
      </c>
      <c r="P19" s="17">
        <f t="shared" si="2"/>
        <v>3.3452024769860749E-6</v>
      </c>
      <c r="AJ19" s="12"/>
    </row>
    <row r="20" spans="1:36" x14ac:dyDescent="0.2">
      <c r="A20">
        <v>36.122</v>
      </c>
      <c r="B20" s="13" t="s">
        <v>364</v>
      </c>
      <c r="C20" s="7" t="s">
        <v>391</v>
      </c>
      <c r="D20" s="12" t="s">
        <v>392</v>
      </c>
      <c r="E20" s="12"/>
      <c r="F20" s="12">
        <v>2.7194584581999999E-5</v>
      </c>
      <c r="G20" s="15">
        <f t="shared" si="0"/>
        <v>7.5750931983286903E-5</v>
      </c>
      <c r="K20" s="13" t="s">
        <v>364</v>
      </c>
      <c r="L20">
        <v>1.1882986526484123E-4</v>
      </c>
      <c r="M20">
        <v>7.0063939146987032E-6</v>
      </c>
      <c r="O20" s="16">
        <f t="shared" si="1"/>
        <v>3.2896812265334485E-6</v>
      </c>
      <c r="P20" s="17">
        <f t="shared" si="2"/>
        <v>1.9396472827359235E-7</v>
      </c>
      <c r="AJ20" s="12"/>
    </row>
    <row r="21" spans="1:36" x14ac:dyDescent="0.2">
      <c r="A21">
        <v>40.145000000000003</v>
      </c>
      <c r="B21" s="13" t="s">
        <v>393</v>
      </c>
      <c r="C21" s="7" t="s">
        <v>394</v>
      </c>
      <c r="D21" s="12"/>
      <c r="E21" s="12"/>
      <c r="F21" s="12" t="e">
        <v>#N/A</v>
      </c>
      <c r="G21" s="15" t="e">
        <f t="shared" si="0"/>
        <v>#N/A</v>
      </c>
      <c r="K21" s="13" t="s">
        <v>393</v>
      </c>
      <c r="L21">
        <v>2.8991671297659326E-3</v>
      </c>
      <c r="M21">
        <v>1.0513914294550844E-4</v>
      </c>
      <c r="O21" s="16">
        <f t="shared" si="1"/>
        <v>7.2217390204656431E-5</v>
      </c>
      <c r="P21" s="17">
        <f t="shared" si="2"/>
        <v>2.618984753904806E-6</v>
      </c>
      <c r="AJ21" s="12"/>
    </row>
    <row r="22" spans="1:36" x14ac:dyDescent="0.2">
      <c r="B22" s="13"/>
      <c r="C22" s="7"/>
      <c r="D22" s="12"/>
      <c r="E22" s="12"/>
      <c r="F22" s="12"/>
      <c r="G22" s="15">
        <f t="shared" si="0"/>
        <v>0</v>
      </c>
      <c r="K22" s="13"/>
      <c r="O22" s="16"/>
      <c r="P22" s="17"/>
      <c r="AJ22" s="12"/>
    </row>
    <row r="23" spans="1:36" x14ac:dyDescent="0.2">
      <c r="A23">
        <v>70.307000000000002</v>
      </c>
      <c r="B23" s="13" t="s">
        <v>323</v>
      </c>
      <c r="C23" s="7" t="s">
        <v>349</v>
      </c>
      <c r="E23" s="12"/>
      <c r="F23" s="12" t="e">
        <v>#N/A</v>
      </c>
      <c r="G23" s="15" t="e">
        <f t="shared" si="0"/>
        <v>#N/A</v>
      </c>
      <c r="H23" s="11" t="e">
        <f>(O23-G23)/O23</f>
        <v>#N/A</v>
      </c>
      <c r="K23" s="13" t="s">
        <v>323</v>
      </c>
      <c r="L23">
        <v>1.2723763700294297E-5</v>
      </c>
      <c r="M23">
        <v>8.4213966340878746E-7</v>
      </c>
      <c r="O23" s="16">
        <f t="shared" si="1"/>
        <v>1.8097435106453549E-7</v>
      </c>
      <c r="P23" s="17">
        <f t="shared" si="2"/>
        <v>1.1978034383614539E-8</v>
      </c>
      <c r="AJ23" s="12"/>
    </row>
    <row r="24" spans="1:36" x14ac:dyDescent="0.2">
      <c r="A24">
        <v>70.513999999999996</v>
      </c>
      <c r="B24" s="13" t="s">
        <v>230</v>
      </c>
      <c r="C24" s="7" t="s">
        <v>350</v>
      </c>
      <c r="E24" s="12"/>
      <c r="F24" s="12">
        <v>2.3197429000000002E-6</v>
      </c>
      <c r="G24" s="15">
        <f t="shared" si="0"/>
        <v>6.4616793871866304E-6</v>
      </c>
      <c r="H24" s="11">
        <f>(O24-G24)/O24</f>
        <v>-0.80700360617978517</v>
      </c>
      <c r="I24" s="11">
        <f>G24/(SUM(O23:O24))</f>
        <v>1.7199576891146595</v>
      </c>
      <c r="K24" s="13" t="s">
        <v>230</v>
      </c>
      <c r="L24">
        <v>2.521516054255981E-4</v>
      </c>
      <c r="M24">
        <v>9.1077870869679429E-6</v>
      </c>
      <c r="O24" s="16">
        <f t="shared" si="1"/>
        <v>3.5759084072042163E-6</v>
      </c>
      <c r="P24" s="17">
        <f t="shared" si="2"/>
        <v>1.2916281996437508E-7</v>
      </c>
      <c r="AJ24" s="12"/>
    </row>
    <row r="25" spans="1:36" x14ac:dyDescent="0.2">
      <c r="A25">
        <v>41.857999999999997</v>
      </c>
      <c r="B25" s="13" t="s">
        <v>173</v>
      </c>
      <c r="C25" s="7" t="s">
        <v>351</v>
      </c>
      <c r="E25" s="12"/>
      <c r="F25" s="12">
        <v>3.440413997E-6</v>
      </c>
      <c r="G25" s="15">
        <f t="shared" si="0"/>
        <v>9.5833258969359343E-6</v>
      </c>
      <c r="H25" s="11">
        <f t="shared" ref="H25:H42" si="3">(O25-G25)/O25</f>
        <v>-0.72164053713857423</v>
      </c>
      <c r="I25" s="11">
        <f>G25/O25</f>
        <v>1.7216405371385741</v>
      </c>
      <c r="K25" s="13" t="s">
        <v>173</v>
      </c>
      <c r="L25">
        <v>2.3299803108763395E-4</v>
      </c>
      <c r="M25">
        <v>7.3848104264098787E-6</v>
      </c>
      <c r="O25" s="16">
        <f t="shared" si="1"/>
        <v>5.5663918746149829E-6</v>
      </c>
      <c r="P25" s="17">
        <f t="shared" si="2"/>
        <v>1.7642530523221079E-7</v>
      </c>
      <c r="AJ25" s="12"/>
    </row>
    <row r="26" spans="1:36" x14ac:dyDescent="0.2">
      <c r="A26">
        <v>41.369</v>
      </c>
      <c r="B26" s="13" t="s">
        <v>151</v>
      </c>
      <c r="C26" s="7" t="s">
        <v>352</v>
      </c>
      <c r="E26" s="12"/>
      <c r="F26" s="12">
        <v>3.54666596E-6</v>
      </c>
      <c r="G26" s="15">
        <f t="shared" si="0"/>
        <v>9.8792923676880224E-6</v>
      </c>
      <c r="H26" s="11">
        <f t="shared" si="3"/>
        <v>-0.72164053682920404</v>
      </c>
      <c r="I26" s="11">
        <f t="shared" ref="I26:I31" si="4">G26/O26</f>
        <v>1.721640536829204</v>
      </c>
      <c r="K26" s="13" t="s">
        <v>151</v>
      </c>
      <c r="L26">
        <v>2.3738779217617287E-4</v>
      </c>
      <c r="M26">
        <v>7.4520024621489683E-6</v>
      </c>
      <c r="O26" s="16">
        <f t="shared" si="1"/>
        <v>5.7383014376990713E-6</v>
      </c>
      <c r="P26" s="17">
        <f t="shared" si="2"/>
        <v>1.8013494312526211E-7</v>
      </c>
      <c r="AJ26" s="12"/>
    </row>
    <row r="27" spans="1:36" x14ac:dyDescent="0.2">
      <c r="A27">
        <v>30.474</v>
      </c>
      <c r="B27" s="13" t="s">
        <v>258</v>
      </c>
      <c r="C27" s="7" t="s">
        <v>353</v>
      </c>
      <c r="E27" s="12"/>
      <c r="F27" s="12">
        <v>8.6441062700000005E-7</v>
      </c>
      <c r="G27" s="15">
        <f t="shared" si="0"/>
        <v>2.4078290445682456E-6</v>
      </c>
      <c r="H27" s="11">
        <f t="shared" si="3"/>
        <v>-0.72164053723550869</v>
      </c>
      <c r="I27" s="11">
        <f t="shared" si="4"/>
        <v>1.7216405372355088</v>
      </c>
      <c r="K27" s="13" t="s">
        <v>258</v>
      </c>
      <c r="L27">
        <v>4.2619920196578962E-5</v>
      </c>
      <c r="M27">
        <v>1.9420757630582804E-6</v>
      </c>
      <c r="O27" s="16">
        <f t="shared" si="1"/>
        <v>1.3985666534284624E-6</v>
      </c>
      <c r="P27" s="17">
        <f t="shared" si="2"/>
        <v>6.3728941493019642E-8</v>
      </c>
      <c r="AJ27" s="12"/>
    </row>
    <row r="28" spans="1:36" x14ac:dyDescent="0.2">
      <c r="A28">
        <v>39.941000000000003</v>
      </c>
      <c r="B28" s="13" t="s">
        <v>111</v>
      </c>
      <c r="C28" s="7" t="s">
        <v>354</v>
      </c>
      <c r="E28" s="12"/>
      <c r="F28" s="12">
        <v>7.1231986700000003E-6</v>
      </c>
      <c r="G28" s="15">
        <f t="shared" si="0"/>
        <v>1.984177902506964E-5</v>
      </c>
      <c r="H28" s="11">
        <f t="shared" si="3"/>
        <v>-0.72164053688672547</v>
      </c>
      <c r="I28" s="11">
        <f t="shared" si="4"/>
        <v>1.7216405368867256</v>
      </c>
      <c r="K28" s="13" t="s">
        <v>111</v>
      </c>
      <c r="L28">
        <v>4.6031705170778559E-4</v>
      </c>
      <c r="M28">
        <v>1.1282131489038944E-5</v>
      </c>
      <c r="O28" s="16">
        <f t="shared" si="1"/>
        <v>1.152492555789253E-5</v>
      </c>
      <c r="P28" s="17">
        <f t="shared" si="2"/>
        <v>2.8246993037327416E-7</v>
      </c>
      <c r="AJ28" s="12"/>
    </row>
    <row r="29" spans="1:36" x14ac:dyDescent="0.2">
      <c r="A29">
        <v>36.503999999999998</v>
      </c>
      <c r="B29" s="13" t="s">
        <v>96</v>
      </c>
      <c r="C29" s="7" t="s">
        <v>355</v>
      </c>
      <c r="E29" s="12"/>
      <c r="F29" s="12">
        <v>1.4063611912E-5</v>
      </c>
      <c r="G29" s="15">
        <f t="shared" si="0"/>
        <v>3.917440644011142E-5</v>
      </c>
      <c r="H29" s="11">
        <f t="shared" si="3"/>
        <v>-0.72164053674911766</v>
      </c>
      <c r="I29" s="11">
        <f t="shared" si="4"/>
        <v>1.7216405367491177</v>
      </c>
      <c r="K29" s="13" t="s">
        <v>96</v>
      </c>
      <c r="L29">
        <v>8.3061620713814198E-4</v>
      </c>
      <c r="M29">
        <v>1.4977680843132558E-5</v>
      </c>
      <c r="O29" s="16">
        <f>L29/A29</f>
        <v>2.2754114813120263E-5</v>
      </c>
      <c r="P29" s="17">
        <f t="shared" si="2"/>
        <v>4.1030245570711589E-7</v>
      </c>
      <c r="AJ29" s="12"/>
    </row>
    <row r="30" spans="1:36" x14ac:dyDescent="0.2">
      <c r="A30">
        <v>31.189</v>
      </c>
      <c r="B30" s="18" t="s">
        <v>257</v>
      </c>
      <c r="C30" s="5" t="s">
        <v>356</v>
      </c>
      <c r="E30" s="12"/>
      <c r="F30" s="12">
        <v>2.4346739730000001E-6</v>
      </c>
      <c r="G30" s="15">
        <f t="shared" si="0"/>
        <v>6.7818216518105859E-6</v>
      </c>
      <c r="H30" s="11">
        <f t="shared" si="3"/>
        <v>-0.57411123142983456</v>
      </c>
      <c r="I30" s="11">
        <f t="shared" si="4"/>
        <v>1.5741112314298347</v>
      </c>
      <c r="K30" s="18" t="s">
        <v>257</v>
      </c>
      <c r="L30">
        <v>1.3437311879554347E-4</v>
      </c>
      <c r="M30">
        <v>4.6027477844345979E-6</v>
      </c>
      <c r="O30" s="16">
        <f t="shared" ref="O30:O41" si="5">L30/A30</f>
        <v>4.3083497000719311E-6</v>
      </c>
      <c r="P30" s="17">
        <f t="shared" si="2"/>
        <v>1.4757599744892745E-7</v>
      </c>
      <c r="AJ30" s="12"/>
    </row>
    <row r="31" spans="1:36" x14ac:dyDescent="0.2">
      <c r="A31">
        <v>21.824999999999999</v>
      </c>
      <c r="B31" s="18" t="s">
        <v>348</v>
      </c>
      <c r="C31" s="5" t="s">
        <v>357</v>
      </c>
      <c r="E31" s="12"/>
      <c r="F31" s="12">
        <v>1.535112497E-6</v>
      </c>
      <c r="G31" s="15">
        <f t="shared" si="0"/>
        <v>4.2760793788300838E-6</v>
      </c>
      <c r="H31" s="11">
        <f t="shared" si="3"/>
        <v>-3.1364258461421977</v>
      </c>
      <c r="I31" s="11">
        <f t="shared" si="4"/>
        <v>4.1364258461421972</v>
      </c>
      <c r="K31" s="18" t="s">
        <v>348</v>
      </c>
      <c r="L31">
        <v>2.2561853134634518E-5</v>
      </c>
      <c r="M31">
        <v>1.0968716671586267E-6</v>
      </c>
      <c r="O31" s="16">
        <f t="shared" si="5"/>
        <v>1.0337618847484315E-6</v>
      </c>
      <c r="P31" s="17">
        <f t="shared" si="2"/>
        <v>5.0257579251254371E-8</v>
      </c>
      <c r="AJ31" s="12"/>
    </row>
    <row r="32" spans="1:36" x14ac:dyDescent="0.2">
      <c r="A32">
        <v>12.662000000000001</v>
      </c>
      <c r="B32" s="19" t="s">
        <v>347</v>
      </c>
      <c r="C32" s="3" t="s">
        <v>359</v>
      </c>
      <c r="F32" t="e">
        <v>#N/A</v>
      </c>
      <c r="G32" s="15">
        <v>0</v>
      </c>
      <c r="H32" s="11">
        <f t="shared" si="3"/>
        <v>1</v>
      </c>
      <c r="I32" s="11">
        <f>SUM(G32:G35)/SUM(O32:O35)</f>
        <v>1.5865931372909823</v>
      </c>
      <c r="K32" s="19" t="s">
        <v>347</v>
      </c>
      <c r="L32">
        <v>2.1802236949414183E-4</v>
      </c>
      <c r="M32">
        <v>4.5004422028753396E-6</v>
      </c>
      <c r="O32" s="16">
        <f t="shared" si="5"/>
        <v>1.7218636036498328E-5</v>
      </c>
      <c r="P32" s="17">
        <f t="shared" si="2"/>
        <v>3.5542901618033006E-7</v>
      </c>
      <c r="AJ32" s="12"/>
    </row>
    <row r="33" spans="1:36" x14ac:dyDescent="0.2">
      <c r="A33">
        <v>11.625</v>
      </c>
      <c r="B33" s="10" t="s">
        <v>418</v>
      </c>
      <c r="C33" t="s">
        <v>421</v>
      </c>
      <c r="F33">
        <v>1.0209313212E-5</v>
      </c>
      <c r="G33" s="15">
        <f t="shared" si="0"/>
        <v>2.8438198362116993E-5</v>
      </c>
      <c r="H33" s="11">
        <f>(O33-G33)/O33</f>
        <v>-527.69671511212232</v>
      </c>
      <c r="I33" s="11"/>
      <c r="J33" s="10"/>
      <c r="K33" t="s">
        <v>418</v>
      </c>
      <c r="L33">
        <v>6.2529999999999997E-7</v>
      </c>
      <c r="M33">
        <v>4.9000000000000002E-8</v>
      </c>
      <c r="O33" s="17">
        <v>5.3789247311827955E-8</v>
      </c>
      <c r="P33" s="17">
        <v>4.21505376344086E-9</v>
      </c>
      <c r="AJ33" s="12"/>
    </row>
    <row r="34" spans="1:36" x14ac:dyDescent="0.2">
      <c r="A34">
        <v>11.095000000000001</v>
      </c>
      <c r="B34" s="10" t="s">
        <v>419</v>
      </c>
      <c r="C34" t="s">
        <v>421</v>
      </c>
      <c r="F34" t="e">
        <v>#N/A</v>
      </c>
      <c r="G34" s="15">
        <v>0</v>
      </c>
      <c r="H34" s="11">
        <f>(O34-G34)/O34</f>
        <v>1</v>
      </c>
      <c r="I34" s="11"/>
      <c r="J34" s="10"/>
      <c r="K34" t="s">
        <v>419</v>
      </c>
      <c r="L34">
        <v>2.43E-6</v>
      </c>
      <c r="M34">
        <v>1.5599999999999999E-7</v>
      </c>
      <c r="O34" s="17">
        <v>2.1901757548445245E-7</v>
      </c>
      <c r="P34" s="17">
        <v>1.4060387561964848E-8</v>
      </c>
      <c r="AJ34" s="12"/>
    </row>
    <row r="35" spans="1:36" x14ac:dyDescent="0.2">
      <c r="A35">
        <v>6.8419999999999996</v>
      </c>
      <c r="B35" s="10" t="s">
        <v>420</v>
      </c>
      <c r="C35" t="s">
        <v>421</v>
      </c>
      <c r="F35" t="e">
        <v>#N/A</v>
      </c>
      <c r="G35" s="15">
        <v>0</v>
      </c>
      <c r="H35" s="11">
        <f t="shared" si="3"/>
        <v>1</v>
      </c>
      <c r="I35" s="11"/>
      <c r="J35" s="10"/>
      <c r="K35" t="s">
        <v>420</v>
      </c>
      <c r="L35">
        <v>2.96E-6</v>
      </c>
      <c r="M35">
        <v>1.6999999999999999E-7</v>
      </c>
      <c r="O35" s="17">
        <v>4.3262204033908217E-7</v>
      </c>
      <c r="P35" s="17">
        <v>2.4846536100555392E-8</v>
      </c>
      <c r="AJ35" s="12"/>
    </row>
    <row r="36" spans="1:36" x14ac:dyDescent="0.2">
      <c r="A36">
        <v>9.9649999999999999</v>
      </c>
      <c r="B36" s="14" t="s">
        <v>320</v>
      </c>
      <c r="C36" t="s">
        <v>320</v>
      </c>
      <c r="F36" t="e">
        <v>#N/A</v>
      </c>
      <c r="G36" s="15">
        <v>0</v>
      </c>
      <c r="H36" s="11">
        <f t="shared" si="3"/>
        <v>1</v>
      </c>
      <c r="I36" s="11">
        <f>SUM(G36:G42)/SUM(O36:O42)</f>
        <v>0</v>
      </c>
      <c r="K36" s="14" t="s">
        <v>320</v>
      </c>
      <c r="L36">
        <v>6.0723708412905434E-6</v>
      </c>
      <c r="M36">
        <v>3.276007152527668E-7</v>
      </c>
      <c r="O36" s="16">
        <f t="shared" si="5"/>
        <v>6.0936987870452012E-7</v>
      </c>
      <c r="P36" s="17">
        <f t="shared" si="2"/>
        <v>3.2875134496012725E-8</v>
      </c>
      <c r="AJ36" s="12"/>
    </row>
    <row r="37" spans="1:36" x14ac:dyDescent="0.2">
      <c r="A37">
        <v>23.779</v>
      </c>
      <c r="B37" s="14" t="s">
        <v>318</v>
      </c>
      <c r="C37" t="s">
        <v>318</v>
      </c>
      <c r="F37" t="e">
        <v>#N/A</v>
      </c>
      <c r="G37" s="15">
        <v>0</v>
      </c>
      <c r="H37" s="11">
        <f t="shared" si="3"/>
        <v>1</v>
      </c>
      <c r="I37" s="11"/>
      <c r="K37" s="14" t="s">
        <v>318</v>
      </c>
      <c r="L37">
        <v>1.2276069908162464E-5</v>
      </c>
      <c r="M37">
        <v>6.8282399415121016E-7</v>
      </c>
      <c r="O37" s="16">
        <f t="shared" si="5"/>
        <v>5.1625677733136231E-7</v>
      </c>
      <c r="P37" s="17">
        <f t="shared" si="2"/>
        <v>2.8715420923975363E-8</v>
      </c>
      <c r="AJ37" s="12"/>
    </row>
    <row r="38" spans="1:36" x14ac:dyDescent="0.2">
      <c r="A38">
        <v>25.721</v>
      </c>
      <c r="B38" s="14" t="s">
        <v>321</v>
      </c>
      <c r="C38" t="s">
        <v>321</v>
      </c>
      <c r="F38" t="e">
        <v>#N/A</v>
      </c>
      <c r="G38" s="15">
        <v>0</v>
      </c>
      <c r="H38" s="11">
        <f t="shared" si="3"/>
        <v>1</v>
      </c>
      <c r="I38" s="11"/>
      <c r="J38" s="10"/>
      <c r="K38" s="14" t="s">
        <v>321</v>
      </c>
      <c r="L38">
        <v>2.4789185736183079E-5</v>
      </c>
      <c r="M38">
        <v>1.2226908906238183E-6</v>
      </c>
      <c r="O38" s="16">
        <f t="shared" si="5"/>
        <v>9.6377223810050456E-7</v>
      </c>
      <c r="P38" s="17">
        <f t="shared" si="2"/>
        <v>4.7536677836157935E-8</v>
      </c>
      <c r="AJ38" s="12"/>
    </row>
    <row r="39" spans="1:36" x14ac:dyDescent="0.2">
      <c r="A39">
        <v>38.411999999999999</v>
      </c>
      <c r="B39" s="14" t="s">
        <v>319</v>
      </c>
      <c r="C39" t="s">
        <v>319</v>
      </c>
      <c r="F39" t="e">
        <v>#N/A</v>
      </c>
      <c r="G39" s="15">
        <v>0</v>
      </c>
      <c r="H39" s="11">
        <f t="shared" si="3"/>
        <v>1</v>
      </c>
      <c r="I39" s="11"/>
      <c r="K39" s="14" t="s">
        <v>319</v>
      </c>
      <c r="L39">
        <v>1.6417639765753983E-5</v>
      </c>
      <c r="M39">
        <v>9.4446367372077682E-7</v>
      </c>
      <c r="O39" s="16">
        <f t="shared" si="5"/>
        <v>4.274091368779023E-7</v>
      </c>
      <c r="P39" s="17">
        <f t="shared" si="2"/>
        <v>2.4587724505903801E-8</v>
      </c>
      <c r="AJ39" s="12"/>
    </row>
    <row r="40" spans="1:36" x14ac:dyDescent="0.2">
      <c r="A40">
        <v>52.136000000000003</v>
      </c>
      <c r="B40" s="14" t="s">
        <v>315</v>
      </c>
      <c r="C40" t="s">
        <v>315</v>
      </c>
      <c r="F40" t="e">
        <v>#N/A</v>
      </c>
      <c r="G40" s="15">
        <v>0</v>
      </c>
      <c r="H40" s="11">
        <f t="shared" si="3"/>
        <v>1</v>
      </c>
      <c r="I40" s="11"/>
      <c r="K40" s="14" t="s">
        <v>315</v>
      </c>
      <c r="L40">
        <v>7.0227210946584789E-5</v>
      </c>
      <c r="M40">
        <v>3.2266732930678812E-6</v>
      </c>
      <c r="O40" s="16">
        <f t="shared" si="5"/>
        <v>1.3470003634069508E-6</v>
      </c>
      <c r="P40" s="17">
        <f t="shared" si="2"/>
        <v>6.1889544519485208E-8</v>
      </c>
      <c r="AJ40" s="12"/>
    </row>
    <row r="41" spans="1:36" x14ac:dyDescent="0.2">
      <c r="A41">
        <v>22.757999999999999</v>
      </c>
      <c r="B41" s="14" t="s">
        <v>317</v>
      </c>
      <c r="C41" t="s">
        <v>317</v>
      </c>
      <c r="F41" t="e">
        <v>#N/A</v>
      </c>
      <c r="G41" s="15">
        <v>0</v>
      </c>
      <c r="H41" s="11">
        <f t="shared" si="3"/>
        <v>1</v>
      </c>
      <c r="I41" s="11"/>
      <c r="K41" s="14" t="s">
        <v>317</v>
      </c>
      <c r="L41">
        <v>1.5385960046332389E-5</v>
      </c>
      <c r="M41">
        <v>8.1393792288849254E-7</v>
      </c>
      <c r="O41" s="16">
        <f t="shared" si="5"/>
        <v>6.7606819783515206E-7</v>
      </c>
      <c r="P41" s="17">
        <f t="shared" si="2"/>
        <v>3.5764914442767053E-8</v>
      </c>
      <c r="AJ41" s="12"/>
    </row>
    <row r="42" spans="1:36" x14ac:dyDescent="0.2">
      <c r="A42">
        <v>20.85</v>
      </c>
      <c r="B42" s="14" t="s">
        <v>316</v>
      </c>
      <c r="C42" t="s">
        <v>316</v>
      </c>
      <c r="F42" t="e">
        <v>#N/A</v>
      </c>
      <c r="G42" s="15">
        <v>0</v>
      </c>
      <c r="H42" s="11">
        <f t="shared" si="3"/>
        <v>1</v>
      </c>
      <c r="I42" s="11"/>
      <c r="K42" s="14" t="s">
        <v>316</v>
      </c>
      <c r="L42">
        <v>7.8919826425829579E-5</v>
      </c>
      <c r="M42">
        <v>2.805616048166686E-6</v>
      </c>
      <c r="O42" s="16">
        <f>L42/A42</f>
        <v>3.7851235695841523E-6</v>
      </c>
      <c r="P42" s="17">
        <f t="shared" si="2"/>
        <v>1.3456192077538062E-7</v>
      </c>
      <c r="AJ42" s="12"/>
    </row>
    <row r="43" spans="1:36" x14ac:dyDescent="0.2">
      <c r="O43" s="10"/>
      <c r="AJ43" s="12"/>
    </row>
    <row r="44" spans="1:36" x14ac:dyDescent="0.2">
      <c r="O44" s="10"/>
      <c r="AJ44" s="12"/>
    </row>
    <row r="45" spans="1:36" x14ac:dyDescent="0.2">
      <c r="O45" s="10"/>
      <c r="AJ45" s="12"/>
    </row>
    <row r="46" spans="1:36" x14ac:dyDescent="0.2">
      <c r="O46" s="10"/>
      <c r="AJ46" s="12"/>
    </row>
    <row r="47" spans="1:36" x14ac:dyDescent="0.2">
      <c r="O47" s="10"/>
      <c r="AJ47" s="12"/>
    </row>
    <row r="48" spans="1:36" x14ac:dyDescent="0.2">
      <c r="O48" s="10"/>
      <c r="AJ48" s="12"/>
    </row>
    <row r="49" spans="2:36" x14ac:dyDescent="0.2">
      <c r="K49" s="19"/>
      <c r="O49" s="10"/>
      <c r="AJ49" s="12"/>
    </row>
    <row r="50" spans="2:36" x14ac:dyDescent="0.2">
      <c r="K50" s="19"/>
      <c r="O50" s="10"/>
      <c r="AJ50" s="12"/>
    </row>
    <row r="51" spans="2:36" x14ac:dyDescent="0.2">
      <c r="K51" s="19"/>
      <c r="O51" s="10"/>
      <c r="AJ51" s="12"/>
    </row>
    <row r="52" spans="2:36" x14ac:dyDescent="0.2">
      <c r="O52" s="10"/>
      <c r="AJ52" s="12"/>
    </row>
    <row r="53" spans="2:36" x14ac:dyDescent="0.2">
      <c r="O53" s="10"/>
      <c r="AJ53" s="12"/>
    </row>
    <row r="54" spans="2:36" x14ac:dyDescent="0.2">
      <c r="G54" s="10"/>
      <c r="O54" s="10"/>
      <c r="AJ54" s="12"/>
    </row>
    <row r="55" spans="2:36" x14ac:dyDescent="0.2">
      <c r="E55" t="s">
        <v>411</v>
      </c>
      <c r="F55" s="21" t="s">
        <v>413</v>
      </c>
      <c r="G55" s="21"/>
      <c r="J55" t="s">
        <v>411</v>
      </c>
      <c r="K55" s="21" t="s">
        <v>413</v>
      </c>
      <c r="L55" s="21"/>
      <c r="O55" s="10"/>
      <c r="AJ55" s="12"/>
    </row>
    <row r="56" spans="2:36" x14ac:dyDescent="0.2">
      <c r="B56" s="10"/>
      <c r="E56" t="s">
        <v>415</v>
      </c>
      <c r="F56" s="16" t="s">
        <v>396</v>
      </c>
      <c r="G56" s="17" t="s">
        <v>416</v>
      </c>
      <c r="J56" t="s">
        <v>415</v>
      </c>
      <c r="K56" s="16" t="s">
        <v>396</v>
      </c>
      <c r="L56" s="17" t="s">
        <v>416</v>
      </c>
      <c r="O56" s="10"/>
      <c r="AJ56" s="12"/>
    </row>
    <row r="57" spans="2:36" x14ac:dyDescent="0.2">
      <c r="B57" s="11"/>
      <c r="D57" s="12" t="s">
        <v>366</v>
      </c>
      <c r="E57">
        <v>2.5259291966573819E-5</v>
      </c>
      <c r="F57">
        <v>2.5162826034217326E-5</v>
      </c>
      <c r="G57" s="10">
        <v>1.4395022274275469E-6</v>
      </c>
      <c r="I57" s="7" t="s">
        <v>349</v>
      </c>
      <c r="J57" t="e">
        <v>#N/A</v>
      </c>
      <c r="K57">
        <v>1.8097435106453549E-7</v>
      </c>
      <c r="L57" s="10">
        <v>1.1978034383614539E-8</v>
      </c>
      <c r="O57" s="10"/>
      <c r="AJ57" s="12"/>
    </row>
    <row r="58" spans="2:36" x14ac:dyDescent="0.2">
      <c r="D58" s="12" t="s">
        <v>368</v>
      </c>
      <c r="E58">
        <v>4.660422175208914E-5</v>
      </c>
      <c r="F58">
        <v>4.6433825013844236E-5</v>
      </c>
      <c r="G58" s="10">
        <v>2.3507037397174724E-6</v>
      </c>
      <c r="I58" s="7" t="s">
        <v>350</v>
      </c>
      <c r="J58">
        <v>6.4616793871866304E-6</v>
      </c>
      <c r="K58">
        <v>3.5759084072042163E-6</v>
      </c>
      <c r="L58" s="10">
        <v>1.2916281996437508E-7</v>
      </c>
      <c r="O58" s="10"/>
      <c r="AJ58" s="12"/>
    </row>
    <row r="59" spans="2:36" x14ac:dyDescent="0.2">
      <c r="D59" s="12" t="s">
        <v>370</v>
      </c>
      <c r="E59">
        <v>7.6879944596100283E-6</v>
      </c>
      <c r="F59">
        <v>7.6598852218989575E-6</v>
      </c>
      <c r="G59" s="10">
        <v>3.9789753763346777E-7</v>
      </c>
      <c r="I59" s="7" t="s">
        <v>351</v>
      </c>
      <c r="J59">
        <v>9.5833258969359343E-6</v>
      </c>
      <c r="K59">
        <v>5.5663918746149829E-6</v>
      </c>
      <c r="L59" s="10">
        <v>1.7642530523221079E-7</v>
      </c>
      <c r="O59" s="10"/>
      <c r="AJ59" s="12"/>
    </row>
    <row r="60" spans="2:36" x14ac:dyDescent="0.2">
      <c r="B60" s="10"/>
      <c r="D60" s="12" t="s">
        <v>372</v>
      </c>
      <c r="E60">
        <v>4.4019134016713098E-5</v>
      </c>
      <c r="F60">
        <v>4.3858189007422885E-5</v>
      </c>
      <c r="G60" s="10">
        <v>1.2956243276383541E-6</v>
      </c>
      <c r="I60" s="7" t="s">
        <v>352</v>
      </c>
      <c r="J60">
        <v>9.8792923676880224E-6</v>
      </c>
      <c r="K60">
        <v>5.7383014376990713E-6</v>
      </c>
      <c r="L60" s="10">
        <v>1.8013494312526211E-7</v>
      </c>
      <c r="O60" s="10"/>
      <c r="AJ60" s="12"/>
    </row>
    <row r="61" spans="2:36" x14ac:dyDescent="0.2">
      <c r="B61" s="11"/>
      <c r="D61" s="12" t="s">
        <v>374</v>
      </c>
      <c r="E61">
        <v>5.033527705292479E-5</v>
      </c>
      <c r="F61">
        <v>5.0151238638631813E-5</v>
      </c>
      <c r="G61" s="10">
        <v>5.1853664646378207E-6</v>
      </c>
      <c r="I61" s="7" t="s">
        <v>353</v>
      </c>
      <c r="J61">
        <v>2.4078290445682456E-6</v>
      </c>
      <c r="K61">
        <v>1.3985666534284624E-6</v>
      </c>
      <c r="L61" s="10">
        <v>6.3728941493019642E-8</v>
      </c>
      <c r="O61" s="10"/>
      <c r="AJ61" s="12"/>
    </row>
    <row r="62" spans="2:36" x14ac:dyDescent="0.2">
      <c r="D62" s="12" t="s">
        <v>376</v>
      </c>
      <c r="E62">
        <v>1.4681841002785515E-5</v>
      </c>
      <c r="F62">
        <v>1.4312035420422808E-5</v>
      </c>
      <c r="G62" s="10">
        <v>4.2566707209922493E-7</v>
      </c>
      <c r="I62" s="7" t="s">
        <v>354</v>
      </c>
      <c r="J62">
        <v>1.984177902506964E-5</v>
      </c>
      <c r="K62">
        <v>1.152492555789253E-5</v>
      </c>
      <c r="L62" s="10">
        <v>2.8246993037327416E-7</v>
      </c>
      <c r="O62" s="10"/>
      <c r="AJ62" s="12"/>
    </row>
    <row r="63" spans="2:36" x14ac:dyDescent="0.2">
      <c r="D63" s="12" t="s">
        <v>378</v>
      </c>
      <c r="E63">
        <v>2.1961948328690809E-6</v>
      </c>
      <c r="F63">
        <v>2.2023123677521908E-6</v>
      </c>
      <c r="G63" s="10">
        <v>9.5219307494572958E-8</v>
      </c>
      <c r="I63" s="7" t="s">
        <v>355</v>
      </c>
      <c r="J63">
        <v>3.917440644011142E-5</v>
      </c>
      <c r="K63">
        <v>2.2754114813120263E-5</v>
      </c>
      <c r="L63" s="10">
        <v>4.1030245570711589E-7</v>
      </c>
      <c r="O63" s="10"/>
      <c r="AJ63" s="12"/>
    </row>
    <row r="64" spans="2:36" x14ac:dyDescent="0.2">
      <c r="D64" s="12" t="s">
        <v>380</v>
      </c>
      <c r="E64">
        <v>2.2031688958217273E-4</v>
      </c>
      <c r="F64">
        <v>2.1983523171661431E-4</v>
      </c>
      <c r="G64" s="10">
        <v>8.0624462797256548E-6</v>
      </c>
      <c r="I64" s="5" t="s">
        <v>356</v>
      </c>
      <c r="J64">
        <v>6.7818216518105859E-6</v>
      </c>
      <c r="K64">
        <v>4.3083497000719311E-6</v>
      </c>
      <c r="L64" s="10">
        <v>1.4757599744892745E-7</v>
      </c>
      <c r="O64" s="10"/>
      <c r="AJ64" s="12"/>
    </row>
    <row r="65" spans="4:36" x14ac:dyDescent="0.2">
      <c r="D65" s="12" t="s">
        <v>382</v>
      </c>
      <c r="E65">
        <v>6.259399974094708E-5</v>
      </c>
      <c r="F65">
        <v>6.2457155101361755E-5</v>
      </c>
      <c r="G65" s="10">
        <v>1.2700185121069086E-6</v>
      </c>
      <c r="I65" s="5" t="s">
        <v>426</v>
      </c>
      <c r="J65">
        <v>4.2760793788300838E-6</v>
      </c>
      <c r="K65">
        <v>1.0337618847484315E-6</v>
      </c>
      <c r="L65" s="10">
        <v>5.0257579251254371E-8</v>
      </c>
      <c r="O65" s="10"/>
      <c r="AJ65" s="12"/>
    </row>
    <row r="66" spans="4:36" x14ac:dyDescent="0.2">
      <c r="D66" s="12" t="s">
        <v>384</v>
      </c>
      <c r="E66">
        <v>6.8310850740947078E-5</v>
      </c>
      <c r="F66">
        <v>6.8253223418885916E-5</v>
      </c>
      <c r="G66" s="10">
        <v>9.8903303303634984E-7</v>
      </c>
      <c r="I66" s="3" t="s">
        <v>421</v>
      </c>
      <c r="J66" s="10">
        <f>SUM(G32:G35)</f>
        <v>2.8438198362116993E-5</v>
      </c>
      <c r="K66" s="10">
        <f>SUM(O32:O35)</f>
        <v>1.7924064899633691E-5</v>
      </c>
      <c r="L66" s="10">
        <f>SUM(P32:P35)</f>
        <v>3.9855099360629118E-7</v>
      </c>
      <c r="O66" s="10"/>
      <c r="AJ66" s="12"/>
    </row>
    <row r="67" spans="4:36" x14ac:dyDescent="0.2">
      <c r="D67" s="12" t="s">
        <v>386</v>
      </c>
      <c r="E67">
        <v>1.1189895964066853E-4</v>
      </c>
      <c r="F67">
        <v>1.1180456120706036E-4</v>
      </c>
      <c r="G67" s="10">
        <v>4.2471286134047097E-6</v>
      </c>
      <c r="I67" s="12" t="s">
        <v>417</v>
      </c>
      <c r="J67" s="10">
        <f>SUM(G36:G42)</f>
        <v>0</v>
      </c>
      <c r="K67" s="10">
        <f>SUM(O36:O42)</f>
        <v>8.3250001618405446E-6</v>
      </c>
      <c r="L67" s="10">
        <f>SUM(P36:P42)</f>
        <v>3.6593133749968266E-7</v>
      </c>
      <c r="O67" s="10"/>
      <c r="AJ67" s="12"/>
    </row>
    <row r="68" spans="4:36" x14ac:dyDescent="0.2">
      <c r="D68" s="12" t="s">
        <v>388</v>
      </c>
      <c r="E68">
        <v>1.4812917530083566E-4</v>
      </c>
      <c r="F68">
        <v>1.4876930250187686E-4</v>
      </c>
      <c r="G68" s="10">
        <v>4.9882284513233268E-6</v>
      </c>
      <c r="I68" s="12"/>
      <c r="L68" s="10"/>
      <c r="O68" s="10"/>
      <c r="AJ68" s="12"/>
    </row>
    <row r="69" spans="4:36" x14ac:dyDescent="0.2">
      <c r="D69" s="12" t="s">
        <v>390</v>
      </c>
      <c r="E69">
        <v>1.9364301830362119E-4</v>
      </c>
      <c r="F69">
        <v>1.9293498422922166E-4</v>
      </c>
      <c r="G69" s="10">
        <v>3.3452024769860749E-6</v>
      </c>
      <c r="I69" s="12"/>
      <c r="L69" s="10"/>
      <c r="O69" s="10"/>
      <c r="AJ69" s="12"/>
    </row>
    <row r="70" spans="4:36" x14ac:dyDescent="0.2">
      <c r="D70" s="12" t="s">
        <v>392</v>
      </c>
      <c r="E70">
        <v>7.5750931983286903E-5</v>
      </c>
      <c r="F70" s="10">
        <v>7.5507071431189882E-5</v>
      </c>
      <c r="G70" s="10">
        <f>SUM(P20:P22)</f>
        <v>2.8129494821783982E-6</v>
      </c>
      <c r="I70" s="12"/>
      <c r="K70" s="10"/>
      <c r="L70" s="10"/>
      <c r="O70" s="10"/>
      <c r="AJ70" s="12"/>
    </row>
    <row r="71" spans="4:36" x14ac:dyDescent="0.2">
      <c r="G71" s="10"/>
      <c r="L71" s="10"/>
      <c r="O71" s="10"/>
      <c r="AJ71" s="12"/>
    </row>
    <row r="72" spans="4:36" x14ac:dyDescent="0.2">
      <c r="G72" s="10"/>
      <c r="O72" s="10"/>
      <c r="AJ72" s="12"/>
    </row>
    <row r="73" spans="4:36" x14ac:dyDescent="0.2">
      <c r="G73" s="10"/>
      <c r="O73" s="10"/>
      <c r="AJ73" s="12"/>
    </row>
    <row r="74" spans="4:36" x14ac:dyDescent="0.2">
      <c r="G74" s="10"/>
      <c r="O74" s="10"/>
      <c r="AJ74" s="12"/>
    </row>
    <row r="75" spans="4:36" x14ac:dyDescent="0.2">
      <c r="G75" s="10"/>
      <c r="O75" s="10"/>
      <c r="AJ75" s="12"/>
    </row>
    <row r="76" spans="4:36" x14ac:dyDescent="0.2">
      <c r="G76" s="10"/>
      <c r="O76" s="10"/>
      <c r="AJ76" s="12"/>
    </row>
    <row r="77" spans="4:36" x14ac:dyDescent="0.2">
      <c r="G77" s="10"/>
      <c r="O77" s="10"/>
      <c r="AJ77" s="12"/>
    </row>
    <row r="78" spans="4:36" x14ac:dyDescent="0.2">
      <c r="G78" s="10"/>
      <c r="O78" s="10"/>
      <c r="AJ78" s="12"/>
    </row>
    <row r="79" spans="4:36" x14ac:dyDescent="0.2">
      <c r="G79" s="10"/>
      <c r="O79" s="10"/>
      <c r="AJ79" s="12"/>
    </row>
    <row r="80" spans="4:36" x14ac:dyDescent="0.2">
      <c r="G80" s="10"/>
      <c r="O80" s="10"/>
      <c r="AJ80" s="12"/>
    </row>
    <row r="81" spans="7:36" x14ac:dyDescent="0.2">
      <c r="G81" s="10"/>
      <c r="O81" s="10"/>
      <c r="AJ81" s="12"/>
    </row>
    <row r="82" spans="7:36" x14ac:dyDescent="0.2">
      <c r="G82" s="10"/>
      <c r="O82" s="10"/>
      <c r="AJ82" s="12"/>
    </row>
    <row r="83" spans="7:36" x14ac:dyDescent="0.2">
      <c r="G83" s="10"/>
      <c r="O83" s="10"/>
      <c r="AJ83" s="12"/>
    </row>
    <row r="84" spans="7:36" x14ac:dyDescent="0.2">
      <c r="G84" s="10"/>
      <c r="O84" s="10"/>
      <c r="AJ84" s="12"/>
    </row>
    <row r="85" spans="7:36" x14ac:dyDescent="0.2">
      <c r="G85" s="10"/>
      <c r="O85" s="10"/>
      <c r="AJ85" s="12"/>
    </row>
    <row r="86" spans="7:36" x14ac:dyDescent="0.2">
      <c r="G86" s="10"/>
      <c r="O86" s="10"/>
    </row>
    <row r="87" spans="7:36" x14ac:dyDescent="0.2">
      <c r="G87" s="10"/>
      <c r="O87" s="10"/>
    </row>
    <row r="88" spans="7:36" x14ac:dyDescent="0.2">
      <c r="G88" s="10"/>
      <c r="O88" s="10"/>
    </row>
    <row r="89" spans="7:36" x14ac:dyDescent="0.2">
      <c r="G89" s="10"/>
      <c r="O89" s="10"/>
    </row>
    <row r="90" spans="7:36" x14ac:dyDescent="0.2">
      <c r="G90" s="10"/>
      <c r="O90" s="10"/>
    </row>
    <row r="91" spans="7:36" x14ac:dyDescent="0.2">
      <c r="G91" s="10"/>
      <c r="O91" s="10"/>
    </row>
    <row r="92" spans="7:36" x14ac:dyDescent="0.2">
      <c r="G92" s="10"/>
      <c r="O92" s="10"/>
    </row>
    <row r="93" spans="7:36" x14ac:dyDescent="0.2">
      <c r="G93" s="10"/>
      <c r="O93" s="10"/>
    </row>
    <row r="94" spans="7:36" x14ac:dyDescent="0.2">
      <c r="G94" s="10"/>
      <c r="O94" s="10"/>
    </row>
    <row r="95" spans="7:36" x14ac:dyDescent="0.2">
      <c r="G95" s="10"/>
      <c r="O95" s="10"/>
    </row>
    <row r="96" spans="7:36" x14ac:dyDescent="0.2">
      <c r="G96" s="10"/>
      <c r="O96" s="10"/>
    </row>
    <row r="97" spans="7:15" x14ac:dyDescent="0.2">
      <c r="G97" s="10"/>
      <c r="O97" s="10"/>
    </row>
    <row r="98" spans="7:15" x14ac:dyDescent="0.2">
      <c r="G98" s="10"/>
      <c r="O98" s="10"/>
    </row>
    <row r="99" spans="7:15" x14ac:dyDescent="0.2">
      <c r="G99" s="10"/>
      <c r="O99" s="10"/>
    </row>
    <row r="100" spans="7:15" x14ac:dyDescent="0.2">
      <c r="G100" s="10"/>
      <c r="O100" s="10"/>
    </row>
  </sheetData>
  <mergeCells count="5">
    <mergeCell ref="I5:J5"/>
    <mergeCell ref="L5:M5"/>
    <mergeCell ref="O5:P5"/>
    <mergeCell ref="F55:G55"/>
    <mergeCell ref="K55:L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2026-03-16T22:00:35Z</dcterms:created>
  <dcterms:modified xsi:type="dcterms:W3CDTF">2026-07-06T17:50:59Z</dcterms:modified>
</cp:coreProperties>
</file>