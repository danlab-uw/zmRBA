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4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5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6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7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zmRBA_paper/KF_updated_figures/Figure6/Supplemental/"/>
    </mc:Choice>
  </mc:AlternateContent>
  <xr:revisionPtr revIDLastSave="529" documentId="8_{8F55FBFA-95B3-49FE-9B2D-844C5BDE912E}" xr6:coauthVersionLast="47" xr6:coauthVersionMax="47" xr10:uidLastSave="{FD4DA053-93A5-4275-9E26-162E5FE79460}"/>
  <bookViews>
    <workbookView xWindow="28680" yWindow="-120" windowWidth="29040" windowHeight="15840" xr2:uid="{624194E7-9B66-47D2-90E2-65151BE05693}"/>
  </bookViews>
  <sheets>
    <sheet name="Molar yields" sheetId="1" r:id="rId1"/>
    <sheet name="Kapps" sheetId="7" r:id="rId2"/>
    <sheet name="MEP Constraints" sheetId="2" r:id="rId3"/>
    <sheet name="No MEP Constraints" sheetId="3" r:id="rId4"/>
    <sheet name="No Protein Constraints" sheetId="4" r:id="rId5"/>
    <sheet name="IDI" sheetId="5" r:id="rId6"/>
    <sheet name="MedianKapp_IDI_IspS" sheetId="6" r:id="rId7"/>
    <sheet name="MedKapp_IspS_IDI_IspH" sheetId="8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" i="1" l="1"/>
  <c r="I32" i="4"/>
  <c r="K66" i="4"/>
  <c r="A35" i="1"/>
  <c r="A33" i="1"/>
  <c r="L71" i="4"/>
  <c r="L70" i="4"/>
  <c r="K71" i="4"/>
  <c r="K70" i="4"/>
  <c r="I70" i="4"/>
  <c r="J70" i="3"/>
  <c r="J66" i="2"/>
  <c r="J72" i="2"/>
  <c r="J71" i="2"/>
  <c r="J70" i="2"/>
  <c r="D17" i="7"/>
  <c r="P42" i="8" l="1"/>
  <c r="O42" i="8"/>
  <c r="G42" i="8"/>
  <c r="P41" i="8"/>
  <c r="O41" i="8"/>
  <c r="G41" i="8"/>
  <c r="P40" i="8"/>
  <c r="O40" i="8"/>
  <c r="G40" i="8"/>
  <c r="P39" i="8"/>
  <c r="O39" i="8"/>
  <c r="G39" i="8"/>
  <c r="P38" i="8"/>
  <c r="O38" i="8"/>
  <c r="G38" i="8"/>
  <c r="P37" i="8"/>
  <c r="O37" i="8"/>
  <c r="G37" i="8"/>
  <c r="P36" i="8"/>
  <c r="L67" i="8" s="1"/>
  <c r="O36" i="8"/>
  <c r="K67" i="8" s="1"/>
  <c r="G36" i="8"/>
  <c r="P35" i="8"/>
  <c r="O35" i="8"/>
  <c r="I35" i="8"/>
  <c r="H35" i="8"/>
  <c r="G35" i="8"/>
  <c r="P34" i="8"/>
  <c r="O34" i="8"/>
  <c r="G34" i="8"/>
  <c r="I34" i="8" s="1"/>
  <c r="P33" i="8"/>
  <c r="L66" i="8" s="1"/>
  <c r="O33" i="8"/>
  <c r="K66" i="8" s="1"/>
  <c r="I33" i="8"/>
  <c r="H33" i="8"/>
  <c r="G33" i="8"/>
  <c r="P32" i="8"/>
  <c r="O32" i="8"/>
  <c r="G32" i="8"/>
  <c r="H32" i="8" s="1"/>
  <c r="P31" i="8"/>
  <c r="O31" i="8"/>
  <c r="I31" i="8"/>
  <c r="H31" i="8"/>
  <c r="G31" i="8"/>
  <c r="P30" i="8"/>
  <c r="O30" i="8"/>
  <c r="G30" i="8"/>
  <c r="I30" i="8" s="1"/>
  <c r="P29" i="8"/>
  <c r="O29" i="8"/>
  <c r="I29" i="8"/>
  <c r="H29" i="8"/>
  <c r="G29" i="8"/>
  <c r="P28" i="8"/>
  <c r="O28" i="8"/>
  <c r="G28" i="8"/>
  <c r="H28" i="8" s="1"/>
  <c r="P27" i="8"/>
  <c r="O27" i="8"/>
  <c r="I27" i="8"/>
  <c r="H27" i="8"/>
  <c r="G27" i="8"/>
  <c r="P26" i="8"/>
  <c r="O26" i="8"/>
  <c r="G26" i="8"/>
  <c r="I26" i="8" s="1"/>
  <c r="P25" i="8"/>
  <c r="O25" i="8"/>
  <c r="I25" i="8"/>
  <c r="H25" i="8"/>
  <c r="G25" i="8"/>
  <c r="P24" i="8"/>
  <c r="O24" i="8"/>
  <c r="G24" i="8"/>
  <c r="H24" i="8" s="1"/>
  <c r="P23" i="8"/>
  <c r="O23" i="8"/>
  <c r="G23" i="8"/>
  <c r="H23" i="8" s="1"/>
  <c r="P22" i="8"/>
  <c r="O22" i="8"/>
  <c r="G22" i="8"/>
  <c r="P21" i="8"/>
  <c r="O21" i="8"/>
  <c r="G21" i="8"/>
  <c r="P20" i="8"/>
  <c r="G70" i="8" s="1"/>
  <c r="O20" i="8"/>
  <c r="G20" i="8"/>
  <c r="P19" i="8"/>
  <c r="O19" i="8"/>
  <c r="G19" i="8"/>
  <c r="P18" i="8"/>
  <c r="O18" i="8"/>
  <c r="G18" i="8"/>
  <c r="P17" i="8"/>
  <c r="O17" i="8"/>
  <c r="G17" i="8"/>
  <c r="P16" i="8"/>
  <c r="O16" i="8"/>
  <c r="G16" i="8"/>
  <c r="P15" i="8"/>
  <c r="O15" i="8"/>
  <c r="G15" i="8"/>
  <c r="P14" i="8"/>
  <c r="O14" i="8"/>
  <c r="G14" i="8"/>
  <c r="P13" i="8"/>
  <c r="O13" i="8"/>
  <c r="G13" i="8"/>
  <c r="P12" i="8"/>
  <c r="O12" i="8"/>
  <c r="G12" i="8"/>
  <c r="P11" i="8"/>
  <c r="O11" i="8"/>
  <c r="G11" i="8"/>
  <c r="P10" i="8"/>
  <c r="O10" i="8"/>
  <c r="G10" i="8"/>
  <c r="P9" i="8"/>
  <c r="O9" i="8"/>
  <c r="G9" i="8"/>
  <c r="P8" i="8"/>
  <c r="O8" i="8"/>
  <c r="G8" i="8"/>
  <c r="P7" i="8"/>
  <c r="O7" i="8"/>
  <c r="G7" i="8"/>
  <c r="H26" i="8" l="1"/>
  <c r="H30" i="8"/>
  <c r="H34" i="8"/>
  <c r="I24" i="8"/>
  <c r="I28" i="8"/>
  <c r="I32" i="8"/>
  <c r="K66" i="6" l="1"/>
  <c r="P42" i="6"/>
  <c r="O42" i="6"/>
  <c r="G42" i="6"/>
  <c r="P41" i="6"/>
  <c r="O41" i="6"/>
  <c r="G41" i="6"/>
  <c r="P40" i="6"/>
  <c r="O40" i="6"/>
  <c r="G40" i="6"/>
  <c r="P39" i="6"/>
  <c r="O39" i="6"/>
  <c r="G39" i="6"/>
  <c r="P38" i="6"/>
  <c r="O38" i="6"/>
  <c r="G38" i="6"/>
  <c r="P37" i="6"/>
  <c r="O37" i="6"/>
  <c r="G37" i="6"/>
  <c r="P36" i="6"/>
  <c r="L67" i="6" s="1"/>
  <c r="O36" i="6"/>
  <c r="K67" i="6" s="1"/>
  <c r="G36" i="6"/>
  <c r="P35" i="6"/>
  <c r="O35" i="6"/>
  <c r="H35" i="6" s="1"/>
  <c r="I35" i="6"/>
  <c r="G35" i="6"/>
  <c r="P34" i="6"/>
  <c r="O34" i="6"/>
  <c r="G34" i="6"/>
  <c r="I34" i="6" s="1"/>
  <c r="P33" i="6"/>
  <c r="L66" i="6" s="1"/>
  <c r="O33" i="6"/>
  <c r="I33" i="6"/>
  <c r="H33" i="6"/>
  <c r="G33" i="6"/>
  <c r="P32" i="6"/>
  <c r="O32" i="6"/>
  <c r="G32" i="6"/>
  <c r="I32" i="6" s="1"/>
  <c r="P31" i="6"/>
  <c r="O31" i="6"/>
  <c r="I31" i="6"/>
  <c r="H31" i="6"/>
  <c r="G31" i="6"/>
  <c r="P30" i="6"/>
  <c r="O30" i="6"/>
  <c r="G30" i="6"/>
  <c r="I30" i="6" s="1"/>
  <c r="P29" i="6"/>
  <c r="O29" i="6"/>
  <c r="I29" i="6"/>
  <c r="H29" i="6"/>
  <c r="G29" i="6"/>
  <c r="P28" i="6"/>
  <c r="O28" i="6"/>
  <c r="G28" i="6"/>
  <c r="I28" i="6" s="1"/>
  <c r="P27" i="6"/>
  <c r="O27" i="6"/>
  <c r="I27" i="6"/>
  <c r="H27" i="6"/>
  <c r="G27" i="6"/>
  <c r="P26" i="6"/>
  <c r="O26" i="6"/>
  <c r="G26" i="6"/>
  <c r="I26" i="6" s="1"/>
  <c r="P25" i="6"/>
  <c r="O25" i="6"/>
  <c r="I25" i="6"/>
  <c r="H25" i="6"/>
  <c r="G25" i="6"/>
  <c r="P24" i="6"/>
  <c r="O24" i="6"/>
  <c r="G24" i="6"/>
  <c r="I24" i="6" s="1"/>
  <c r="P23" i="6"/>
  <c r="O23" i="6"/>
  <c r="H23" i="6"/>
  <c r="G23" i="6"/>
  <c r="P22" i="6"/>
  <c r="O22" i="6"/>
  <c r="G22" i="6"/>
  <c r="P21" i="6"/>
  <c r="O21" i="6"/>
  <c r="G21" i="6"/>
  <c r="P20" i="6"/>
  <c r="G70" i="6" s="1"/>
  <c r="O20" i="6"/>
  <c r="G20" i="6"/>
  <c r="P19" i="6"/>
  <c r="O19" i="6"/>
  <c r="G19" i="6"/>
  <c r="P18" i="6"/>
  <c r="O18" i="6"/>
  <c r="G18" i="6"/>
  <c r="P17" i="6"/>
  <c r="O17" i="6"/>
  <c r="G17" i="6"/>
  <c r="P16" i="6"/>
  <c r="O16" i="6"/>
  <c r="G16" i="6"/>
  <c r="P15" i="6"/>
  <c r="O15" i="6"/>
  <c r="G15" i="6"/>
  <c r="P14" i="6"/>
  <c r="O14" i="6"/>
  <c r="G14" i="6"/>
  <c r="P13" i="6"/>
  <c r="O13" i="6"/>
  <c r="G13" i="6"/>
  <c r="P12" i="6"/>
  <c r="O12" i="6"/>
  <c r="G12" i="6"/>
  <c r="P11" i="6"/>
  <c r="O11" i="6"/>
  <c r="G11" i="6"/>
  <c r="P10" i="6"/>
  <c r="O10" i="6"/>
  <c r="G10" i="6"/>
  <c r="P9" i="6"/>
  <c r="O9" i="6"/>
  <c r="G9" i="6"/>
  <c r="P8" i="6"/>
  <c r="O8" i="6"/>
  <c r="G8" i="6"/>
  <c r="P7" i="6"/>
  <c r="O7" i="6"/>
  <c r="G7" i="6"/>
  <c r="H28" i="6" l="1"/>
  <c r="H24" i="6"/>
  <c r="H26" i="6"/>
  <c r="H30" i="6"/>
  <c r="H32" i="6"/>
  <c r="H34" i="6"/>
  <c r="R5" i="1" l="1"/>
  <c r="K66" i="5"/>
  <c r="P42" i="5"/>
  <c r="O42" i="5"/>
  <c r="G42" i="5"/>
  <c r="P41" i="5"/>
  <c r="O41" i="5"/>
  <c r="G41" i="5"/>
  <c r="P40" i="5"/>
  <c r="O40" i="5"/>
  <c r="G40" i="5"/>
  <c r="P39" i="5"/>
  <c r="O39" i="5"/>
  <c r="G39" i="5"/>
  <c r="P38" i="5"/>
  <c r="O38" i="5"/>
  <c r="G38" i="5"/>
  <c r="P37" i="5"/>
  <c r="O37" i="5"/>
  <c r="G37" i="5"/>
  <c r="P36" i="5"/>
  <c r="L67" i="5" s="1"/>
  <c r="O36" i="5"/>
  <c r="K67" i="5" s="1"/>
  <c r="G36" i="5"/>
  <c r="P35" i="5"/>
  <c r="O35" i="5"/>
  <c r="I35" i="5"/>
  <c r="H35" i="5"/>
  <c r="G35" i="5"/>
  <c r="P34" i="5"/>
  <c r="O34" i="5"/>
  <c r="I34" i="5"/>
  <c r="H34" i="5"/>
  <c r="G34" i="5"/>
  <c r="P33" i="5"/>
  <c r="L66" i="5" s="1"/>
  <c r="O33" i="5"/>
  <c r="I33" i="5"/>
  <c r="H33" i="5"/>
  <c r="G33" i="5"/>
  <c r="P32" i="5"/>
  <c r="O32" i="5"/>
  <c r="H32" i="5"/>
  <c r="G32" i="5"/>
  <c r="I32" i="5" s="1"/>
  <c r="P31" i="5"/>
  <c r="O31" i="5"/>
  <c r="I31" i="5"/>
  <c r="H31" i="5"/>
  <c r="G31" i="5"/>
  <c r="P30" i="5"/>
  <c r="O30" i="5"/>
  <c r="H30" i="5"/>
  <c r="G30" i="5"/>
  <c r="I30" i="5" s="1"/>
  <c r="P29" i="5"/>
  <c r="O29" i="5"/>
  <c r="I29" i="5"/>
  <c r="H29" i="5"/>
  <c r="G29" i="5"/>
  <c r="P28" i="5"/>
  <c r="O28" i="5"/>
  <c r="H28" i="5"/>
  <c r="G28" i="5"/>
  <c r="I28" i="5" s="1"/>
  <c r="P27" i="5"/>
  <c r="O27" i="5"/>
  <c r="I27" i="5"/>
  <c r="H27" i="5"/>
  <c r="G27" i="5"/>
  <c r="P26" i="5"/>
  <c r="O26" i="5"/>
  <c r="H26" i="5"/>
  <c r="G26" i="5"/>
  <c r="I26" i="5" s="1"/>
  <c r="P25" i="5"/>
  <c r="O25" i="5"/>
  <c r="I25" i="5"/>
  <c r="H25" i="5"/>
  <c r="G25" i="5"/>
  <c r="P24" i="5"/>
  <c r="O24" i="5"/>
  <c r="G24" i="5"/>
  <c r="P23" i="5"/>
  <c r="O23" i="5"/>
  <c r="I24" i="5" s="1"/>
  <c r="H23" i="5"/>
  <c r="G23" i="5"/>
  <c r="P22" i="5"/>
  <c r="O22" i="5"/>
  <c r="G22" i="5"/>
  <c r="P21" i="5"/>
  <c r="O21" i="5"/>
  <c r="G21" i="5"/>
  <c r="P20" i="5"/>
  <c r="G70" i="5" s="1"/>
  <c r="O20" i="5"/>
  <c r="G20" i="5"/>
  <c r="P19" i="5"/>
  <c r="O19" i="5"/>
  <c r="G19" i="5"/>
  <c r="P18" i="5"/>
  <c r="O18" i="5"/>
  <c r="G18" i="5"/>
  <c r="P17" i="5"/>
  <c r="O17" i="5"/>
  <c r="G17" i="5"/>
  <c r="P16" i="5"/>
  <c r="O16" i="5"/>
  <c r="G16" i="5"/>
  <c r="P15" i="5"/>
  <c r="O15" i="5"/>
  <c r="G15" i="5"/>
  <c r="P14" i="5"/>
  <c r="O14" i="5"/>
  <c r="G14" i="5"/>
  <c r="P13" i="5"/>
  <c r="O13" i="5"/>
  <c r="G13" i="5"/>
  <c r="P12" i="5"/>
  <c r="O12" i="5"/>
  <c r="G12" i="5"/>
  <c r="P11" i="5"/>
  <c r="O11" i="5"/>
  <c r="G11" i="5"/>
  <c r="P10" i="5"/>
  <c r="O10" i="5"/>
  <c r="G10" i="5"/>
  <c r="P9" i="5"/>
  <c r="O9" i="5"/>
  <c r="G9" i="5"/>
  <c r="P8" i="5"/>
  <c r="O8" i="5"/>
  <c r="G8" i="5"/>
  <c r="P7" i="5"/>
  <c r="O7" i="5"/>
  <c r="G7" i="5"/>
  <c r="H24" i="5" l="1"/>
  <c r="F7" i="7" l="1"/>
  <c r="F8" i="7"/>
  <c r="F9" i="7"/>
  <c r="F10" i="7"/>
  <c r="F11" i="7"/>
  <c r="F12" i="7"/>
  <c r="F13" i="7"/>
  <c r="F6" i="7"/>
  <c r="E11" i="7"/>
  <c r="J67" i="4" l="1"/>
  <c r="L66" i="4"/>
  <c r="J66" i="4"/>
  <c r="P42" i="4"/>
  <c r="O42" i="4"/>
  <c r="H42" i="4"/>
  <c r="P41" i="4"/>
  <c r="O41" i="4"/>
  <c r="H41" i="4"/>
  <c r="P40" i="4"/>
  <c r="O40" i="4"/>
  <c r="H40" i="4"/>
  <c r="P39" i="4"/>
  <c r="O39" i="4"/>
  <c r="I36" i="4" s="1"/>
  <c r="P38" i="4"/>
  <c r="O38" i="4"/>
  <c r="H38" i="4"/>
  <c r="P37" i="4"/>
  <c r="O37" i="4"/>
  <c r="H37" i="4"/>
  <c r="P36" i="4"/>
  <c r="L67" i="4" s="1"/>
  <c r="O36" i="4"/>
  <c r="K67" i="4" s="1"/>
  <c r="H36" i="4"/>
  <c r="H35" i="4"/>
  <c r="H34" i="4"/>
  <c r="G33" i="4"/>
  <c r="H33" i="4" s="1"/>
  <c r="P32" i="4"/>
  <c r="O32" i="4"/>
  <c r="H32" i="4"/>
  <c r="P31" i="4"/>
  <c r="O31" i="4"/>
  <c r="H31" i="4" s="1"/>
  <c r="I31" i="4"/>
  <c r="G31" i="4"/>
  <c r="P30" i="4"/>
  <c r="O30" i="4"/>
  <c r="G30" i="4"/>
  <c r="I30" i="4" s="1"/>
  <c r="P29" i="4"/>
  <c r="O29" i="4"/>
  <c r="H29" i="4" s="1"/>
  <c r="I29" i="4"/>
  <c r="G29" i="4"/>
  <c r="P28" i="4"/>
  <c r="O28" i="4"/>
  <c r="G28" i="4"/>
  <c r="I28" i="4" s="1"/>
  <c r="P27" i="4"/>
  <c r="O27" i="4"/>
  <c r="H27" i="4" s="1"/>
  <c r="I27" i="4"/>
  <c r="G27" i="4"/>
  <c r="P26" i="4"/>
  <c r="O26" i="4"/>
  <c r="G26" i="4"/>
  <c r="I26" i="4" s="1"/>
  <c r="P25" i="4"/>
  <c r="O25" i="4"/>
  <c r="H25" i="4" s="1"/>
  <c r="I25" i="4"/>
  <c r="G25" i="4"/>
  <c r="P24" i="4"/>
  <c r="O24" i="4"/>
  <c r="G24" i="4"/>
  <c r="I24" i="4" s="1"/>
  <c r="P23" i="4"/>
  <c r="O23" i="4"/>
  <c r="H23" i="4"/>
  <c r="G23" i="4"/>
  <c r="G22" i="4"/>
  <c r="P21" i="4"/>
  <c r="O21" i="4"/>
  <c r="G21" i="4"/>
  <c r="P20" i="4"/>
  <c r="G70" i="4" s="1"/>
  <c r="O20" i="4"/>
  <c r="G20" i="4"/>
  <c r="P19" i="4"/>
  <c r="O19" i="4"/>
  <c r="G19" i="4"/>
  <c r="P18" i="4"/>
  <c r="O18" i="4"/>
  <c r="G18" i="4"/>
  <c r="P17" i="4"/>
  <c r="O17" i="4"/>
  <c r="G17" i="4"/>
  <c r="P16" i="4"/>
  <c r="O16" i="4"/>
  <c r="G16" i="4"/>
  <c r="P15" i="4"/>
  <c r="O15" i="4"/>
  <c r="G15" i="4"/>
  <c r="P14" i="4"/>
  <c r="O14" i="4"/>
  <c r="G14" i="4"/>
  <c r="P13" i="4"/>
  <c r="O13" i="4"/>
  <c r="G13" i="4"/>
  <c r="P12" i="4"/>
  <c r="O12" i="4"/>
  <c r="G12" i="4"/>
  <c r="P11" i="4"/>
  <c r="O11" i="4"/>
  <c r="G11" i="4"/>
  <c r="P10" i="4"/>
  <c r="O10" i="4"/>
  <c r="G10" i="4"/>
  <c r="P9" i="4"/>
  <c r="O9" i="4"/>
  <c r="G9" i="4"/>
  <c r="P8" i="4"/>
  <c r="O8" i="4"/>
  <c r="G8" i="4"/>
  <c r="P7" i="4"/>
  <c r="O7" i="4"/>
  <c r="G7" i="4"/>
  <c r="H39" i="4" l="1"/>
  <c r="H24" i="4"/>
  <c r="H28" i="4"/>
  <c r="H30" i="4"/>
  <c r="H26" i="4"/>
  <c r="A34" i="1" l="1"/>
  <c r="L66" i="3"/>
  <c r="K66" i="3"/>
  <c r="P42" i="3"/>
  <c r="O42" i="3"/>
  <c r="H42" i="3" s="1"/>
  <c r="G42" i="3"/>
  <c r="P41" i="3"/>
  <c r="O41" i="3"/>
  <c r="G41" i="3"/>
  <c r="H41" i="3" s="1"/>
  <c r="P40" i="3"/>
  <c r="O40" i="3"/>
  <c r="G40" i="3"/>
  <c r="H40" i="3" s="1"/>
  <c r="P39" i="3"/>
  <c r="O39" i="3"/>
  <c r="H39" i="3" s="1"/>
  <c r="G39" i="3"/>
  <c r="P38" i="3"/>
  <c r="O38" i="3"/>
  <c r="G38" i="3"/>
  <c r="H38" i="3" s="1"/>
  <c r="P37" i="3"/>
  <c r="O37" i="3"/>
  <c r="K67" i="3" s="1"/>
  <c r="G37" i="3"/>
  <c r="P36" i="3"/>
  <c r="L67" i="3" s="1"/>
  <c r="O36" i="3"/>
  <c r="G36" i="3"/>
  <c r="J67" i="3" s="1"/>
  <c r="G35" i="3"/>
  <c r="H35" i="3" s="1"/>
  <c r="H34" i="3"/>
  <c r="G34" i="3"/>
  <c r="G33" i="3"/>
  <c r="H33" i="3" s="1"/>
  <c r="P32" i="3"/>
  <c r="O32" i="3"/>
  <c r="G32" i="3"/>
  <c r="I32" i="3" s="1"/>
  <c r="P31" i="3"/>
  <c r="O31" i="3"/>
  <c r="H31" i="3" s="1"/>
  <c r="G31" i="3"/>
  <c r="P30" i="3"/>
  <c r="O30" i="3"/>
  <c r="G30" i="3"/>
  <c r="I30" i="3" s="1"/>
  <c r="P29" i="3"/>
  <c r="O29" i="3"/>
  <c r="H29" i="3" s="1"/>
  <c r="G29" i="3"/>
  <c r="P28" i="3"/>
  <c r="O28" i="3"/>
  <c r="G28" i="3"/>
  <c r="I28" i="3" s="1"/>
  <c r="P27" i="3"/>
  <c r="O27" i="3"/>
  <c r="H27" i="3" s="1"/>
  <c r="G27" i="3"/>
  <c r="P26" i="3"/>
  <c r="O26" i="3"/>
  <c r="G26" i="3"/>
  <c r="I26" i="3" s="1"/>
  <c r="P25" i="3"/>
  <c r="O25" i="3"/>
  <c r="H25" i="3" s="1"/>
  <c r="G25" i="3"/>
  <c r="P24" i="3"/>
  <c r="O24" i="3"/>
  <c r="G24" i="3"/>
  <c r="I24" i="3" s="1"/>
  <c r="P23" i="3"/>
  <c r="O23" i="3"/>
  <c r="H23" i="3" s="1"/>
  <c r="G23" i="3"/>
  <c r="G22" i="3"/>
  <c r="P21" i="3"/>
  <c r="O21" i="3"/>
  <c r="G21" i="3"/>
  <c r="P20" i="3"/>
  <c r="G70" i="3" s="1"/>
  <c r="O20" i="3"/>
  <c r="G20" i="3"/>
  <c r="P19" i="3"/>
  <c r="O19" i="3"/>
  <c r="G19" i="3"/>
  <c r="P18" i="3"/>
  <c r="O18" i="3"/>
  <c r="G18" i="3"/>
  <c r="P17" i="3"/>
  <c r="O17" i="3"/>
  <c r="G17" i="3"/>
  <c r="P16" i="3"/>
  <c r="O16" i="3"/>
  <c r="G16" i="3"/>
  <c r="P15" i="3"/>
  <c r="O15" i="3"/>
  <c r="G15" i="3"/>
  <c r="P14" i="3"/>
  <c r="O14" i="3"/>
  <c r="G14" i="3"/>
  <c r="P13" i="3"/>
  <c r="O13" i="3"/>
  <c r="G13" i="3"/>
  <c r="P12" i="3"/>
  <c r="O12" i="3"/>
  <c r="G12" i="3"/>
  <c r="P11" i="3"/>
  <c r="O11" i="3"/>
  <c r="G11" i="3"/>
  <c r="P10" i="3"/>
  <c r="O10" i="3"/>
  <c r="G10" i="3"/>
  <c r="P9" i="3"/>
  <c r="O9" i="3"/>
  <c r="G9" i="3"/>
  <c r="P8" i="3"/>
  <c r="O8" i="3"/>
  <c r="G8" i="3"/>
  <c r="P7" i="3"/>
  <c r="O7" i="3"/>
  <c r="G7" i="3"/>
  <c r="I25" i="3" l="1"/>
  <c r="I27" i="3"/>
  <c r="I29" i="3"/>
  <c r="I31" i="3"/>
  <c r="H37" i="3"/>
  <c r="H24" i="3"/>
  <c r="H26" i="3"/>
  <c r="H30" i="3"/>
  <c r="H32" i="3"/>
  <c r="H36" i="3"/>
  <c r="J66" i="3"/>
  <c r="H28" i="3"/>
  <c r="I36" i="3"/>
  <c r="J67" i="2" l="1"/>
  <c r="L66" i="2"/>
  <c r="K66" i="2"/>
  <c r="P42" i="2"/>
  <c r="O42" i="2"/>
  <c r="H42" i="2"/>
  <c r="G42" i="2"/>
  <c r="P41" i="2"/>
  <c r="O41" i="2"/>
  <c r="G41" i="2"/>
  <c r="H41" i="2" s="1"/>
  <c r="P40" i="2"/>
  <c r="O40" i="2"/>
  <c r="H40" i="2"/>
  <c r="G40" i="2"/>
  <c r="P39" i="2"/>
  <c r="O39" i="2"/>
  <c r="H39" i="2" s="1"/>
  <c r="G39" i="2"/>
  <c r="P38" i="2"/>
  <c r="O38" i="2"/>
  <c r="G38" i="2"/>
  <c r="H38" i="2" s="1"/>
  <c r="P37" i="2"/>
  <c r="O37" i="2"/>
  <c r="H37" i="2"/>
  <c r="G37" i="2"/>
  <c r="P36" i="2"/>
  <c r="L67" i="2" s="1"/>
  <c r="O36" i="2"/>
  <c r="K67" i="2" s="1"/>
  <c r="G36" i="2"/>
  <c r="H36" i="2" s="1"/>
  <c r="G35" i="2"/>
  <c r="H35" i="2" s="1"/>
  <c r="H34" i="2"/>
  <c r="G34" i="2"/>
  <c r="H33" i="2"/>
  <c r="G33" i="2"/>
  <c r="P32" i="2"/>
  <c r="O32" i="2"/>
  <c r="G32" i="2"/>
  <c r="H32" i="2" s="1"/>
  <c r="P31" i="2"/>
  <c r="O31" i="2"/>
  <c r="H31" i="2"/>
  <c r="G31" i="2"/>
  <c r="P30" i="2"/>
  <c r="O30" i="2"/>
  <c r="H30" i="2" s="1"/>
  <c r="G30" i="2"/>
  <c r="P29" i="2"/>
  <c r="O29" i="2"/>
  <c r="G29" i="2"/>
  <c r="H29" i="2" s="1"/>
  <c r="P28" i="2"/>
  <c r="O28" i="2"/>
  <c r="H28" i="2"/>
  <c r="G28" i="2"/>
  <c r="P27" i="2"/>
  <c r="O27" i="2"/>
  <c r="G27" i="2"/>
  <c r="H27" i="2" s="1"/>
  <c r="P26" i="2"/>
  <c r="O26" i="2"/>
  <c r="H26" i="2"/>
  <c r="G26" i="2"/>
  <c r="P25" i="2"/>
  <c r="O25" i="2"/>
  <c r="H25" i="2" s="1"/>
  <c r="G25" i="2"/>
  <c r="P24" i="2"/>
  <c r="O24" i="2"/>
  <c r="G24" i="2"/>
  <c r="H24" i="2" s="1"/>
  <c r="P23" i="2"/>
  <c r="O23" i="2"/>
  <c r="H23" i="2"/>
  <c r="G23" i="2"/>
  <c r="G22" i="2"/>
  <c r="P21" i="2"/>
  <c r="O21" i="2"/>
  <c r="G21" i="2"/>
  <c r="P20" i="2"/>
  <c r="G70" i="2" s="1"/>
  <c r="O20" i="2"/>
  <c r="G20" i="2"/>
  <c r="P19" i="2"/>
  <c r="O19" i="2"/>
  <c r="G19" i="2"/>
  <c r="P18" i="2"/>
  <c r="O18" i="2"/>
  <c r="G18" i="2"/>
  <c r="P17" i="2"/>
  <c r="O17" i="2"/>
  <c r="G17" i="2"/>
  <c r="P16" i="2"/>
  <c r="O16" i="2"/>
  <c r="G16" i="2"/>
  <c r="P15" i="2"/>
  <c r="O15" i="2"/>
  <c r="G15" i="2"/>
  <c r="P14" i="2"/>
  <c r="O14" i="2"/>
  <c r="G14" i="2"/>
  <c r="P13" i="2"/>
  <c r="O13" i="2"/>
  <c r="G13" i="2"/>
  <c r="P12" i="2"/>
  <c r="O12" i="2"/>
  <c r="G12" i="2"/>
  <c r="P11" i="2"/>
  <c r="O11" i="2"/>
  <c r="G11" i="2"/>
  <c r="P10" i="2"/>
  <c r="O10" i="2"/>
  <c r="G10" i="2"/>
  <c r="P9" i="2"/>
  <c r="O9" i="2"/>
  <c r="G9" i="2"/>
  <c r="P8" i="2"/>
  <c r="O8" i="2"/>
  <c r="G8" i="2"/>
  <c r="P7" i="2"/>
  <c r="O7" i="2"/>
  <c r="G7" i="2"/>
  <c r="C25" i="7" l="1"/>
  <c r="C22" i="7"/>
  <c r="C23" i="7"/>
  <c r="C24" i="7"/>
  <c r="C21" i="7"/>
  <c r="E12" i="7"/>
  <c r="V5" i="1"/>
  <c r="N5" i="1" l="1"/>
  <c r="Z5" i="1"/>
  <c r="J5" i="1"/>
  <c r="F5" i="1"/>
  <c r="A38" i="1"/>
  <c r="A37" i="1"/>
  <c r="B5" i="1"/>
</calcChain>
</file>

<file path=xl/sharedStrings.xml><?xml version="1.0" encoding="utf-8"?>
<sst xmlns="http://schemas.openxmlformats.org/spreadsheetml/2006/main" count="1108" uniqueCount="134">
  <si>
    <t>vprod</t>
  </si>
  <si>
    <t>MEP Constraints</t>
  </si>
  <si>
    <t>No MEP Constraints</t>
  </si>
  <si>
    <t>No Constraints</t>
  </si>
  <si>
    <t>Exp IspS OE</t>
  </si>
  <si>
    <t>Exp Isps + DXS2 OE</t>
  </si>
  <si>
    <t>Exp Isps + Dxs2 + IspG + IspH</t>
  </si>
  <si>
    <t>vlgc</t>
  </si>
  <si>
    <t>u</t>
  </si>
  <si>
    <t>molar yield %</t>
  </si>
  <si>
    <t>MEP protein abundance constraints</t>
  </si>
  <si>
    <t>No MEP protein abundance constrains</t>
  </si>
  <si>
    <t>No protein abundance constraints</t>
  </si>
  <si>
    <t>Experimental IspS OE</t>
  </si>
  <si>
    <t>Experimental Isps + DXS2 OE</t>
  </si>
  <si>
    <t>Experimental Isps + DXS2 + IspG + IspH OE</t>
  </si>
  <si>
    <t xml:space="preserve">*model overpredicts isoprene production - likely due to hopanoid constraints in biomass equation -- if too high then higher flux through MEP and inflate Kapps of MEP enzymes </t>
  </si>
  <si>
    <t>fold increase when DXS2 no longer limiting</t>
  </si>
  <si>
    <t>fold increase from MEP constraints to no protein cosntraints</t>
  </si>
  <si>
    <t>fold increase when no MEP constraints to no constraints</t>
  </si>
  <si>
    <t>fold increase when OE DXS2 and IspS</t>
  </si>
  <si>
    <t>fold increase from just IspS when OE DXS2, IspG and IspH</t>
  </si>
  <si>
    <t>vglc was 55.1</t>
  </si>
  <si>
    <t>exp vglc 51</t>
  </si>
  <si>
    <t>u 0.36</t>
  </si>
  <si>
    <t>mmol/gDW/h</t>
  </si>
  <si>
    <t>mmol/gDW</t>
  </si>
  <si>
    <t>g/gDCW</t>
  </si>
  <si>
    <t>mmol/gDCW</t>
  </si>
  <si>
    <t>MW (g/mmol)</t>
  </si>
  <si>
    <t>Model Prosyn</t>
  </si>
  <si>
    <t>Model Pro Con</t>
  </si>
  <si>
    <t>Exp</t>
  </si>
  <si>
    <t>St Dev</t>
  </si>
  <si>
    <t>ZMO0369</t>
  </si>
  <si>
    <t>Glucokinase</t>
  </si>
  <si>
    <t>GLK</t>
  </si>
  <si>
    <t>ZMO0367</t>
  </si>
  <si>
    <t>Glucose 6-phospahte dehydrogenase</t>
  </si>
  <si>
    <t>G6PDH</t>
  </si>
  <si>
    <t>ZMO1478</t>
  </si>
  <si>
    <t xml:space="preserve">6-phosphogluconolactonase </t>
  </si>
  <si>
    <t>PGL</t>
  </si>
  <si>
    <t>ZMO0368</t>
  </si>
  <si>
    <t xml:space="preserve">6-phosphogluconate dehydratase </t>
  </si>
  <si>
    <t>EDD</t>
  </si>
  <si>
    <t>ZMO0997</t>
  </si>
  <si>
    <t xml:space="preserve">2-dehydro-3-deoxyphosphogluconate aldolase </t>
  </si>
  <si>
    <t>EDA</t>
  </si>
  <si>
    <t>ZMO1212</t>
  </si>
  <si>
    <t xml:space="preserve">Phosphoglucose isomerase </t>
  </si>
  <si>
    <t>PGI</t>
  </si>
  <si>
    <t>ZMO0465</t>
  </si>
  <si>
    <t xml:space="preserve">Triose phosphate isomerase </t>
  </si>
  <si>
    <t>TPI</t>
  </si>
  <si>
    <t>ZMO0177</t>
  </si>
  <si>
    <t xml:space="preserve">Glyceraldehyde 3-phosphate dehydrogenase </t>
  </si>
  <si>
    <t>GAPDH</t>
  </si>
  <si>
    <t>ZMO0178</t>
  </si>
  <si>
    <t xml:space="preserve">Phosphoglycerate kinase </t>
  </si>
  <si>
    <t>PGK</t>
  </si>
  <si>
    <t>ZMO1240</t>
  </si>
  <si>
    <t xml:space="preserve">Phosphoglycerate mutase </t>
  </si>
  <si>
    <t>PGM</t>
  </si>
  <si>
    <t>ZMO1608</t>
  </si>
  <si>
    <t xml:space="preserve">Enolase </t>
  </si>
  <si>
    <t>ENO</t>
  </si>
  <si>
    <t>ZMO0152</t>
  </si>
  <si>
    <t xml:space="preserve">Pyruvate kinase </t>
  </si>
  <si>
    <t>PYK</t>
  </si>
  <si>
    <t>ZMO1360</t>
  </si>
  <si>
    <t>Pyruvate decarboxylase</t>
  </si>
  <si>
    <t>PDC</t>
  </si>
  <si>
    <t>ZMO1236</t>
  </si>
  <si>
    <t>Alcohol dehydrogenase I/II</t>
  </si>
  <si>
    <t>ADHA/B</t>
  </si>
  <si>
    <t>ZMO1596</t>
  </si>
  <si>
    <t>ADH</t>
  </si>
  <si>
    <t>ZMO1722</t>
  </si>
  <si>
    <t>ZMO1234</t>
  </si>
  <si>
    <t>DXS1</t>
  </si>
  <si>
    <t>ZMO1598</t>
  </si>
  <si>
    <t>DXS2</t>
  </si>
  <si>
    <t>ZMO1150</t>
  </si>
  <si>
    <t>DXR</t>
  </si>
  <si>
    <t>ZMO1128</t>
  </si>
  <si>
    <t>ISPDF</t>
  </si>
  <si>
    <t>ZMO1182</t>
  </si>
  <si>
    <t>ISPE</t>
  </si>
  <si>
    <t>ZMO0180</t>
  </si>
  <si>
    <t>ISPG</t>
  </si>
  <si>
    <t>ZMO0875</t>
  </si>
  <si>
    <t>ISPH</t>
  </si>
  <si>
    <t>ZMO1753</t>
  </si>
  <si>
    <t>FPR</t>
  </si>
  <si>
    <t>ZMO1851</t>
  </si>
  <si>
    <t>FLDA</t>
  </si>
  <si>
    <t>ZMO0220</t>
  </si>
  <si>
    <t>FDXA</t>
  </si>
  <si>
    <t>ZMO1808</t>
  </si>
  <si>
    <t>RNF</t>
  </si>
  <si>
    <t>ZMO1809</t>
  </si>
  <si>
    <t>ZMO1810</t>
  </si>
  <si>
    <t>ZMO1811</t>
  </si>
  <si>
    <t>ZMO1812</t>
  </si>
  <si>
    <t>ZMO1813</t>
  </si>
  <si>
    <t>ZMO1814</t>
  </si>
  <si>
    <t>Model/Exp</t>
  </si>
  <si>
    <t>IspDF</t>
  </si>
  <si>
    <t>IspE</t>
  </si>
  <si>
    <t>IspG</t>
  </si>
  <si>
    <t>IspH</t>
  </si>
  <si>
    <t>Is</t>
  </si>
  <si>
    <t>FBA</t>
  </si>
  <si>
    <t>No Constraints + IDI</t>
  </si>
  <si>
    <t>No protein abundance constraints + IDI</t>
  </si>
  <si>
    <t>fold increase when add IDI to no constraints</t>
  </si>
  <si>
    <t>kcat of IspS from Eucalyptus globulus (0.195 s-1) was used</t>
  </si>
  <si>
    <t>https://pmc.ncbi.nlm.nih.gov/articles/PMC6132537/</t>
  </si>
  <si>
    <t>kcat of  IDI from E coli (0.33 s-1) was used</t>
  </si>
  <si>
    <t>https://pmc.ncbi.nlm.nih.gov/articles/PMC103578/</t>
  </si>
  <si>
    <t>No Constraints + IDI (median Kapp for IDI and IspS</t>
  </si>
  <si>
    <t>No protein abundance constraints + IDI (median Kapp for IspS and IDI)</t>
  </si>
  <si>
    <t>IspS</t>
  </si>
  <si>
    <t>hr-</t>
  </si>
  <si>
    <t>Median Kapp (hr-)</t>
  </si>
  <si>
    <t>No Constraints + IDI (median Kapp for IDI and IspS and IspH)</t>
  </si>
  <si>
    <t>u was 0.359</t>
  </si>
  <si>
    <t>ZMO0860</t>
  </si>
  <si>
    <t>FDX</t>
  </si>
  <si>
    <t>ZMO0456</t>
  </si>
  <si>
    <t>ZMO1818</t>
  </si>
  <si>
    <t>FLD</t>
  </si>
  <si>
    <t>**synthesizes no IDI and no IDI flux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</si>
</sst>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onsolas"/>
      <family val="3"/>
    </font>
    <font>
      <sz val="11"/>
      <color theme="1"/>
      <name val="Consolas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1" fontId="0" fillId="0" borderId="0" xfId="0" applyNumberFormat="1"/>
    <xf numFmtId="11" fontId="0" fillId="2" borderId="0" xfId="0" applyNumberFormat="1" applyFill="1"/>
    <xf numFmtId="11" fontId="0" fillId="3" borderId="0" xfId="0" applyNumberFormat="1" applyFill="1"/>
    <xf numFmtId="0" fontId="0" fillId="3" borderId="0" xfId="0" applyFill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2" fontId="0" fillId="0" borderId="0" xfId="0" applyNumberForma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0" fillId="0" borderId="0" xfId="0" applyAlignment="1">
      <alignment horizontal="left"/>
    </xf>
    <xf numFmtId="11" fontId="1" fillId="0" borderId="0" xfId="0" applyNumberFormat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'Molar yields'!$A$11:$A$18</c:f>
              <c:strCache>
                <c:ptCount val="8"/>
                <c:pt idx="0">
                  <c:v>MEP protein abundance constraints</c:v>
                </c:pt>
                <c:pt idx="1">
                  <c:v>No MEP protein abundance constrains</c:v>
                </c:pt>
                <c:pt idx="2">
                  <c:v>No protein abundance constraints</c:v>
                </c:pt>
                <c:pt idx="3">
                  <c:v>No protein abundance constraints + IDI</c:v>
                </c:pt>
                <c:pt idx="4">
                  <c:v>No protein abundance constraints + IDI (median Kapp for IspS and IDI)</c:v>
                </c:pt>
                <c:pt idx="5">
                  <c:v>Experimental IspS OE</c:v>
                </c:pt>
                <c:pt idx="6">
                  <c:v>Experimental Isps + DXS2 OE</c:v>
                </c:pt>
                <c:pt idx="7">
                  <c:v>Experimental Isps + DXS2 + IspG + IspH OE</c:v>
                </c:pt>
              </c:strCache>
            </c:strRef>
          </c:cat>
          <c:val>
            <c:numRef>
              <c:f>'Molar yields'!$B$11:$B$18</c:f>
              <c:numCache>
                <c:formatCode>General</c:formatCode>
                <c:ptCount val="8"/>
                <c:pt idx="0">
                  <c:v>5.2895585234139744E-2</c:v>
                </c:pt>
                <c:pt idx="1">
                  <c:v>9.8555935289827576E-2</c:v>
                </c:pt>
                <c:pt idx="2">
                  <c:v>0.13096297042439564</c:v>
                </c:pt>
                <c:pt idx="3">
                  <c:v>0.13096297042430671</c:v>
                </c:pt>
                <c:pt idx="4">
                  <c:v>0.13802274554407076</c:v>
                </c:pt>
                <c:pt idx="5">
                  <c:v>5.8419037672757519E-4</c:v>
                </c:pt>
                <c:pt idx="6">
                  <c:v>3.3301113188235962E-3</c:v>
                </c:pt>
                <c:pt idx="7">
                  <c:v>1.8039670449139817E-3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F-4848-B0FD-F15AF8EE8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9455392"/>
        <c:axId val="899354160"/>
      </c:barChart>
      <c:catAx>
        <c:axId val="89945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354160"/>
        <c:crosses val="autoZero"/>
        <c:auto val="1"/>
        <c:lblAlgn val="ctr"/>
        <c:lblOffset val="100"/>
        <c:noMultiLvlLbl val="0"/>
      </c:catAx>
      <c:valAx>
        <c:axId val="89935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45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2.5259291966573819E-5</c:v>
              </c:pt>
              <c:pt idx="1">
                <c:v>4.6604544562674091E-5</c:v>
              </c:pt>
              <c:pt idx="2">
                <c:v>7.6880477130919222E-6</c:v>
              </c:pt>
              <c:pt idx="3">
                <c:v>4.4019438919220061E-5</c:v>
              </c:pt>
              <c:pt idx="4">
                <c:v>5.0335625707520896E-5</c:v>
              </c:pt>
              <c:pt idx="5">
                <c:v>1.466866409470752E-5</c:v>
              </c:pt>
              <c:pt idx="6">
                <c:v>2.1961948328690809E-6</c:v>
              </c:pt>
              <c:pt idx="7">
                <c:v>2.2049488345125351E-4</c:v>
              </c:pt>
              <c:pt idx="8">
                <c:v>6.2644569610027852E-5</c:v>
              </c:pt>
              <c:pt idx="9">
                <c:v>6.8382968724233978E-5</c:v>
              </c:pt>
              <c:pt idx="10">
                <c:v>1.1201709500557103E-4</c:v>
              </c:pt>
              <c:pt idx="11">
                <c:v>1.4825043972423399E-4</c:v>
              </c:pt>
              <c:pt idx="12">
                <c:v>1.9350247248189415E-4</c:v>
              </c:pt>
              <c:pt idx="13">
                <c:v>4.2835241980501391E-5</c:v>
              </c:pt>
            </c:numLit>
          </c:val>
          <c:extLst>
            <c:ext xmlns:c16="http://schemas.microsoft.com/office/drawing/2014/chart" uri="{C3380CC4-5D6E-409C-BE32-E72D297353CC}">
              <c16:uniqueId val="{00000000-F515-D949-B6AE-9B2B8F0FC908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plus>
            <c:min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2.5162826034217326E-5</c:v>
              </c:pt>
              <c:pt idx="1">
                <c:v>4.6433825013844236E-5</c:v>
              </c:pt>
              <c:pt idx="2">
                <c:v>7.6598852218989575E-6</c:v>
              </c:pt>
              <c:pt idx="3">
                <c:v>4.3858189007422885E-5</c:v>
              </c:pt>
              <c:pt idx="4">
                <c:v>5.0151238638631813E-5</c:v>
              </c:pt>
              <c:pt idx="5">
                <c:v>1.4312035420422808E-5</c:v>
              </c:pt>
              <c:pt idx="6">
                <c:v>2.2023123677521908E-6</c:v>
              </c:pt>
              <c:pt idx="7">
                <c:v>2.1983523171661431E-4</c:v>
              </c:pt>
              <c:pt idx="8">
                <c:v>6.2457155101361755E-5</c:v>
              </c:pt>
              <c:pt idx="9">
                <c:v>6.8253223418885916E-5</c:v>
              </c:pt>
              <c:pt idx="10">
                <c:v>1.1180456120706036E-4</c:v>
              </c:pt>
              <c:pt idx="11">
                <c:v>1.4876930250187686E-4</c:v>
              </c:pt>
              <c:pt idx="12">
                <c:v>1.9293498422922166E-4</c:v>
              </c:pt>
              <c:pt idx="13">
                <c:v>7.5507071431189882E-5</c:v>
              </c:pt>
            </c:numLit>
          </c:val>
          <c:extLst>
            <c:ext xmlns:c16="http://schemas.microsoft.com/office/drawing/2014/chart" uri="{C3380CC4-5D6E-409C-BE32-E72D297353CC}">
              <c16:uniqueId val="{00000001-F515-D949-B6AE-9B2B8F0FC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RNF</c:v>
              </c:pt>
              <c:pt idx="11">
                <c:v>RNF</c:v>
              </c:pt>
              <c:pt idx="12">
                <c:v>RNF</c:v>
              </c:pt>
              <c:pt idx="13">
                <c:v>RNF</c:v>
              </c:pt>
              <c:pt idx="14">
                <c:v>RNF</c:v>
              </c:pt>
              <c:pt idx="15">
                <c:v>RNF</c:v>
              </c:pt>
              <c:pt idx="16">
                <c:v>RNF</c:v>
              </c:pt>
            </c:strLit>
          </c:cat>
          <c:val>
            <c:numLit>
              <c:formatCode>General</c:formatCode>
              <c:ptCount val="17"/>
              <c:pt idx="0">
                <c:v>1.8147855153203343E-7</c:v>
              </c:pt>
              <c:pt idx="1">
                <c:v>4.6616434540389972E-6</c:v>
              </c:pt>
              <c:pt idx="2">
                <c:v>7.179603470752089E-6</c:v>
              </c:pt>
              <c:pt idx="3">
                <c:v>5.9481734512534827E-6</c:v>
              </c:pt>
              <c:pt idx="4">
                <c:v>1.8038891671309193E-6</c:v>
              </c:pt>
              <c:pt idx="5">
                <c:v>1.4864996462395543E-5</c:v>
              </c:pt>
              <c:pt idx="6">
                <c:v>2.9348548454038997E-5</c:v>
              </c:pt>
              <c:pt idx="7">
                <c:v>5.1271209415041786E-6</c:v>
              </c:pt>
              <c:pt idx="8">
                <c:v>1.347635097493036E-6</c:v>
              </c:pt>
              <c:pt idx="9">
                <c:v>1.7920136682451254E-5</c:v>
              </c:pt>
              <c:pt idx="10">
                <c:v>4.277465181058496E-7</c:v>
              </c:pt>
              <c:pt idx="11">
                <c:v>3.6238718662952649E-7</c:v>
              </c:pt>
              <c:pt idx="12">
                <c:v>6.7652089136490251E-7</c:v>
              </c:pt>
              <c:pt idx="13">
                <c:v>3.0001949860724235E-7</c:v>
              </c:pt>
              <c:pt idx="14">
                <c:v>9.4552646239554316E-7</c:v>
              </c:pt>
              <c:pt idx="15">
                <c:v>4.7456545961002787E-7</c:v>
              </c:pt>
              <c:pt idx="16">
                <c:v>2.656966573816156E-6</c:v>
              </c:pt>
            </c:numLit>
          </c:val>
          <c:extLst>
            <c:ext xmlns:c16="http://schemas.microsoft.com/office/drawing/2014/chart" uri="{C3380CC4-5D6E-409C-BE32-E72D297353CC}">
              <c16:uniqueId val="{00000000-0FE5-314A-BCD3-0898380000F7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plus>
            <c:min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7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RNF</c:v>
              </c:pt>
              <c:pt idx="11">
                <c:v>RNF</c:v>
              </c:pt>
              <c:pt idx="12">
                <c:v>RNF</c:v>
              </c:pt>
              <c:pt idx="13">
                <c:v>RNF</c:v>
              </c:pt>
              <c:pt idx="14">
                <c:v>RNF</c:v>
              </c:pt>
              <c:pt idx="15">
                <c:v>RNF</c:v>
              </c:pt>
              <c:pt idx="16">
                <c:v>RNF</c:v>
              </c:pt>
            </c:strLit>
          </c:cat>
          <c:val>
            <c:numLit>
              <c:formatCode>General</c:formatCode>
              <c:ptCount val="17"/>
              <c:pt idx="0">
                <c:v>1.8097435106453549E-7</c:v>
              </c:pt>
              <c:pt idx="1">
                <c:v>3.5759084072042163E-6</c:v>
              </c:pt>
              <c:pt idx="2">
                <c:v>5.5663918746149829E-6</c:v>
              </c:pt>
              <c:pt idx="3">
                <c:v>5.7383014376990713E-6</c:v>
              </c:pt>
              <c:pt idx="4">
                <c:v>1.3985666534284624E-6</c:v>
              </c:pt>
              <c:pt idx="5">
                <c:v>1.152492555789253E-5</c:v>
              </c:pt>
              <c:pt idx="6">
                <c:v>2.2754114813120263E-5</c:v>
              </c:pt>
              <c:pt idx="7">
                <c:v>4.3083497000719311E-6</c:v>
              </c:pt>
              <c:pt idx="8">
                <c:v>1.0337618847484315E-6</c:v>
              </c:pt>
              <c:pt idx="9">
                <c:v>1.7218636036498328E-5</c:v>
              </c:pt>
              <c:pt idx="10">
                <c:v>6.0936987870452012E-7</c:v>
              </c:pt>
              <c:pt idx="11">
                <c:v>5.1625677733136231E-7</c:v>
              </c:pt>
              <c:pt idx="12">
                <c:v>9.6377223810050456E-7</c:v>
              </c:pt>
              <c:pt idx="13">
                <c:v>4.274091368779023E-7</c:v>
              </c:pt>
              <c:pt idx="14">
                <c:v>1.3470003634069508E-6</c:v>
              </c:pt>
              <c:pt idx="15">
                <c:v>6.7606819783515206E-7</c:v>
              </c:pt>
              <c:pt idx="16">
                <c:v>3.7851235695841523E-6</c:v>
              </c:pt>
            </c:numLit>
          </c:val>
          <c:extLst>
            <c:ext xmlns:c16="http://schemas.microsoft.com/office/drawing/2014/chart" uri="{C3380CC4-5D6E-409C-BE32-E72D297353CC}">
              <c16:uniqueId val="{00000001-0FE5-314A-BCD3-089838000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2.5259291966573819E-5</c:v>
              </c:pt>
              <c:pt idx="1">
                <c:v>4.6604538607242339E-5</c:v>
              </c:pt>
              <c:pt idx="2">
                <c:v>7.6880467298050145E-6</c:v>
              </c:pt>
              <c:pt idx="3">
                <c:v>4.4019433295264624E-5</c:v>
              </c:pt>
              <c:pt idx="4">
                <c:v>5.0335619272980509E-5</c:v>
              </c:pt>
              <c:pt idx="5">
                <c:v>1.4668907220055711E-5</c:v>
              </c:pt>
              <c:pt idx="6">
                <c:v>2.1961948328690809E-6</c:v>
              </c:pt>
              <c:pt idx="7">
                <c:v>2.2049474187743731E-4</c:v>
              </c:pt>
              <c:pt idx="8">
                <c:v>6.2644529387186626E-5</c:v>
              </c:pt>
              <c:pt idx="9">
                <c:v>6.8418163802228408E-5</c:v>
              </c:pt>
              <c:pt idx="10">
                <c:v>1.1207474752646239E-4</c:v>
              </c:pt>
              <c:pt idx="11">
                <c:v>1.4825295935097494E-4</c:v>
              </c:pt>
              <c:pt idx="12">
                <c:v>1.9379868079387187E-4</c:v>
              </c:pt>
              <c:pt idx="13">
                <c:v>3.9572956924791089E-5</c:v>
              </c:pt>
            </c:numLit>
          </c:val>
          <c:extLst>
            <c:ext xmlns:c16="http://schemas.microsoft.com/office/drawing/2014/chart" uri="{C3380CC4-5D6E-409C-BE32-E72D297353CC}">
              <c16:uniqueId val="{00000000-F76E-154B-97AE-6DB70E57FC4B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plus>
            <c:min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2.5162826034217326E-5</c:v>
              </c:pt>
              <c:pt idx="1">
                <c:v>4.6433825013844236E-5</c:v>
              </c:pt>
              <c:pt idx="2">
                <c:v>7.6598852218989575E-6</c:v>
              </c:pt>
              <c:pt idx="3">
                <c:v>4.3858189007422885E-5</c:v>
              </c:pt>
              <c:pt idx="4">
                <c:v>5.0151238638631813E-5</c:v>
              </c:pt>
              <c:pt idx="5">
                <c:v>1.4312035420422808E-5</c:v>
              </c:pt>
              <c:pt idx="6">
                <c:v>2.2023123677521908E-6</c:v>
              </c:pt>
              <c:pt idx="7">
                <c:v>2.1983523171661431E-4</c:v>
              </c:pt>
              <c:pt idx="8">
                <c:v>6.2457155101361755E-5</c:v>
              </c:pt>
              <c:pt idx="9">
                <c:v>6.8253223418885916E-5</c:v>
              </c:pt>
              <c:pt idx="10">
                <c:v>1.1180456120706036E-4</c:v>
              </c:pt>
              <c:pt idx="11">
                <c:v>1.4876930250187686E-4</c:v>
              </c:pt>
              <c:pt idx="12">
                <c:v>1.9293498422922166E-4</c:v>
              </c:pt>
              <c:pt idx="13">
                <c:v>7.5507071431189882E-5</c:v>
              </c:pt>
            </c:numLit>
          </c:val>
          <c:extLst>
            <c:ext xmlns:c16="http://schemas.microsoft.com/office/drawing/2014/chart" uri="{C3380CC4-5D6E-409C-BE32-E72D297353CC}">
              <c16:uniqueId val="{00000001-F76E-154B-97AE-6DB70E57F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ZMO1808</c:v>
              </c:pt>
              <c:pt idx="11">
                <c:v>ZMO1809</c:v>
              </c:pt>
              <c:pt idx="12">
                <c:v>ZMO1810</c:v>
              </c:pt>
              <c:pt idx="13">
                <c:v>ZMO1811</c:v>
              </c:pt>
              <c:pt idx="14">
                <c:v>ZMO1812</c:v>
              </c:pt>
              <c:pt idx="15">
                <c:v>ZMO1813</c:v>
              </c:pt>
              <c:pt idx="16">
                <c:v>ZMO1814</c:v>
              </c:pt>
            </c:strLit>
          </c:cat>
          <c:val>
            <c:numLit>
              <c:formatCode>General</c:formatCode>
              <c:ptCount val="17"/>
              <c:pt idx="0">
                <c:v>1.8147855153203343E-7</c:v>
              </c:pt>
              <c:pt idx="1">
                <c:v>4.6616434540389972E-6</c:v>
              </c:pt>
              <c:pt idx="2">
                <c:v>7.179603470752089E-6</c:v>
              </c:pt>
              <c:pt idx="3">
                <c:v>7.4013346239554317E-6</c:v>
              </c:pt>
              <c:pt idx="4">
                <c:v>1.8038891671309193E-6</c:v>
              </c:pt>
              <c:pt idx="5">
                <c:v>1.4864996462395543E-5</c:v>
              </c:pt>
              <c:pt idx="6">
                <c:v>2.9348548454038997E-5</c:v>
              </c:pt>
              <c:pt idx="7">
                <c:v>4.7039436824512541E-6</c:v>
              </c:pt>
              <c:pt idx="8">
                <c:v>1.347635097493036E-6</c:v>
              </c:pt>
              <c:pt idx="9">
                <c:v>1.7887484807799442E-5</c:v>
              </c:pt>
              <c:pt idx="10">
                <c:v>4.277465181058496E-7</c:v>
              </c:pt>
              <c:pt idx="11">
                <c:v>3.6238718662952649E-7</c:v>
              </c:pt>
              <c:pt idx="12">
                <c:v>6.7652089136490251E-7</c:v>
              </c:pt>
              <c:pt idx="13">
                <c:v>3.0001949860724235E-7</c:v>
              </c:pt>
              <c:pt idx="14">
                <c:v>9.4552646239554316E-7</c:v>
              </c:pt>
              <c:pt idx="15">
                <c:v>4.7456545961002787E-7</c:v>
              </c:pt>
              <c:pt idx="16">
                <c:v>2.656966573816156E-6</c:v>
              </c:pt>
            </c:numLit>
          </c:val>
          <c:extLst>
            <c:ext xmlns:c16="http://schemas.microsoft.com/office/drawing/2014/chart" uri="{C3380CC4-5D6E-409C-BE32-E72D297353CC}">
              <c16:uniqueId val="{00000000-5F5A-274B-9A83-EA82DD271892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plus>
            <c:min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7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ZMO1808</c:v>
              </c:pt>
              <c:pt idx="11">
                <c:v>ZMO1809</c:v>
              </c:pt>
              <c:pt idx="12">
                <c:v>ZMO1810</c:v>
              </c:pt>
              <c:pt idx="13">
                <c:v>ZMO1811</c:v>
              </c:pt>
              <c:pt idx="14">
                <c:v>ZMO1812</c:v>
              </c:pt>
              <c:pt idx="15">
                <c:v>ZMO1813</c:v>
              </c:pt>
              <c:pt idx="16">
                <c:v>ZMO1814</c:v>
              </c:pt>
            </c:strLit>
          </c:cat>
          <c:val>
            <c:numLit>
              <c:formatCode>General</c:formatCode>
              <c:ptCount val="17"/>
              <c:pt idx="0">
                <c:v>1.8097435106453549E-7</c:v>
              </c:pt>
              <c:pt idx="1">
                <c:v>3.5759084072042163E-6</c:v>
              </c:pt>
              <c:pt idx="2">
                <c:v>5.5663918746149829E-6</c:v>
              </c:pt>
              <c:pt idx="3">
                <c:v>5.7383014376990713E-6</c:v>
              </c:pt>
              <c:pt idx="4">
                <c:v>1.3985666534284624E-6</c:v>
              </c:pt>
              <c:pt idx="5">
                <c:v>1.152492555789253E-5</c:v>
              </c:pt>
              <c:pt idx="6">
                <c:v>2.2754114813120263E-5</c:v>
              </c:pt>
              <c:pt idx="7">
                <c:v>4.3083497000719311E-6</c:v>
              </c:pt>
              <c:pt idx="8">
                <c:v>1.0337618847484315E-6</c:v>
              </c:pt>
              <c:pt idx="9">
                <c:v>1.7218636036498328E-5</c:v>
              </c:pt>
              <c:pt idx="10">
                <c:v>6.0936987870452012E-7</c:v>
              </c:pt>
              <c:pt idx="11">
                <c:v>5.1625677733136231E-7</c:v>
              </c:pt>
              <c:pt idx="12">
                <c:v>9.6377223810050456E-7</c:v>
              </c:pt>
              <c:pt idx="13">
                <c:v>4.274091368779023E-7</c:v>
              </c:pt>
              <c:pt idx="14">
                <c:v>1.3470003634069508E-6</c:v>
              </c:pt>
              <c:pt idx="15">
                <c:v>6.7606819783515206E-7</c:v>
              </c:pt>
              <c:pt idx="16">
                <c:v>3.7851235695841523E-6</c:v>
              </c:pt>
            </c:numLit>
          </c:val>
          <c:extLst>
            <c:ext xmlns:c16="http://schemas.microsoft.com/office/drawing/2014/chart" uri="{C3380CC4-5D6E-409C-BE32-E72D297353CC}">
              <c16:uniqueId val="{00000001-5F5A-274B-9A83-EA82DD271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[1]Sheet2!$E$57:$E$70</c:f>
              <c:numCache>
                <c:formatCode>General</c:formatCode>
                <c:ptCount val="14"/>
                <c:pt idx="0">
                  <c:v>2.5259291966573819E-5</c:v>
                </c:pt>
                <c:pt idx="1">
                  <c:v>4.6604429880222839E-5</c:v>
                </c:pt>
                <c:pt idx="2">
                  <c:v>7.6880287938718668E-6</c:v>
                </c:pt>
                <c:pt idx="3">
                  <c:v>4.4019330598885798E-5</c:v>
                </c:pt>
                <c:pt idx="4">
                  <c:v>5.0335501841225631E-5</c:v>
                </c:pt>
                <c:pt idx="5">
                  <c:v>1.4673345401114206E-5</c:v>
                </c:pt>
                <c:pt idx="6">
                  <c:v>2.1961948328690809E-6</c:v>
                </c:pt>
                <c:pt idx="7">
                  <c:v>2.204932468913649E-4</c:v>
                </c:pt>
                <c:pt idx="8">
                  <c:v>6.2644104646239555E-5</c:v>
                </c:pt>
                <c:pt idx="9">
                  <c:v>6.8383175172701959E-5</c:v>
                </c:pt>
                <c:pt idx="10">
                  <c:v>1.1201743318384401E-4</c:v>
                </c:pt>
                <c:pt idx="11">
                  <c:v>1.4825290432869082E-4</c:v>
                </c:pt>
                <c:pt idx="12">
                  <c:v>1.9351916936490252E-4</c:v>
                </c:pt>
                <c:pt idx="13">
                  <c:v>7.5712466264623953E-5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2C-5E43-ADCE-FE200EC838AD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[2]ProteinComp_Anal!$G$36:$G$49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plus>
            <c:minus>
              <c:numRef>
                <c:f>[2]ProteinComp_Anal!$G$36:$G$49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[1]Sheet2!$D$57:$D$70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[1]Sheet2!$F$57:$F$70</c:f>
              <c:numCache>
                <c:formatCode>General</c:formatCode>
                <c:ptCount val="14"/>
                <c:pt idx="0">
                  <c:v>2.5162826034217326E-5</c:v>
                </c:pt>
                <c:pt idx="1">
                  <c:v>4.6433825013844236E-5</c:v>
                </c:pt>
                <c:pt idx="2">
                  <c:v>7.6598852218989575E-6</c:v>
                </c:pt>
                <c:pt idx="3">
                  <c:v>4.3858189007422885E-5</c:v>
                </c:pt>
                <c:pt idx="4">
                  <c:v>5.0151238638631813E-5</c:v>
                </c:pt>
                <c:pt idx="5">
                  <c:v>1.4312035420422808E-5</c:v>
                </c:pt>
                <c:pt idx="6">
                  <c:v>2.2023123677521908E-6</c:v>
                </c:pt>
                <c:pt idx="7">
                  <c:v>2.1983523171661431E-4</c:v>
                </c:pt>
                <c:pt idx="8">
                  <c:v>6.2457155101361755E-5</c:v>
                </c:pt>
                <c:pt idx="9">
                  <c:v>6.8253223418885916E-5</c:v>
                </c:pt>
                <c:pt idx="10">
                  <c:v>1.1180456120706036E-4</c:v>
                </c:pt>
                <c:pt idx="11">
                  <c:v>1.4876930250187686E-4</c:v>
                </c:pt>
                <c:pt idx="12">
                  <c:v>1.9293498422922166E-4</c:v>
                </c:pt>
                <c:pt idx="13">
                  <c:v>7.5507071431189882E-5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2C-5E43-ADCE-FE200EC83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[1]Sheet2!$C$23:$C$42</c:f>
              <c:strCache>
                <c:ptCount val="20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FDXA</c:v>
                </c:pt>
                <c:pt idx="10">
                  <c:v>FDX</c:v>
                </c:pt>
                <c:pt idx="11">
                  <c:v>FDX</c:v>
                </c:pt>
                <c:pt idx="12">
                  <c:v>FDX</c:v>
                </c:pt>
                <c:pt idx="13">
                  <c:v>ZMO1808</c:v>
                </c:pt>
                <c:pt idx="14">
                  <c:v>ZMO1809</c:v>
                </c:pt>
                <c:pt idx="15">
                  <c:v>ZMO1810</c:v>
                </c:pt>
                <c:pt idx="16">
                  <c:v>ZMO1811</c:v>
                </c:pt>
                <c:pt idx="17">
                  <c:v>ZMO1812</c:v>
                </c:pt>
                <c:pt idx="18">
                  <c:v>ZMO1813</c:v>
                </c:pt>
                <c:pt idx="19">
                  <c:v>ZMO1814</c:v>
                </c:pt>
              </c:strCache>
            </c:strRef>
          </c:cat>
          <c:val>
            <c:numRef>
              <c:f>[1]Sheet2!$G$23:$G$42</c:f>
              <c:numCache>
                <c:formatCode>General</c:formatCode>
                <c:ptCount val="20"/>
                <c:pt idx="0">
                  <c:v>1.8147855153203343E-7</c:v>
                </c:pt>
                <c:pt idx="1">
                  <c:v>4.6616434540389972E-6</c:v>
                </c:pt>
                <c:pt idx="2">
                  <c:v>7.179603470752089E-6</c:v>
                </c:pt>
                <c:pt idx="3">
                  <c:v>7.4013346239554317E-6</c:v>
                </c:pt>
                <c:pt idx="4">
                  <c:v>1.8038891671309193E-6</c:v>
                </c:pt>
                <c:pt idx="5">
                  <c:v>1.4864996462395543E-5</c:v>
                </c:pt>
                <c:pt idx="6">
                  <c:v>2.9348548454038997E-5</c:v>
                </c:pt>
                <c:pt idx="7">
                  <c:v>4.5033526518105854E-6</c:v>
                </c:pt>
                <c:pt idx="8">
                  <c:v>1.348189415041783E-6</c:v>
                </c:pt>
                <c:pt idx="9">
                  <c:v>2.0692043604456825E-5</c:v>
                </c:pt>
                <c:pt idx="10">
                  <c:v>7.0194986072423398E-8</c:v>
                </c:pt>
                <c:pt idx="11">
                  <c:v>1.5376044568245126E-7</c:v>
                </c:pt>
                <c:pt idx="12">
                  <c:v>3.041782729805014E-7</c:v>
                </c:pt>
                <c:pt idx="13">
                  <c:v>4.277465181058496E-7</c:v>
                </c:pt>
                <c:pt idx="14">
                  <c:v>3.6238718662952649E-7</c:v>
                </c:pt>
                <c:pt idx="15">
                  <c:v>6.7652089136490251E-7</c:v>
                </c:pt>
                <c:pt idx="16">
                  <c:v>3.0001949860724235E-7</c:v>
                </c:pt>
                <c:pt idx="17">
                  <c:v>9.4552646239554316E-7</c:v>
                </c:pt>
                <c:pt idx="18">
                  <c:v>4.7456545961002787E-7</c:v>
                </c:pt>
                <c:pt idx="19">
                  <c:v>2.656966573816156E-6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7-0645-9D6B-B292C724F691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[1]Sheet2!$P$23:$P$42</c:f>
                <c:numCache>
                  <c:formatCode>General</c:formatCode>
                  <c:ptCount val="20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3.5542901618033006E-7</c:v>
                  </c:pt>
                  <c:pt idx="10">
                    <c:v>4.21505376344086E-9</c:v>
                  </c:pt>
                  <c:pt idx="11">
                    <c:v>1.4060387561964848E-8</c:v>
                  </c:pt>
                  <c:pt idx="12">
                    <c:v>2.4846536100555392E-8</c:v>
                  </c:pt>
                  <c:pt idx="13">
                    <c:v>3.2875134496012725E-8</c:v>
                  </c:pt>
                  <c:pt idx="14">
                    <c:v>2.8715420923975363E-8</c:v>
                  </c:pt>
                  <c:pt idx="15">
                    <c:v>4.7536677836157935E-8</c:v>
                  </c:pt>
                  <c:pt idx="16">
                    <c:v>2.4587724505903801E-8</c:v>
                  </c:pt>
                  <c:pt idx="17">
                    <c:v>6.1889544519485208E-8</c:v>
                  </c:pt>
                  <c:pt idx="18">
                    <c:v>3.5764914442767053E-8</c:v>
                  </c:pt>
                  <c:pt idx="19">
                    <c:v>1.3456192077538062E-7</c:v>
                  </c:pt>
                </c:numCache>
              </c:numRef>
            </c:plus>
            <c:minus>
              <c:numRef>
                <c:f>[1]Sheet2!$P$23:$P$42</c:f>
                <c:numCache>
                  <c:formatCode>General</c:formatCode>
                  <c:ptCount val="20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3.5542901618033006E-7</c:v>
                  </c:pt>
                  <c:pt idx="10">
                    <c:v>4.21505376344086E-9</c:v>
                  </c:pt>
                  <c:pt idx="11">
                    <c:v>1.4060387561964848E-8</c:v>
                  </c:pt>
                  <c:pt idx="12">
                    <c:v>2.4846536100555392E-8</c:v>
                  </c:pt>
                  <c:pt idx="13">
                    <c:v>3.2875134496012725E-8</c:v>
                  </c:pt>
                  <c:pt idx="14">
                    <c:v>2.8715420923975363E-8</c:v>
                  </c:pt>
                  <c:pt idx="15">
                    <c:v>4.7536677836157935E-8</c:v>
                  </c:pt>
                  <c:pt idx="16">
                    <c:v>2.4587724505903801E-8</c:v>
                  </c:pt>
                  <c:pt idx="17">
                    <c:v>6.1889544519485208E-8</c:v>
                  </c:pt>
                  <c:pt idx="18">
                    <c:v>3.5764914442767053E-8</c:v>
                  </c:pt>
                  <c:pt idx="19">
                    <c:v>1.3456192077538062E-7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[1]Sheet2!$C$23:$C$42</c:f>
              <c:strCache>
                <c:ptCount val="20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FDXA</c:v>
                </c:pt>
                <c:pt idx="10">
                  <c:v>FDX</c:v>
                </c:pt>
                <c:pt idx="11">
                  <c:v>FDX</c:v>
                </c:pt>
                <c:pt idx="12">
                  <c:v>FDX</c:v>
                </c:pt>
                <c:pt idx="13">
                  <c:v>ZMO1808</c:v>
                </c:pt>
                <c:pt idx="14">
                  <c:v>ZMO1809</c:v>
                </c:pt>
                <c:pt idx="15">
                  <c:v>ZMO1810</c:v>
                </c:pt>
                <c:pt idx="16">
                  <c:v>ZMO1811</c:v>
                </c:pt>
                <c:pt idx="17">
                  <c:v>ZMO1812</c:v>
                </c:pt>
                <c:pt idx="18">
                  <c:v>ZMO1813</c:v>
                </c:pt>
                <c:pt idx="19">
                  <c:v>ZMO1814</c:v>
                </c:pt>
              </c:strCache>
            </c:strRef>
          </c:cat>
          <c:val>
            <c:numRef>
              <c:f>[1]Sheet2!$O$23:$O$42</c:f>
              <c:numCache>
                <c:formatCode>General</c:formatCode>
                <c:ptCount val="20"/>
                <c:pt idx="0">
                  <c:v>1.8097435106453549E-7</c:v>
                </c:pt>
                <c:pt idx="1">
                  <c:v>3.5759084072042163E-6</c:v>
                </c:pt>
                <c:pt idx="2">
                  <c:v>5.5663918746149829E-6</c:v>
                </c:pt>
                <c:pt idx="3">
                  <c:v>5.7383014376990713E-6</c:v>
                </c:pt>
                <c:pt idx="4">
                  <c:v>1.3985666534284624E-6</c:v>
                </c:pt>
                <c:pt idx="5">
                  <c:v>1.152492555789253E-5</c:v>
                </c:pt>
                <c:pt idx="6">
                  <c:v>2.2754114813120263E-5</c:v>
                </c:pt>
                <c:pt idx="7">
                  <c:v>4.3083497000719311E-6</c:v>
                </c:pt>
                <c:pt idx="8">
                  <c:v>1.0337618847484315E-6</c:v>
                </c:pt>
                <c:pt idx="9">
                  <c:v>1.7218636036498328E-5</c:v>
                </c:pt>
                <c:pt idx="10">
                  <c:v>5.3789247311827955E-8</c:v>
                </c:pt>
                <c:pt idx="11">
                  <c:v>2.1901757548445245E-7</c:v>
                </c:pt>
                <c:pt idx="12">
                  <c:v>4.3262204033908217E-7</c:v>
                </c:pt>
                <c:pt idx="13">
                  <c:v>6.0936987870452012E-7</c:v>
                </c:pt>
                <c:pt idx="14">
                  <c:v>5.1625677733136231E-7</c:v>
                </c:pt>
                <c:pt idx="15">
                  <c:v>9.6377223810050456E-7</c:v>
                </c:pt>
                <c:pt idx="16">
                  <c:v>4.274091368779023E-7</c:v>
                </c:pt>
                <c:pt idx="17">
                  <c:v>1.3470003634069508E-6</c:v>
                </c:pt>
                <c:pt idx="18">
                  <c:v>6.7606819783515206E-7</c:v>
                </c:pt>
                <c:pt idx="19">
                  <c:v>3.7851235695841523E-6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67-0645-9D6B-B292C724F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[1]Sheet2!$E$57:$E$70</c:f>
              <c:numCache>
                <c:formatCode>General</c:formatCode>
                <c:ptCount val="14"/>
                <c:pt idx="0">
                  <c:v>2.5259291966573819E-5</c:v>
                </c:pt>
                <c:pt idx="1">
                  <c:v>4.6604429880222839E-5</c:v>
                </c:pt>
                <c:pt idx="2">
                  <c:v>7.6880287938718668E-6</c:v>
                </c:pt>
                <c:pt idx="3">
                  <c:v>4.4019330598885798E-5</c:v>
                </c:pt>
                <c:pt idx="4">
                  <c:v>5.0335501841225631E-5</c:v>
                </c:pt>
                <c:pt idx="5">
                  <c:v>1.4673345401114206E-5</c:v>
                </c:pt>
                <c:pt idx="6">
                  <c:v>2.1961948328690809E-6</c:v>
                </c:pt>
                <c:pt idx="7">
                  <c:v>2.204932468913649E-4</c:v>
                </c:pt>
                <c:pt idx="8">
                  <c:v>6.2644104646239555E-5</c:v>
                </c:pt>
                <c:pt idx="9">
                  <c:v>6.8383175172701959E-5</c:v>
                </c:pt>
                <c:pt idx="10">
                  <c:v>1.1201743318384401E-4</c:v>
                </c:pt>
                <c:pt idx="11">
                  <c:v>1.4825290432869082E-4</c:v>
                </c:pt>
                <c:pt idx="12">
                  <c:v>1.9351916936490252E-4</c:v>
                </c:pt>
                <c:pt idx="13">
                  <c:v>7.5712466264623953E-5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C-AB48-AE16-0BAD958FE51B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[2]ProteinComp_Anal!$G$36:$G$49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plus>
            <c:minus>
              <c:numRef>
                <c:f>[2]ProteinComp_Anal!$G$36:$G$49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[1]Sheet2!$D$57:$D$70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[1]Sheet2!$F$57:$F$70</c:f>
              <c:numCache>
                <c:formatCode>General</c:formatCode>
                <c:ptCount val="14"/>
                <c:pt idx="0">
                  <c:v>2.5162826034217326E-5</c:v>
                </c:pt>
                <c:pt idx="1">
                  <c:v>4.6433825013844236E-5</c:v>
                </c:pt>
                <c:pt idx="2">
                  <c:v>7.6598852218989575E-6</c:v>
                </c:pt>
                <c:pt idx="3">
                  <c:v>4.3858189007422885E-5</c:v>
                </c:pt>
                <c:pt idx="4">
                  <c:v>5.0151238638631813E-5</c:v>
                </c:pt>
                <c:pt idx="5">
                  <c:v>1.4312035420422808E-5</c:v>
                </c:pt>
                <c:pt idx="6">
                  <c:v>2.2023123677521908E-6</c:v>
                </c:pt>
                <c:pt idx="7">
                  <c:v>2.1983523171661431E-4</c:v>
                </c:pt>
                <c:pt idx="8">
                  <c:v>6.2457155101361755E-5</c:v>
                </c:pt>
                <c:pt idx="9">
                  <c:v>6.8253223418885916E-5</c:v>
                </c:pt>
                <c:pt idx="10">
                  <c:v>1.1180456120706036E-4</c:v>
                </c:pt>
                <c:pt idx="11">
                  <c:v>1.4876930250187686E-4</c:v>
                </c:pt>
                <c:pt idx="12">
                  <c:v>1.9293498422922166E-4</c:v>
                </c:pt>
                <c:pt idx="13">
                  <c:v>7.5507071431189882E-5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3C-AB48-AE16-0BAD958FE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[1]Sheet2!$C$23:$C$42</c:f>
              <c:strCache>
                <c:ptCount val="20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FDXA</c:v>
                </c:pt>
                <c:pt idx="10">
                  <c:v>FDX</c:v>
                </c:pt>
                <c:pt idx="11">
                  <c:v>FDX</c:v>
                </c:pt>
                <c:pt idx="12">
                  <c:v>FDX</c:v>
                </c:pt>
                <c:pt idx="13">
                  <c:v>ZMO1808</c:v>
                </c:pt>
                <c:pt idx="14">
                  <c:v>ZMO1809</c:v>
                </c:pt>
                <c:pt idx="15">
                  <c:v>ZMO1810</c:v>
                </c:pt>
                <c:pt idx="16">
                  <c:v>ZMO1811</c:v>
                </c:pt>
                <c:pt idx="17">
                  <c:v>ZMO1812</c:v>
                </c:pt>
                <c:pt idx="18">
                  <c:v>ZMO1813</c:v>
                </c:pt>
                <c:pt idx="19">
                  <c:v>ZMO1814</c:v>
                </c:pt>
              </c:strCache>
            </c:strRef>
          </c:cat>
          <c:val>
            <c:numRef>
              <c:f>[1]Sheet2!$G$23:$G$42</c:f>
              <c:numCache>
                <c:formatCode>General</c:formatCode>
                <c:ptCount val="20"/>
                <c:pt idx="0">
                  <c:v>1.8147855153203343E-7</c:v>
                </c:pt>
                <c:pt idx="1">
                  <c:v>4.6616434540389972E-6</c:v>
                </c:pt>
                <c:pt idx="2">
                  <c:v>7.179603470752089E-6</c:v>
                </c:pt>
                <c:pt idx="3">
                  <c:v>7.4013346239554317E-6</c:v>
                </c:pt>
                <c:pt idx="4">
                  <c:v>1.8038891671309193E-6</c:v>
                </c:pt>
                <c:pt idx="5">
                  <c:v>1.4864996462395543E-5</c:v>
                </c:pt>
                <c:pt idx="6">
                  <c:v>2.9348548454038997E-5</c:v>
                </c:pt>
                <c:pt idx="7">
                  <c:v>4.5033526518105854E-6</c:v>
                </c:pt>
                <c:pt idx="8">
                  <c:v>1.348189415041783E-6</c:v>
                </c:pt>
                <c:pt idx="9">
                  <c:v>2.0692043604456825E-5</c:v>
                </c:pt>
                <c:pt idx="10">
                  <c:v>7.0194986072423398E-8</c:v>
                </c:pt>
                <c:pt idx="11">
                  <c:v>1.5376044568245126E-7</c:v>
                </c:pt>
                <c:pt idx="12">
                  <c:v>3.041782729805014E-7</c:v>
                </c:pt>
                <c:pt idx="13">
                  <c:v>4.277465181058496E-7</c:v>
                </c:pt>
                <c:pt idx="14">
                  <c:v>3.6238718662952649E-7</c:v>
                </c:pt>
                <c:pt idx="15">
                  <c:v>6.7652089136490251E-7</c:v>
                </c:pt>
                <c:pt idx="16">
                  <c:v>3.0001949860724235E-7</c:v>
                </c:pt>
                <c:pt idx="17">
                  <c:v>9.4552646239554316E-7</c:v>
                </c:pt>
                <c:pt idx="18">
                  <c:v>4.7456545961002787E-7</c:v>
                </c:pt>
                <c:pt idx="19">
                  <c:v>2.656966573816156E-6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6-CB47-9A1C-691FB8B3E4A8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[1]Sheet2!$P$23:$P$42</c:f>
                <c:numCache>
                  <c:formatCode>General</c:formatCode>
                  <c:ptCount val="20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3.5542901618033006E-7</c:v>
                  </c:pt>
                  <c:pt idx="10">
                    <c:v>4.21505376344086E-9</c:v>
                  </c:pt>
                  <c:pt idx="11">
                    <c:v>1.4060387561964848E-8</c:v>
                  </c:pt>
                  <c:pt idx="12">
                    <c:v>2.4846536100555392E-8</c:v>
                  </c:pt>
                  <c:pt idx="13">
                    <c:v>3.2875134496012725E-8</c:v>
                  </c:pt>
                  <c:pt idx="14">
                    <c:v>2.8715420923975363E-8</c:v>
                  </c:pt>
                  <c:pt idx="15">
                    <c:v>4.7536677836157935E-8</c:v>
                  </c:pt>
                  <c:pt idx="16">
                    <c:v>2.4587724505903801E-8</c:v>
                  </c:pt>
                  <c:pt idx="17">
                    <c:v>6.1889544519485208E-8</c:v>
                  </c:pt>
                  <c:pt idx="18">
                    <c:v>3.5764914442767053E-8</c:v>
                  </c:pt>
                  <c:pt idx="19">
                    <c:v>1.3456192077538062E-7</c:v>
                  </c:pt>
                </c:numCache>
              </c:numRef>
            </c:plus>
            <c:minus>
              <c:numRef>
                <c:f>[1]Sheet2!$P$23:$P$42</c:f>
                <c:numCache>
                  <c:formatCode>General</c:formatCode>
                  <c:ptCount val="20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3.5542901618033006E-7</c:v>
                  </c:pt>
                  <c:pt idx="10">
                    <c:v>4.21505376344086E-9</c:v>
                  </c:pt>
                  <c:pt idx="11">
                    <c:v>1.4060387561964848E-8</c:v>
                  </c:pt>
                  <c:pt idx="12">
                    <c:v>2.4846536100555392E-8</c:v>
                  </c:pt>
                  <c:pt idx="13">
                    <c:v>3.2875134496012725E-8</c:v>
                  </c:pt>
                  <c:pt idx="14">
                    <c:v>2.8715420923975363E-8</c:v>
                  </c:pt>
                  <c:pt idx="15">
                    <c:v>4.7536677836157935E-8</c:v>
                  </c:pt>
                  <c:pt idx="16">
                    <c:v>2.4587724505903801E-8</c:v>
                  </c:pt>
                  <c:pt idx="17">
                    <c:v>6.1889544519485208E-8</c:v>
                  </c:pt>
                  <c:pt idx="18">
                    <c:v>3.5764914442767053E-8</c:v>
                  </c:pt>
                  <c:pt idx="19">
                    <c:v>1.3456192077538062E-7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[1]Sheet2!$C$23:$C$42</c:f>
              <c:strCache>
                <c:ptCount val="20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FDXA</c:v>
                </c:pt>
                <c:pt idx="10">
                  <c:v>FDX</c:v>
                </c:pt>
                <c:pt idx="11">
                  <c:v>FDX</c:v>
                </c:pt>
                <c:pt idx="12">
                  <c:v>FDX</c:v>
                </c:pt>
                <c:pt idx="13">
                  <c:v>ZMO1808</c:v>
                </c:pt>
                <c:pt idx="14">
                  <c:v>ZMO1809</c:v>
                </c:pt>
                <c:pt idx="15">
                  <c:v>ZMO1810</c:v>
                </c:pt>
                <c:pt idx="16">
                  <c:v>ZMO1811</c:v>
                </c:pt>
                <c:pt idx="17">
                  <c:v>ZMO1812</c:v>
                </c:pt>
                <c:pt idx="18">
                  <c:v>ZMO1813</c:v>
                </c:pt>
                <c:pt idx="19">
                  <c:v>ZMO1814</c:v>
                </c:pt>
              </c:strCache>
            </c:strRef>
          </c:cat>
          <c:val>
            <c:numRef>
              <c:f>[1]Sheet2!$O$23:$O$42</c:f>
              <c:numCache>
                <c:formatCode>General</c:formatCode>
                <c:ptCount val="20"/>
                <c:pt idx="0">
                  <c:v>1.8097435106453549E-7</c:v>
                </c:pt>
                <c:pt idx="1">
                  <c:v>3.5759084072042163E-6</c:v>
                </c:pt>
                <c:pt idx="2">
                  <c:v>5.5663918746149829E-6</c:v>
                </c:pt>
                <c:pt idx="3">
                  <c:v>5.7383014376990713E-6</c:v>
                </c:pt>
                <c:pt idx="4">
                  <c:v>1.3985666534284624E-6</c:v>
                </c:pt>
                <c:pt idx="5">
                  <c:v>1.152492555789253E-5</c:v>
                </c:pt>
                <c:pt idx="6">
                  <c:v>2.2754114813120263E-5</c:v>
                </c:pt>
                <c:pt idx="7">
                  <c:v>4.3083497000719311E-6</c:v>
                </c:pt>
                <c:pt idx="8">
                  <c:v>1.0337618847484315E-6</c:v>
                </c:pt>
                <c:pt idx="9">
                  <c:v>1.7218636036498328E-5</c:v>
                </c:pt>
                <c:pt idx="10">
                  <c:v>5.3789247311827955E-8</c:v>
                </c:pt>
                <c:pt idx="11">
                  <c:v>2.1901757548445245E-7</c:v>
                </c:pt>
                <c:pt idx="12">
                  <c:v>4.3262204033908217E-7</c:v>
                </c:pt>
                <c:pt idx="13">
                  <c:v>6.0936987870452012E-7</c:v>
                </c:pt>
                <c:pt idx="14">
                  <c:v>5.1625677733136231E-7</c:v>
                </c:pt>
                <c:pt idx="15">
                  <c:v>9.6377223810050456E-7</c:v>
                </c:pt>
                <c:pt idx="16">
                  <c:v>4.274091368779023E-7</c:v>
                </c:pt>
                <c:pt idx="17">
                  <c:v>1.3470003634069508E-6</c:v>
                </c:pt>
                <c:pt idx="18">
                  <c:v>6.7606819783515206E-7</c:v>
                </c:pt>
                <c:pt idx="19">
                  <c:v>3.7851235695841523E-6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56-CB47-9A1C-691FB8B3E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[1]Sheet2!$E$57:$E$70</c:f>
              <c:numCache>
                <c:formatCode>General</c:formatCode>
                <c:ptCount val="14"/>
                <c:pt idx="0">
                  <c:v>2.5259291966573819E-5</c:v>
                </c:pt>
                <c:pt idx="1">
                  <c:v>4.6604429880222839E-5</c:v>
                </c:pt>
                <c:pt idx="2">
                  <c:v>7.6880287938718668E-6</c:v>
                </c:pt>
                <c:pt idx="3">
                  <c:v>4.4019330598885798E-5</c:v>
                </c:pt>
                <c:pt idx="4">
                  <c:v>5.0335501841225631E-5</c:v>
                </c:pt>
                <c:pt idx="5">
                  <c:v>1.4673345401114206E-5</c:v>
                </c:pt>
                <c:pt idx="6">
                  <c:v>2.1961948328690809E-6</c:v>
                </c:pt>
                <c:pt idx="7">
                  <c:v>2.204932468913649E-4</c:v>
                </c:pt>
                <c:pt idx="8">
                  <c:v>6.2644104646239555E-5</c:v>
                </c:pt>
                <c:pt idx="9">
                  <c:v>6.8383175172701959E-5</c:v>
                </c:pt>
                <c:pt idx="10">
                  <c:v>1.1201743318384401E-4</c:v>
                </c:pt>
                <c:pt idx="11">
                  <c:v>1.4825290432869082E-4</c:v>
                </c:pt>
                <c:pt idx="12">
                  <c:v>1.9351916936490252E-4</c:v>
                </c:pt>
                <c:pt idx="13">
                  <c:v>7.5712466264623953E-5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4-E640-95FF-D6C23C5B9204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[2]ProteinComp_Anal!$G$36:$G$49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plus>
            <c:minus>
              <c:numRef>
                <c:f>[2]ProteinComp_Anal!$G$36:$G$49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[1]Sheet2!$D$57:$D$70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[1]Sheet2!$F$57:$F$70</c:f>
              <c:numCache>
                <c:formatCode>General</c:formatCode>
                <c:ptCount val="14"/>
                <c:pt idx="0">
                  <c:v>2.5162826034217326E-5</c:v>
                </c:pt>
                <c:pt idx="1">
                  <c:v>4.6433825013844236E-5</c:v>
                </c:pt>
                <c:pt idx="2">
                  <c:v>7.6598852218989575E-6</c:v>
                </c:pt>
                <c:pt idx="3">
                  <c:v>4.3858189007422885E-5</c:v>
                </c:pt>
                <c:pt idx="4">
                  <c:v>5.0151238638631813E-5</c:v>
                </c:pt>
                <c:pt idx="5">
                  <c:v>1.4312035420422808E-5</c:v>
                </c:pt>
                <c:pt idx="6">
                  <c:v>2.2023123677521908E-6</c:v>
                </c:pt>
                <c:pt idx="7">
                  <c:v>2.1983523171661431E-4</c:v>
                </c:pt>
                <c:pt idx="8">
                  <c:v>6.2457155101361755E-5</c:v>
                </c:pt>
                <c:pt idx="9">
                  <c:v>6.8253223418885916E-5</c:v>
                </c:pt>
                <c:pt idx="10">
                  <c:v>1.1180456120706036E-4</c:v>
                </c:pt>
                <c:pt idx="11">
                  <c:v>1.4876930250187686E-4</c:v>
                </c:pt>
                <c:pt idx="12">
                  <c:v>1.9293498422922166E-4</c:v>
                </c:pt>
                <c:pt idx="13">
                  <c:v>7.5507071431189882E-5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14-E640-95FF-D6C23C5B9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[1]Sheet2!$I$57:$I$67</c:f>
              <c:strCache>
                <c:ptCount val="11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</c:v>
                </c:pt>
                <c:pt idx="10">
                  <c:v>RNF</c:v>
                </c:pt>
              </c:strCache>
            </c:strRef>
          </c:cat>
          <c:val>
            <c:numRef>
              <c:f>[1]Sheet2!$J$57:$J$67</c:f>
              <c:numCache>
                <c:formatCode>General</c:formatCode>
                <c:ptCount val="11"/>
                <c:pt idx="0">
                  <c:v>1.8147855153203343E-7</c:v>
                </c:pt>
                <c:pt idx="1">
                  <c:v>4.6616434540389972E-6</c:v>
                </c:pt>
                <c:pt idx="2">
                  <c:v>7.179603470752089E-6</c:v>
                </c:pt>
                <c:pt idx="3">
                  <c:v>7.4013346239554317E-6</c:v>
                </c:pt>
                <c:pt idx="4">
                  <c:v>1.8038891671309193E-6</c:v>
                </c:pt>
                <c:pt idx="5">
                  <c:v>1.4864996462395543E-5</c:v>
                </c:pt>
                <c:pt idx="6">
                  <c:v>2.9348548454038997E-5</c:v>
                </c:pt>
                <c:pt idx="7">
                  <c:v>4.5033526518105854E-6</c:v>
                </c:pt>
                <c:pt idx="8">
                  <c:v>1.348189415041783E-6</c:v>
                </c:pt>
                <c:pt idx="9">
                  <c:v>2.1220177309192201E-5</c:v>
                </c:pt>
                <c:pt idx="10">
                  <c:v>5.8437325905292477E-6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CF-3C4C-8C88-2249C73DD940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[1]Sheet2!$L$57:$L$67</c:f>
                <c:numCache>
                  <c:formatCode>General</c:formatCode>
                  <c:ptCount val="11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3.9855099360629118E-7</c:v>
                  </c:pt>
                  <c:pt idx="10">
                    <c:v>3.6593133749968266E-7</c:v>
                  </c:pt>
                </c:numCache>
              </c:numRef>
            </c:plus>
            <c:minus>
              <c:numRef>
                <c:f>[1]Sheet2!$L$57:$L$67</c:f>
                <c:numCache>
                  <c:formatCode>General</c:formatCode>
                  <c:ptCount val="11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3.9855099360629118E-7</c:v>
                  </c:pt>
                  <c:pt idx="10">
                    <c:v>3.6593133749968266E-7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[1]Sheet2!$I$57:$I$67</c:f>
              <c:strCache>
                <c:ptCount val="11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</c:v>
                </c:pt>
                <c:pt idx="10">
                  <c:v>RNF</c:v>
                </c:pt>
              </c:strCache>
            </c:strRef>
          </c:cat>
          <c:val>
            <c:numRef>
              <c:f>[1]Sheet2!$K$57:$K$67</c:f>
              <c:numCache>
                <c:formatCode>General</c:formatCode>
                <c:ptCount val="11"/>
                <c:pt idx="0">
                  <c:v>1.8097435106453549E-7</c:v>
                </c:pt>
                <c:pt idx="1">
                  <c:v>3.5759084072042163E-6</c:v>
                </c:pt>
                <c:pt idx="2">
                  <c:v>5.5663918746149829E-6</c:v>
                </c:pt>
                <c:pt idx="3">
                  <c:v>5.7383014376990713E-6</c:v>
                </c:pt>
                <c:pt idx="4">
                  <c:v>1.3985666534284624E-6</c:v>
                </c:pt>
                <c:pt idx="5">
                  <c:v>1.152492555789253E-5</c:v>
                </c:pt>
                <c:pt idx="6">
                  <c:v>2.2754114813120263E-5</c:v>
                </c:pt>
                <c:pt idx="7">
                  <c:v>4.3083497000719311E-6</c:v>
                </c:pt>
                <c:pt idx="8">
                  <c:v>1.0337618847484315E-6</c:v>
                </c:pt>
                <c:pt idx="9">
                  <c:v>1.7924064899633691E-5</c:v>
                </c:pt>
                <c:pt idx="10">
                  <c:v>8.3250001618405446E-6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CF-3C4C-8C88-2249C73DD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2.5259291966573819E-5</c:v>
              </c:pt>
              <c:pt idx="1">
                <c:v>4.660494351532034E-5</c:v>
              </c:pt>
              <c:pt idx="2">
                <c:v>7.6881135236768803E-6</c:v>
              </c:pt>
              <c:pt idx="3">
                <c:v>4.4019815743732593E-5</c:v>
              </c:pt>
              <c:pt idx="4">
                <c:v>5.0336056598885796E-5</c:v>
              </c:pt>
              <c:pt idx="5">
                <c:v>1.4652379155988857E-5</c:v>
              </c:pt>
              <c:pt idx="6">
                <c:v>2.1961948328690809E-6</c:v>
              </c:pt>
              <c:pt idx="7">
                <c:v>2.2035528596657384E-4</c:v>
              </c:pt>
              <c:pt idx="8">
                <c:v>6.2604908543175493E-5</c:v>
              </c:pt>
              <c:pt idx="9">
                <c:v>6.8324425487465185E-5</c:v>
              </c:pt>
              <c:pt idx="10">
                <c:v>1.1192119622562676E-4</c:v>
              </c:pt>
              <c:pt idx="11">
                <c:v>1.4815519613370473E-4</c:v>
              </c:pt>
              <c:pt idx="12">
                <c:v>1.9366654816991644E-4</c:v>
              </c:pt>
              <c:pt idx="13">
                <c:v>4.2866731649025069E-5</c:v>
              </c:pt>
            </c:numLit>
          </c:val>
          <c:extLst>
            <c:ext xmlns:c16="http://schemas.microsoft.com/office/drawing/2014/chart" uri="{C3380CC4-5D6E-409C-BE32-E72D297353CC}">
              <c16:uniqueId val="{00000000-F8DA-4E4A-98B0-50FBBA6E7F81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plus>
            <c:min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2.5162826034217326E-5</c:v>
              </c:pt>
              <c:pt idx="1">
                <c:v>4.6433825013844236E-5</c:v>
              </c:pt>
              <c:pt idx="2">
                <c:v>7.6598852218989575E-6</c:v>
              </c:pt>
              <c:pt idx="3">
                <c:v>4.3858189007422885E-5</c:v>
              </c:pt>
              <c:pt idx="4">
                <c:v>5.0151238638631813E-5</c:v>
              </c:pt>
              <c:pt idx="5">
                <c:v>1.4312035420422808E-5</c:v>
              </c:pt>
              <c:pt idx="6">
                <c:v>2.2023123677521908E-6</c:v>
              </c:pt>
              <c:pt idx="7">
                <c:v>2.1983523171661431E-4</c:v>
              </c:pt>
              <c:pt idx="8">
                <c:v>6.2457155101361755E-5</c:v>
              </c:pt>
              <c:pt idx="9">
                <c:v>6.8253223418885916E-5</c:v>
              </c:pt>
              <c:pt idx="10">
                <c:v>1.1180456120706036E-4</c:v>
              </c:pt>
              <c:pt idx="11">
                <c:v>1.4876930250187686E-4</c:v>
              </c:pt>
              <c:pt idx="12">
                <c:v>1.9293498422922166E-4</c:v>
              </c:pt>
              <c:pt idx="13">
                <c:v>7.5507071431189882E-5</c:v>
              </c:pt>
            </c:numLit>
          </c:val>
          <c:extLst>
            <c:ext xmlns:c16="http://schemas.microsoft.com/office/drawing/2014/chart" uri="{C3380CC4-5D6E-409C-BE32-E72D297353CC}">
              <c16:uniqueId val="{00000001-F8DA-4E4A-98B0-50FBBA6E7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RNF</c:v>
              </c:pt>
              <c:pt idx="11">
                <c:v>RNF</c:v>
              </c:pt>
              <c:pt idx="12">
                <c:v>RNF</c:v>
              </c:pt>
              <c:pt idx="13">
                <c:v>RNF</c:v>
              </c:pt>
              <c:pt idx="14">
                <c:v>RNF</c:v>
              </c:pt>
              <c:pt idx="15">
                <c:v>RNF</c:v>
              </c:pt>
            </c:strLit>
          </c:cat>
          <c:val>
            <c:numLit>
              <c:formatCode>General</c:formatCode>
              <c:ptCount val="17"/>
              <c:pt idx="0">
                <c:v>#N/A</c:v>
              </c:pt>
              <c:pt idx="1">
                <c:v>6.1662981671309186E-6</c:v>
              </c:pt>
              <c:pt idx="2">
                <c:v>9.1446547493036223E-6</c:v>
              </c:pt>
              <c:pt idx="3">
                <c:v>7.5761833983286917E-6</c:v>
              </c:pt>
              <c:pt idx="4">
                <c:v>2.297612075208914E-6</c:v>
              </c:pt>
              <c:pt idx="5">
                <c:v>1.8933533175487467E-5</c:v>
              </c:pt>
              <c:pt idx="6">
                <c:v>3.7381220860724234E-5</c:v>
              </c:pt>
              <c:pt idx="7">
                <c:v>5.6164623955431755E-6</c:v>
              </c:pt>
              <c:pt idx="8">
                <c:v>1.347635097493036E-6</c:v>
              </c:pt>
              <c:pt idx="9">
                <c:v>2.244657381615599E-5</c:v>
              </c:pt>
              <c:pt idx="10">
                <c:v>4.277465181058496E-7</c:v>
              </c:pt>
              <c:pt idx="11">
                <c:v>3.6238718662952649E-7</c:v>
              </c:pt>
              <c:pt idx="12">
                <c:v>6.7652089136490251E-7</c:v>
              </c:pt>
              <c:pt idx="13">
                <c:v>3.0001949860724235E-7</c:v>
              </c:pt>
              <c:pt idx="14">
                <c:v>9.4552646239554316E-7</c:v>
              </c:pt>
              <c:pt idx="15">
                <c:v>4.7456545961002787E-7</c:v>
              </c:pt>
              <c:pt idx="16">
                <c:v>2.656966573816156E-6</c:v>
              </c:pt>
            </c:numLit>
          </c:val>
          <c:extLst>
            <c:ext xmlns:c16="http://schemas.microsoft.com/office/drawing/2014/chart" uri="{C3380CC4-5D6E-409C-BE32-E72D297353CC}">
              <c16:uniqueId val="{00000000-04A2-0646-A5B1-5490AA38E04F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plus>
            <c:min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6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RNF</c:v>
              </c:pt>
              <c:pt idx="11">
                <c:v>RNF</c:v>
              </c:pt>
              <c:pt idx="12">
                <c:v>RNF</c:v>
              </c:pt>
              <c:pt idx="13">
                <c:v>RNF</c:v>
              </c:pt>
              <c:pt idx="14">
                <c:v>RNF</c:v>
              </c:pt>
              <c:pt idx="15">
                <c:v>RNF</c:v>
              </c:pt>
            </c:strLit>
          </c:cat>
          <c:val>
            <c:numLit>
              <c:formatCode>General</c:formatCode>
              <c:ptCount val="17"/>
              <c:pt idx="0">
                <c:v>1.8097435106453549E-7</c:v>
              </c:pt>
              <c:pt idx="1">
                <c:v>3.5759084072042163E-6</c:v>
              </c:pt>
              <c:pt idx="2">
                <c:v>5.5663918746149829E-6</c:v>
              </c:pt>
              <c:pt idx="3">
                <c:v>5.7383014376990713E-6</c:v>
              </c:pt>
              <c:pt idx="4">
                <c:v>1.3985666534284624E-6</c:v>
              </c:pt>
              <c:pt idx="5">
                <c:v>1.152492555789253E-5</c:v>
              </c:pt>
              <c:pt idx="6">
                <c:v>2.2754114813120263E-5</c:v>
              </c:pt>
              <c:pt idx="7">
                <c:v>4.3083497000719311E-6</c:v>
              </c:pt>
              <c:pt idx="8">
                <c:v>1.0337618847484315E-6</c:v>
              </c:pt>
              <c:pt idx="9">
                <c:v>1.7218636036498328E-5</c:v>
              </c:pt>
              <c:pt idx="10">
                <c:v>6.0936987870452012E-7</c:v>
              </c:pt>
              <c:pt idx="11">
                <c:v>5.1625677733136231E-7</c:v>
              </c:pt>
              <c:pt idx="12">
                <c:v>9.6377223810050456E-7</c:v>
              </c:pt>
              <c:pt idx="13">
                <c:v>4.274091368779023E-7</c:v>
              </c:pt>
              <c:pt idx="14">
                <c:v>1.3470003634069508E-6</c:v>
              </c:pt>
              <c:pt idx="15">
                <c:v>6.7606819783515206E-7</c:v>
              </c:pt>
              <c:pt idx="16">
                <c:v>3.7851235695841523E-6</c:v>
              </c:pt>
            </c:numLit>
          </c:val>
          <c:extLst>
            <c:ext xmlns:c16="http://schemas.microsoft.com/office/drawing/2014/chart" uri="{C3380CC4-5D6E-409C-BE32-E72D297353CC}">
              <c16:uniqueId val="{00000001-04A2-0646-A5B1-5490AA38E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2.5259291966573819E-5</c:v>
              </c:pt>
              <c:pt idx="1">
                <c:v>4.6604951785515321E-5</c:v>
              </c:pt>
              <c:pt idx="2">
                <c:v>7.6881148885793883E-6</c:v>
              </c:pt>
              <c:pt idx="3">
                <c:v>4.4019823554317549E-5</c:v>
              </c:pt>
              <c:pt idx="4">
                <c:v>5.0336065529247915E-5</c:v>
              </c:pt>
              <c:pt idx="5">
                <c:v>1.4652041545961002E-5</c:v>
              </c:pt>
              <c:pt idx="6">
                <c:v>2.1961948328690809E-6</c:v>
              </c:pt>
              <c:pt idx="7">
                <c:v>2.2035528506406685E-4</c:v>
              </c:pt>
              <c:pt idx="8">
                <c:v>6.2604908286908087E-5</c:v>
              </c:pt>
              <c:pt idx="9">
                <c:v>6.8324415637883003E-5</c:v>
              </c:pt>
              <c:pt idx="10">
                <c:v>1.1192118009470753E-4</c:v>
              </c:pt>
              <c:pt idx="11">
                <c:v>1.4815516722284125E-4</c:v>
              </c:pt>
              <c:pt idx="12">
                <c:v>1.9366644613370474E-4</c:v>
              </c:pt>
              <c:pt idx="13">
                <c:v>3.9531167467966576E-5</c:v>
              </c:pt>
            </c:numLit>
          </c:val>
          <c:extLst>
            <c:ext xmlns:c16="http://schemas.microsoft.com/office/drawing/2014/chart" uri="{C3380CC4-5D6E-409C-BE32-E72D297353CC}">
              <c16:uniqueId val="{00000000-FD5A-6E4C-B3D4-E0AC95C2FB02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plus>
            <c:min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2.5162826034217326E-5</c:v>
              </c:pt>
              <c:pt idx="1">
                <c:v>4.6433825013844236E-5</c:v>
              </c:pt>
              <c:pt idx="2">
                <c:v>7.6598852218989575E-6</c:v>
              </c:pt>
              <c:pt idx="3">
                <c:v>4.3858189007422885E-5</c:v>
              </c:pt>
              <c:pt idx="4">
                <c:v>5.0151238638631813E-5</c:v>
              </c:pt>
              <c:pt idx="5">
                <c:v>1.4312035420422808E-5</c:v>
              </c:pt>
              <c:pt idx="6">
                <c:v>2.2023123677521908E-6</c:v>
              </c:pt>
              <c:pt idx="7">
                <c:v>2.1983523171661431E-4</c:v>
              </c:pt>
              <c:pt idx="8">
                <c:v>6.2457155101361755E-5</c:v>
              </c:pt>
              <c:pt idx="9">
                <c:v>6.8253223418885916E-5</c:v>
              </c:pt>
              <c:pt idx="10">
                <c:v>1.1180456120706036E-4</c:v>
              </c:pt>
              <c:pt idx="11">
                <c:v>1.4876930250187686E-4</c:v>
              </c:pt>
              <c:pt idx="12">
                <c:v>1.9293498422922166E-4</c:v>
              </c:pt>
              <c:pt idx="13">
                <c:v>7.5507071431189882E-5</c:v>
              </c:pt>
            </c:numLit>
          </c:val>
          <c:extLst>
            <c:ext xmlns:c16="http://schemas.microsoft.com/office/drawing/2014/chart" uri="{C3380CC4-5D6E-409C-BE32-E72D297353CC}">
              <c16:uniqueId val="{00000001-FD5A-6E4C-B3D4-E0AC95C2F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RNF</c:v>
              </c:pt>
              <c:pt idx="11">
                <c:v>RNF</c:v>
              </c:pt>
              <c:pt idx="12">
                <c:v>RNF</c:v>
              </c:pt>
              <c:pt idx="13">
                <c:v>RNF</c:v>
              </c:pt>
              <c:pt idx="14">
                <c:v>RNF</c:v>
              </c:pt>
              <c:pt idx="15">
                <c:v>RNF</c:v>
              </c:pt>
            </c:strLit>
          </c:cat>
          <c:val>
            <c:numLit>
              <c:formatCode>General</c:formatCode>
              <c:ptCount val="17"/>
              <c:pt idx="0">
                <c:v>#N/A</c:v>
              </c:pt>
              <c:pt idx="1">
                <c:v>6.1672777493036214E-6</c:v>
              </c:pt>
              <c:pt idx="2">
                <c:v>9.1461095292479119E-6</c:v>
              </c:pt>
              <c:pt idx="3">
                <c:v>9.4285732395543185E-6</c:v>
              </c:pt>
              <c:pt idx="4">
                <c:v>2.2979775933147632E-6</c:v>
              </c:pt>
              <c:pt idx="5">
                <c:v>1.8936545225626742E-5</c:v>
              </c:pt>
              <c:pt idx="6">
                <c:v>3.7387167668523677E-5</c:v>
              </c:pt>
              <c:pt idx="7">
                <c:v>5.6164623955431755E-6</c:v>
              </c:pt>
              <c:pt idx="8">
                <c:v>1.347635097493036E-6</c:v>
              </c:pt>
              <c:pt idx="9">
                <c:v>2.244657381615599E-5</c:v>
              </c:pt>
              <c:pt idx="10">
                <c:v>4.277465181058496E-7</c:v>
              </c:pt>
              <c:pt idx="11">
                <c:v>3.6238718662952649E-7</c:v>
              </c:pt>
              <c:pt idx="12">
                <c:v>6.7652089136490251E-7</c:v>
              </c:pt>
              <c:pt idx="13">
                <c:v>3.0001949860724235E-7</c:v>
              </c:pt>
              <c:pt idx="14">
                <c:v>9.4552646239554316E-7</c:v>
              </c:pt>
              <c:pt idx="15">
                <c:v>4.7456545961002787E-7</c:v>
              </c:pt>
              <c:pt idx="16">
                <c:v>2.656966573816156E-6</c:v>
              </c:pt>
            </c:numLit>
          </c:val>
          <c:extLst>
            <c:ext xmlns:c16="http://schemas.microsoft.com/office/drawing/2014/chart" uri="{C3380CC4-5D6E-409C-BE32-E72D297353CC}">
              <c16:uniqueId val="{00000000-FAFF-9B49-90AA-9A0772855B9C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plus>
            <c:min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6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RNF</c:v>
              </c:pt>
              <c:pt idx="11">
                <c:v>RNF</c:v>
              </c:pt>
              <c:pt idx="12">
                <c:v>RNF</c:v>
              </c:pt>
              <c:pt idx="13">
                <c:v>RNF</c:v>
              </c:pt>
              <c:pt idx="14">
                <c:v>RNF</c:v>
              </c:pt>
              <c:pt idx="15">
                <c:v>RNF</c:v>
              </c:pt>
            </c:strLit>
          </c:cat>
          <c:val>
            <c:numLit>
              <c:formatCode>General</c:formatCode>
              <c:ptCount val="17"/>
              <c:pt idx="0">
                <c:v>1.8097435106453549E-7</c:v>
              </c:pt>
              <c:pt idx="1">
                <c:v>3.5759084072042163E-6</c:v>
              </c:pt>
              <c:pt idx="2">
                <c:v>5.5663918746149829E-6</c:v>
              </c:pt>
              <c:pt idx="3">
                <c:v>5.7383014376990713E-6</c:v>
              </c:pt>
              <c:pt idx="4">
                <c:v>1.3985666534284624E-6</c:v>
              </c:pt>
              <c:pt idx="5">
                <c:v>1.152492555789253E-5</c:v>
              </c:pt>
              <c:pt idx="6">
                <c:v>2.2754114813120263E-5</c:v>
              </c:pt>
              <c:pt idx="7">
                <c:v>4.3083497000719311E-6</c:v>
              </c:pt>
              <c:pt idx="8">
                <c:v>1.0337618847484315E-6</c:v>
              </c:pt>
              <c:pt idx="9">
                <c:v>1.7218636036498328E-5</c:v>
              </c:pt>
              <c:pt idx="10">
                <c:v>6.0936987870452012E-7</c:v>
              </c:pt>
              <c:pt idx="11">
                <c:v>5.1625677733136231E-7</c:v>
              </c:pt>
              <c:pt idx="12">
                <c:v>9.6377223810050456E-7</c:v>
              </c:pt>
              <c:pt idx="13">
                <c:v>4.274091368779023E-7</c:v>
              </c:pt>
              <c:pt idx="14">
                <c:v>1.3470003634069508E-6</c:v>
              </c:pt>
              <c:pt idx="15">
                <c:v>6.7606819783515206E-7</c:v>
              </c:pt>
              <c:pt idx="16">
                <c:v>3.7851235695841523E-6</c:v>
              </c:pt>
            </c:numLit>
          </c:val>
          <c:extLst>
            <c:ext xmlns:c16="http://schemas.microsoft.com/office/drawing/2014/chart" uri="{C3380CC4-5D6E-409C-BE32-E72D297353CC}">
              <c16:uniqueId val="{00000001-FAFF-9B49-90AA-9A0772855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[3]Sheet2!$D$54:$D$67</c:f>
              <c:strCache>
                <c:ptCount val="14"/>
                <c:pt idx="3">
                  <c:v>GLK</c:v>
                </c:pt>
                <c:pt idx="4">
                  <c:v>G6PDH</c:v>
                </c:pt>
                <c:pt idx="5">
                  <c:v>PGL</c:v>
                </c:pt>
                <c:pt idx="6">
                  <c:v>EDD</c:v>
                </c:pt>
                <c:pt idx="7">
                  <c:v>EDA</c:v>
                </c:pt>
                <c:pt idx="8">
                  <c:v>PGI</c:v>
                </c:pt>
                <c:pt idx="9">
                  <c:v>TPI</c:v>
                </c:pt>
                <c:pt idx="10">
                  <c:v>GAPDH</c:v>
                </c:pt>
                <c:pt idx="11">
                  <c:v>PGK</c:v>
                </c:pt>
                <c:pt idx="12">
                  <c:v>PGM</c:v>
                </c:pt>
                <c:pt idx="13">
                  <c:v>ENO</c:v>
                </c:pt>
              </c:strCache>
            </c:strRef>
          </c:cat>
          <c:val>
            <c:numRef>
              <c:f>[3]Sheet2!$E$54:$E$67</c:f>
              <c:numCache>
                <c:formatCode>General</c:formatCode>
                <c:ptCount val="14"/>
                <c:pt idx="1">
                  <c:v>0</c:v>
                </c:pt>
                <c:pt idx="2">
                  <c:v>0</c:v>
                </c:pt>
                <c:pt idx="3">
                  <c:v>2.5259291966573819E-5</c:v>
                </c:pt>
                <c:pt idx="4">
                  <c:v>4.6604369019498609E-5</c:v>
                </c:pt>
                <c:pt idx="5">
                  <c:v>7.6880187548746521E-6</c:v>
                </c:pt>
                <c:pt idx="6">
                  <c:v>4.4019273114206137E-5</c:v>
                </c:pt>
                <c:pt idx="7">
                  <c:v>5.0335436108635104E-5</c:v>
                </c:pt>
                <c:pt idx="8">
                  <c:v>1.4675829649025071E-5</c:v>
                </c:pt>
                <c:pt idx="9">
                  <c:v>2.1961948328690809E-6</c:v>
                </c:pt>
                <c:pt idx="10">
                  <c:v>2.2039097138997214E-4</c:v>
                </c:pt>
                <c:pt idx="11">
                  <c:v>6.261504713649025E-5</c:v>
                </c:pt>
                <c:pt idx="12">
                  <c:v>6.8340991147632324E-5</c:v>
                </c:pt>
                <c:pt idx="13">
                  <c:v>1.1194833218384401E-4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3-1D4B-ACD7-673A1C98F951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[2]ProteinComp_Anal!$G$36:$G$49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plus>
            <c:minus>
              <c:numRef>
                <c:f>[2]ProteinComp_Anal!$G$36:$G$49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[3]Sheet2!$D$54:$D$67</c:f>
              <c:strCache>
                <c:ptCount val="14"/>
                <c:pt idx="3">
                  <c:v>GLK</c:v>
                </c:pt>
                <c:pt idx="4">
                  <c:v>G6PDH</c:v>
                </c:pt>
                <c:pt idx="5">
                  <c:v>PGL</c:v>
                </c:pt>
                <c:pt idx="6">
                  <c:v>EDD</c:v>
                </c:pt>
                <c:pt idx="7">
                  <c:v>EDA</c:v>
                </c:pt>
                <c:pt idx="8">
                  <c:v>PGI</c:v>
                </c:pt>
                <c:pt idx="9">
                  <c:v>TPI</c:v>
                </c:pt>
                <c:pt idx="10">
                  <c:v>GAPDH</c:v>
                </c:pt>
                <c:pt idx="11">
                  <c:v>PGK</c:v>
                </c:pt>
                <c:pt idx="12">
                  <c:v>PGM</c:v>
                </c:pt>
                <c:pt idx="13">
                  <c:v>ENO</c:v>
                </c:pt>
              </c:strCache>
            </c:strRef>
          </c:cat>
          <c:val>
            <c:numRef>
              <c:f>[3]Sheet2!$F$54:$F$67</c:f>
              <c:numCache>
                <c:formatCode>General</c:formatCode>
                <c:ptCount val="14"/>
                <c:pt idx="1">
                  <c:v>0</c:v>
                </c:pt>
                <c:pt idx="2">
                  <c:v>0</c:v>
                </c:pt>
                <c:pt idx="3">
                  <c:v>2.5162826034217326E-5</c:v>
                </c:pt>
                <c:pt idx="4">
                  <c:v>4.6433825013844236E-5</c:v>
                </c:pt>
                <c:pt idx="5">
                  <c:v>7.6598852218989575E-6</c:v>
                </c:pt>
                <c:pt idx="6">
                  <c:v>4.3858189007422885E-5</c:v>
                </c:pt>
                <c:pt idx="7">
                  <c:v>5.0151238638631813E-5</c:v>
                </c:pt>
                <c:pt idx="8">
                  <c:v>1.4312035420422808E-5</c:v>
                </c:pt>
                <c:pt idx="9">
                  <c:v>2.2023123677521908E-6</c:v>
                </c:pt>
                <c:pt idx="10">
                  <c:v>2.1983523171661431E-4</c:v>
                </c:pt>
                <c:pt idx="11">
                  <c:v>6.2457155101361755E-5</c:v>
                </c:pt>
                <c:pt idx="12">
                  <c:v>6.8253223418885916E-5</c:v>
                </c:pt>
                <c:pt idx="13">
                  <c:v>1.1180456120706036E-4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03-1D4B-ACD7-673A1C98F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[3]Sheet2!$C$23:$C$38</c:f>
              <c:strCache>
                <c:ptCount val="16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FDXA</c:v>
                </c:pt>
                <c:pt idx="10">
                  <c:v>FDX</c:v>
                </c:pt>
                <c:pt idx="11">
                  <c:v>FDX</c:v>
                </c:pt>
                <c:pt idx="12">
                  <c:v>FDX</c:v>
                </c:pt>
                <c:pt idx="13">
                  <c:v>ZMO1808</c:v>
                </c:pt>
                <c:pt idx="14">
                  <c:v>ZMO1809</c:v>
                </c:pt>
                <c:pt idx="15">
                  <c:v>ZMO1810</c:v>
                </c:pt>
              </c:strCache>
            </c:strRef>
          </c:cat>
          <c:val>
            <c:numRef>
              <c:f>[3]Sheet2!$G$23:$G$39</c:f>
              <c:numCache>
                <c:formatCode>General</c:formatCode>
                <c:ptCount val="17"/>
                <c:pt idx="0">
                  <c:v>#N/A</c:v>
                </c:pt>
                <c:pt idx="1">
                  <c:v>5.7897899832869076E-6</c:v>
                </c:pt>
                <c:pt idx="2">
                  <c:v>8.5855018133704743E-6</c:v>
                </c:pt>
                <c:pt idx="3">
                  <c:v>8.8506520027855155E-6</c:v>
                </c:pt>
                <c:pt idx="4">
                  <c:v>2.1571238272980503E-6</c:v>
                </c:pt>
                <c:pt idx="5">
                  <c:v>1.7775836033426185E-5</c:v>
                </c:pt>
                <c:pt idx="6">
                  <c:v>3.509553375766017E-5</c:v>
                </c:pt>
                <c:pt idx="7">
                  <c:v>4.7041090222841223E-6</c:v>
                </c:pt>
                <c:pt idx="8">
                  <c:v>1.347635097493036E-6</c:v>
                </c:pt>
                <c:pt idx="9">
                  <c:v>2.244657381615599E-5</c:v>
                </c:pt>
                <c:pt idx="10">
                  <c:v>6.9080779944289694E-8</c:v>
                </c:pt>
                <c:pt idx="11">
                  <c:v>2.7855153203342616E-7</c:v>
                </c:pt>
                <c:pt idx="12">
                  <c:v>5.5710306406685232E-7</c:v>
                </c:pt>
                <c:pt idx="13">
                  <c:v>4.277465181058496E-7</c:v>
                </c:pt>
                <c:pt idx="14">
                  <c:v>3.6238718662952649E-7</c:v>
                </c:pt>
                <c:pt idx="15">
                  <c:v>6.7652089136490251E-7</c:v>
                </c:pt>
                <c:pt idx="16">
                  <c:v>3.0001949860724235E-7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8-654B-A730-90823DBBC1D7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[4]Sheet2!$P$23:$P$39</c:f>
                <c:numCache>
                  <c:formatCode>General</c:formatCode>
                  <c:ptCount val="17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3.5542901618033006E-7</c:v>
                  </c:pt>
                  <c:pt idx="10">
                    <c:v>4.21505376344086E-9</c:v>
                  </c:pt>
                  <c:pt idx="11">
                    <c:v>1.4060387561964848E-8</c:v>
                  </c:pt>
                  <c:pt idx="12">
                    <c:v>2.4846536100555392E-8</c:v>
                  </c:pt>
                  <c:pt idx="13">
                    <c:v>3.2875134496012725E-8</c:v>
                  </c:pt>
                  <c:pt idx="14">
                    <c:v>2.8715420923975363E-8</c:v>
                  </c:pt>
                  <c:pt idx="15">
                    <c:v>4.7536677836157935E-8</c:v>
                  </c:pt>
                  <c:pt idx="16">
                    <c:v>2.4587724505903801E-8</c:v>
                  </c:pt>
                </c:numCache>
              </c:numRef>
            </c:plus>
            <c:minus>
              <c:numRef>
                <c:f>[4]Sheet2!$P$23:$P$39</c:f>
                <c:numCache>
                  <c:formatCode>General</c:formatCode>
                  <c:ptCount val="17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3.5542901618033006E-7</c:v>
                  </c:pt>
                  <c:pt idx="10">
                    <c:v>4.21505376344086E-9</c:v>
                  </c:pt>
                  <c:pt idx="11">
                    <c:v>1.4060387561964848E-8</c:v>
                  </c:pt>
                  <c:pt idx="12">
                    <c:v>2.4846536100555392E-8</c:v>
                  </c:pt>
                  <c:pt idx="13">
                    <c:v>3.2875134496012725E-8</c:v>
                  </c:pt>
                  <c:pt idx="14">
                    <c:v>2.8715420923975363E-8</c:v>
                  </c:pt>
                  <c:pt idx="15">
                    <c:v>4.7536677836157935E-8</c:v>
                  </c:pt>
                  <c:pt idx="16">
                    <c:v>2.4587724505903801E-8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[3]Sheet2!$C$23:$C$38</c:f>
              <c:strCache>
                <c:ptCount val="16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FDXA</c:v>
                </c:pt>
                <c:pt idx="10">
                  <c:v>FDX</c:v>
                </c:pt>
                <c:pt idx="11">
                  <c:v>FDX</c:v>
                </c:pt>
                <c:pt idx="12">
                  <c:v>FDX</c:v>
                </c:pt>
                <c:pt idx="13">
                  <c:v>ZMO1808</c:v>
                </c:pt>
                <c:pt idx="14">
                  <c:v>ZMO1809</c:v>
                </c:pt>
                <c:pt idx="15">
                  <c:v>ZMO1810</c:v>
                </c:pt>
              </c:strCache>
            </c:strRef>
          </c:cat>
          <c:val>
            <c:numRef>
              <c:f>[3]Sheet2!$O$23:$O$39</c:f>
              <c:numCache>
                <c:formatCode>General</c:formatCode>
                <c:ptCount val="17"/>
                <c:pt idx="0">
                  <c:v>1.8097435106453549E-7</c:v>
                </c:pt>
                <c:pt idx="1">
                  <c:v>3.5759084072042163E-6</c:v>
                </c:pt>
                <c:pt idx="2">
                  <c:v>5.5663918746149829E-6</c:v>
                </c:pt>
                <c:pt idx="3">
                  <c:v>5.7383014376990713E-6</c:v>
                </c:pt>
                <c:pt idx="4">
                  <c:v>1.3985666534284624E-6</c:v>
                </c:pt>
                <c:pt idx="5">
                  <c:v>1.152492555789253E-5</c:v>
                </c:pt>
                <c:pt idx="6">
                  <c:v>2.2754114813120263E-5</c:v>
                </c:pt>
                <c:pt idx="7">
                  <c:v>4.3083497000719311E-6</c:v>
                </c:pt>
                <c:pt idx="8">
                  <c:v>1.0337618847484315E-6</c:v>
                </c:pt>
                <c:pt idx="9">
                  <c:v>1.7218636036498328E-5</c:v>
                </c:pt>
                <c:pt idx="10">
                  <c:v>5.3789247311827955E-8</c:v>
                </c:pt>
                <c:pt idx="11">
                  <c:v>2.1901757548445245E-7</c:v>
                </c:pt>
                <c:pt idx="12">
                  <c:v>4.3262204033908217E-7</c:v>
                </c:pt>
                <c:pt idx="13">
                  <c:v>6.0936987870452012E-7</c:v>
                </c:pt>
                <c:pt idx="14">
                  <c:v>5.1625677733136231E-7</c:v>
                </c:pt>
                <c:pt idx="15">
                  <c:v>9.6377223810050456E-7</c:v>
                </c:pt>
                <c:pt idx="16">
                  <c:v>4.274091368779023E-7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A8-654B-A730-90823DBBC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[3]Sheet2!$D$54:$D$67</c:f>
              <c:strCache>
                <c:ptCount val="14"/>
                <c:pt idx="3">
                  <c:v>GLK</c:v>
                </c:pt>
                <c:pt idx="4">
                  <c:v>G6PDH</c:v>
                </c:pt>
                <c:pt idx="5">
                  <c:v>PGL</c:v>
                </c:pt>
                <c:pt idx="6">
                  <c:v>EDD</c:v>
                </c:pt>
                <c:pt idx="7">
                  <c:v>EDA</c:v>
                </c:pt>
                <c:pt idx="8">
                  <c:v>PGI</c:v>
                </c:pt>
                <c:pt idx="9">
                  <c:v>TPI</c:v>
                </c:pt>
                <c:pt idx="10">
                  <c:v>GAPDH</c:v>
                </c:pt>
                <c:pt idx="11">
                  <c:v>PGK</c:v>
                </c:pt>
                <c:pt idx="12">
                  <c:v>PGM</c:v>
                </c:pt>
                <c:pt idx="13">
                  <c:v>ENO</c:v>
                </c:pt>
              </c:strCache>
            </c:strRef>
          </c:cat>
          <c:val>
            <c:numRef>
              <c:f>[3]Sheet2!$E$54:$E$67</c:f>
              <c:numCache>
                <c:formatCode>General</c:formatCode>
                <c:ptCount val="14"/>
                <c:pt idx="1">
                  <c:v>0</c:v>
                </c:pt>
                <c:pt idx="2">
                  <c:v>0</c:v>
                </c:pt>
                <c:pt idx="3">
                  <c:v>2.5259291966573819E-5</c:v>
                </c:pt>
                <c:pt idx="4">
                  <c:v>4.6604369019498609E-5</c:v>
                </c:pt>
                <c:pt idx="5">
                  <c:v>7.6880187548746521E-6</c:v>
                </c:pt>
                <c:pt idx="6">
                  <c:v>4.4019273114206137E-5</c:v>
                </c:pt>
                <c:pt idx="7">
                  <c:v>5.0335436108635104E-5</c:v>
                </c:pt>
                <c:pt idx="8">
                  <c:v>1.4675829649025071E-5</c:v>
                </c:pt>
                <c:pt idx="9">
                  <c:v>2.1961948328690809E-6</c:v>
                </c:pt>
                <c:pt idx="10">
                  <c:v>2.2039097138997214E-4</c:v>
                </c:pt>
                <c:pt idx="11">
                  <c:v>6.261504713649025E-5</c:v>
                </c:pt>
                <c:pt idx="12">
                  <c:v>6.8340991147632324E-5</c:v>
                </c:pt>
                <c:pt idx="13">
                  <c:v>1.1194833218384401E-4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65-A54E-9DA0-4BD5F65668ED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[2]ProteinComp_Anal!$G$36:$G$49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plus>
            <c:minus>
              <c:numRef>
                <c:f>[2]ProteinComp_Anal!$G$36:$G$49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[3]Sheet2!$D$54:$D$67</c:f>
              <c:strCache>
                <c:ptCount val="14"/>
                <c:pt idx="3">
                  <c:v>GLK</c:v>
                </c:pt>
                <c:pt idx="4">
                  <c:v>G6PDH</c:v>
                </c:pt>
                <c:pt idx="5">
                  <c:v>PGL</c:v>
                </c:pt>
                <c:pt idx="6">
                  <c:v>EDD</c:v>
                </c:pt>
                <c:pt idx="7">
                  <c:v>EDA</c:v>
                </c:pt>
                <c:pt idx="8">
                  <c:v>PGI</c:v>
                </c:pt>
                <c:pt idx="9">
                  <c:v>TPI</c:v>
                </c:pt>
                <c:pt idx="10">
                  <c:v>GAPDH</c:v>
                </c:pt>
                <c:pt idx="11">
                  <c:v>PGK</c:v>
                </c:pt>
                <c:pt idx="12">
                  <c:v>PGM</c:v>
                </c:pt>
                <c:pt idx="13">
                  <c:v>ENO</c:v>
                </c:pt>
              </c:strCache>
            </c:strRef>
          </c:cat>
          <c:val>
            <c:numRef>
              <c:f>[3]Sheet2!$F$54:$F$67</c:f>
              <c:numCache>
                <c:formatCode>General</c:formatCode>
                <c:ptCount val="14"/>
                <c:pt idx="1">
                  <c:v>0</c:v>
                </c:pt>
                <c:pt idx="2">
                  <c:v>0</c:v>
                </c:pt>
                <c:pt idx="3">
                  <c:v>2.5162826034217326E-5</c:v>
                </c:pt>
                <c:pt idx="4">
                  <c:v>4.6433825013844236E-5</c:v>
                </c:pt>
                <c:pt idx="5">
                  <c:v>7.6598852218989575E-6</c:v>
                </c:pt>
                <c:pt idx="6">
                  <c:v>4.3858189007422885E-5</c:v>
                </c:pt>
                <c:pt idx="7">
                  <c:v>5.0151238638631813E-5</c:v>
                </c:pt>
                <c:pt idx="8">
                  <c:v>1.4312035420422808E-5</c:v>
                </c:pt>
                <c:pt idx="9">
                  <c:v>2.2023123677521908E-6</c:v>
                </c:pt>
                <c:pt idx="10">
                  <c:v>2.1983523171661431E-4</c:v>
                </c:pt>
                <c:pt idx="11">
                  <c:v>6.2457155101361755E-5</c:v>
                </c:pt>
                <c:pt idx="12">
                  <c:v>6.8253223418885916E-5</c:v>
                </c:pt>
                <c:pt idx="13">
                  <c:v>1.1180456120706036E-4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65-A54E-9DA0-4BD5F6566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[3]Sheet2!$C$23:$C$38</c:f>
              <c:strCache>
                <c:ptCount val="16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FDXA</c:v>
                </c:pt>
                <c:pt idx="10">
                  <c:v>FDX</c:v>
                </c:pt>
                <c:pt idx="11">
                  <c:v>FDX</c:v>
                </c:pt>
                <c:pt idx="12">
                  <c:v>FDX</c:v>
                </c:pt>
                <c:pt idx="13">
                  <c:v>ZMO1808</c:v>
                </c:pt>
                <c:pt idx="14">
                  <c:v>ZMO1809</c:v>
                </c:pt>
                <c:pt idx="15">
                  <c:v>ZMO1810</c:v>
                </c:pt>
              </c:strCache>
            </c:strRef>
          </c:cat>
          <c:val>
            <c:numRef>
              <c:f>[3]Sheet2!$G$23:$G$39</c:f>
              <c:numCache>
                <c:formatCode>General</c:formatCode>
                <c:ptCount val="17"/>
                <c:pt idx="0">
                  <c:v>#N/A</c:v>
                </c:pt>
                <c:pt idx="1">
                  <c:v>5.7897899832869076E-6</c:v>
                </c:pt>
                <c:pt idx="2">
                  <c:v>8.5855018133704743E-6</c:v>
                </c:pt>
                <c:pt idx="3">
                  <c:v>8.8506520027855155E-6</c:v>
                </c:pt>
                <c:pt idx="4">
                  <c:v>2.1571238272980503E-6</c:v>
                </c:pt>
                <c:pt idx="5">
                  <c:v>1.7775836033426185E-5</c:v>
                </c:pt>
                <c:pt idx="6">
                  <c:v>3.509553375766017E-5</c:v>
                </c:pt>
                <c:pt idx="7">
                  <c:v>4.7041090222841223E-6</c:v>
                </c:pt>
                <c:pt idx="8">
                  <c:v>1.347635097493036E-6</c:v>
                </c:pt>
                <c:pt idx="9">
                  <c:v>2.244657381615599E-5</c:v>
                </c:pt>
                <c:pt idx="10">
                  <c:v>6.9080779944289694E-8</c:v>
                </c:pt>
                <c:pt idx="11">
                  <c:v>2.7855153203342616E-7</c:v>
                </c:pt>
                <c:pt idx="12">
                  <c:v>5.5710306406685232E-7</c:v>
                </c:pt>
                <c:pt idx="13">
                  <c:v>4.277465181058496E-7</c:v>
                </c:pt>
                <c:pt idx="14">
                  <c:v>3.6238718662952649E-7</c:v>
                </c:pt>
                <c:pt idx="15">
                  <c:v>6.7652089136490251E-7</c:v>
                </c:pt>
                <c:pt idx="16">
                  <c:v>3.0001949860724235E-7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6F-0C48-B1E3-CD020ABF3D29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[4]Sheet2!$P$23:$P$39</c:f>
                <c:numCache>
                  <c:formatCode>General</c:formatCode>
                  <c:ptCount val="17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3.5542901618033006E-7</c:v>
                  </c:pt>
                  <c:pt idx="10">
                    <c:v>4.21505376344086E-9</c:v>
                  </c:pt>
                  <c:pt idx="11">
                    <c:v>1.4060387561964848E-8</c:v>
                  </c:pt>
                  <c:pt idx="12">
                    <c:v>2.4846536100555392E-8</c:v>
                  </c:pt>
                  <c:pt idx="13">
                    <c:v>3.2875134496012725E-8</c:v>
                  </c:pt>
                  <c:pt idx="14">
                    <c:v>2.8715420923975363E-8</c:v>
                  </c:pt>
                  <c:pt idx="15">
                    <c:v>4.7536677836157935E-8</c:v>
                  </c:pt>
                  <c:pt idx="16">
                    <c:v>2.4587724505903801E-8</c:v>
                  </c:pt>
                </c:numCache>
              </c:numRef>
            </c:plus>
            <c:minus>
              <c:numRef>
                <c:f>[4]Sheet2!$P$23:$P$39</c:f>
                <c:numCache>
                  <c:formatCode>General</c:formatCode>
                  <c:ptCount val="17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3.5542901618033006E-7</c:v>
                  </c:pt>
                  <c:pt idx="10">
                    <c:v>4.21505376344086E-9</c:v>
                  </c:pt>
                  <c:pt idx="11">
                    <c:v>1.4060387561964848E-8</c:v>
                  </c:pt>
                  <c:pt idx="12">
                    <c:v>2.4846536100555392E-8</c:v>
                  </c:pt>
                  <c:pt idx="13">
                    <c:v>3.2875134496012725E-8</c:v>
                  </c:pt>
                  <c:pt idx="14">
                    <c:v>2.8715420923975363E-8</c:v>
                  </c:pt>
                  <c:pt idx="15">
                    <c:v>4.7536677836157935E-8</c:v>
                  </c:pt>
                  <c:pt idx="16">
                    <c:v>2.4587724505903801E-8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[3]Sheet2!$C$23:$C$38</c:f>
              <c:strCache>
                <c:ptCount val="16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FDXA</c:v>
                </c:pt>
                <c:pt idx="10">
                  <c:v>FDX</c:v>
                </c:pt>
                <c:pt idx="11">
                  <c:v>FDX</c:v>
                </c:pt>
                <c:pt idx="12">
                  <c:v>FDX</c:v>
                </c:pt>
                <c:pt idx="13">
                  <c:v>ZMO1808</c:v>
                </c:pt>
                <c:pt idx="14">
                  <c:v>ZMO1809</c:v>
                </c:pt>
                <c:pt idx="15">
                  <c:v>ZMO1810</c:v>
                </c:pt>
              </c:strCache>
            </c:strRef>
          </c:cat>
          <c:val>
            <c:numRef>
              <c:f>[3]Sheet2!$O$23:$O$39</c:f>
              <c:numCache>
                <c:formatCode>General</c:formatCode>
                <c:ptCount val="17"/>
                <c:pt idx="0">
                  <c:v>1.8097435106453549E-7</c:v>
                </c:pt>
                <c:pt idx="1">
                  <c:v>3.5759084072042163E-6</c:v>
                </c:pt>
                <c:pt idx="2">
                  <c:v>5.5663918746149829E-6</c:v>
                </c:pt>
                <c:pt idx="3">
                  <c:v>5.7383014376990713E-6</c:v>
                </c:pt>
                <c:pt idx="4">
                  <c:v>1.3985666534284624E-6</c:v>
                </c:pt>
                <c:pt idx="5">
                  <c:v>1.152492555789253E-5</c:v>
                </c:pt>
                <c:pt idx="6">
                  <c:v>2.2754114813120263E-5</c:v>
                </c:pt>
                <c:pt idx="7">
                  <c:v>4.3083497000719311E-6</c:v>
                </c:pt>
                <c:pt idx="8">
                  <c:v>1.0337618847484315E-6</c:v>
                </c:pt>
                <c:pt idx="9">
                  <c:v>1.7218636036498328E-5</c:v>
                </c:pt>
                <c:pt idx="10">
                  <c:v>5.3789247311827955E-8</c:v>
                </c:pt>
                <c:pt idx="11">
                  <c:v>2.1901757548445245E-7</c:v>
                </c:pt>
                <c:pt idx="12">
                  <c:v>4.3262204033908217E-7</c:v>
                </c:pt>
                <c:pt idx="13">
                  <c:v>6.0936987870452012E-7</c:v>
                </c:pt>
                <c:pt idx="14">
                  <c:v>5.1625677733136231E-7</c:v>
                </c:pt>
                <c:pt idx="15">
                  <c:v>9.6377223810050456E-7</c:v>
                </c:pt>
                <c:pt idx="16">
                  <c:v>4.274091368779023E-7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6F-0C48-B1E3-CD020ABF3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2.5259291966573819E-5</c:v>
              </c:pt>
              <c:pt idx="1">
                <c:v>4.6604544562674091E-5</c:v>
              </c:pt>
              <c:pt idx="2">
                <c:v>7.6880477130919222E-6</c:v>
              </c:pt>
              <c:pt idx="3">
                <c:v>4.4019438919220061E-5</c:v>
              </c:pt>
              <c:pt idx="4">
                <c:v>5.0335625707520896E-5</c:v>
              </c:pt>
              <c:pt idx="5">
                <c:v>1.466866409470752E-5</c:v>
              </c:pt>
              <c:pt idx="6">
                <c:v>2.1961948328690809E-6</c:v>
              </c:pt>
              <c:pt idx="7">
                <c:v>2.2049488345125351E-4</c:v>
              </c:pt>
              <c:pt idx="8">
                <c:v>6.2644569610027852E-5</c:v>
              </c:pt>
              <c:pt idx="9">
                <c:v>6.8382968724233978E-5</c:v>
              </c:pt>
              <c:pt idx="10">
                <c:v>1.1201709500557103E-4</c:v>
              </c:pt>
              <c:pt idx="11">
                <c:v>1.4825043972423399E-4</c:v>
              </c:pt>
              <c:pt idx="12">
                <c:v>1.9350247248189415E-4</c:v>
              </c:pt>
              <c:pt idx="13">
                <c:v>4.2835241980501391E-5</c:v>
              </c:pt>
            </c:numLit>
          </c:val>
          <c:extLst>
            <c:ext xmlns:c16="http://schemas.microsoft.com/office/drawing/2014/chart" uri="{C3380CC4-5D6E-409C-BE32-E72D297353CC}">
              <c16:uniqueId val="{00000000-056D-FB4F-A4A4-5CA71DF33505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plus>
            <c:min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2.5162826034217326E-5</c:v>
              </c:pt>
              <c:pt idx="1">
                <c:v>4.6433825013844236E-5</c:v>
              </c:pt>
              <c:pt idx="2">
                <c:v>7.6598852218989575E-6</c:v>
              </c:pt>
              <c:pt idx="3">
                <c:v>4.3858189007422885E-5</c:v>
              </c:pt>
              <c:pt idx="4">
                <c:v>5.0151238638631813E-5</c:v>
              </c:pt>
              <c:pt idx="5">
                <c:v>1.4312035420422808E-5</c:v>
              </c:pt>
              <c:pt idx="6">
                <c:v>2.2023123677521908E-6</c:v>
              </c:pt>
              <c:pt idx="7">
                <c:v>2.1983523171661431E-4</c:v>
              </c:pt>
              <c:pt idx="8">
                <c:v>6.2457155101361755E-5</c:v>
              </c:pt>
              <c:pt idx="9">
                <c:v>6.8253223418885916E-5</c:v>
              </c:pt>
              <c:pt idx="10">
                <c:v>1.1180456120706036E-4</c:v>
              </c:pt>
              <c:pt idx="11">
                <c:v>1.4876930250187686E-4</c:v>
              </c:pt>
              <c:pt idx="12">
                <c:v>1.9293498422922166E-4</c:v>
              </c:pt>
              <c:pt idx="13">
                <c:v>7.5507071431189882E-5</c:v>
              </c:pt>
            </c:numLit>
          </c:val>
          <c:extLst>
            <c:ext xmlns:c16="http://schemas.microsoft.com/office/drawing/2014/chart" uri="{C3380CC4-5D6E-409C-BE32-E72D297353CC}">
              <c16:uniqueId val="{00000001-056D-FB4F-A4A4-5CA71DF33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RNF</c:v>
              </c:pt>
              <c:pt idx="11">
                <c:v>RNF</c:v>
              </c:pt>
              <c:pt idx="12">
                <c:v>RNF</c:v>
              </c:pt>
              <c:pt idx="13">
                <c:v>RNF</c:v>
              </c:pt>
              <c:pt idx="14">
                <c:v>RNF</c:v>
              </c:pt>
              <c:pt idx="15">
                <c:v>RNF</c:v>
              </c:pt>
              <c:pt idx="16">
                <c:v>RNF</c:v>
              </c:pt>
            </c:strLit>
          </c:cat>
          <c:val>
            <c:numLit>
              <c:formatCode>General</c:formatCode>
              <c:ptCount val="17"/>
              <c:pt idx="0">
                <c:v>1.8147855153203343E-7</c:v>
              </c:pt>
              <c:pt idx="1">
                <c:v>4.6616434540389972E-6</c:v>
              </c:pt>
              <c:pt idx="2">
                <c:v>7.179603470752089E-6</c:v>
              </c:pt>
              <c:pt idx="3">
                <c:v>5.9481734512534827E-6</c:v>
              </c:pt>
              <c:pt idx="4">
                <c:v>1.8038891671309193E-6</c:v>
              </c:pt>
              <c:pt idx="5">
                <c:v>1.4864996462395543E-5</c:v>
              </c:pt>
              <c:pt idx="6">
                <c:v>2.9348548454038997E-5</c:v>
              </c:pt>
              <c:pt idx="7">
                <c:v>5.1271209415041786E-6</c:v>
              </c:pt>
              <c:pt idx="8">
                <c:v>1.347635097493036E-6</c:v>
              </c:pt>
              <c:pt idx="9">
                <c:v>1.7920136682451254E-5</c:v>
              </c:pt>
              <c:pt idx="10">
                <c:v>4.277465181058496E-7</c:v>
              </c:pt>
              <c:pt idx="11">
                <c:v>3.6238718662952649E-7</c:v>
              </c:pt>
              <c:pt idx="12">
                <c:v>6.7652089136490251E-7</c:v>
              </c:pt>
              <c:pt idx="13">
                <c:v>3.0001949860724235E-7</c:v>
              </c:pt>
              <c:pt idx="14">
                <c:v>9.4552646239554316E-7</c:v>
              </c:pt>
              <c:pt idx="15">
                <c:v>4.7456545961002787E-7</c:v>
              </c:pt>
              <c:pt idx="16">
                <c:v>2.656966573816156E-6</c:v>
              </c:pt>
            </c:numLit>
          </c:val>
          <c:extLst>
            <c:ext xmlns:c16="http://schemas.microsoft.com/office/drawing/2014/chart" uri="{C3380CC4-5D6E-409C-BE32-E72D297353CC}">
              <c16:uniqueId val="{00000000-B426-4841-A3A7-2043A604354E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plus>
            <c:min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7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RNF</c:v>
              </c:pt>
              <c:pt idx="11">
                <c:v>RNF</c:v>
              </c:pt>
              <c:pt idx="12">
                <c:v>RNF</c:v>
              </c:pt>
              <c:pt idx="13">
                <c:v>RNF</c:v>
              </c:pt>
              <c:pt idx="14">
                <c:v>RNF</c:v>
              </c:pt>
              <c:pt idx="15">
                <c:v>RNF</c:v>
              </c:pt>
              <c:pt idx="16">
                <c:v>RNF</c:v>
              </c:pt>
            </c:strLit>
          </c:cat>
          <c:val>
            <c:numLit>
              <c:formatCode>General</c:formatCode>
              <c:ptCount val="17"/>
              <c:pt idx="0">
                <c:v>1.8097435106453549E-7</c:v>
              </c:pt>
              <c:pt idx="1">
                <c:v>3.5759084072042163E-6</c:v>
              </c:pt>
              <c:pt idx="2">
                <c:v>5.5663918746149829E-6</c:v>
              </c:pt>
              <c:pt idx="3">
                <c:v>5.7383014376990713E-6</c:v>
              </c:pt>
              <c:pt idx="4">
                <c:v>1.3985666534284624E-6</c:v>
              </c:pt>
              <c:pt idx="5">
                <c:v>1.152492555789253E-5</c:v>
              </c:pt>
              <c:pt idx="6">
                <c:v>2.2754114813120263E-5</c:v>
              </c:pt>
              <c:pt idx="7">
                <c:v>4.3083497000719311E-6</c:v>
              </c:pt>
              <c:pt idx="8">
                <c:v>1.0337618847484315E-6</c:v>
              </c:pt>
              <c:pt idx="9">
                <c:v>1.7218636036498328E-5</c:v>
              </c:pt>
              <c:pt idx="10">
                <c:v>6.0936987870452012E-7</c:v>
              </c:pt>
              <c:pt idx="11">
                <c:v>5.1625677733136231E-7</c:v>
              </c:pt>
              <c:pt idx="12">
                <c:v>9.6377223810050456E-7</c:v>
              </c:pt>
              <c:pt idx="13">
                <c:v>4.274091368779023E-7</c:v>
              </c:pt>
              <c:pt idx="14">
                <c:v>1.3470003634069508E-6</c:v>
              </c:pt>
              <c:pt idx="15">
                <c:v>6.7606819783515206E-7</c:v>
              </c:pt>
              <c:pt idx="16">
                <c:v>3.7851235695841523E-6</c:v>
              </c:pt>
            </c:numLit>
          </c:val>
          <c:extLst>
            <c:ext xmlns:c16="http://schemas.microsoft.com/office/drawing/2014/chart" uri="{C3380CC4-5D6E-409C-BE32-E72D297353CC}">
              <c16:uniqueId val="{00000001-B426-4841-A3A7-2043A6043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2.5259291966573819E-5</c:v>
              </c:pt>
              <c:pt idx="1">
                <c:v>4.6604538607242339E-5</c:v>
              </c:pt>
              <c:pt idx="2">
                <c:v>7.6880467298050145E-6</c:v>
              </c:pt>
              <c:pt idx="3">
                <c:v>4.4019433295264624E-5</c:v>
              </c:pt>
              <c:pt idx="4">
                <c:v>5.0335619272980509E-5</c:v>
              </c:pt>
              <c:pt idx="5">
                <c:v>1.4668907220055711E-5</c:v>
              </c:pt>
              <c:pt idx="6">
                <c:v>2.1961948328690809E-6</c:v>
              </c:pt>
              <c:pt idx="7">
                <c:v>2.2049474187743731E-4</c:v>
              </c:pt>
              <c:pt idx="8">
                <c:v>6.2644529387186626E-5</c:v>
              </c:pt>
              <c:pt idx="9">
                <c:v>6.8418163802228408E-5</c:v>
              </c:pt>
              <c:pt idx="10">
                <c:v>1.1207474752646239E-4</c:v>
              </c:pt>
              <c:pt idx="11">
                <c:v>1.4825295935097494E-4</c:v>
              </c:pt>
              <c:pt idx="12">
                <c:v>1.9379868079387187E-4</c:v>
              </c:pt>
              <c:pt idx="13">
                <c:v>3.9572956924791089E-5</c:v>
              </c:pt>
            </c:numLit>
          </c:val>
          <c:extLst>
            <c:ext xmlns:c16="http://schemas.microsoft.com/office/drawing/2014/chart" uri="{C3380CC4-5D6E-409C-BE32-E72D297353CC}">
              <c16:uniqueId val="{00000000-2DE0-184C-8ED1-A874B8DF5BD3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plus>
            <c:min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2.5162826034217326E-5</c:v>
              </c:pt>
              <c:pt idx="1">
                <c:v>4.6433825013844236E-5</c:v>
              </c:pt>
              <c:pt idx="2">
                <c:v>7.6598852218989575E-6</c:v>
              </c:pt>
              <c:pt idx="3">
                <c:v>4.3858189007422885E-5</c:v>
              </c:pt>
              <c:pt idx="4">
                <c:v>5.0151238638631813E-5</c:v>
              </c:pt>
              <c:pt idx="5">
                <c:v>1.4312035420422808E-5</c:v>
              </c:pt>
              <c:pt idx="6">
                <c:v>2.2023123677521908E-6</c:v>
              </c:pt>
              <c:pt idx="7">
                <c:v>2.1983523171661431E-4</c:v>
              </c:pt>
              <c:pt idx="8">
                <c:v>6.2457155101361755E-5</c:v>
              </c:pt>
              <c:pt idx="9">
                <c:v>6.8253223418885916E-5</c:v>
              </c:pt>
              <c:pt idx="10">
                <c:v>1.1180456120706036E-4</c:v>
              </c:pt>
              <c:pt idx="11">
                <c:v>1.4876930250187686E-4</c:v>
              </c:pt>
              <c:pt idx="12">
                <c:v>1.9293498422922166E-4</c:v>
              </c:pt>
              <c:pt idx="13">
                <c:v>7.5507071431189882E-5</c:v>
              </c:pt>
            </c:numLit>
          </c:val>
          <c:extLst>
            <c:ext xmlns:c16="http://schemas.microsoft.com/office/drawing/2014/chart" uri="{C3380CC4-5D6E-409C-BE32-E72D297353CC}">
              <c16:uniqueId val="{00000001-2DE0-184C-8ED1-A874B8DF5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ZMO1808</c:v>
              </c:pt>
              <c:pt idx="11">
                <c:v>ZMO1809</c:v>
              </c:pt>
              <c:pt idx="12">
                <c:v>ZMO1810</c:v>
              </c:pt>
              <c:pt idx="13">
                <c:v>ZMO1811</c:v>
              </c:pt>
              <c:pt idx="14">
                <c:v>ZMO1812</c:v>
              </c:pt>
              <c:pt idx="15">
                <c:v>ZMO1813</c:v>
              </c:pt>
              <c:pt idx="16">
                <c:v>ZMO1814</c:v>
              </c:pt>
            </c:strLit>
          </c:cat>
          <c:val>
            <c:numLit>
              <c:formatCode>General</c:formatCode>
              <c:ptCount val="17"/>
              <c:pt idx="0">
                <c:v>1.8147855153203343E-7</c:v>
              </c:pt>
              <c:pt idx="1">
                <c:v>4.6616434540389972E-6</c:v>
              </c:pt>
              <c:pt idx="2">
                <c:v>7.179603470752089E-6</c:v>
              </c:pt>
              <c:pt idx="3">
                <c:v>7.4013346239554317E-6</c:v>
              </c:pt>
              <c:pt idx="4">
                <c:v>1.8038891671309193E-6</c:v>
              </c:pt>
              <c:pt idx="5">
                <c:v>1.4864996462395543E-5</c:v>
              </c:pt>
              <c:pt idx="6">
                <c:v>2.9348548454038997E-5</c:v>
              </c:pt>
              <c:pt idx="7">
                <c:v>4.7039436824512541E-6</c:v>
              </c:pt>
              <c:pt idx="8">
                <c:v>1.347635097493036E-6</c:v>
              </c:pt>
              <c:pt idx="9">
                <c:v>1.7887484807799442E-5</c:v>
              </c:pt>
              <c:pt idx="10">
                <c:v>4.277465181058496E-7</c:v>
              </c:pt>
              <c:pt idx="11">
                <c:v>3.6238718662952649E-7</c:v>
              </c:pt>
              <c:pt idx="12">
                <c:v>6.7652089136490251E-7</c:v>
              </c:pt>
              <c:pt idx="13">
                <c:v>3.0001949860724235E-7</c:v>
              </c:pt>
              <c:pt idx="14">
                <c:v>9.4552646239554316E-7</c:v>
              </c:pt>
              <c:pt idx="15">
                <c:v>4.7456545961002787E-7</c:v>
              </c:pt>
              <c:pt idx="16">
                <c:v>2.656966573816156E-6</c:v>
              </c:pt>
            </c:numLit>
          </c:val>
          <c:extLst>
            <c:ext xmlns:c16="http://schemas.microsoft.com/office/drawing/2014/chart" uri="{C3380CC4-5D6E-409C-BE32-E72D297353CC}">
              <c16:uniqueId val="{00000000-8809-794F-AA74-F5E4ED02A06B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plus>
            <c:min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7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ZMO1808</c:v>
              </c:pt>
              <c:pt idx="11">
                <c:v>ZMO1809</c:v>
              </c:pt>
              <c:pt idx="12">
                <c:v>ZMO1810</c:v>
              </c:pt>
              <c:pt idx="13">
                <c:v>ZMO1811</c:v>
              </c:pt>
              <c:pt idx="14">
                <c:v>ZMO1812</c:v>
              </c:pt>
              <c:pt idx="15">
                <c:v>ZMO1813</c:v>
              </c:pt>
              <c:pt idx="16">
                <c:v>ZMO1814</c:v>
              </c:pt>
            </c:strLit>
          </c:cat>
          <c:val>
            <c:numLit>
              <c:formatCode>General</c:formatCode>
              <c:ptCount val="17"/>
              <c:pt idx="0">
                <c:v>1.8097435106453549E-7</c:v>
              </c:pt>
              <c:pt idx="1">
                <c:v>3.5759084072042163E-6</c:v>
              </c:pt>
              <c:pt idx="2">
                <c:v>5.5663918746149829E-6</c:v>
              </c:pt>
              <c:pt idx="3">
                <c:v>5.7383014376990713E-6</c:v>
              </c:pt>
              <c:pt idx="4">
                <c:v>1.3985666534284624E-6</c:v>
              </c:pt>
              <c:pt idx="5">
                <c:v>1.152492555789253E-5</c:v>
              </c:pt>
              <c:pt idx="6">
                <c:v>2.2754114813120263E-5</c:v>
              </c:pt>
              <c:pt idx="7">
                <c:v>4.3083497000719311E-6</c:v>
              </c:pt>
              <c:pt idx="8">
                <c:v>1.0337618847484315E-6</c:v>
              </c:pt>
              <c:pt idx="9">
                <c:v>1.7218636036498328E-5</c:v>
              </c:pt>
              <c:pt idx="10">
                <c:v>6.0936987870452012E-7</c:v>
              </c:pt>
              <c:pt idx="11">
                <c:v>5.1625677733136231E-7</c:v>
              </c:pt>
              <c:pt idx="12">
                <c:v>9.6377223810050456E-7</c:v>
              </c:pt>
              <c:pt idx="13">
                <c:v>4.274091368779023E-7</c:v>
              </c:pt>
              <c:pt idx="14">
                <c:v>1.3470003634069508E-6</c:v>
              </c:pt>
              <c:pt idx="15">
                <c:v>6.7606819783515206E-7</c:v>
              </c:pt>
              <c:pt idx="16">
                <c:v>3.7851235695841523E-6</c:v>
              </c:pt>
            </c:numLit>
          </c:val>
          <c:extLst>
            <c:ext xmlns:c16="http://schemas.microsoft.com/office/drawing/2014/chart" uri="{C3380CC4-5D6E-409C-BE32-E72D297353CC}">
              <c16:uniqueId val="{00000001-8809-794F-AA74-F5E4ED02A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[1]Sheet2!$E$57:$E$70</c:f>
              <c:numCache>
                <c:formatCode>General</c:formatCode>
                <c:ptCount val="14"/>
                <c:pt idx="0">
                  <c:v>2.5259291966573819E-5</c:v>
                </c:pt>
                <c:pt idx="1">
                  <c:v>4.6604429880222839E-5</c:v>
                </c:pt>
                <c:pt idx="2">
                  <c:v>7.6880287938718668E-6</c:v>
                </c:pt>
                <c:pt idx="3">
                  <c:v>4.4019330598885798E-5</c:v>
                </c:pt>
                <c:pt idx="4">
                  <c:v>5.0335501841225631E-5</c:v>
                </c:pt>
                <c:pt idx="5">
                  <c:v>1.4673345401114206E-5</c:v>
                </c:pt>
                <c:pt idx="6">
                  <c:v>2.1961948328690809E-6</c:v>
                </c:pt>
                <c:pt idx="7">
                  <c:v>2.204932468913649E-4</c:v>
                </c:pt>
                <c:pt idx="8">
                  <c:v>6.2644104646239555E-5</c:v>
                </c:pt>
                <c:pt idx="9">
                  <c:v>6.8383175172701959E-5</c:v>
                </c:pt>
                <c:pt idx="10">
                  <c:v>1.1201743318384401E-4</c:v>
                </c:pt>
                <c:pt idx="11">
                  <c:v>1.4825290432869082E-4</c:v>
                </c:pt>
                <c:pt idx="12">
                  <c:v>1.9351916936490252E-4</c:v>
                </c:pt>
                <c:pt idx="13">
                  <c:v>7.5712466264623953E-5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56-BA4B-9E8C-5A9FD4869BB2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[2]ProteinComp_Anal!$G$36:$G$49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plus>
            <c:minus>
              <c:numRef>
                <c:f>[2]ProteinComp_Anal!$G$36:$G$49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[1]Sheet2!$D$57:$D$70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[1]Sheet2!$F$57:$F$70</c:f>
              <c:numCache>
                <c:formatCode>General</c:formatCode>
                <c:ptCount val="14"/>
                <c:pt idx="0">
                  <c:v>2.5162826034217326E-5</c:v>
                </c:pt>
                <c:pt idx="1">
                  <c:v>4.6433825013844236E-5</c:v>
                </c:pt>
                <c:pt idx="2">
                  <c:v>7.6598852218989575E-6</c:v>
                </c:pt>
                <c:pt idx="3">
                  <c:v>4.3858189007422885E-5</c:v>
                </c:pt>
                <c:pt idx="4">
                  <c:v>5.0151238638631813E-5</c:v>
                </c:pt>
                <c:pt idx="5">
                  <c:v>1.4312035420422808E-5</c:v>
                </c:pt>
                <c:pt idx="6">
                  <c:v>2.2023123677521908E-6</c:v>
                </c:pt>
                <c:pt idx="7">
                  <c:v>2.1983523171661431E-4</c:v>
                </c:pt>
                <c:pt idx="8">
                  <c:v>6.2457155101361755E-5</c:v>
                </c:pt>
                <c:pt idx="9">
                  <c:v>6.8253223418885916E-5</c:v>
                </c:pt>
                <c:pt idx="10">
                  <c:v>1.1180456120706036E-4</c:v>
                </c:pt>
                <c:pt idx="11">
                  <c:v>1.4876930250187686E-4</c:v>
                </c:pt>
                <c:pt idx="12">
                  <c:v>1.9293498422922166E-4</c:v>
                </c:pt>
                <c:pt idx="13">
                  <c:v>7.5507071431189882E-5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56-BA4B-9E8C-5A9FD4869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[1]Sheet2!$C$23:$C$42</c:f>
              <c:strCache>
                <c:ptCount val="20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FDXA</c:v>
                </c:pt>
                <c:pt idx="10">
                  <c:v>FDX</c:v>
                </c:pt>
                <c:pt idx="11">
                  <c:v>FDX</c:v>
                </c:pt>
                <c:pt idx="12">
                  <c:v>FDX</c:v>
                </c:pt>
                <c:pt idx="13">
                  <c:v>ZMO1808</c:v>
                </c:pt>
                <c:pt idx="14">
                  <c:v>ZMO1809</c:v>
                </c:pt>
                <c:pt idx="15">
                  <c:v>ZMO1810</c:v>
                </c:pt>
                <c:pt idx="16">
                  <c:v>ZMO1811</c:v>
                </c:pt>
                <c:pt idx="17">
                  <c:v>ZMO1812</c:v>
                </c:pt>
                <c:pt idx="18">
                  <c:v>ZMO1813</c:v>
                </c:pt>
                <c:pt idx="19">
                  <c:v>ZMO1814</c:v>
                </c:pt>
              </c:strCache>
            </c:strRef>
          </c:cat>
          <c:val>
            <c:numRef>
              <c:f>[1]Sheet2!$G$23:$G$42</c:f>
              <c:numCache>
                <c:formatCode>General</c:formatCode>
                <c:ptCount val="20"/>
                <c:pt idx="0">
                  <c:v>1.8147855153203343E-7</c:v>
                </c:pt>
                <c:pt idx="1">
                  <c:v>4.6616434540389972E-6</c:v>
                </c:pt>
                <c:pt idx="2">
                  <c:v>7.179603470752089E-6</c:v>
                </c:pt>
                <c:pt idx="3">
                  <c:v>7.4013346239554317E-6</c:v>
                </c:pt>
                <c:pt idx="4">
                  <c:v>1.8038891671309193E-6</c:v>
                </c:pt>
                <c:pt idx="5">
                  <c:v>1.4864996462395543E-5</c:v>
                </c:pt>
                <c:pt idx="6">
                  <c:v>2.9348548454038997E-5</c:v>
                </c:pt>
                <c:pt idx="7">
                  <c:v>4.5033526518105854E-6</c:v>
                </c:pt>
                <c:pt idx="8">
                  <c:v>1.348189415041783E-6</c:v>
                </c:pt>
                <c:pt idx="9">
                  <c:v>2.0692043604456825E-5</c:v>
                </c:pt>
                <c:pt idx="10">
                  <c:v>7.0194986072423398E-8</c:v>
                </c:pt>
                <c:pt idx="11">
                  <c:v>1.5376044568245126E-7</c:v>
                </c:pt>
                <c:pt idx="12">
                  <c:v>3.041782729805014E-7</c:v>
                </c:pt>
                <c:pt idx="13">
                  <c:v>4.277465181058496E-7</c:v>
                </c:pt>
                <c:pt idx="14">
                  <c:v>3.6238718662952649E-7</c:v>
                </c:pt>
                <c:pt idx="15">
                  <c:v>6.7652089136490251E-7</c:v>
                </c:pt>
                <c:pt idx="16">
                  <c:v>3.0001949860724235E-7</c:v>
                </c:pt>
                <c:pt idx="17">
                  <c:v>9.4552646239554316E-7</c:v>
                </c:pt>
                <c:pt idx="18">
                  <c:v>4.7456545961002787E-7</c:v>
                </c:pt>
                <c:pt idx="19">
                  <c:v>2.656966573816156E-6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01-DF44-A126-C463A09D09B4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[1]Sheet2!$P$23:$P$42</c:f>
                <c:numCache>
                  <c:formatCode>General</c:formatCode>
                  <c:ptCount val="20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3.5542901618033006E-7</c:v>
                  </c:pt>
                  <c:pt idx="10">
                    <c:v>4.21505376344086E-9</c:v>
                  </c:pt>
                  <c:pt idx="11">
                    <c:v>1.4060387561964848E-8</c:v>
                  </c:pt>
                  <c:pt idx="12">
                    <c:v>2.4846536100555392E-8</c:v>
                  </c:pt>
                  <c:pt idx="13">
                    <c:v>3.2875134496012725E-8</c:v>
                  </c:pt>
                  <c:pt idx="14">
                    <c:v>2.8715420923975363E-8</c:v>
                  </c:pt>
                  <c:pt idx="15">
                    <c:v>4.7536677836157935E-8</c:v>
                  </c:pt>
                  <c:pt idx="16">
                    <c:v>2.4587724505903801E-8</c:v>
                  </c:pt>
                  <c:pt idx="17">
                    <c:v>6.1889544519485208E-8</c:v>
                  </c:pt>
                  <c:pt idx="18">
                    <c:v>3.5764914442767053E-8</c:v>
                  </c:pt>
                  <c:pt idx="19">
                    <c:v>1.3456192077538062E-7</c:v>
                  </c:pt>
                </c:numCache>
              </c:numRef>
            </c:plus>
            <c:minus>
              <c:numRef>
                <c:f>[1]Sheet2!$P$23:$P$42</c:f>
                <c:numCache>
                  <c:formatCode>General</c:formatCode>
                  <c:ptCount val="20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3.5542901618033006E-7</c:v>
                  </c:pt>
                  <c:pt idx="10">
                    <c:v>4.21505376344086E-9</c:v>
                  </c:pt>
                  <c:pt idx="11">
                    <c:v>1.4060387561964848E-8</c:v>
                  </c:pt>
                  <c:pt idx="12">
                    <c:v>2.4846536100555392E-8</c:v>
                  </c:pt>
                  <c:pt idx="13">
                    <c:v>3.2875134496012725E-8</c:v>
                  </c:pt>
                  <c:pt idx="14">
                    <c:v>2.8715420923975363E-8</c:v>
                  </c:pt>
                  <c:pt idx="15">
                    <c:v>4.7536677836157935E-8</c:v>
                  </c:pt>
                  <c:pt idx="16">
                    <c:v>2.4587724505903801E-8</c:v>
                  </c:pt>
                  <c:pt idx="17">
                    <c:v>6.1889544519485208E-8</c:v>
                  </c:pt>
                  <c:pt idx="18">
                    <c:v>3.5764914442767053E-8</c:v>
                  </c:pt>
                  <c:pt idx="19">
                    <c:v>1.3456192077538062E-7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[1]Sheet2!$C$23:$C$42</c:f>
              <c:strCache>
                <c:ptCount val="20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FDXA</c:v>
                </c:pt>
                <c:pt idx="10">
                  <c:v>FDX</c:v>
                </c:pt>
                <c:pt idx="11">
                  <c:v>FDX</c:v>
                </c:pt>
                <c:pt idx="12">
                  <c:v>FDX</c:v>
                </c:pt>
                <c:pt idx="13">
                  <c:v>ZMO1808</c:v>
                </c:pt>
                <c:pt idx="14">
                  <c:v>ZMO1809</c:v>
                </c:pt>
                <c:pt idx="15">
                  <c:v>ZMO1810</c:v>
                </c:pt>
                <c:pt idx="16">
                  <c:v>ZMO1811</c:v>
                </c:pt>
                <c:pt idx="17">
                  <c:v>ZMO1812</c:v>
                </c:pt>
                <c:pt idx="18">
                  <c:v>ZMO1813</c:v>
                </c:pt>
                <c:pt idx="19">
                  <c:v>ZMO1814</c:v>
                </c:pt>
              </c:strCache>
            </c:strRef>
          </c:cat>
          <c:val>
            <c:numRef>
              <c:f>[1]Sheet2!$O$23:$O$42</c:f>
              <c:numCache>
                <c:formatCode>General</c:formatCode>
                <c:ptCount val="20"/>
                <c:pt idx="0">
                  <c:v>1.8097435106453549E-7</c:v>
                </c:pt>
                <c:pt idx="1">
                  <c:v>3.5759084072042163E-6</c:v>
                </c:pt>
                <c:pt idx="2">
                  <c:v>5.5663918746149829E-6</c:v>
                </c:pt>
                <c:pt idx="3">
                  <c:v>5.7383014376990713E-6</c:v>
                </c:pt>
                <c:pt idx="4">
                  <c:v>1.3985666534284624E-6</c:v>
                </c:pt>
                <c:pt idx="5">
                  <c:v>1.152492555789253E-5</c:v>
                </c:pt>
                <c:pt idx="6">
                  <c:v>2.2754114813120263E-5</c:v>
                </c:pt>
                <c:pt idx="7">
                  <c:v>4.3083497000719311E-6</c:v>
                </c:pt>
                <c:pt idx="8">
                  <c:v>1.0337618847484315E-6</c:v>
                </c:pt>
                <c:pt idx="9">
                  <c:v>1.7218636036498328E-5</c:v>
                </c:pt>
                <c:pt idx="10">
                  <c:v>5.3789247311827955E-8</c:v>
                </c:pt>
                <c:pt idx="11">
                  <c:v>2.1901757548445245E-7</c:v>
                </c:pt>
                <c:pt idx="12">
                  <c:v>4.3262204033908217E-7</c:v>
                </c:pt>
                <c:pt idx="13">
                  <c:v>6.0936987870452012E-7</c:v>
                </c:pt>
                <c:pt idx="14">
                  <c:v>5.1625677733136231E-7</c:v>
                </c:pt>
                <c:pt idx="15">
                  <c:v>9.6377223810050456E-7</c:v>
                </c:pt>
                <c:pt idx="16">
                  <c:v>4.274091368779023E-7</c:v>
                </c:pt>
                <c:pt idx="17">
                  <c:v>1.3470003634069508E-6</c:v>
                </c:pt>
                <c:pt idx="18">
                  <c:v>6.7606819783515206E-7</c:v>
                </c:pt>
                <c:pt idx="19">
                  <c:v>3.7851235695841523E-6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01-DF44-A126-C463A09D0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[1]Sheet2!$E$57:$E$70</c:f>
              <c:numCache>
                <c:formatCode>General</c:formatCode>
                <c:ptCount val="14"/>
                <c:pt idx="0">
                  <c:v>2.5259291966573819E-5</c:v>
                </c:pt>
                <c:pt idx="1">
                  <c:v>4.6604429880222839E-5</c:v>
                </c:pt>
                <c:pt idx="2">
                  <c:v>7.6880287938718668E-6</c:v>
                </c:pt>
                <c:pt idx="3">
                  <c:v>4.4019330598885798E-5</c:v>
                </c:pt>
                <c:pt idx="4">
                  <c:v>5.0335501841225631E-5</c:v>
                </c:pt>
                <c:pt idx="5">
                  <c:v>1.4673345401114206E-5</c:v>
                </c:pt>
                <c:pt idx="6">
                  <c:v>2.1961948328690809E-6</c:v>
                </c:pt>
                <c:pt idx="7">
                  <c:v>2.204932468913649E-4</c:v>
                </c:pt>
                <c:pt idx="8">
                  <c:v>6.2644104646239555E-5</c:v>
                </c:pt>
                <c:pt idx="9">
                  <c:v>6.8383175172701959E-5</c:v>
                </c:pt>
                <c:pt idx="10">
                  <c:v>1.1201743318384401E-4</c:v>
                </c:pt>
                <c:pt idx="11">
                  <c:v>1.4825290432869082E-4</c:v>
                </c:pt>
                <c:pt idx="12">
                  <c:v>1.9351916936490252E-4</c:v>
                </c:pt>
                <c:pt idx="13">
                  <c:v>7.5712466264623953E-5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C-274F-A675-E9A70D61CA6C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[2]ProteinComp_Anal!$G$36:$G$49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plus>
            <c:minus>
              <c:numRef>
                <c:f>[2]ProteinComp_Anal!$G$36:$G$49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[1]Sheet2!$D$57:$D$70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[1]Sheet2!$F$57:$F$70</c:f>
              <c:numCache>
                <c:formatCode>General</c:formatCode>
                <c:ptCount val="14"/>
                <c:pt idx="0">
                  <c:v>2.5162826034217326E-5</c:v>
                </c:pt>
                <c:pt idx="1">
                  <c:v>4.6433825013844236E-5</c:v>
                </c:pt>
                <c:pt idx="2">
                  <c:v>7.6598852218989575E-6</c:v>
                </c:pt>
                <c:pt idx="3">
                  <c:v>4.3858189007422885E-5</c:v>
                </c:pt>
                <c:pt idx="4">
                  <c:v>5.0151238638631813E-5</c:v>
                </c:pt>
                <c:pt idx="5">
                  <c:v>1.4312035420422808E-5</c:v>
                </c:pt>
                <c:pt idx="6">
                  <c:v>2.2023123677521908E-6</c:v>
                </c:pt>
                <c:pt idx="7">
                  <c:v>2.1983523171661431E-4</c:v>
                </c:pt>
                <c:pt idx="8">
                  <c:v>6.2457155101361755E-5</c:v>
                </c:pt>
                <c:pt idx="9">
                  <c:v>6.8253223418885916E-5</c:v>
                </c:pt>
                <c:pt idx="10">
                  <c:v>1.1180456120706036E-4</c:v>
                </c:pt>
                <c:pt idx="11">
                  <c:v>1.4876930250187686E-4</c:v>
                </c:pt>
                <c:pt idx="12">
                  <c:v>1.9293498422922166E-4</c:v>
                </c:pt>
                <c:pt idx="13">
                  <c:v>7.5507071431189882E-5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AC-274F-A675-E9A70D61C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[1]Sheet2!$C$23:$C$42</c:f>
              <c:strCache>
                <c:ptCount val="20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FDXA</c:v>
                </c:pt>
                <c:pt idx="10">
                  <c:v>FDX</c:v>
                </c:pt>
                <c:pt idx="11">
                  <c:v>FDX</c:v>
                </c:pt>
                <c:pt idx="12">
                  <c:v>FDX</c:v>
                </c:pt>
                <c:pt idx="13">
                  <c:v>ZMO1808</c:v>
                </c:pt>
                <c:pt idx="14">
                  <c:v>ZMO1809</c:v>
                </c:pt>
                <c:pt idx="15">
                  <c:v>ZMO1810</c:v>
                </c:pt>
                <c:pt idx="16">
                  <c:v>ZMO1811</c:v>
                </c:pt>
                <c:pt idx="17">
                  <c:v>ZMO1812</c:v>
                </c:pt>
                <c:pt idx="18">
                  <c:v>ZMO1813</c:v>
                </c:pt>
                <c:pt idx="19">
                  <c:v>ZMO1814</c:v>
                </c:pt>
              </c:strCache>
            </c:strRef>
          </c:cat>
          <c:val>
            <c:numRef>
              <c:f>[1]Sheet2!$G$23:$G$42</c:f>
              <c:numCache>
                <c:formatCode>General</c:formatCode>
                <c:ptCount val="20"/>
                <c:pt idx="0">
                  <c:v>1.8147855153203343E-7</c:v>
                </c:pt>
                <c:pt idx="1">
                  <c:v>4.6616434540389972E-6</c:v>
                </c:pt>
                <c:pt idx="2">
                  <c:v>7.179603470752089E-6</c:v>
                </c:pt>
                <c:pt idx="3">
                  <c:v>7.4013346239554317E-6</c:v>
                </c:pt>
                <c:pt idx="4">
                  <c:v>1.8038891671309193E-6</c:v>
                </c:pt>
                <c:pt idx="5">
                  <c:v>1.4864996462395543E-5</c:v>
                </c:pt>
                <c:pt idx="6">
                  <c:v>2.9348548454038997E-5</c:v>
                </c:pt>
                <c:pt idx="7">
                  <c:v>4.5033526518105854E-6</c:v>
                </c:pt>
                <c:pt idx="8">
                  <c:v>1.348189415041783E-6</c:v>
                </c:pt>
                <c:pt idx="9">
                  <c:v>2.0692043604456825E-5</c:v>
                </c:pt>
                <c:pt idx="10">
                  <c:v>7.0194986072423398E-8</c:v>
                </c:pt>
                <c:pt idx="11">
                  <c:v>1.5376044568245126E-7</c:v>
                </c:pt>
                <c:pt idx="12">
                  <c:v>3.041782729805014E-7</c:v>
                </c:pt>
                <c:pt idx="13">
                  <c:v>4.277465181058496E-7</c:v>
                </c:pt>
                <c:pt idx="14">
                  <c:v>3.6238718662952649E-7</c:v>
                </c:pt>
                <c:pt idx="15">
                  <c:v>6.7652089136490251E-7</c:v>
                </c:pt>
                <c:pt idx="16">
                  <c:v>3.0001949860724235E-7</c:v>
                </c:pt>
                <c:pt idx="17">
                  <c:v>9.4552646239554316E-7</c:v>
                </c:pt>
                <c:pt idx="18">
                  <c:v>4.7456545961002787E-7</c:v>
                </c:pt>
                <c:pt idx="19">
                  <c:v>2.656966573816156E-6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E-7C4A-BC9D-1DBF121272A7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[1]Sheet2!$P$23:$P$42</c:f>
                <c:numCache>
                  <c:formatCode>General</c:formatCode>
                  <c:ptCount val="20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3.5542901618033006E-7</c:v>
                  </c:pt>
                  <c:pt idx="10">
                    <c:v>4.21505376344086E-9</c:v>
                  </c:pt>
                  <c:pt idx="11">
                    <c:v>1.4060387561964848E-8</c:v>
                  </c:pt>
                  <c:pt idx="12">
                    <c:v>2.4846536100555392E-8</c:v>
                  </c:pt>
                  <c:pt idx="13">
                    <c:v>3.2875134496012725E-8</c:v>
                  </c:pt>
                  <c:pt idx="14">
                    <c:v>2.8715420923975363E-8</c:v>
                  </c:pt>
                  <c:pt idx="15">
                    <c:v>4.7536677836157935E-8</c:v>
                  </c:pt>
                  <c:pt idx="16">
                    <c:v>2.4587724505903801E-8</c:v>
                  </c:pt>
                  <c:pt idx="17">
                    <c:v>6.1889544519485208E-8</c:v>
                  </c:pt>
                  <c:pt idx="18">
                    <c:v>3.5764914442767053E-8</c:v>
                  </c:pt>
                  <c:pt idx="19">
                    <c:v>1.3456192077538062E-7</c:v>
                  </c:pt>
                </c:numCache>
              </c:numRef>
            </c:plus>
            <c:minus>
              <c:numRef>
                <c:f>[1]Sheet2!$P$23:$P$42</c:f>
                <c:numCache>
                  <c:formatCode>General</c:formatCode>
                  <c:ptCount val="20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3.5542901618033006E-7</c:v>
                  </c:pt>
                  <c:pt idx="10">
                    <c:v>4.21505376344086E-9</c:v>
                  </c:pt>
                  <c:pt idx="11">
                    <c:v>1.4060387561964848E-8</c:v>
                  </c:pt>
                  <c:pt idx="12">
                    <c:v>2.4846536100555392E-8</c:v>
                  </c:pt>
                  <c:pt idx="13">
                    <c:v>3.2875134496012725E-8</c:v>
                  </c:pt>
                  <c:pt idx="14">
                    <c:v>2.8715420923975363E-8</c:v>
                  </c:pt>
                  <c:pt idx="15">
                    <c:v>4.7536677836157935E-8</c:v>
                  </c:pt>
                  <c:pt idx="16">
                    <c:v>2.4587724505903801E-8</c:v>
                  </c:pt>
                  <c:pt idx="17">
                    <c:v>6.1889544519485208E-8</c:v>
                  </c:pt>
                  <c:pt idx="18">
                    <c:v>3.5764914442767053E-8</c:v>
                  </c:pt>
                  <c:pt idx="19">
                    <c:v>1.3456192077538062E-7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[1]Sheet2!$C$23:$C$42</c:f>
              <c:strCache>
                <c:ptCount val="20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FDXA</c:v>
                </c:pt>
                <c:pt idx="10">
                  <c:v>FDX</c:v>
                </c:pt>
                <c:pt idx="11">
                  <c:v>FDX</c:v>
                </c:pt>
                <c:pt idx="12">
                  <c:v>FDX</c:v>
                </c:pt>
                <c:pt idx="13">
                  <c:v>ZMO1808</c:v>
                </c:pt>
                <c:pt idx="14">
                  <c:v>ZMO1809</c:v>
                </c:pt>
                <c:pt idx="15">
                  <c:v>ZMO1810</c:v>
                </c:pt>
                <c:pt idx="16">
                  <c:v>ZMO1811</c:v>
                </c:pt>
                <c:pt idx="17">
                  <c:v>ZMO1812</c:v>
                </c:pt>
                <c:pt idx="18">
                  <c:v>ZMO1813</c:v>
                </c:pt>
                <c:pt idx="19">
                  <c:v>ZMO1814</c:v>
                </c:pt>
              </c:strCache>
            </c:strRef>
          </c:cat>
          <c:val>
            <c:numRef>
              <c:f>[1]Sheet2!$O$23:$O$42</c:f>
              <c:numCache>
                <c:formatCode>General</c:formatCode>
                <c:ptCount val="20"/>
                <c:pt idx="0">
                  <c:v>1.8097435106453549E-7</c:v>
                </c:pt>
                <c:pt idx="1">
                  <c:v>3.5759084072042163E-6</c:v>
                </c:pt>
                <c:pt idx="2">
                  <c:v>5.5663918746149829E-6</c:v>
                </c:pt>
                <c:pt idx="3">
                  <c:v>5.7383014376990713E-6</c:v>
                </c:pt>
                <c:pt idx="4">
                  <c:v>1.3985666534284624E-6</c:v>
                </c:pt>
                <c:pt idx="5">
                  <c:v>1.152492555789253E-5</c:v>
                </c:pt>
                <c:pt idx="6">
                  <c:v>2.2754114813120263E-5</c:v>
                </c:pt>
                <c:pt idx="7">
                  <c:v>4.3083497000719311E-6</c:v>
                </c:pt>
                <c:pt idx="8">
                  <c:v>1.0337618847484315E-6</c:v>
                </c:pt>
                <c:pt idx="9">
                  <c:v>1.7218636036498328E-5</c:v>
                </c:pt>
                <c:pt idx="10">
                  <c:v>5.3789247311827955E-8</c:v>
                </c:pt>
                <c:pt idx="11">
                  <c:v>2.1901757548445245E-7</c:v>
                </c:pt>
                <c:pt idx="12">
                  <c:v>4.3262204033908217E-7</c:v>
                </c:pt>
                <c:pt idx="13">
                  <c:v>6.0936987870452012E-7</c:v>
                </c:pt>
                <c:pt idx="14">
                  <c:v>5.1625677733136231E-7</c:v>
                </c:pt>
                <c:pt idx="15">
                  <c:v>9.6377223810050456E-7</c:v>
                </c:pt>
                <c:pt idx="16">
                  <c:v>4.274091368779023E-7</c:v>
                </c:pt>
                <c:pt idx="17">
                  <c:v>1.3470003634069508E-6</c:v>
                </c:pt>
                <c:pt idx="18">
                  <c:v>6.7606819783515206E-7</c:v>
                </c:pt>
                <c:pt idx="19">
                  <c:v>3.7851235695841523E-6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DE-7C4A-BC9D-1DBF12127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[1]Sheet2!$E$57:$E$70</c:f>
              <c:numCache>
                <c:formatCode>General</c:formatCode>
                <c:ptCount val="14"/>
                <c:pt idx="0">
                  <c:v>2.5259291966573819E-5</c:v>
                </c:pt>
                <c:pt idx="1">
                  <c:v>4.6604429880222839E-5</c:v>
                </c:pt>
                <c:pt idx="2">
                  <c:v>7.6880287938718668E-6</c:v>
                </c:pt>
                <c:pt idx="3">
                  <c:v>4.4019330598885798E-5</c:v>
                </c:pt>
                <c:pt idx="4">
                  <c:v>5.0335501841225631E-5</c:v>
                </c:pt>
                <c:pt idx="5">
                  <c:v>1.4673345401114206E-5</c:v>
                </c:pt>
                <c:pt idx="6">
                  <c:v>2.1961948328690809E-6</c:v>
                </c:pt>
                <c:pt idx="7">
                  <c:v>2.204932468913649E-4</c:v>
                </c:pt>
                <c:pt idx="8">
                  <c:v>6.2644104646239555E-5</c:v>
                </c:pt>
                <c:pt idx="9">
                  <c:v>6.8383175172701959E-5</c:v>
                </c:pt>
                <c:pt idx="10">
                  <c:v>1.1201743318384401E-4</c:v>
                </c:pt>
                <c:pt idx="11">
                  <c:v>1.4825290432869082E-4</c:v>
                </c:pt>
                <c:pt idx="12">
                  <c:v>1.9351916936490252E-4</c:v>
                </c:pt>
                <c:pt idx="13">
                  <c:v>7.5712466264623953E-5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6D-4248-B731-865FC9C8EB56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[2]ProteinComp_Anal!$G$36:$G$49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plus>
            <c:minus>
              <c:numRef>
                <c:f>[2]ProteinComp_Anal!$G$36:$G$49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[1]Sheet2!$D$57:$D$70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[1]Sheet2!$F$57:$F$70</c:f>
              <c:numCache>
                <c:formatCode>General</c:formatCode>
                <c:ptCount val="14"/>
                <c:pt idx="0">
                  <c:v>2.5162826034217326E-5</c:v>
                </c:pt>
                <c:pt idx="1">
                  <c:v>4.6433825013844236E-5</c:v>
                </c:pt>
                <c:pt idx="2">
                  <c:v>7.6598852218989575E-6</c:v>
                </c:pt>
                <c:pt idx="3">
                  <c:v>4.3858189007422885E-5</c:v>
                </c:pt>
                <c:pt idx="4">
                  <c:v>5.0151238638631813E-5</c:v>
                </c:pt>
                <c:pt idx="5">
                  <c:v>1.4312035420422808E-5</c:v>
                </c:pt>
                <c:pt idx="6">
                  <c:v>2.2023123677521908E-6</c:v>
                </c:pt>
                <c:pt idx="7">
                  <c:v>2.1983523171661431E-4</c:v>
                </c:pt>
                <c:pt idx="8">
                  <c:v>6.2457155101361755E-5</c:v>
                </c:pt>
                <c:pt idx="9">
                  <c:v>6.8253223418885916E-5</c:v>
                </c:pt>
                <c:pt idx="10">
                  <c:v>1.1180456120706036E-4</c:v>
                </c:pt>
                <c:pt idx="11">
                  <c:v>1.4876930250187686E-4</c:v>
                </c:pt>
                <c:pt idx="12">
                  <c:v>1.9293498422922166E-4</c:v>
                </c:pt>
                <c:pt idx="13">
                  <c:v>7.5507071431189882E-5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6D-4248-B731-865FC9C8E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[1]Sheet2!$I$57:$I$67</c:f>
              <c:strCache>
                <c:ptCount val="11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</c:v>
                </c:pt>
                <c:pt idx="10">
                  <c:v>RNF</c:v>
                </c:pt>
              </c:strCache>
            </c:strRef>
          </c:cat>
          <c:val>
            <c:numRef>
              <c:f>[1]Sheet2!$J$57:$J$67</c:f>
              <c:numCache>
                <c:formatCode>General</c:formatCode>
                <c:ptCount val="11"/>
                <c:pt idx="0">
                  <c:v>1.8147855153203343E-7</c:v>
                </c:pt>
                <c:pt idx="1">
                  <c:v>4.6616434540389972E-6</c:v>
                </c:pt>
                <c:pt idx="2">
                  <c:v>7.179603470752089E-6</c:v>
                </c:pt>
                <c:pt idx="3">
                  <c:v>7.4013346239554317E-6</c:v>
                </c:pt>
                <c:pt idx="4">
                  <c:v>1.8038891671309193E-6</c:v>
                </c:pt>
                <c:pt idx="5">
                  <c:v>1.4864996462395543E-5</c:v>
                </c:pt>
                <c:pt idx="6">
                  <c:v>2.9348548454038997E-5</c:v>
                </c:pt>
                <c:pt idx="7">
                  <c:v>4.5033526518105854E-6</c:v>
                </c:pt>
                <c:pt idx="8">
                  <c:v>1.348189415041783E-6</c:v>
                </c:pt>
                <c:pt idx="9">
                  <c:v>2.1220177309192201E-5</c:v>
                </c:pt>
                <c:pt idx="10">
                  <c:v>5.8437325905292477E-6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C-E342-A23E-993EAC472E17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[1]Sheet2!$L$57:$L$67</c:f>
                <c:numCache>
                  <c:formatCode>General</c:formatCode>
                  <c:ptCount val="11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3.9855099360629118E-7</c:v>
                  </c:pt>
                  <c:pt idx="10">
                    <c:v>3.6593133749968266E-7</c:v>
                  </c:pt>
                </c:numCache>
              </c:numRef>
            </c:plus>
            <c:minus>
              <c:numRef>
                <c:f>[1]Sheet2!$L$57:$L$67</c:f>
                <c:numCache>
                  <c:formatCode>General</c:formatCode>
                  <c:ptCount val="11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3.9855099360629118E-7</c:v>
                  </c:pt>
                  <c:pt idx="10">
                    <c:v>3.6593133749968266E-7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[1]Sheet2!$I$57:$I$67</c:f>
              <c:strCache>
                <c:ptCount val="11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</c:v>
                </c:pt>
                <c:pt idx="10">
                  <c:v>RNF</c:v>
                </c:pt>
              </c:strCache>
            </c:strRef>
          </c:cat>
          <c:val>
            <c:numRef>
              <c:f>[1]Sheet2!$K$57:$K$67</c:f>
              <c:numCache>
                <c:formatCode>General</c:formatCode>
                <c:ptCount val="11"/>
                <c:pt idx="0">
                  <c:v>1.8097435106453549E-7</c:v>
                </c:pt>
                <c:pt idx="1">
                  <c:v>3.5759084072042163E-6</c:v>
                </c:pt>
                <c:pt idx="2">
                  <c:v>5.5663918746149829E-6</c:v>
                </c:pt>
                <c:pt idx="3">
                  <c:v>5.7383014376990713E-6</c:v>
                </c:pt>
                <c:pt idx="4">
                  <c:v>1.3985666534284624E-6</c:v>
                </c:pt>
                <c:pt idx="5">
                  <c:v>1.152492555789253E-5</c:v>
                </c:pt>
                <c:pt idx="6">
                  <c:v>2.2754114813120263E-5</c:v>
                </c:pt>
                <c:pt idx="7">
                  <c:v>4.3083497000719311E-6</c:v>
                </c:pt>
                <c:pt idx="8">
                  <c:v>1.0337618847484315E-6</c:v>
                </c:pt>
                <c:pt idx="9">
                  <c:v>1.7924064899633691E-5</c:v>
                </c:pt>
                <c:pt idx="10">
                  <c:v>8.3250001618405446E-6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9C-E342-A23E-993EAC472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[5]Sheet2!$D$57:$D$70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[5]Sheet2!$E$57:$E$70</c:f>
              <c:numCache>
                <c:formatCode>General</c:formatCode>
                <c:ptCount val="14"/>
                <c:pt idx="0">
                  <c:v>2.5259291966573819E-5</c:v>
                </c:pt>
                <c:pt idx="1">
                  <c:v>4.660422175208914E-5</c:v>
                </c:pt>
                <c:pt idx="2">
                  <c:v>7.6879944596100283E-6</c:v>
                </c:pt>
                <c:pt idx="3">
                  <c:v>4.4019134016713098E-5</c:v>
                </c:pt>
                <c:pt idx="4">
                  <c:v>5.033527705292479E-5</c:v>
                </c:pt>
                <c:pt idx="5">
                  <c:v>1.4681841002785515E-5</c:v>
                </c:pt>
                <c:pt idx="6">
                  <c:v>2.1961948328690809E-6</c:v>
                </c:pt>
                <c:pt idx="7">
                  <c:v>2.2031688958217273E-4</c:v>
                </c:pt>
                <c:pt idx="8">
                  <c:v>6.259399974094708E-5</c:v>
                </c:pt>
                <c:pt idx="9">
                  <c:v>6.8310850740947078E-5</c:v>
                </c:pt>
                <c:pt idx="10">
                  <c:v>1.1189895964066853E-4</c:v>
                </c:pt>
                <c:pt idx="11">
                  <c:v>1.4812917530083566E-4</c:v>
                </c:pt>
                <c:pt idx="12">
                  <c:v>1.9364301830362119E-4</c:v>
                </c:pt>
                <c:pt idx="13">
                  <c:v>7.5750931983286903E-5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8-6741-95FD-0F786AD1FF94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[2]ProteinComp_Anal!$G$36:$G$49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plus>
            <c:minus>
              <c:numRef>
                <c:f>[2]ProteinComp_Anal!$G$36:$G$49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[5]Sheet2!$D$57:$D$70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[5]Sheet2!$F$57:$F$70</c:f>
              <c:numCache>
                <c:formatCode>General</c:formatCode>
                <c:ptCount val="14"/>
                <c:pt idx="0">
                  <c:v>2.5162826034217326E-5</c:v>
                </c:pt>
                <c:pt idx="1">
                  <c:v>4.6433825013844236E-5</c:v>
                </c:pt>
                <c:pt idx="2">
                  <c:v>7.6598852218989575E-6</c:v>
                </c:pt>
                <c:pt idx="3">
                  <c:v>4.3858189007422885E-5</c:v>
                </c:pt>
                <c:pt idx="4">
                  <c:v>5.0151238638631813E-5</c:v>
                </c:pt>
                <c:pt idx="5">
                  <c:v>1.4312035420422808E-5</c:v>
                </c:pt>
                <c:pt idx="6">
                  <c:v>2.2023123677521908E-6</c:v>
                </c:pt>
                <c:pt idx="7">
                  <c:v>2.1983523171661431E-4</c:v>
                </c:pt>
                <c:pt idx="8">
                  <c:v>6.2457155101361755E-5</c:v>
                </c:pt>
                <c:pt idx="9">
                  <c:v>6.8253223418885916E-5</c:v>
                </c:pt>
                <c:pt idx="10">
                  <c:v>1.1180456120706036E-4</c:v>
                </c:pt>
                <c:pt idx="11">
                  <c:v>1.4876930250187686E-4</c:v>
                </c:pt>
                <c:pt idx="12">
                  <c:v>1.9293498422922166E-4</c:v>
                </c:pt>
                <c:pt idx="13">
                  <c:v>7.5507071431189882E-5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68-6741-95FD-0F786AD1F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[5]Sheet2!$I$57:$I$67</c:f>
              <c:strCache>
                <c:ptCount val="11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</c:v>
                </c:pt>
                <c:pt idx="9">
                  <c:v>FDX</c:v>
                </c:pt>
                <c:pt idx="10">
                  <c:v>RNF</c:v>
                </c:pt>
              </c:strCache>
            </c:strRef>
          </c:cat>
          <c:val>
            <c:numRef>
              <c:f>[5]Sheet2!$J$57:$J$67</c:f>
              <c:numCache>
                <c:formatCode>General</c:formatCode>
                <c:ptCount val="11"/>
                <c:pt idx="0">
                  <c:v>#N/A</c:v>
                </c:pt>
                <c:pt idx="1">
                  <c:v>6.4616793871866304E-6</c:v>
                </c:pt>
                <c:pt idx="2">
                  <c:v>9.5833258969359343E-6</c:v>
                </c:pt>
                <c:pt idx="3">
                  <c:v>9.8792923676880224E-6</c:v>
                </c:pt>
                <c:pt idx="4">
                  <c:v>2.4078290445682456E-6</c:v>
                </c:pt>
                <c:pt idx="5">
                  <c:v>1.984177902506964E-5</c:v>
                </c:pt>
                <c:pt idx="6">
                  <c:v>3.917440644011142E-5</c:v>
                </c:pt>
                <c:pt idx="7">
                  <c:v>6.7818216518105859E-6</c:v>
                </c:pt>
                <c:pt idx="8">
                  <c:v>4.2760793788300838E-6</c:v>
                </c:pt>
                <c:pt idx="9">
                  <c:v>2.8438198362116993E-5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F-5E4F-BB83-F76EF3DE5128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[5]Sheet2!$L$57:$L$67</c:f>
                <c:numCache>
                  <c:formatCode>General</c:formatCode>
                  <c:ptCount val="11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3.9855099360629118E-7</c:v>
                  </c:pt>
                  <c:pt idx="10">
                    <c:v>3.6593133749968266E-7</c:v>
                  </c:pt>
                </c:numCache>
              </c:numRef>
            </c:plus>
            <c:minus>
              <c:numRef>
                <c:f>[5]Sheet2!$L$57:$L$67</c:f>
                <c:numCache>
                  <c:formatCode>General</c:formatCode>
                  <c:ptCount val="11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3.9855099360629118E-7</c:v>
                  </c:pt>
                  <c:pt idx="10">
                    <c:v>3.6593133749968266E-7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[5]Sheet2!$I$57:$I$67</c:f>
              <c:strCache>
                <c:ptCount val="11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</c:v>
                </c:pt>
                <c:pt idx="9">
                  <c:v>FDX</c:v>
                </c:pt>
                <c:pt idx="10">
                  <c:v>RNF</c:v>
                </c:pt>
              </c:strCache>
            </c:strRef>
          </c:cat>
          <c:val>
            <c:numRef>
              <c:f>[5]Sheet2!$K$57:$K$67</c:f>
              <c:numCache>
                <c:formatCode>General</c:formatCode>
                <c:ptCount val="11"/>
                <c:pt idx="0">
                  <c:v>1.8097435106453549E-7</c:v>
                </c:pt>
                <c:pt idx="1">
                  <c:v>3.5759084072042163E-6</c:v>
                </c:pt>
                <c:pt idx="2">
                  <c:v>5.5663918746149829E-6</c:v>
                </c:pt>
                <c:pt idx="3">
                  <c:v>5.7383014376990713E-6</c:v>
                </c:pt>
                <c:pt idx="4">
                  <c:v>1.3985666534284624E-6</c:v>
                </c:pt>
                <c:pt idx="5">
                  <c:v>1.152492555789253E-5</c:v>
                </c:pt>
                <c:pt idx="6">
                  <c:v>2.2754114813120263E-5</c:v>
                </c:pt>
                <c:pt idx="7">
                  <c:v>4.3083497000719311E-6</c:v>
                </c:pt>
                <c:pt idx="8">
                  <c:v>1.0337618847484315E-6</c:v>
                </c:pt>
                <c:pt idx="9">
                  <c:v>1.7924064899633691E-5</c:v>
                </c:pt>
                <c:pt idx="10">
                  <c:v>8.3250001618405446E-6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F-5E4F-BB83-F76EF3DE5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[6]Sheet2!$D$54:$D$67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[6]Sheet2!$E$54:$E$67</c:f>
              <c:numCache>
                <c:formatCode>General</c:formatCode>
                <c:ptCount val="14"/>
                <c:pt idx="0">
                  <c:v>2.5259291966573819E-5</c:v>
                </c:pt>
                <c:pt idx="1">
                  <c:v>4.66042149275766E-5</c:v>
                </c:pt>
                <c:pt idx="2">
                  <c:v>7.6879933342618379E-6</c:v>
                </c:pt>
                <c:pt idx="3">
                  <c:v>4.4019127568245125E-5</c:v>
                </c:pt>
                <c:pt idx="4">
                  <c:v>5.0335269679665743E-5</c:v>
                </c:pt>
                <c:pt idx="5">
                  <c:v>1.4682119612813372E-5</c:v>
                </c:pt>
                <c:pt idx="6">
                  <c:v>2.1961948328690809E-6</c:v>
                </c:pt>
                <c:pt idx="7">
                  <c:v>2.2031869117827301E-4</c:v>
                </c:pt>
                <c:pt idx="8">
                  <c:v>6.2594511593314767E-5</c:v>
                </c:pt>
                <c:pt idx="9">
                  <c:v>6.831144193871867E-5</c:v>
                </c:pt>
                <c:pt idx="10">
                  <c:v>1.118999280724234E-4</c:v>
                </c:pt>
                <c:pt idx="11">
                  <c:v>1.48129683637883E-4</c:v>
                </c:pt>
                <c:pt idx="12">
                  <c:v>1.9364483632311978E-4</c:v>
                </c:pt>
                <c:pt idx="13">
                  <c:v>7.5751720381615607E-5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9-1343-BEB1-E9B45674EFE0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[2]ProteinComp_Anal!$G$36:$G$49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plus>
            <c:minus>
              <c:numRef>
                <c:f>[2]ProteinComp_Anal!$G$36:$G$49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[6]Sheet2!$D$54:$D$67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[6]Sheet2!$F$54:$F$67</c:f>
              <c:numCache>
                <c:formatCode>General</c:formatCode>
                <c:ptCount val="14"/>
                <c:pt idx="0">
                  <c:v>2.5162826034217326E-5</c:v>
                </c:pt>
                <c:pt idx="1">
                  <c:v>4.6433825013844236E-5</c:v>
                </c:pt>
                <c:pt idx="2">
                  <c:v>7.6598852218989575E-6</c:v>
                </c:pt>
                <c:pt idx="3">
                  <c:v>4.3858189007422885E-5</c:v>
                </c:pt>
                <c:pt idx="4">
                  <c:v>5.0151238638631813E-5</c:v>
                </c:pt>
                <c:pt idx="5">
                  <c:v>1.4312035420422808E-5</c:v>
                </c:pt>
                <c:pt idx="6">
                  <c:v>2.2023123677521908E-6</c:v>
                </c:pt>
                <c:pt idx="7">
                  <c:v>2.1983523171661431E-4</c:v>
                </c:pt>
                <c:pt idx="8">
                  <c:v>6.2457155101361755E-5</c:v>
                </c:pt>
                <c:pt idx="9">
                  <c:v>6.8253223418885916E-5</c:v>
                </c:pt>
                <c:pt idx="10">
                  <c:v>1.1180456120706036E-4</c:v>
                </c:pt>
                <c:pt idx="11">
                  <c:v>1.4876930250187686E-4</c:v>
                </c:pt>
                <c:pt idx="12">
                  <c:v>1.9293498422922166E-4</c:v>
                </c:pt>
                <c:pt idx="13">
                  <c:v>7.5507071431189882E-5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D9-1343-BEB1-E9B45674E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[6]Sheet2!$C$23:$C$39</c:f>
              <c:strCache>
                <c:ptCount val="17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FDXA</c:v>
                </c:pt>
                <c:pt idx="10">
                  <c:v>RNF</c:v>
                </c:pt>
                <c:pt idx="11">
                  <c:v>RNF</c:v>
                </c:pt>
                <c:pt idx="12">
                  <c:v>RNF</c:v>
                </c:pt>
                <c:pt idx="13">
                  <c:v>RNF</c:v>
                </c:pt>
                <c:pt idx="14">
                  <c:v>RNF</c:v>
                </c:pt>
                <c:pt idx="15">
                  <c:v>RNF</c:v>
                </c:pt>
                <c:pt idx="16">
                  <c:v>RNF</c:v>
                </c:pt>
              </c:strCache>
            </c:strRef>
          </c:cat>
          <c:val>
            <c:numRef>
              <c:f>[6]Sheet2!$G$23:$G$39</c:f>
              <c:numCache>
                <c:formatCode>General</c:formatCode>
                <c:ptCount val="17"/>
                <c:pt idx="0">
                  <c:v>#N/A</c:v>
                </c:pt>
                <c:pt idx="1">
                  <c:v>6.4449945348189411E-6</c:v>
                </c:pt>
                <c:pt idx="2">
                  <c:v>9.5585471949860733E-6</c:v>
                </c:pt>
                <c:pt idx="3">
                  <c:v>9.8537484150417835E-6</c:v>
                </c:pt>
                <c:pt idx="4">
                  <c:v>2.4016033481894151E-6</c:v>
                </c:pt>
                <c:pt idx="5">
                  <c:v>1.9790476008356547E-5</c:v>
                </c:pt>
                <c:pt idx="6">
                  <c:v>3.9073116871866301E-5</c:v>
                </c:pt>
                <c:pt idx="7">
                  <c:v>6.7665490557103067E-6</c:v>
                </c:pt>
                <c:pt idx="8">
                  <c:v>4.2760793788300838E-6</c:v>
                </c:pt>
                <c:pt idx="9">
                  <c:v>2.8361215153203344E-5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3-4040-938F-007A6DD6EA96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[4]Sheet2!$P$23:$P$39</c:f>
                <c:numCache>
                  <c:formatCode>General</c:formatCode>
                  <c:ptCount val="17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3.5542901618033006E-7</c:v>
                  </c:pt>
                  <c:pt idx="10">
                    <c:v>4.21505376344086E-9</c:v>
                  </c:pt>
                  <c:pt idx="11">
                    <c:v>1.4060387561964848E-8</c:v>
                  </c:pt>
                  <c:pt idx="12">
                    <c:v>2.4846536100555392E-8</c:v>
                  </c:pt>
                  <c:pt idx="13">
                    <c:v>3.2875134496012725E-8</c:v>
                  </c:pt>
                  <c:pt idx="14">
                    <c:v>2.8715420923975363E-8</c:v>
                  </c:pt>
                  <c:pt idx="15">
                    <c:v>4.7536677836157935E-8</c:v>
                  </c:pt>
                  <c:pt idx="16">
                    <c:v>2.4587724505903801E-8</c:v>
                  </c:pt>
                </c:numCache>
              </c:numRef>
            </c:plus>
            <c:minus>
              <c:numRef>
                <c:f>[4]Sheet2!$P$23:$P$39</c:f>
                <c:numCache>
                  <c:formatCode>General</c:formatCode>
                  <c:ptCount val="17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3.5542901618033006E-7</c:v>
                  </c:pt>
                  <c:pt idx="10">
                    <c:v>4.21505376344086E-9</c:v>
                  </c:pt>
                  <c:pt idx="11">
                    <c:v>1.4060387561964848E-8</c:v>
                  </c:pt>
                  <c:pt idx="12">
                    <c:v>2.4846536100555392E-8</c:v>
                  </c:pt>
                  <c:pt idx="13">
                    <c:v>3.2875134496012725E-8</c:v>
                  </c:pt>
                  <c:pt idx="14">
                    <c:v>2.8715420923975363E-8</c:v>
                  </c:pt>
                  <c:pt idx="15">
                    <c:v>4.7536677836157935E-8</c:v>
                  </c:pt>
                  <c:pt idx="16">
                    <c:v>2.4587724505903801E-8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[6]Sheet2!$C$23:$C$39</c:f>
              <c:strCache>
                <c:ptCount val="17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FDXA</c:v>
                </c:pt>
                <c:pt idx="10">
                  <c:v>RNF</c:v>
                </c:pt>
                <c:pt idx="11">
                  <c:v>RNF</c:v>
                </c:pt>
                <c:pt idx="12">
                  <c:v>RNF</c:v>
                </c:pt>
                <c:pt idx="13">
                  <c:v>RNF</c:v>
                </c:pt>
                <c:pt idx="14">
                  <c:v>RNF</c:v>
                </c:pt>
                <c:pt idx="15">
                  <c:v>RNF</c:v>
                </c:pt>
                <c:pt idx="16">
                  <c:v>RNF</c:v>
                </c:pt>
              </c:strCache>
            </c:strRef>
          </c:cat>
          <c:val>
            <c:numRef>
              <c:f>[6]Sheet2!$O$23:$O$39</c:f>
              <c:numCache>
                <c:formatCode>General</c:formatCode>
                <c:ptCount val="17"/>
                <c:pt idx="0">
                  <c:v>1.8097435106453549E-7</c:v>
                </c:pt>
                <c:pt idx="1">
                  <c:v>3.5759084072042163E-6</c:v>
                </c:pt>
                <c:pt idx="2">
                  <c:v>5.5663918746149829E-6</c:v>
                </c:pt>
                <c:pt idx="3">
                  <c:v>5.7383014376990713E-6</c:v>
                </c:pt>
                <c:pt idx="4">
                  <c:v>1.3985666534284624E-6</c:v>
                </c:pt>
                <c:pt idx="5">
                  <c:v>1.152492555789253E-5</c:v>
                </c:pt>
                <c:pt idx="6">
                  <c:v>2.2754114813120263E-5</c:v>
                </c:pt>
                <c:pt idx="7">
                  <c:v>4.3083497000719311E-6</c:v>
                </c:pt>
                <c:pt idx="8">
                  <c:v>1.0337618847484315E-6</c:v>
                </c:pt>
                <c:pt idx="9">
                  <c:v>1.7218636036498328E-5</c:v>
                </c:pt>
                <c:pt idx="10">
                  <c:v>6.0936987870452012E-7</c:v>
                </c:pt>
                <c:pt idx="11">
                  <c:v>5.1625677733136231E-7</c:v>
                </c:pt>
                <c:pt idx="12">
                  <c:v>9.6377223810050456E-7</c:v>
                </c:pt>
                <c:pt idx="13">
                  <c:v>4.274091368779023E-7</c:v>
                </c:pt>
                <c:pt idx="14">
                  <c:v>1.3470003634069508E-6</c:v>
                </c:pt>
                <c:pt idx="15">
                  <c:v>6.7606819783515206E-7</c:v>
                </c:pt>
                <c:pt idx="16">
                  <c:v>3.7851235695841523E-6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93-4040-938F-007A6DD6E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2.5259291966573819E-5</c:v>
              </c:pt>
              <c:pt idx="1">
                <c:v>4.6604955178272987E-5</c:v>
              </c:pt>
              <c:pt idx="2">
                <c:v>7.6881154484679665E-6</c:v>
              </c:pt>
              <c:pt idx="3">
                <c:v>4.4019826760445681E-5</c:v>
              </c:pt>
              <c:pt idx="4">
                <c:v>5.0336069194986072E-5</c:v>
              </c:pt>
              <c:pt idx="5">
                <c:v>1.465190302506964E-5</c:v>
              </c:pt>
              <c:pt idx="6">
                <c:v>2.1961948328690809E-6</c:v>
              </c:pt>
              <c:pt idx="7">
                <c:v>2.2033086004735378E-4</c:v>
              </c:pt>
              <c:pt idx="8">
                <c:v>6.2597968891364909E-5</c:v>
              </c:pt>
              <c:pt idx="9">
                <c:v>6.8314281075208922E-5</c:v>
              </c:pt>
              <c:pt idx="10">
                <c:v>1.1190457882172703E-4</c:v>
              </c:pt>
              <c:pt idx="11">
                <c:v>1.4813759247353761E-4</c:v>
              </c:pt>
              <c:pt idx="12">
                <c:v>1.9364364950417829E-4</c:v>
              </c:pt>
              <c:pt idx="13">
                <c:v>4.2860858231197778E-5</c:v>
              </c:pt>
            </c:numLit>
          </c:val>
          <c:extLst>
            <c:ext xmlns:c16="http://schemas.microsoft.com/office/drawing/2014/chart" uri="{C3380CC4-5D6E-409C-BE32-E72D297353CC}">
              <c16:uniqueId val="{00000000-3C96-9043-B286-4E5458DA0884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plus>
            <c:min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2.5162826034217326E-5</c:v>
              </c:pt>
              <c:pt idx="1">
                <c:v>4.6433825013844236E-5</c:v>
              </c:pt>
              <c:pt idx="2">
                <c:v>7.6598852218989575E-6</c:v>
              </c:pt>
              <c:pt idx="3">
                <c:v>4.3858189007422885E-5</c:v>
              </c:pt>
              <c:pt idx="4">
                <c:v>5.0151238638631813E-5</c:v>
              </c:pt>
              <c:pt idx="5">
                <c:v>1.4312035420422808E-5</c:v>
              </c:pt>
              <c:pt idx="6">
                <c:v>2.2023123677521908E-6</c:v>
              </c:pt>
              <c:pt idx="7">
                <c:v>2.1983523171661431E-4</c:v>
              </c:pt>
              <c:pt idx="8">
                <c:v>6.2457155101361755E-5</c:v>
              </c:pt>
              <c:pt idx="9">
                <c:v>6.8253223418885916E-5</c:v>
              </c:pt>
              <c:pt idx="10">
                <c:v>1.1180456120706036E-4</c:v>
              </c:pt>
              <c:pt idx="11">
                <c:v>1.4876930250187686E-4</c:v>
              </c:pt>
              <c:pt idx="12">
                <c:v>1.9293498422922166E-4</c:v>
              </c:pt>
              <c:pt idx="13">
                <c:v>7.5507071431189882E-5</c:v>
              </c:pt>
            </c:numLit>
          </c:val>
          <c:extLst>
            <c:ext xmlns:c16="http://schemas.microsoft.com/office/drawing/2014/chart" uri="{C3380CC4-5D6E-409C-BE32-E72D297353CC}">
              <c16:uniqueId val="{00000001-3C96-9043-B286-4E5458DA0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RNF</c:v>
              </c:pt>
              <c:pt idx="11">
                <c:v>RNF</c:v>
              </c:pt>
              <c:pt idx="12">
                <c:v>RNF</c:v>
              </c:pt>
              <c:pt idx="13">
                <c:v>RNF</c:v>
              </c:pt>
              <c:pt idx="14">
                <c:v>RNF</c:v>
              </c:pt>
              <c:pt idx="15">
                <c:v>RNF</c:v>
              </c:pt>
              <c:pt idx="16">
                <c:v>RNF</c:v>
              </c:pt>
            </c:strLit>
          </c:cat>
          <c:val>
            <c:numLit>
              <c:formatCode>General</c:formatCode>
              <c:ptCount val="17"/>
              <c:pt idx="0">
                <c:v>#N/A</c:v>
              </c:pt>
              <c:pt idx="1">
                <c:v>6.3928218523676886E-6</c:v>
              </c:pt>
              <c:pt idx="2">
                <c:v>9.4810654568245135E-6</c:v>
              </c:pt>
              <c:pt idx="3">
                <c:v>7.8548936685236784E-6</c:v>
              </c:pt>
              <c:pt idx="4">
                <c:v>2.3821359108635099E-6</c:v>
              </c:pt>
              <c:pt idx="5">
                <c:v>1.9630054091922005E-5</c:v>
              </c:pt>
              <c:pt idx="6">
                <c:v>3.8756389557103067E-5</c:v>
              </c:pt>
              <c:pt idx="7">
                <c:v>8.1961629025069635E-6</c:v>
              </c:pt>
              <c:pt idx="8">
                <c:v>3.1017596072423397E-6</c:v>
              </c:pt>
              <c:pt idx="9">
                <c:v>2.356481155988858E-5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0-6F05-634A-B7E3-4D5C491B029A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plus>
            <c:min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7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RNF</c:v>
              </c:pt>
              <c:pt idx="11">
                <c:v>RNF</c:v>
              </c:pt>
              <c:pt idx="12">
                <c:v>RNF</c:v>
              </c:pt>
              <c:pt idx="13">
                <c:v>RNF</c:v>
              </c:pt>
              <c:pt idx="14">
                <c:v>RNF</c:v>
              </c:pt>
              <c:pt idx="15">
                <c:v>RNF</c:v>
              </c:pt>
              <c:pt idx="16">
                <c:v>RNF</c:v>
              </c:pt>
            </c:strLit>
          </c:cat>
          <c:val>
            <c:numLit>
              <c:formatCode>General</c:formatCode>
              <c:ptCount val="17"/>
              <c:pt idx="0">
                <c:v>1.8097435106453549E-7</c:v>
              </c:pt>
              <c:pt idx="1">
                <c:v>3.5759084072042163E-6</c:v>
              </c:pt>
              <c:pt idx="2">
                <c:v>5.5663918746149829E-6</c:v>
              </c:pt>
              <c:pt idx="3">
                <c:v>5.7383014376990713E-6</c:v>
              </c:pt>
              <c:pt idx="4">
                <c:v>1.3985666534284624E-6</c:v>
              </c:pt>
              <c:pt idx="5">
                <c:v>1.152492555789253E-5</c:v>
              </c:pt>
              <c:pt idx="6">
                <c:v>2.2754114813120263E-5</c:v>
              </c:pt>
              <c:pt idx="7">
                <c:v>4.3083497000719311E-6</c:v>
              </c:pt>
              <c:pt idx="8">
                <c:v>1.0337618847484315E-6</c:v>
              </c:pt>
              <c:pt idx="9">
                <c:v>1.7218636036498328E-5</c:v>
              </c:pt>
              <c:pt idx="10">
                <c:v>6.0936987870452012E-7</c:v>
              </c:pt>
              <c:pt idx="11">
                <c:v>5.1625677733136231E-7</c:v>
              </c:pt>
              <c:pt idx="12">
                <c:v>9.6377223810050456E-7</c:v>
              </c:pt>
              <c:pt idx="13">
                <c:v>4.274091368779023E-7</c:v>
              </c:pt>
              <c:pt idx="14">
                <c:v>1.3470003634069508E-6</c:v>
              </c:pt>
              <c:pt idx="15">
                <c:v>6.7606819783515206E-7</c:v>
              </c:pt>
              <c:pt idx="16">
                <c:v>3.7851235695841523E-6</c:v>
              </c:pt>
            </c:numLit>
          </c:val>
          <c:extLst>
            <c:ext xmlns:c16="http://schemas.microsoft.com/office/drawing/2014/chart" uri="{C3380CC4-5D6E-409C-BE32-E72D297353CC}">
              <c16:uniqueId val="{00000001-6F05-634A-B7E3-4D5C491B0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2.5259291966573819E-5</c:v>
              </c:pt>
              <c:pt idx="1">
                <c:v>4.6604957275766017E-5</c:v>
              </c:pt>
              <c:pt idx="2">
                <c:v>7.6881157938718664E-6</c:v>
              </c:pt>
              <c:pt idx="3">
                <c:v>4.4019828740947076E-5</c:v>
              </c:pt>
              <c:pt idx="4">
                <c:v>5.0336071462395545E-5</c:v>
              </c:pt>
              <c:pt idx="5">
                <c:v>1.465181737047354E-5</c:v>
              </c:pt>
              <c:pt idx="6">
                <c:v>2.1961948328690809E-6</c:v>
              </c:pt>
              <c:pt idx="7">
                <c:v>2.2033095306128134E-4</c:v>
              </c:pt>
              <c:pt idx="8">
                <c:v>6.2597995317548741E-5</c:v>
              </c:pt>
              <c:pt idx="9">
                <c:v>6.8314308888579384E-5</c:v>
              </c:pt>
              <c:pt idx="10">
                <c:v>1.1190462437883008E-4</c:v>
              </c:pt>
              <c:pt idx="11">
                <c:v>1.4813754536490252E-4</c:v>
              </c:pt>
              <c:pt idx="12">
                <c:v>1.9364370304178271E-4</c:v>
              </c:pt>
              <c:pt idx="13">
                <c:v>3.9525784559888578E-5</c:v>
              </c:pt>
            </c:numLit>
          </c:val>
          <c:extLst>
            <c:ext xmlns:c16="http://schemas.microsoft.com/office/drawing/2014/chart" uri="{C3380CC4-5D6E-409C-BE32-E72D297353CC}">
              <c16:uniqueId val="{00000000-1934-B243-967F-D9A3D93DB6C2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plus>
            <c:min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2.5162826034217326E-5</c:v>
              </c:pt>
              <c:pt idx="1">
                <c:v>4.6433825013844236E-5</c:v>
              </c:pt>
              <c:pt idx="2">
                <c:v>7.6598852218989575E-6</c:v>
              </c:pt>
              <c:pt idx="3">
                <c:v>4.3858189007422885E-5</c:v>
              </c:pt>
              <c:pt idx="4">
                <c:v>5.0151238638631813E-5</c:v>
              </c:pt>
              <c:pt idx="5">
                <c:v>1.4312035420422808E-5</c:v>
              </c:pt>
              <c:pt idx="6">
                <c:v>2.2023123677521908E-6</c:v>
              </c:pt>
              <c:pt idx="7">
                <c:v>2.1983523171661431E-4</c:v>
              </c:pt>
              <c:pt idx="8">
                <c:v>6.2457155101361755E-5</c:v>
              </c:pt>
              <c:pt idx="9">
                <c:v>6.8253223418885916E-5</c:v>
              </c:pt>
              <c:pt idx="10">
                <c:v>1.1180456120706036E-4</c:v>
              </c:pt>
              <c:pt idx="11">
                <c:v>1.4876930250187686E-4</c:v>
              </c:pt>
              <c:pt idx="12">
                <c:v>1.9293498422922166E-4</c:v>
              </c:pt>
              <c:pt idx="13">
                <c:v>7.5507071431189882E-5</c:v>
              </c:pt>
            </c:numLit>
          </c:val>
          <c:extLst>
            <c:ext xmlns:c16="http://schemas.microsoft.com/office/drawing/2014/chart" uri="{C3380CC4-5D6E-409C-BE32-E72D297353CC}">
              <c16:uniqueId val="{00000001-1934-B243-967F-D9A3D93DB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RNF</c:v>
              </c:pt>
              <c:pt idx="11">
                <c:v>RNF</c:v>
              </c:pt>
              <c:pt idx="12">
                <c:v>RNF</c:v>
              </c:pt>
              <c:pt idx="13">
                <c:v>RNF</c:v>
              </c:pt>
              <c:pt idx="14">
                <c:v>RNF</c:v>
              </c:pt>
              <c:pt idx="15">
                <c:v>RNF</c:v>
              </c:pt>
              <c:pt idx="16">
                <c:v>RNF</c:v>
              </c:pt>
            </c:strLit>
          </c:cat>
          <c:val>
            <c:numLit>
              <c:formatCode>General</c:formatCode>
              <c:ptCount val="17"/>
              <c:pt idx="0">
                <c:v>#N/A</c:v>
              </c:pt>
              <c:pt idx="1">
                <c:v>6.3924530362117003E-6</c:v>
              </c:pt>
              <c:pt idx="2">
                <c:v>9.4805177270195001E-6</c:v>
              </c:pt>
              <c:pt idx="3">
                <c:v>9.7733091253481907E-6</c:v>
              </c:pt>
              <c:pt idx="4">
                <c:v>2.3819982952646238E-6</c:v>
              </c:pt>
              <c:pt idx="5">
                <c:v>1.9628920044568247E-5</c:v>
              </c:pt>
              <c:pt idx="6">
                <c:v>3.8754150565459611E-5</c:v>
              </c:pt>
              <c:pt idx="7">
                <c:v>6.7184448635097492E-6</c:v>
              </c:pt>
              <c:pt idx="8">
                <c:v>3.5388229247910865E-6</c:v>
              </c:pt>
              <c:pt idx="9">
                <c:v>2.3270697169916438E-5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0-B309-2641-B6FC-A9115D2AD2B0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plus>
            <c:min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7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RNF</c:v>
              </c:pt>
              <c:pt idx="11">
                <c:v>RNF</c:v>
              </c:pt>
              <c:pt idx="12">
                <c:v>RNF</c:v>
              </c:pt>
              <c:pt idx="13">
                <c:v>RNF</c:v>
              </c:pt>
              <c:pt idx="14">
                <c:v>RNF</c:v>
              </c:pt>
              <c:pt idx="15">
                <c:v>RNF</c:v>
              </c:pt>
              <c:pt idx="16">
                <c:v>RNF</c:v>
              </c:pt>
            </c:strLit>
          </c:cat>
          <c:val>
            <c:numLit>
              <c:formatCode>General</c:formatCode>
              <c:ptCount val="17"/>
              <c:pt idx="0">
                <c:v>1.8097435106453549E-7</c:v>
              </c:pt>
              <c:pt idx="1">
                <c:v>3.5759084072042163E-6</c:v>
              </c:pt>
              <c:pt idx="2">
                <c:v>5.5663918746149829E-6</c:v>
              </c:pt>
              <c:pt idx="3">
                <c:v>5.7383014376990713E-6</c:v>
              </c:pt>
              <c:pt idx="4">
                <c:v>1.3985666534284624E-6</c:v>
              </c:pt>
              <c:pt idx="5">
                <c:v>1.152492555789253E-5</c:v>
              </c:pt>
              <c:pt idx="6">
                <c:v>2.2754114813120263E-5</c:v>
              </c:pt>
              <c:pt idx="7">
                <c:v>4.3083497000719311E-6</c:v>
              </c:pt>
              <c:pt idx="8">
                <c:v>1.0337618847484315E-6</c:v>
              </c:pt>
              <c:pt idx="9">
                <c:v>1.7218636036498328E-5</c:v>
              </c:pt>
              <c:pt idx="10">
                <c:v>6.0936987870452012E-7</c:v>
              </c:pt>
              <c:pt idx="11">
                <c:v>5.1625677733136231E-7</c:v>
              </c:pt>
              <c:pt idx="12">
                <c:v>9.6377223810050456E-7</c:v>
              </c:pt>
              <c:pt idx="13">
                <c:v>4.274091368779023E-7</c:v>
              </c:pt>
              <c:pt idx="14">
                <c:v>1.3470003634069508E-6</c:v>
              </c:pt>
              <c:pt idx="15">
                <c:v>6.7606819783515206E-7</c:v>
              </c:pt>
              <c:pt idx="16">
                <c:v>3.7851235695841523E-6</c:v>
              </c:pt>
            </c:numLit>
          </c:val>
          <c:extLst>
            <c:ext xmlns:c16="http://schemas.microsoft.com/office/drawing/2014/chart" uri="{C3380CC4-5D6E-409C-BE32-E72D297353CC}">
              <c16:uniqueId val="{00000001-B309-2641-B6FC-A9115D2AD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[5]Sheet2!$D$57:$D$70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[5]Sheet2!$E$57:$E$70</c:f>
              <c:numCache>
                <c:formatCode>General</c:formatCode>
                <c:ptCount val="14"/>
                <c:pt idx="0">
                  <c:v>2.5259291966573819E-5</c:v>
                </c:pt>
                <c:pt idx="1">
                  <c:v>4.660422175208914E-5</c:v>
                </c:pt>
                <c:pt idx="2">
                  <c:v>7.6879944596100283E-6</c:v>
                </c:pt>
                <c:pt idx="3">
                  <c:v>4.4019134016713098E-5</c:v>
                </c:pt>
                <c:pt idx="4">
                  <c:v>5.033527705292479E-5</c:v>
                </c:pt>
                <c:pt idx="5">
                  <c:v>1.4681841002785515E-5</c:v>
                </c:pt>
                <c:pt idx="6">
                  <c:v>2.1961948328690809E-6</c:v>
                </c:pt>
                <c:pt idx="7">
                  <c:v>2.2031688958217273E-4</c:v>
                </c:pt>
                <c:pt idx="8">
                  <c:v>6.259399974094708E-5</c:v>
                </c:pt>
                <c:pt idx="9">
                  <c:v>6.8310850740947078E-5</c:v>
                </c:pt>
                <c:pt idx="10">
                  <c:v>1.1189895964066853E-4</c:v>
                </c:pt>
                <c:pt idx="11">
                  <c:v>1.4812917530083566E-4</c:v>
                </c:pt>
                <c:pt idx="12">
                  <c:v>1.9364301830362119E-4</c:v>
                </c:pt>
                <c:pt idx="13">
                  <c:v>7.5750931983286903E-5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39-894D-B0C7-A000EAED2CF3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[2]ProteinComp_Anal!$G$36:$G$49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plus>
            <c:minus>
              <c:numRef>
                <c:f>[2]ProteinComp_Anal!$G$36:$G$49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[5]Sheet2!$D$57:$D$70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[5]Sheet2!$F$57:$F$70</c:f>
              <c:numCache>
                <c:formatCode>General</c:formatCode>
                <c:ptCount val="14"/>
                <c:pt idx="0">
                  <c:v>2.5162826034217326E-5</c:v>
                </c:pt>
                <c:pt idx="1">
                  <c:v>4.6433825013844236E-5</c:v>
                </c:pt>
                <c:pt idx="2">
                  <c:v>7.6598852218989575E-6</c:v>
                </c:pt>
                <c:pt idx="3">
                  <c:v>4.3858189007422885E-5</c:v>
                </c:pt>
                <c:pt idx="4">
                  <c:v>5.0151238638631813E-5</c:v>
                </c:pt>
                <c:pt idx="5">
                  <c:v>1.4312035420422808E-5</c:v>
                </c:pt>
                <c:pt idx="6">
                  <c:v>2.2023123677521908E-6</c:v>
                </c:pt>
                <c:pt idx="7">
                  <c:v>2.1983523171661431E-4</c:v>
                </c:pt>
                <c:pt idx="8">
                  <c:v>6.2457155101361755E-5</c:v>
                </c:pt>
                <c:pt idx="9">
                  <c:v>6.8253223418885916E-5</c:v>
                </c:pt>
                <c:pt idx="10">
                  <c:v>1.1180456120706036E-4</c:v>
                </c:pt>
                <c:pt idx="11">
                  <c:v>1.4876930250187686E-4</c:v>
                </c:pt>
                <c:pt idx="12">
                  <c:v>1.9293498422922166E-4</c:v>
                </c:pt>
                <c:pt idx="13">
                  <c:v>7.5507071431189882E-5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39-894D-B0C7-A000EAED2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[5]Sheet2!$C$23:$C$42</c:f>
              <c:strCache>
                <c:ptCount val="20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FDXA</c:v>
                </c:pt>
                <c:pt idx="10">
                  <c:v>FDX</c:v>
                </c:pt>
                <c:pt idx="11">
                  <c:v>FDX</c:v>
                </c:pt>
                <c:pt idx="12">
                  <c:v>FDX</c:v>
                </c:pt>
                <c:pt idx="13">
                  <c:v>ZMO1808</c:v>
                </c:pt>
                <c:pt idx="14">
                  <c:v>ZMO1809</c:v>
                </c:pt>
                <c:pt idx="15">
                  <c:v>ZMO1810</c:v>
                </c:pt>
                <c:pt idx="16">
                  <c:v>ZMO1811</c:v>
                </c:pt>
                <c:pt idx="17">
                  <c:v>ZMO1812</c:v>
                </c:pt>
                <c:pt idx="18">
                  <c:v>ZMO1813</c:v>
                </c:pt>
                <c:pt idx="19">
                  <c:v>ZMO1814</c:v>
                </c:pt>
              </c:strCache>
            </c:strRef>
          </c:cat>
          <c:val>
            <c:numRef>
              <c:f>[5]Sheet2!$G$23:$G$42</c:f>
              <c:numCache>
                <c:formatCode>General</c:formatCode>
                <c:ptCount val="20"/>
                <c:pt idx="0">
                  <c:v>#N/A</c:v>
                </c:pt>
                <c:pt idx="1">
                  <c:v>6.4616793871866304E-6</c:v>
                </c:pt>
                <c:pt idx="2">
                  <c:v>9.5833258969359343E-6</c:v>
                </c:pt>
                <c:pt idx="3">
                  <c:v>9.8792923676880224E-6</c:v>
                </c:pt>
                <c:pt idx="4">
                  <c:v>2.4078290445682456E-6</c:v>
                </c:pt>
                <c:pt idx="5">
                  <c:v>1.984177902506964E-5</c:v>
                </c:pt>
                <c:pt idx="6">
                  <c:v>3.917440644011142E-5</c:v>
                </c:pt>
                <c:pt idx="7">
                  <c:v>6.7818216518105859E-6</c:v>
                </c:pt>
                <c:pt idx="8">
                  <c:v>4.2760793788300838E-6</c:v>
                </c:pt>
                <c:pt idx="9">
                  <c:v>0</c:v>
                </c:pt>
                <c:pt idx="10">
                  <c:v>2.8438198362116993E-5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5-EA46-BD20-992A7D833D42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[4]Sheet2!$P$23:$P$39</c:f>
                <c:numCache>
                  <c:formatCode>General</c:formatCode>
                  <c:ptCount val="17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3.5542901618033006E-7</c:v>
                  </c:pt>
                  <c:pt idx="10">
                    <c:v>4.21505376344086E-9</c:v>
                  </c:pt>
                  <c:pt idx="11">
                    <c:v>1.4060387561964848E-8</c:v>
                  </c:pt>
                  <c:pt idx="12">
                    <c:v>2.4846536100555392E-8</c:v>
                  </c:pt>
                  <c:pt idx="13">
                    <c:v>3.2875134496012725E-8</c:v>
                  </c:pt>
                  <c:pt idx="14">
                    <c:v>2.8715420923975363E-8</c:v>
                  </c:pt>
                  <c:pt idx="15">
                    <c:v>4.7536677836157935E-8</c:v>
                  </c:pt>
                  <c:pt idx="16">
                    <c:v>2.4587724505903801E-8</c:v>
                  </c:pt>
                </c:numCache>
              </c:numRef>
            </c:plus>
            <c:minus>
              <c:numRef>
                <c:f>[4]Sheet2!$P$23:$P$39</c:f>
                <c:numCache>
                  <c:formatCode>General</c:formatCode>
                  <c:ptCount val="17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3.5542901618033006E-7</c:v>
                  </c:pt>
                  <c:pt idx="10">
                    <c:v>4.21505376344086E-9</c:v>
                  </c:pt>
                  <c:pt idx="11">
                    <c:v>1.4060387561964848E-8</c:v>
                  </c:pt>
                  <c:pt idx="12">
                    <c:v>2.4846536100555392E-8</c:v>
                  </c:pt>
                  <c:pt idx="13">
                    <c:v>3.2875134496012725E-8</c:v>
                  </c:pt>
                  <c:pt idx="14">
                    <c:v>2.8715420923975363E-8</c:v>
                  </c:pt>
                  <c:pt idx="15">
                    <c:v>4.7536677836157935E-8</c:v>
                  </c:pt>
                  <c:pt idx="16">
                    <c:v>2.4587724505903801E-8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[5]Sheet2!$C$23:$C$42</c:f>
              <c:strCache>
                <c:ptCount val="20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FDXA</c:v>
                </c:pt>
                <c:pt idx="10">
                  <c:v>FDX</c:v>
                </c:pt>
                <c:pt idx="11">
                  <c:v>FDX</c:v>
                </c:pt>
                <c:pt idx="12">
                  <c:v>FDX</c:v>
                </c:pt>
                <c:pt idx="13">
                  <c:v>ZMO1808</c:v>
                </c:pt>
                <c:pt idx="14">
                  <c:v>ZMO1809</c:v>
                </c:pt>
                <c:pt idx="15">
                  <c:v>ZMO1810</c:v>
                </c:pt>
                <c:pt idx="16">
                  <c:v>ZMO1811</c:v>
                </c:pt>
                <c:pt idx="17">
                  <c:v>ZMO1812</c:v>
                </c:pt>
                <c:pt idx="18">
                  <c:v>ZMO1813</c:v>
                </c:pt>
                <c:pt idx="19">
                  <c:v>ZMO1814</c:v>
                </c:pt>
              </c:strCache>
            </c:strRef>
          </c:cat>
          <c:val>
            <c:numRef>
              <c:f>[5]Sheet2!$O$23:$O$42</c:f>
              <c:numCache>
                <c:formatCode>General</c:formatCode>
                <c:ptCount val="20"/>
                <c:pt idx="0">
                  <c:v>1.8097435106453549E-7</c:v>
                </c:pt>
                <c:pt idx="1">
                  <c:v>3.5759084072042163E-6</c:v>
                </c:pt>
                <c:pt idx="2">
                  <c:v>5.5663918746149829E-6</c:v>
                </c:pt>
                <c:pt idx="3">
                  <c:v>5.7383014376990713E-6</c:v>
                </c:pt>
                <c:pt idx="4">
                  <c:v>1.3985666534284624E-6</c:v>
                </c:pt>
                <c:pt idx="5">
                  <c:v>1.152492555789253E-5</c:v>
                </c:pt>
                <c:pt idx="6">
                  <c:v>2.2754114813120263E-5</c:v>
                </c:pt>
                <c:pt idx="7">
                  <c:v>4.3083497000719311E-6</c:v>
                </c:pt>
                <c:pt idx="8">
                  <c:v>1.0337618847484315E-6</c:v>
                </c:pt>
                <c:pt idx="9">
                  <c:v>1.7218636036498328E-5</c:v>
                </c:pt>
                <c:pt idx="10">
                  <c:v>5.3789247311827955E-8</c:v>
                </c:pt>
                <c:pt idx="11">
                  <c:v>2.1901757548445245E-7</c:v>
                </c:pt>
                <c:pt idx="12">
                  <c:v>4.3262204033908217E-7</c:v>
                </c:pt>
                <c:pt idx="13">
                  <c:v>6.0936987870452012E-7</c:v>
                </c:pt>
                <c:pt idx="14">
                  <c:v>5.1625677733136231E-7</c:v>
                </c:pt>
                <c:pt idx="15">
                  <c:v>9.6377223810050456E-7</c:v>
                </c:pt>
                <c:pt idx="16">
                  <c:v>4.274091368779023E-7</c:v>
                </c:pt>
                <c:pt idx="17">
                  <c:v>1.3470003634069508E-6</c:v>
                </c:pt>
                <c:pt idx="18">
                  <c:v>6.7606819783515206E-7</c:v>
                </c:pt>
                <c:pt idx="19">
                  <c:v>3.7851235695841523E-6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35-EA46-BD20-992A7D833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[3]Sheet2!$D$54:$D$67</c:f>
              <c:strCache>
                <c:ptCount val="14"/>
                <c:pt idx="3">
                  <c:v>GLK</c:v>
                </c:pt>
                <c:pt idx="4">
                  <c:v>G6PDH</c:v>
                </c:pt>
                <c:pt idx="5">
                  <c:v>PGL</c:v>
                </c:pt>
                <c:pt idx="6">
                  <c:v>EDD</c:v>
                </c:pt>
                <c:pt idx="7">
                  <c:v>EDA</c:v>
                </c:pt>
                <c:pt idx="8">
                  <c:v>PGI</c:v>
                </c:pt>
                <c:pt idx="9">
                  <c:v>TPI</c:v>
                </c:pt>
                <c:pt idx="10">
                  <c:v>GAPDH</c:v>
                </c:pt>
                <c:pt idx="11">
                  <c:v>PGK</c:v>
                </c:pt>
                <c:pt idx="12">
                  <c:v>PGM</c:v>
                </c:pt>
                <c:pt idx="13">
                  <c:v>ENO</c:v>
                </c:pt>
              </c:strCache>
            </c:strRef>
          </c:cat>
          <c:val>
            <c:numRef>
              <c:f>[3]Sheet2!$E$54:$E$67</c:f>
              <c:numCache>
                <c:formatCode>General</c:formatCode>
                <c:ptCount val="14"/>
                <c:pt idx="1">
                  <c:v>0</c:v>
                </c:pt>
                <c:pt idx="2">
                  <c:v>0</c:v>
                </c:pt>
                <c:pt idx="3">
                  <c:v>2.5259291966573819E-5</c:v>
                </c:pt>
                <c:pt idx="4">
                  <c:v>4.6604369019498609E-5</c:v>
                </c:pt>
                <c:pt idx="5">
                  <c:v>7.6880187548746521E-6</c:v>
                </c:pt>
                <c:pt idx="6">
                  <c:v>4.4019273114206137E-5</c:v>
                </c:pt>
                <c:pt idx="7">
                  <c:v>5.0335436108635104E-5</c:v>
                </c:pt>
                <c:pt idx="8">
                  <c:v>1.4675829649025071E-5</c:v>
                </c:pt>
                <c:pt idx="9">
                  <c:v>2.1961948328690809E-6</c:v>
                </c:pt>
                <c:pt idx="10">
                  <c:v>2.2039097138997214E-4</c:v>
                </c:pt>
                <c:pt idx="11">
                  <c:v>6.261504713649025E-5</c:v>
                </c:pt>
                <c:pt idx="12">
                  <c:v>6.8340991147632324E-5</c:v>
                </c:pt>
                <c:pt idx="13">
                  <c:v>1.1194833218384401E-4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3-9D42-8D11-B4C7C868AD91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[2]ProteinComp_Anal!$G$36:$G$49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plus>
            <c:minus>
              <c:numRef>
                <c:f>[2]ProteinComp_Anal!$G$36:$G$49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[3]Sheet2!$D$54:$D$67</c:f>
              <c:strCache>
                <c:ptCount val="14"/>
                <c:pt idx="3">
                  <c:v>GLK</c:v>
                </c:pt>
                <c:pt idx="4">
                  <c:v>G6PDH</c:v>
                </c:pt>
                <c:pt idx="5">
                  <c:v>PGL</c:v>
                </c:pt>
                <c:pt idx="6">
                  <c:v>EDD</c:v>
                </c:pt>
                <c:pt idx="7">
                  <c:v>EDA</c:v>
                </c:pt>
                <c:pt idx="8">
                  <c:v>PGI</c:v>
                </c:pt>
                <c:pt idx="9">
                  <c:v>TPI</c:v>
                </c:pt>
                <c:pt idx="10">
                  <c:v>GAPDH</c:v>
                </c:pt>
                <c:pt idx="11">
                  <c:v>PGK</c:v>
                </c:pt>
                <c:pt idx="12">
                  <c:v>PGM</c:v>
                </c:pt>
                <c:pt idx="13">
                  <c:v>ENO</c:v>
                </c:pt>
              </c:strCache>
            </c:strRef>
          </c:cat>
          <c:val>
            <c:numRef>
              <c:f>[3]Sheet2!$F$54:$F$67</c:f>
              <c:numCache>
                <c:formatCode>General</c:formatCode>
                <c:ptCount val="14"/>
                <c:pt idx="1">
                  <c:v>0</c:v>
                </c:pt>
                <c:pt idx="2">
                  <c:v>0</c:v>
                </c:pt>
                <c:pt idx="3">
                  <c:v>2.5162826034217326E-5</c:v>
                </c:pt>
                <c:pt idx="4">
                  <c:v>4.6433825013844236E-5</c:v>
                </c:pt>
                <c:pt idx="5">
                  <c:v>7.6598852218989575E-6</c:v>
                </c:pt>
                <c:pt idx="6">
                  <c:v>4.3858189007422885E-5</c:v>
                </c:pt>
                <c:pt idx="7">
                  <c:v>5.0151238638631813E-5</c:v>
                </c:pt>
                <c:pt idx="8">
                  <c:v>1.4312035420422808E-5</c:v>
                </c:pt>
                <c:pt idx="9">
                  <c:v>2.2023123677521908E-6</c:v>
                </c:pt>
                <c:pt idx="10">
                  <c:v>2.1983523171661431E-4</c:v>
                </c:pt>
                <c:pt idx="11">
                  <c:v>6.2457155101361755E-5</c:v>
                </c:pt>
                <c:pt idx="12">
                  <c:v>6.8253223418885916E-5</c:v>
                </c:pt>
                <c:pt idx="13">
                  <c:v>1.1180456120706036E-4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63-9D42-8D11-B4C7C868A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[3]Sheet2!$C$23:$C$38</c:f>
              <c:strCache>
                <c:ptCount val="16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FDXA</c:v>
                </c:pt>
                <c:pt idx="10">
                  <c:v>FDX</c:v>
                </c:pt>
                <c:pt idx="11">
                  <c:v>FDX</c:v>
                </c:pt>
                <c:pt idx="12">
                  <c:v>FDX</c:v>
                </c:pt>
                <c:pt idx="13">
                  <c:v>ZMO1808</c:v>
                </c:pt>
                <c:pt idx="14">
                  <c:v>ZMO1809</c:v>
                </c:pt>
                <c:pt idx="15">
                  <c:v>ZMO1810</c:v>
                </c:pt>
              </c:strCache>
            </c:strRef>
          </c:cat>
          <c:val>
            <c:numRef>
              <c:f>[3]Sheet2!$G$23:$G$39</c:f>
              <c:numCache>
                <c:formatCode>General</c:formatCode>
                <c:ptCount val="17"/>
                <c:pt idx="0">
                  <c:v>#N/A</c:v>
                </c:pt>
                <c:pt idx="1">
                  <c:v>5.7897899832869076E-6</c:v>
                </c:pt>
                <c:pt idx="2">
                  <c:v>8.5855018133704743E-6</c:v>
                </c:pt>
                <c:pt idx="3">
                  <c:v>8.8506520027855155E-6</c:v>
                </c:pt>
                <c:pt idx="4">
                  <c:v>2.1571238272980503E-6</c:v>
                </c:pt>
                <c:pt idx="5">
                  <c:v>1.7775836033426185E-5</c:v>
                </c:pt>
                <c:pt idx="6">
                  <c:v>3.509553375766017E-5</c:v>
                </c:pt>
                <c:pt idx="7">
                  <c:v>4.7041090222841223E-6</c:v>
                </c:pt>
                <c:pt idx="8">
                  <c:v>1.347635097493036E-6</c:v>
                </c:pt>
                <c:pt idx="9">
                  <c:v>2.244657381615599E-5</c:v>
                </c:pt>
                <c:pt idx="10">
                  <c:v>6.9080779944289694E-8</c:v>
                </c:pt>
                <c:pt idx="11">
                  <c:v>2.7855153203342616E-7</c:v>
                </c:pt>
                <c:pt idx="12">
                  <c:v>5.5710306406685232E-7</c:v>
                </c:pt>
                <c:pt idx="13">
                  <c:v>4.277465181058496E-7</c:v>
                </c:pt>
                <c:pt idx="14">
                  <c:v>3.6238718662952649E-7</c:v>
                </c:pt>
                <c:pt idx="15">
                  <c:v>6.7652089136490251E-7</c:v>
                </c:pt>
                <c:pt idx="16">
                  <c:v>3.0001949860724235E-7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4-984A-B8DE-39616984AB2C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[4]Sheet2!$P$23:$P$39</c:f>
                <c:numCache>
                  <c:formatCode>General</c:formatCode>
                  <c:ptCount val="17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3.5542901618033006E-7</c:v>
                  </c:pt>
                  <c:pt idx="10">
                    <c:v>4.21505376344086E-9</c:v>
                  </c:pt>
                  <c:pt idx="11">
                    <c:v>1.4060387561964848E-8</c:v>
                  </c:pt>
                  <c:pt idx="12">
                    <c:v>2.4846536100555392E-8</c:v>
                  </c:pt>
                  <c:pt idx="13">
                    <c:v>3.2875134496012725E-8</c:v>
                  </c:pt>
                  <c:pt idx="14">
                    <c:v>2.8715420923975363E-8</c:v>
                  </c:pt>
                  <c:pt idx="15">
                    <c:v>4.7536677836157935E-8</c:v>
                  </c:pt>
                  <c:pt idx="16">
                    <c:v>2.4587724505903801E-8</c:v>
                  </c:pt>
                </c:numCache>
              </c:numRef>
            </c:plus>
            <c:minus>
              <c:numRef>
                <c:f>[4]Sheet2!$P$23:$P$39</c:f>
                <c:numCache>
                  <c:formatCode>General</c:formatCode>
                  <c:ptCount val="17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3.5542901618033006E-7</c:v>
                  </c:pt>
                  <c:pt idx="10">
                    <c:v>4.21505376344086E-9</c:v>
                  </c:pt>
                  <c:pt idx="11">
                    <c:v>1.4060387561964848E-8</c:v>
                  </c:pt>
                  <c:pt idx="12">
                    <c:v>2.4846536100555392E-8</c:v>
                  </c:pt>
                  <c:pt idx="13">
                    <c:v>3.2875134496012725E-8</c:v>
                  </c:pt>
                  <c:pt idx="14">
                    <c:v>2.8715420923975363E-8</c:v>
                  </c:pt>
                  <c:pt idx="15">
                    <c:v>4.7536677836157935E-8</c:v>
                  </c:pt>
                  <c:pt idx="16">
                    <c:v>2.4587724505903801E-8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[3]Sheet2!$C$23:$C$38</c:f>
              <c:strCache>
                <c:ptCount val="16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FDXA</c:v>
                </c:pt>
                <c:pt idx="10">
                  <c:v>FDX</c:v>
                </c:pt>
                <c:pt idx="11">
                  <c:v>FDX</c:v>
                </c:pt>
                <c:pt idx="12">
                  <c:v>FDX</c:v>
                </c:pt>
                <c:pt idx="13">
                  <c:v>ZMO1808</c:v>
                </c:pt>
                <c:pt idx="14">
                  <c:v>ZMO1809</c:v>
                </c:pt>
                <c:pt idx="15">
                  <c:v>ZMO1810</c:v>
                </c:pt>
              </c:strCache>
            </c:strRef>
          </c:cat>
          <c:val>
            <c:numRef>
              <c:f>[3]Sheet2!$O$23:$O$39</c:f>
              <c:numCache>
                <c:formatCode>General</c:formatCode>
                <c:ptCount val="17"/>
                <c:pt idx="0">
                  <c:v>1.8097435106453549E-7</c:v>
                </c:pt>
                <c:pt idx="1">
                  <c:v>3.5759084072042163E-6</c:v>
                </c:pt>
                <c:pt idx="2">
                  <c:v>5.5663918746149829E-6</c:v>
                </c:pt>
                <c:pt idx="3">
                  <c:v>5.7383014376990713E-6</c:v>
                </c:pt>
                <c:pt idx="4">
                  <c:v>1.3985666534284624E-6</c:v>
                </c:pt>
                <c:pt idx="5">
                  <c:v>1.152492555789253E-5</c:v>
                </c:pt>
                <c:pt idx="6">
                  <c:v>2.2754114813120263E-5</c:v>
                </c:pt>
                <c:pt idx="7">
                  <c:v>4.3083497000719311E-6</c:v>
                </c:pt>
                <c:pt idx="8">
                  <c:v>1.0337618847484315E-6</c:v>
                </c:pt>
                <c:pt idx="9">
                  <c:v>1.7218636036498328E-5</c:v>
                </c:pt>
                <c:pt idx="10">
                  <c:v>5.3789247311827955E-8</c:v>
                </c:pt>
                <c:pt idx="11">
                  <c:v>2.1901757548445245E-7</c:v>
                </c:pt>
                <c:pt idx="12">
                  <c:v>4.3262204033908217E-7</c:v>
                </c:pt>
                <c:pt idx="13">
                  <c:v>6.0936987870452012E-7</c:v>
                </c:pt>
                <c:pt idx="14">
                  <c:v>5.1625677733136231E-7</c:v>
                </c:pt>
                <c:pt idx="15">
                  <c:v>9.6377223810050456E-7</c:v>
                </c:pt>
                <c:pt idx="16">
                  <c:v>4.274091368779023E-7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D4-984A-B8DE-39616984A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[5]Sheet2!$D$57:$D$70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[5]Sheet2!$E$57:$E$70</c:f>
              <c:numCache>
                <c:formatCode>General</c:formatCode>
                <c:ptCount val="14"/>
                <c:pt idx="0">
                  <c:v>2.5259291966573819E-5</c:v>
                </c:pt>
                <c:pt idx="1">
                  <c:v>4.660422175208914E-5</c:v>
                </c:pt>
                <c:pt idx="2">
                  <c:v>7.6879944596100283E-6</c:v>
                </c:pt>
                <c:pt idx="3">
                  <c:v>4.4019134016713098E-5</c:v>
                </c:pt>
                <c:pt idx="4">
                  <c:v>5.033527705292479E-5</c:v>
                </c:pt>
                <c:pt idx="5">
                  <c:v>1.4681841002785515E-5</c:v>
                </c:pt>
                <c:pt idx="6">
                  <c:v>2.1961948328690809E-6</c:v>
                </c:pt>
                <c:pt idx="7">
                  <c:v>2.2031688958217273E-4</c:v>
                </c:pt>
                <c:pt idx="8">
                  <c:v>6.259399974094708E-5</c:v>
                </c:pt>
                <c:pt idx="9">
                  <c:v>6.8310850740947078E-5</c:v>
                </c:pt>
                <c:pt idx="10">
                  <c:v>1.1189895964066853E-4</c:v>
                </c:pt>
                <c:pt idx="11">
                  <c:v>1.4812917530083566E-4</c:v>
                </c:pt>
                <c:pt idx="12">
                  <c:v>1.9364301830362119E-4</c:v>
                </c:pt>
                <c:pt idx="13">
                  <c:v>7.5750931983286903E-5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5A-C64F-B879-FE8F0791634E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[2]ProteinComp_Anal!$G$36:$G$49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plus>
            <c:minus>
              <c:numRef>
                <c:f>[2]ProteinComp_Anal!$G$36:$G$49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[5]Sheet2!$D$57:$D$70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[5]Sheet2!$F$57:$F$70</c:f>
              <c:numCache>
                <c:formatCode>General</c:formatCode>
                <c:ptCount val="14"/>
                <c:pt idx="0">
                  <c:v>2.5162826034217326E-5</c:v>
                </c:pt>
                <c:pt idx="1">
                  <c:v>4.6433825013844236E-5</c:v>
                </c:pt>
                <c:pt idx="2">
                  <c:v>7.6598852218989575E-6</c:v>
                </c:pt>
                <c:pt idx="3">
                  <c:v>4.3858189007422885E-5</c:v>
                </c:pt>
                <c:pt idx="4">
                  <c:v>5.0151238638631813E-5</c:v>
                </c:pt>
                <c:pt idx="5">
                  <c:v>1.4312035420422808E-5</c:v>
                </c:pt>
                <c:pt idx="6">
                  <c:v>2.2023123677521908E-6</c:v>
                </c:pt>
                <c:pt idx="7">
                  <c:v>2.1983523171661431E-4</c:v>
                </c:pt>
                <c:pt idx="8">
                  <c:v>6.2457155101361755E-5</c:v>
                </c:pt>
                <c:pt idx="9">
                  <c:v>6.8253223418885916E-5</c:v>
                </c:pt>
                <c:pt idx="10">
                  <c:v>1.1180456120706036E-4</c:v>
                </c:pt>
                <c:pt idx="11">
                  <c:v>1.4876930250187686E-4</c:v>
                </c:pt>
                <c:pt idx="12">
                  <c:v>1.9293498422922166E-4</c:v>
                </c:pt>
                <c:pt idx="13">
                  <c:v>7.5507071431189882E-5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5A-C64F-B879-FE8F07916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[5]Sheet2!$I$57:$I$67</c:f>
              <c:strCache>
                <c:ptCount val="11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</c:v>
                </c:pt>
                <c:pt idx="9">
                  <c:v>FDX</c:v>
                </c:pt>
                <c:pt idx="10">
                  <c:v>RNF</c:v>
                </c:pt>
              </c:strCache>
            </c:strRef>
          </c:cat>
          <c:val>
            <c:numRef>
              <c:f>[5]Sheet2!$J$57:$J$67</c:f>
              <c:numCache>
                <c:formatCode>General</c:formatCode>
                <c:ptCount val="11"/>
                <c:pt idx="0">
                  <c:v>#N/A</c:v>
                </c:pt>
                <c:pt idx="1">
                  <c:v>6.4616793871866304E-6</c:v>
                </c:pt>
                <c:pt idx="2">
                  <c:v>9.5833258969359343E-6</c:v>
                </c:pt>
                <c:pt idx="3">
                  <c:v>9.8792923676880224E-6</c:v>
                </c:pt>
                <c:pt idx="4">
                  <c:v>2.4078290445682456E-6</c:v>
                </c:pt>
                <c:pt idx="5">
                  <c:v>1.984177902506964E-5</c:v>
                </c:pt>
                <c:pt idx="6">
                  <c:v>3.917440644011142E-5</c:v>
                </c:pt>
                <c:pt idx="7">
                  <c:v>6.7818216518105859E-6</c:v>
                </c:pt>
                <c:pt idx="8">
                  <c:v>4.2760793788300838E-6</c:v>
                </c:pt>
                <c:pt idx="9">
                  <c:v>2.8438198362116993E-5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25-2747-B3B7-71E935E47BFA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[4]Sheet2!$P$23:$P$39</c:f>
                <c:numCache>
                  <c:formatCode>General</c:formatCode>
                  <c:ptCount val="17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3.5542901618033006E-7</c:v>
                  </c:pt>
                  <c:pt idx="10">
                    <c:v>4.21505376344086E-9</c:v>
                  </c:pt>
                  <c:pt idx="11">
                    <c:v>1.4060387561964848E-8</c:v>
                  </c:pt>
                  <c:pt idx="12">
                    <c:v>2.4846536100555392E-8</c:v>
                  </c:pt>
                  <c:pt idx="13">
                    <c:v>3.2875134496012725E-8</c:v>
                  </c:pt>
                  <c:pt idx="14">
                    <c:v>2.8715420923975363E-8</c:v>
                  </c:pt>
                  <c:pt idx="15">
                    <c:v>4.7536677836157935E-8</c:v>
                  </c:pt>
                  <c:pt idx="16">
                    <c:v>2.4587724505903801E-8</c:v>
                  </c:pt>
                </c:numCache>
              </c:numRef>
            </c:plus>
            <c:minus>
              <c:numRef>
                <c:f>[4]Sheet2!$P$23:$P$39</c:f>
                <c:numCache>
                  <c:formatCode>General</c:formatCode>
                  <c:ptCount val="17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3.5542901618033006E-7</c:v>
                  </c:pt>
                  <c:pt idx="10">
                    <c:v>4.21505376344086E-9</c:v>
                  </c:pt>
                  <c:pt idx="11">
                    <c:v>1.4060387561964848E-8</c:v>
                  </c:pt>
                  <c:pt idx="12">
                    <c:v>2.4846536100555392E-8</c:v>
                  </c:pt>
                  <c:pt idx="13">
                    <c:v>3.2875134496012725E-8</c:v>
                  </c:pt>
                  <c:pt idx="14">
                    <c:v>2.8715420923975363E-8</c:v>
                  </c:pt>
                  <c:pt idx="15">
                    <c:v>4.7536677836157935E-8</c:v>
                  </c:pt>
                  <c:pt idx="16">
                    <c:v>2.4587724505903801E-8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[5]Sheet2!$I$57:$I$67</c:f>
              <c:strCache>
                <c:ptCount val="11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</c:v>
                </c:pt>
                <c:pt idx="9">
                  <c:v>FDX</c:v>
                </c:pt>
                <c:pt idx="10">
                  <c:v>RNF</c:v>
                </c:pt>
              </c:strCache>
            </c:strRef>
          </c:cat>
          <c:val>
            <c:numRef>
              <c:f>[5]Sheet2!$K$57:$K$67</c:f>
              <c:numCache>
                <c:formatCode>General</c:formatCode>
                <c:ptCount val="11"/>
                <c:pt idx="0">
                  <c:v>1.8097435106453549E-7</c:v>
                </c:pt>
                <c:pt idx="1">
                  <c:v>3.5759084072042163E-6</c:v>
                </c:pt>
                <c:pt idx="2">
                  <c:v>5.5663918746149829E-6</c:v>
                </c:pt>
                <c:pt idx="3">
                  <c:v>5.7383014376990713E-6</c:v>
                </c:pt>
                <c:pt idx="4">
                  <c:v>1.3985666534284624E-6</c:v>
                </c:pt>
                <c:pt idx="5">
                  <c:v>1.152492555789253E-5</c:v>
                </c:pt>
                <c:pt idx="6">
                  <c:v>2.2754114813120263E-5</c:v>
                </c:pt>
                <c:pt idx="7">
                  <c:v>4.3083497000719311E-6</c:v>
                </c:pt>
                <c:pt idx="8">
                  <c:v>1.0337618847484315E-6</c:v>
                </c:pt>
                <c:pt idx="9">
                  <c:v>1.7924064899633691E-5</c:v>
                </c:pt>
                <c:pt idx="10">
                  <c:v>8.3250001618405446E-6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25-2747-B3B7-71E935E47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[7]Sheet2!$D$57:$D$70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[7]Sheet2!$E$57:$E$70</c:f>
              <c:numCache>
                <c:formatCode>General</c:formatCode>
                <c:ptCount val="14"/>
                <c:pt idx="0">
                  <c:v>2.5259291966573819E-5</c:v>
                </c:pt>
                <c:pt idx="1">
                  <c:v>4.660480662674095E-5</c:v>
                </c:pt>
                <c:pt idx="2">
                  <c:v>7.6880909442896949E-6</c:v>
                </c:pt>
                <c:pt idx="3">
                  <c:v>4.4019686448467967E-5</c:v>
                </c:pt>
                <c:pt idx="4">
                  <c:v>5.0335908752089142E-5</c:v>
                </c:pt>
                <c:pt idx="5">
                  <c:v>1.4657966799442897E-5</c:v>
                </c:pt>
                <c:pt idx="6">
                  <c:v>2.1961948328690809E-6</c:v>
                </c:pt>
                <c:pt idx="7">
                  <c:v>2.2030597564902507E-4</c:v>
                </c:pt>
                <c:pt idx="8">
                  <c:v>6.259089898328691E-5</c:v>
                </c:pt>
                <c:pt idx="9">
                  <c:v>6.8304463442896935E-5</c:v>
                </c:pt>
                <c:pt idx="10">
                  <c:v>1.118884967075209E-4</c:v>
                </c:pt>
                <c:pt idx="11">
                  <c:v>1.4812443683844012E-4</c:v>
                </c:pt>
                <c:pt idx="12">
                  <c:v>1.9362943461559889E-4</c:v>
                </c:pt>
                <c:pt idx="13">
                  <c:v>7.574408172980501E-5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11-8740-B827-9582366DF8E9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[7]Sheet2!$G$57:$G$70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2.9354583660156249E-6</c:v>
                  </c:pt>
                </c:numCache>
              </c:numRef>
            </c:plus>
            <c:minus>
              <c:numRef>
                <c:f>[7]Sheet2!$G$57:$G$70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2.9354583660156249E-6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[7]Sheet2!$D$57:$D$70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[7]Sheet2!$F$57:$F$70</c:f>
              <c:numCache>
                <c:formatCode>General</c:formatCode>
                <c:ptCount val="14"/>
                <c:pt idx="0">
                  <c:v>2.5162826034217326E-5</c:v>
                </c:pt>
                <c:pt idx="1">
                  <c:v>4.6433825013844236E-5</c:v>
                </c:pt>
                <c:pt idx="2">
                  <c:v>7.6598852218989575E-6</c:v>
                </c:pt>
                <c:pt idx="3">
                  <c:v>4.3858189007422885E-5</c:v>
                </c:pt>
                <c:pt idx="4">
                  <c:v>5.0151238638631813E-5</c:v>
                </c:pt>
                <c:pt idx="5">
                  <c:v>1.4312035420422808E-5</c:v>
                </c:pt>
                <c:pt idx="6">
                  <c:v>2.2023123677521908E-6</c:v>
                </c:pt>
                <c:pt idx="7">
                  <c:v>2.1983523171661431E-4</c:v>
                </c:pt>
                <c:pt idx="8">
                  <c:v>6.2457155101361755E-5</c:v>
                </c:pt>
                <c:pt idx="9">
                  <c:v>6.8253223418885916E-5</c:v>
                </c:pt>
                <c:pt idx="10">
                  <c:v>1.1180456120706036E-4</c:v>
                </c:pt>
                <c:pt idx="11">
                  <c:v>1.4876930250187686E-4</c:v>
                </c:pt>
                <c:pt idx="12">
                  <c:v>1.9293498422922166E-4</c:v>
                </c:pt>
                <c:pt idx="13">
                  <c:v>7.5507071431189882E-5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11-8740-B827-9582366DF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[7]Sheet2!$I$57:$I$67</c:f>
              <c:strCache>
                <c:ptCount val="11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</c:v>
                </c:pt>
                <c:pt idx="10">
                  <c:v>RNF</c:v>
                </c:pt>
              </c:strCache>
            </c:strRef>
          </c:cat>
          <c:val>
            <c:numRef>
              <c:f>[7]Sheet2!$J$57:$J$67</c:f>
              <c:numCache>
                <c:formatCode>General</c:formatCode>
                <c:ptCount val="11"/>
                <c:pt idx="0">
                  <c:v>#N/A</c:v>
                </c:pt>
                <c:pt idx="1">
                  <c:v>6.6080484735376051E-6</c:v>
                </c:pt>
                <c:pt idx="2">
                  <c:v>9.8006988718662952E-6</c:v>
                </c:pt>
                <c:pt idx="3">
                  <c:v>1.0103378579387187E-5</c:v>
                </c:pt>
                <c:pt idx="4">
                  <c:v>2.4624444206128136E-6</c:v>
                </c:pt>
                <c:pt idx="5">
                  <c:v>2.0291838493036213E-5</c:v>
                </c:pt>
                <c:pt idx="6">
                  <c:v>4.0062976584958216E-5</c:v>
                </c:pt>
                <c:pt idx="7">
                  <c:v>6.9158016183844018E-6</c:v>
                </c:pt>
                <c:pt idx="8">
                  <c:v>4.2760793788300838E-6</c:v>
                </c:pt>
                <c:pt idx="9">
                  <c:v>2.9113539164345403E-5</c:v>
                </c:pt>
                <c:pt idx="1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2-6D47-8E30-7984EF8862D6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[7]Sheet2!$L$57:$L$67</c:f>
                <c:numCache>
                  <c:formatCode>General</c:formatCode>
                  <c:ptCount val="11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3.9855099360629118E-7</c:v>
                  </c:pt>
                  <c:pt idx="10">
                    <c:v>3.6593133749968266E-7</c:v>
                  </c:pt>
                </c:numCache>
              </c:numRef>
            </c:plus>
            <c:minus>
              <c:numRef>
                <c:f>[7]Sheet2!$L$57:$L$67</c:f>
                <c:numCache>
                  <c:formatCode>General</c:formatCode>
                  <c:ptCount val="11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3.9855099360629118E-7</c:v>
                  </c:pt>
                  <c:pt idx="10">
                    <c:v>3.6593133749968266E-7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[7]Sheet2!$I$57:$I$67</c:f>
              <c:strCache>
                <c:ptCount val="11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</c:v>
                </c:pt>
                <c:pt idx="10">
                  <c:v>RNF</c:v>
                </c:pt>
              </c:strCache>
            </c:strRef>
          </c:cat>
          <c:val>
            <c:numRef>
              <c:f>[7]Sheet2!$K$57:$K$67</c:f>
              <c:numCache>
                <c:formatCode>General</c:formatCode>
                <c:ptCount val="11"/>
                <c:pt idx="0">
                  <c:v>1.8097435106453549E-7</c:v>
                </c:pt>
                <c:pt idx="1">
                  <c:v>3.5759084072042163E-6</c:v>
                </c:pt>
                <c:pt idx="2">
                  <c:v>5.5663918746149829E-6</c:v>
                </c:pt>
                <c:pt idx="3">
                  <c:v>5.7383014376990713E-6</c:v>
                </c:pt>
                <c:pt idx="4">
                  <c:v>1.3985666534284624E-6</c:v>
                </c:pt>
                <c:pt idx="5">
                  <c:v>1.152492555789253E-5</c:v>
                </c:pt>
                <c:pt idx="6">
                  <c:v>2.2754114813120263E-5</c:v>
                </c:pt>
                <c:pt idx="7">
                  <c:v>4.3083497000719311E-6</c:v>
                </c:pt>
                <c:pt idx="8">
                  <c:v>1.0337618847484315E-6</c:v>
                </c:pt>
                <c:pt idx="9">
                  <c:v>1.7924064899633691E-5</c:v>
                </c:pt>
                <c:pt idx="10">
                  <c:v>8.3250001618405446E-6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22-6D47-8E30-7984EF886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[8]Sheet2!$D$57:$D$70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[8]Sheet2!$E$57:$E$70</c:f>
              <c:numCache>
                <c:formatCode>General</c:formatCode>
                <c:ptCount val="14"/>
                <c:pt idx="0">
                  <c:v>2.5259291966573819E-5</c:v>
                </c:pt>
                <c:pt idx="1">
                  <c:v>4.6604887350974935E-5</c:v>
                </c:pt>
                <c:pt idx="2">
                  <c:v>7.6881042590529256E-6</c:v>
                </c:pt>
                <c:pt idx="3">
                  <c:v>4.4019762693593313E-5</c:v>
                </c:pt>
                <c:pt idx="4">
                  <c:v>5.0335995935933148E-5</c:v>
                </c:pt>
                <c:pt idx="5">
                  <c:v>1.465467173259053E-5</c:v>
                </c:pt>
                <c:pt idx="6">
                  <c:v>2.1961948328690809E-6</c:v>
                </c:pt>
                <c:pt idx="7">
                  <c:v>2.2030309123676883E-4</c:v>
                </c:pt>
                <c:pt idx="8">
                  <c:v>6.2590079490250694E-5</c:v>
                </c:pt>
                <c:pt idx="9">
                  <c:v>6.8302905916434544E-5</c:v>
                </c:pt>
                <c:pt idx="10">
                  <c:v>1.118859453454039E-4</c:v>
                </c:pt>
                <c:pt idx="11">
                  <c:v>1.4812286291364903E-4</c:v>
                </c:pt>
                <c:pt idx="12">
                  <c:v>1.9362640944289695E-4</c:v>
                </c:pt>
                <c:pt idx="13">
                  <c:v>7.5742601899721451E-5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A-7946-8190-399DA933E1F5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[8]Sheet2!$G$57:$G$70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2.9354583660156249E-6</c:v>
                  </c:pt>
                </c:numCache>
              </c:numRef>
            </c:plus>
            <c:minus>
              <c:numRef>
                <c:f>[8]Sheet2!$G$57:$G$70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2.9354583660156249E-6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[8]Sheet2!$D$57:$D$70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[8]Sheet2!$F$57:$F$70</c:f>
              <c:numCache>
                <c:formatCode>General</c:formatCode>
                <c:ptCount val="14"/>
                <c:pt idx="0">
                  <c:v>2.5162826034217326E-5</c:v>
                </c:pt>
                <c:pt idx="1">
                  <c:v>4.6433825013844236E-5</c:v>
                </c:pt>
                <c:pt idx="2">
                  <c:v>7.6598852218989575E-6</c:v>
                </c:pt>
                <c:pt idx="3">
                  <c:v>4.3858189007422885E-5</c:v>
                </c:pt>
                <c:pt idx="4">
                  <c:v>5.0151238638631813E-5</c:v>
                </c:pt>
                <c:pt idx="5">
                  <c:v>1.4312035420422808E-5</c:v>
                </c:pt>
                <c:pt idx="6">
                  <c:v>2.2023123677521908E-6</c:v>
                </c:pt>
                <c:pt idx="7">
                  <c:v>2.1983523171661431E-4</c:v>
                </c:pt>
                <c:pt idx="8">
                  <c:v>6.2457155101361755E-5</c:v>
                </c:pt>
                <c:pt idx="9">
                  <c:v>6.8253223418885916E-5</c:v>
                </c:pt>
                <c:pt idx="10">
                  <c:v>1.1180456120706036E-4</c:v>
                </c:pt>
                <c:pt idx="11">
                  <c:v>1.4876930250187686E-4</c:v>
                </c:pt>
                <c:pt idx="12">
                  <c:v>1.9293498422922166E-4</c:v>
                </c:pt>
                <c:pt idx="13">
                  <c:v>7.5507071431189882E-5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CA-7946-8190-399DA933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[8]Sheet2!$I$57:$I$67</c:f>
              <c:strCache>
                <c:ptCount val="11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</c:v>
                </c:pt>
                <c:pt idx="10">
                  <c:v>RNF</c:v>
                </c:pt>
              </c:strCache>
            </c:strRef>
          </c:cat>
          <c:val>
            <c:numRef>
              <c:f>[8]Sheet2!$J$57:$J$67</c:f>
              <c:numCache>
                <c:formatCode>General</c:formatCode>
                <c:ptCount val="11"/>
                <c:pt idx="0">
                  <c:v>#N/A</c:v>
                </c:pt>
                <c:pt idx="1">
                  <c:v>6.6426394930362121E-6</c:v>
                </c:pt>
                <c:pt idx="2">
                  <c:v>9.8520700529247917E-6</c:v>
                </c:pt>
                <c:pt idx="3">
                  <c:v>1.0156336281337048E-5</c:v>
                </c:pt>
                <c:pt idx="4">
                  <c:v>2.4753515292479107E-6</c:v>
                </c:pt>
                <c:pt idx="5">
                  <c:v>2.0398199857938718E-5</c:v>
                </c:pt>
                <c:pt idx="6">
                  <c:v>1.0202830451253483E-5</c:v>
                </c:pt>
                <c:pt idx="7">
                  <c:v>6.9474647493036214E-6</c:v>
                </c:pt>
                <c:pt idx="8">
                  <c:v>4.2760793788300838E-6</c:v>
                </c:pt>
                <c:pt idx="9">
                  <c:v>2.9273140671309192E-5</c:v>
                </c:pt>
                <c:pt idx="1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8-5246-B596-C466090F72C7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[8]Sheet2!$L$57:$L$67</c:f>
                <c:numCache>
                  <c:formatCode>General</c:formatCode>
                  <c:ptCount val="11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3.9855099360629118E-7</c:v>
                  </c:pt>
                  <c:pt idx="10">
                    <c:v>3.6593133749968266E-7</c:v>
                  </c:pt>
                </c:numCache>
              </c:numRef>
            </c:plus>
            <c:minus>
              <c:numRef>
                <c:f>[8]Sheet2!$L$57:$L$67</c:f>
                <c:numCache>
                  <c:formatCode>General</c:formatCode>
                  <c:ptCount val="11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3.9855099360629118E-7</c:v>
                  </c:pt>
                  <c:pt idx="10">
                    <c:v>3.6593133749968266E-7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[8]Sheet2!$I$57:$I$67</c:f>
              <c:strCache>
                <c:ptCount val="11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</c:v>
                </c:pt>
                <c:pt idx="10">
                  <c:v>RNF</c:v>
                </c:pt>
              </c:strCache>
            </c:strRef>
          </c:cat>
          <c:val>
            <c:numRef>
              <c:f>[8]Sheet2!$K$57:$K$67</c:f>
              <c:numCache>
                <c:formatCode>General</c:formatCode>
                <c:ptCount val="11"/>
                <c:pt idx="0">
                  <c:v>1.8097435106453549E-7</c:v>
                </c:pt>
                <c:pt idx="1">
                  <c:v>3.5759084072042163E-6</c:v>
                </c:pt>
                <c:pt idx="2">
                  <c:v>5.5663918746149829E-6</c:v>
                </c:pt>
                <c:pt idx="3">
                  <c:v>5.7383014376990713E-6</c:v>
                </c:pt>
                <c:pt idx="4">
                  <c:v>1.3985666534284624E-6</c:v>
                </c:pt>
                <c:pt idx="5">
                  <c:v>1.152492555789253E-5</c:v>
                </c:pt>
                <c:pt idx="6">
                  <c:v>2.2754114813120263E-5</c:v>
                </c:pt>
                <c:pt idx="7">
                  <c:v>4.3083497000719311E-6</c:v>
                </c:pt>
                <c:pt idx="8">
                  <c:v>1.0337618847484315E-6</c:v>
                </c:pt>
                <c:pt idx="9">
                  <c:v>1.7924064899633691E-5</c:v>
                </c:pt>
                <c:pt idx="10">
                  <c:v>8.3250001618405446E-6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08-5246-B596-C466090F7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13" Type="http://schemas.openxmlformats.org/officeDocument/2006/relationships/chart" Target="../charts/chart24.xml"/><Relationship Id="rId18" Type="http://schemas.openxmlformats.org/officeDocument/2006/relationships/chart" Target="../charts/chart2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12" Type="http://schemas.openxmlformats.org/officeDocument/2006/relationships/chart" Target="../charts/chart23.xml"/><Relationship Id="rId17" Type="http://schemas.openxmlformats.org/officeDocument/2006/relationships/chart" Target="../charts/chart28.xml"/><Relationship Id="rId2" Type="http://schemas.openxmlformats.org/officeDocument/2006/relationships/chart" Target="../charts/chart13.xml"/><Relationship Id="rId16" Type="http://schemas.openxmlformats.org/officeDocument/2006/relationships/chart" Target="../charts/chart27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1" Type="http://schemas.openxmlformats.org/officeDocument/2006/relationships/chart" Target="../charts/chart22.xml"/><Relationship Id="rId5" Type="http://schemas.openxmlformats.org/officeDocument/2006/relationships/chart" Target="../charts/chart16.xml"/><Relationship Id="rId15" Type="http://schemas.openxmlformats.org/officeDocument/2006/relationships/chart" Target="../charts/chart2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Relationship Id="rId14" Type="http://schemas.openxmlformats.org/officeDocument/2006/relationships/chart" Target="../charts/chart2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9.xml"/><Relationship Id="rId3" Type="http://schemas.openxmlformats.org/officeDocument/2006/relationships/chart" Target="../charts/chart34.xml"/><Relationship Id="rId7" Type="http://schemas.openxmlformats.org/officeDocument/2006/relationships/chart" Target="../charts/chart38.xml"/><Relationship Id="rId12" Type="http://schemas.openxmlformats.org/officeDocument/2006/relationships/chart" Target="../charts/chart43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6" Type="http://schemas.openxmlformats.org/officeDocument/2006/relationships/chart" Target="../charts/chart37.xml"/><Relationship Id="rId11" Type="http://schemas.openxmlformats.org/officeDocument/2006/relationships/chart" Target="../charts/chart42.xml"/><Relationship Id="rId5" Type="http://schemas.openxmlformats.org/officeDocument/2006/relationships/chart" Target="../charts/chart36.xml"/><Relationship Id="rId10" Type="http://schemas.openxmlformats.org/officeDocument/2006/relationships/chart" Target="../charts/chart41.xml"/><Relationship Id="rId4" Type="http://schemas.openxmlformats.org/officeDocument/2006/relationships/chart" Target="../charts/chart35.xml"/><Relationship Id="rId9" Type="http://schemas.openxmlformats.org/officeDocument/2006/relationships/chart" Target="../charts/chart40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5.xml"/><Relationship Id="rId1" Type="http://schemas.openxmlformats.org/officeDocument/2006/relationships/chart" Target="../charts/chart4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7.xml"/><Relationship Id="rId1" Type="http://schemas.openxmlformats.org/officeDocument/2006/relationships/chart" Target="../charts/chart4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238125</xdr:colOff>
      <xdr:row>12</xdr:row>
      <xdr:rowOff>12700</xdr:rowOff>
    </xdr:from>
    <xdr:to>
      <xdr:col>29</xdr:col>
      <xdr:colOff>28575</xdr:colOff>
      <xdr:row>34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345F0F-06A3-E667-79C7-D4B389C06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DE9166-B1B2-1848-BDBF-5C89CE87E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731157</xdr:colOff>
      <xdr:row>33</xdr:row>
      <xdr:rowOff>189818</xdr:rowOff>
    </xdr:from>
    <xdr:to>
      <xdr:col>31</xdr:col>
      <xdr:colOff>131648</xdr:colOff>
      <xdr:row>71</xdr:row>
      <xdr:rowOff>85790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612694-ACE4-6C4C-B7EB-5855F9185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FEE094-C20E-304D-AF55-05FF57C9B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731157</xdr:colOff>
      <xdr:row>33</xdr:row>
      <xdr:rowOff>189818</xdr:rowOff>
    </xdr:from>
    <xdr:to>
      <xdr:col>31</xdr:col>
      <xdr:colOff>131648</xdr:colOff>
      <xdr:row>71</xdr:row>
      <xdr:rowOff>85790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92AF2F-277A-1544-BC09-6395D968C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750384-53F4-6F4A-BE80-B908C40CC1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731157</xdr:colOff>
      <xdr:row>33</xdr:row>
      <xdr:rowOff>189818</xdr:rowOff>
    </xdr:from>
    <xdr:to>
      <xdr:col>31</xdr:col>
      <xdr:colOff>131648</xdr:colOff>
      <xdr:row>71</xdr:row>
      <xdr:rowOff>85790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5278BD-BFEC-B541-97FE-4BFFF7131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4BD2CB-BB6C-A14C-A24D-1D6BD1CDDB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731157</xdr:colOff>
      <xdr:row>33</xdr:row>
      <xdr:rowOff>189818</xdr:rowOff>
    </xdr:from>
    <xdr:to>
      <xdr:col>31</xdr:col>
      <xdr:colOff>131648</xdr:colOff>
      <xdr:row>71</xdr:row>
      <xdr:rowOff>85790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C996F5D-3B50-F94C-B888-5DE2906195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4C95372-00CE-774B-A90D-9BA3D00256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731157</xdr:colOff>
      <xdr:row>36</xdr:row>
      <xdr:rowOff>189818</xdr:rowOff>
    </xdr:from>
    <xdr:to>
      <xdr:col>31</xdr:col>
      <xdr:colOff>131648</xdr:colOff>
      <xdr:row>74</xdr:row>
      <xdr:rowOff>85790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5E91A27-BA2C-384A-8650-4381E83BE0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4F1FB5-EA99-9749-BF6E-6DEFDC725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731157</xdr:colOff>
      <xdr:row>33</xdr:row>
      <xdr:rowOff>189818</xdr:rowOff>
    </xdr:from>
    <xdr:to>
      <xdr:col>31</xdr:col>
      <xdr:colOff>131648</xdr:colOff>
      <xdr:row>71</xdr:row>
      <xdr:rowOff>85790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80F9F6-4E6C-014E-AEAC-C5B24B5B9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8A72B6-DB47-D842-B8D8-FE89DE9EA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731157</xdr:colOff>
      <xdr:row>33</xdr:row>
      <xdr:rowOff>189818</xdr:rowOff>
    </xdr:from>
    <xdr:to>
      <xdr:col>31</xdr:col>
      <xdr:colOff>131648</xdr:colOff>
      <xdr:row>71</xdr:row>
      <xdr:rowOff>85790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183D1E-4ECD-8F46-B7CD-225F90567F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1DC5EA-9CD9-3049-BF71-3F993EE1A1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731157</xdr:colOff>
      <xdr:row>33</xdr:row>
      <xdr:rowOff>189818</xdr:rowOff>
    </xdr:from>
    <xdr:to>
      <xdr:col>31</xdr:col>
      <xdr:colOff>131648</xdr:colOff>
      <xdr:row>71</xdr:row>
      <xdr:rowOff>85790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6F08C7B-9E64-874D-85DD-84DF76DF71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30689C6-F365-764D-95D6-333729017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731157</xdr:colOff>
      <xdr:row>33</xdr:row>
      <xdr:rowOff>189818</xdr:rowOff>
    </xdr:from>
    <xdr:to>
      <xdr:col>31</xdr:col>
      <xdr:colOff>131648</xdr:colOff>
      <xdr:row>71</xdr:row>
      <xdr:rowOff>85790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CDFE3BC-DB50-F140-A4A1-A2925A12BB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74091AF-03B5-D644-B2BA-D924BD4FE1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731157</xdr:colOff>
      <xdr:row>33</xdr:row>
      <xdr:rowOff>189818</xdr:rowOff>
    </xdr:from>
    <xdr:to>
      <xdr:col>31</xdr:col>
      <xdr:colOff>131648</xdr:colOff>
      <xdr:row>71</xdr:row>
      <xdr:rowOff>85790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1348E16-1088-0E4C-A35D-BC26FCE332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D197ED2-BF43-6441-B547-5D88E6628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731157</xdr:colOff>
      <xdr:row>33</xdr:row>
      <xdr:rowOff>189818</xdr:rowOff>
    </xdr:from>
    <xdr:to>
      <xdr:col>31</xdr:col>
      <xdr:colOff>131648</xdr:colOff>
      <xdr:row>71</xdr:row>
      <xdr:rowOff>85790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0978AD1-7865-AB48-8338-B0C5CEC6AE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64103D0-BECA-A842-AC53-1358C5362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731157</xdr:colOff>
      <xdr:row>33</xdr:row>
      <xdr:rowOff>189818</xdr:rowOff>
    </xdr:from>
    <xdr:to>
      <xdr:col>31</xdr:col>
      <xdr:colOff>131648</xdr:colOff>
      <xdr:row>71</xdr:row>
      <xdr:rowOff>85790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FFC39D6-5F89-454A-AC74-1013C5D0FA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8328AB0-4133-EA49-A069-8EB8C298F5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731157</xdr:colOff>
      <xdr:row>33</xdr:row>
      <xdr:rowOff>189818</xdr:rowOff>
    </xdr:from>
    <xdr:to>
      <xdr:col>31</xdr:col>
      <xdr:colOff>131648</xdr:colOff>
      <xdr:row>71</xdr:row>
      <xdr:rowOff>85790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C03243E-EC5B-B144-B2CF-3C52C82D2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CE59E1E-C47A-5F46-ABF7-2DF1612137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17</xdr:col>
      <xdr:colOff>731157</xdr:colOff>
      <xdr:row>36</xdr:row>
      <xdr:rowOff>189818</xdr:rowOff>
    </xdr:from>
    <xdr:to>
      <xdr:col>31</xdr:col>
      <xdr:colOff>131648</xdr:colOff>
      <xdr:row>74</xdr:row>
      <xdr:rowOff>85790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5A04C18-169A-384E-B026-1F2EC9863C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534104</xdr:colOff>
      <xdr:row>2</xdr:row>
      <xdr:rowOff>12557</xdr:rowOff>
    </xdr:from>
    <xdr:to>
      <xdr:col>29</xdr:col>
      <xdr:colOff>529403</xdr:colOff>
      <xdr:row>27</xdr:row>
      <xdr:rowOff>9878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1937C2D-A915-1A4B-BB58-8F4CB5452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197757</xdr:colOff>
      <xdr:row>30</xdr:row>
      <xdr:rowOff>62818</xdr:rowOff>
    </xdr:from>
    <xdr:to>
      <xdr:col>30</xdr:col>
      <xdr:colOff>436448</xdr:colOff>
      <xdr:row>67</xdr:row>
      <xdr:rowOff>161990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C21FCEE-0FA3-0541-A936-ADFB21B93A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3AEB9F1-06D8-B440-95FF-2750E5897C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731157</xdr:colOff>
      <xdr:row>33</xdr:row>
      <xdr:rowOff>189818</xdr:rowOff>
    </xdr:from>
    <xdr:to>
      <xdr:col>31</xdr:col>
      <xdr:colOff>131648</xdr:colOff>
      <xdr:row>71</xdr:row>
      <xdr:rowOff>85790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F51DC83-857E-1E42-A93A-D4DD6E148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A5EAEDA-AE20-E04D-99B5-026DF2245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731157</xdr:colOff>
      <xdr:row>33</xdr:row>
      <xdr:rowOff>189818</xdr:rowOff>
    </xdr:from>
    <xdr:to>
      <xdr:col>31</xdr:col>
      <xdr:colOff>131648</xdr:colOff>
      <xdr:row>71</xdr:row>
      <xdr:rowOff>85790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77DA4E4-4DBB-8446-83F2-680689FAA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1D72BE4-221C-1A4E-9F7B-3C99B2B6DF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731157</xdr:colOff>
      <xdr:row>33</xdr:row>
      <xdr:rowOff>189818</xdr:rowOff>
    </xdr:from>
    <xdr:to>
      <xdr:col>31</xdr:col>
      <xdr:colOff>131648</xdr:colOff>
      <xdr:row>71</xdr:row>
      <xdr:rowOff>85790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941B4DB9-4194-104C-BF64-9107A78D6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A267ACB5-8B86-C641-94B0-8471C0E91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731157</xdr:colOff>
      <xdr:row>33</xdr:row>
      <xdr:rowOff>189818</xdr:rowOff>
    </xdr:from>
    <xdr:to>
      <xdr:col>31</xdr:col>
      <xdr:colOff>131648</xdr:colOff>
      <xdr:row>71</xdr:row>
      <xdr:rowOff>85790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DC6E7493-2F73-7842-A2AF-9CE1017FB7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A631AB5C-FBCD-2C4A-965D-45E06FB6A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731157</xdr:colOff>
      <xdr:row>33</xdr:row>
      <xdr:rowOff>189818</xdr:rowOff>
    </xdr:from>
    <xdr:to>
      <xdr:col>31</xdr:col>
      <xdr:colOff>131648</xdr:colOff>
      <xdr:row>71</xdr:row>
      <xdr:rowOff>85790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4B4CF3E-5607-5544-AF05-A7DD6BFEF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BFE719EC-701F-3348-946C-DB06C018D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731157</xdr:colOff>
      <xdr:row>36</xdr:row>
      <xdr:rowOff>189818</xdr:rowOff>
    </xdr:from>
    <xdr:to>
      <xdr:col>31</xdr:col>
      <xdr:colOff>131648</xdr:colOff>
      <xdr:row>74</xdr:row>
      <xdr:rowOff>85790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F2831756-98B8-B943-8194-AEFE706EB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690640</xdr:colOff>
      <xdr:row>2</xdr:row>
      <xdr:rowOff>84622</xdr:rowOff>
    </xdr:from>
    <xdr:to>
      <xdr:col>31</xdr:col>
      <xdr:colOff>685939</xdr:colOff>
      <xdr:row>27</xdr:row>
      <xdr:rowOff>81944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D6E660B-D0ED-A84E-8E82-1CDA86D43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475769</xdr:colOff>
      <xdr:row>39</xdr:row>
      <xdr:rowOff>63859</xdr:rowOff>
    </xdr:from>
    <xdr:to>
      <xdr:col>32</xdr:col>
      <xdr:colOff>698024</xdr:colOff>
      <xdr:row>76</xdr:row>
      <xdr:rowOff>137040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FC10C87-A819-4D43-B2D9-F88AE2256B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333362</xdr:colOff>
      <xdr:row>0</xdr:row>
      <xdr:rowOff>155124</xdr:rowOff>
    </xdr:from>
    <xdr:to>
      <xdr:col>29</xdr:col>
      <xdr:colOff>328661</xdr:colOff>
      <xdr:row>25</xdr:row>
      <xdr:rowOff>152445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58A23A8B-6645-1242-BB78-070426708F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178093</xdr:colOff>
      <xdr:row>38</xdr:row>
      <xdr:rowOff>5464</xdr:rowOff>
    </xdr:from>
    <xdr:to>
      <xdr:col>30</xdr:col>
      <xdr:colOff>397939</xdr:colOff>
      <xdr:row>75</xdr:row>
      <xdr:rowOff>85791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6B50E787-40B6-504E-BCA2-AA9760D88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kirstenfisher/Desktop/max_production_isoprene_MEP_const/RBA_Protein_Syn_Analysis_MEP_const_KF.xlsx" TargetMode="External"/><Relationship Id="rId2" Type="http://schemas.openxmlformats.org/officeDocument/2006/relationships/externalLinkPath" Target="https://uwprod-my.sharepoint.com/Users/kirstenfisher/Desktop/max_production_isoprene_MEP_const/RBA_Protein_Syn_Analysis_MEP_const_KF.xlsx" TargetMode="External"/><Relationship Id="rId1" Type="http://schemas.openxmlformats.org/officeDocument/2006/relationships/externalLinkPath" Target="/Users/kirstenfisher/Desktop/max_production_isoprene_MEP_const/RBA_Protein_Syn_Analysis_MEP_const_KF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Jun%20ZmRBA%20Paper/Updating_model_MEP_fdxA_rnf/Updated/Analyses/max_production_EtOH/RBA_Protein_Syn_Analysis_KF.xlsx" TargetMode="External"/><Relationship Id="rId2" Type="http://schemas.openxmlformats.org/officeDocument/2006/relationships/externalLinkPath" Target="https://uwprod-my.sharepoint.com/personal/kfisher22_wisc_edu/Documents/Jun%20ZmRBA%20Paper/Updating_model_MEP_fdxA_rnf/Updated/Analyses/max_production_EtOH/RBA_Protein_Syn_Analysis_KF.xlsx" TargetMode="External"/><Relationship Id="rId1" Type="http://schemas.openxmlformats.org/officeDocument/2006/relationships/externalLinkPath" Target="/personal/kfisher22_wisc_edu/Documents/Jun%20ZmRBA%20Paper/Updating_model_MEP_fdxA_rnf/Updated/Analyses/max_production_EtOH/RBA_Protein_Syn_Analysis_KF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kirstenfisher/Desktop/max_production_isoprene_no_MEP_const/RBA_Protein_Syn_Analysis_MEP_no_MEP_const_KF.xlsx" TargetMode="External"/><Relationship Id="rId2" Type="http://schemas.openxmlformats.org/officeDocument/2006/relationships/externalLinkPath" Target="https://uwprod-my.sharepoint.com/Users/kirstenfisher/Desktop/max_production_isoprene_no_MEP_const/RBA_Protein_Syn_Analysis_MEP_no_MEP_const_KF.xlsx" TargetMode="External"/><Relationship Id="rId1" Type="http://schemas.openxmlformats.org/officeDocument/2006/relationships/externalLinkPath" Target="/Users/kirstenfisher/Desktop/max_production_isoprene_no_MEP_const/RBA_Protein_Syn_Analysis_MEP_no_MEP_const_KF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Jun%20ZmRBA%20Paper/Updating_model_MEP_fdxA_rnf/Updated/Analyses/max_production_isoprene_MEP_const/RBA_Protein_Syn_Analysis_MEP_const_KF.xlsx" TargetMode="External"/><Relationship Id="rId2" Type="http://schemas.openxmlformats.org/officeDocument/2006/relationships/externalLinkPath" Target="https://uwprod-my.sharepoint.com/personal/kfisher22_wisc_edu/Documents/Jun%20ZmRBA%20Paper/Updating_model_MEP_fdxA_rnf/Updated/Analyses/max_production_isoprene_MEP_const/RBA_Protein_Syn_Analysis_MEP_const_KF.xlsx" TargetMode="External"/><Relationship Id="rId1" Type="http://schemas.openxmlformats.org/officeDocument/2006/relationships/externalLinkPath" Target="/personal/kfisher22_wisc_edu/Documents/Jun%20ZmRBA%20Paper/Updating_model_MEP_fdxA_rnf/Updated/Analyses/max_production_isoprene_MEP_const/RBA_Protein_Syn_Analysis_MEP_const_KF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kirstenfisher/Desktop/max_production_isoprene_no_protein_const/RBA_Protein_Syn_Analysis_MEP_no_const_KF.xlsx" TargetMode="External"/><Relationship Id="rId2" Type="http://schemas.openxmlformats.org/officeDocument/2006/relationships/externalLinkPath" Target="https://uwprod-my.sharepoint.com/Users/kirstenfisher/Desktop/max_production_isoprene_no_protein_const/RBA_Protein_Syn_Analysis_MEP_no_const_KF.xlsx" TargetMode="External"/><Relationship Id="rId1" Type="http://schemas.openxmlformats.org/officeDocument/2006/relationships/externalLinkPath" Target="/Users/kirstenfisher/Desktop/max_production_isoprene_no_protein_const/RBA_Protein_Syn_Analysis_MEP_no_const_KF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kirstenfisher/Desktop/max_production_isoprene_no_protein_const_IDI/RBA_Protein_Syn_Analysis_MEP_no_const_KF.xlsx" TargetMode="External"/><Relationship Id="rId2" Type="http://schemas.openxmlformats.org/officeDocument/2006/relationships/externalLinkPath" Target="https://uwprod-my.sharepoint.com/Users/kirstenfisher/Desktop/max_production_isoprene_no_protein_const_IDI/RBA_Protein_Syn_Analysis_MEP_no_const_KF.xlsx" TargetMode="External"/><Relationship Id="rId1" Type="http://schemas.openxmlformats.org/officeDocument/2006/relationships/externalLinkPath" Target="/Users/kirstenfisher/Desktop/max_production_isoprene_no_protein_const_IDI/RBA_Protein_Syn_Analysis_MEP_no_const_KF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kirstenfisher/Desktop/max_production_isoprene_no_protein_const_IDI_medKappIspS_IDI/RBA_Protein_Syn_Analysis_MEP_no_const_KF.xlsx" TargetMode="External"/><Relationship Id="rId2" Type="http://schemas.openxmlformats.org/officeDocument/2006/relationships/externalLinkPath" Target="https://uwprod-my.sharepoint.com/Users/kirstenfisher/Desktop/max_production_isoprene_no_protein_const_IDI_medKappIspS_IDI/RBA_Protein_Syn_Analysis_MEP_no_const_KF.xlsx" TargetMode="External"/><Relationship Id="rId1" Type="http://schemas.openxmlformats.org/officeDocument/2006/relationships/externalLinkPath" Target="/Users/kirstenfisher/Desktop/max_production_isoprene_no_protein_const_IDI_medKappIspS_IDI/RBA_Protein_Syn_Analysis_MEP_no_const_KF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kirstenfisher/Desktop/max_production_isoprene_no_protein_const_IDI_medKappIspS_IDI_IspH/RBA_Protein_Syn_Analysis_MEP_no_const_KF.xlsx" TargetMode="External"/><Relationship Id="rId2" Type="http://schemas.openxmlformats.org/officeDocument/2006/relationships/externalLinkPath" Target="https://uwprod-my.sharepoint.com/Users/kirstenfisher/Desktop/max_production_isoprene_no_protein_const_IDI_medKappIspS_IDI_IspH/RBA_Protein_Syn_Analysis_MEP_no_const_KF.xlsx" TargetMode="External"/><Relationship Id="rId1" Type="http://schemas.openxmlformats.org/officeDocument/2006/relationships/externalLinkPath" Target="/Users/kirstenfisher/Desktop/max_production_isoprene_no_protein_const_IDI_medKappIspS_IDI_IspH/RBA_Protein_Syn_Analysis_MEP_no_const_K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</sheetNames>
    <sheetDataSet>
      <sheetData sheetId="0" refreshError="1"/>
      <sheetData sheetId="1">
        <row r="23">
          <cell r="C23" t="str">
            <v>DXS1</v>
          </cell>
          <cell r="G23">
            <v>1.8147855153203343E-7</v>
          </cell>
          <cell r="O23">
            <v>1.8097435106453549E-7</v>
          </cell>
          <cell r="P23">
            <v>1.1978034383614539E-8</v>
          </cell>
        </row>
        <row r="24">
          <cell r="C24" t="str">
            <v>DXS2</v>
          </cell>
          <cell r="G24">
            <v>4.6616434540389972E-6</v>
          </cell>
          <cell r="O24">
            <v>3.5759084072042163E-6</v>
          </cell>
          <cell r="P24">
            <v>1.2916281996437508E-7</v>
          </cell>
        </row>
        <row r="25">
          <cell r="C25" t="str">
            <v>DXR</v>
          </cell>
          <cell r="G25">
            <v>7.179603470752089E-6</v>
          </cell>
          <cell r="O25">
            <v>5.5663918746149829E-6</v>
          </cell>
          <cell r="P25">
            <v>1.7642530523221079E-7</v>
          </cell>
        </row>
        <row r="26">
          <cell r="C26" t="str">
            <v>IspDF</v>
          </cell>
          <cell r="G26">
            <v>7.4013346239554317E-6</v>
          </cell>
          <cell r="O26">
            <v>5.7383014376990713E-6</v>
          </cell>
          <cell r="P26">
            <v>1.8013494312526211E-7</v>
          </cell>
        </row>
        <row r="27">
          <cell r="C27" t="str">
            <v>IspE</v>
          </cell>
          <cell r="G27">
            <v>1.8038891671309193E-6</v>
          </cell>
          <cell r="O27">
            <v>1.3985666534284624E-6</v>
          </cell>
          <cell r="P27">
            <v>6.3728941493019642E-8</v>
          </cell>
        </row>
        <row r="28">
          <cell r="C28" t="str">
            <v>IspG</v>
          </cell>
          <cell r="G28">
            <v>1.4864996462395543E-5</v>
          </cell>
          <cell r="O28">
            <v>1.152492555789253E-5</v>
          </cell>
          <cell r="P28">
            <v>2.8246993037327416E-7</v>
          </cell>
        </row>
        <row r="29">
          <cell r="C29" t="str">
            <v>IspH</v>
          </cell>
          <cell r="G29">
            <v>2.9348548454038997E-5</v>
          </cell>
          <cell r="O29">
            <v>2.2754114813120263E-5</v>
          </cell>
          <cell r="P29">
            <v>4.1030245570711589E-7</v>
          </cell>
        </row>
        <row r="30">
          <cell r="C30" t="str">
            <v>FPR</v>
          </cell>
          <cell r="G30">
            <v>4.5033526518105854E-6</v>
          </cell>
          <cell r="O30">
            <v>4.3083497000719311E-6</v>
          </cell>
          <cell r="P30">
            <v>1.4757599744892745E-7</v>
          </cell>
        </row>
        <row r="31">
          <cell r="C31" t="str">
            <v>FLDA</v>
          </cell>
          <cell r="G31">
            <v>1.348189415041783E-6</v>
          </cell>
          <cell r="O31">
            <v>1.0337618847484315E-6</v>
          </cell>
          <cell r="P31">
            <v>5.0257579251254371E-8</v>
          </cell>
        </row>
        <row r="32">
          <cell r="C32" t="str">
            <v>FDXA</v>
          </cell>
          <cell r="G32">
            <v>2.0692043604456825E-5</v>
          </cell>
          <cell r="O32">
            <v>1.7218636036498328E-5</v>
          </cell>
          <cell r="P32">
            <v>3.5542901618033006E-7</v>
          </cell>
        </row>
        <row r="33">
          <cell r="C33" t="str">
            <v>FDX</v>
          </cell>
          <cell r="G33">
            <v>7.0194986072423398E-8</v>
          </cell>
          <cell r="O33">
            <v>5.3789247311827955E-8</v>
          </cell>
          <cell r="P33">
            <v>4.21505376344086E-9</v>
          </cell>
        </row>
        <row r="34">
          <cell r="C34" t="str">
            <v>FDX</v>
          </cell>
          <cell r="G34">
            <v>1.5376044568245126E-7</v>
          </cell>
          <cell r="O34">
            <v>2.1901757548445245E-7</v>
          </cell>
          <cell r="P34">
            <v>1.4060387561964848E-8</v>
          </cell>
        </row>
        <row r="35">
          <cell r="C35" t="str">
            <v>FDX</v>
          </cell>
          <cell r="G35">
            <v>3.041782729805014E-7</v>
          </cell>
          <cell r="O35">
            <v>4.3262204033908217E-7</v>
          </cell>
          <cell r="P35">
            <v>2.4846536100555392E-8</v>
          </cell>
        </row>
        <row r="36">
          <cell r="C36" t="str">
            <v>ZMO1808</v>
          </cell>
          <cell r="G36">
            <v>4.277465181058496E-7</v>
          </cell>
          <cell r="O36">
            <v>6.0936987870452012E-7</v>
          </cell>
          <cell r="P36">
            <v>3.2875134496012725E-8</v>
          </cell>
        </row>
        <row r="37">
          <cell r="C37" t="str">
            <v>ZMO1809</v>
          </cell>
          <cell r="G37">
            <v>3.6238718662952649E-7</v>
          </cell>
          <cell r="O37">
            <v>5.1625677733136231E-7</v>
          </cell>
          <cell r="P37">
            <v>2.8715420923975363E-8</v>
          </cell>
        </row>
        <row r="38">
          <cell r="C38" t="str">
            <v>ZMO1810</v>
          </cell>
          <cell r="G38">
            <v>6.7652089136490251E-7</v>
          </cell>
          <cell r="O38">
            <v>9.6377223810050456E-7</v>
          </cell>
          <cell r="P38">
            <v>4.7536677836157935E-8</v>
          </cell>
        </row>
        <row r="39">
          <cell r="C39" t="str">
            <v>ZMO1811</v>
          </cell>
          <cell r="G39">
            <v>3.0001949860724235E-7</v>
          </cell>
          <cell r="O39">
            <v>4.274091368779023E-7</v>
          </cell>
          <cell r="P39">
            <v>2.4587724505903801E-8</v>
          </cell>
        </row>
        <row r="40">
          <cell r="C40" t="str">
            <v>ZMO1812</v>
          </cell>
          <cell r="G40">
            <v>9.4552646239554316E-7</v>
          </cell>
          <cell r="O40">
            <v>1.3470003634069508E-6</v>
          </cell>
          <cell r="P40">
            <v>6.1889544519485208E-8</v>
          </cell>
        </row>
        <row r="41">
          <cell r="C41" t="str">
            <v>ZMO1813</v>
          </cell>
          <cell r="G41">
            <v>4.7456545961002787E-7</v>
          </cell>
          <cell r="O41">
            <v>6.7606819783515206E-7</v>
          </cell>
          <cell r="P41">
            <v>3.5764914442767053E-8</v>
          </cell>
        </row>
        <row r="42">
          <cell r="C42" t="str">
            <v>ZMO1814</v>
          </cell>
          <cell r="G42">
            <v>2.656966573816156E-6</v>
          </cell>
          <cell r="O42">
            <v>3.7851235695841523E-6</v>
          </cell>
          <cell r="P42">
            <v>1.3456192077538062E-7</v>
          </cell>
        </row>
        <row r="57">
          <cell r="D57" t="str">
            <v>GLK</v>
          </cell>
          <cell r="E57">
            <v>2.5259291966573819E-5</v>
          </cell>
          <cell r="F57">
            <v>2.5162826034217326E-5</v>
          </cell>
          <cell r="I57" t="str">
            <v>DXS1</v>
          </cell>
          <cell r="J57">
            <v>1.8147855153203343E-7</v>
          </cell>
          <cell r="K57">
            <v>1.8097435106453549E-7</v>
          </cell>
          <cell r="L57">
            <v>1.1978034383614539E-8</v>
          </cell>
        </row>
        <row r="58">
          <cell r="D58" t="str">
            <v>G6PDH</v>
          </cell>
          <cell r="E58">
            <v>4.6604429880222839E-5</v>
          </cell>
          <cell r="F58">
            <v>4.6433825013844236E-5</v>
          </cell>
          <cell r="I58" t="str">
            <v>DXS2</v>
          </cell>
          <cell r="J58">
            <v>4.6616434540389972E-6</v>
          </cell>
          <cell r="K58">
            <v>3.5759084072042163E-6</v>
          </cell>
          <cell r="L58">
            <v>1.2916281996437508E-7</v>
          </cell>
        </row>
        <row r="59">
          <cell r="D59" t="str">
            <v>PGL</v>
          </cell>
          <cell r="E59">
            <v>7.6880287938718668E-6</v>
          </cell>
          <cell r="F59">
            <v>7.6598852218989575E-6</v>
          </cell>
          <cell r="I59" t="str">
            <v>DXR</v>
          </cell>
          <cell r="J59">
            <v>7.179603470752089E-6</v>
          </cell>
          <cell r="K59">
            <v>5.5663918746149829E-6</v>
          </cell>
          <cell r="L59">
            <v>1.7642530523221079E-7</v>
          </cell>
        </row>
        <row r="60">
          <cell r="D60" t="str">
            <v>EDD</v>
          </cell>
          <cell r="E60">
            <v>4.4019330598885798E-5</v>
          </cell>
          <cell r="F60">
            <v>4.3858189007422885E-5</v>
          </cell>
          <cell r="I60" t="str">
            <v>IspDF</v>
          </cell>
          <cell r="J60">
            <v>7.4013346239554317E-6</v>
          </cell>
          <cell r="K60">
            <v>5.7383014376990713E-6</v>
          </cell>
          <cell r="L60">
            <v>1.8013494312526211E-7</v>
          </cell>
        </row>
        <row r="61">
          <cell r="D61" t="str">
            <v>EDA</v>
          </cell>
          <cell r="E61">
            <v>5.0335501841225631E-5</v>
          </cell>
          <cell r="F61">
            <v>5.0151238638631813E-5</v>
          </cell>
          <cell r="I61" t="str">
            <v>IspE</v>
          </cell>
          <cell r="J61">
            <v>1.8038891671309193E-6</v>
          </cell>
          <cell r="K61">
            <v>1.3985666534284624E-6</v>
          </cell>
          <cell r="L61">
            <v>6.3728941493019642E-8</v>
          </cell>
        </row>
        <row r="62">
          <cell r="D62" t="str">
            <v>PGI</v>
          </cell>
          <cell r="E62">
            <v>1.4673345401114206E-5</v>
          </cell>
          <cell r="F62">
            <v>1.4312035420422808E-5</v>
          </cell>
          <cell r="I62" t="str">
            <v>IspG</v>
          </cell>
          <cell r="J62">
            <v>1.4864996462395543E-5</v>
          </cell>
          <cell r="K62">
            <v>1.152492555789253E-5</v>
          </cell>
          <cell r="L62">
            <v>2.8246993037327416E-7</v>
          </cell>
        </row>
        <row r="63">
          <cell r="D63" t="str">
            <v>TPI</v>
          </cell>
          <cell r="E63">
            <v>2.1961948328690809E-6</v>
          </cell>
          <cell r="F63">
            <v>2.2023123677521908E-6</v>
          </cell>
          <cell r="I63" t="str">
            <v>IspH</v>
          </cell>
          <cell r="J63">
            <v>2.9348548454038997E-5</v>
          </cell>
          <cell r="K63">
            <v>2.2754114813120263E-5</v>
          </cell>
          <cell r="L63">
            <v>4.1030245570711589E-7</v>
          </cell>
        </row>
        <row r="64">
          <cell r="D64" t="str">
            <v>GAPDH</v>
          </cell>
          <cell r="E64">
            <v>2.204932468913649E-4</v>
          </cell>
          <cell r="F64">
            <v>2.1983523171661431E-4</v>
          </cell>
          <cell r="I64" t="str">
            <v>FPR</v>
          </cell>
          <cell r="J64">
            <v>4.5033526518105854E-6</v>
          </cell>
          <cell r="K64">
            <v>4.3083497000719311E-6</v>
          </cell>
          <cell r="L64">
            <v>1.4757599744892745E-7</v>
          </cell>
        </row>
        <row r="65">
          <cell r="D65" t="str">
            <v>PGK</v>
          </cell>
          <cell r="E65">
            <v>6.2644104646239555E-5</v>
          </cell>
          <cell r="F65">
            <v>6.2457155101361755E-5</v>
          </cell>
          <cell r="I65" t="str">
            <v>FLDA</v>
          </cell>
          <cell r="J65">
            <v>1.348189415041783E-6</v>
          </cell>
          <cell r="K65">
            <v>1.0337618847484315E-6</v>
          </cell>
          <cell r="L65">
            <v>5.0257579251254371E-8</v>
          </cell>
        </row>
        <row r="66">
          <cell r="D66" t="str">
            <v>PGM</v>
          </cell>
          <cell r="E66">
            <v>6.8383175172701959E-5</v>
          </cell>
          <cell r="F66">
            <v>6.8253223418885916E-5</v>
          </cell>
          <cell r="I66" t="str">
            <v>FDX</v>
          </cell>
          <cell r="J66">
            <v>2.1220177309192201E-5</v>
          </cell>
          <cell r="K66">
            <v>1.7924064899633691E-5</v>
          </cell>
          <cell r="L66">
            <v>3.9855099360629118E-7</v>
          </cell>
        </row>
        <row r="67">
          <cell r="D67" t="str">
            <v>ENO</v>
          </cell>
          <cell r="E67">
            <v>1.1201743318384401E-4</v>
          </cell>
          <cell r="F67">
            <v>1.1180456120706036E-4</v>
          </cell>
          <cell r="I67" t="str">
            <v>RNF</v>
          </cell>
          <cell r="J67">
            <v>5.8437325905292477E-6</v>
          </cell>
          <cell r="K67">
            <v>8.3250001618405446E-6</v>
          </cell>
          <cell r="L67">
            <v>3.6593133749968266E-7</v>
          </cell>
        </row>
        <row r="68">
          <cell r="D68" t="str">
            <v>PYK</v>
          </cell>
          <cell r="E68">
            <v>1.4825290432869082E-4</v>
          </cell>
          <cell r="F68">
            <v>1.4876930250187686E-4</v>
          </cell>
        </row>
        <row r="69">
          <cell r="D69" t="str">
            <v>PDC</v>
          </cell>
          <cell r="E69">
            <v>1.9351916936490252E-4</v>
          </cell>
          <cell r="F69">
            <v>1.9293498422922166E-4</v>
          </cell>
        </row>
        <row r="70">
          <cell r="D70" t="str">
            <v>ADHA/B</v>
          </cell>
          <cell r="E70">
            <v>7.5712466264623953E-5</v>
          </cell>
          <cell r="F70">
            <v>7.5507071431189882E-5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ProteinComp_Anal"/>
    </sheetNames>
    <sheetDataSet>
      <sheetData sheetId="0"/>
      <sheetData sheetId="1">
        <row r="36">
          <cell r="G36">
            <v>1.4395022274275469E-6</v>
          </cell>
        </row>
        <row r="37">
          <cell r="G37">
            <v>2.3507037397174724E-6</v>
          </cell>
        </row>
        <row r="38">
          <cell r="G38">
            <v>3.9789753763346777E-7</v>
          </cell>
        </row>
        <row r="39">
          <cell r="G39">
            <v>1.2956243276383541E-6</v>
          </cell>
        </row>
        <row r="40">
          <cell r="G40">
            <v>5.1853664646378207E-6</v>
          </cell>
        </row>
        <row r="41">
          <cell r="G41">
            <v>4.2566707209922493E-7</v>
          </cell>
        </row>
        <row r="42">
          <cell r="G42">
            <v>9.5219307494572958E-8</v>
          </cell>
        </row>
        <row r="43">
          <cell r="G43">
            <v>8.0624462797256548E-6</v>
          </cell>
        </row>
        <row r="44">
          <cell r="G44">
            <v>1.2700185121069086E-6</v>
          </cell>
        </row>
        <row r="45">
          <cell r="G45">
            <v>9.8903303303634984E-7</v>
          </cell>
        </row>
        <row r="46">
          <cell r="G46">
            <v>4.2471286134047097E-6</v>
          </cell>
        </row>
        <row r="47">
          <cell r="G47">
            <v>4.9882284513233268E-6</v>
          </cell>
        </row>
        <row r="48">
          <cell r="G48">
            <v>3.3452024769860749E-6</v>
          </cell>
        </row>
        <row r="49">
          <cell r="G49">
            <v>2.8129494821783982E-6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</sheetNames>
    <sheetDataSet>
      <sheetData sheetId="0"/>
      <sheetData sheetId="1">
        <row r="23">
          <cell r="C23" t="str">
            <v>DXS1</v>
          </cell>
          <cell r="G23" t="e">
            <v>#N/A</v>
          </cell>
          <cell r="O23">
            <v>1.8097435106453549E-7</v>
          </cell>
        </row>
        <row r="24">
          <cell r="C24" t="str">
            <v>DXS2</v>
          </cell>
          <cell r="G24">
            <v>5.7897899832869076E-6</v>
          </cell>
          <cell r="O24">
            <v>3.5759084072042163E-6</v>
          </cell>
        </row>
        <row r="25">
          <cell r="C25" t="str">
            <v>DXR</v>
          </cell>
          <cell r="G25">
            <v>8.5855018133704743E-6</v>
          </cell>
          <cell r="O25">
            <v>5.5663918746149829E-6</v>
          </cell>
        </row>
        <row r="26">
          <cell r="C26" t="str">
            <v>IspDF</v>
          </cell>
          <cell r="G26">
            <v>8.8506520027855155E-6</v>
          </cell>
          <cell r="O26">
            <v>5.7383014376990713E-6</v>
          </cell>
        </row>
        <row r="27">
          <cell r="C27" t="str">
            <v>IspE</v>
          </cell>
          <cell r="G27">
            <v>2.1571238272980503E-6</v>
          </cell>
          <cell r="O27">
            <v>1.3985666534284624E-6</v>
          </cell>
        </row>
        <row r="28">
          <cell r="C28" t="str">
            <v>IspG</v>
          </cell>
          <cell r="G28">
            <v>1.7775836033426185E-5</v>
          </cell>
          <cell r="O28">
            <v>1.152492555789253E-5</v>
          </cell>
        </row>
        <row r="29">
          <cell r="C29" t="str">
            <v>IspH</v>
          </cell>
          <cell r="G29">
            <v>3.509553375766017E-5</v>
          </cell>
          <cell r="O29">
            <v>2.2754114813120263E-5</v>
          </cell>
        </row>
        <row r="30">
          <cell r="C30" t="str">
            <v>FPR</v>
          </cell>
          <cell r="G30">
            <v>4.7041090222841223E-6</v>
          </cell>
          <cell r="O30">
            <v>4.3083497000719311E-6</v>
          </cell>
        </row>
        <row r="31">
          <cell r="C31" t="str">
            <v>FLDA</v>
          </cell>
          <cell r="G31">
            <v>1.347635097493036E-6</v>
          </cell>
          <cell r="O31">
            <v>1.0337618847484315E-6</v>
          </cell>
        </row>
        <row r="32">
          <cell r="C32" t="str">
            <v>FDXA</v>
          </cell>
          <cell r="G32">
            <v>2.244657381615599E-5</v>
          </cell>
          <cell r="O32">
            <v>1.7218636036498328E-5</v>
          </cell>
        </row>
        <row r="33">
          <cell r="C33" t="str">
            <v>FDX</v>
          </cell>
          <cell r="G33">
            <v>6.9080779944289694E-8</v>
          </cell>
          <cell r="O33">
            <v>5.3789247311827955E-8</v>
          </cell>
        </row>
        <row r="34">
          <cell r="C34" t="str">
            <v>FDX</v>
          </cell>
          <cell r="G34">
            <v>2.7855153203342616E-7</v>
          </cell>
          <cell r="O34">
            <v>2.1901757548445245E-7</v>
          </cell>
        </row>
        <row r="35">
          <cell r="C35" t="str">
            <v>FDX</v>
          </cell>
          <cell r="G35">
            <v>5.5710306406685232E-7</v>
          </cell>
          <cell r="O35">
            <v>4.3262204033908217E-7</v>
          </cell>
        </row>
        <row r="36">
          <cell r="C36" t="str">
            <v>ZMO1808</v>
          </cell>
          <cell r="G36">
            <v>4.277465181058496E-7</v>
          </cell>
          <cell r="O36">
            <v>6.0936987870452012E-7</v>
          </cell>
        </row>
        <row r="37">
          <cell r="C37" t="str">
            <v>ZMO1809</v>
          </cell>
          <cell r="G37">
            <v>3.6238718662952649E-7</v>
          </cell>
          <cell r="O37">
            <v>5.1625677733136231E-7</v>
          </cell>
        </row>
        <row r="38">
          <cell r="C38" t="str">
            <v>ZMO1810</v>
          </cell>
          <cell r="G38">
            <v>6.7652089136490251E-7</v>
          </cell>
          <cell r="O38">
            <v>9.6377223810050456E-7</v>
          </cell>
        </row>
        <row r="39">
          <cell r="G39">
            <v>3.0001949860724235E-7</v>
          </cell>
          <cell r="O39">
            <v>4.274091368779023E-7</v>
          </cell>
        </row>
        <row r="55">
          <cell r="E55" t="str">
            <v>mmol/gDW</v>
          </cell>
          <cell r="F55" t="str">
            <v>mmol/gDCW</v>
          </cell>
        </row>
        <row r="56">
          <cell r="E56" t="str">
            <v>Model Pro Con</v>
          </cell>
          <cell r="F56" t="str">
            <v>Exp</v>
          </cell>
        </row>
        <row r="57">
          <cell r="D57" t="str">
            <v>GLK</v>
          </cell>
          <cell r="E57">
            <v>2.5259291966573819E-5</v>
          </cell>
          <cell r="F57">
            <v>2.5162826034217326E-5</v>
          </cell>
        </row>
        <row r="58">
          <cell r="D58" t="str">
            <v>G6PDH</v>
          </cell>
          <cell r="E58">
            <v>4.6604369019498609E-5</v>
          </cell>
          <cell r="F58">
            <v>4.6433825013844236E-5</v>
          </cell>
        </row>
        <row r="59">
          <cell r="D59" t="str">
            <v>PGL</v>
          </cell>
          <cell r="E59">
            <v>7.6880187548746521E-6</v>
          </cell>
          <cell r="F59">
            <v>7.6598852218989575E-6</v>
          </cell>
        </row>
        <row r="60">
          <cell r="D60" t="str">
            <v>EDD</v>
          </cell>
          <cell r="E60">
            <v>4.4019273114206137E-5</v>
          </cell>
          <cell r="F60">
            <v>4.3858189007422885E-5</v>
          </cell>
        </row>
        <row r="61">
          <cell r="D61" t="str">
            <v>EDA</v>
          </cell>
          <cell r="E61">
            <v>5.0335436108635104E-5</v>
          </cell>
          <cell r="F61">
            <v>5.0151238638631813E-5</v>
          </cell>
        </row>
        <row r="62">
          <cell r="D62" t="str">
            <v>PGI</v>
          </cell>
          <cell r="E62">
            <v>1.4675829649025071E-5</v>
          </cell>
          <cell r="F62">
            <v>1.4312035420422808E-5</v>
          </cell>
        </row>
        <row r="63">
          <cell r="D63" t="str">
            <v>TPI</v>
          </cell>
          <cell r="E63">
            <v>2.1961948328690809E-6</v>
          </cell>
          <cell r="F63">
            <v>2.2023123677521908E-6</v>
          </cell>
        </row>
        <row r="64">
          <cell r="D64" t="str">
            <v>GAPDH</v>
          </cell>
          <cell r="E64">
            <v>2.2039097138997214E-4</v>
          </cell>
          <cell r="F64">
            <v>2.1983523171661431E-4</v>
          </cell>
        </row>
        <row r="65">
          <cell r="D65" t="str">
            <v>PGK</v>
          </cell>
          <cell r="E65">
            <v>6.261504713649025E-5</v>
          </cell>
          <cell r="F65">
            <v>6.2457155101361755E-5</v>
          </cell>
        </row>
        <row r="66">
          <cell r="D66" t="str">
            <v>PGM</v>
          </cell>
          <cell r="E66">
            <v>6.8340991147632324E-5</v>
          </cell>
          <cell r="F66">
            <v>6.8253223418885916E-5</v>
          </cell>
        </row>
        <row r="67">
          <cell r="D67" t="str">
            <v>ENO</v>
          </cell>
          <cell r="E67">
            <v>1.1194833218384401E-4</v>
          </cell>
          <cell r="F67">
            <v>1.1180456120706036E-4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</sheetNames>
    <sheetDataSet>
      <sheetData sheetId="0"/>
      <sheetData sheetId="1">
        <row r="23">
          <cell r="P23">
            <v>1.1978034383614539E-8</v>
          </cell>
        </row>
        <row r="24">
          <cell r="P24">
            <v>1.2916281996437508E-7</v>
          </cell>
        </row>
        <row r="25">
          <cell r="P25">
            <v>1.7642530523221079E-7</v>
          </cell>
        </row>
        <row r="26">
          <cell r="P26">
            <v>1.8013494312526211E-7</v>
          </cell>
        </row>
        <row r="27">
          <cell r="P27">
            <v>6.3728941493019642E-8</v>
          </cell>
        </row>
        <row r="28">
          <cell r="P28">
            <v>2.8246993037327416E-7</v>
          </cell>
        </row>
        <row r="29">
          <cell r="P29">
            <v>4.1030245570711589E-7</v>
          </cell>
        </row>
        <row r="30">
          <cell r="P30">
            <v>1.4757599744892745E-7</v>
          </cell>
        </row>
        <row r="31">
          <cell r="P31">
            <v>5.0257579251254371E-8</v>
          </cell>
        </row>
        <row r="32">
          <cell r="P32">
            <v>3.5542901618033006E-7</v>
          </cell>
        </row>
        <row r="33">
          <cell r="P33">
            <v>4.21505376344086E-9</v>
          </cell>
        </row>
        <row r="34">
          <cell r="P34">
            <v>1.4060387561964848E-8</v>
          </cell>
        </row>
        <row r="35">
          <cell r="P35">
            <v>2.4846536100555392E-8</v>
          </cell>
        </row>
        <row r="36">
          <cell r="P36">
            <v>3.2875134496012725E-8</v>
          </cell>
        </row>
        <row r="37">
          <cell r="P37">
            <v>2.8715420923975363E-8</v>
          </cell>
        </row>
        <row r="38">
          <cell r="P38">
            <v>4.7536677836157935E-8</v>
          </cell>
        </row>
        <row r="39">
          <cell r="P39">
            <v>2.4587724505903801E-8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</sheetNames>
    <sheetDataSet>
      <sheetData sheetId="0"/>
      <sheetData sheetId="1">
        <row r="23">
          <cell r="C23" t="str">
            <v>DXS1</v>
          </cell>
          <cell r="G23" t="e">
            <v>#N/A</v>
          </cell>
          <cell r="O23">
            <v>1.8097435106453549E-7</v>
          </cell>
        </row>
        <row r="24">
          <cell r="C24" t="str">
            <v>DXS2</v>
          </cell>
          <cell r="G24">
            <v>6.4616793871866304E-6</v>
          </cell>
          <cell r="O24">
            <v>3.5759084072042163E-6</v>
          </cell>
        </row>
        <row r="25">
          <cell r="C25" t="str">
            <v>DXR</v>
          </cell>
          <cell r="G25">
            <v>9.5833258969359343E-6</v>
          </cell>
          <cell r="O25">
            <v>5.5663918746149829E-6</v>
          </cell>
        </row>
        <row r="26">
          <cell r="C26" t="str">
            <v>IspDF</v>
          </cell>
          <cell r="G26">
            <v>9.8792923676880224E-6</v>
          </cell>
          <cell r="O26">
            <v>5.7383014376990713E-6</v>
          </cell>
        </row>
        <row r="27">
          <cell r="C27" t="str">
            <v>IspE</v>
          </cell>
          <cell r="G27">
            <v>2.4078290445682456E-6</v>
          </cell>
          <cell r="O27">
            <v>1.3985666534284624E-6</v>
          </cell>
        </row>
        <row r="28">
          <cell r="C28" t="str">
            <v>IspG</v>
          </cell>
          <cell r="G28">
            <v>1.984177902506964E-5</v>
          </cell>
          <cell r="O28">
            <v>1.152492555789253E-5</v>
          </cell>
        </row>
        <row r="29">
          <cell r="C29" t="str">
            <v>IspH</v>
          </cell>
          <cell r="G29">
            <v>3.917440644011142E-5</v>
          </cell>
          <cell r="O29">
            <v>2.2754114813120263E-5</v>
          </cell>
        </row>
        <row r="30">
          <cell r="C30" t="str">
            <v>FPR</v>
          </cell>
          <cell r="G30">
            <v>6.7818216518105859E-6</v>
          </cell>
          <cell r="O30">
            <v>4.3083497000719311E-6</v>
          </cell>
        </row>
        <row r="31">
          <cell r="C31" t="str">
            <v>FLDA</v>
          </cell>
          <cell r="G31">
            <v>4.2760793788300838E-6</v>
          </cell>
          <cell r="O31">
            <v>1.0337618847484315E-6</v>
          </cell>
        </row>
        <row r="32">
          <cell r="C32" t="str">
            <v>FDXA</v>
          </cell>
          <cell r="G32">
            <v>0</v>
          </cell>
          <cell r="O32">
            <v>1.7218636036498328E-5</v>
          </cell>
        </row>
        <row r="33">
          <cell r="C33" t="str">
            <v>FDX</v>
          </cell>
          <cell r="G33">
            <v>2.8438198362116993E-5</v>
          </cell>
          <cell r="O33">
            <v>5.3789247311827955E-8</v>
          </cell>
        </row>
        <row r="34">
          <cell r="C34" t="str">
            <v>FDX</v>
          </cell>
          <cell r="G34">
            <v>0</v>
          </cell>
          <cell r="O34">
            <v>2.1901757548445245E-7</v>
          </cell>
        </row>
        <row r="35">
          <cell r="C35" t="str">
            <v>FDX</v>
          </cell>
          <cell r="G35">
            <v>0</v>
          </cell>
          <cell r="O35">
            <v>4.3262204033908217E-7</v>
          </cell>
        </row>
        <row r="36">
          <cell r="C36" t="str">
            <v>ZMO1808</v>
          </cell>
          <cell r="G36">
            <v>0</v>
          </cell>
          <cell r="O36">
            <v>6.0936987870452012E-7</v>
          </cell>
        </row>
        <row r="37">
          <cell r="C37" t="str">
            <v>ZMO1809</v>
          </cell>
          <cell r="G37">
            <v>0</v>
          </cell>
          <cell r="O37">
            <v>5.1625677733136231E-7</v>
          </cell>
        </row>
        <row r="38">
          <cell r="C38" t="str">
            <v>ZMO1810</v>
          </cell>
          <cell r="G38">
            <v>0</v>
          </cell>
          <cell r="O38">
            <v>9.6377223810050456E-7</v>
          </cell>
        </row>
        <row r="39">
          <cell r="C39" t="str">
            <v>ZMO1811</v>
          </cell>
          <cell r="G39">
            <v>0</v>
          </cell>
          <cell r="O39">
            <v>4.274091368779023E-7</v>
          </cell>
        </row>
        <row r="40">
          <cell r="C40" t="str">
            <v>ZMO1812</v>
          </cell>
          <cell r="G40">
            <v>0</v>
          </cell>
          <cell r="O40">
            <v>1.3470003634069508E-6</v>
          </cell>
        </row>
        <row r="41">
          <cell r="C41" t="str">
            <v>ZMO1813</v>
          </cell>
          <cell r="G41">
            <v>0</v>
          </cell>
          <cell r="O41">
            <v>6.7606819783515206E-7</v>
          </cell>
        </row>
        <row r="42">
          <cell r="C42" t="str">
            <v>ZMO1814</v>
          </cell>
          <cell r="G42">
            <v>0</v>
          </cell>
          <cell r="O42">
            <v>3.7851235695841523E-6</v>
          </cell>
        </row>
        <row r="57">
          <cell r="D57" t="str">
            <v>GLK</v>
          </cell>
          <cell r="E57">
            <v>2.5259291966573819E-5</v>
          </cell>
          <cell r="F57">
            <v>2.5162826034217326E-5</v>
          </cell>
          <cell r="I57" t="str">
            <v>DXS1</v>
          </cell>
          <cell r="J57" t="e">
            <v>#N/A</v>
          </cell>
          <cell r="K57">
            <v>1.8097435106453549E-7</v>
          </cell>
          <cell r="L57">
            <v>1.1978034383614539E-8</v>
          </cell>
        </row>
        <row r="58">
          <cell r="D58" t="str">
            <v>G6PDH</v>
          </cell>
          <cell r="E58">
            <v>4.660422175208914E-5</v>
          </cell>
          <cell r="F58">
            <v>4.6433825013844236E-5</v>
          </cell>
          <cell r="I58" t="str">
            <v>DXS2</v>
          </cell>
          <cell r="J58">
            <v>6.4616793871866304E-6</v>
          </cell>
          <cell r="K58">
            <v>3.5759084072042163E-6</v>
          </cell>
          <cell r="L58">
            <v>1.2916281996437508E-7</v>
          </cell>
        </row>
        <row r="59">
          <cell r="D59" t="str">
            <v>PGL</v>
          </cell>
          <cell r="E59">
            <v>7.6879944596100283E-6</v>
          </cell>
          <cell r="F59">
            <v>7.6598852218989575E-6</v>
          </cell>
          <cell r="I59" t="str">
            <v>DXR</v>
          </cell>
          <cell r="J59">
            <v>9.5833258969359343E-6</v>
          </cell>
          <cell r="K59">
            <v>5.5663918746149829E-6</v>
          </cell>
          <cell r="L59">
            <v>1.7642530523221079E-7</v>
          </cell>
        </row>
        <row r="60">
          <cell r="D60" t="str">
            <v>EDD</v>
          </cell>
          <cell r="E60">
            <v>4.4019134016713098E-5</v>
          </cell>
          <cell r="F60">
            <v>4.3858189007422885E-5</v>
          </cell>
          <cell r="I60" t="str">
            <v>IspDF</v>
          </cell>
          <cell r="J60">
            <v>9.8792923676880224E-6</v>
          </cell>
          <cell r="K60">
            <v>5.7383014376990713E-6</v>
          </cell>
          <cell r="L60">
            <v>1.8013494312526211E-7</v>
          </cell>
        </row>
        <row r="61">
          <cell r="D61" t="str">
            <v>EDA</v>
          </cell>
          <cell r="E61">
            <v>5.033527705292479E-5</v>
          </cell>
          <cell r="F61">
            <v>5.0151238638631813E-5</v>
          </cell>
          <cell r="I61" t="str">
            <v>IspE</v>
          </cell>
          <cell r="J61">
            <v>2.4078290445682456E-6</v>
          </cell>
          <cell r="K61">
            <v>1.3985666534284624E-6</v>
          </cell>
          <cell r="L61">
            <v>6.3728941493019642E-8</v>
          </cell>
        </row>
        <row r="62">
          <cell r="D62" t="str">
            <v>PGI</v>
          </cell>
          <cell r="E62">
            <v>1.4681841002785515E-5</v>
          </cell>
          <cell r="F62">
            <v>1.4312035420422808E-5</v>
          </cell>
          <cell r="I62" t="str">
            <v>IspG</v>
          </cell>
          <cell r="J62">
            <v>1.984177902506964E-5</v>
          </cell>
          <cell r="K62">
            <v>1.152492555789253E-5</v>
          </cell>
          <cell r="L62">
            <v>2.8246993037327416E-7</v>
          </cell>
        </row>
        <row r="63">
          <cell r="D63" t="str">
            <v>TPI</v>
          </cell>
          <cell r="E63">
            <v>2.1961948328690809E-6</v>
          </cell>
          <cell r="F63">
            <v>2.2023123677521908E-6</v>
          </cell>
          <cell r="I63" t="str">
            <v>IspH</v>
          </cell>
          <cell r="J63">
            <v>3.917440644011142E-5</v>
          </cell>
          <cell r="K63">
            <v>2.2754114813120263E-5</v>
          </cell>
          <cell r="L63">
            <v>4.1030245570711589E-7</v>
          </cell>
        </row>
        <row r="64">
          <cell r="D64" t="str">
            <v>GAPDH</v>
          </cell>
          <cell r="E64">
            <v>2.2031688958217273E-4</v>
          </cell>
          <cell r="F64">
            <v>2.1983523171661431E-4</v>
          </cell>
          <cell r="I64" t="str">
            <v>FPR</v>
          </cell>
          <cell r="J64">
            <v>6.7818216518105859E-6</v>
          </cell>
          <cell r="K64">
            <v>4.3083497000719311E-6</v>
          </cell>
          <cell r="L64">
            <v>1.4757599744892745E-7</v>
          </cell>
        </row>
        <row r="65">
          <cell r="D65" t="str">
            <v>PGK</v>
          </cell>
          <cell r="E65">
            <v>6.259399974094708E-5</v>
          </cell>
          <cell r="F65">
            <v>6.2457155101361755E-5</v>
          </cell>
          <cell r="I65" t="str">
            <v>FLD</v>
          </cell>
          <cell r="J65">
            <v>4.2760793788300838E-6</v>
          </cell>
          <cell r="K65">
            <v>1.0337618847484315E-6</v>
          </cell>
          <cell r="L65">
            <v>5.0257579251254371E-8</v>
          </cell>
        </row>
        <row r="66">
          <cell r="D66" t="str">
            <v>PGM</v>
          </cell>
          <cell r="E66">
            <v>6.8310850740947078E-5</v>
          </cell>
          <cell r="F66">
            <v>6.8253223418885916E-5</v>
          </cell>
          <cell r="I66" t="str">
            <v>FDX</v>
          </cell>
          <cell r="J66">
            <v>2.8438198362116993E-5</v>
          </cell>
          <cell r="K66">
            <v>1.7924064899633691E-5</v>
          </cell>
          <cell r="L66">
            <v>3.9855099360629118E-7</v>
          </cell>
        </row>
        <row r="67">
          <cell r="D67" t="str">
            <v>ENO</v>
          </cell>
          <cell r="E67">
            <v>1.1189895964066853E-4</v>
          </cell>
          <cell r="F67">
            <v>1.1180456120706036E-4</v>
          </cell>
          <cell r="I67" t="str">
            <v>RNF</v>
          </cell>
          <cell r="J67">
            <v>0</v>
          </cell>
          <cell r="K67">
            <v>8.3250001618405446E-6</v>
          </cell>
          <cell r="L67">
            <v>3.6593133749968266E-7</v>
          </cell>
        </row>
        <row r="68">
          <cell r="D68" t="str">
            <v>PYK</v>
          </cell>
          <cell r="E68">
            <v>1.4812917530083566E-4</v>
          </cell>
          <cell r="F68">
            <v>1.4876930250187686E-4</v>
          </cell>
        </row>
        <row r="69">
          <cell r="D69" t="str">
            <v>PDC</v>
          </cell>
          <cell r="E69">
            <v>1.9364301830362119E-4</v>
          </cell>
          <cell r="F69">
            <v>1.9293498422922166E-4</v>
          </cell>
        </row>
        <row r="70">
          <cell r="D70" t="str">
            <v>ADHA/B</v>
          </cell>
          <cell r="E70">
            <v>7.5750931983286903E-5</v>
          </cell>
          <cell r="F70">
            <v>7.5507071431189882E-5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</sheetNames>
    <sheetDataSet>
      <sheetData sheetId="0" refreshError="1"/>
      <sheetData sheetId="1">
        <row r="23">
          <cell r="C23" t="str">
            <v>DXS1</v>
          </cell>
          <cell r="G23" t="e">
            <v>#N/A</v>
          </cell>
          <cell r="O23">
            <v>1.8097435106453549E-7</v>
          </cell>
        </row>
        <row r="24">
          <cell r="C24" t="str">
            <v>DXS2</v>
          </cell>
          <cell r="G24">
            <v>6.4449945348189411E-6</v>
          </cell>
          <cell r="O24">
            <v>3.5759084072042163E-6</v>
          </cell>
        </row>
        <row r="25">
          <cell r="C25" t="str">
            <v>DXR</v>
          </cell>
          <cell r="G25">
            <v>9.5585471949860733E-6</v>
          </cell>
          <cell r="O25">
            <v>5.5663918746149829E-6</v>
          </cell>
        </row>
        <row r="26">
          <cell r="C26" t="str">
            <v>ISPDF</v>
          </cell>
          <cell r="G26">
            <v>9.8537484150417835E-6</v>
          </cell>
          <cell r="O26">
            <v>5.7383014376990713E-6</v>
          </cell>
        </row>
        <row r="27">
          <cell r="C27" t="str">
            <v>ISPE</v>
          </cell>
          <cell r="G27">
            <v>2.4016033481894151E-6</v>
          </cell>
          <cell r="O27">
            <v>1.3985666534284624E-6</v>
          </cell>
        </row>
        <row r="28">
          <cell r="C28" t="str">
            <v>ISPG</v>
          </cell>
          <cell r="G28">
            <v>1.9790476008356547E-5</v>
          </cell>
          <cell r="O28">
            <v>1.152492555789253E-5</v>
          </cell>
        </row>
        <row r="29">
          <cell r="C29" t="str">
            <v>ISPH</v>
          </cell>
          <cell r="G29">
            <v>3.9073116871866301E-5</v>
          </cell>
          <cell r="O29">
            <v>2.2754114813120263E-5</v>
          </cell>
        </row>
        <row r="30">
          <cell r="C30" t="str">
            <v>FPR</v>
          </cell>
          <cell r="G30">
            <v>6.7665490557103067E-6</v>
          </cell>
          <cell r="O30">
            <v>4.3083497000719311E-6</v>
          </cell>
        </row>
        <row r="31">
          <cell r="C31" t="str">
            <v>FLDA</v>
          </cell>
          <cell r="G31">
            <v>4.2760793788300838E-6</v>
          </cell>
          <cell r="O31">
            <v>1.0337618847484315E-6</v>
          </cell>
        </row>
        <row r="32">
          <cell r="C32" t="str">
            <v>FDXA</v>
          </cell>
          <cell r="G32">
            <v>2.8361215153203344E-5</v>
          </cell>
          <cell r="O32">
            <v>1.7218636036498328E-5</v>
          </cell>
        </row>
        <row r="33">
          <cell r="C33" t="str">
            <v>RNF</v>
          </cell>
          <cell r="G33" t="e">
            <v>#N/A</v>
          </cell>
          <cell r="O33">
            <v>6.0936987870452012E-7</v>
          </cell>
        </row>
        <row r="34">
          <cell r="C34" t="str">
            <v>RNF</v>
          </cell>
          <cell r="G34" t="e">
            <v>#N/A</v>
          </cell>
          <cell r="O34">
            <v>5.1625677733136231E-7</v>
          </cell>
        </row>
        <row r="35">
          <cell r="C35" t="str">
            <v>RNF</v>
          </cell>
          <cell r="G35" t="e">
            <v>#N/A</v>
          </cell>
          <cell r="O35">
            <v>9.6377223810050456E-7</v>
          </cell>
        </row>
        <row r="36">
          <cell r="C36" t="str">
            <v>RNF</v>
          </cell>
          <cell r="G36" t="e">
            <v>#N/A</v>
          </cell>
          <cell r="O36">
            <v>4.274091368779023E-7</v>
          </cell>
        </row>
        <row r="37">
          <cell r="C37" t="str">
            <v>RNF</v>
          </cell>
          <cell r="G37" t="e">
            <v>#N/A</v>
          </cell>
          <cell r="O37">
            <v>1.3470003634069508E-6</v>
          </cell>
        </row>
        <row r="38">
          <cell r="C38" t="str">
            <v>RNF</v>
          </cell>
          <cell r="G38" t="e">
            <v>#N/A</v>
          </cell>
          <cell r="O38">
            <v>6.7606819783515206E-7</v>
          </cell>
        </row>
        <row r="39">
          <cell r="C39" t="str">
            <v>RNF</v>
          </cell>
          <cell r="G39" t="e">
            <v>#N/A</v>
          </cell>
          <cell r="O39">
            <v>3.7851235695841523E-6</v>
          </cell>
        </row>
        <row r="54">
          <cell r="D54" t="str">
            <v>GLK</v>
          </cell>
          <cell r="E54">
            <v>2.5259291966573819E-5</v>
          </cell>
          <cell r="F54">
            <v>2.5162826034217326E-5</v>
          </cell>
        </row>
        <row r="55">
          <cell r="D55" t="str">
            <v>G6PDH</v>
          </cell>
          <cell r="E55">
            <v>4.66042149275766E-5</v>
          </cell>
          <cell r="F55">
            <v>4.6433825013844236E-5</v>
          </cell>
        </row>
        <row r="56">
          <cell r="D56" t="str">
            <v>PGL</v>
          </cell>
          <cell r="E56">
            <v>7.6879933342618379E-6</v>
          </cell>
          <cell r="F56">
            <v>7.6598852218989575E-6</v>
          </cell>
        </row>
        <row r="57">
          <cell r="D57" t="str">
            <v>EDD</v>
          </cell>
          <cell r="E57">
            <v>4.4019127568245125E-5</v>
          </cell>
          <cell r="F57">
            <v>4.3858189007422885E-5</v>
          </cell>
        </row>
        <row r="58">
          <cell r="D58" t="str">
            <v>EDA</v>
          </cell>
          <cell r="E58">
            <v>5.0335269679665743E-5</v>
          </cell>
          <cell r="F58">
            <v>5.0151238638631813E-5</v>
          </cell>
        </row>
        <row r="59">
          <cell r="D59" t="str">
            <v>PGI</v>
          </cell>
          <cell r="E59">
            <v>1.4682119612813372E-5</v>
          </cell>
          <cell r="F59">
            <v>1.4312035420422808E-5</v>
          </cell>
        </row>
        <row r="60">
          <cell r="D60" t="str">
            <v>TPI</v>
          </cell>
          <cell r="E60">
            <v>2.1961948328690809E-6</v>
          </cell>
          <cell r="F60">
            <v>2.2023123677521908E-6</v>
          </cell>
        </row>
        <row r="61">
          <cell r="D61" t="str">
            <v>GAPDH</v>
          </cell>
          <cell r="E61">
            <v>2.2031869117827301E-4</v>
          </cell>
          <cell r="F61">
            <v>2.1983523171661431E-4</v>
          </cell>
        </row>
        <row r="62">
          <cell r="D62" t="str">
            <v>PGK</v>
          </cell>
          <cell r="E62">
            <v>6.2594511593314767E-5</v>
          </cell>
          <cell r="F62">
            <v>6.2457155101361755E-5</v>
          </cell>
        </row>
        <row r="63">
          <cell r="D63" t="str">
            <v>PGM</v>
          </cell>
          <cell r="E63">
            <v>6.831144193871867E-5</v>
          </cell>
          <cell r="F63">
            <v>6.8253223418885916E-5</v>
          </cell>
        </row>
        <row r="64">
          <cell r="D64" t="str">
            <v>ENO</v>
          </cell>
          <cell r="E64">
            <v>1.118999280724234E-4</v>
          </cell>
          <cell r="F64">
            <v>1.1180456120706036E-4</v>
          </cell>
        </row>
        <row r="65">
          <cell r="D65" t="str">
            <v>PYK</v>
          </cell>
          <cell r="E65">
            <v>1.48129683637883E-4</v>
          </cell>
          <cell r="F65">
            <v>1.4876930250187686E-4</v>
          </cell>
        </row>
        <row r="66">
          <cell r="D66" t="str">
            <v>PDC</v>
          </cell>
          <cell r="E66">
            <v>1.9364483632311978E-4</v>
          </cell>
          <cell r="F66">
            <v>1.9293498422922166E-4</v>
          </cell>
        </row>
        <row r="67">
          <cell r="D67" t="str">
            <v>ADHA/B</v>
          </cell>
          <cell r="E67">
            <v>7.5751720381615607E-5</v>
          </cell>
          <cell r="F67">
            <v>7.5507071431189882E-5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</sheetNames>
    <sheetDataSet>
      <sheetData sheetId="0"/>
      <sheetData sheetId="1">
        <row r="23">
          <cell r="C23" t="str">
            <v>DXS1</v>
          </cell>
        </row>
        <row r="57">
          <cell r="D57" t="str">
            <v>GLK</v>
          </cell>
          <cell r="E57">
            <v>2.5259291966573819E-5</v>
          </cell>
          <cell r="F57">
            <v>2.5162826034217326E-5</v>
          </cell>
          <cell r="G57">
            <v>1.4395022274275469E-6</v>
          </cell>
          <cell r="I57" t="str">
            <v>DXS1</v>
          </cell>
          <cell r="J57" t="e">
            <v>#N/A</v>
          </cell>
          <cell r="K57">
            <v>1.8097435106453549E-7</v>
          </cell>
          <cell r="L57">
            <v>1.1978034383614539E-8</v>
          </cell>
        </row>
        <row r="58">
          <cell r="D58" t="str">
            <v>G6PDH</v>
          </cell>
          <cell r="E58">
            <v>4.660480662674095E-5</v>
          </cell>
          <cell r="F58">
            <v>4.6433825013844236E-5</v>
          </cell>
          <cell r="G58">
            <v>2.3507037397174724E-6</v>
          </cell>
          <cell r="I58" t="str">
            <v>DXS2</v>
          </cell>
          <cell r="J58">
            <v>6.6080484735376051E-6</v>
          </cell>
          <cell r="K58">
            <v>3.5759084072042163E-6</v>
          </cell>
          <cell r="L58">
            <v>1.2916281996437508E-7</v>
          </cell>
        </row>
        <row r="59">
          <cell r="D59" t="str">
            <v>PGL</v>
          </cell>
          <cell r="E59">
            <v>7.6880909442896949E-6</v>
          </cell>
          <cell r="F59">
            <v>7.6598852218989575E-6</v>
          </cell>
          <cell r="G59">
            <v>3.9789753763346777E-7</v>
          </cell>
          <cell r="I59" t="str">
            <v>DXR</v>
          </cell>
          <cell r="J59">
            <v>9.8006988718662952E-6</v>
          </cell>
          <cell r="K59">
            <v>5.5663918746149829E-6</v>
          </cell>
          <cell r="L59">
            <v>1.7642530523221079E-7</v>
          </cell>
        </row>
        <row r="60">
          <cell r="D60" t="str">
            <v>EDD</v>
          </cell>
          <cell r="E60">
            <v>4.4019686448467967E-5</v>
          </cell>
          <cell r="F60">
            <v>4.3858189007422885E-5</v>
          </cell>
          <cell r="G60">
            <v>1.2956243276383541E-6</v>
          </cell>
          <cell r="I60" t="str">
            <v>ISPDF</v>
          </cell>
          <cell r="J60">
            <v>1.0103378579387187E-5</v>
          </cell>
          <cell r="K60">
            <v>5.7383014376990713E-6</v>
          </cell>
          <cell r="L60">
            <v>1.8013494312526211E-7</v>
          </cell>
        </row>
        <row r="61">
          <cell r="D61" t="str">
            <v>EDA</v>
          </cell>
          <cell r="E61">
            <v>5.0335908752089142E-5</v>
          </cell>
          <cell r="F61">
            <v>5.0151238638631813E-5</v>
          </cell>
          <cell r="G61">
            <v>5.1853664646378207E-6</v>
          </cell>
          <cell r="I61" t="str">
            <v>ISPE</v>
          </cell>
          <cell r="J61">
            <v>2.4624444206128136E-6</v>
          </cell>
          <cell r="K61">
            <v>1.3985666534284624E-6</v>
          </cell>
          <cell r="L61">
            <v>6.3728941493019642E-8</v>
          </cell>
        </row>
        <row r="62">
          <cell r="D62" t="str">
            <v>PGI</v>
          </cell>
          <cell r="E62">
            <v>1.4657966799442897E-5</v>
          </cell>
          <cell r="F62">
            <v>1.4312035420422808E-5</v>
          </cell>
          <cell r="G62">
            <v>4.2566707209922493E-7</v>
          </cell>
          <cell r="I62" t="str">
            <v>ISPG</v>
          </cell>
          <cell r="J62">
            <v>2.0291838493036213E-5</v>
          </cell>
          <cell r="K62">
            <v>1.152492555789253E-5</v>
          </cell>
          <cell r="L62">
            <v>2.8246993037327416E-7</v>
          </cell>
        </row>
        <row r="63">
          <cell r="D63" t="str">
            <v>TPI</v>
          </cell>
          <cell r="E63">
            <v>2.1961948328690809E-6</v>
          </cell>
          <cell r="F63">
            <v>2.2023123677521908E-6</v>
          </cell>
          <cell r="G63">
            <v>9.5219307494572958E-8</v>
          </cell>
          <cell r="I63" t="str">
            <v>ISPH</v>
          </cell>
          <cell r="J63">
            <v>4.0062976584958216E-5</v>
          </cell>
          <cell r="K63">
            <v>2.2754114813120263E-5</v>
          </cell>
          <cell r="L63">
            <v>4.1030245570711589E-7</v>
          </cell>
        </row>
        <row r="64">
          <cell r="D64" t="str">
            <v>GAPDH</v>
          </cell>
          <cell r="E64">
            <v>2.2030597564902507E-4</v>
          </cell>
          <cell r="F64">
            <v>2.1983523171661431E-4</v>
          </cell>
          <cell r="G64">
            <v>8.0624462797256548E-6</v>
          </cell>
          <cell r="I64" t="str">
            <v>FPR</v>
          </cell>
          <cell r="J64">
            <v>6.9158016183844018E-6</v>
          </cell>
          <cell r="K64">
            <v>4.3083497000719311E-6</v>
          </cell>
          <cell r="L64">
            <v>1.4757599744892745E-7</v>
          </cell>
        </row>
        <row r="65">
          <cell r="D65" t="str">
            <v>PGK</v>
          </cell>
          <cell r="E65">
            <v>6.259089898328691E-5</v>
          </cell>
          <cell r="F65">
            <v>6.2457155101361755E-5</v>
          </cell>
          <cell r="G65">
            <v>1.2700185121069086E-6</v>
          </cell>
          <cell r="I65" t="str">
            <v>FLDA</v>
          </cell>
          <cell r="J65">
            <v>4.2760793788300838E-6</v>
          </cell>
          <cell r="K65">
            <v>1.0337618847484315E-6</v>
          </cell>
          <cell r="L65">
            <v>5.0257579251254371E-8</v>
          </cell>
        </row>
        <row r="66">
          <cell r="D66" t="str">
            <v>PGM</v>
          </cell>
          <cell r="E66">
            <v>6.8304463442896935E-5</v>
          </cell>
          <cell r="F66">
            <v>6.8253223418885916E-5</v>
          </cell>
          <cell r="G66">
            <v>9.8903303303634984E-7</v>
          </cell>
          <cell r="I66" t="str">
            <v>FDX</v>
          </cell>
          <cell r="J66">
            <v>2.9113539164345403E-5</v>
          </cell>
          <cell r="K66">
            <v>1.7924064899633691E-5</v>
          </cell>
          <cell r="L66">
            <v>3.9855099360629118E-7</v>
          </cell>
        </row>
        <row r="67">
          <cell r="D67" t="str">
            <v>ENO</v>
          </cell>
          <cell r="E67">
            <v>1.118884967075209E-4</v>
          </cell>
          <cell r="F67">
            <v>1.1180456120706036E-4</v>
          </cell>
          <cell r="G67">
            <v>4.2471286134047097E-6</v>
          </cell>
          <cell r="I67" t="str">
            <v>RNF</v>
          </cell>
          <cell r="J67" t="e">
            <v>#N/A</v>
          </cell>
          <cell r="K67">
            <v>8.3250001618405446E-6</v>
          </cell>
          <cell r="L67">
            <v>3.6593133749968266E-7</v>
          </cell>
        </row>
        <row r="68">
          <cell r="D68" t="str">
            <v>PYK</v>
          </cell>
          <cell r="E68">
            <v>1.4812443683844012E-4</v>
          </cell>
          <cell r="F68">
            <v>1.4876930250187686E-4</v>
          </cell>
          <cell r="G68">
            <v>4.9882284513233268E-6</v>
          </cell>
        </row>
        <row r="69">
          <cell r="D69" t="str">
            <v>PDC</v>
          </cell>
          <cell r="E69">
            <v>1.9362943461559889E-4</v>
          </cell>
          <cell r="F69">
            <v>1.9293498422922166E-4</v>
          </cell>
          <cell r="G69">
            <v>3.3452024769860749E-6</v>
          </cell>
        </row>
        <row r="70">
          <cell r="D70" t="str">
            <v>ADHA/B</v>
          </cell>
          <cell r="E70">
            <v>7.574408172980501E-5</v>
          </cell>
          <cell r="F70">
            <v>7.5507071431189882E-5</v>
          </cell>
          <cell r="G70">
            <v>2.9354583660156249E-6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</sheetNames>
    <sheetDataSet>
      <sheetData sheetId="0" refreshError="1"/>
      <sheetData sheetId="1">
        <row r="23">
          <cell r="C23" t="str">
            <v>DXS1</v>
          </cell>
        </row>
        <row r="57">
          <cell r="D57" t="str">
            <v>GLK</v>
          </cell>
          <cell r="E57">
            <v>2.5259291966573819E-5</v>
          </cell>
          <cell r="F57">
            <v>2.5162826034217326E-5</v>
          </cell>
          <cell r="G57">
            <v>1.4395022274275469E-6</v>
          </cell>
          <cell r="I57" t="str">
            <v>DXS1</v>
          </cell>
          <cell r="J57" t="e">
            <v>#N/A</v>
          </cell>
          <cell r="K57">
            <v>1.8097435106453549E-7</v>
          </cell>
          <cell r="L57">
            <v>1.1978034383614539E-8</v>
          </cell>
        </row>
        <row r="58">
          <cell r="D58" t="str">
            <v>G6PDH</v>
          </cell>
          <cell r="E58">
            <v>4.6604887350974935E-5</v>
          </cell>
          <cell r="F58">
            <v>4.6433825013844236E-5</v>
          </cell>
          <cell r="G58">
            <v>2.3507037397174724E-6</v>
          </cell>
          <cell r="I58" t="str">
            <v>DXS2</v>
          </cell>
          <cell r="J58">
            <v>6.6426394930362121E-6</v>
          </cell>
          <cell r="K58">
            <v>3.5759084072042163E-6</v>
          </cell>
          <cell r="L58">
            <v>1.2916281996437508E-7</v>
          </cell>
        </row>
        <row r="59">
          <cell r="D59" t="str">
            <v>PGL</v>
          </cell>
          <cell r="E59">
            <v>7.6881042590529256E-6</v>
          </cell>
          <cell r="F59">
            <v>7.6598852218989575E-6</v>
          </cell>
          <cell r="G59">
            <v>3.9789753763346777E-7</v>
          </cell>
          <cell r="I59" t="str">
            <v>DXR</v>
          </cell>
          <cell r="J59">
            <v>9.8520700529247917E-6</v>
          </cell>
          <cell r="K59">
            <v>5.5663918746149829E-6</v>
          </cell>
          <cell r="L59">
            <v>1.7642530523221079E-7</v>
          </cell>
        </row>
        <row r="60">
          <cell r="D60" t="str">
            <v>EDD</v>
          </cell>
          <cell r="E60">
            <v>4.4019762693593313E-5</v>
          </cell>
          <cell r="F60">
            <v>4.3858189007422885E-5</v>
          </cell>
          <cell r="G60">
            <v>1.2956243276383541E-6</v>
          </cell>
          <cell r="I60" t="str">
            <v>ISPDF</v>
          </cell>
          <cell r="J60">
            <v>1.0156336281337048E-5</v>
          </cell>
          <cell r="K60">
            <v>5.7383014376990713E-6</v>
          </cell>
          <cell r="L60">
            <v>1.8013494312526211E-7</v>
          </cell>
        </row>
        <row r="61">
          <cell r="D61" t="str">
            <v>EDA</v>
          </cell>
          <cell r="E61">
            <v>5.0335995935933148E-5</v>
          </cell>
          <cell r="F61">
            <v>5.0151238638631813E-5</v>
          </cell>
          <cell r="G61">
            <v>5.1853664646378207E-6</v>
          </cell>
          <cell r="I61" t="str">
            <v>ISPE</v>
          </cell>
          <cell r="J61">
            <v>2.4753515292479107E-6</v>
          </cell>
          <cell r="K61">
            <v>1.3985666534284624E-6</v>
          </cell>
          <cell r="L61">
            <v>6.3728941493019642E-8</v>
          </cell>
        </row>
        <row r="62">
          <cell r="D62" t="str">
            <v>PGI</v>
          </cell>
          <cell r="E62">
            <v>1.465467173259053E-5</v>
          </cell>
          <cell r="F62">
            <v>1.4312035420422808E-5</v>
          </cell>
          <cell r="G62">
            <v>4.2566707209922493E-7</v>
          </cell>
          <cell r="I62" t="str">
            <v>ISPG</v>
          </cell>
          <cell r="J62">
            <v>2.0398199857938718E-5</v>
          </cell>
          <cell r="K62">
            <v>1.152492555789253E-5</v>
          </cell>
          <cell r="L62">
            <v>2.8246993037327416E-7</v>
          </cell>
        </row>
        <row r="63">
          <cell r="D63" t="str">
            <v>TPI</v>
          </cell>
          <cell r="E63">
            <v>2.1961948328690809E-6</v>
          </cell>
          <cell r="F63">
            <v>2.2023123677521908E-6</v>
          </cell>
          <cell r="G63">
            <v>9.5219307494572958E-8</v>
          </cell>
          <cell r="I63" t="str">
            <v>ISPH</v>
          </cell>
          <cell r="J63">
            <v>1.0202830451253483E-5</v>
          </cell>
          <cell r="K63">
            <v>2.2754114813120263E-5</v>
          </cell>
          <cell r="L63">
            <v>4.1030245570711589E-7</v>
          </cell>
        </row>
        <row r="64">
          <cell r="D64" t="str">
            <v>GAPDH</v>
          </cell>
          <cell r="E64">
            <v>2.2030309123676883E-4</v>
          </cell>
          <cell r="F64">
            <v>2.1983523171661431E-4</v>
          </cell>
          <cell r="G64">
            <v>8.0624462797256548E-6</v>
          </cell>
          <cell r="I64" t="str">
            <v>FPR</v>
          </cell>
          <cell r="J64">
            <v>6.9474647493036214E-6</v>
          </cell>
          <cell r="K64">
            <v>4.3083497000719311E-6</v>
          </cell>
          <cell r="L64">
            <v>1.4757599744892745E-7</v>
          </cell>
        </row>
        <row r="65">
          <cell r="D65" t="str">
            <v>PGK</v>
          </cell>
          <cell r="E65">
            <v>6.2590079490250694E-5</v>
          </cell>
          <cell r="F65">
            <v>6.2457155101361755E-5</v>
          </cell>
          <cell r="G65">
            <v>1.2700185121069086E-6</v>
          </cell>
          <cell r="I65" t="str">
            <v>FLDA</v>
          </cell>
          <cell r="J65">
            <v>4.2760793788300838E-6</v>
          </cell>
          <cell r="K65">
            <v>1.0337618847484315E-6</v>
          </cell>
          <cell r="L65">
            <v>5.0257579251254371E-8</v>
          </cell>
        </row>
        <row r="66">
          <cell r="D66" t="str">
            <v>PGM</v>
          </cell>
          <cell r="E66">
            <v>6.8302905916434544E-5</v>
          </cell>
          <cell r="F66">
            <v>6.8253223418885916E-5</v>
          </cell>
          <cell r="G66">
            <v>9.8903303303634984E-7</v>
          </cell>
          <cell r="I66" t="str">
            <v>FDX</v>
          </cell>
          <cell r="J66">
            <v>2.9273140671309192E-5</v>
          </cell>
          <cell r="K66">
            <v>1.7924064899633691E-5</v>
          </cell>
          <cell r="L66">
            <v>3.9855099360629118E-7</v>
          </cell>
        </row>
        <row r="67">
          <cell r="D67" t="str">
            <v>ENO</v>
          </cell>
          <cell r="E67">
            <v>1.118859453454039E-4</v>
          </cell>
          <cell r="F67">
            <v>1.1180456120706036E-4</v>
          </cell>
          <cell r="G67">
            <v>4.2471286134047097E-6</v>
          </cell>
          <cell r="I67" t="str">
            <v>RNF</v>
          </cell>
          <cell r="J67" t="e">
            <v>#N/A</v>
          </cell>
          <cell r="K67">
            <v>8.3250001618405446E-6</v>
          </cell>
          <cell r="L67">
            <v>3.6593133749968266E-7</v>
          </cell>
        </row>
        <row r="68">
          <cell r="D68" t="str">
            <v>PYK</v>
          </cell>
          <cell r="E68">
            <v>1.4812286291364903E-4</v>
          </cell>
          <cell r="F68">
            <v>1.4876930250187686E-4</v>
          </cell>
          <cell r="G68">
            <v>4.9882284513233268E-6</v>
          </cell>
        </row>
        <row r="69">
          <cell r="D69" t="str">
            <v>PDC</v>
          </cell>
          <cell r="E69">
            <v>1.9362640944289695E-4</v>
          </cell>
          <cell r="F69">
            <v>1.9293498422922166E-4</v>
          </cell>
          <cell r="G69">
            <v>3.3452024769860749E-6</v>
          </cell>
        </row>
        <row r="70">
          <cell r="D70" t="str">
            <v>ADHA/B</v>
          </cell>
          <cell r="E70">
            <v>7.5742601899721451E-5</v>
          </cell>
          <cell r="F70">
            <v>7.5507071431189882E-5</v>
          </cell>
          <cell r="G70">
            <v>2.9354583660156249E-6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CDDD-C62D-44F3-A48C-C70D3A3D5948}">
  <dimension ref="A1:AN38"/>
  <sheetViews>
    <sheetView tabSelected="1" topLeftCell="A10" zoomScale="94" workbookViewId="0">
      <selection activeCell="D16" sqref="D16"/>
    </sheetView>
  </sheetViews>
  <sheetFormatPr defaultColWidth="8.85546875" defaultRowHeight="15" x14ac:dyDescent="0.25"/>
  <cols>
    <col min="1" max="1" width="35.140625" customWidth="1"/>
    <col min="5" max="5" width="17" customWidth="1"/>
    <col min="9" max="9" width="16.85546875" customWidth="1"/>
    <col min="15" max="15" width="10.42578125" customWidth="1"/>
    <col min="16" max="16" width="8.85546875" customWidth="1"/>
    <col min="17" max="17" width="19.7109375" customWidth="1"/>
    <col min="18" max="18" width="18.85546875" customWidth="1"/>
    <col min="19" max="19" width="10.85546875" customWidth="1"/>
    <col min="20" max="20" width="11" customWidth="1"/>
    <col min="21" max="21" width="21.42578125" customWidth="1"/>
    <col min="22" max="22" width="26.42578125" customWidth="1"/>
    <col min="24" max="24" width="16.7109375" customWidth="1"/>
    <col min="28" max="28" width="20" customWidth="1"/>
    <col min="32" max="32" width="18.140625" customWidth="1"/>
  </cols>
  <sheetData>
    <row r="1" spans="1:40" x14ac:dyDescent="0.25">
      <c r="A1" s="18" t="s">
        <v>1</v>
      </c>
      <c r="B1" s="18"/>
      <c r="E1" s="18" t="s">
        <v>2</v>
      </c>
      <c r="F1" s="18"/>
      <c r="I1" s="18" t="s">
        <v>3</v>
      </c>
      <c r="J1" s="18"/>
      <c r="M1" s="18" t="s">
        <v>114</v>
      </c>
      <c r="N1" s="18"/>
      <c r="O1" s="15"/>
      <c r="P1" s="15"/>
      <c r="Q1" s="18" t="s">
        <v>121</v>
      </c>
      <c r="R1" s="18"/>
      <c r="S1" s="15"/>
      <c r="T1" s="15"/>
      <c r="U1" s="18" t="s">
        <v>126</v>
      </c>
      <c r="V1" s="18"/>
      <c r="Y1" s="18" t="s">
        <v>113</v>
      </c>
      <c r="Z1" s="18"/>
      <c r="AA1" s="18"/>
      <c r="AD1" s="18" t="s">
        <v>4</v>
      </c>
      <c r="AE1" s="18"/>
      <c r="AF1" s="18"/>
      <c r="AH1" s="18" t="s">
        <v>5</v>
      </c>
      <c r="AI1" s="18"/>
      <c r="AL1" s="18" t="s">
        <v>6</v>
      </c>
      <c r="AM1" s="18"/>
      <c r="AN1" s="18"/>
    </row>
    <row r="2" spans="1:40" x14ac:dyDescent="0.25">
      <c r="A2" t="s">
        <v>7</v>
      </c>
      <c r="B2">
        <v>55.1</v>
      </c>
      <c r="E2" t="s">
        <v>7</v>
      </c>
      <c r="F2">
        <v>55.1</v>
      </c>
      <c r="I2" t="s">
        <v>7</v>
      </c>
      <c r="J2">
        <v>55.1</v>
      </c>
      <c r="M2" t="s">
        <v>7</v>
      </c>
      <c r="N2">
        <v>55.1</v>
      </c>
      <c r="Q2" t="s">
        <v>7</v>
      </c>
      <c r="R2">
        <v>55.1</v>
      </c>
      <c r="U2" t="s">
        <v>7</v>
      </c>
      <c r="V2">
        <v>55.1</v>
      </c>
      <c r="Y2" t="s">
        <v>7</v>
      </c>
      <c r="Z2">
        <v>55.6</v>
      </c>
      <c r="AD2" t="s">
        <v>7</v>
      </c>
      <c r="AE2">
        <v>72.400000000000006</v>
      </c>
      <c r="AH2" t="s">
        <v>7</v>
      </c>
      <c r="AI2">
        <v>57.3</v>
      </c>
      <c r="AL2" t="s">
        <v>7</v>
      </c>
      <c r="AM2">
        <v>31.8</v>
      </c>
    </row>
    <row r="3" spans="1:40" x14ac:dyDescent="0.25">
      <c r="A3" t="s">
        <v>0</v>
      </c>
      <c r="B3">
        <v>2.9145467464011001E-2</v>
      </c>
      <c r="E3" t="s">
        <v>0</v>
      </c>
      <c r="F3">
        <v>5.4304320344694998E-2</v>
      </c>
      <c r="I3" t="s">
        <v>0</v>
      </c>
      <c r="J3">
        <v>7.2160596703842006E-2</v>
      </c>
      <c r="M3" t="s">
        <v>0</v>
      </c>
      <c r="N3">
        <v>7.2160596703842006E-2</v>
      </c>
      <c r="Q3" t="s">
        <v>0</v>
      </c>
      <c r="R3">
        <v>7.6050532794782993E-2</v>
      </c>
      <c r="U3" t="s">
        <v>0</v>
      </c>
      <c r="V3">
        <v>7.6969831111827994E-2</v>
      </c>
      <c r="Y3" t="s">
        <v>0</v>
      </c>
      <c r="Z3">
        <v>2.4110999999999998</v>
      </c>
      <c r="AD3" t="s">
        <v>9</v>
      </c>
      <c r="AE3">
        <v>5.8419037672757519E-4</v>
      </c>
      <c r="AF3">
        <v>2.8538035644737873E-4</v>
      </c>
      <c r="AH3" t="s">
        <v>9</v>
      </c>
      <c r="AI3">
        <v>3.3301113188235962E-3</v>
      </c>
      <c r="AJ3">
        <v>8.6116254486775818E-4</v>
      </c>
      <c r="AL3" t="s">
        <v>9</v>
      </c>
      <c r="AM3">
        <v>1.8039670449139817E-3</v>
      </c>
      <c r="AN3">
        <v>4.0512819229000438E-4</v>
      </c>
    </row>
    <row r="4" spans="1:40" x14ac:dyDescent="0.25">
      <c r="A4" t="s">
        <v>8</v>
      </c>
      <c r="B4">
        <v>0.35899999999999999</v>
      </c>
      <c r="E4" t="s">
        <v>8</v>
      </c>
      <c r="F4">
        <v>0.35899999999999999</v>
      </c>
      <c r="I4" t="s">
        <v>8</v>
      </c>
      <c r="J4">
        <v>0.35899999999999999</v>
      </c>
      <c r="M4" t="s">
        <v>8</v>
      </c>
      <c r="N4">
        <v>0.35899999999999999</v>
      </c>
      <c r="Q4" t="s">
        <v>8</v>
      </c>
      <c r="R4">
        <v>0.35899999999999999</v>
      </c>
      <c r="U4" t="s">
        <v>8</v>
      </c>
      <c r="V4">
        <v>0.35899999999999999</v>
      </c>
      <c r="Y4" t="s">
        <v>8</v>
      </c>
      <c r="Z4">
        <v>0.35899999999999999</v>
      </c>
    </row>
    <row r="5" spans="1:40" x14ac:dyDescent="0.25">
      <c r="A5" t="s">
        <v>9</v>
      </c>
      <c r="B5">
        <f>(B3/B2)*100</f>
        <v>5.2895585234139744E-2</v>
      </c>
      <c r="E5" t="s">
        <v>9</v>
      </c>
      <c r="F5">
        <f>(F3/F2)*100</f>
        <v>9.8555935289827576E-2</v>
      </c>
      <c r="I5" t="s">
        <v>9</v>
      </c>
      <c r="J5">
        <f>(J3/J2)*100</f>
        <v>0.13096297042439564</v>
      </c>
      <c r="M5" t="s">
        <v>9</v>
      </c>
      <c r="N5">
        <f>(N3/N2)*100</f>
        <v>0.13096297042439564</v>
      </c>
      <c r="Q5" t="s">
        <v>9</v>
      </c>
      <c r="R5">
        <f>(R3/R2)*100</f>
        <v>0.13802274554407076</v>
      </c>
      <c r="U5" t="s">
        <v>9</v>
      </c>
      <c r="V5">
        <f>(V3/V2)*100</f>
        <v>0.13969116354233757</v>
      </c>
      <c r="Y5" t="s">
        <v>9</v>
      </c>
      <c r="Z5">
        <f>(Z3/Z2)*100</f>
        <v>4.3365107913669059</v>
      </c>
    </row>
    <row r="6" spans="1:40" x14ac:dyDescent="0.25">
      <c r="M6" t="s">
        <v>133</v>
      </c>
    </row>
    <row r="11" spans="1:40" x14ac:dyDescent="0.25">
      <c r="A11" t="s">
        <v>10</v>
      </c>
      <c r="B11">
        <v>5.2895585234139744E-2</v>
      </c>
    </row>
    <row r="12" spans="1:40" x14ac:dyDescent="0.25">
      <c r="A12" t="s">
        <v>11</v>
      </c>
      <c r="B12">
        <v>9.8555935289827576E-2</v>
      </c>
    </row>
    <row r="13" spans="1:40" x14ac:dyDescent="0.25">
      <c r="A13" t="s">
        <v>12</v>
      </c>
      <c r="B13">
        <v>0.13096297042439564</v>
      </c>
    </row>
    <row r="14" spans="1:40" x14ac:dyDescent="0.25">
      <c r="A14" t="s">
        <v>115</v>
      </c>
      <c r="B14">
        <v>0.13096297042430671</v>
      </c>
    </row>
    <row r="15" spans="1:40" x14ac:dyDescent="0.25">
      <c r="A15" t="s">
        <v>122</v>
      </c>
      <c r="B15">
        <v>0.13802274554407076</v>
      </c>
    </row>
    <row r="16" spans="1:40" x14ac:dyDescent="0.25">
      <c r="A16" t="s">
        <v>13</v>
      </c>
      <c r="B16">
        <v>5.8419037672757519E-4</v>
      </c>
      <c r="C16">
        <v>2.8538035644737873E-4</v>
      </c>
    </row>
    <row r="17" spans="1:8" x14ac:dyDescent="0.25">
      <c r="A17" t="s">
        <v>14</v>
      </c>
      <c r="B17">
        <v>3.3301113188235962E-3</v>
      </c>
      <c r="C17">
        <v>8.6116254486775818E-4</v>
      </c>
    </row>
    <row r="18" spans="1:8" x14ac:dyDescent="0.25">
      <c r="A18" t="s">
        <v>15</v>
      </c>
      <c r="B18">
        <v>1.8039670449139817E-3</v>
      </c>
      <c r="C18">
        <v>4.0512819229000438E-4</v>
      </c>
    </row>
    <row r="23" spans="1:8" x14ac:dyDescent="0.25">
      <c r="A23" t="s">
        <v>16</v>
      </c>
    </row>
    <row r="24" spans="1:8" x14ac:dyDescent="0.25">
      <c r="A24" t="s">
        <v>117</v>
      </c>
    </row>
    <row r="25" spans="1:8" x14ac:dyDescent="0.25">
      <c r="A25" t="s">
        <v>118</v>
      </c>
    </row>
    <row r="27" spans="1:8" x14ac:dyDescent="0.25">
      <c r="A27" t="s">
        <v>119</v>
      </c>
    </row>
    <row r="28" spans="1:8" x14ac:dyDescent="0.25">
      <c r="A28" t="s">
        <v>120</v>
      </c>
    </row>
    <row r="32" spans="1:8" x14ac:dyDescent="0.25">
      <c r="H32" t="s">
        <v>112</v>
      </c>
    </row>
    <row r="33" spans="1:2" x14ac:dyDescent="0.25">
      <c r="A33">
        <f>B12/B11</f>
        <v>1.8632166532154717</v>
      </c>
      <c r="B33" t="s">
        <v>17</v>
      </c>
    </row>
    <row r="34" spans="1:2" x14ac:dyDescent="0.25">
      <c r="A34">
        <f>B13/B11</f>
        <v>2.4758771425761603</v>
      </c>
      <c r="B34" t="s">
        <v>18</v>
      </c>
    </row>
    <row r="35" spans="1:2" x14ac:dyDescent="0.25">
      <c r="A35">
        <f>B13/B12</f>
        <v>1.328818706242981</v>
      </c>
      <c r="B35" t="s">
        <v>19</v>
      </c>
    </row>
    <row r="36" spans="1:2" x14ac:dyDescent="0.25">
      <c r="A36">
        <f>B14/B13</f>
        <v>0.99999999999932099</v>
      </c>
      <c r="B36" t="s">
        <v>116</v>
      </c>
    </row>
    <row r="37" spans="1:2" x14ac:dyDescent="0.25">
      <c r="A37">
        <f>B17/B16</f>
        <v>5.7003871537180819</v>
      </c>
      <c r="B37" t="s">
        <v>20</v>
      </c>
    </row>
    <row r="38" spans="1:2" x14ac:dyDescent="0.25">
      <c r="A38">
        <f>B18/B16</f>
        <v>3.0879780235668339</v>
      </c>
      <c r="B38" t="s">
        <v>21</v>
      </c>
    </row>
  </sheetData>
  <mergeCells count="10">
    <mergeCell ref="A1:B1"/>
    <mergeCell ref="E1:F1"/>
    <mergeCell ref="I1:J1"/>
    <mergeCell ref="AH1:AI1"/>
    <mergeCell ref="AL1:AN1"/>
    <mergeCell ref="AD1:AF1"/>
    <mergeCell ref="Y1:AA1"/>
    <mergeCell ref="M1:N1"/>
    <mergeCell ref="Q1:R1"/>
    <mergeCell ref="U1:V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5F631-9177-AF4B-8057-098B98421CD8}">
  <dimension ref="B5:F25"/>
  <sheetViews>
    <sheetView workbookViewId="0">
      <selection activeCell="D18" sqref="D18"/>
    </sheetView>
  </sheetViews>
  <sheetFormatPr defaultColWidth="11.42578125" defaultRowHeight="15" x14ac:dyDescent="0.25"/>
  <cols>
    <col min="2" max="2" width="18.28515625" customWidth="1"/>
  </cols>
  <sheetData>
    <row r="5" spans="2:6" x14ac:dyDescent="0.25">
      <c r="D5" t="s">
        <v>124</v>
      </c>
    </row>
    <row r="6" spans="2:6" x14ac:dyDescent="0.25">
      <c r="B6" s="17" t="s">
        <v>79</v>
      </c>
      <c r="C6" t="s">
        <v>80</v>
      </c>
      <c r="D6">
        <v>53152.427258999996</v>
      </c>
      <c r="F6">
        <f>D6/3600</f>
        <v>14.764563127499999</v>
      </c>
    </row>
    <row r="7" spans="2:6" x14ac:dyDescent="0.25">
      <c r="B7" s="16" t="s">
        <v>81</v>
      </c>
      <c r="C7" s="12" t="s">
        <v>82</v>
      </c>
      <c r="D7">
        <v>53152.427258999996</v>
      </c>
      <c r="F7">
        <f t="shared" ref="F7:F13" si="0">D7/3600</f>
        <v>14.764563127499999</v>
      </c>
    </row>
    <row r="8" spans="2:6" x14ac:dyDescent="0.25">
      <c r="B8" s="16" t="s">
        <v>83</v>
      </c>
      <c r="C8" s="12" t="s">
        <v>84</v>
      </c>
      <c r="D8">
        <v>35790.429683000002</v>
      </c>
      <c r="F8">
        <f t="shared" si="0"/>
        <v>9.9417860230555561</v>
      </c>
    </row>
    <row r="9" spans="2:6" x14ac:dyDescent="0.25">
      <c r="B9" s="16" t="s">
        <v>85</v>
      </c>
      <c r="C9" s="12" t="s">
        <v>108</v>
      </c>
      <c r="D9">
        <v>34718.210456000001</v>
      </c>
      <c r="F9">
        <f t="shared" si="0"/>
        <v>9.6439473488888883</v>
      </c>
    </row>
    <row r="10" spans="2:6" x14ac:dyDescent="0.25">
      <c r="B10" s="16" t="s">
        <v>87</v>
      </c>
      <c r="C10" s="12" t="s">
        <v>109</v>
      </c>
      <c r="D10">
        <v>71224.191028000001</v>
      </c>
      <c r="F10">
        <f t="shared" si="0"/>
        <v>19.784497507777779</v>
      </c>
    </row>
    <row r="11" spans="2:6" x14ac:dyDescent="0.25">
      <c r="B11" s="16" t="s">
        <v>89</v>
      </c>
      <c r="C11" s="12" t="s">
        <v>110</v>
      </c>
      <c r="D11">
        <v>8643.1602519999997</v>
      </c>
      <c r="E11">
        <f>C17/D11</f>
        <v>1.9992687276626004</v>
      </c>
      <c r="F11">
        <f t="shared" si="0"/>
        <v>2.4008778477777777</v>
      </c>
    </row>
    <row r="12" spans="2:6" x14ac:dyDescent="0.25">
      <c r="B12" s="16" t="s">
        <v>91</v>
      </c>
      <c r="C12" s="12" t="s">
        <v>111</v>
      </c>
      <c r="D12">
        <v>4377.7479069999999</v>
      </c>
      <c r="E12">
        <f>C17/D12</f>
        <v>3.9472350548941741</v>
      </c>
      <c r="F12">
        <f t="shared" si="0"/>
        <v>1.2160410852777777</v>
      </c>
    </row>
    <row r="13" spans="2:6" x14ac:dyDescent="0.25">
      <c r="B13" s="16" t="s">
        <v>123</v>
      </c>
      <c r="D13">
        <v>702</v>
      </c>
      <c r="F13">
        <f t="shared" si="0"/>
        <v>0.19500000000000001</v>
      </c>
    </row>
    <row r="17" spans="2:4" x14ac:dyDescent="0.25">
      <c r="B17" t="s">
        <v>125</v>
      </c>
      <c r="C17">
        <v>17280</v>
      </c>
      <c r="D17">
        <f>C17/3600</f>
        <v>4.8</v>
      </c>
    </row>
    <row r="21" spans="2:4" x14ac:dyDescent="0.25">
      <c r="C21">
        <f>D7/$D$12</f>
        <v>12.141500238972075</v>
      </c>
    </row>
    <row r="22" spans="2:4" x14ac:dyDescent="0.25">
      <c r="C22">
        <f t="shared" ref="C22:C24" si="1">D8/$D$12</f>
        <v>8.1755346455128812</v>
      </c>
    </row>
    <row r="23" spans="2:4" x14ac:dyDescent="0.25">
      <c r="C23">
        <f t="shared" si="1"/>
        <v>7.9306098006433245</v>
      </c>
    </row>
    <row r="24" spans="2:4" x14ac:dyDescent="0.25">
      <c r="C24">
        <f t="shared" si="1"/>
        <v>16.269596272118097</v>
      </c>
    </row>
    <row r="25" spans="2:4" x14ac:dyDescent="0.25">
      <c r="C25">
        <f>D11/$D$12</f>
        <v>1.974339417347359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72379-DAD7-D74A-A5DA-2C15373A8DA5}">
  <dimension ref="A1:P172"/>
  <sheetViews>
    <sheetView topLeftCell="A50" zoomScaleNormal="100" workbookViewId="0">
      <selection activeCell="J67" sqref="J67"/>
    </sheetView>
  </sheetViews>
  <sheetFormatPr defaultColWidth="11.42578125" defaultRowHeight="15" x14ac:dyDescent="0.25"/>
  <cols>
    <col min="1" max="1" width="11.140625" bestFit="1" customWidth="1"/>
    <col min="2" max="4" width="10.85546875"/>
    <col min="5" max="5" width="11.140625" bestFit="1" customWidth="1"/>
    <col min="6" max="6" width="12.42578125" bestFit="1" customWidth="1"/>
    <col min="7" max="8" width="11.140625" bestFit="1" customWidth="1"/>
    <col min="9" max="9" width="10.85546875"/>
    <col min="10" max="11" width="12.42578125" bestFit="1" customWidth="1"/>
    <col min="12" max="13" width="11.140625" bestFit="1" customWidth="1"/>
    <col min="14" max="14" width="10.85546875"/>
    <col min="15" max="16" width="12.42578125" bestFit="1" customWidth="1"/>
    <col min="17" max="17" width="10.85546875"/>
  </cols>
  <sheetData>
    <row r="1" spans="1:16" x14ac:dyDescent="0.25">
      <c r="B1" t="s">
        <v>22</v>
      </c>
      <c r="C1" s="1" t="s">
        <v>23</v>
      </c>
      <c r="D1" s="1"/>
      <c r="E1" s="1"/>
      <c r="G1" s="2"/>
      <c r="O1" s="2"/>
    </row>
    <row r="2" spans="1:16" x14ac:dyDescent="0.25">
      <c r="B2" t="s">
        <v>127</v>
      </c>
      <c r="C2" s="1" t="s">
        <v>24</v>
      </c>
      <c r="D2" s="1"/>
      <c r="E2" s="1"/>
      <c r="G2" s="2"/>
      <c r="O2" s="2"/>
    </row>
    <row r="3" spans="1:16" x14ac:dyDescent="0.25">
      <c r="B3" s="1"/>
      <c r="C3" s="1"/>
      <c r="D3" s="1"/>
      <c r="E3" s="1"/>
      <c r="G3" s="2"/>
      <c r="O3" s="2"/>
    </row>
    <row r="4" spans="1:16" x14ac:dyDescent="0.25">
      <c r="B4" s="1"/>
      <c r="C4" s="1"/>
      <c r="D4" s="1"/>
      <c r="E4" s="1"/>
      <c r="G4" s="2"/>
      <c r="O4" s="2"/>
    </row>
    <row r="5" spans="1:16" x14ac:dyDescent="0.25">
      <c r="B5" s="1"/>
      <c r="C5" s="1"/>
      <c r="D5" s="1"/>
      <c r="E5" s="1"/>
      <c r="F5" t="s">
        <v>25</v>
      </c>
      <c r="G5" s="3" t="s">
        <v>26</v>
      </c>
      <c r="I5" s="18"/>
      <c r="J5" s="18"/>
      <c r="L5" s="18" t="s">
        <v>27</v>
      </c>
      <c r="M5" s="18"/>
      <c r="O5" s="19" t="s">
        <v>28</v>
      </c>
      <c r="P5" s="19"/>
    </row>
    <row r="6" spans="1:16" x14ac:dyDescent="0.25">
      <c r="A6" t="s">
        <v>29</v>
      </c>
      <c r="B6" s="1"/>
      <c r="C6" s="1"/>
      <c r="D6" s="1"/>
      <c r="E6" s="1" t="s">
        <v>107</v>
      </c>
      <c r="F6" s="1" t="s">
        <v>30</v>
      </c>
      <c r="G6" s="3" t="s">
        <v>31</v>
      </c>
      <c r="L6" t="s">
        <v>32</v>
      </c>
      <c r="M6" t="s">
        <v>33</v>
      </c>
      <c r="O6" s="4" t="s">
        <v>32</v>
      </c>
      <c r="P6" s="5" t="s">
        <v>33</v>
      </c>
    </row>
    <row r="7" spans="1:16" x14ac:dyDescent="0.25">
      <c r="A7">
        <v>34.896999999999998</v>
      </c>
      <c r="B7" s="6" t="s">
        <v>34</v>
      </c>
      <c r="C7" s="7" t="s">
        <v>35</v>
      </c>
      <c r="D7" s="1" t="s">
        <v>36</v>
      </c>
      <c r="E7" s="1"/>
      <c r="F7" s="1">
        <v>9.0680858160000007E-6</v>
      </c>
      <c r="G7" s="3">
        <f>F7/ 0.359</f>
        <v>2.5259291966573819E-5</v>
      </c>
      <c r="K7" s="6" t="s">
        <v>34</v>
      </c>
      <c r="L7">
        <v>8.7810714011608197E-4</v>
      </c>
      <c r="M7">
        <v>5.0234309230539104E-5</v>
      </c>
      <c r="O7" s="4">
        <f>L7/A7</f>
        <v>2.5162826034217326E-5</v>
      </c>
      <c r="P7" s="5">
        <f>M7/A7</f>
        <v>1.4395022274275469E-6</v>
      </c>
    </row>
    <row r="8" spans="1:16" x14ac:dyDescent="0.25">
      <c r="A8">
        <v>53.859000000000002</v>
      </c>
      <c r="B8" s="6" t="s">
        <v>37</v>
      </c>
      <c r="C8" s="7" t="s">
        <v>38</v>
      </c>
      <c r="D8" s="1" t="s">
        <v>39</v>
      </c>
      <c r="E8" s="1"/>
      <c r="F8" s="1">
        <v>1.6730990326999999E-5</v>
      </c>
      <c r="G8" s="3">
        <f t="shared" ref="G8:G42" si="0">F8/ 0.359</f>
        <v>4.6604429880222839E-5</v>
      </c>
      <c r="K8" s="6" t="s">
        <v>37</v>
      </c>
      <c r="L8">
        <v>2.500879381420637E-3</v>
      </c>
      <c r="M8">
        <v>1.2660655271744335E-4</v>
      </c>
      <c r="O8" s="4">
        <f t="shared" ref="O8:O28" si="1">L8/A8</f>
        <v>4.6433825013844236E-5</v>
      </c>
      <c r="P8" s="5">
        <f t="shared" ref="P8:P42" si="2">M8/A8</f>
        <v>2.3507037397174724E-6</v>
      </c>
    </row>
    <row r="9" spans="1:16" x14ac:dyDescent="0.25">
      <c r="A9">
        <v>25.530999999999999</v>
      </c>
      <c r="B9" s="6" t="s">
        <v>40</v>
      </c>
      <c r="C9" s="7" t="s">
        <v>41</v>
      </c>
      <c r="D9" s="1" t="s">
        <v>42</v>
      </c>
      <c r="E9" s="1"/>
      <c r="F9" s="1">
        <v>2.7600023370000002E-6</v>
      </c>
      <c r="G9" s="3">
        <f t="shared" si="0"/>
        <v>7.6880287938718668E-6</v>
      </c>
      <c r="K9" s="6" t="s">
        <v>40</v>
      </c>
      <c r="L9">
        <v>1.9556452960030229E-4</v>
      </c>
      <c r="M9">
        <v>1.0158722033320065E-5</v>
      </c>
      <c r="O9" s="4">
        <f t="shared" si="1"/>
        <v>7.6598852218989575E-6</v>
      </c>
      <c r="P9" s="5">
        <f t="shared" si="2"/>
        <v>3.9789753763346777E-7</v>
      </c>
    </row>
    <row r="10" spans="1:16" x14ac:dyDescent="0.25">
      <c r="A10">
        <v>65.391999999999996</v>
      </c>
      <c r="B10" s="6" t="s">
        <v>43</v>
      </c>
      <c r="C10" s="7" t="s">
        <v>44</v>
      </c>
      <c r="D10" s="1" t="s">
        <v>45</v>
      </c>
      <c r="E10" s="1"/>
      <c r="F10" s="1">
        <v>1.5802939685000001E-5</v>
      </c>
      <c r="G10" s="3">
        <f t="shared" si="0"/>
        <v>4.4019330598885798E-5</v>
      </c>
      <c r="K10" s="6" t="s">
        <v>43</v>
      </c>
      <c r="L10">
        <v>2.8679746955733972E-3</v>
      </c>
      <c r="M10">
        <v>8.472346603292725E-5</v>
      </c>
      <c r="O10" s="4">
        <f t="shared" si="1"/>
        <v>4.3858189007422885E-5</v>
      </c>
      <c r="P10" s="5">
        <f t="shared" si="2"/>
        <v>1.2956243276383541E-6</v>
      </c>
    </row>
    <row r="11" spans="1:16" x14ac:dyDescent="0.25">
      <c r="A11">
        <v>21.504999999999999</v>
      </c>
      <c r="B11" s="6" t="s">
        <v>46</v>
      </c>
      <c r="C11" s="7" t="s">
        <v>47</v>
      </c>
      <c r="D11" s="1" t="s">
        <v>48</v>
      </c>
      <c r="E11" s="1"/>
      <c r="F11" s="1">
        <v>1.8070445161E-5</v>
      </c>
      <c r="G11" s="3">
        <f t="shared" si="0"/>
        <v>5.0335501841225631E-5</v>
      </c>
      <c r="K11" s="6" t="s">
        <v>46</v>
      </c>
      <c r="L11">
        <v>1.0785023869237772E-3</v>
      </c>
      <c r="M11">
        <v>1.1151130582203634E-4</v>
      </c>
      <c r="O11" s="4">
        <f t="shared" si="1"/>
        <v>5.0151238638631813E-5</v>
      </c>
      <c r="P11" s="5">
        <f t="shared" si="2"/>
        <v>5.1853664646378207E-6</v>
      </c>
    </row>
    <row r="12" spans="1:16" x14ac:dyDescent="0.25">
      <c r="A12">
        <v>55.399000000000001</v>
      </c>
      <c r="B12" s="6" t="s">
        <v>49</v>
      </c>
      <c r="C12" s="7" t="s">
        <v>50</v>
      </c>
      <c r="D12" s="1" t="s">
        <v>51</v>
      </c>
      <c r="E12" s="1"/>
      <c r="F12" s="1">
        <v>5.2677309989999999E-6</v>
      </c>
      <c r="G12" s="3">
        <f t="shared" si="0"/>
        <v>1.4673345401114206E-5</v>
      </c>
      <c r="K12" s="6" t="s">
        <v>49</v>
      </c>
      <c r="L12">
        <v>7.9287245025600318E-4</v>
      </c>
      <c r="M12">
        <v>2.3581530127224962E-5</v>
      </c>
      <c r="O12" s="4">
        <f t="shared" si="1"/>
        <v>1.4312035420422808E-5</v>
      </c>
      <c r="P12" s="5">
        <f t="shared" si="2"/>
        <v>4.2566707209922493E-7</v>
      </c>
    </row>
    <row r="13" spans="1:16" x14ac:dyDescent="0.25">
      <c r="A13">
        <v>26.266999999999999</v>
      </c>
      <c r="B13" s="6" t="s">
        <v>52</v>
      </c>
      <c r="C13" s="7" t="s">
        <v>53</v>
      </c>
      <c r="D13" s="1" t="s">
        <v>54</v>
      </c>
      <c r="E13" s="1"/>
      <c r="F13" s="1">
        <v>7.8843394500000004E-7</v>
      </c>
      <c r="G13" s="3">
        <f t="shared" si="0"/>
        <v>2.1961948328690809E-6</v>
      </c>
      <c r="K13" s="6" t="s">
        <v>52</v>
      </c>
      <c r="L13">
        <v>5.7848138963746799E-5</v>
      </c>
      <c r="M13">
        <v>2.5011255499599478E-6</v>
      </c>
      <c r="O13" s="4">
        <f t="shared" si="1"/>
        <v>2.2023123677521908E-6</v>
      </c>
      <c r="P13" s="5">
        <f t="shared" si="2"/>
        <v>9.5219307494572958E-8</v>
      </c>
    </row>
    <row r="14" spans="1:16" x14ac:dyDescent="0.25">
      <c r="A14">
        <v>36.101999999999997</v>
      </c>
      <c r="B14" s="6" t="s">
        <v>55</v>
      </c>
      <c r="C14" s="7" t="s">
        <v>56</v>
      </c>
      <c r="D14" s="1" t="s">
        <v>57</v>
      </c>
      <c r="E14" s="1"/>
      <c r="F14" s="1">
        <v>7.9157075634E-5</v>
      </c>
      <c r="G14" s="3">
        <f t="shared" si="0"/>
        <v>2.204932468913649E-4</v>
      </c>
      <c r="K14" s="6" t="s">
        <v>55</v>
      </c>
      <c r="L14">
        <v>7.9364915354332086E-3</v>
      </c>
      <c r="M14">
        <v>2.9107043559065555E-4</v>
      </c>
      <c r="O14" s="4">
        <f t="shared" si="1"/>
        <v>2.1983523171661431E-4</v>
      </c>
      <c r="P14" s="5">
        <f t="shared" si="2"/>
        <v>8.0624462797256548E-6</v>
      </c>
    </row>
    <row r="15" spans="1:16" x14ac:dyDescent="0.25">
      <c r="A15">
        <v>41.387999999999998</v>
      </c>
      <c r="B15" s="6" t="s">
        <v>58</v>
      </c>
      <c r="C15" s="7" t="s">
        <v>59</v>
      </c>
      <c r="D15" s="1" t="s">
        <v>60</v>
      </c>
      <c r="E15" s="1"/>
      <c r="F15" s="1">
        <v>2.2489233568000001E-5</v>
      </c>
      <c r="G15" s="3">
        <f t="shared" si="0"/>
        <v>6.2644104646239555E-5</v>
      </c>
      <c r="K15" s="6" t="s">
        <v>58</v>
      </c>
      <c r="L15">
        <v>2.5849767353351601E-3</v>
      </c>
      <c r="M15">
        <v>5.2563526179080733E-5</v>
      </c>
      <c r="O15" s="4">
        <f t="shared" si="1"/>
        <v>6.2457155101361755E-5</v>
      </c>
      <c r="P15" s="5">
        <f t="shared" si="2"/>
        <v>1.2700185121069086E-6</v>
      </c>
    </row>
    <row r="16" spans="1:16" x14ac:dyDescent="0.25">
      <c r="A16">
        <v>25.937999999999999</v>
      </c>
      <c r="B16" s="6" t="s">
        <v>61</v>
      </c>
      <c r="C16" s="7" t="s">
        <v>62</v>
      </c>
      <c r="D16" s="1" t="s">
        <v>63</v>
      </c>
      <c r="E16" s="1"/>
      <c r="F16" s="1">
        <v>2.4549559887000001E-5</v>
      </c>
      <c r="G16" s="3">
        <f t="shared" si="0"/>
        <v>6.8383175172701959E-5</v>
      </c>
      <c r="K16" s="6" t="s">
        <v>61</v>
      </c>
      <c r="L16">
        <v>1.7703521090390627E-3</v>
      </c>
      <c r="M16">
        <v>2.5653538810896839E-5</v>
      </c>
      <c r="O16" s="4">
        <f t="shared" si="1"/>
        <v>6.8253223418885916E-5</v>
      </c>
      <c r="P16" s="5">
        <f t="shared" si="2"/>
        <v>9.8903303303634984E-7</v>
      </c>
    </row>
    <row r="17" spans="1:16" x14ac:dyDescent="0.25">
      <c r="A17">
        <v>45.743000000000002</v>
      </c>
      <c r="B17" s="6" t="s">
        <v>64</v>
      </c>
      <c r="C17" s="7" t="s">
        <v>65</v>
      </c>
      <c r="D17" s="1" t="s">
        <v>66</v>
      </c>
      <c r="E17" s="1"/>
      <c r="F17" s="1">
        <v>4.0214258512999999E-5</v>
      </c>
      <c r="G17" s="3">
        <f t="shared" si="0"/>
        <v>1.1201743318384401E-4</v>
      </c>
      <c r="K17" s="6" t="s">
        <v>64</v>
      </c>
      <c r="L17">
        <v>5.1142760432945624E-3</v>
      </c>
      <c r="M17">
        <v>1.9427640416297163E-4</v>
      </c>
      <c r="O17" s="4">
        <f t="shared" si="1"/>
        <v>1.1180456120706036E-4</v>
      </c>
      <c r="P17" s="5">
        <f t="shared" si="2"/>
        <v>4.2471286134047097E-6</v>
      </c>
    </row>
    <row r="18" spans="1:16" x14ac:dyDescent="0.25">
      <c r="A18">
        <v>51.445</v>
      </c>
      <c r="B18" s="6" t="s">
        <v>67</v>
      </c>
      <c r="C18" s="7" t="s">
        <v>68</v>
      </c>
      <c r="D18" s="1" t="s">
        <v>69</v>
      </c>
      <c r="E18" s="1"/>
      <c r="F18" s="1">
        <v>5.3222792654E-5</v>
      </c>
      <c r="G18" s="3">
        <f t="shared" si="0"/>
        <v>1.4825290432869082E-4</v>
      </c>
      <c r="K18" s="6" t="s">
        <v>67</v>
      </c>
      <c r="L18">
        <v>7.6534367672090545E-3</v>
      </c>
      <c r="M18">
        <v>2.5661941267832855E-4</v>
      </c>
      <c r="O18" s="4">
        <f t="shared" si="1"/>
        <v>1.4876930250187686E-4</v>
      </c>
      <c r="P18" s="5">
        <f t="shared" si="2"/>
        <v>4.9882284513233268E-6</v>
      </c>
    </row>
    <row r="19" spans="1:16" x14ac:dyDescent="0.25">
      <c r="A19">
        <v>60.926000000000002</v>
      </c>
      <c r="B19" s="6" t="s">
        <v>70</v>
      </c>
      <c r="C19" s="7" t="s">
        <v>71</v>
      </c>
      <c r="D19" s="1" t="s">
        <v>72</v>
      </c>
      <c r="E19" s="1"/>
      <c r="F19" s="1">
        <v>6.9473381801999999E-5</v>
      </c>
      <c r="G19" s="3">
        <f t="shared" si="0"/>
        <v>1.9351916936490252E-4</v>
      </c>
      <c r="K19" s="6" t="s">
        <v>70</v>
      </c>
      <c r="L19">
        <v>1.175475684914956E-2</v>
      </c>
      <c r="M19">
        <v>2.0380980611285361E-4</v>
      </c>
      <c r="O19" s="4">
        <f t="shared" si="1"/>
        <v>1.9293498422922166E-4</v>
      </c>
      <c r="P19" s="5">
        <f t="shared" si="2"/>
        <v>3.3452024769860749E-6</v>
      </c>
    </row>
    <row r="20" spans="1:16" x14ac:dyDescent="0.25">
      <c r="A20">
        <v>36.122</v>
      </c>
      <c r="B20" s="6" t="s">
        <v>73</v>
      </c>
      <c r="C20" s="7" t="s">
        <v>74</v>
      </c>
      <c r="D20" s="1" t="s">
        <v>75</v>
      </c>
      <c r="E20" s="1"/>
      <c r="F20" s="1">
        <v>2.7180775389E-5</v>
      </c>
      <c r="G20" s="3">
        <f t="shared" si="0"/>
        <v>7.5712466264623953E-5</v>
      </c>
      <c r="K20" s="6" t="s">
        <v>73</v>
      </c>
      <c r="L20">
        <v>1.1882986526484123E-4</v>
      </c>
      <c r="M20">
        <v>7.0063939146987032E-6</v>
      </c>
      <c r="O20" s="4">
        <f t="shared" si="1"/>
        <v>3.2896812265334485E-6</v>
      </c>
      <c r="P20" s="5">
        <f t="shared" si="2"/>
        <v>1.9396472827359235E-7</v>
      </c>
    </row>
    <row r="21" spans="1:16" x14ac:dyDescent="0.25">
      <c r="A21">
        <v>40.145000000000003</v>
      </c>
      <c r="B21" s="6" t="s">
        <v>76</v>
      </c>
      <c r="C21" s="7" t="s">
        <v>77</v>
      </c>
      <c r="D21" s="1"/>
      <c r="E21" s="1"/>
      <c r="F21" s="1" t="e">
        <v>#N/A</v>
      </c>
      <c r="G21" s="3" t="e">
        <f t="shared" si="0"/>
        <v>#N/A</v>
      </c>
      <c r="K21" s="6" t="s">
        <v>76</v>
      </c>
      <c r="L21">
        <v>2.8991671297659326E-3</v>
      </c>
      <c r="M21">
        <v>1.0513914294550844E-4</v>
      </c>
      <c r="O21" s="4">
        <f t="shared" si="1"/>
        <v>7.2217390204656431E-5</v>
      </c>
      <c r="P21" s="5">
        <f t="shared" si="2"/>
        <v>2.618984753904806E-6</v>
      </c>
    </row>
    <row r="22" spans="1:16" x14ac:dyDescent="0.25">
      <c r="B22" s="6"/>
      <c r="C22" s="7"/>
      <c r="D22" s="1"/>
      <c r="E22" s="1"/>
      <c r="F22" s="1"/>
      <c r="G22" s="3">
        <f t="shared" si="0"/>
        <v>0</v>
      </c>
      <c r="K22" s="6"/>
      <c r="O22" s="4"/>
      <c r="P22" s="5"/>
    </row>
    <row r="23" spans="1:16" x14ac:dyDescent="0.25">
      <c r="A23">
        <v>70.307000000000002</v>
      </c>
      <c r="B23" s="6" t="s">
        <v>79</v>
      </c>
      <c r="C23" s="7" t="s">
        <v>80</v>
      </c>
      <c r="E23" s="1"/>
      <c r="F23" s="1">
        <v>6.5150800000000001E-8</v>
      </c>
      <c r="G23" s="3">
        <f t="shared" si="0"/>
        <v>1.8147855153203343E-7</v>
      </c>
      <c r="H23" s="8">
        <f>(O23-G23)/O23</f>
        <v>-2.786032741833934E-3</v>
      </c>
      <c r="K23" s="6" t="s">
        <v>79</v>
      </c>
      <c r="L23">
        <v>1.2723763700294297E-5</v>
      </c>
      <c r="M23">
        <v>8.4213966340878746E-7</v>
      </c>
      <c r="O23" s="4">
        <f t="shared" si="1"/>
        <v>1.8097435106453549E-7</v>
      </c>
      <c r="P23" s="5">
        <f t="shared" si="2"/>
        <v>1.1978034383614539E-8</v>
      </c>
    </row>
    <row r="24" spans="1:16" x14ac:dyDescent="0.25">
      <c r="A24">
        <v>70.513999999999996</v>
      </c>
      <c r="B24" s="6" t="s">
        <v>81</v>
      </c>
      <c r="C24" s="7" t="s">
        <v>82</v>
      </c>
      <c r="E24" s="1"/>
      <c r="F24" s="1">
        <v>1.6735299999999999E-6</v>
      </c>
      <c r="G24" s="3">
        <f t="shared" si="0"/>
        <v>4.6616434540389972E-6</v>
      </c>
      <c r="H24" s="8">
        <f>(O24-G24)/O24</f>
        <v>-0.30362495992553978</v>
      </c>
      <c r="K24" s="6" t="s">
        <v>81</v>
      </c>
      <c r="L24">
        <v>2.521516054255981E-4</v>
      </c>
      <c r="M24">
        <v>9.1077870869679429E-6</v>
      </c>
      <c r="O24" s="4">
        <f t="shared" si="1"/>
        <v>3.5759084072042163E-6</v>
      </c>
      <c r="P24" s="5">
        <f t="shared" si="2"/>
        <v>1.2916281996437508E-7</v>
      </c>
    </row>
    <row r="25" spans="1:16" x14ac:dyDescent="0.25">
      <c r="A25">
        <v>41.857999999999997</v>
      </c>
      <c r="B25" s="6" t="s">
        <v>83</v>
      </c>
      <c r="C25" s="7" t="s">
        <v>84</v>
      </c>
      <c r="E25" s="1"/>
      <c r="F25" s="1">
        <v>2.5774776459999999E-6</v>
      </c>
      <c r="G25" s="3">
        <f t="shared" si="0"/>
        <v>7.179603470752089E-6</v>
      </c>
      <c r="H25" s="8">
        <f t="shared" ref="H25:H42" si="3">(O25-G25)/O25</f>
        <v>-0.28981279659702164</v>
      </c>
      <c r="K25" s="6" t="s">
        <v>83</v>
      </c>
      <c r="L25">
        <v>2.3299803108763395E-4</v>
      </c>
      <c r="M25">
        <v>7.3848104264098787E-6</v>
      </c>
      <c r="O25" s="4">
        <f t="shared" si="1"/>
        <v>5.5663918746149829E-6</v>
      </c>
      <c r="P25" s="5">
        <f t="shared" si="2"/>
        <v>1.7642530523221079E-7</v>
      </c>
    </row>
    <row r="26" spans="1:16" x14ac:dyDescent="0.25">
      <c r="A26">
        <v>41.369</v>
      </c>
      <c r="B26" s="6" t="s">
        <v>85</v>
      </c>
      <c r="C26" s="7" t="s">
        <v>108</v>
      </c>
      <c r="E26" s="1"/>
      <c r="F26" s="1">
        <v>2.6570791299999998E-6</v>
      </c>
      <c r="G26" s="3">
        <f t="shared" si="0"/>
        <v>7.4013346239554317E-6</v>
      </c>
      <c r="H26" s="8">
        <f t="shared" si="3"/>
        <v>-0.28981279640185631</v>
      </c>
      <c r="K26" s="6" t="s">
        <v>85</v>
      </c>
      <c r="L26">
        <v>2.3738779217617287E-4</v>
      </c>
      <c r="M26">
        <v>7.4520024621489683E-6</v>
      </c>
      <c r="O26" s="4">
        <f t="shared" si="1"/>
        <v>5.7383014376990713E-6</v>
      </c>
      <c r="P26" s="5">
        <f t="shared" si="2"/>
        <v>1.8013494312526211E-7</v>
      </c>
    </row>
    <row r="27" spans="1:16" x14ac:dyDescent="0.25">
      <c r="A27">
        <v>30.474</v>
      </c>
      <c r="B27" s="6" t="s">
        <v>87</v>
      </c>
      <c r="C27" s="7" t="s">
        <v>109</v>
      </c>
      <c r="E27" s="1"/>
      <c r="F27" s="1">
        <v>6.4759621099999997E-7</v>
      </c>
      <c r="G27" s="3">
        <f t="shared" si="0"/>
        <v>1.8038891671309193E-6</v>
      </c>
      <c r="H27" s="8">
        <f t="shared" si="3"/>
        <v>-0.28981279705822</v>
      </c>
      <c r="K27" s="6" t="s">
        <v>87</v>
      </c>
      <c r="L27">
        <v>4.2619920196578962E-5</v>
      </c>
      <c r="M27">
        <v>1.9420757630582804E-6</v>
      </c>
      <c r="O27" s="4">
        <f t="shared" si="1"/>
        <v>1.3985666534284624E-6</v>
      </c>
      <c r="P27" s="5">
        <f t="shared" si="2"/>
        <v>6.3728941493019642E-8</v>
      </c>
    </row>
    <row r="28" spans="1:16" x14ac:dyDescent="0.25">
      <c r="A28">
        <v>39.941000000000003</v>
      </c>
      <c r="B28" s="6" t="s">
        <v>89</v>
      </c>
      <c r="C28" s="7" t="s">
        <v>110</v>
      </c>
      <c r="E28" s="1"/>
      <c r="F28" s="1">
        <v>5.3365337299999998E-6</v>
      </c>
      <c r="G28" s="3">
        <f t="shared" si="0"/>
        <v>1.4864996462395543E-5</v>
      </c>
      <c r="H28" s="8">
        <f t="shared" si="3"/>
        <v>-0.28981279642328422</v>
      </c>
      <c r="K28" s="6" t="s">
        <v>89</v>
      </c>
      <c r="L28">
        <v>4.6031705170778559E-4</v>
      </c>
      <c r="M28">
        <v>1.1282131489038944E-5</v>
      </c>
      <c r="O28" s="4">
        <f t="shared" si="1"/>
        <v>1.152492555789253E-5</v>
      </c>
      <c r="P28" s="5">
        <f t="shared" si="2"/>
        <v>2.8246993037327416E-7</v>
      </c>
    </row>
    <row r="29" spans="1:16" x14ac:dyDescent="0.25">
      <c r="A29">
        <v>36.503999999999998</v>
      </c>
      <c r="B29" s="6" t="s">
        <v>91</v>
      </c>
      <c r="C29" s="7" t="s">
        <v>111</v>
      </c>
      <c r="E29" s="1"/>
      <c r="F29" s="1">
        <v>1.0536128895E-5</v>
      </c>
      <c r="G29" s="3">
        <f t="shared" si="0"/>
        <v>2.9348548454038997E-5</v>
      </c>
      <c r="H29" s="8">
        <f t="shared" si="3"/>
        <v>-0.28981279628229328</v>
      </c>
      <c r="K29" s="6" t="s">
        <v>91</v>
      </c>
      <c r="L29">
        <v>8.3061620713814198E-4</v>
      </c>
      <c r="M29">
        <v>1.4977680843132558E-5</v>
      </c>
      <c r="O29" s="4">
        <f>L29/A29</f>
        <v>2.2754114813120263E-5</v>
      </c>
      <c r="P29" s="5">
        <f t="shared" si="2"/>
        <v>4.1030245570711589E-7</v>
      </c>
    </row>
    <row r="30" spans="1:16" x14ac:dyDescent="0.25">
      <c r="A30">
        <v>31.189</v>
      </c>
      <c r="B30" s="9" t="s">
        <v>93</v>
      </c>
      <c r="C30" s="10" t="s">
        <v>94</v>
      </c>
      <c r="E30" s="1"/>
      <c r="F30" s="1">
        <v>1.6167036020000001E-6</v>
      </c>
      <c r="G30" s="3">
        <f t="shared" si="0"/>
        <v>4.5033526518105854E-6</v>
      </c>
      <c r="H30" s="8">
        <f t="shared" si="3"/>
        <v>-4.5261635037517629E-2</v>
      </c>
      <c r="K30" s="9" t="s">
        <v>93</v>
      </c>
      <c r="L30">
        <v>1.3437311879554347E-4</v>
      </c>
      <c r="M30">
        <v>4.6027477844345979E-6</v>
      </c>
      <c r="O30" s="4">
        <f t="shared" ref="O30:O41" si="4">L30/A30</f>
        <v>4.3083497000719311E-6</v>
      </c>
      <c r="P30" s="5">
        <f t="shared" si="2"/>
        <v>1.4757599744892745E-7</v>
      </c>
    </row>
    <row r="31" spans="1:16" x14ac:dyDescent="0.25">
      <c r="A31">
        <v>21.824999999999999</v>
      </c>
      <c r="B31" s="9" t="s">
        <v>95</v>
      </c>
      <c r="C31" s="10" t="s">
        <v>96</v>
      </c>
      <c r="E31" s="1"/>
      <c r="F31" s="1">
        <v>4.8400000000000005E-7</v>
      </c>
      <c r="G31" s="3">
        <f t="shared" si="0"/>
        <v>1.348189415041783E-6</v>
      </c>
      <c r="H31" s="8">
        <f t="shared" si="3"/>
        <v>-0.30415856391326346</v>
      </c>
      <c r="K31" s="9" t="s">
        <v>95</v>
      </c>
      <c r="L31">
        <v>2.2561853134634518E-5</v>
      </c>
      <c r="M31">
        <v>1.0968716671586267E-6</v>
      </c>
      <c r="O31" s="4">
        <f t="shared" si="4"/>
        <v>1.0337618847484315E-6</v>
      </c>
      <c r="P31" s="5">
        <f t="shared" si="2"/>
        <v>5.0257579251254371E-8</v>
      </c>
    </row>
    <row r="32" spans="1:16" x14ac:dyDescent="0.25">
      <c r="A32">
        <v>12.662000000000001</v>
      </c>
      <c r="B32" s="11" t="s">
        <v>97</v>
      </c>
      <c r="C32" s="12" t="s">
        <v>98</v>
      </c>
      <c r="F32">
        <v>7.4284436540000001E-6</v>
      </c>
      <c r="G32" s="3">
        <f t="shared" si="0"/>
        <v>2.0692043604456825E-5</v>
      </c>
      <c r="H32" s="8">
        <f t="shared" si="3"/>
        <v>-0.20172373471370891</v>
      </c>
      <c r="K32" s="11" t="s">
        <v>97</v>
      </c>
      <c r="L32">
        <v>2.1802236949414183E-4</v>
      </c>
      <c r="M32">
        <v>4.5004422028753396E-6</v>
      </c>
      <c r="O32" s="4">
        <f t="shared" si="4"/>
        <v>1.7218636036498328E-5</v>
      </c>
      <c r="P32" s="5">
        <f t="shared" si="2"/>
        <v>3.5542901618033006E-7</v>
      </c>
    </row>
    <row r="33" spans="1:16" x14ac:dyDescent="0.25">
      <c r="A33">
        <v>11.625</v>
      </c>
      <c r="B33" s="2" t="s">
        <v>128</v>
      </c>
      <c r="C33" t="s">
        <v>129</v>
      </c>
      <c r="F33">
        <v>2.5200000000000001E-8</v>
      </c>
      <c r="G33" s="3">
        <f t="shared" si="0"/>
        <v>7.0194986072423398E-8</v>
      </c>
      <c r="H33" s="8">
        <f t="shared" si="3"/>
        <v>-0.30500034078349914</v>
      </c>
      <c r="J33" s="2"/>
      <c r="K33" t="s">
        <v>128</v>
      </c>
      <c r="L33">
        <v>6.2529999999999997E-7</v>
      </c>
      <c r="M33">
        <v>4.9000000000000002E-8</v>
      </c>
      <c r="O33" s="5">
        <v>5.3789247311827955E-8</v>
      </c>
      <c r="P33" s="5">
        <v>4.21505376344086E-9</v>
      </c>
    </row>
    <row r="34" spans="1:16" x14ac:dyDescent="0.25">
      <c r="A34">
        <v>11.095000000000001</v>
      </c>
      <c r="B34" s="2" t="s">
        <v>130</v>
      </c>
      <c r="C34" t="s">
        <v>129</v>
      </c>
      <c r="F34">
        <v>5.5199999999999998E-8</v>
      </c>
      <c r="G34" s="3">
        <f t="shared" si="0"/>
        <v>1.5376044568245126E-7</v>
      </c>
      <c r="H34" s="8">
        <f t="shared" si="3"/>
        <v>0.29795384985728524</v>
      </c>
      <c r="J34" s="2"/>
      <c r="K34" t="s">
        <v>130</v>
      </c>
      <c r="L34">
        <v>2.43E-6</v>
      </c>
      <c r="M34">
        <v>1.5599999999999999E-7</v>
      </c>
      <c r="O34" s="5">
        <v>2.1901757548445245E-7</v>
      </c>
      <c r="P34" s="5">
        <v>1.4060387561964848E-8</v>
      </c>
    </row>
    <row r="35" spans="1:16" x14ac:dyDescent="0.25">
      <c r="A35">
        <v>6.8419999999999996</v>
      </c>
      <c r="B35" s="2" t="s">
        <v>131</v>
      </c>
      <c r="C35" t="s">
        <v>129</v>
      </c>
      <c r="F35">
        <v>1.092E-7</v>
      </c>
      <c r="G35" s="3">
        <f t="shared" si="0"/>
        <v>3.041782729805014E-7</v>
      </c>
      <c r="H35" s="8">
        <f t="shared" si="3"/>
        <v>0.29689603252277352</v>
      </c>
      <c r="J35" s="2"/>
      <c r="K35" t="s">
        <v>131</v>
      </c>
      <c r="L35">
        <v>2.96E-6</v>
      </c>
      <c r="M35">
        <v>1.6999999999999999E-7</v>
      </c>
      <c r="O35" s="5">
        <v>4.3262204033908217E-7</v>
      </c>
      <c r="P35" s="5">
        <v>2.4846536100555392E-8</v>
      </c>
    </row>
    <row r="36" spans="1:16" x14ac:dyDescent="0.25">
      <c r="A36">
        <v>9.9649999999999999</v>
      </c>
      <c r="B36" s="13" t="s">
        <v>99</v>
      </c>
      <c r="C36" t="s">
        <v>99</v>
      </c>
      <c r="F36">
        <v>1.5356100000000001E-7</v>
      </c>
      <c r="G36" s="3">
        <f t="shared" si="0"/>
        <v>4.277465181058496E-7</v>
      </c>
      <c r="H36" s="8">
        <f t="shared" si="3"/>
        <v>0.29805109662589446</v>
      </c>
      <c r="K36" s="13" t="s">
        <v>99</v>
      </c>
      <c r="L36">
        <v>6.0723708412905434E-6</v>
      </c>
      <c r="M36">
        <v>3.276007152527668E-7</v>
      </c>
      <c r="O36" s="4">
        <f t="shared" si="4"/>
        <v>6.0936987870452012E-7</v>
      </c>
      <c r="P36" s="5">
        <f t="shared" si="2"/>
        <v>3.2875134496012725E-8</v>
      </c>
    </row>
    <row r="37" spans="1:16" x14ac:dyDescent="0.25">
      <c r="A37">
        <v>23.779</v>
      </c>
      <c r="B37" s="13" t="s">
        <v>101</v>
      </c>
      <c r="C37" t="s">
        <v>101</v>
      </c>
      <c r="F37">
        <v>1.30097E-7</v>
      </c>
      <c r="G37" s="3">
        <f t="shared" si="0"/>
        <v>3.6238718662952649E-7</v>
      </c>
      <c r="H37" s="8">
        <f t="shared" si="3"/>
        <v>0.29804856315343586</v>
      </c>
      <c r="K37" s="13" t="s">
        <v>101</v>
      </c>
      <c r="L37">
        <v>1.2276069908162464E-5</v>
      </c>
      <c r="M37">
        <v>6.8282399415121016E-7</v>
      </c>
      <c r="O37" s="4">
        <f t="shared" si="4"/>
        <v>5.1625677733136231E-7</v>
      </c>
      <c r="P37" s="5">
        <f t="shared" si="2"/>
        <v>2.8715420923975363E-8</v>
      </c>
    </row>
    <row r="38" spans="1:16" x14ac:dyDescent="0.25">
      <c r="A38">
        <v>25.721</v>
      </c>
      <c r="B38" s="13" t="s">
        <v>102</v>
      </c>
      <c r="C38" t="s">
        <v>102</v>
      </c>
      <c r="F38">
        <v>2.4287099999999998E-7</v>
      </c>
      <c r="G38" s="3">
        <f t="shared" si="0"/>
        <v>6.7652089136490251E-7</v>
      </c>
      <c r="H38" s="8">
        <f t="shared" si="3"/>
        <v>0.29804899475185626</v>
      </c>
      <c r="J38" s="2"/>
      <c r="K38" s="13" t="s">
        <v>102</v>
      </c>
      <c r="L38">
        <v>2.4789185736183079E-5</v>
      </c>
      <c r="M38">
        <v>1.2226908906238183E-6</v>
      </c>
      <c r="O38" s="4">
        <f t="shared" si="4"/>
        <v>9.6377223810050456E-7</v>
      </c>
      <c r="P38" s="5">
        <f t="shared" si="2"/>
        <v>4.7536677836157935E-8</v>
      </c>
    </row>
    <row r="39" spans="1:16" x14ac:dyDescent="0.25">
      <c r="A39">
        <v>38.411999999999999</v>
      </c>
      <c r="B39" s="13" t="s">
        <v>103</v>
      </c>
      <c r="C39" t="s">
        <v>103</v>
      </c>
      <c r="F39">
        <v>1.07707E-7</v>
      </c>
      <c r="G39" s="3">
        <f t="shared" si="0"/>
        <v>3.0001949860724235E-7</v>
      </c>
      <c r="H39" s="8">
        <f t="shared" si="3"/>
        <v>0.29805080724573108</v>
      </c>
      <c r="K39" s="13" t="s">
        <v>103</v>
      </c>
      <c r="L39">
        <v>1.6417639765753983E-5</v>
      </c>
      <c r="M39">
        <v>9.4446367372077682E-7</v>
      </c>
      <c r="O39" s="4">
        <f t="shared" si="4"/>
        <v>4.274091368779023E-7</v>
      </c>
      <c r="P39" s="5">
        <f t="shared" si="2"/>
        <v>2.4587724505903801E-8</v>
      </c>
    </row>
    <row r="40" spans="1:16" x14ac:dyDescent="0.25">
      <c r="A40">
        <v>52.136000000000003</v>
      </c>
      <c r="B40" s="13" t="s">
        <v>104</v>
      </c>
      <c r="C40" t="s">
        <v>104</v>
      </c>
      <c r="F40">
        <v>3.3944399999999998E-7</v>
      </c>
      <c r="G40" s="3">
        <f t="shared" si="0"/>
        <v>9.4552646239554316E-7</v>
      </c>
      <c r="H40" s="8">
        <f t="shared" si="3"/>
        <v>0.29805032865467446</v>
      </c>
      <c r="K40" s="13" t="s">
        <v>104</v>
      </c>
      <c r="L40">
        <v>7.0227210946584789E-5</v>
      </c>
      <c r="M40">
        <v>3.2266732930678812E-6</v>
      </c>
      <c r="O40" s="4">
        <f t="shared" si="4"/>
        <v>1.3470003634069508E-6</v>
      </c>
      <c r="P40" s="5">
        <f t="shared" si="2"/>
        <v>6.1889544519485208E-8</v>
      </c>
    </row>
    <row r="41" spans="1:16" x14ac:dyDescent="0.25">
      <c r="A41">
        <v>22.757999999999999</v>
      </c>
      <c r="B41" s="13" t="s">
        <v>105</v>
      </c>
      <c r="C41" t="s">
        <v>105</v>
      </c>
      <c r="F41">
        <v>1.7036900000000001E-7</v>
      </c>
      <c r="G41" s="3">
        <f t="shared" si="0"/>
        <v>4.7456545961002787E-7</v>
      </c>
      <c r="H41" s="8">
        <f t="shared" si="3"/>
        <v>0.29805090502756831</v>
      </c>
      <c r="K41" s="13" t="s">
        <v>105</v>
      </c>
      <c r="L41">
        <v>1.5385960046332389E-5</v>
      </c>
      <c r="M41">
        <v>8.1393792288849254E-7</v>
      </c>
      <c r="O41" s="4">
        <f t="shared" si="4"/>
        <v>6.7606819783515206E-7</v>
      </c>
      <c r="P41" s="5">
        <f t="shared" si="2"/>
        <v>3.5764914442767053E-8</v>
      </c>
    </row>
    <row r="42" spans="1:16" x14ac:dyDescent="0.25">
      <c r="A42">
        <v>20.85</v>
      </c>
      <c r="B42" s="13" t="s">
        <v>106</v>
      </c>
      <c r="C42" t="s">
        <v>106</v>
      </c>
      <c r="F42">
        <v>9.5385100000000001E-7</v>
      </c>
      <c r="G42" s="3">
        <f t="shared" si="0"/>
        <v>2.656966573816156E-6</v>
      </c>
      <c r="H42" s="8">
        <f t="shared" si="3"/>
        <v>0.29805024196130531</v>
      </c>
      <c r="K42" s="13" t="s">
        <v>106</v>
      </c>
      <c r="L42">
        <v>7.8919826425829579E-5</v>
      </c>
      <c r="M42">
        <v>2.805616048166686E-6</v>
      </c>
      <c r="O42" s="4">
        <f>L42/A42</f>
        <v>3.7851235695841523E-6</v>
      </c>
      <c r="P42" s="5">
        <f t="shared" si="2"/>
        <v>1.3456192077538062E-7</v>
      </c>
    </row>
    <row r="43" spans="1:16" x14ac:dyDescent="0.25">
      <c r="O43" s="2"/>
    </row>
    <row r="44" spans="1:16" x14ac:dyDescent="0.25">
      <c r="O44" s="2"/>
    </row>
    <row r="45" spans="1:16" x14ac:dyDescent="0.25">
      <c r="O45" s="2"/>
    </row>
    <row r="46" spans="1:16" x14ac:dyDescent="0.25">
      <c r="O46" s="2"/>
    </row>
    <row r="47" spans="1:16" x14ac:dyDescent="0.25">
      <c r="O47" s="2"/>
    </row>
    <row r="48" spans="1:16" x14ac:dyDescent="0.25">
      <c r="O48" s="2"/>
    </row>
    <row r="49" spans="2:15" x14ac:dyDescent="0.25">
      <c r="K49" s="11"/>
      <c r="O49" s="2"/>
    </row>
    <row r="50" spans="2:15" x14ac:dyDescent="0.25">
      <c r="K50" s="11"/>
      <c r="O50" s="2"/>
    </row>
    <row r="51" spans="2:15" x14ac:dyDescent="0.25">
      <c r="K51" s="11"/>
      <c r="O51" s="2"/>
    </row>
    <row r="52" spans="2:15" x14ac:dyDescent="0.25">
      <c r="O52" s="2"/>
    </row>
    <row r="53" spans="2:15" x14ac:dyDescent="0.25">
      <c r="O53" s="2"/>
    </row>
    <row r="54" spans="2:15" x14ac:dyDescent="0.25">
      <c r="G54" s="2"/>
      <c r="O54" s="2"/>
    </row>
    <row r="55" spans="2:15" x14ac:dyDescent="0.25">
      <c r="E55" t="s">
        <v>26</v>
      </c>
      <c r="F55" s="19" t="s">
        <v>28</v>
      </c>
      <c r="G55" s="19"/>
      <c r="J55" t="s">
        <v>26</v>
      </c>
      <c r="K55" s="19" t="s">
        <v>28</v>
      </c>
      <c r="L55" s="19"/>
      <c r="O55" s="2"/>
    </row>
    <row r="56" spans="2:15" x14ac:dyDescent="0.25">
      <c r="B56" s="2"/>
      <c r="E56" t="s">
        <v>31</v>
      </c>
      <c r="F56" s="4" t="s">
        <v>32</v>
      </c>
      <c r="G56" s="5" t="s">
        <v>33</v>
      </c>
      <c r="J56" t="s">
        <v>31</v>
      </c>
      <c r="K56" s="4" t="s">
        <v>32</v>
      </c>
      <c r="L56" s="5" t="s">
        <v>33</v>
      </c>
      <c r="O56" s="2"/>
    </row>
    <row r="57" spans="2:15" x14ac:dyDescent="0.25">
      <c r="B57" s="8"/>
      <c r="D57" s="1" t="s">
        <v>36</v>
      </c>
      <c r="E57">
        <v>2.5259291966573819E-5</v>
      </c>
      <c r="F57">
        <v>2.5162826034217326E-5</v>
      </c>
      <c r="G57" s="2">
        <v>1.4395022274275469E-6</v>
      </c>
      <c r="I57" s="7" t="s">
        <v>80</v>
      </c>
      <c r="J57">
        <v>1.8147855153203343E-7</v>
      </c>
      <c r="K57">
        <v>1.8097435106453549E-7</v>
      </c>
      <c r="L57" s="2">
        <v>1.1978034383614539E-8</v>
      </c>
      <c r="O57" s="2"/>
    </row>
    <row r="58" spans="2:15" x14ac:dyDescent="0.25">
      <c r="D58" s="1" t="s">
        <v>39</v>
      </c>
      <c r="E58">
        <v>4.6604429880222839E-5</v>
      </c>
      <c r="F58">
        <v>4.6433825013844236E-5</v>
      </c>
      <c r="G58" s="2">
        <v>2.3507037397174724E-6</v>
      </c>
      <c r="I58" s="7" t="s">
        <v>82</v>
      </c>
      <c r="J58">
        <v>4.6616434540389972E-6</v>
      </c>
      <c r="K58">
        <v>3.5759084072042163E-6</v>
      </c>
      <c r="L58" s="2">
        <v>1.2916281996437508E-7</v>
      </c>
      <c r="O58" s="2"/>
    </row>
    <row r="59" spans="2:15" x14ac:dyDescent="0.25">
      <c r="D59" s="1" t="s">
        <v>42</v>
      </c>
      <c r="E59">
        <v>7.6880287938718668E-6</v>
      </c>
      <c r="F59">
        <v>7.6598852218989575E-6</v>
      </c>
      <c r="G59" s="2">
        <v>3.9789753763346777E-7</v>
      </c>
      <c r="I59" s="7" t="s">
        <v>84</v>
      </c>
      <c r="J59">
        <v>7.179603470752089E-6</v>
      </c>
      <c r="K59">
        <v>5.5663918746149829E-6</v>
      </c>
      <c r="L59" s="2">
        <v>1.7642530523221079E-7</v>
      </c>
      <c r="O59" s="2"/>
    </row>
    <row r="60" spans="2:15" x14ac:dyDescent="0.25">
      <c r="B60" s="2"/>
      <c r="D60" s="1" t="s">
        <v>45</v>
      </c>
      <c r="E60">
        <v>4.4019330598885798E-5</v>
      </c>
      <c r="F60">
        <v>4.3858189007422885E-5</v>
      </c>
      <c r="G60" s="2">
        <v>1.2956243276383541E-6</v>
      </c>
      <c r="I60" s="7" t="s">
        <v>108</v>
      </c>
      <c r="J60">
        <v>7.4013346239554317E-6</v>
      </c>
      <c r="K60">
        <v>5.7383014376990713E-6</v>
      </c>
      <c r="L60" s="2">
        <v>1.8013494312526211E-7</v>
      </c>
      <c r="O60" s="2"/>
    </row>
    <row r="61" spans="2:15" x14ac:dyDescent="0.25">
      <c r="B61" s="8"/>
      <c r="D61" s="1" t="s">
        <v>48</v>
      </c>
      <c r="E61">
        <v>5.0335501841225631E-5</v>
      </c>
      <c r="F61">
        <v>5.0151238638631813E-5</v>
      </c>
      <c r="G61" s="2">
        <v>5.1853664646378207E-6</v>
      </c>
      <c r="I61" s="7" t="s">
        <v>109</v>
      </c>
      <c r="J61">
        <v>1.8038891671309193E-6</v>
      </c>
      <c r="K61">
        <v>1.3985666534284624E-6</v>
      </c>
      <c r="L61" s="2">
        <v>6.3728941493019642E-8</v>
      </c>
      <c r="O61" s="2"/>
    </row>
    <row r="62" spans="2:15" x14ac:dyDescent="0.25">
      <c r="D62" s="1" t="s">
        <v>51</v>
      </c>
      <c r="E62">
        <v>1.4673345401114206E-5</v>
      </c>
      <c r="F62">
        <v>1.4312035420422808E-5</v>
      </c>
      <c r="G62" s="2">
        <v>4.2566707209922493E-7</v>
      </c>
      <c r="I62" s="7" t="s">
        <v>110</v>
      </c>
      <c r="J62">
        <v>1.4864996462395543E-5</v>
      </c>
      <c r="K62">
        <v>1.152492555789253E-5</v>
      </c>
      <c r="L62" s="2">
        <v>2.8246993037327416E-7</v>
      </c>
      <c r="O62" s="2"/>
    </row>
    <row r="63" spans="2:15" x14ac:dyDescent="0.25">
      <c r="D63" s="1" t="s">
        <v>54</v>
      </c>
      <c r="E63">
        <v>2.1961948328690809E-6</v>
      </c>
      <c r="F63">
        <v>2.2023123677521908E-6</v>
      </c>
      <c r="G63" s="2">
        <v>9.5219307494572958E-8</v>
      </c>
      <c r="I63" s="7" t="s">
        <v>111</v>
      </c>
      <c r="J63">
        <v>2.9348548454038997E-5</v>
      </c>
      <c r="K63">
        <v>2.2754114813120263E-5</v>
      </c>
      <c r="L63" s="2">
        <v>4.1030245570711589E-7</v>
      </c>
      <c r="O63" s="2"/>
    </row>
    <row r="64" spans="2:15" x14ac:dyDescent="0.25">
      <c r="D64" s="1" t="s">
        <v>57</v>
      </c>
      <c r="E64">
        <v>2.204932468913649E-4</v>
      </c>
      <c r="F64">
        <v>2.1983523171661431E-4</v>
      </c>
      <c r="G64" s="2">
        <v>8.0624462797256548E-6</v>
      </c>
      <c r="I64" s="10" t="s">
        <v>94</v>
      </c>
      <c r="J64">
        <v>4.5033526518105854E-6</v>
      </c>
      <c r="K64">
        <v>4.3083497000719311E-6</v>
      </c>
      <c r="L64" s="2">
        <v>1.4757599744892745E-7</v>
      </c>
      <c r="O64" s="2"/>
    </row>
    <row r="65" spans="4:15" x14ac:dyDescent="0.25">
      <c r="D65" s="1" t="s">
        <v>60</v>
      </c>
      <c r="E65">
        <v>6.2644104646239555E-5</v>
      </c>
      <c r="F65">
        <v>6.2457155101361755E-5</v>
      </c>
      <c r="G65" s="2">
        <v>1.2700185121069086E-6</v>
      </c>
      <c r="I65" s="10" t="s">
        <v>132</v>
      </c>
      <c r="J65">
        <v>1.348189415041783E-6</v>
      </c>
      <c r="K65">
        <v>1.0337618847484315E-6</v>
      </c>
      <c r="L65" s="2">
        <v>5.0257579251254371E-8</v>
      </c>
      <c r="O65" s="2"/>
    </row>
    <row r="66" spans="4:15" x14ac:dyDescent="0.25">
      <c r="D66" s="1" t="s">
        <v>63</v>
      </c>
      <c r="E66">
        <v>6.8383175172701959E-5</v>
      </c>
      <c r="F66">
        <v>6.8253223418885916E-5</v>
      </c>
      <c r="G66" s="2">
        <v>9.8903303303634984E-7</v>
      </c>
      <c r="I66" s="12" t="s">
        <v>129</v>
      </c>
      <c r="J66" s="2">
        <f>SUM(G32:G35)</f>
        <v>2.1220177309192201E-5</v>
      </c>
      <c r="K66" s="2">
        <f>SUM(O32:O35)</f>
        <v>1.7924064899633691E-5</v>
      </c>
      <c r="L66" s="2">
        <f>SUM(P32:P35)</f>
        <v>3.9855099360629118E-7</v>
      </c>
      <c r="O66" s="2"/>
    </row>
    <row r="67" spans="4:15" x14ac:dyDescent="0.25">
      <c r="D67" s="1" t="s">
        <v>66</v>
      </c>
      <c r="E67">
        <v>1.1201743318384401E-4</v>
      </c>
      <c r="F67">
        <v>1.1180456120706036E-4</v>
      </c>
      <c r="G67" s="2">
        <v>4.2471286134047097E-6</v>
      </c>
      <c r="I67" s="1" t="s">
        <v>100</v>
      </c>
      <c r="J67" s="2">
        <f>SUM(G36:G42)</f>
        <v>5.8437325905292477E-6</v>
      </c>
      <c r="K67" s="2">
        <f>SUM(O36:O42)</f>
        <v>8.3250001618405446E-6</v>
      </c>
      <c r="L67" s="2">
        <f>SUM(P36:P42)</f>
        <v>3.6593133749968266E-7</v>
      </c>
      <c r="O67" s="2"/>
    </row>
    <row r="68" spans="4:15" x14ac:dyDescent="0.25">
      <c r="D68" s="1" t="s">
        <v>69</v>
      </c>
      <c r="E68">
        <v>1.4825290432869082E-4</v>
      </c>
      <c r="F68">
        <v>1.4876930250187686E-4</v>
      </c>
      <c r="G68" s="2">
        <v>4.9882284513233268E-6</v>
      </c>
      <c r="I68" s="1"/>
      <c r="L68" s="2"/>
      <c r="O68" s="2"/>
    </row>
    <row r="69" spans="4:15" x14ac:dyDescent="0.25">
      <c r="D69" s="1" t="s">
        <v>72</v>
      </c>
      <c r="E69">
        <v>1.9351916936490252E-4</v>
      </c>
      <c r="F69">
        <v>1.9293498422922166E-4</v>
      </c>
      <c r="G69" s="2">
        <v>3.3452024769860749E-6</v>
      </c>
      <c r="I69" s="1"/>
      <c r="L69" s="2"/>
      <c r="O69" s="2"/>
    </row>
    <row r="70" spans="4:15" x14ac:dyDescent="0.25">
      <c r="D70" s="1" t="s">
        <v>75</v>
      </c>
      <c r="E70">
        <v>7.5712466264623953E-5</v>
      </c>
      <c r="F70" s="2">
        <v>7.5507071431189882E-5</v>
      </c>
      <c r="G70" s="2">
        <f>SUM(P20:P22)</f>
        <v>2.8129494821783982E-6</v>
      </c>
      <c r="I70" s="1"/>
      <c r="J70">
        <f>SUM(J57:J58)</f>
        <v>4.843122005571031E-6</v>
      </c>
      <c r="K70" s="2"/>
      <c r="L70" s="2"/>
      <c r="O70" s="2"/>
    </row>
    <row r="71" spans="4:15" x14ac:dyDescent="0.25">
      <c r="G71" s="2"/>
      <c r="J71">
        <f>SUM(J59:J63)</f>
        <v>6.059837217827298E-5</v>
      </c>
      <c r="L71" s="2"/>
      <c r="O71" s="2"/>
    </row>
    <row r="72" spans="4:15" x14ac:dyDescent="0.25">
      <c r="G72" s="2"/>
      <c r="J72" s="2">
        <f>SUM(J66)</f>
        <v>2.1220177309192201E-5</v>
      </c>
      <c r="O72" s="2"/>
    </row>
    <row r="73" spans="4:15" x14ac:dyDescent="0.25">
      <c r="G73" s="2"/>
      <c r="O73" s="2"/>
    </row>
    <row r="74" spans="4:15" x14ac:dyDescent="0.25">
      <c r="G74" s="2"/>
      <c r="O74" s="2"/>
    </row>
    <row r="75" spans="4:15" x14ac:dyDescent="0.25">
      <c r="G75" s="2"/>
      <c r="O75" s="2"/>
    </row>
    <row r="76" spans="4:15" x14ac:dyDescent="0.25">
      <c r="G76" s="2"/>
      <c r="O76" s="2"/>
    </row>
    <row r="77" spans="4:15" x14ac:dyDescent="0.25">
      <c r="G77" s="2"/>
      <c r="O77" s="2"/>
    </row>
    <row r="78" spans="4:15" x14ac:dyDescent="0.25">
      <c r="G78" s="2"/>
      <c r="O78" s="2"/>
    </row>
    <row r="79" spans="4:15" x14ac:dyDescent="0.25">
      <c r="G79" s="2"/>
      <c r="O79" s="2"/>
    </row>
    <row r="80" spans="4:15" x14ac:dyDescent="0.25">
      <c r="G80" s="2"/>
      <c r="O80" s="2"/>
    </row>
    <row r="81" spans="7:15" x14ac:dyDescent="0.25">
      <c r="G81" s="2"/>
      <c r="O81" s="2"/>
    </row>
    <row r="82" spans="7:15" x14ac:dyDescent="0.25">
      <c r="G82" s="2"/>
      <c r="O82" s="2"/>
    </row>
    <row r="83" spans="7:15" x14ac:dyDescent="0.25">
      <c r="G83" s="2"/>
      <c r="O83" s="2"/>
    </row>
    <row r="84" spans="7:15" x14ac:dyDescent="0.25">
      <c r="G84" s="2"/>
      <c r="O84" s="2"/>
    </row>
    <row r="85" spans="7:15" x14ac:dyDescent="0.25">
      <c r="G85" s="2"/>
      <c r="O85" s="2"/>
    </row>
    <row r="86" spans="7:15" x14ac:dyDescent="0.25">
      <c r="G86" s="2"/>
      <c r="O86" s="2"/>
    </row>
    <row r="87" spans="7:15" x14ac:dyDescent="0.25">
      <c r="G87" s="2"/>
      <c r="O87" s="2"/>
    </row>
    <row r="88" spans="7:15" x14ac:dyDescent="0.25">
      <c r="G88" s="2"/>
      <c r="O88" s="2"/>
    </row>
    <row r="89" spans="7:15" x14ac:dyDescent="0.25">
      <c r="G89" s="2"/>
      <c r="O89" s="2"/>
    </row>
    <row r="90" spans="7:15" x14ac:dyDescent="0.25">
      <c r="G90" s="2"/>
      <c r="O90" s="2"/>
    </row>
    <row r="91" spans="7:15" x14ac:dyDescent="0.25">
      <c r="G91" s="2"/>
      <c r="O91" s="2"/>
    </row>
    <row r="92" spans="7:15" x14ac:dyDescent="0.25">
      <c r="G92" s="2"/>
      <c r="O92" s="2"/>
    </row>
    <row r="93" spans="7:15" x14ac:dyDescent="0.25">
      <c r="G93" s="2"/>
      <c r="O93" s="2"/>
    </row>
    <row r="94" spans="7:15" x14ac:dyDescent="0.25">
      <c r="G94" s="2"/>
      <c r="O94" s="2"/>
    </row>
    <row r="95" spans="7:15" x14ac:dyDescent="0.25">
      <c r="G95" s="2"/>
      <c r="O95" s="2"/>
    </row>
    <row r="96" spans="7:15" x14ac:dyDescent="0.25">
      <c r="G96" s="2"/>
      <c r="O96" s="2"/>
    </row>
    <row r="97" spans="7:15" x14ac:dyDescent="0.25">
      <c r="G97" s="2"/>
      <c r="O97" s="2"/>
    </row>
    <row r="98" spans="7:15" x14ac:dyDescent="0.25">
      <c r="G98" s="2"/>
      <c r="O98" s="2"/>
    </row>
    <row r="99" spans="7:15" x14ac:dyDescent="0.25">
      <c r="G99" s="2"/>
      <c r="O99" s="2"/>
    </row>
    <row r="100" spans="7:15" x14ac:dyDescent="0.25">
      <c r="G100" s="2"/>
      <c r="O100" s="2"/>
    </row>
    <row r="101" spans="7:15" x14ac:dyDescent="0.25">
      <c r="G101" s="2"/>
      <c r="O101" s="2"/>
    </row>
    <row r="102" spans="7:15" x14ac:dyDescent="0.25">
      <c r="G102" s="2"/>
      <c r="O102" s="2"/>
    </row>
    <row r="103" spans="7:15" x14ac:dyDescent="0.25">
      <c r="G103" s="2"/>
      <c r="O103" s="2"/>
    </row>
    <row r="104" spans="7:15" x14ac:dyDescent="0.25">
      <c r="G104" s="2"/>
      <c r="O104" s="2"/>
    </row>
    <row r="105" spans="7:15" x14ac:dyDescent="0.25">
      <c r="G105" s="2"/>
      <c r="O105" s="2"/>
    </row>
    <row r="106" spans="7:15" x14ac:dyDescent="0.25">
      <c r="G106" s="2"/>
      <c r="O106" s="2"/>
    </row>
    <row r="107" spans="7:15" x14ac:dyDescent="0.25">
      <c r="G107" s="2"/>
      <c r="O107" s="2"/>
    </row>
    <row r="108" spans="7:15" x14ac:dyDescent="0.25">
      <c r="G108" s="2"/>
      <c r="O108" s="2"/>
    </row>
    <row r="109" spans="7:15" x14ac:dyDescent="0.25">
      <c r="G109" s="2"/>
      <c r="O109" s="2"/>
    </row>
    <row r="110" spans="7:15" x14ac:dyDescent="0.25">
      <c r="G110" s="2"/>
      <c r="O110" s="2"/>
    </row>
    <row r="111" spans="7:15" x14ac:dyDescent="0.25">
      <c r="G111" s="2"/>
      <c r="O111" s="2"/>
    </row>
    <row r="112" spans="7:15" x14ac:dyDescent="0.25">
      <c r="G112" s="2"/>
      <c r="O112" s="2"/>
    </row>
    <row r="113" spans="7:15" x14ac:dyDescent="0.25">
      <c r="G113" s="2"/>
      <c r="O113" s="2"/>
    </row>
    <row r="114" spans="7:15" x14ac:dyDescent="0.25">
      <c r="G114" s="2"/>
      <c r="O114" s="2"/>
    </row>
    <row r="115" spans="7:15" x14ac:dyDescent="0.25">
      <c r="G115" s="2"/>
      <c r="O115" s="2"/>
    </row>
    <row r="116" spans="7:15" x14ac:dyDescent="0.25">
      <c r="G116" s="2"/>
      <c r="O116" s="2"/>
    </row>
    <row r="117" spans="7:15" x14ac:dyDescent="0.25">
      <c r="G117" s="2"/>
      <c r="O117" s="2"/>
    </row>
    <row r="118" spans="7:15" x14ac:dyDescent="0.25">
      <c r="G118" s="2"/>
      <c r="O118" s="2"/>
    </row>
    <row r="119" spans="7:15" x14ac:dyDescent="0.25">
      <c r="G119" s="2"/>
      <c r="O119" s="2"/>
    </row>
    <row r="120" spans="7:15" x14ac:dyDescent="0.25">
      <c r="G120" s="2"/>
      <c r="O120" s="2"/>
    </row>
    <row r="121" spans="7:15" x14ac:dyDescent="0.25">
      <c r="G121" s="2"/>
      <c r="O121" s="2"/>
    </row>
    <row r="122" spans="7:15" x14ac:dyDescent="0.25">
      <c r="G122" s="2"/>
      <c r="O122" s="2"/>
    </row>
    <row r="123" spans="7:15" x14ac:dyDescent="0.25">
      <c r="G123" s="2"/>
      <c r="O123" s="2"/>
    </row>
    <row r="124" spans="7:15" x14ac:dyDescent="0.25">
      <c r="G124" s="2"/>
      <c r="O124" s="2"/>
    </row>
    <row r="125" spans="7:15" x14ac:dyDescent="0.25">
      <c r="G125" s="2"/>
      <c r="O125" s="2"/>
    </row>
    <row r="126" spans="7:15" x14ac:dyDescent="0.25">
      <c r="G126" s="2"/>
      <c r="O126" s="2"/>
    </row>
    <row r="127" spans="7:15" x14ac:dyDescent="0.25">
      <c r="G127" s="2"/>
      <c r="O127" s="2"/>
    </row>
    <row r="128" spans="7:15" x14ac:dyDescent="0.25">
      <c r="G128" s="2"/>
      <c r="O128" s="2"/>
    </row>
    <row r="129" spans="7:15" x14ac:dyDescent="0.25">
      <c r="G129" s="2"/>
      <c r="O129" s="2"/>
    </row>
    <row r="130" spans="7:15" x14ac:dyDescent="0.25">
      <c r="G130" s="2"/>
      <c r="O130" s="2"/>
    </row>
    <row r="131" spans="7:15" x14ac:dyDescent="0.25">
      <c r="G131" s="2"/>
      <c r="O131" s="2"/>
    </row>
    <row r="132" spans="7:15" x14ac:dyDescent="0.25">
      <c r="G132" s="2"/>
      <c r="O132" s="2"/>
    </row>
    <row r="133" spans="7:15" x14ac:dyDescent="0.25">
      <c r="G133" s="2"/>
      <c r="O133" s="2"/>
    </row>
    <row r="134" spans="7:15" x14ac:dyDescent="0.25">
      <c r="G134" s="2"/>
      <c r="O134" s="2"/>
    </row>
    <row r="135" spans="7:15" x14ac:dyDescent="0.25">
      <c r="G135" s="2"/>
      <c r="O135" s="2"/>
    </row>
    <row r="136" spans="7:15" x14ac:dyDescent="0.25">
      <c r="G136" s="2"/>
      <c r="O136" s="2"/>
    </row>
    <row r="137" spans="7:15" x14ac:dyDescent="0.25">
      <c r="G137" s="2"/>
      <c r="O137" s="2"/>
    </row>
    <row r="138" spans="7:15" x14ac:dyDescent="0.25">
      <c r="G138" s="2"/>
      <c r="O138" s="2"/>
    </row>
    <row r="139" spans="7:15" x14ac:dyDescent="0.25">
      <c r="G139" s="2"/>
      <c r="O139" s="2"/>
    </row>
    <row r="140" spans="7:15" x14ac:dyDescent="0.25">
      <c r="G140" s="2"/>
      <c r="O140" s="2"/>
    </row>
    <row r="141" spans="7:15" x14ac:dyDescent="0.25">
      <c r="G141" s="2"/>
      <c r="O141" s="2"/>
    </row>
    <row r="142" spans="7:15" x14ac:dyDescent="0.25">
      <c r="G142" s="2"/>
      <c r="O142" s="2"/>
    </row>
    <row r="143" spans="7:15" x14ac:dyDescent="0.25">
      <c r="G143" s="2"/>
      <c r="O143" s="2"/>
    </row>
    <row r="144" spans="7:15" x14ac:dyDescent="0.25">
      <c r="G144" s="2"/>
      <c r="O144" s="2"/>
    </row>
    <row r="145" spans="7:15" x14ac:dyDescent="0.25">
      <c r="G145" s="2"/>
      <c r="O145" s="2"/>
    </row>
    <row r="146" spans="7:15" x14ac:dyDescent="0.25">
      <c r="G146" s="2"/>
      <c r="O146" s="2"/>
    </row>
    <row r="147" spans="7:15" x14ac:dyDescent="0.25">
      <c r="G147" s="2"/>
      <c r="O147" s="2"/>
    </row>
    <row r="148" spans="7:15" x14ac:dyDescent="0.25">
      <c r="G148" s="2"/>
      <c r="O148" s="2"/>
    </row>
    <row r="149" spans="7:15" x14ac:dyDescent="0.25">
      <c r="G149" s="2"/>
      <c r="O149" s="2"/>
    </row>
    <row r="150" spans="7:15" x14ac:dyDescent="0.25">
      <c r="G150" s="2"/>
      <c r="O150" s="2"/>
    </row>
    <row r="151" spans="7:15" x14ac:dyDescent="0.25">
      <c r="G151" s="2"/>
      <c r="O151" s="2"/>
    </row>
    <row r="152" spans="7:15" x14ac:dyDescent="0.25">
      <c r="G152" s="2"/>
      <c r="O152" s="2"/>
    </row>
    <row r="153" spans="7:15" x14ac:dyDescent="0.25">
      <c r="G153" s="2"/>
      <c r="O153" s="2"/>
    </row>
    <row r="154" spans="7:15" x14ac:dyDescent="0.25">
      <c r="G154" s="2"/>
      <c r="O154" s="2"/>
    </row>
    <row r="155" spans="7:15" x14ac:dyDescent="0.25">
      <c r="G155" s="2"/>
      <c r="O155" s="2"/>
    </row>
    <row r="156" spans="7:15" x14ac:dyDescent="0.25">
      <c r="G156" s="2"/>
      <c r="O156" s="2"/>
    </row>
    <row r="157" spans="7:15" x14ac:dyDescent="0.25">
      <c r="G157" s="2"/>
      <c r="O157" s="2"/>
    </row>
    <row r="158" spans="7:15" x14ac:dyDescent="0.25">
      <c r="G158" s="2"/>
      <c r="O158" s="2"/>
    </row>
    <row r="159" spans="7:15" x14ac:dyDescent="0.25">
      <c r="G159" s="2"/>
      <c r="O159" s="2"/>
    </row>
    <row r="160" spans="7:15" x14ac:dyDescent="0.25">
      <c r="G160" s="2"/>
      <c r="O160" s="2"/>
    </row>
    <row r="161" spans="7:15" x14ac:dyDescent="0.25">
      <c r="G161" s="2"/>
      <c r="O161" s="2"/>
    </row>
    <row r="162" spans="7:15" x14ac:dyDescent="0.25">
      <c r="G162" s="2"/>
      <c r="O162" s="2"/>
    </row>
    <row r="163" spans="7:15" x14ac:dyDescent="0.25">
      <c r="G163" s="2"/>
      <c r="O163" s="2"/>
    </row>
    <row r="164" spans="7:15" x14ac:dyDescent="0.25">
      <c r="G164" s="2"/>
      <c r="O164" s="2"/>
    </row>
    <row r="165" spans="7:15" x14ac:dyDescent="0.25">
      <c r="G165" s="2"/>
      <c r="O165" s="2"/>
    </row>
    <row r="166" spans="7:15" x14ac:dyDescent="0.25">
      <c r="G166" s="2"/>
      <c r="O166" s="2"/>
    </row>
    <row r="167" spans="7:15" x14ac:dyDescent="0.25">
      <c r="G167" s="2"/>
      <c r="O167" s="2"/>
    </row>
    <row r="168" spans="7:15" x14ac:dyDescent="0.25">
      <c r="G168" s="2"/>
      <c r="O168" s="2"/>
    </row>
    <row r="169" spans="7:15" x14ac:dyDescent="0.25">
      <c r="G169" s="2"/>
      <c r="O169" s="2"/>
    </row>
    <row r="170" spans="7:15" x14ac:dyDescent="0.25">
      <c r="G170" s="2"/>
      <c r="O170" s="2"/>
    </row>
    <row r="171" spans="7:15" x14ac:dyDescent="0.25">
      <c r="G171" s="2"/>
      <c r="O171" s="2"/>
    </row>
    <row r="172" spans="7:15" x14ac:dyDescent="0.25">
      <c r="G172" s="2"/>
      <c r="O172" s="2"/>
    </row>
  </sheetData>
  <mergeCells count="5">
    <mergeCell ref="O5:P5"/>
    <mergeCell ref="I5:J5"/>
    <mergeCell ref="L5:M5"/>
    <mergeCell ref="F55:G55"/>
    <mergeCell ref="K55:L5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0A048-ED17-444D-B3AC-1286CC83DE47}">
  <dimension ref="A1:P100"/>
  <sheetViews>
    <sheetView topLeftCell="A22" zoomScale="115" zoomScaleNormal="115" workbookViewId="0">
      <selection activeCell="J64" sqref="J64"/>
    </sheetView>
  </sheetViews>
  <sheetFormatPr defaultColWidth="11.42578125" defaultRowHeight="15" x14ac:dyDescent="0.25"/>
  <cols>
    <col min="1" max="1" width="11.28515625" bestFit="1" customWidth="1"/>
    <col min="2" max="4" width="10.85546875"/>
    <col min="5" max="5" width="12.42578125" bestFit="1" customWidth="1"/>
    <col min="6" max="6" width="13" bestFit="1" customWidth="1"/>
    <col min="7" max="8" width="11.28515625" bestFit="1" customWidth="1"/>
    <col min="9" max="9" width="11.140625" bestFit="1" customWidth="1"/>
    <col min="10" max="11" width="12.7109375" bestFit="1" customWidth="1"/>
    <col min="12" max="12" width="11.28515625" bestFit="1" customWidth="1"/>
    <col min="13" max="13" width="12.7109375" bestFit="1" customWidth="1"/>
    <col min="14" max="14" width="10.85546875"/>
    <col min="15" max="16" width="12.7109375" bestFit="1" customWidth="1"/>
  </cols>
  <sheetData>
    <row r="1" spans="1:16" x14ac:dyDescent="0.25">
      <c r="B1" t="s">
        <v>22</v>
      </c>
      <c r="C1" s="1" t="s">
        <v>23</v>
      </c>
      <c r="D1" s="1"/>
      <c r="E1" s="1"/>
      <c r="G1" s="2"/>
      <c r="O1" s="2"/>
    </row>
    <row r="2" spans="1:16" x14ac:dyDescent="0.25">
      <c r="B2" t="s">
        <v>127</v>
      </c>
      <c r="C2" s="1" t="s">
        <v>24</v>
      </c>
      <c r="D2" s="1"/>
      <c r="E2" s="1"/>
      <c r="G2" s="2"/>
      <c r="O2" s="2"/>
    </row>
    <row r="3" spans="1:16" x14ac:dyDescent="0.25">
      <c r="B3" s="1"/>
      <c r="C3" s="1"/>
      <c r="D3" s="1"/>
      <c r="E3" s="1"/>
      <c r="G3" s="2"/>
      <c r="O3" s="2"/>
    </row>
    <row r="4" spans="1:16" x14ac:dyDescent="0.25">
      <c r="B4" s="1"/>
      <c r="C4" s="1"/>
      <c r="D4" s="1"/>
      <c r="E4" s="1"/>
      <c r="G4" s="2"/>
      <c r="O4" s="2"/>
    </row>
    <row r="5" spans="1:16" x14ac:dyDescent="0.25">
      <c r="B5" s="1"/>
      <c r="C5" s="1"/>
      <c r="D5" s="1"/>
      <c r="E5" s="1"/>
      <c r="F5" t="s">
        <v>25</v>
      </c>
      <c r="G5" s="3" t="s">
        <v>26</v>
      </c>
      <c r="I5" s="18"/>
      <c r="J5" s="18"/>
      <c r="L5" s="18" t="s">
        <v>27</v>
      </c>
      <c r="M5" s="18"/>
      <c r="O5" s="19" t="s">
        <v>28</v>
      </c>
      <c r="P5" s="19"/>
    </row>
    <row r="6" spans="1:16" x14ac:dyDescent="0.25">
      <c r="A6" t="s">
        <v>29</v>
      </c>
      <c r="B6" s="1"/>
      <c r="C6" s="1"/>
      <c r="D6" s="1"/>
      <c r="E6" s="1" t="s">
        <v>107</v>
      </c>
      <c r="F6" s="1" t="s">
        <v>30</v>
      </c>
      <c r="G6" s="3" t="s">
        <v>31</v>
      </c>
      <c r="L6" t="s">
        <v>32</v>
      </c>
      <c r="M6" t="s">
        <v>33</v>
      </c>
      <c r="O6" s="4" t="s">
        <v>32</v>
      </c>
      <c r="P6" s="5" t="s">
        <v>33</v>
      </c>
    </row>
    <row r="7" spans="1:16" x14ac:dyDescent="0.25">
      <c r="A7">
        <v>34.896999999999998</v>
      </c>
      <c r="B7" s="6" t="s">
        <v>34</v>
      </c>
      <c r="C7" s="7" t="s">
        <v>35</v>
      </c>
      <c r="D7" s="1" t="s">
        <v>36</v>
      </c>
      <c r="E7" s="1"/>
      <c r="F7" s="1">
        <v>9.0680858160000007E-6</v>
      </c>
      <c r="G7" s="3">
        <f>F7/ 0.359</f>
        <v>2.5259291966573819E-5</v>
      </c>
      <c r="K7" s="6" t="s">
        <v>34</v>
      </c>
      <c r="L7">
        <v>8.7810714011608197E-4</v>
      </c>
      <c r="M7">
        <v>5.0234309230539104E-5</v>
      </c>
      <c r="O7" s="4">
        <f>L7/A7</f>
        <v>2.5162826034217326E-5</v>
      </c>
      <c r="P7" s="5">
        <f>M7/A7</f>
        <v>1.4395022274275469E-6</v>
      </c>
    </row>
    <row r="8" spans="1:16" x14ac:dyDescent="0.25">
      <c r="A8">
        <v>53.859000000000002</v>
      </c>
      <c r="B8" s="6" t="s">
        <v>37</v>
      </c>
      <c r="C8" s="7" t="s">
        <v>38</v>
      </c>
      <c r="D8" s="1" t="s">
        <v>39</v>
      </c>
      <c r="E8" s="1"/>
      <c r="F8" s="1">
        <v>1.6730968478E-5</v>
      </c>
      <c r="G8" s="3">
        <f t="shared" ref="G8:G42" si="0">F8/ 0.359</f>
        <v>4.6604369019498609E-5</v>
      </c>
      <c r="K8" s="6" t="s">
        <v>37</v>
      </c>
      <c r="L8">
        <v>2.500879381420637E-3</v>
      </c>
      <c r="M8">
        <v>1.2660655271744335E-4</v>
      </c>
      <c r="O8" s="4">
        <f t="shared" ref="O8:O28" si="1">L8/A8</f>
        <v>4.6433825013844236E-5</v>
      </c>
      <c r="P8" s="5">
        <f t="shared" ref="P8:P42" si="2">M8/A8</f>
        <v>2.3507037397174724E-6</v>
      </c>
    </row>
    <row r="9" spans="1:16" x14ac:dyDescent="0.25">
      <c r="A9">
        <v>25.530999999999999</v>
      </c>
      <c r="B9" s="6" t="s">
        <v>40</v>
      </c>
      <c r="C9" s="7" t="s">
        <v>41</v>
      </c>
      <c r="D9" s="1" t="s">
        <v>42</v>
      </c>
      <c r="E9" s="1"/>
      <c r="F9" s="1">
        <v>2.7599987329999998E-6</v>
      </c>
      <c r="G9" s="3">
        <f t="shared" si="0"/>
        <v>7.6880187548746521E-6</v>
      </c>
      <c r="K9" s="6" t="s">
        <v>40</v>
      </c>
      <c r="L9">
        <v>1.9556452960030229E-4</v>
      </c>
      <c r="M9">
        <v>1.0158722033320065E-5</v>
      </c>
      <c r="O9" s="4">
        <f t="shared" si="1"/>
        <v>7.6598852218989575E-6</v>
      </c>
      <c r="P9" s="5">
        <f t="shared" si="2"/>
        <v>3.9789753763346777E-7</v>
      </c>
    </row>
    <row r="10" spans="1:16" x14ac:dyDescent="0.25">
      <c r="A10">
        <v>65.391999999999996</v>
      </c>
      <c r="B10" s="6" t="s">
        <v>43</v>
      </c>
      <c r="C10" s="7" t="s">
        <v>44</v>
      </c>
      <c r="D10" s="1" t="s">
        <v>45</v>
      </c>
      <c r="E10" s="1"/>
      <c r="F10" s="1">
        <v>1.5802919048000001E-5</v>
      </c>
      <c r="G10" s="3">
        <f t="shared" si="0"/>
        <v>4.4019273114206137E-5</v>
      </c>
      <c r="K10" s="6" t="s">
        <v>43</v>
      </c>
      <c r="L10">
        <v>2.8679746955733972E-3</v>
      </c>
      <c r="M10">
        <v>8.472346603292725E-5</v>
      </c>
      <c r="O10" s="4">
        <f t="shared" si="1"/>
        <v>4.3858189007422885E-5</v>
      </c>
      <c r="P10" s="5">
        <f t="shared" si="2"/>
        <v>1.2956243276383541E-6</v>
      </c>
    </row>
    <row r="11" spans="1:16" x14ac:dyDescent="0.25">
      <c r="A11">
        <v>21.504999999999999</v>
      </c>
      <c r="B11" s="6" t="s">
        <v>46</v>
      </c>
      <c r="C11" s="7" t="s">
        <v>47</v>
      </c>
      <c r="D11" s="1" t="s">
        <v>48</v>
      </c>
      <c r="E11" s="1"/>
      <c r="F11" s="1">
        <v>1.8070421563000001E-5</v>
      </c>
      <c r="G11" s="3">
        <f t="shared" si="0"/>
        <v>5.0335436108635104E-5</v>
      </c>
      <c r="K11" s="6" t="s">
        <v>46</v>
      </c>
      <c r="L11">
        <v>1.0785023869237772E-3</v>
      </c>
      <c r="M11">
        <v>1.1151130582203634E-4</v>
      </c>
      <c r="O11" s="4">
        <f t="shared" si="1"/>
        <v>5.0151238638631813E-5</v>
      </c>
      <c r="P11" s="5">
        <f t="shared" si="2"/>
        <v>5.1853664646378207E-6</v>
      </c>
    </row>
    <row r="12" spans="1:16" x14ac:dyDescent="0.25">
      <c r="A12">
        <v>55.399000000000001</v>
      </c>
      <c r="B12" s="6" t="s">
        <v>49</v>
      </c>
      <c r="C12" s="7" t="s">
        <v>50</v>
      </c>
      <c r="D12" s="1" t="s">
        <v>51</v>
      </c>
      <c r="E12" s="1"/>
      <c r="F12" s="1">
        <v>5.2686228440000001E-6</v>
      </c>
      <c r="G12" s="3">
        <f t="shared" si="0"/>
        <v>1.4675829649025071E-5</v>
      </c>
      <c r="K12" s="6" t="s">
        <v>49</v>
      </c>
      <c r="L12">
        <v>7.9287245025600318E-4</v>
      </c>
      <c r="M12">
        <v>2.3581530127224962E-5</v>
      </c>
      <c r="O12" s="4">
        <f t="shared" si="1"/>
        <v>1.4312035420422808E-5</v>
      </c>
      <c r="P12" s="5">
        <f t="shared" si="2"/>
        <v>4.2566707209922493E-7</v>
      </c>
    </row>
    <row r="13" spans="1:16" x14ac:dyDescent="0.25">
      <c r="A13">
        <v>26.266999999999999</v>
      </c>
      <c r="B13" s="6" t="s">
        <v>52</v>
      </c>
      <c r="C13" s="7" t="s">
        <v>53</v>
      </c>
      <c r="D13" s="1" t="s">
        <v>54</v>
      </c>
      <c r="E13" s="1"/>
      <c r="F13" s="1">
        <v>7.8843394500000004E-7</v>
      </c>
      <c r="G13" s="3">
        <f t="shared" si="0"/>
        <v>2.1961948328690809E-6</v>
      </c>
      <c r="K13" s="6" t="s">
        <v>52</v>
      </c>
      <c r="L13">
        <v>5.7848138963746799E-5</v>
      </c>
      <c r="M13">
        <v>2.5011255499599478E-6</v>
      </c>
      <c r="O13" s="4">
        <f t="shared" si="1"/>
        <v>2.2023123677521908E-6</v>
      </c>
      <c r="P13" s="5">
        <f t="shared" si="2"/>
        <v>9.5219307494572958E-8</v>
      </c>
    </row>
    <row r="14" spans="1:16" x14ac:dyDescent="0.25">
      <c r="A14">
        <v>36.101999999999997</v>
      </c>
      <c r="B14" s="6" t="s">
        <v>55</v>
      </c>
      <c r="C14" s="7" t="s">
        <v>56</v>
      </c>
      <c r="D14" s="1" t="s">
        <v>57</v>
      </c>
      <c r="E14" s="1"/>
      <c r="F14" s="1">
        <v>7.9120358728999998E-5</v>
      </c>
      <c r="G14" s="3">
        <f t="shared" si="0"/>
        <v>2.2039097138997214E-4</v>
      </c>
      <c r="K14" s="6" t="s">
        <v>55</v>
      </c>
      <c r="L14">
        <v>7.9364915354332086E-3</v>
      </c>
      <c r="M14">
        <v>2.9107043559065555E-4</v>
      </c>
      <c r="O14" s="4">
        <f t="shared" si="1"/>
        <v>2.1983523171661431E-4</v>
      </c>
      <c r="P14" s="5">
        <f t="shared" si="2"/>
        <v>8.0624462797256548E-6</v>
      </c>
    </row>
    <row r="15" spans="1:16" x14ac:dyDescent="0.25">
      <c r="A15">
        <v>41.387999999999998</v>
      </c>
      <c r="B15" s="6" t="s">
        <v>58</v>
      </c>
      <c r="C15" s="7" t="s">
        <v>59</v>
      </c>
      <c r="D15" s="1" t="s">
        <v>60</v>
      </c>
      <c r="E15" s="1"/>
      <c r="F15" s="1">
        <v>2.2478801922E-5</v>
      </c>
      <c r="G15" s="3">
        <f t="shared" si="0"/>
        <v>6.261504713649025E-5</v>
      </c>
      <c r="K15" s="6" t="s">
        <v>58</v>
      </c>
      <c r="L15">
        <v>2.5849767353351601E-3</v>
      </c>
      <c r="M15">
        <v>5.2563526179080733E-5</v>
      </c>
      <c r="O15" s="4">
        <f t="shared" si="1"/>
        <v>6.2457155101361755E-5</v>
      </c>
      <c r="P15" s="5">
        <f t="shared" si="2"/>
        <v>1.2700185121069086E-6</v>
      </c>
    </row>
    <row r="16" spans="1:16" x14ac:dyDescent="0.25">
      <c r="A16">
        <v>25.937999999999999</v>
      </c>
      <c r="B16" s="6" t="s">
        <v>61</v>
      </c>
      <c r="C16" s="7" t="s">
        <v>62</v>
      </c>
      <c r="D16" s="1" t="s">
        <v>63</v>
      </c>
      <c r="E16" s="1"/>
      <c r="F16" s="1">
        <v>2.4534415822000001E-5</v>
      </c>
      <c r="G16" s="3">
        <f t="shared" si="0"/>
        <v>6.8340991147632324E-5</v>
      </c>
      <c r="K16" s="6" t="s">
        <v>61</v>
      </c>
      <c r="L16">
        <v>1.7703521090390627E-3</v>
      </c>
      <c r="M16">
        <v>2.5653538810896839E-5</v>
      </c>
      <c r="O16" s="4">
        <f t="shared" si="1"/>
        <v>6.8253223418885916E-5</v>
      </c>
      <c r="P16" s="5">
        <f t="shared" si="2"/>
        <v>9.8903303303634984E-7</v>
      </c>
    </row>
    <row r="17" spans="1:16" x14ac:dyDescent="0.25">
      <c r="A17">
        <v>45.743000000000002</v>
      </c>
      <c r="B17" s="6" t="s">
        <v>64</v>
      </c>
      <c r="C17" s="7" t="s">
        <v>65</v>
      </c>
      <c r="D17" s="1" t="s">
        <v>66</v>
      </c>
      <c r="E17" s="1"/>
      <c r="F17" s="1">
        <v>4.0189451253999998E-5</v>
      </c>
      <c r="G17" s="3">
        <f t="shared" si="0"/>
        <v>1.1194833218384401E-4</v>
      </c>
      <c r="K17" s="6" t="s">
        <v>64</v>
      </c>
      <c r="L17">
        <v>5.1142760432945624E-3</v>
      </c>
      <c r="M17">
        <v>1.9427640416297163E-4</v>
      </c>
      <c r="O17" s="4">
        <f t="shared" si="1"/>
        <v>1.1180456120706036E-4</v>
      </c>
      <c r="P17" s="5">
        <f t="shared" si="2"/>
        <v>4.2471286134047097E-6</v>
      </c>
    </row>
    <row r="18" spans="1:16" x14ac:dyDescent="0.25">
      <c r="A18">
        <v>51.445</v>
      </c>
      <c r="B18" s="6" t="s">
        <v>67</v>
      </c>
      <c r="C18" s="7" t="s">
        <v>68</v>
      </c>
      <c r="D18" s="1" t="s">
        <v>69</v>
      </c>
      <c r="E18" s="1"/>
      <c r="F18" s="1">
        <v>5.3197334068000001E-5</v>
      </c>
      <c r="G18" s="3">
        <f t="shared" si="0"/>
        <v>1.4818198904735378E-4</v>
      </c>
      <c r="K18" s="6" t="s">
        <v>67</v>
      </c>
      <c r="L18">
        <v>7.6534367672090545E-3</v>
      </c>
      <c r="M18">
        <v>2.5661941267832855E-4</v>
      </c>
      <c r="O18" s="4">
        <f t="shared" si="1"/>
        <v>1.4876930250187686E-4</v>
      </c>
      <c r="P18" s="5">
        <f t="shared" si="2"/>
        <v>4.9882284513233268E-6</v>
      </c>
    </row>
    <row r="19" spans="1:16" x14ac:dyDescent="0.25">
      <c r="A19">
        <v>60.926000000000002</v>
      </c>
      <c r="B19" s="6" t="s">
        <v>70</v>
      </c>
      <c r="C19" s="7" t="s">
        <v>71</v>
      </c>
      <c r="D19" s="1" t="s">
        <v>72</v>
      </c>
      <c r="E19" s="1"/>
      <c r="F19" s="1">
        <v>6.9541749365000001E-5</v>
      </c>
      <c r="G19" s="3">
        <f t="shared" si="0"/>
        <v>1.9370960825905293E-4</v>
      </c>
      <c r="K19" s="6" t="s">
        <v>70</v>
      </c>
      <c r="L19">
        <v>1.175475684914956E-2</v>
      </c>
      <c r="M19">
        <v>2.0380980611285361E-4</v>
      </c>
      <c r="O19" s="4">
        <f t="shared" si="1"/>
        <v>1.9293498422922166E-4</v>
      </c>
      <c r="P19" s="5">
        <f t="shared" si="2"/>
        <v>3.3452024769860749E-6</v>
      </c>
    </row>
    <row r="20" spans="1:16" x14ac:dyDescent="0.25">
      <c r="A20">
        <v>36.122</v>
      </c>
      <c r="B20" s="6" t="s">
        <v>73</v>
      </c>
      <c r="C20" s="7" t="s">
        <v>74</v>
      </c>
      <c r="D20" s="1" t="s">
        <v>75</v>
      </c>
      <c r="E20" s="1"/>
      <c r="F20" s="1">
        <v>2.7205404943000001E-5</v>
      </c>
      <c r="G20" s="3">
        <f t="shared" si="0"/>
        <v>7.5781072264623957E-5</v>
      </c>
      <c r="K20" s="6" t="s">
        <v>73</v>
      </c>
      <c r="L20">
        <v>1.1882986526484123E-4</v>
      </c>
      <c r="M20">
        <v>7.0063939146987032E-6</v>
      </c>
      <c r="O20" s="4">
        <f t="shared" si="1"/>
        <v>3.2896812265334485E-6</v>
      </c>
      <c r="P20" s="5">
        <f t="shared" si="2"/>
        <v>1.9396472827359235E-7</v>
      </c>
    </row>
    <row r="21" spans="1:16" x14ac:dyDescent="0.25">
      <c r="A21">
        <v>40.145000000000003</v>
      </c>
      <c r="B21" s="6" t="s">
        <v>76</v>
      </c>
      <c r="C21" s="7" t="s">
        <v>77</v>
      </c>
      <c r="D21" s="1"/>
      <c r="E21" s="1"/>
      <c r="F21" s="1" t="e">
        <v>#N/A</v>
      </c>
      <c r="G21" s="3" t="e">
        <f t="shared" si="0"/>
        <v>#N/A</v>
      </c>
      <c r="K21" s="6" t="s">
        <v>76</v>
      </c>
      <c r="L21">
        <v>2.8991671297659326E-3</v>
      </c>
      <c r="M21">
        <v>1.0513914294550844E-4</v>
      </c>
      <c r="O21" s="4">
        <f t="shared" si="1"/>
        <v>7.2217390204656431E-5</v>
      </c>
      <c r="P21" s="5">
        <f t="shared" si="2"/>
        <v>2.618984753904806E-6</v>
      </c>
    </row>
    <row r="22" spans="1:16" x14ac:dyDescent="0.25">
      <c r="B22" s="6"/>
      <c r="C22" s="7"/>
      <c r="D22" s="1"/>
      <c r="E22" s="1"/>
      <c r="F22" s="1"/>
      <c r="G22" s="3">
        <f t="shared" si="0"/>
        <v>0</v>
      </c>
      <c r="K22" s="6"/>
      <c r="O22" s="4"/>
      <c r="P22" s="5"/>
    </row>
    <row r="23" spans="1:16" x14ac:dyDescent="0.25">
      <c r="A23">
        <v>70.307000000000002</v>
      </c>
      <c r="B23" s="6" t="s">
        <v>79</v>
      </c>
      <c r="C23" s="7" t="s">
        <v>80</v>
      </c>
      <c r="E23" s="1"/>
      <c r="F23" s="1" t="e">
        <v>#N/A</v>
      </c>
      <c r="G23" s="3" t="e">
        <f t="shared" si="0"/>
        <v>#N/A</v>
      </c>
      <c r="H23" s="8" t="e">
        <f>(O23-G23)/O23</f>
        <v>#N/A</v>
      </c>
      <c r="K23" s="6" t="s">
        <v>79</v>
      </c>
      <c r="L23">
        <v>1.2723763700294297E-5</v>
      </c>
      <c r="M23">
        <v>8.4213966340878746E-7</v>
      </c>
      <c r="O23" s="4">
        <f t="shared" si="1"/>
        <v>1.8097435106453549E-7</v>
      </c>
      <c r="P23" s="5">
        <f t="shared" si="2"/>
        <v>1.1978034383614539E-8</v>
      </c>
    </row>
    <row r="24" spans="1:16" x14ac:dyDescent="0.25">
      <c r="A24">
        <v>70.513999999999996</v>
      </c>
      <c r="B24" s="6" t="s">
        <v>81</v>
      </c>
      <c r="C24" s="7" t="s">
        <v>82</v>
      </c>
      <c r="E24" s="1"/>
      <c r="F24" s="1">
        <v>2.0785346039999998E-6</v>
      </c>
      <c r="G24" s="3">
        <f t="shared" si="0"/>
        <v>5.7897899832869076E-6</v>
      </c>
      <c r="H24" s="8">
        <f>(O24-G24)/O24</f>
        <v>-0.61911025786412399</v>
      </c>
      <c r="I24">
        <f>G24/(SUM(O23:O24))</f>
        <v>1.5411154288868363</v>
      </c>
      <c r="K24" s="6" t="s">
        <v>81</v>
      </c>
      <c r="L24">
        <v>2.521516054255981E-4</v>
      </c>
      <c r="M24">
        <v>9.1077870869679429E-6</v>
      </c>
      <c r="O24" s="4">
        <f t="shared" si="1"/>
        <v>3.5759084072042163E-6</v>
      </c>
      <c r="P24" s="5">
        <f t="shared" si="2"/>
        <v>1.2916281996437508E-7</v>
      </c>
    </row>
    <row r="25" spans="1:16" x14ac:dyDescent="0.25">
      <c r="A25">
        <v>41.857999999999997</v>
      </c>
      <c r="B25" s="6" t="s">
        <v>83</v>
      </c>
      <c r="C25" s="7" t="s">
        <v>84</v>
      </c>
      <c r="E25" s="1"/>
      <c r="F25" s="1">
        <v>3.0821951510000002E-6</v>
      </c>
      <c r="G25" s="3">
        <f t="shared" si="0"/>
        <v>8.5855018133704743E-6</v>
      </c>
      <c r="H25" s="8">
        <f t="shared" ref="H25:H42" si="3">(O25-G25)/O25</f>
        <v>-0.54238185287023433</v>
      </c>
      <c r="I25">
        <f>G25/O25</f>
        <v>1.5423818528702342</v>
      </c>
      <c r="K25" s="6" t="s">
        <v>83</v>
      </c>
      <c r="L25">
        <v>2.3299803108763395E-4</v>
      </c>
      <c r="M25">
        <v>7.3848104264098787E-6</v>
      </c>
      <c r="O25" s="4">
        <f t="shared" si="1"/>
        <v>5.5663918746149829E-6</v>
      </c>
      <c r="P25" s="5">
        <f t="shared" si="2"/>
        <v>1.7642530523221079E-7</v>
      </c>
    </row>
    <row r="26" spans="1:16" x14ac:dyDescent="0.25">
      <c r="A26">
        <v>41.369</v>
      </c>
      <c r="B26" s="6" t="s">
        <v>85</v>
      </c>
      <c r="C26" s="7" t="s">
        <v>108</v>
      </c>
      <c r="E26" s="1"/>
      <c r="F26" s="1">
        <v>3.177384069E-6</v>
      </c>
      <c r="G26" s="3">
        <f t="shared" si="0"/>
        <v>8.8506520027855155E-6</v>
      </c>
      <c r="H26" s="8">
        <f t="shared" si="3"/>
        <v>-0.54238185269235806</v>
      </c>
      <c r="I26">
        <f t="shared" ref="I26:I31" si="4">G26/O26</f>
        <v>1.5423818526923581</v>
      </c>
      <c r="K26" s="6" t="s">
        <v>85</v>
      </c>
      <c r="L26">
        <v>2.3738779217617287E-4</v>
      </c>
      <c r="M26">
        <v>7.4520024621489683E-6</v>
      </c>
      <c r="O26" s="4">
        <f t="shared" si="1"/>
        <v>5.7383014376990713E-6</v>
      </c>
      <c r="P26" s="5">
        <f t="shared" si="2"/>
        <v>1.8013494312526211E-7</v>
      </c>
    </row>
    <row r="27" spans="1:16" x14ac:dyDescent="0.25">
      <c r="A27">
        <v>30.474</v>
      </c>
      <c r="B27" s="6" t="s">
        <v>87</v>
      </c>
      <c r="C27" s="7" t="s">
        <v>109</v>
      </c>
      <c r="E27" s="1"/>
      <c r="F27" s="1">
        <v>7.7440745399999999E-7</v>
      </c>
      <c r="G27" s="3">
        <f t="shared" si="0"/>
        <v>2.1571238272980503E-6</v>
      </c>
      <c r="H27" s="8">
        <f t="shared" si="3"/>
        <v>-0.5423818535999354</v>
      </c>
      <c r="I27">
        <f t="shared" si="4"/>
        <v>1.5423818535999354</v>
      </c>
      <c r="K27" s="6" t="s">
        <v>87</v>
      </c>
      <c r="L27">
        <v>4.2619920196578962E-5</v>
      </c>
      <c r="M27">
        <v>1.9420757630582804E-6</v>
      </c>
      <c r="O27" s="4">
        <f t="shared" si="1"/>
        <v>1.3985666534284624E-6</v>
      </c>
      <c r="P27" s="5">
        <f t="shared" si="2"/>
        <v>6.3728941493019642E-8</v>
      </c>
    </row>
    <row r="28" spans="1:16" x14ac:dyDescent="0.25">
      <c r="A28">
        <v>39.941000000000003</v>
      </c>
      <c r="B28" s="6" t="s">
        <v>89</v>
      </c>
      <c r="C28" s="7" t="s">
        <v>110</v>
      </c>
      <c r="E28" s="1"/>
      <c r="F28" s="1">
        <v>6.3815251360000004E-6</v>
      </c>
      <c r="G28" s="3">
        <f t="shared" si="0"/>
        <v>1.7775836033426185E-5</v>
      </c>
      <c r="H28" s="8">
        <f t="shared" si="3"/>
        <v>-0.54238185263182803</v>
      </c>
      <c r="I28">
        <f t="shared" si="4"/>
        <v>1.542381852631828</v>
      </c>
      <c r="K28" s="6" t="s">
        <v>89</v>
      </c>
      <c r="L28">
        <v>4.6031705170778559E-4</v>
      </c>
      <c r="M28">
        <v>1.1282131489038944E-5</v>
      </c>
      <c r="O28" s="4">
        <f t="shared" si="1"/>
        <v>1.152492555789253E-5</v>
      </c>
      <c r="P28" s="5">
        <f t="shared" si="2"/>
        <v>2.8246993037327416E-7</v>
      </c>
    </row>
    <row r="29" spans="1:16" x14ac:dyDescent="0.25">
      <c r="A29">
        <v>36.503999999999998</v>
      </c>
      <c r="B29" s="6" t="s">
        <v>91</v>
      </c>
      <c r="C29" s="7" t="s">
        <v>111</v>
      </c>
      <c r="E29" s="1"/>
      <c r="F29" s="1">
        <v>1.2599296619E-5</v>
      </c>
      <c r="G29" s="3">
        <f t="shared" si="0"/>
        <v>3.509553375766017E-5</v>
      </c>
      <c r="H29" s="8">
        <f t="shared" si="3"/>
        <v>-0.5423818525088796</v>
      </c>
      <c r="I29">
        <f t="shared" si="4"/>
        <v>1.5423818525088795</v>
      </c>
      <c r="K29" s="6" t="s">
        <v>91</v>
      </c>
      <c r="L29">
        <v>8.3061620713814198E-4</v>
      </c>
      <c r="M29">
        <v>1.4977680843132558E-5</v>
      </c>
      <c r="O29" s="4">
        <f>L29/A29</f>
        <v>2.2754114813120263E-5</v>
      </c>
      <c r="P29" s="5">
        <f t="shared" si="2"/>
        <v>4.1030245570711589E-7</v>
      </c>
    </row>
    <row r="30" spans="1:16" x14ac:dyDescent="0.25">
      <c r="A30">
        <v>31.189</v>
      </c>
      <c r="B30" s="9" t="s">
        <v>93</v>
      </c>
      <c r="C30" s="10" t="s">
        <v>94</v>
      </c>
      <c r="E30" s="1"/>
      <c r="F30" s="1">
        <v>1.688775139E-6</v>
      </c>
      <c r="G30" s="3">
        <f t="shared" si="0"/>
        <v>4.7041090222841223E-6</v>
      </c>
      <c r="H30" s="8">
        <f t="shared" si="3"/>
        <v>-9.1858681342785076E-2</v>
      </c>
      <c r="I30">
        <f t="shared" si="4"/>
        <v>1.0918586813427851</v>
      </c>
      <c r="K30" s="9" t="s">
        <v>93</v>
      </c>
      <c r="L30">
        <v>1.3437311879554347E-4</v>
      </c>
      <c r="M30">
        <v>4.6027477844345979E-6</v>
      </c>
      <c r="O30" s="4">
        <f t="shared" ref="O30:O41" si="5">L30/A30</f>
        <v>4.3083497000719311E-6</v>
      </c>
      <c r="P30" s="5">
        <f t="shared" si="2"/>
        <v>1.4757599744892745E-7</v>
      </c>
    </row>
    <row r="31" spans="1:16" x14ac:dyDescent="0.25">
      <c r="A31">
        <v>21.824999999999999</v>
      </c>
      <c r="B31" s="9" t="s">
        <v>95</v>
      </c>
      <c r="C31" s="10" t="s">
        <v>96</v>
      </c>
      <c r="E31" s="1"/>
      <c r="F31" s="1">
        <v>4.8380099999999995E-7</v>
      </c>
      <c r="G31" s="3">
        <f t="shared" si="0"/>
        <v>1.347635097493036E-6</v>
      </c>
      <c r="H31" s="8">
        <f t="shared" si="3"/>
        <v>-0.30362234995826565</v>
      </c>
      <c r="I31">
        <f t="shared" si="4"/>
        <v>1.3036223499582655</v>
      </c>
      <c r="K31" s="9" t="s">
        <v>95</v>
      </c>
      <c r="L31">
        <v>2.2561853134634518E-5</v>
      </c>
      <c r="M31">
        <v>1.0968716671586267E-6</v>
      </c>
      <c r="O31" s="4">
        <f t="shared" si="5"/>
        <v>1.0337618847484315E-6</v>
      </c>
      <c r="P31" s="5">
        <f t="shared" si="2"/>
        <v>5.0257579251254371E-8</v>
      </c>
    </row>
    <row r="32" spans="1:16" x14ac:dyDescent="0.25">
      <c r="A32">
        <v>12.662000000000001</v>
      </c>
      <c r="B32" s="11" t="s">
        <v>97</v>
      </c>
      <c r="C32" s="12" t="s">
        <v>98</v>
      </c>
      <c r="F32">
        <v>8.0583200000000001E-6</v>
      </c>
      <c r="G32" s="3">
        <f t="shared" si="0"/>
        <v>2.244657381615599E-5</v>
      </c>
      <c r="H32" s="8">
        <f t="shared" si="3"/>
        <v>-0.30362090055077573</v>
      </c>
      <c r="I32">
        <f>SUM(G32:G35)/SUM(O32:O35)</f>
        <v>1.3027909306821233</v>
      </c>
      <c r="K32" s="11" t="s">
        <v>97</v>
      </c>
      <c r="L32">
        <v>2.1802236949414183E-4</v>
      </c>
      <c r="M32">
        <v>4.5004422028753396E-6</v>
      </c>
      <c r="O32" s="4">
        <f t="shared" si="5"/>
        <v>1.7218636036498328E-5</v>
      </c>
      <c r="P32" s="5">
        <f t="shared" si="2"/>
        <v>3.5542901618033006E-7</v>
      </c>
    </row>
    <row r="33" spans="1:16" x14ac:dyDescent="0.25">
      <c r="A33">
        <v>11.625</v>
      </c>
      <c r="B33" s="2" t="s">
        <v>128</v>
      </c>
      <c r="C33" t="s">
        <v>129</v>
      </c>
      <c r="F33">
        <v>2.48E-8</v>
      </c>
      <c r="G33" s="3">
        <f t="shared" si="0"/>
        <v>6.9080779944289694E-8</v>
      </c>
      <c r="H33" s="8">
        <f t="shared" si="3"/>
        <v>-0.28428604965995158</v>
      </c>
      <c r="J33" s="2"/>
      <c r="K33" t="s">
        <v>128</v>
      </c>
      <c r="L33">
        <v>6.2529999999999997E-7</v>
      </c>
      <c r="M33">
        <v>4.9000000000000002E-8</v>
      </c>
      <c r="O33" s="5">
        <v>5.3789247311827955E-8</v>
      </c>
      <c r="P33" s="5">
        <v>4.21505376344086E-9</v>
      </c>
    </row>
    <row r="34" spans="1:16" x14ac:dyDescent="0.25">
      <c r="A34">
        <v>11.095000000000001</v>
      </c>
      <c r="B34" s="2" t="s">
        <v>130</v>
      </c>
      <c r="C34" t="s">
        <v>129</v>
      </c>
      <c r="F34">
        <v>9.9999999999999995E-8</v>
      </c>
      <c r="G34" s="3">
        <f t="shared" si="0"/>
        <v>2.7855153203342616E-7</v>
      </c>
      <c r="H34" s="8">
        <f t="shared" si="3"/>
        <v>-0.27182273576578736</v>
      </c>
      <c r="J34" s="2"/>
      <c r="K34" t="s">
        <v>130</v>
      </c>
      <c r="L34">
        <v>2.43E-6</v>
      </c>
      <c r="M34">
        <v>1.5599999999999999E-7</v>
      </c>
      <c r="O34" s="5">
        <v>2.1901757548445245E-7</v>
      </c>
      <c r="P34" s="5">
        <v>1.4060387561964848E-8</v>
      </c>
    </row>
    <row r="35" spans="1:16" x14ac:dyDescent="0.25">
      <c r="A35">
        <v>6.8419999999999996</v>
      </c>
      <c r="B35" s="2" t="s">
        <v>131</v>
      </c>
      <c r="C35" t="s">
        <v>129</v>
      </c>
      <c r="F35">
        <v>1.9999999999999999E-7</v>
      </c>
      <c r="G35" s="3">
        <f t="shared" si="0"/>
        <v>5.5710306406685232E-7</v>
      </c>
      <c r="H35" s="8">
        <f t="shared" si="3"/>
        <v>-0.28773620417074436</v>
      </c>
      <c r="J35" s="2"/>
      <c r="K35" t="s">
        <v>131</v>
      </c>
      <c r="L35">
        <v>2.96E-6</v>
      </c>
      <c r="M35">
        <v>1.6999999999999999E-7</v>
      </c>
      <c r="O35" s="5">
        <v>4.3262204033908217E-7</v>
      </c>
      <c r="P35" s="5">
        <v>2.4846536100555392E-8</v>
      </c>
    </row>
    <row r="36" spans="1:16" x14ac:dyDescent="0.25">
      <c r="A36">
        <v>9.9649999999999999</v>
      </c>
      <c r="B36" s="13" t="s">
        <v>99</v>
      </c>
      <c r="C36" t="s">
        <v>99</v>
      </c>
      <c r="F36">
        <v>1.5356100000000001E-7</v>
      </c>
      <c r="G36" s="3">
        <f t="shared" si="0"/>
        <v>4.277465181058496E-7</v>
      </c>
      <c r="H36" s="8">
        <f t="shared" si="3"/>
        <v>0.29805109662589446</v>
      </c>
      <c r="I36">
        <f>SUM(G36:G42)/SUM(O36:O42)</f>
        <v>0.70194984707811436</v>
      </c>
      <c r="K36" s="13" t="s">
        <v>99</v>
      </c>
      <c r="L36">
        <v>6.0723708412905434E-6</v>
      </c>
      <c r="M36">
        <v>3.276007152527668E-7</v>
      </c>
      <c r="O36" s="4">
        <f t="shared" si="5"/>
        <v>6.0936987870452012E-7</v>
      </c>
      <c r="P36" s="5">
        <f t="shared" si="2"/>
        <v>3.2875134496012725E-8</v>
      </c>
    </row>
    <row r="37" spans="1:16" x14ac:dyDescent="0.25">
      <c r="A37">
        <v>23.779</v>
      </c>
      <c r="B37" s="13" t="s">
        <v>101</v>
      </c>
      <c r="C37" t="s">
        <v>101</v>
      </c>
      <c r="F37">
        <v>1.30097E-7</v>
      </c>
      <c r="G37" s="3">
        <f t="shared" si="0"/>
        <v>3.6238718662952649E-7</v>
      </c>
      <c r="H37" s="8">
        <f t="shared" si="3"/>
        <v>0.29804856315343586</v>
      </c>
      <c r="K37" s="13" t="s">
        <v>101</v>
      </c>
      <c r="L37">
        <v>1.2276069908162464E-5</v>
      </c>
      <c r="M37">
        <v>6.8282399415121016E-7</v>
      </c>
      <c r="O37" s="4">
        <f t="shared" si="5"/>
        <v>5.1625677733136231E-7</v>
      </c>
      <c r="P37" s="5">
        <f t="shared" si="2"/>
        <v>2.8715420923975363E-8</v>
      </c>
    </row>
    <row r="38" spans="1:16" x14ac:dyDescent="0.25">
      <c r="A38">
        <v>25.721</v>
      </c>
      <c r="B38" s="13" t="s">
        <v>102</v>
      </c>
      <c r="C38" t="s">
        <v>102</v>
      </c>
      <c r="F38">
        <v>2.4287099999999998E-7</v>
      </c>
      <c r="G38" s="3">
        <f t="shared" si="0"/>
        <v>6.7652089136490251E-7</v>
      </c>
      <c r="H38" s="8">
        <f t="shared" si="3"/>
        <v>0.29804899475185626</v>
      </c>
      <c r="J38" s="2"/>
      <c r="K38" s="13" t="s">
        <v>102</v>
      </c>
      <c r="L38">
        <v>2.4789185736183079E-5</v>
      </c>
      <c r="M38">
        <v>1.2226908906238183E-6</v>
      </c>
      <c r="O38" s="4">
        <f t="shared" si="5"/>
        <v>9.6377223810050456E-7</v>
      </c>
      <c r="P38" s="5">
        <f t="shared" si="2"/>
        <v>4.7536677836157935E-8</v>
      </c>
    </row>
    <row r="39" spans="1:16" x14ac:dyDescent="0.25">
      <c r="A39">
        <v>38.411999999999999</v>
      </c>
      <c r="B39" s="13" t="s">
        <v>103</v>
      </c>
      <c r="C39" t="s">
        <v>103</v>
      </c>
      <c r="F39">
        <v>1.07707E-7</v>
      </c>
      <c r="G39" s="3">
        <f t="shared" si="0"/>
        <v>3.0001949860724235E-7</v>
      </c>
      <c r="H39" s="8">
        <f t="shared" si="3"/>
        <v>0.29805080724573108</v>
      </c>
      <c r="K39" s="13" t="s">
        <v>103</v>
      </c>
      <c r="L39">
        <v>1.6417639765753983E-5</v>
      </c>
      <c r="M39">
        <v>9.4446367372077682E-7</v>
      </c>
      <c r="O39" s="4">
        <f t="shared" si="5"/>
        <v>4.274091368779023E-7</v>
      </c>
      <c r="P39" s="5">
        <f t="shared" si="2"/>
        <v>2.4587724505903801E-8</v>
      </c>
    </row>
    <row r="40" spans="1:16" x14ac:dyDescent="0.25">
      <c r="A40">
        <v>52.136000000000003</v>
      </c>
      <c r="B40" s="13" t="s">
        <v>104</v>
      </c>
      <c r="C40" t="s">
        <v>104</v>
      </c>
      <c r="F40">
        <v>3.3944399999999998E-7</v>
      </c>
      <c r="G40" s="3">
        <f t="shared" si="0"/>
        <v>9.4552646239554316E-7</v>
      </c>
      <c r="H40" s="8">
        <f t="shared" si="3"/>
        <v>0.29805032865467446</v>
      </c>
      <c r="K40" s="13" t="s">
        <v>104</v>
      </c>
      <c r="L40">
        <v>7.0227210946584789E-5</v>
      </c>
      <c r="M40">
        <v>3.2266732930678812E-6</v>
      </c>
      <c r="O40" s="4">
        <f t="shared" si="5"/>
        <v>1.3470003634069508E-6</v>
      </c>
      <c r="P40" s="5">
        <f t="shared" si="2"/>
        <v>6.1889544519485208E-8</v>
      </c>
    </row>
    <row r="41" spans="1:16" x14ac:dyDescent="0.25">
      <c r="A41">
        <v>22.757999999999999</v>
      </c>
      <c r="B41" s="13" t="s">
        <v>105</v>
      </c>
      <c r="C41" t="s">
        <v>105</v>
      </c>
      <c r="F41">
        <v>1.7036900000000001E-7</v>
      </c>
      <c r="G41" s="3">
        <f t="shared" si="0"/>
        <v>4.7456545961002787E-7</v>
      </c>
      <c r="H41" s="8">
        <f t="shared" si="3"/>
        <v>0.29805090502756831</v>
      </c>
      <c r="K41" s="13" t="s">
        <v>105</v>
      </c>
      <c r="L41">
        <v>1.5385960046332389E-5</v>
      </c>
      <c r="M41">
        <v>8.1393792288849254E-7</v>
      </c>
      <c r="O41" s="4">
        <f t="shared" si="5"/>
        <v>6.7606819783515206E-7</v>
      </c>
      <c r="P41" s="5">
        <f t="shared" si="2"/>
        <v>3.5764914442767053E-8</v>
      </c>
    </row>
    <row r="42" spans="1:16" x14ac:dyDescent="0.25">
      <c r="A42">
        <v>20.85</v>
      </c>
      <c r="B42" s="13" t="s">
        <v>106</v>
      </c>
      <c r="C42" t="s">
        <v>106</v>
      </c>
      <c r="F42">
        <v>9.5385100000000001E-7</v>
      </c>
      <c r="G42" s="3">
        <f t="shared" si="0"/>
        <v>2.656966573816156E-6</v>
      </c>
      <c r="H42" s="8">
        <f t="shared" si="3"/>
        <v>0.29805024196130531</v>
      </c>
      <c r="K42" s="13" t="s">
        <v>106</v>
      </c>
      <c r="L42">
        <v>7.8919826425829579E-5</v>
      </c>
      <c r="M42">
        <v>2.805616048166686E-6</v>
      </c>
      <c r="O42" s="4">
        <f>L42/A42</f>
        <v>3.7851235695841523E-6</v>
      </c>
      <c r="P42" s="5">
        <f t="shared" si="2"/>
        <v>1.3456192077538062E-7</v>
      </c>
    </row>
    <row r="43" spans="1:16" x14ac:dyDescent="0.25">
      <c r="O43" s="2"/>
    </row>
    <row r="44" spans="1:16" x14ac:dyDescent="0.25">
      <c r="O44" s="2"/>
    </row>
    <row r="45" spans="1:16" x14ac:dyDescent="0.25">
      <c r="O45" s="2"/>
    </row>
    <row r="46" spans="1:16" x14ac:dyDescent="0.25">
      <c r="O46" s="2"/>
    </row>
    <row r="47" spans="1:16" x14ac:dyDescent="0.25">
      <c r="O47" s="2"/>
    </row>
    <row r="48" spans="1:16" x14ac:dyDescent="0.25">
      <c r="O48" s="2"/>
    </row>
    <row r="49" spans="2:15" x14ac:dyDescent="0.25">
      <c r="K49" s="11"/>
      <c r="O49" s="2"/>
    </row>
    <row r="50" spans="2:15" x14ac:dyDescent="0.25">
      <c r="K50" s="11"/>
      <c r="O50" s="2"/>
    </row>
    <row r="51" spans="2:15" x14ac:dyDescent="0.25">
      <c r="K51" s="11"/>
      <c r="O51" s="2"/>
    </row>
    <row r="52" spans="2:15" x14ac:dyDescent="0.25">
      <c r="O52" s="2"/>
    </row>
    <row r="53" spans="2:15" x14ac:dyDescent="0.25">
      <c r="O53" s="2"/>
    </row>
    <row r="54" spans="2:15" x14ac:dyDescent="0.25">
      <c r="G54" s="2"/>
      <c r="O54" s="2"/>
    </row>
    <row r="55" spans="2:15" x14ac:dyDescent="0.25">
      <c r="E55" t="s">
        <v>26</v>
      </c>
      <c r="F55" s="19" t="s">
        <v>28</v>
      </c>
      <c r="G55" s="19"/>
      <c r="J55" t="s">
        <v>26</v>
      </c>
      <c r="K55" s="19" t="s">
        <v>28</v>
      </c>
      <c r="L55" s="19"/>
      <c r="O55" s="2"/>
    </row>
    <row r="56" spans="2:15" x14ac:dyDescent="0.25">
      <c r="B56" s="2"/>
      <c r="E56" t="s">
        <v>31</v>
      </c>
      <c r="F56" s="4" t="s">
        <v>32</v>
      </c>
      <c r="G56" s="5" t="s">
        <v>33</v>
      </c>
      <c r="J56" t="s">
        <v>31</v>
      </c>
      <c r="K56" s="4" t="s">
        <v>32</v>
      </c>
      <c r="L56" s="5" t="s">
        <v>33</v>
      </c>
      <c r="O56" s="2"/>
    </row>
    <row r="57" spans="2:15" x14ac:dyDescent="0.25">
      <c r="B57" s="8"/>
      <c r="D57" s="1" t="s">
        <v>36</v>
      </c>
      <c r="E57">
        <v>2.5259291966573819E-5</v>
      </c>
      <c r="F57">
        <v>2.5162826034217326E-5</v>
      </c>
      <c r="G57" s="2">
        <v>1.4395022274275469E-6</v>
      </c>
      <c r="I57" s="7" t="s">
        <v>80</v>
      </c>
      <c r="J57" t="e">
        <v>#N/A</v>
      </c>
      <c r="K57">
        <v>1.8097435106453549E-7</v>
      </c>
      <c r="L57" s="2">
        <v>1.1978034383614539E-8</v>
      </c>
      <c r="O57" s="2"/>
    </row>
    <row r="58" spans="2:15" x14ac:dyDescent="0.25">
      <c r="D58" s="1" t="s">
        <v>39</v>
      </c>
      <c r="E58">
        <v>4.6604369019498609E-5</v>
      </c>
      <c r="F58">
        <v>4.6433825013844236E-5</v>
      </c>
      <c r="G58" s="2">
        <v>2.3507037397174724E-6</v>
      </c>
      <c r="I58" s="7" t="s">
        <v>82</v>
      </c>
      <c r="J58">
        <v>5.7897899832869076E-6</v>
      </c>
      <c r="K58">
        <v>3.5759084072042163E-6</v>
      </c>
      <c r="L58" s="2">
        <v>1.2916281996437508E-7</v>
      </c>
      <c r="O58" s="2"/>
    </row>
    <row r="59" spans="2:15" x14ac:dyDescent="0.25">
      <c r="D59" s="1" t="s">
        <v>42</v>
      </c>
      <c r="E59">
        <v>7.6880187548746521E-6</v>
      </c>
      <c r="F59">
        <v>7.6598852218989575E-6</v>
      </c>
      <c r="G59" s="2">
        <v>3.9789753763346777E-7</v>
      </c>
      <c r="I59" s="7" t="s">
        <v>84</v>
      </c>
      <c r="J59">
        <v>8.5855018133704743E-6</v>
      </c>
      <c r="K59">
        <v>5.5663918746149829E-6</v>
      </c>
      <c r="L59" s="2">
        <v>1.7642530523221079E-7</v>
      </c>
      <c r="O59" s="2"/>
    </row>
    <row r="60" spans="2:15" x14ac:dyDescent="0.25">
      <c r="B60" s="2"/>
      <c r="D60" s="1" t="s">
        <v>45</v>
      </c>
      <c r="E60">
        <v>4.4019273114206137E-5</v>
      </c>
      <c r="F60">
        <v>4.3858189007422885E-5</v>
      </c>
      <c r="G60" s="2">
        <v>1.2956243276383541E-6</v>
      </c>
      <c r="I60" s="7" t="s">
        <v>108</v>
      </c>
      <c r="J60">
        <v>8.8506520027855155E-6</v>
      </c>
      <c r="K60">
        <v>5.7383014376990713E-6</v>
      </c>
      <c r="L60" s="2">
        <v>1.8013494312526211E-7</v>
      </c>
      <c r="O60" s="2"/>
    </row>
    <row r="61" spans="2:15" x14ac:dyDescent="0.25">
      <c r="B61" s="8"/>
      <c r="D61" s="1" t="s">
        <v>48</v>
      </c>
      <c r="E61">
        <v>5.0335436108635104E-5</v>
      </c>
      <c r="F61">
        <v>5.0151238638631813E-5</v>
      </c>
      <c r="G61" s="2">
        <v>5.1853664646378207E-6</v>
      </c>
      <c r="I61" s="7" t="s">
        <v>109</v>
      </c>
      <c r="J61">
        <v>2.1571238272980503E-6</v>
      </c>
      <c r="K61">
        <v>1.3985666534284624E-6</v>
      </c>
      <c r="L61" s="2">
        <v>6.3728941493019642E-8</v>
      </c>
      <c r="O61" s="2"/>
    </row>
    <row r="62" spans="2:15" x14ac:dyDescent="0.25">
      <c r="D62" s="1" t="s">
        <v>51</v>
      </c>
      <c r="E62">
        <v>1.4675829649025071E-5</v>
      </c>
      <c r="F62">
        <v>1.4312035420422808E-5</v>
      </c>
      <c r="G62" s="2">
        <v>4.2566707209922493E-7</v>
      </c>
      <c r="I62" s="7" t="s">
        <v>110</v>
      </c>
      <c r="J62">
        <v>1.7775836033426185E-5</v>
      </c>
      <c r="K62">
        <v>1.152492555789253E-5</v>
      </c>
      <c r="L62" s="2">
        <v>2.8246993037327416E-7</v>
      </c>
      <c r="O62" s="2"/>
    </row>
    <row r="63" spans="2:15" x14ac:dyDescent="0.25">
      <c r="D63" s="1" t="s">
        <v>54</v>
      </c>
      <c r="E63">
        <v>2.1961948328690809E-6</v>
      </c>
      <c r="F63">
        <v>2.2023123677521908E-6</v>
      </c>
      <c r="G63" s="2">
        <v>9.5219307494572958E-8</v>
      </c>
      <c r="I63" s="7" t="s">
        <v>111</v>
      </c>
      <c r="J63">
        <v>3.509553375766017E-5</v>
      </c>
      <c r="K63">
        <v>2.2754114813120263E-5</v>
      </c>
      <c r="L63" s="2">
        <v>4.1030245570711589E-7</v>
      </c>
      <c r="O63" s="2"/>
    </row>
    <row r="64" spans="2:15" x14ac:dyDescent="0.25">
      <c r="D64" s="1" t="s">
        <v>57</v>
      </c>
      <c r="E64">
        <v>2.2039097138997214E-4</v>
      </c>
      <c r="F64">
        <v>2.1983523171661431E-4</v>
      </c>
      <c r="G64" s="2">
        <v>8.0624462797256548E-6</v>
      </c>
      <c r="I64" s="10" t="s">
        <v>94</v>
      </c>
      <c r="J64">
        <v>4.7041090222841223E-6</v>
      </c>
      <c r="K64">
        <v>4.3083497000719311E-6</v>
      </c>
      <c r="L64" s="2">
        <v>1.4757599744892745E-7</v>
      </c>
      <c r="O64" s="2"/>
    </row>
    <row r="65" spans="4:15" x14ac:dyDescent="0.25">
      <c r="D65" s="1" t="s">
        <v>60</v>
      </c>
      <c r="E65">
        <v>6.261504713649025E-5</v>
      </c>
      <c r="F65">
        <v>6.2457155101361755E-5</v>
      </c>
      <c r="G65" s="2">
        <v>1.2700185121069086E-6</v>
      </c>
      <c r="I65" s="10" t="s">
        <v>132</v>
      </c>
      <c r="J65">
        <v>1.347635097493036E-6</v>
      </c>
      <c r="K65">
        <v>1.0337618847484315E-6</v>
      </c>
      <c r="L65" s="2">
        <v>5.0257579251254371E-8</v>
      </c>
      <c r="O65" s="2"/>
    </row>
    <row r="66" spans="4:15" x14ac:dyDescent="0.25">
      <c r="D66" s="1" t="s">
        <v>63</v>
      </c>
      <c r="E66">
        <v>6.8340991147632324E-5</v>
      </c>
      <c r="F66">
        <v>6.8253223418885916E-5</v>
      </c>
      <c r="G66" s="2">
        <v>9.8903303303634984E-7</v>
      </c>
      <c r="I66" s="12" t="s">
        <v>129</v>
      </c>
      <c r="J66" s="2">
        <f>SUM(G32:G35)</f>
        <v>2.3351309192200557E-5</v>
      </c>
      <c r="K66" s="2">
        <f>SUM(O32:O35)</f>
        <v>1.7924064899633691E-5</v>
      </c>
      <c r="L66" s="2">
        <f>SUM(P32:P35)</f>
        <v>3.9855099360629118E-7</v>
      </c>
      <c r="O66" s="2"/>
    </row>
    <row r="67" spans="4:15" x14ac:dyDescent="0.25">
      <c r="D67" s="1" t="s">
        <v>66</v>
      </c>
      <c r="E67">
        <v>1.1194833218384401E-4</v>
      </c>
      <c r="F67">
        <v>1.1180456120706036E-4</v>
      </c>
      <c r="G67" s="2">
        <v>4.2471286134047097E-6</v>
      </c>
      <c r="I67" s="1" t="s">
        <v>100</v>
      </c>
      <c r="J67" s="2">
        <f>SUM(G36:G42)</f>
        <v>5.8437325905292477E-6</v>
      </c>
      <c r="K67" s="2">
        <f>SUM(O36:O42)</f>
        <v>8.3250001618405446E-6</v>
      </c>
      <c r="L67" s="2">
        <f>SUM(P36:P42)</f>
        <v>3.6593133749968266E-7</v>
      </c>
      <c r="O67" s="2"/>
    </row>
    <row r="68" spans="4:15" x14ac:dyDescent="0.25">
      <c r="D68" s="1" t="s">
        <v>69</v>
      </c>
      <c r="E68">
        <v>1.4818198904735378E-4</v>
      </c>
      <c r="F68">
        <v>1.4876930250187686E-4</v>
      </c>
      <c r="G68" s="2">
        <v>4.9882284513233268E-6</v>
      </c>
      <c r="I68" s="1"/>
      <c r="L68" s="2"/>
      <c r="O68" s="2"/>
    </row>
    <row r="69" spans="4:15" x14ac:dyDescent="0.25">
      <c r="D69" s="1" t="s">
        <v>72</v>
      </c>
      <c r="E69">
        <v>1.9370960825905293E-4</v>
      </c>
      <c r="F69">
        <v>1.9293498422922166E-4</v>
      </c>
      <c r="G69" s="2">
        <v>3.3452024769860749E-6</v>
      </c>
      <c r="I69" s="1"/>
      <c r="L69" s="2"/>
      <c r="O69" s="2"/>
    </row>
    <row r="70" spans="4:15" x14ac:dyDescent="0.25">
      <c r="D70" s="1" t="s">
        <v>75</v>
      </c>
      <c r="E70">
        <v>7.5781072264623957E-5</v>
      </c>
      <c r="F70" s="2">
        <v>7.5507071431189882E-5</v>
      </c>
      <c r="G70" s="2">
        <f>SUM(P20:P22)</f>
        <v>2.8129494821783982E-6</v>
      </c>
      <c r="I70" s="1"/>
      <c r="J70">
        <f>SUM(J59:J63)</f>
        <v>7.246464743454039E-5</v>
      </c>
      <c r="K70" s="2"/>
      <c r="L70" s="2"/>
      <c r="O70" s="2"/>
    </row>
    <row r="71" spans="4:15" x14ac:dyDescent="0.25">
      <c r="G71" s="2"/>
      <c r="L71" s="2"/>
      <c r="O71" s="2"/>
    </row>
    <row r="72" spans="4:15" x14ac:dyDescent="0.25">
      <c r="G72" s="2"/>
      <c r="O72" s="2"/>
    </row>
    <row r="73" spans="4:15" x14ac:dyDescent="0.25">
      <c r="G73" s="2"/>
      <c r="O73" s="2"/>
    </row>
    <row r="74" spans="4:15" x14ac:dyDescent="0.25">
      <c r="G74" s="2"/>
      <c r="O74" s="2"/>
    </row>
    <row r="75" spans="4:15" x14ac:dyDescent="0.25">
      <c r="G75" s="2"/>
      <c r="O75" s="2"/>
    </row>
    <row r="76" spans="4:15" x14ac:dyDescent="0.25">
      <c r="G76" s="2"/>
      <c r="O76" s="2"/>
    </row>
    <row r="77" spans="4:15" x14ac:dyDescent="0.25">
      <c r="G77" s="2"/>
      <c r="O77" s="2"/>
    </row>
    <row r="78" spans="4:15" x14ac:dyDescent="0.25">
      <c r="G78" s="2"/>
      <c r="O78" s="2"/>
    </row>
    <row r="79" spans="4:15" x14ac:dyDescent="0.25">
      <c r="G79" s="2"/>
      <c r="O79" s="2"/>
    </row>
    <row r="80" spans="4:15" x14ac:dyDescent="0.25">
      <c r="G80" s="2"/>
      <c r="O80" s="2"/>
    </row>
    <row r="81" spans="7:15" x14ac:dyDescent="0.25">
      <c r="G81" s="2"/>
      <c r="O81" s="2"/>
    </row>
    <row r="82" spans="7:15" x14ac:dyDescent="0.25">
      <c r="G82" s="2"/>
      <c r="O82" s="2"/>
    </row>
    <row r="83" spans="7:15" x14ac:dyDescent="0.25">
      <c r="G83" s="2"/>
      <c r="O83" s="2"/>
    </row>
    <row r="84" spans="7:15" x14ac:dyDescent="0.25">
      <c r="G84" s="2"/>
      <c r="O84" s="2"/>
    </row>
    <row r="85" spans="7:15" x14ac:dyDescent="0.25">
      <c r="G85" s="2"/>
      <c r="O85" s="2"/>
    </row>
    <row r="86" spans="7:15" x14ac:dyDescent="0.25">
      <c r="G86" s="2"/>
      <c r="O86" s="2"/>
    </row>
    <row r="87" spans="7:15" x14ac:dyDescent="0.25">
      <c r="G87" s="2"/>
      <c r="O87" s="2"/>
    </row>
    <row r="88" spans="7:15" x14ac:dyDescent="0.25">
      <c r="G88" s="2"/>
      <c r="O88" s="2"/>
    </row>
    <row r="89" spans="7:15" x14ac:dyDescent="0.25">
      <c r="G89" s="2"/>
      <c r="O89" s="2"/>
    </row>
    <row r="90" spans="7:15" x14ac:dyDescent="0.25">
      <c r="G90" s="2"/>
      <c r="O90" s="2"/>
    </row>
    <row r="91" spans="7:15" x14ac:dyDescent="0.25">
      <c r="G91" s="2"/>
      <c r="O91" s="2"/>
    </row>
    <row r="92" spans="7:15" x14ac:dyDescent="0.25">
      <c r="G92" s="2"/>
      <c r="O92" s="2"/>
    </row>
    <row r="93" spans="7:15" x14ac:dyDescent="0.25">
      <c r="G93" s="2"/>
      <c r="O93" s="2"/>
    </row>
    <row r="94" spans="7:15" x14ac:dyDescent="0.25">
      <c r="G94" s="2"/>
      <c r="O94" s="2"/>
    </row>
    <row r="95" spans="7:15" x14ac:dyDescent="0.25">
      <c r="G95" s="2"/>
      <c r="O95" s="2"/>
    </row>
    <row r="96" spans="7:15" x14ac:dyDescent="0.25">
      <c r="G96" s="2"/>
      <c r="O96" s="2"/>
    </row>
    <row r="97" spans="7:15" x14ac:dyDescent="0.25">
      <c r="G97" s="2"/>
      <c r="O97" s="2"/>
    </row>
    <row r="98" spans="7:15" x14ac:dyDescent="0.25">
      <c r="G98" s="2"/>
      <c r="O98" s="2"/>
    </row>
    <row r="99" spans="7:15" x14ac:dyDescent="0.25">
      <c r="G99" s="2"/>
      <c r="O99" s="2"/>
    </row>
    <row r="100" spans="7:15" x14ac:dyDescent="0.25">
      <c r="G100" s="2"/>
      <c r="O100" s="2"/>
    </row>
  </sheetData>
  <mergeCells count="5">
    <mergeCell ref="I5:J5"/>
    <mergeCell ref="L5:M5"/>
    <mergeCell ref="O5:P5"/>
    <mergeCell ref="F55:G55"/>
    <mergeCell ref="K55:L5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EFA1-EF73-4744-BA71-99C8D696CE78}">
  <dimension ref="A1:AJ100"/>
  <sheetViews>
    <sheetView topLeftCell="A20" zoomScale="115" zoomScaleNormal="115" workbookViewId="0">
      <selection activeCell="D42" sqref="D42"/>
    </sheetView>
  </sheetViews>
  <sheetFormatPr defaultColWidth="11.42578125" defaultRowHeight="15" x14ac:dyDescent="0.25"/>
  <cols>
    <col min="1" max="1" width="11.28515625" bestFit="1" customWidth="1"/>
    <col min="2" max="4" width="10.85546875"/>
    <col min="5" max="5" width="12.42578125" bestFit="1" customWidth="1"/>
    <col min="6" max="6" width="13" bestFit="1" customWidth="1"/>
    <col min="7" max="8" width="11.28515625" bestFit="1" customWidth="1"/>
    <col min="9" max="9" width="13.42578125" bestFit="1" customWidth="1"/>
    <col min="10" max="11" width="12.7109375" bestFit="1" customWidth="1"/>
    <col min="12" max="12" width="11.28515625" bestFit="1" customWidth="1"/>
    <col min="13" max="13" width="12.7109375" bestFit="1" customWidth="1"/>
    <col min="14" max="14" width="10.85546875"/>
    <col min="15" max="16" width="12.7109375" bestFit="1" customWidth="1"/>
  </cols>
  <sheetData>
    <row r="1" spans="1:36" x14ac:dyDescent="0.25">
      <c r="B1" t="s">
        <v>22</v>
      </c>
      <c r="C1" s="1" t="s">
        <v>23</v>
      </c>
      <c r="D1" s="1"/>
      <c r="E1" s="1"/>
      <c r="G1" s="2"/>
      <c r="O1" s="2"/>
      <c r="AH1" s="1"/>
      <c r="AI1" s="1"/>
      <c r="AJ1" s="1"/>
    </row>
    <row r="2" spans="1:36" x14ac:dyDescent="0.25">
      <c r="B2" t="s">
        <v>127</v>
      </c>
      <c r="C2" s="1" t="s">
        <v>24</v>
      </c>
      <c r="D2" s="1"/>
      <c r="E2" s="1"/>
      <c r="G2" s="2"/>
      <c r="O2" s="2"/>
      <c r="AH2" s="1"/>
      <c r="AI2" s="1"/>
      <c r="AJ2" s="1"/>
    </row>
    <row r="3" spans="1:36" x14ac:dyDescent="0.25">
      <c r="B3" s="1"/>
      <c r="C3" s="1"/>
      <c r="D3" s="1"/>
      <c r="E3" s="1"/>
      <c r="G3" s="2"/>
      <c r="O3" s="2"/>
      <c r="AH3" s="1"/>
      <c r="AI3" s="1"/>
      <c r="AJ3" s="1"/>
    </row>
    <row r="4" spans="1:36" x14ac:dyDescent="0.25">
      <c r="B4" s="1"/>
      <c r="C4" s="1"/>
      <c r="D4" s="1"/>
      <c r="E4" s="1"/>
      <c r="G4" s="2"/>
      <c r="O4" s="2"/>
      <c r="AH4" s="1"/>
      <c r="AI4" s="1"/>
      <c r="AJ4" s="1"/>
    </row>
    <row r="5" spans="1:36" x14ac:dyDescent="0.25">
      <c r="B5" s="1"/>
      <c r="C5" s="1"/>
      <c r="D5" s="1"/>
      <c r="E5" s="1"/>
      <c r="F5" t="s">
        <v>25</v>
      </c>
      <c r="G5" s="3" t="s">
        <v>26</v>
      </c>
      <c r="I5" s="18"/>
      <c r="J5" s="18"/>
      <c r="L5" s="18" t="s">
        <v>27</v>
      </c>
      <c r="M5" s="18"/>
      <c r="O5" s="19" t="s">
        <v>28</v>
      </c>
      <c r="P5" s="19"/>
      <c r="AH5" s="1"/>
      <c r="AI5" s="1"/>
      <c r="AJ5" s="1"/>
    </row>
    <row r="6" spans="1:36" x14ac:dyDescent="0.25">
      <c r="A6" t="s">
        <v>29</v>
      </c>
      <c r="B6" s="1"/>
      <c r="C6" s="1"/>
      <c r="D6" s="1"/>
      <c r="E6" s="1" t="s">
        <v>107</v>
      </c>
      <c r="F6" s="1" t="s">
        <v>30</v>
      </c>
      <c r="G6" s="3" t="s">
        <v>31</v>
      </c>
      <c r="L6" t="s">
        <v>32</v>
      </c>
      <c r="M6" t="s">
        <v>33</v>
      </c>
      <c r="O6" s="4" t="s">
        <v>32</v>
      </c>
      <c r="P6" s="5" t="s">
        <v>33</v>
      </c>
      <c r="AH6" s="1"/>
      <c r="AI6" s="1"/>
      <c r="AJ6" s="1"/>
    </row>
    <row r="7" spans="1:36" x14ac:dyDescent="0.25">
      <c r="A7">
        <v>34.896999999999998</v>
      </c>
      <c r="B7" s="6" t="s">
        <v>34</v>
      </c>
      <c r="C7" s="7" t="s">
        <v>35</v>
      </c>
      <c r="D7" s="1" t="s">
        <v>36</v>
      </c>
      <c r="E7" s="1"/>
      <c r="F7" s="1">
        <v>9.0680858160000007E-6</v>
      </c>
      <c r="G7" s="3">
        <f>F7/ 0.359</f>
        <v>2.5259291966573819E-5</v>
      </c>
      <c r="K7" s="6" t="s">
        <v>34</v>
      </c>
      <c r="L7">
        <v>8.7810714011608197E-4</v>
      </c>
      <c r="M7">
        <v>5.0234309230539104E-5</v>
      </c>
      <c r="O7" s="4">
        <f>L7/A7</f>
        <v>2.5162826034217326E-5</v>
      </c>
      <c r="P7" s="5">
        <f>M7/A7</f>
        <v>1.4395022274275469E-6</v>
      </c>
      <c r="AH7" s="1"/>
      <c r="AI7" s="1"/>
      <c r="AJ7" s="1"/>
    </row>
    <row r="8" spans="1:36" x14ac:dyDescent="0.25">
      <c r="A8">
        <v>53.859000000000002</v>
      </c>
      <c r="B8" s="6" t="s">
        <v>37</v>
      </c>
      <c r="C8" s="7" t="s">
        <v>38</v>
      </c>
      <c r="D8" s="1" t="s">
        <v>39</v>
      </c>
      <c r="E8" s="1"/>
      <c r="F8" s="1">
        <v>1.6730915609E-5</v>
      </c>
      <c r="G8" s="3">
        <f t="shared" ref="G8:G33" si="0">F8/ 0.359</f>
        <v>4.660422175208914E-5</v>
      </c>
      <c r="K8" s="6" t="s">
        <v>37</v>
      </c>
      <c r="L8">
        <v>2.500879381420637E-3</v>
      </c>
      <c r="M8">
        <v>1.2660655271744335E-4</v>
      </c>
      <c r="O8" s="4">
        <f t="shared" ref="O8:O28" si="1">L8/A8</f>
        <v>4.6433825013844236E-5</v>
      </c>
      <c r="P8" s="5">
        <f t="shared" ref="P8:P42" si="2">M8/A8</f>
        <v>2.3507037397174724E-6</v>
      </c>
      <c r="AH8" s="1"/>
      <c r="AI8" s="1"/>
      <c r="AJ8" s="1"/>
    </row>
    <row r="9" spans="1:36" x14ac:dyDescent="0.25">
      <c r="A9">
        <v>25.530999999999999</v>
      </c>
      <c r="B9" s="6" t="s">
        <v>40</v>
      </c>
      <c r="C9" s="7" t="s">
        <v>41</v>
      </c>
      <c r="D9" s="1" t="s">
        <v>42</v>
      </c>
      <c r="E9" s="1"/>
      <c r="F9" s="1">
        <v>2.7599900110000001E-6</v>
      </c>
      <c r="G9" s="3">
        <f t="shared" si="0"/>
        <v>7.6879944596100283E-6</v>
      </c>
      <c r="K9" s="6" t="s">
        <v>40</v>
      </c>
      <c r="L9">
        <v>1.9556452960030229E-4</v>
      </c>
      <c r="M9">
        <v>1.0158722033320065E-5</v>
      </c>
      <c r="O9" s="4">
        <f t="shared" si="1"/>
        <v>7.6598852218989575E-6</v>
      </c>
      <c r="P9" s="5">
        <f t="shared" si="2"/>
        <v>3.9789753763346777E-7</v>
      </c>
      <c r="AH9" s="1"/>
      <c r="AI9" s="1"/>
      <c r="AJ9" s="1"/>
    </row>
    <row r="10" spans="1:36" x14ac:dyDescent="0.25">
      <c r="A10">
        <v>65.391999999999996</v>
      </c>
      <c r="B10" s="6" t="s">
        <v>43</v>
      </c>
      <c r="C10" s="7" t="s">
        <v>44</v>
      </c>
      <c r="D10" s="1" t="s">
        <v>45</v>
      </c>
      <c r="E10" s="1"/>
      <c r="F10" s="1">
        <v>1.5802869112000001E-5</v>
      </c>
      <c r="G10" s="3">
        <f t="shared" si="0"/>
        <v>4.4019134016713098E-5</v>
      </c>
      <c r="K10" s="6" t="s">
        <v>43</v>
      </c>
      <c r="L10">
        <v>2.8679746955733972E-3</v>
      </c>
      <c r="M10">
        <v>8.472346603292725E-5</v>
      </c>
      <c r="O10" s="4">
        <f t="shared" si="1"/>
        <v>4.3858189007422885E-5</v>
      </c>
      <c r="P10" s="5">
        <f t="shared" si="2"/>
        <v>1.2956243276383541E-6</v>
      </c>
      <c r="AH10" s="1"/>
      <c r="AI10" s="1"/>
      <c r="AJ10" s="1"/>
    </row>
    <row r="11" spans="1:36" x14ac:dyDescent="0.25">
      <c r="A11">
        <v>21.504999999999999</v>
      </c>
      <c r="B11" s="6" t="s">
        <v>46</v>
      </c>
      <c r="C11" s="7" t="s">
        <v>47</v>
      </c>
      <c r="D11" s="1" t="s">
        <v>48</v>
      </c>
      <c r="E11" s="1"/>
      <c r="F11" s="1">
        <v>1.8070364462E-5</v>
      </c>
      <c r="G11" s="3">
        <f t="shared" si="0"/>
        <v>5.033527705292479E-5</v>
      </c>
      <c r="K11" s="6" t="s">
        <v>46</v>
      </c>
      <c r="L11">
        <v>1.0785023869237772E-3</v>
      </c>
      <c r="M11">
        <v>1.1151130582203634E-4</v>
      </c>
      <c r="O11" s="4">
        <f t="shared" si="1"/>
        <v>5.0151238638631813E-5</v>
      </c>
      <c r="P11" s="5">
        <f t="shared" si="2"/>
        <v>5.1853664646378207E-6</v>
      </c>
      <c r="AH11" s="1"/>
      <c r="AI11" s="1"/>
      <c r="AJ11" s="1"/>
    </row>
    <row r="12" spans="1:36" x14ac:dyDescent="0.25">
      <c r="A12">
        <v>55.399000000000001</v>
      </c>
      <c r="B12" s="6" t="s">
        <v>49</v>
      </c>
      <c r="C12" s="7" t="s">
        <v>50</v>
      </c>
      <c r="D12" s="1" t="s">
        <v>51</v>
      </c>
      <c r="E12" s="1"/>
      <c r="F12" s="1">
        <v>5.2707809199999998E-6</v>
      </c>
      <c r="G12" s="3">
        <f t="shared" si="0"/>
        <v>1.4681841002785515E-5</v>
      </c>
      <c r="K12" s="6" t="s">
        <v>49</v>
      </c>
      <c r="L12">
        <v>7.9287245025600318E-4</v>
      </c>
      <c r="M12">
        <v>2.3581530127224962E-5</v>
      </c>
      <c r="O12" s="4">
        <f t="shared" si="1"/>
        <v>1.4312035420422808E-5</v>
      </c>
      <c r="P12" s="5">
        <f t="shared" si="2"/>
        <v>4.2566707209922493E-7</v>
      </c>
      <c r="AH12" s="1"/>
      <c r="AI12" s="1"/>
      <c r="AJ12" s="1"/>
    </row>
    <row r="13" spans="1:36" x14ac:dyDescent="0.25">
      <c r="A13">
        <v>26.266999999999999</v>
      </c>
      <c r="B13" s="6" t="s">
        <v>52</v>
      </c>
      <c r="C13" s="7" t="s">
        <v>53</v>
      </c>
      <c r="D13" s="1" t="s">
        <v>54</v>
      </c>
      <c r="E13" s="1"/>
      <c r="F13" s="1">
        <v>7.8843394500000004E-7</v>
      </c>
      <c r="G13" s="3">
        <f t="shared" si="0"/>
        <v>2.1961948328690809E-6</v>
      </c>
      <c r="K13" s="6" t="s">
        <v>52</v>
      </c>
      <c r="L13">
        <v>5.7848138963746799E-5</v>
      </c>
      <c r="M13">
        <v>2.5011255499599478E-6</v>
      </c>
      <c r="O13" s="4">
        <f t="shared" si="1"/>
        <v>2.2023123677521908E-6</v>
      </c>
      <c r="P13" s="5">
        <f t="shared" si="2"/>
        <v>9.5219307494572958E-8</v>
      </c>
      <c r="AH13" s="1"/>
      <c r="AI13" s="1"/>
      <c r="AJ13" s="1"/>
    </row>
    <row r="14" spans="1:36" x14ac:dyDescent="0.25">
      <c r="A14">
        <v>36.101999999999997</v>
      </c>
      <c r="B14" s="6" t="s">
        <v>55</v>
      </c>
      <c r="C14" s="7" t="s">
        <v>56</v>
      </c>
      <c r="D14" s="1" t="s">
        <v>57</v>
      </c>
      <c r="E14" s="1"/>
      <c r="F14" s="1">
        <v>7.9093763360000004E-5</v>
      </c>
      <c r="G14" s="3">
        <f t="shared" si="0"/>
        <v>2.2031688958217273E-4</v>
      </c>
      <c r="K14" s="6" t="s">
        <v>55</v>
      </c>
      <c r="L14">
        <v>7.9364915354332086E-3</v>
      </c>
      <c r="M14">
        <v>2.9107043559065555E-4</v>
      </c>
      <c r="O14" s="4">
        <f t="shared" si="1"/>
        <v>2.1983523171661431E-4</v>
      </c>
      <c r="P14" s="5">
        <f t="shared" si="2"/>
        <v>8.0624462797256548E-6</v>
      </c>
      <c r="AH14" s="1"/>
      <c r="AI14" s="1"/>
      <c r="AJ14" s="1"/>
    </row>
    <row r="15" spans="1:36" x14ac:dyDescent="0.25">
      <c r="A15">
        <v>41.387999999999998</v>
      </c>
      <c r="B15" s="6" t="s">
        <v>58</v>
      </c>
      <c r="C15" s="7" t="s">
        <v>59</v>
      </c>
      <c r="D15" s="1" t="s">
        <v>60</v>
      </c>
      <c r="E15" s="1"/>
      <c r="F15" s="1">
        <v>2.2471245906999999E-5</v>
      </c>
      <c r="G15" s="3">
        <f t="shared" si="0"/>
        <v>6.259399974094708E-5</v>
      </c>
      <c r="K15" s="6" t="s">
        <v>58</v>
      </c>
      <c r="L15">
        <v>2.5849767353351601E-3</v>
      </c>
      <c r="M15">
        <v>5.2563526179080733E-5</v>
      </c>
      <c r="O15" s="4">
        <f t="shared" si="1"/>
        <v>6.2457155101361755E-5</v>
      </c>
      <c r="P15" s="5">
        <f t="shared" si="2"/>
        <v>1.2700185121069086E-6</v>
      </c>
      <c r="AH15" s="1"/>
      <c r="AI15" s="1"/>
      <c r="AJ15" s="1"/>
    </row>
    <row r="16" spans="1:36" x14ac:dyDescent="0.25">
      <c r="A16">
        <v>25.937999999999999</v>
      </c>
      <c r="B16" s="6" t="s">
        <v>61</v>
      </c>
      <c r="C16" s="7" t="s">
        <v>62</v>
      </c>
      <c r="D16" s="1" t="s">
        <v>63</v>
      </c>
      <c r="E16" s="1"/>
      <c r="F16" s="1">
        <v>2.4523595416000001E-5</v>
      </c>
      <c r="G16" s="3">
        <f t="shared" si="0"/>
        <v>6.8310850740947078E-5</v>
      </c>
      <c r="K16" s="6" t="s">
        <v>61</v>
      </c>
      <c r="L16">
        <v>1.7703521090390627E-3</v>
      </c>
      <c r="M16">
        <v>2.5653538810896839E-5</v>
      </c>
      <c r="O16" s="4">
        <f t="shared" si="1"/>
        <v>6.8253223418885916E-5</v>
      </c>
      <c r="P16" s="5">
        <f t="shared" si="2"/>
        <v>9.8903303303634984E-7</v>
      </c>
      <c r="AH16" s="1"/>
      <c r="AI16" s="1"/>
      <c r="AJ16" s="1"/>
    </row>
    <row r="17" spans="1:36" x14ac:dyDescent="0.25">
      <c r="A17">
        <v>45.743000000000002</v>
      </c>
      <c r="B17" s="6" t="s">
        <v>64</v>
      </c>
      <c r="C17" s="7" t="s">
        <v>65</v>
      </c>
      <c r="D17" s="1" t="s">
        <v>66</v>
      </c>
      <c r="E17" s="1"/>
      <c r="F17" s="1">
        <v>4.0171726511E-5</v>
      </c>
      <c r="G17" s="3">
        <f t="shared" si="0"/>
        <v>1.1189895964066853E-4</v>
      </c>
      <c r="K17" s="6" t="s">
        <v>64</v>
      </c>
      <c r="L17">
        <v>5.1142760432945624E-3</v>
      </c>
      <c r="M17">
        <v>1.9427640416297163E-4</v>
      </c>
      <c r="O17" s="4">
        <f t="shared" si="1"/>
        <v>1.1180456120706036E-4</v>
      </c>
      <c r="P17" s="5">
        <f t="shared" si="2"/>
        <v>4.2471286134047097E-6</v>
      </c>
      <c r="AH17" s="1"/>
      <c r="AI17" s="1"/>
      <c r="AJ17" s="1"/>
    </row>
    <row r="18" spans="1:36" x14ac:dyDescent="0.25">
      <c r="A18">
        <v>51.445</v>
      </c>
      <c r="B18" s="6" t="s">
        <v>67</v>
      </c>
      <c r="C18" s="7" t="s">
        <v>68</v>
      </c>
      <c r="D18" s="1" t="s">
        <v>69</v>
      </c>
      <c r="E18" s="1"/>
      <c r="F18" s="1">
        <v>5.3178373933E-5</v>
      </c>
      <c r="G18" s="3">
        <f t="shared" si="0"/>
        <v>1.4812917530083566E-4</v>
      </c>
      <c r="K18" s="6" t="s">
        <v>67</v>
      </c>
      <c r="L18">
        <v>7.6534367672090545E-3</v>
      </c>
      <c r="M18">
        <v>2.5661941267832855E-4</v>
      </c>
      <c r="O18" s="4">
        <f t="shared" si="1"/>
        <v>1.4876930250187686E-4</v>
      </c>
      <c r="P18" s="5">
        <f t="shared" si="2"/>
        <v>4.9882284513233268E-6</v>
      </c>
      <c r="AH18" s="1"/>
      <c r="AI18" s="1"/>
      <c r="AJ18" s="1"/>
    </row>
    <row r="19" spans="1:36" x14ac:dyDescent="0.25">
      <c r="A19">
        <v>60.926000000000002</v>
      </c>
      <c r="B19" s="6" t="s">
        <v>70</v>
      </c>
      <c r="C19" s="7" t="s">
        <v>71</v>
      </c>
      <c r="D19" s="1" t="s">
        <v>72</v>
      </c>
      <c r="E19" s="1"/>
      <c r="F19" s="1">
        <v>6.9517843571000005E-5</v>
      </c>
      <c r="G19" s="3">
        <f t="shared" si="0"/>
        <v>1.9364301830362119E-4</v>
      </c>
      <c r="K19" s="6" t="s">
        <v>70</v>
      </c>
      <c r="L19">
        <v>1.175475684914956E-2</v>
      </c>
      <c r="M19">
        <v>2.0380980611285361E-4</v>
      </c>
      <c r="O19" s="4">
        <f t="shared" si="1"/>
        <v>1.9293498422922166E-4</v>
      </c>
      <c r="P19" s="5">
        <f t="shared" si="2"/>
        <v>3.3452024769860749E-6</v>
      </c>
      <c r="AH19" s="1"/>
      <c r="AI19" s="1"/>
      <c r="AJ19" s="1"/>
    </row>
    <row r="20" spans="1:36" x14ac:dyDescent="0.25">
      <c r="A20">
        <v>36.122</v>
      </c>
      <c r="B20" s="6" t="s">
        <v>73</v>
      </c>
      <c r="C20" s="7" t="s">
        <v>74</v>
      </c>
      <c r="D20" s="1" t="s">
        <v>75</v>
      </c>
      <c r="E20" s="1"/>
      <c r="F20" s="1">
        <v>2.7194584581999999E-5</v>
      </c>
      <c r="G20" s="3">
        <f t="shared" si="0"/>
        <v>7.5750931983286903E-5</v>
      </c>
      <c r="K20" s="6" t="s">
        <v>73</v>
      </c>
      <c r="L20">
        <v>1.1882986526484123E-4</v>
      </c>
      <c r="M20">
        <v>7.0063939146987032E-6</v>
      </c>
      <c r="O20" s="4">
        <f t="shared" si="1"/>
        <v>3.2896812265334485E-6</v>
      </c>
      <c r="P20" s="5">
        <f t="shared" si="2"/>
        <v>1.9396472827359235E-7</v>
      </c>
      <c r="AH20" s="1"/>
      <c r="AI20" s="1"/>
      <c r="AJ20" s="1"/>
    </row>
    <row r="21" spans="1:36" x14ac:dyDescent="0.25">
      <c r="A21">
        <v>40.145000000000003</v>
      </c>
      <c r="B21" s="6" t="s">
        <v>76</v>
      </c>
      <c r="C21" s="7" t="s">
        <v>77</v>
      </c>
      <c r="D21" s="1"/>
      <c r="E21" s="1"/>
      <c r="F21" s="1" t="e">
        <v>#N/A</v>
      </c>
      <c r="G21" s="3" t="e">
        <f t="shared" si="0"/>
        <v>#N/A</v>
      </c>
      <c r="K21" s="6" t="s">
        <v>76</v>
      </c>
      <c r="L21">
        <v>2.8991671297659326E-3</v>
      </c>
      <c r="M21">
        <v>1.0513914294550844E-4</v>
      </c>
      <c r="O21" s="4">
        <f t="shared" si="1"/>
        <v>7.2217390204656431E-5</v>
      </c>
      <c r="P21" s="5">
        <f t="shared" si="2"/>
        <v>2.618984753904806E-6</v>
      </c>
      <c r="AH21" s="1"/>
      <c r="AI21" s="1"/>
      <c r="AJ21" s="1"/>
    </row>
    <row r="22" spans="1:36" x14ac:dyDescent="0.25">
      <c r="B22" s="6"/>
      <c r="C22" s="7"/>
      <c r="D22" s="1"/>
      <c r="E22" s="1"/>
      <c r="F22" s="1"/>
      <c r="G22" s="3">
        <f t="shared" si="0"/>
        <v>0</v>
      </c>
      <c r="K22" s="6"/>
      <c r="O22" s="4"/>
      <c r="P22" s="5"/>
      <c r="AH22" s="1"/>
      <c r="AI22" s="1"/>
      <c r="AJ22" s="1"/>
    </row>
    <row r="23" spans="1:36" x14ac:dyDescent="0.25">
      <c r="A23">
        <v>70.307000000000002</v>
      </c>
      <c r="B23" s="6" t="s">
        <v>79</v>
      </c>
      <c r="C23" s="7" t="s">
        <v>80</v>
      </c>
      <c r="E23" s="1"/>
      <c r="F23" s="1" t="e">
        <v>#N/A</v>
      </c>
      <c r="G23" s="3" t="e">
        <f t="shared" si="0"/>
        <v>#N/A</v>
      </c>
      <c r="H23" s="8" t="e">
        <f>(O23-G23)/O23</f>
        <v>#N/A</v>
      </c>
      <c r="K23" s="6" t="s">
        <v>79</v>
      </c>
      <c r="L23">
        <v>1.2723763700294297E-5</v>
      </c>
      <c r="M23">
        <v>8.4213966340878746E-7</v>
      </c>
      <c r="O23" s="4">
        <f t="shared" si="1"/>
        <v>1.8097435106453549E-7</v>
      </c>
      <c r="P23" s="5">
        <f t="shared" si="2"/>
        <v>1.1978034383614539E-8</v>
      </c>
      <c r="AH23" s="1"/>
      <c r="AI23" s="1"/>
      <c r="AJ23" s="1"/>
    </row>
    <row r="24" spans="1:36" x14ac:dyDescent="0.25">
      <c r="A24">
        <v>70.513999999999996</v>
      </c>
      <c r="B24" s="6" t="s">
        <v>81</v>
      </c>
      <c r="C24" s="7" t="s">
        <v>82</v>
      </c>
      <c r="E24" s="1"/>
      <c r="F24" s="1">
        <v>2.3197429000000002E-6</v>
      </c>
      <c r="G24" s="3">
        <f t="shared" si="0"/>
        <v>6.4616793871866304E-6</v>
      </c>
      <c r="H24" s="8">
        <f>(O24-G24)/O24</f>
        <v>-0.80700360617978517</v>
      </c>
      <c r="I24" s="8">
        <f>G24/(SUM(O23:O24))</f>
        <v>1.7199576891146595</v>
      </c>
      <c r="K24" s="6" t="s">
        <v>81</v>
      </c>
      <c r="L24">
        <v>2.521516054255981E-4</v>
      </c>
      <c r="M24">
        <v>9.1077870869679429E-6</v>
      </c>
      <c r="O24" s="4">
        <f t="shared" si="1"/>
        <v>3.5759084072042163E-6</v>
      </c>
      <c r="P24" s="5">
        <f t="shared" si="2"/>
        <v>1.2916281996437508E-7</v>
      </c>
      <c r="AH24" s="1"/>
      <c r="AI24" s="1"/>
      <c r="AJ24" s="1"/>
    </row>
    <row r="25" spans="1:36" x14ac:dyDescent="0.25">
      <c r="A25">
        <v>41.857999999999997</v>
      </c>
      <c r="B25" s="6" t="s">
        <v>83</v>
      </c>
      <c r="C25" s="7" t="s">
        <v>84</v>
      </c>
      <c r="E25" s="1"/>
      <c r="F25" s="1">
        <v>3.440413997E-6</v>
      </c>
      <c r="G25" s="3">
        <f t="shared" si="0"/>
        <v>9.5833258969359343E-6</v>
      </c>
      <c r="H25" s="8">
        <f t="shared" ref="H25:H42" si="3">(O25-G25)/O25</f>
        <v>-0.72164053713857423</v>
      </c>
      <c r="I25" s="8">
        <f>G25/O25</f>
        <v>1.7216405371385741</v>
      </c>
      <c r="K25" s="6" t="s">
        <v>83</v>
      </c>
      <c r="L25">
        <v>2.3299803108763395E-4</v>
      </c>
      <c r="M25">
        <v>7.3848104264098787E-6</v>
      </c>
      <c r="O25" s="4">
        <f t="shared" si="1"/>
        <v>5.5663918746149829E-6</v>
      </c>
      <c r="P25" s="5">
        <f t="shared" si="2"/>
        <v>1.7642530523221079E-7</v>
      </c>
      <c r="AH25" s="1"/>
      <c r="AI25" s="1"/>
      <c r="AJ25" s="1"/>
    </row>
    <row r="26" spans="1:36" x14ac:dyDescent="0.25">
      <c r="A26">
        <v>41.369</v>
      </c>
      <c r="B26" s="6" t="s">
        <v>85</v>
      </c>
      <c r="C26" s="7" t="s">
        <v>108</v>
      </c>
      <c r="E26" s="1"/>
      <c r="F26" s="1">
        <v>3.54666596E-6</v>
      </c>
      <c r="G26" s="3">
        <f t="shared" si="0"/>
        <v>9.8792923676880224E-6</v>
      </c>
      <c r="H26" s="8">
        <f t="shared" si="3"/>
        <v>-0.72164053682920404</v>
      </c>
      <c r="I26" s="8">
        <f t="shared" ref="I26:I31" si="4">G26/O26</f>
        <v>1.721640536829204</v>
      </c>
      <c r="K26" s="6" t="s">
        <v>85</v>
      </c>
      <c r="L26">
        <v>2.3738779217617287E-4</v>
      </c>
      <c r="M26">
        <v>7.4520024621489683E-6</v>
      </c>
      <c r="O26" s="4">
        <f t="shared" si="1"/>
        <v>5.7383014376990713E-6</v>
      </c>
      <c r="P26" s="5">
        <f t="shared" si="2"/>
        <v>1.8013494312526211E-7</v>
      </c>
      <c r="AH26" s="1"/>
      <c r="AI26" s="1"/>
      <c r="AJ26" s="1"/>
    </row>
    <row r="27" spans="1:36" x14ac:dyDescent="0.25">
      <c r="A27">
        <v>30.474</v>
      </c>
      <c r="B27" s="6" t="s">
        <v>87</v>
      </c>
      <c r="C27" s="7" t="s">
        <v>109</v>
      </c>
      <c r="E27" s="1"/>
      <c r="F27" s="1">
        <v>8.6441062700000005E-7</v>
      </c>
      <c r="G27" s="3">
        <f t="shared" si="0"/>
        <v>2.4078290445682456E-6</v>
      </c>
      <c r="H27" s="8">
        <f t="shared" si="3"/>
        <v>-0.72164053723550869</v>
      </c>
      <c r="I27" s="8">
        <f t="shared" si="4"/>
        <v>1.7216405372355088</v>
      </c>
      <c r="K27" s="6" t="s">
        <v>87</v>
      </c>
      <c r="L27">
        <v>4.2619920196578962E-5</v>
      </c>
      <c r="M27">
        <v>1.9420757630582804E-6</v>
      </c>
      <c r="O27" s="4">
        <f t="shared" si="1"/>
        <v>1.3985666534284624E-6</v>
      </c>
      <c r="P27" s="5">
        <f t="shared" si="2"/>
        <v>6.3728941493019642E-8</v>
      </c>
      <c r="AH27" s="1"/>
      <c r="AI27" s="1"/>
      <c r="AJ27" s="1"/>
    </row>
    <row r="28" spans="1:36" x14ac:dyDescent="0.25">
      <c r="A28">
        <v>39.941000000000003</v>
      </c>
      <c r="B28" s="6" t="s">
        <v>89</v>
      </c>
      <c r="C28" s="7" t="s">
        <v>110</v>
      </c>
      <c r="E28" s="1"/>
      <c r="F28" s="1">
        <v>7.1231986700000003E-6</v>
      </c>
      <c r="G28" s="3">
        <f t="shared" si="0"/>
        <v>1.984177902506964E-5</v>
      </c>
      <c r="H28" s="8">
        <f t="shared" si="3"/>
        <v>-0.72164053688672547</v>
      </c>
      <c r="I28" s="8">
        <f t="shared" si="4"/>
        <v>1.7216405368867256</v>
      </c>
      <c r="K28" s="6" t="s">
        <v>89</v>
      </c>
      <c r="L28">
        <v>4.6031705170778559E-4</v>
      </c>
      <c r="M28">
        <v>1.1282131489038944E-5</v>
      </c>
      <c r="O28" s="4">
        <f t="shared" si="1"/>
        <v>1.152492555789253E-5</v>
      </c>
      <c r="P28" s="5">
        <f t="shared" si="2"/>
        <v>2.8246993037327416E-7</v>
      </c>
      <c r="AH28" s="1"/>
      <c r="AI28" s="1"/>
      <c r="AJ28" s="1"/>
    </row>
    <row r="29" spans="1:36" x14ac:dyDescent="0.25">
      <c r="A29">
        <v>36.503999999999998</v>
      </c>
      <c r="B29" s="6" t="s">
        <v>91</v>
      </c>
      <c r="C29" s="7" t="s">
        <v>111</v>
      </c>
      <c r="E29" s="1"/>
      <c r="F29" s="1">
        <v>1.4063611912E-5</v>
      </c>
      <c r="G29" s="3">
        <f t="shared" si="0"/>
        <v>3.917440644011142E-5</v>
      </c>
      <c r="H29" s="8">
        <f t="shared" si="3"/>
        <v>-0.72164053674911766</v>
      </c>
      <c r="I29" s="8">
        <f t="shared" si="4"/>
        <v>1.7216405367491177</v>
      </c>
      <c r="K29" s="6" t="s">
        <v>91</v>
      </c>
      <c r="L29">
        <v>8.3061620713814198E-4</v>
      </c>
      <c r="M29">
        <v>1.4977680843132558E-5</v>
      </c>
      <c r="O29" s="4">
        <f>L29/A29</f>
        <v>2.2754114813120263E-5</v>
      </c>
      <c r="P29" s="5">
        <f t="shared" si="2"/>
        <v>4.1030245570711589E-7</v>
      </c>
      <c r="AH29" s="1"/>
      <c r="AI29" s="1"/>
      <c r="AJ29" s="1"/>
    </row>
    <row r="30" spans="1:36" x14ac:dyDescent="0.25">
      <c r="A30">
        <v>31.189</v>
      </c>
      <c r="B30" s="9" t="s">
        <v>93</v>
      </c>
      <c r="C30" s="10" t="s">
        <v>94</v>
      </c>
      <c r="E30" s="1"/>
      <c r="F30" s="1">
        <v>2.4346739730000001E-6</v>
      </c>
      <c r="G30" s="3">
        <f t="shared" si="0"/>
        <v>6.7818216518105859E-6</v>
      </c>
      <c r="H30" s="8">
        <f t="shared" si="3"/>
        <v>-0.57411123142983456</v>
      </c>
      <c r="I30" s="8">
        <f t="shared" si="4"/>
        <v>1.5741112314298347</v>
      </c>
      <c r="K30" s="9" t="s">
        <v>93</v>
      </c>
      <c r="L30">
        <v>1.3437311879554347E-4</v>
      </c>
      <c r="M30">
        <v>4.6027477844345979E-6</v>
      </c>
      <c r="O30" s="4">
        <f t="shared" ref="O30:O41" si="5">L30/A30</f>
        <v>4.3083497000719311E-6</v>
      </c>
      <c r="P30" s="5">
        <f t="shared" si="2"/>
        <v>1.4757599744892745E-7</v>
      </c>
      <c r="AH30" s="1"/>
      <c r="AI30" s="1"/>
      <c r="AJ30" s="1"/>
    </row>
    <row r="31" spans="1:36" x14ac:dyDescent="0.25">
      <c r="A31">
        <v>21.824999999999999</v>
      </c>
      <c r="B31" s="9" t="s">
        <v>95</v>
      </c>
      <c r="C31" s="10" t="s">
        <v>96</v>
      </c>
      <c r="E31" s="1"/>
      <c r="F31" s="1">
        <v>1.535112497E-6</v>
      </c>
      <c r="G31" s="3">
        <f t="shared" si="0"/>
        <v>4.2760793788300838E-6</v>
      </c>
      <c r="H31" s="8">
        <f t="shared" si="3"/>
        <v>-3.1364258461421977</v>
      </c>
      <c r="I31" s="8">
        <f t="shared" si="4"/>
        <v>4.1364258461421972</v>
      </c>
      <c r="K31" s="9" t="s">
        <v>95</v>
      </c>
      <c r="L31">
        <v>2.2561853134634518E-5</v>
      </c>
      <c r="M31">
        <v>1.0968716671586267E-6</v>
      </c>
      <c r="O31" s="4">
        <f t="shared" si="5"/>
        <v>1.0337618847484315E-6</v>
      </c>
      <c r="P31" s="5">
        <f t="shared" si="2"/>
        <v>5.0257579251254371E-8</v>
      </c>
      <c r="AH31" s="1"/>
      <c r="AI31" s="1"/>
      <c r="AJ31" s="1"/>
    </row>
    <row r="32" spans="1:36" x14ac:dyDescent="0.25">
      <c r="A32">
        <v>12.662000000000001</v>
      </c>
      <c r="B32" s="11" t="s">
        <v>97</v>
      </c>
      <c r="C32" s="12" t="s">
        <v>98</v>
      </c>
      <c r="F32" t="e">
        <v>#N/A</v>
      </c>
      <c r="G32" s="3">
        <v>0</v>
      </c>
      <c r="H32" s="8">
        <f t="shared" si="3"/>
        <v>1</v>
      </c>
      <c r="I32" s="8">
        <f>SUM(G32:G35)/SUM(O32:O35)</f>
        <v>1.5865931372909823</v>
      </c>
      <c r="K32" s="11" t="s">
        <v>97</v>
      </c>
      <c r="L32">
        <v>2.1802236949414183E-4</v>
      </c>
      <c r="M32">
        <v>4.5004422028753396E-6</v>
      </c>
      <c r="O32" s="4">
        <f t="shared" si="5"/>
        <v>1.7218636036498328E-5</v>
      </c>
      <c r="P32" s="5">
        <f t="shared" si="2"/>
        <v>3.5542901618033006E-7</v>
      </c>
      <c r="AH32" s="1"/>
      <c r="AI32" s="1"/>
      <c r="AJ32" s="1"/>
    </row>
    <row r="33" spans="1:36" x14ac:dyDescent="0.25">
      <c r="A33">
        <v>11.625</v>
      </c>
      <c r="B33" s="2" t="s">
        <v>128</v>
      </c>
      <c r="C33" t="s">
        <v>129</v>
      </c>
      <c r="F33">
        <v>1.0209313212E-5</v>
      </c>
      <c r="G33" s="3">
        <f t="shared" si="0"/>
        <v>2.8438198362116993E-5</v>
      </c>
      <c r="H33" s="8">
        <f t="shared" si="3"/>
        <v>-527.69671511212232</v>
      </c>
      <c r="I33" s="8"/>
      <c r="J33" s="2"/>
      <c r="K33" t="s">
        <v>128</v>
      </c>
      <c r="L33">
        <v>6.2529999999999997E-7</v>
      </c>
      <c r="M33">
        <v>4.9000000000000002E-8</v>
      </c>
      <c r="O33" s="5">
        <v>5.3789247311827955E-8</v>
      </c>
      <c r="P33" s="5">
        <v>4.21505376344086E-9</v>
      </c>
      <c r="AH33" s="1"/>
      <c r="AI33" s="1"/>
      <c r="AJ33" s="1"/>
    </row>
    <row r="34" spans="1:36" x14ac:dyDescent="0.25">
      <c r="A34">
        <v>11.095000000000001</v>
      </c>
      <c r="B34" s="2" t="s">
        <v>130</v>
      </c>
      <c r="C34" t="s">
        <v>129</v>
      </c>
      <c r="F34" t="e">
        <v>#N/A</v>
      </c>
      <c r="G34" s="3">
        <v>0</v>
      </c>
      <c r="H34" s="8">
        <f>(O34-G34)/O34</f>
        <v>1</v>
      </c>
      <c r="I34" s="8"/>
      <c r="J34" s="2"/>
      <c r="K34" t="s">
        <v>130</v>
      </c>
      <c r="L34">
        <v>2.43E-6</v>
      </c>
      <c r="M34">
        <v>1.5599999999999999E-7</v>
      </c>
      <c r="O34" s="5">
        <v>2.1901757548445245E-7</v>
      </c>
      <c r="P34" s="5">
        <v>1.4060387561964848E-8</v>
      </c>
      <c r="AH34" s="1"/>
      <c r="AI34" s="1"/>
      <c r="AJ34" s="1"/>
    </row>
    <row r="35" spans="1:36" x14ac:dyDescent="0.25">
      <c r="A35">
        <v>6.8419999999999996</v>
      </c>
      <c r="B35" s="2" t="s">
        <v>131</v>
      </c>
      <c r="C35" t="s">
        <v>129</v>
      </c>
      <c r="F35" t="e">
        <v>#N/A</v>
      </c>
      <c r="G35" s="3">
        <v>0</v>
      </c>
      <c r="H35" s="8">
        <f t="shared" si="3"/>
        <v>1</v>
      </c>
      <c r="I35" s="8"/>
      <c r="J35" s="2"/>
      <c r="K35" t="s">
        <v>131</v>
      </c>
      <c r="L35">
        <v>2.96E-6</v>
      </c>
      <c r="M35">
        <v>1.6999999999999999E-7</v>
      </c>
      <c r="O35" s="5">
        <v>4.3262204033908217E-7</v>
      </c>
      <c r="P35" s="5">
        <v>2.4846536100555392E-8</v>
      </c>
      <c r="AH35" s="1"/>
      <c r="AI35" s="1"/>
      <c r="AJ35" s="1"/>
    </row>
    <row r="36" spans="1:36" x14ac:dyDescent="0.25">
      <c r="A36">
        <v>9.9649999999999999</v>
      </c>
      <c r="B36" s="13" t="s">
        <v>99</v>
      </c>
      <c r="C36" t="s">
        <v>99</v>
      </c>
      <c r="F36" t="e">
        <v>#N/A</v>
      </c>
      <c r="G36" s="3">
        <v>0</v>
      </c>
      <c r="H36" s="8">
        <f t="shared" si="3"/>
        <v>1</v>
      </c>
      <c r="I36" s="8">
        <f>SUM(G36:G42)/SUM(O36:O42)</f>
        <v>0</v>
      </c>
      <c r="K36" s="13" t="s">
        <v>99</v>
      </c>
      <c r="L36">
        <v>6.0723708412905434E-6</v>
      </c>
      <c r="M36">
        <v>3.276007152527668E-7</v>
      </c>
      <c r="O36" s="4">
        <f t="shared" si="5"/>
        <v>6.0936987870452012E-7</v>
      </c>
      <c r="P36" s="5">
        <f t="shared" si="2"/>
        <v>3.2875134496012725E-8</v>
      </c>
      <c r="AH36" s="1"/>
      <c r="AI36" s="1"/>
      <c r="AJ36" s="1"/>
    </row>
    <row r="37" spans="1:36" x14ac:dyDescent="0.25">
      <c r="A37">
        <v>23.779</v>
      </c>
      <c r="B37" s="13" t="s">
        <v>101</v>
      </c>
      <c r="C37" t="s">
        <v>101</v>
      </c>
      <c r="F37" t="e">
        <v>#N/A</v>
      </c>
      <c r="G37" s="3">
        <v>0</v>
      </c>
      <c r="H37" s="8">
        <f t="shared" si="3"/>
        <v>1</v>
      </c>
      <c r="I37" s="8"/>
      <c r="K37" s="13" t="s">
        <v>101</v>
      </c>
      <c r="L37">
        <v>1.2276069908162464E-5</v>
      </c>
      <c r="M37">
        <v>6.8282399415121016E-7</v>
      </c>
      <c r="O37" s="4">
        <f t="shared" si="5"/>
        <v>5.1625677733136231E-7</v>
      </c>
      <c r="P37" s="5">
        <f t="shared" si="2"/>
        <v>2.8715420923975363E-8</v>
      </c>
      <c r="AH37" s="1"/>
      <c r="AI37" s="1"/>
      <c r="AJ37" s="1"/>
    </row>
    <row r="38" spans="1:36" x14ac:dyDescent="0.25">
      <c r="A38">
        <v>25.721</v>
      </c>
      <c r="B38" s="13" t="s">
        <v>102</v>
      </c>
      <c r="C38" t="s">
        <v>102</v>
      </c>
      <c r="F38" t="e">
        <v>#N/A</v>
      </c>
      <c r="G38" s="3">
        <v>0</v>
      </c>
      <c r="H38" s="8">
        <f t="shared" si="3"/>
        <v>1</v>
      </c>
      <c r="I38" s="8"/>
      <c r="J38" s="2"/>
      <c r="K38" s="13" t="s">
        <v>102</v>
      </c>
      <c r="L38">
        <v>2.4789185736183079E-5</v>
      </c>
      <c r="M38">
        <v>1.2226908906238183E-6</v>
      </c>
      <c r="O38" s="4">
        <f t="shared" si="5"/>
        <v>9.6377223810050456E-7</v>
      </c>
      <c r="P38" s="5">
        <f t="shared" si="2"/>
        <v>4.7536677836157935E-8</v>
      </c>
      <c r="AH38" s="1"/>
      <c r="AI38" s="1"/>
      <c r="AJ38" s="1"/>
    </row>
    <row r="39" spans="1:36" x14ac:dyDescent="0.25">
      <c r="A39">
        <v>38.411999999999999</v>
      </c>
      <c r="B39" s="13" t="s">
        <v>103</v>
      </c>
      <c r="C39" t="s">
        <v>103</v>
      </c>
      <c r="F39" t="e">
        <v>#N/A</v>
      </c>
      <c r="G39" s="3">
        <v>0</v>
      </c>
      <c r="H39" s="8">
        <f t="shared" si="3"/>
        <v>1</v>
      </c>
      <c r="I39" s="8"/>
      <c r="K39" s="13" t="s">
        <v>103</v>
      </c>
      <c r="L39">
        <v>1.6417639765753983E-5</v>
      </c>
      <c r="M39">
        <v>9.4446367372077682E-7</v>
      </c>
      <c r="O39" s="4">
        <f t="shared" si="5"/>
        <v>4.274091368779023E-7</v>
      </c>
      <c r="P39" s="5">
        <f t="shared" si="2"/>
        <v>2.4587724505903801E-8</v>
      </c>
      <c r="AH39" s="1"/>
      <c r="AI39" s="1"/>
      <c r="AJ39" s="1"/>
    </row>
    <row r="40" spans="1:36" x14ac:dyDescent="0.25">
      <c r="A40">
        <v>52.136000000000003</v>
      </c>
      <c r="B40" s="13" t="s">
        <v>104</v>
      </c>
      <c r="C40" t="s">
        <v>104</v>
      </c>
      <c r="F40" t="e">
        <v>#N/A</v>
      </c>
      <c r="G40" s="3">
        <v>0</v>
      </c>
      <c r="H40" s="8">
        <f t="shared" si="3"/>
        <v>1</v>
      </c>
      <c r="I40" s="8"/>
      <c r="K40" s="13" t="s">
        <v>104</v>
      </c>
      <c r="L40">
        <v>7.0227210946584789E-5</v>
      </c>
      <c r="M40">
        <v>3.2266732930678812E-6</v>
      </c>
      <c r="O40" s="4">
        <f t="shared" si="5"/>
        <v>1.3470003634069508E-6</v>
      </c>
      <c r="P40" s="5">
        <f t="shared" si="2"/>
        <v>6.1889544519485208E-8</v>
      </c>
      <c r="AH40" s="1"/>
      <c r="AI40" s="1"/>
      <c r="AJ40" s="1"/>
    </row>
    <row r="41" spans="1:36" x14ac:dyDescent="0.25">
      <c r="A41">
        <v>22.757999999999999</v>
      </c>
      <c r="B41" s="13" t="s">
        <v>105</v>
      </c>
      <c r="C41" t="s">
        <v>105</v>
      </c>
      <c r="F41" t="e">
        <v>#N/A</v>
      </c>
      <c r="G41" s="3">
        <v>0</v>
      </c>
      <c r="H41" s="8">
        <f t="shared" si="3"/>
        <v>1</v>
      </c>
      <c r="I41" s="8"/>
      <c r="K41" s="13" t="s">
        <v>105</v>
      </c>
      <c r="L41">
        <v>1.5385960046332389E-5</v>
      </c>
      <c r="M41">
        <v>8.1393792288849254E-7</v>
      </c>
      <c r="O41" s="4">
        <f t="shared" si="5"/>
        <v>6.7606819783515206E-7</v>
      </c>
      <c r="P41" s="5">
        <f t="shared" si="2"/>
        <v>3.5764914442767053E-8</v>
      </c>
      <c r="AH41" s="1"/>
      <c r="AI41" s="1"/>
      <c r="AJ41" s="1"/>
    </row>
    <row r="42" spans="1:36" x14ac:dyDescent="0.25">
      <c r="A42">
        <v>20.85</v>
      </c>
      <c r="B42" s="13" t="s">
        <v>106</v>
      </c>
      <c r="C42" t="s">
        <v>106</v>
      </c>
      <c r="F42" t="e">
        <v>#N/A</v>
      </c>
      <c r="G42" s="3">
        <v>0</v>
      </c>
      <c r="H42" s="8">
        <f t="shared" si="3"/>
        <v>1</v>
      </c>
      <c r="I42" s="8"/>
      <c r="K42" s="13" t="s">
        <v>106</v>
      </c>
      <c r="L42">
        <v>7.8919826425829579E-5</v>
      </c>
      <c r="M42">
        <v>2.805616048166686E-6</v>
      </c>
      <c r="O42" s="4">
        <f>L42/A42</f>
        <v>3.7851235695841523E-6</v>
      </c>
      <c r="P42" s="5">
        <f t="shared" si="2"/>
        <v>1.3456192077538062E-7</v>
      </c>
      <c r="AH42" s="1"/>
      <c r="AI42" s="1"/>
      <c r="AJ42" s="1"/>
    </row>
    <row r="43" spans="1:36" x14ac:dyDescent="0.25">
      <c r="O43" s="2"/>
      <c r="AH43" s="1"/>
      <c r="AI43" s="1"/>
      <c r="AJ43" s="1"/>
    </row>
    <row r="44" spans="1:36" x14ac:dyDescent="0.25">
      <c r="O44" s="2"/>
      <c r="AH44" s="1"/>
      <c r="AI44" s="1"/>
      <c r="AJ44" s="1"/>
    </row>
    <row r="45" spans="1:36" x14ac:dyDescent="0.25">
      <c r="O45" s="2"/>
      <c r="AH45" s="1"/>
      <c r="AI45" s="1"/>
      <c r="AJ45" s="1"/>
    </row>
    <row r="46" spans="1:36" x14ac:dyDescent="0.25">
      <c r="O46" s="2"/>
      <c r="AH46" s="1"/>
      <c r="AI46" s="1"/>
      <c r="AJ46" s="1"/>
    </row>
    <row r="47" spans="1:36" x14ac:dyDescent="0.25">
      <c r="O47" s="2"/>
      <c r="AH47" s="1"/>
      <c r="AI47" s="1"/>
      <c r="AJ47" s="1"/>
    </row>
    <row r="48" spans="1:36" x14ac:dyDescent="0.25">
      <c r="O48" s="2"/>
      <c r="AH48" s="1"/>
      <c r="AI48" s="1"/>
      <c r="AJ48" s="1"/>
    </row>
    <row r="49" spans="2:36" x14ac:dyDescent="0.25">
      <c r="K49" s="11"/>
      <c r="O49" s="2"/>
      <c r="AH49" s="1"/>
      <c r="AI49" s="1"/>
      <c r="AJ49" s="1"/>
    </row>
    <row r="50" spans="2:36" x14ac:dyDescent="0.25">
      <c r="K50" s="11"/>
      <c r="O50" s="2"/>
      <c r="AH50" s="1"/>
      <c r="AI50" s="1"/>
      <c r="AJ50" s="1"/>
    </row>
    <row r="51" spans="2:36" x14ac:dyDescent="0.25">
      <c r="K51" s="11"/>
      <c r="O51" s="2"/>
      <c r="AH51" s="1"/>
      <c r="AI51" s="1"/>
      <c r="AJ51" s="1"/>
    </row>
    <row r="52" spans="2:36" x14ac:dyDescent="0.25">
      <c r="O52" s="2"/>
      <c r="AH52" s="1"/>
      <c r="AI52" s="1"/>
      <c r="AJ52" s="1"/>
    </row>
    <row r="53" spans="2:36" x14ac:dyDescent="0.25">
      <c r="O53" s="2"/>
      <c r="AH53" s="1"/>
      <c r="AI53" s="1"/>
      <c r="AJ53" s="1"/>
    </row>
    <row r="54" spans="2:36" x14ac:dyDescent="0.25">
      <c r="G54" s="2"/>
      <c r="O54" s="2"/>
      <c r="AH54" s="1"/>
      <c r="AI54" s="1"/>
      <c r="AJ54" s="1"/>
    </row>
    <row r="55" spans="2:36" x14ac:dyDescent="0.25">
      <c r="E55" t="s">
        <v>26</v>
      </c>
      <c r="F55" s="19" t="s">
        <v>28</v>
      </c>
      <c r="G55" s="19"/>
      <c r="J55" t="s">
        <v>26</v>
      </c>
      <c r="K55" s="19" t="s">
        <v>28</v>
      </c>
      <c r="L55" s="19"/>
      <c r="O55" s="2"/>
      <c r="AH55" s="1"/>
      <c r="AI55" s="1"/>
      <c r="AJ55" s="1"/>
    </row>
    <row r="56" spans="2:36" x14ac:dyDescent="0.25">
      <c r="B56" s="2"/>
      <c r="E56" t="s">
        <v>31</v>
      </c>
      <c r="F56" s="4" t="s">
        <v>32</v>
      </c>
      <c r="G56" s="5" t="s">
        <v>33</v>
      </c>
      <c r="J56" t="s">
        <v>31</v>
      </c>
      <c r="K56" s="4" t="s">
        <v>32</v>
      </c>
      <c r="L56" s="5" t="s">
        <v>33</v>
      </c>
      <c r="O56" s="2"/>
      <c r="AH56" s="1"/>
      <c r="AI56" s="1"/>
      <c r="AJ56" s="1"/>
    </row>
    <row r="57" spans="2:36" x14ac:dyDescent="0.25">
      <c r="B57" s="8"/>
      <c r="D57" s="1" t="s">
        <v>36</v>
      </c>
      <c r="E57">
        <v>2.5259291966573819E-5</v>
      </c>
      <c r="F57">
        <v>2.5162826034217326E-5</v>
      </c>
      <c r="G57" s="2">
        <v>1.4395022274275469E-6</v>
      </c>
      <c r="I57" s="7" t="s">
        <v>80</v>
      </c>
      <c r="J57" t="e">
        <v>#N/A</v>
      </c>
      <c r="K57">
        <v>1.8097435106453549E-7</v>
      </c>
      <c r="L57" s="2">
        <v>1.1978034383614539E-8</v>
      </c>
      <c r="O57" s="2"/>
      <c r="AH57" s="1"/>
      <c r="AI57" s="1"/>
      <c r="AJ57" s="1"/>
    </row>
    <row r="58" spans="2:36" x14ac:dyDescent="0.25">
      <c r="D58" s="1" t="s">
        <v>39</v>
      </c>
      <c r="E58">
        <v>4.660422175208914E-5</v>
      </c>
      <c r="F58">
        <v>4.6433825013844236E-5</v>
      </c>
      <c r="G58" s="2">
        <v>2.3507037397174724E-6</v>
      </c>
      <c r="I58" s="7" t="s">
        <v>82</v>
      </c>
      <c r="J58">
        <v>6.4616793871866304E-6</v>
      </c>
      <c r="K58">
        <v>3.5759084072042163E-6</v>
      </c>
      <c r="L58" s="2">
        <v>1.2916281996437508E-7</v>
      </c>
      <c r="O58" s="2"/>
      <c r="AH58" s="1"/>
      <c r="AI58" s="1"/>
      <c r="AJ58" s="1"/>
    </row>
    <row r="59" spans="2:36" x14ac:dyDescent="0.25">
      <c r="D59" s="1" t="s">
        <v>42</v>
      </c>
      <c r="E59">
        <v>7.6879944596100283E-6</v>
      </c>
      <c r="F59">
        <v>7.6598852218989575E-6</v>
      </c>
      <c r="G59" s="2">
        <v>3.9789753763346777E-7</v>
      </c>
      <c r="I59" s="7" t="s">
        <v>84</v>
      </c>
      <c r="J59">
        <v>9.5833258969359343E-6</v>
      </c>
      <c r="K59">
        <v>5.5663918746149829E-6</v>
      </c>
      <c r="L59" s="2">
        <v>1.7642530523221079E-7</v>
      </c>
      <c r="O59" s="2"/>
      <c r="AH59" s="1"/>
      <c r="AI59" s="1"/>
      <c r="AJ59" s="1"/>
    </row>
    <row r="60" spans="2:36" x14ac:dyDescent="0.25">
      <c r="B60" s="2"/>
      <c r="D60" s="1" t="s">
        <v>45</v>
      </c>
      <c r="E60">
        <v>4.4019134016713098E-5</v>
      </c>
      <c r="F60">
        <v>4.3858189007422885E-5</v>
      </c>
      <c r="G60" s="2">
        <v>1.2956243276383541E-6</v>
      </c>
      <c r="I60" s="7" t="s">
        <v>108</v>
      </c>
      <c r="J60">
        <v>9.8792923676880224E-6</v>
      </c>
      <c r="K60">
        <v>5.7383014376990713E-6</v>
      </c>
      <c r="L60" s="2">
        <v>1.8013494312526211E-7</v>
      </c>
      <c r="O60" s="2"/>
      <c r="AH60" s="1"/>
      <c r="AI60" s="1"/>
      <c r="AJ60" s="1"/>
    </row>
    <row r="61" spans="2:36" x14ac:dyDescent="0.25">
      <c r="B61" s="8"/>
      <c r="D61" s="1" t="s">
        <v>48</v>
      </c>
      <c r="E61">
        <v>5.033527705292479E-5</v>
      </c>
      <c r="F61">
        <v>5.0151238638631813E-5</v>
      </c>
      <c r="G61" s="2">
        <v>5.1853664646378207E-6</v>
      </c>
      <c r="I61" s="7" t="s">
        <v>109</v>
      </c>
      <c r="J61">
        <v>2.4078290445682456E-6</v>
      </c>
      <c r="K61">
        <v>1.3985666534284624E-6</v>
      </c>
      <c r="L61" s="2">
        <v>6.3728941493019642E-8</v>
      </c>
      <c r="O61" s="2"/>
      <c r="AH61" s="1"/>
      <c r="AI61" s="1"/>
      <c r="AJ61" s="1"/>
    </row>
    <row r="62" spans="2:36" x14ac:dyDescent="0.25">
      <c r="D62" s="1" t="s">
        <v>51</v>
      </c>
      <c r="E62">
        <v>1.4681841002785515E-5</v>
      </c>
      <c r="F62">
        <v>1.4312035420422808E-5</v>
      </c>
      <c r="G62" s="2">
        <v>4.2566707209922493E-7</v>
      </c>
      <c r="I62" s="7" t="s">
        <v>110</v>
      </c>
      <c r="J62">
        <v>1.984177902506964E-5</v>
      </c>
      <c r="K62">
        <v>1.152492555789253E-5</v>
      </c>
      <c r="L62" s="2">
        <v>2.8246993037327416E-7</v>
      </c>
      <c r="O62" s="2"/>
      <c r="AH62" s="1"/>
      <c r="AI62" s="1"/>
      <c r="AJ62" s="1"/>
    </row>
    <row r="63" spans="2:36" x14ac:dyDescent="0.25">
      <c r="D63" s="1" t="s">
        <v>54</v>
      </c>
      <c r="E63">
        <v>2.1961948328690809E-6</v>
      </c>
      <c r="F63">
        <v>2.2023123677521908E-6</v>
      </c>
      <c r="G63" s="2">
        <v>9.5219307494572958E-8</v>
      </c>
      <c r="I63" s="7" t="s">
        <v>111</v>
      </c>
      <c r="J63">
        <v>3.917440644011142E-5</v>
      </c>
      <c r="K63">
        <v>2.2754114813120263E-5</v>
      </c>
      <c r="L63" s="2">
        <v>4.1030245570711589E-7</v>
      </c>
      <c r="O63" s="2"/>
      <c r="AH63" s="1"/>
      <c r="AI63" s="1"/>
      <c r="AJ63" s="1"/>
    </row>
    <row r="64" spans="2:36" x14ac:dyDescent="0.25">
      <c r="D64" s="1" t="s">
        <v>57</v>
      </c>
      <c r="E64">
        <v>2.2031688958217273E-4</v>
      </c>
      <c r="F64">
        <v>2.1983523171661431E-4</v>
      </c>
      <c r="G64" s="2">
        <v>8.0624462797256548E-6</v>
      </c>
      <c r="I64" s="10" t="s">
        <v>94</v>
      </c>
      <c r="J64">
        <v>6.7818216518105859E-6</v>
      </c>
      <c r="K64">
        <v>4.3083497000719311E-6</v>
      </c>
      <c r="L64" s="2">
        <v>1.4757599744892745E-7</v>
      </c>
      <c r="O64" s="2"/>
      <c r="AH64" s="1"/>
      <c r="AI64" s="1"/>
      <c r="AJ64" s="1"/>
    </row>
    <row r="65" spans="4:36" x14ac:dyDescent="0.25">
      <c r="D65" s="1" t="s">
        <v>60</v>
      </c>
      <c r="E65">
        <v>6.259399974094708E-5</v>
      </c>
      <c r="F65">
        <v>6.2457155101361755E-5</v>
      </c>
      <c r="G65" s="2">
        <v>1.2700185121069086E-6</v>
      </c>
      <c r="I65" s="10" t="s">
        <v>132</v>
      </c>
      <c r="J65">
        <v>4.2760793788300838E-6</v>
      </c>
      <c r="K65">
        <v>1.0337618847484315E-6</v>
      </c>
      <c r="L65" s="2">
        <v>5.0257579251254371E-8</v>
      </c>
      <c r="O65" s="2"/>
      <c r="AH65" s="1"/>
      <c r="AI65" s="1"/>
      <c r="AJ65" s="1"/>
    </row>
    <row r="66" spans="4:36" x14ac:dyDescent="0.25">
      <c r="D66" s="1" t="s">
        <v>63</v>
      </c>
      <c r="E66">
        <v>6.8310850740947078E-5</v>
      </c>
      <c r="F66">
        <v>6.8253223418885916E-5</v>
      </c>
      <c r="G66" s="2">
        <v>9.8903303303634984E-7</v>
      </c>
      <c r="I66" s="12" t="s">
        <v>129</v>
      </c>
      <c r="J66" s="2">
        <f>SUM(G32:G35)</f>
        <v>2.8438198362116993E-5</v>
      </c>
      <c r="K66" s="2">
        <f>SUM(O32:O35)</f>
        <v>1.7924064899633691E-5</v>
      </c>
      <c r="L66" s="2">
        <f>SUM(P32:P35)</f>
        <v>3.9855099360629118E-7</v>
      </c>
      <c r="O66" s="2"/>
      <c r="AH66" s="1"/>
      <c r="AI66" s="1"/>
      <c r="AJ66" s="1"/>
    </row>
    <row r="67" spans="4:36" x14ac:dyDescent="0.25">
      <c r="D67" s="1" t="s">
        <v>66</v>
      </c>
      <c r="E67">
        <v>1.1189895964066853E-4</v>
      </c>
      <c r="F67">
        <v>1.1180456120706036E-4</v>
      </c>
      <c r="G67" s="2">
        <v>4.2471286134047097E-6</v>
      </c>
      <c r="I67" s="1" t="s">
        <v>100</v>
      </c>
      <c r="J67" s="2">
        <f>SUM(G36:G42)</f>
        <v>0</v>
      </c>
      <c r="K67" s="2">
        <f>SUM(O36:O42)</f>
        <v>8.3250001618405446E-6</v>
      </c>
      <c r="L67" s="2">
        <f>SUM(P36:P42)</f>
        <v>3.6593133749968266E-7</v>
      </c>
      <c r="O67" s="2"/>
      <c r="AH67" s="1"/>
      <c r="AI67" s="1"/>
      <c r="AJ67" s="1"/>
    </row>
    <row r="68" spans="4:36" x14ac:dyDescent="0.25">
      <c r="D68" s="1" t="s">
        <v>69</v>
      </c>
      <c r="E68">
        <v>1.4812917530083566E-4</v>
      </c>
      <c r="F68">
        <v>1.4876930250187686E-4</v>
      </c>
      <c r="G68" s="2">
        <v>4.9882284513233268E-6</v>
      </c>
      <c r="I68" s="1"/>
      <c r="L68" s="2"/>
      <c r="O68" s="2"/>
      <c r="AH68" s="1"/>
      <c r="AI68" s="1"/>
      <c r="AJ68" s="1"/>
    </row>
    <row r="69" spans="4:36" x14ac:dyDescent="0.25">
      <c r="D69" s="1" t="s">
        <v>72</v>
      </c>
      <c r="E69">
        <v>1.9364301830362119E-4</v>
      </c>
      <c r="F69">
        <v>1.9293498422922166E-4</v>
      </c>
      <c r="G69" s="2">
        <v>3.3452024769860749E-6</v>
      </c>
      <c r="I69" s="1"/>
      <c r="L69" s="2"/>
      <c r="O69" s="2"/>
      <c r="AH69" s="1"/>
      <c r="AI69" s="1"/>
      <c r="AJ69" s="1"/>
    </row>
    <row r="70" spans="4:36" x14ac:dyDescent="0.25">
      <c r="D70" s="1" t="s">
        <v>75</v>
      </c>
      <c r="E70">
        <v>7.5750931983286903E-5</v>
      </c>
      <c r="F70" s="2">
        <v>7.5507071431189882E-5</v>
      </c>
      <c r="G70" s="2">
        <f>SUM(P20:P22)</f>
        <v>2.8129494821783982E-6</v>
      </c>
      <c r="I70" s="1">
        <f>SUM(J59:J63)</f>
        <v>8.0886632774373262E-5</v>
      </c>
      <c r="K70" s="2">
        <f>SUM(K57:K58)</f>
        <v>3.7568827582687516E-6</v>
      </c>
      <c r="L70" s="2">
        <f>SUM(L57:L58)</f>
        <v>1.4114085434798962E-7</v>
      </c>
      <c r="O70" s="2"/>
      <c r="AH70" s="1"/>
      <c r="AI70" s="1"/>
      <c r="AJ70" s="1"/>
    </row>
    <row r="71" spans="4:36" x14ac:dyDescent="0.25">
      <c r="G71" s="2"/>
      <c r="K71">
        <f>SUM(K59:K63)</f>
        <v>4.6982300336755308E-5</v>
      </c>
      <c r="L71">
        <f>SUM(L59:L63)</f>
        <v>1.1130615759308825E-6</v>
      </c>
      <c r="O71" s="2"/>
      <c r="AH71" s="1"/>
      <c r="AI71" s="1"/>
      <c r="AJ71" s="1"/>
    </row>
    <row r="72" spans="4:36" x14ac:dyDescent="0.25">
      <c r="G72" s="2"/>
      <c r="O72" s="2"/>
      <c r="AH72" s="1"/>
      <c r="AI72" s="1"/>
      <c r="AJ72" s="1"/>
    </row>
    <row r="73" spans="4:36" x14ac:dyDescent="0.25">
      <c r="G73" s="2"/>
      <c r="O73" s="2"/>
      <c r="AH73" s="1"/>
      <c r="AI73" s="1"/>
      <c r="AJ73" s="1"/>
    </row>
    <row r="74" spans="4:36" x14ac:dyDescent="0.25">
      <c r="G74" s="2"/>
      <c r="O74" s="2"/>
      <c r="AH74" s="1"/>
      <c r="AI74" s="1"/>
      <c r="AJ74" s="1"/>
    </row>
    <row r="75" spans="4:36" x14ac:dyDescent="0.25">
      <c r="G75" s="2"/>
      <c r="O75" s="2"/>
      <c r="AH75" s="1"/>
      <c r="AI75" s="1"/>
      <c r="AJ75" s="1"/>
    </row>
    <row r="76" spans="4:36" x14ac:dyDescent="0.25">
      <c r="G76" s="2"/>
      <c r="O76" s="2"/>
      <c r="AH76" s="1"/>
      <c r="AI76" s="1"/>
      <c r="AJ76" s="1"/>
    </row>
    <row r="77" spans="4:36" x14ac:dyDescent="0.25">
      <c r="G77" s="2"/>
      <c r="O77" s="2"/>
      <c r="AH77" s="1"/>
      <c r="AI77" s="1"/>
      <c r="AJ77" s="1"/>
    </row>
    <row r="78" spans="4:36" x14ac:dyDescent="0.25">
      <c r="G78" s="2"/>
      <c r="O78" s="2"/>
      <c r="AH78" s="1"/>
      <c r="AI78" s="1"/>
      <c r="AJ78" s="1"/>
    </row>
    <row r="79" spans="4:36" x14ac:dyDescent="0.25">
      <c r="G79" s="2"/>
      <c r="O79" s="2"/>
      <c r="AH79" s="1"/>
      <c r="AI79" s="1"/>
      <c r="AJ79" s="1"/>
    </row>
    <row r="80" spans="4:36" x14ac:dyDescent="0.25">
      <c r="G80" s="2"/>
      <c r="O80" s="2"/>
      <c r="AH80" s="1"/>
      <c r="AI80" s="1"/>
      <c r="AJ80" s="1"/>
    </row>
    <row r="81" spans="7:36" x14ac:dyDescent="0.25">
      <c r="G81" s="2"/>
      <c r="O81" s="2"/>
      <c r="AH81" s="1"/>
      <c r="AI81" s="1"/>
      <c r="AJ81" s="1"/>
    </row>
    <row r="82" spans="7:36" x14ac:dyDescent="0.25">
      <c r="G82" s="2"/>
      <c r="O82" s="2"/>
      <c r="AH82" s="1"/>
      <c r="AI82" s="1"/>
      <c r="AJ82" s="1"/>
    </row>
    <row r="83" spans="7:36" x14ac:dyDescent="0.25">
      <c r="G83" s="2"/>
      <c r="O83" s="2"/>
      <c r="AH83" s="1"/>
      <c r="AI83" s="1"/>
      <c r="AJ83" s="1"/>
    </row>
    <row r="84" spans="7:36" x14ac:dyDescent="0.25">
      <c r="G84" s="2"/>
      <c r="O84" s="2"/>
      <c r="AH84" s="1"/>
      <c r="AI84" s="1"/>
      <c r="AJ84" s="1"/>
    </row>
    <row r="85" spans="7:36" x14ac:dyDescent="0.25">
      <c r="G85" s="2"/>
      <c r="O85" s="2"/>
      <c r="AH85" s="1"/>
      <c r="AI85" s="1"/>
      <c r="AJ85" s="1"/>
    </row>
    <row r="86" spans="7:36" x14ac:dyDescent="0.25">
      <c r="G86" s="2"/>
      <c r="O86" s="2"/>
    </row>
    <row r="87" spans="7:36" x14ac:dyDescent="0.25">
      <c r="G87" s="2"/>
      <c r="O87" s="2"/>
    </row>
    <row r="88" spans="7:36" x14ac:dyDescent="0.25">
      <c r="G88" s="2"/>
      <c r="O88" s="2"/>
    </row>
    <row r="89" spans="7:36" x14ac:dyDescent="0.25">
      <c r="G89" s="2"/>
      <c r="O89" s="2"/>
    </row>
    <row r="90" spans="7:36" x14ac:dyDescent="0.25">
      <c r="G90" s="2"/>
      <c r="O90" s="2"/>
    </row>
    <row r="91" spans="7:36" x14ac:dyDescent="0.25">
      <c r="G91" s="2"/>
      <c r="O91" s="2"/>
    </row>
    <row r="92" spans="7:36" x14ac:dyDescent="0.25">
      <c r="G92" s="2"/>
      <c r="O92" s="2"/>
    </row>
    <row r="93" spans="7:36" x14ac:dyDescent="0.25">
      <c r="G93" s="2"/>
      <c r="O93" s="2"/>
    </row>
    <row r="94" spans="7:36" x14ac:dyDescent="0.25">
      <c r="G94" s="2"/>
      <c r="O94" s="2"/>
    </row>
    <row r="95" spans="7:36" x14ac:dyDescent="0.25">
      <c r="G95" s="2"/>
      <c r="O95" s="2"/>
    </row>
    <row r="96" spans="7:36" x14ac:dyDescent="0.25">
      <c r="G96" s="2"/>
      <c r="O96" s="2"/>
    </row>
    <row r="97" spans="7:15" x14ac:dyDescent="0.25">
      <c r="G97" s="2"/>
      <c r="O97" s="2"/>
    </row>
    <row r="98" spans="7:15" x14ac:dyDescent="0.25">
      <c r="G98" s="2"/>
      <c r="O98" s="2"/>
    </row>
    <row r="99" spans="7:15" x14ac:dyDescent="0.25">
      <c r="G99" s="2"/>
      <c r="O99" s="2"/>
    </row>
    <row r="100" spans="7:15" x14ac:dyDescent="0.25">
      <c r="G100" s="2"/>
      <c r="O100" s="2"/>
    </row>
  </sheetData>
  <mergeCells count="5">
    <mergeCell ref="I5:J5"/>
    <mergeCell ref="L5:M5"/>
    <mergeCell ref="O5:P5"/>
    <mergeCell ref="F55:G55"/>
    <mergeCell ref="K55:L5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898C1-4972-8241-B8B1-FBA88733DA91}">
  <dimension ref="A1:AJ82"/>
  <sheetViews>
    <sheetView zoomScale="50" workbookViewId="0">
      <selection activeCell="I7" sqref="I7"/>
    </sheetView>
  </sheetViews>
  <sheetFormatPr defaultColWidth="11.42578125" defaultRowHeight="15" x14ac:dyDescent="0.25"/>
  <sheetData>
    <row r="1" spans="1:36" x14ac:dyDescent="0.25">
      <c r="B1" t="s">
        <v>22</v>
      </c>
      <c r="C1" s="1" t="s">
        <v>23</v>
      </c>
      <c r="D1" s="1"/>
      <c r="E1" s="1"/>
      <c r="G1" s="2"/>
      <c r="O1" s="2"/>
      <c r="AH1" s="1"/>
      <c r="AI1" s="1"/>
      <c r="AJ1" s="1"/>
    </row>
    <row r="2" spans="1:36" x14ac:dyDescent="0.25">
      <c r="B2" t="s">
        <v>127</v>
      </c>
      <c r="C2" s="1" t="s">
        <v>24</v>
      </c>
      <c r="D2" s="1"/>
      <c r="E2" s="1"/>
      <c r="G2" s="2"/>
      <c r="O2" s="2"/>
      <c r="AH2" s="1"/>
      <c r="AI2" s="1"/>
      <c r="AJ2" s="1"/>
    </row>
    <row r="3" spans="1:36" x14ac:dyDescent="0.25">
      <c r="B3" s="1"/>
      <c r="C3" s="1"/>
      <c r="D3" s="1"/>
      <c r="E3" s="1"/>
      <c r="G3" s="2"/>
      <c r="O3" s="2"/>
      <c r="AH3" s="1"/>
      <c r="AI3" s="1"/>
      <c r="AJ3" s="1"/>
    </row>
    <row r="4" spans="1:36" x14ac:dyDescent="0.25">
      <c r="B4" s="1"/>
      <c r="C4" s="1"/>
      <c r="D4" s="1"/>
      <c r="E4" s="1"/>
      <c r="G4" s="2"/>
      <c r="O4" s="2"/>
      <c r="AH4" s="1"/>
      <c r="AI4" s="1"/>
      <c r="AJ4" s="1"/>
    </row>
    <row r="5" spans="1:36" x14ac:dyDescent="0.25">
      <c r="B5" s="1"/>
      <c r="C5" s="1"/>
      <c r="D5" s="1"/>
      <c r="E5" s="1"/>
      <c r="F5" t="s">
        <v>25</v>
      </c>
      <c r="G5" s="3" t="s">
        <v>26</v>
      </c>
      <c r="I5" s="18"/>
      <c r="J5" s="18"/>
      <c r="L5" s="18" t="s">
        <v>27</v>
      </c>
      <c r="M5" s="18"/>
      <c r="O5" s="19" t="s">
        <v>28</v>
      </c>
      <c r="P5" s="19"/>
      <c r="AH5" s="1"/>
      <c r="AI5" s="1"/>
      <c r="AJ5" s="1"/>
    </row>
    <row r="6" spans="1:36" x14ac:dyDescent="0.25">
      <c r="A6" t="s">
        <v>29</v>
      </c>
      <c r="B6" s="1"/>
      <c r="C6" s="1"/>
      <c r="D6" s="1"/>
      <c r="E6" s="1"/>
      <c r="F6" s="1" t="s">
        <v>30</v>
      </c>
      <c r="G6" s="3" t="s">
        <v>31</v>
      </c>
      <c r="L6" t="s">
        <v>32</v>
      </c>
      <c r="M6" t="s">
        <v>33</v>
      </c>
      <c r="O6" s="4" t="s">
        <v>32</v>
      </c>
      <c r="P6" s="5" t="s">
        <v>33</v>
      </c>
      <c r="AH6" s="1"/>
      <c r="AI6" s="1"/>
      <c r="AJ6" s="1"/>
    </row>
    <row r="7" spans="1:36" x14ac:dyDescent="0.25">
      <c r="A7">
        <v>34.896999999999998</v>
      </c>
      <c r="B7" s="6" t="s">
        <v>34</v>
      </c>
      <c r="C7" s="7" t="s">
        <v>35</v>
      </c>
      <c r="D7" s="1" t="s">
        <v>36</v>
      </c>
      <c r="E7" s="1"/>
      <c r="F7" s="1">
        <v>9.0680858160000007E-6</v>
      </c>
      <c r="G7" s="3">
        <f>F7/ 0.359</f>
        <v>2.5259291966573819E-5</v>
      </c>
      <c r="K7" s="6" t="s">
        <v>34</v>
      </c>
      <c r="L7">
        <v>8.7810714011608197E-4</v>
      </c>
      <c r="M7">
        <v>5.0234309230539104E-5</v>
      </c>
      <c r="O7" s="4">
        <f>L7/A7</f>
        <v>2.5162826034217326E-5</v>
      </c>
      <c r="P7" s="5">
        <f>M7/A7</f>
        <v>1.4395022274275469E-6</v>
      </c>
      <c r="AH7" s="1"/>
      <c r="AI7" s="1"/>
      <c r="AJ7" s="1"/>
    </row>
    <row r="8" spans="1:36" x14ac:dyDescent="0.25">
      <c r="A8">
        <v>53.859000000000002</v>
      </c>
      <c r="B8" s="6" t="s">
        <v>37</v>
      </c>
      <c r="C8" s="7" t="s">
        <v>38</v>
      </c>
      <c r="D8" s="1" t="s">
        <v>39</v>
      </c>
      <c r="E8" s="1"/>
      <c r="F8" s="1">
        <v>1.6730915609E-5</v>
      </c>
      <c r="G8" s="3">
        <f t="shared" ref="G8:G42" si="0">F8/ 0.359</f>
        <v>4.660422175208914E-5</v>
      </c>
      <c r="K8" s="6" t="s">
        <v>37</v>
      </c>
      <c r="L8">
        <v>2.500879381420637E-3</v>
      </c>
      <c r="M8">
        <v>1.2660655271744335E-4</v>
      </c>
      <c r="O8" s="4">
        <f t="shared" ref="O8:O28" si="1">L8/A8</f>
        <v>4.6433825013844236E-5</v>
      </c>
      <c r="P8" s="5">
        <f t="shared" ref="P8:P42" si="2">M8/A8</f>
        <v>2.3507037397174724E-6</v>
      </c>
      <c r="AH8" s="1"/>
      <c r="AI8" s="1"/>
      <c r="AJ8" s="1"/>
    </row>
    <row r="9" spans="1:36" x14ac:dyDescent="0.25">
      <c r="A9">
        <v>25.530999999999999</v>
      </c>
      <c r="B9" s="6" t="s">
        <v>40</v>
      </c>
      <c r="C9" s="7" t="s">
        <v>41</v>
      </c>
      <c r="D9" s="1" t="s">
        <v>42</v>
      </c>
      <c r="E9" s="1"/>
      <c r="F9" s="1">
        <v>2.7599900110000001E-6</v>
      </c>
      <c r="G9" s="3">
        <f t="shared" si="0"/>
        <v>7.6879944596100283E-6</v>
      </c>
      <c r="K9" s="6" t="s">
        <v>40</v>
      </c>
      <c r="L9">
        <v>1.9556452960030229E-4</v>
      </c>
      <c r="M9">
        <v>1.0158722033320065E-5</v>
      </c>
      <c r="O9" s="4">
        <f t="shared" si="1"/>
        <v>7.6598852218989575E-6</v>
      </c>
      <c r="P9" s="5">
        <f t="shared" si="2"/>
        <v>3.9789753763346777E-7</v>
      </c>
      <c r="AH9" s="1"/>
      <c r="AI9" s="1"/>
      <c r="AJ9" s="1"/>
    </row>
    <row r="10" spans="1:36" x14ac:dyDescent="0.25">
      <c r="A10">
        <v>65.391999999999996</v>
      </c>
      <c r="B10" s="6" t="s">
        <v>43</v>
      </c>
      <c r="C10" s="7" t="s">
        <v>44</v>
      </c>
      <c r="D10" s="1" t="s">
        <v>45</v>
      </c>
      <c r="E10" s="1"/>
      <c r="F10" s="1">
        <v>1.5802869112000001E-5</v>
      </c>
      <c r="G10" s="3">
        <f t="shared" si="0"/>
        <v>4.4019134016713098E-5</v>
      </c>
      <c r="K10" s="6" t="s">
        <v>43</v>
      </c>
      <c r="L10">
        <v>2.8679746955733972E-3</v>
      </c>
      <c r="M10">
        <v>8.472346603292725E-5</v>
      </c>
      <c r="O10" s="4">
        <f t="shared" si="1"/>
        <v>4.3858189007422885E-5</v>
      </c>
      <c r="P10" s="5">
        <f t="shared" si="2"/>
        <v>1.2956243276383541E-6</v>
      </c>
      <c r="AH10" s="1"/>
      <c r="AI10" s="1"/>
      <c r="AJ10" s="1"/>
    </row>
    <row r="11" spans="1:36" x14ac:dyDescent="0.25">
      <c r="A11">
        <v>21.504999999999999</v>
      </c>
      <c r="B11" s="6" t="s">
        <v>46</v>
      </c>
      <c r="C11" s="7" t="s">
        <v>47</v>
      </c>
      <c r="D11" s="1" t="s">
        <v>48</v>
      </c>
      <c r="E11" s="1"/>
      <c r="F11" s="1">
        <v>1.8070364462E-5</v>
      </c>
      <c r="G11" s="3">
        <f t="shared" si="0"/>
        <v>5.033527705292479E-5</v>
      </c>
      <c r="K11" s="6" t="s">
        <v>46</v>
      </c>
      <c r="L11">
        <v>1.0785023869237772E-3</v>
      </c>
      <c r="M11">
        <v>1.1151130582203634E-4</v>
      </c>
      <c r="O11" s="4">
        <f t="shared" si="1"/>
        <v>5.0151238638631813E-5</v>
      </c>
      <c r="P11" s="5">
        <f t="shared" si="2"/>
        <v>5.1853664646378207E-6</v>
      </c>
      <c r="AH11" s="1"/>
      <c r="AI11" s="1"/>
      <c r="AJ11" s="1"/>
    </row>
    <row r="12" spans="1:36" x14ac:dyDescent="0.25">
      <c r="A12">
        <v>55.399000000000001</v>
      </c>
      <c r="B12" s="6" t="s">
        <v>49</v>
      </c>
      <c r="C12" s="7" t="s">
        <v>50</v>
      </c>
      <c r="D12" s="1" t="s">
        <v>51</v>
      </c>
      <c r="E12" s="1"/>
      <c r="F12" s="1">
        <v>5.2707809199999998E-6</v>
      </c>
      <c r="G12" s="3">
        <f t="shared" si="0"/>
        <v>1.4681841002785515E-5</v>
      </c>
      <c r="K12" s="6" t="s">
        <v>49</v>
      </c>
      <c r="L12">
        <v>7.9287245025600318E-4</v>
      </c>
      <c r="M12">
        <v>2.3581530127224962E-5</v>
      </c>
      <c r="O12" s="4">
        <f t="shared" si="1"/>
        <v>1.4312035420422808E-5</v>
      </c>
      <c r="P12" s="5">
        <f t="shared" si="2"/>
        <v>4.2566707209922493E-7</v>
      </c>
      <c r="AH12" s="1"/>
      <c r="AI12" s="1"/>
      <c r="AJ12" s="1"/>
    </row>
    <row r="13" spans="1:36" x14ac:dyDescent="0.25">
      <c r="A13">
        <v>26.266999999999999</v>
      </c>
      <c r="B13" s="6" t="s">
        <v>52</v>
      </c>
      <c r="C13" s="7" t="s">
        <v>53</v>
      </c>
      <c r="D13" s="1" t="s">
        <v>54</v>
      </c>
      <c r="E13" s="1"/>
      <c r="F13" s="1">
        <v>7.8843394500000004E-7</v>
      </c>
      <c r="G13" s="3">
        <f t="shared" si="0"/>
        <v>2.1961948328690809E-6</v>
      </c>
      <c r="K13" s="6" t="s">
        <v>52</v>
      </c>
      <c r="L13">
        <v>5.7848138963746799E-5</v>
      </c>
      <c r="M13">
        <v>2.5011255499599478E-6</v>
      </c>
      <c r="O13" s="4">
        <f t="shared" si="1"/>
        <v>2.2023123677521908E-6</v>
      </c>
      <c r="P13" s="5">
        <f t="shared" si="2"/>
        <v>9.5219307494572958E-8</v>
      </c>
      <c r="AH13" s="1"/>
      <c r="AI13" s="1"/>
      <c r="AJ13" s="1"/>
    </row>
    <row r="14" spans="1:36" x14ac:dyDescent="0.25">
      <c r="A14">
        <v>36.101999999999997</v>
      </c>
      <c r="B14" s="6" t="s">
        <v>55</v>
      </c>
      <c r="C14" s="7" t="s">
        <v>56</v>
      </c>
      <c r="D14" s="1" t="s">
        <v>57</v>
      </c>
      <c r="E14" s="1"/>
      <c r="F14" s="1">
        <v>7.9093763360000004E-5</v>
      </c>
      <c r="G14" s="3">
        <f t="shared" si="0"/>
        <v>2.2031688958217273E-4</v>
      </c>
      <c r="K14" s="6" t="s">
        <v>55</v>
      </c>
      <c r="L14">
        <v>7.9364915354332086E-3</v>
      </c>
      <c r="M14">
        <v>2.9107043559065555E-4</v>
      </c>
      <c r="O14" s="4">
        <f t="shared" si="1"/>
        <v>2.1983523171661431E-4</v>
      </c>
      <c r="P14" s="5">
        <f t="shared" si="2"/>
        <v>8.0624462797256548E-6</v>
      </c>
      <c r="AH14" s="1"/>
      <c r="AI14" s="1"/>
      <c r="AJ14" s="1"/>
    </row>
    <row r="15" spans="1:36" x14ac:dyDescent="0.25">
      <c r="A15">
        <v>41.387999999999998</v>
      </c>
      <c r="B15" s="6" t="s">
        <v>58</v>
      </c>
      <c r="C15" s="7" t="s">
        <v>59</v>
      </c>
      <c r="D15" s="1" t="s">
        <v>60</v>
      </c>
      <c r="E15" s="1"/>
      <c r="F15" s="1">
        <v>2.2471245906999999E-5</v>
      </c>
      <c r="G15" s="3">
        <f t="shared" si="0"/>
        <v>6.259399974094708E-5</v>
      </c>
      <c r="K15" s="6" t="s">
        <v>58</v>
      </c>
      <c r="L15">
        <v>2.5849767353351601E-3</v>
      </c>
      <c r="M15">
        <v>5.2563526179080733E-5</v>
      </c>
      <c r="O15" s="4">
        <f t="shared" si="1"/>
        <v>6.2457155101361755E-5</v>
      </c>
      <c r="P15" s="5">
        <f t="shared" si="2"/>
        <v>1.2700185121069086E-6</v>
      </c>
      <c r="AH15" s="1"/>
      <c r="AI15" s="1"/>
      <c r="AJ15" s="1"/>
    </row>
    <row r="16" spans="1:36" x14ac:dyDescent="0.25">
      <c r="A16">
        <v>25.937999999999999</v>
      </c>
      <c r="B16" s="6" t="s">
        <v>61</v>
      </c>
      <c r="C16" s="7" t="s">
        <v>62</v>
      </c>
      <c r="D16" s="1" t="s">
        <v>63</v>
      </c>
      <c r="E16" s="1"/>
      <c r="F16" s="1">
        <v>2.4523595416000001E-5</v>
      </c>
      <c r="G16" s="3">
        <f t="shared" si="0"/>
        <v>6.8310850740947078E-5</v>
      </c>
      <c r="K16" s="6" t="s">
        <v>61</v>
      </c>
      <c r="L16">
        <v>1.7703521090390627E-3</v>
      </c>
      <c r="M16">
        <v>2.5653538810896839E-5</v>
      </c>
      <c r="O16" s="4">
        <f t="shared" si="1"/>
        <v>6.8253223418885916E-5</v>
      </c>
      <c r="P16" s="5">
        <f t="shared" si="2"/>
        <v>9.8903303303634984E-7</v>
      </c>
      <c r="AH16" s="1"/>
      <c r="AI16" s="1"/>
      <c r="AJ16" s="1"/>
    </row>
    <row r="17" spans="1:36" x14ac:dyDescent="0.25">
      <c r="A17">
        <v>45.743000000000002</v>
      </c>
      <c r="B17" s="6" t="s">
        <v>64</v>
      </c>
      <c r="C17" s="7" t="s">
        <v>65</v>
      </c>
      <c r="D17" s="1" t="s">
        <v>66</v>
      </c>
      <c r="E17" s="1"/>
      <c r="F17" s="1">
        <v>4.0171726511E-5</v>
      </c>
      <c r="G17" s="3">
        <f t="shared" si="0"/>
        <v>1.1189895964066853E-4</v>
      </c>
      <c r="K17" s="6" t="s">
        <v>64</v>
      </c>
      <c r="L17">
        <v>5.1142760432945624E-3</v>
      </c>
      <c r="M17">
        <v>1.9427640416297163E-4</v>
      </c>
      <c r="O17" s="4">
        <f t="shared" si="1"/>
        <v>1.1180456120706036E-4</v>
      </c>
      <c r="P17" s="5">
        <f t="shared" si="2"/>
        <v>4.2471286134047097E-6</v>
      </c>
      <c r="AH17" s="1"/>
      <c r="AI17" s="1"/>
      <c r="AJ17" s="1"/>
    </row>
    <row r="18" spans="1:36" x14ac:dyDescent="0.25">
      <c r="A18">
        <v>51.445</v>
      </c>
      <c r="B18" s="6" t="s">
        <v>67</v>
      </c>
      <c r="C18" s="7" t="s">
        <v>68</v>
      </c>
      <c r="D18" s="1" t="s">
        <v>69</v>
      </c>
      <c r="E18" s="1"/>
      <c r="F18" s="1">
        <v>5.3178373933E-5</v>
      </c>
      <c r="G18" s="3">
        <f t="shared" si="0"/>
        <v>1.4812917530083566E-4</v>
      </c>
      <c r="K18" s="6" t="s">
        <v>67</v>
      </c>
      <c r="L18">
        <v>7.6534367672090545E-3</v>
      </c>
      <c r="M18">
        <v>2.5661941267832855E-4</v>
      </c>
      <c r="O18" s="4">
        <f t="shared" si="1"/>
        <v>1.4876930250187686E-4</v>
      </c>
      <c r="P18" s="5">
        <f t="shared" si="2"/>
        <v>4.9882284513233268E-6</v>
      </c>
      <c r="AH18" s="1"/>
      <c r="AI18" s="1"/>
      <c r="AJ18" s="1"/>
    </row>
    <row r="19" spans="1:36" x14ac:dyDescent="0.25">
      <c r="A19">
        <v>60.926000000000002</v>
      </c>
      <c r="B19" s="6" t="s">
        <v>70</v>
      </c>
      <c r="C19" s="7" t="s">
        <v>71</v>
      </c>
      <c r="D19" s="1" t="s">
        <v>72</v>
      </c>
      <c r="E19" s="1"/>
      <c r="F19" s="1">
        <v>6.9517843571000005E-5</v>
      </c>
      <c r="G19" s="3">
        <f t="shared" si="0"/>
        <v>1.9364301830362119E-4</v>
      </c>
      <c r="K19" s="6" t="s">
        <v>70</v>
      </c>
      <c r="L19">
        <v>1.175475684914956E-2</v>
      </c>
      <c r="M19">
        <v>2.0380980611285361E-4</v>
      </c>
      <c r="O19" s="4">
        <f t="shared" si="1"/>
        <v>1.9293498422922166E-4</v>
      </c>
      <c r="P19" s="5">
        <f t="shared" si="2"/>
        <v>3.3452024769860749E-6</v>
      </c>
      <c r="AH19" s="1"/>
      <c r="AI19" s="1"/>
      <c r="AJ19" s="1"/>
    </row>
    <row r="20" spans="1:36" x14ac:dyDescent="0.25">
      <c r="A20">
        <v>36.122</v>
      </c>
      <c r="B20" s="6" t="s">
        <v>73</v>
      </c>
      <c r="C20" s="7" t="s">
        <v>74</v>
      </c>
      <c r="D20" s="1" t="s">
        <v>75</v>
      </c>
      <c r="E20" s="1"/>
      <c r="F20" s="1">
        <v>2.7194584581999999E-5</v>
      </c>
      <c r="G20" s="3">
        <f t="shared" si="0"/>
        <v>7.5750931983286903E-5</v>
      </c>
      <c r="K20" s="6" t="s">
        <v>73</v>
      </c>
      <c r="L20">
        <v>1.1882986526484123E-4</v>
      </c>
      <c r="M20">
        <v>7.0063939146987032E-6</v>
      </c>
      <c r="O20" s="4">
        <f t="shared" si="1"/>
        <v>3.2896812265334485E-6</v>
      </c>
      <c r="P20" s="5">
        <f t="shared" si="2"/>
        <v>1.9396472827359235E-7</v>
      </c>
      <c r="AH20" s="1"/>
      <c r="AI20" s="1"/>
      <c r="AJ20" s="1"/>
    </row>
    <row r="21" spans="1:36" x14ac:dyDescent="0.25">
      <c r="A21">
        <v>40.145000000000003</v>
      </c>
      <c r="B21" s="6" t="s">
        <v>76</v>
      </c>
      <c r="C21" s="7" t="s">
        <v>77</v>
      </c>
      <c r="D21" s="1"/>
      <c r="E21" s="1"/>
      <c r="F21" s="1" t="e">
        <v>#N/A</v>
      </c>
      <c r="G21" s="3" t="e">
        <f t="shared" si="0"/>
        <v>#N/A</v>
      </c>
      <c r="K21" s="6" t="s">
        <v>76</v>
      </c>
      <c r="L21">
        <v>2.8991671297659326E-3</v>
      </c>
      <c r="M21">
        <v>1.0513914294550844E-4</v>
      </c>
      <c r="O21" s="4">
        <f t="shared" si="1"/>
        <v>7.2217390204656431E-5</v>
      </c>
      <c r="P21" s="5">
        <f t="shared" si="2"/>
        <v>2.618984753904806E-6</v>
      </c>
      <c r="AH21" s="1"/>
      <c r="AI21" s="1"/>
      <c r="AJ21" s="1"/>
    </row>
    <row r="22" spans="1:36" x14ac:dyDescent="0.25">
      <c r="A22">
        <v>39.582999999999998</v>
      </c>
      <c r="B22" s="6" t="s">
        <v>78</v>
      </c>
      <c r="C22" s="7" t="s">
        <v>77</v>
      </c>
      <c r="D22" s="1"/>
      <c r="E22" s="1"/>
      <c r="F22" s="1" t="e">
        <v>#N/A</v>
      </c>
      <c r="G22" s="3" t="e">
        <f t="shared" si="0"/>
        <v>#N/A</v>
      </c>
      <c r="K22" s="6" t="s">
        <v>78</v>
      </c>
      <c r="L22">
        <v>1.3158698642703933E-4</v>
      </c>
      <c r="M22">
        <v>4.84926914892894E-6</v>
      </c>
      <c r="O22" s="4">
        <f t="shared" si="1"/>
        <v>3.324330809363599E-6</v>
      </c>
      <c r="P22" s="5">
        <f t="shared" si="2"/>
        <v>1.2250888383722658E-7</v>
      </c>
      <c r="AH22" s="1"/>
      <c r="AI22" s="1"/>
      <c r="AJ22" s="1"/>
    </row>
    <row r="23" spans="1:36" x14ac:dyDescent="0.25">
      <c r="A23">
        <v>70.307000000000002</v>
      </c>
      <c r="B23" s="6" t="s">
        <v>79</v>
      </c>
      <c r="C23" s="7" t="s">
        <v>80</v>
      </c>
      <c r="D23" s="1"/>
      <c r="E23" s="1"/>
      <c r="F23" s="1" t="e">
        <v>#N/A</v>
      </c>
      <c r="G23" s="3" t="e">
        <f t="shared" si="0"/>
        <v>#N/A</v>
      </c>
      <c r="H23" s="8" t="e">
        <f>(O23-G23)/O23</f>
        <v>#N/A</v>
      </c>
      <c r="K23" s="6" t="s">
        <v>79</v>
      </c>
      <c r="L23">
        <v>1.2723763700294297E-5</v>
      </c>
      <c r="M23">
        <v>8.4213966340878746E-7</v>
      </c>
      <c r="O23" s="4">
        <f t="shared" si="1"/>
        <v>1.8097435106453549E-7</v>
      </c>
      <c r="P23" s="5">
        <f t="shared" si="2"/>
        <v>1.1978034383614539E-8</v>
      </c>
      <c r="AH23" s="1"/>
      <c r="AI23" s="1"/>
      <c r="AJ23" s="1"/>
    </row>
    <row r="24" spans="1:36" x14ac:dyDescent="0.25">
      <c r="A24">
        <v>70.513999999999996</v>
      </c>
      <c r="B24" s="6" t="s">
        <v>81</v>
      </c>
      <c r="C24" s="7" t="s">
        <v>82</v>
      </c>
      <c r="D24" s="1"/>
      <c r="E24" s="1"/>
      <c r="F24" s="1">
        <v>2.3197429000000002E-6</v>
      </c>
      <c r="G24" s="3">
        <f t="shared" si="0"/>
        <v>6.4616793871866304E-6</v>
      </c>
      <c r="H24" s="8">
        <f>(SUM(O23:O24)-G24)/SUM(O23:O24)</f>
        <v>-0.71995768911465963</v>
      </c>
      <c r="I24" s="8">
        <f>G24/(SUM(O23:O24))</f>
        <v>1.7199576891146595</v>
      </c>
      <c r="K24" s="6" t="s">
        <v>81</v>
      </c>
      <c r="L24">
        <v>2.521516054255981E-4</v>
      </c>
      <c r="M24">
        <v>9.1077870869679429E-6</v>
      </c>
      <c r="O24" s="4">
        <f t="shared" si="1"/>
        <v>3.5759084072042163E-6</v>
      </c>
      <c r="P24" s="5">
        <f t="shared" si="2"/>
        <v>1.2916281996437508E-7</v>
      </c>
      <c r="AH24" s="1"/>
      <c r="AI24" s="1"/>
      <c r="AJ24" s="1"/>
    </row>
    <row r="25" spans="1:36" x14ac:dyDescent="0.25">
      <c r="A25">
        <v>41.857999999999997</v>
      </c>
      <c r="B25" s="6" t="s">
        <v>83</v>
      </c>
      <c r="C25" s="7" t="s">
        <v>84</v>
      </c>
      <c r="D25" s="1"/>
      <c r="E25" s="1"/>
      <c r="F25" s="1">
        <v>3.440413997E-6</v>
      </c>
      <c r="G25" s="3">
        <f t="shared" si="0"/>
        <v>9.5833258969359343E-6</v>
      </c>
      <c r="H25" s="8">
        <f t="shared" ref="H25:H35" si="3">(O25-G25)/O25</f>
        <v>-0.72164053713857423</v>
      </c>
      <c r="I25" s="8">
        <f t="shared" ref="I25:I35" si="4">G25/O25</f>
        <v>1.7216405371385741</v>
      </c>
      <c r="K25" s="6" t="s">
        <v>83</v>
      </c>
      <c r="L25">
        <v>2.3299803108763395E-4</v>
      </c>
      <c r="M25">
        <v>7.3848104264098787E-6</v>
      </c>
      <c r="O25" s="4">
        <f t="shared" si="1"/>
        <v>5.5663918746149829E-6</v>
      </c>
      <c r="P25" s="5">
        <f t="shared" si="2"/>
        <v>1.7642530523221079E-7</v>
      </c>
      <c r="AH25" s="1"/>
      <c r="AI25" s="1"/>
      <c r="AJ25" s="1"/>
    </row>
    <row r="26" spans="1:36" x14ac:dyDescent="0.25">
      <c r="A26">
        <v>41.369</v>
      </c>
      <c r="B26" s="6" t="s">
        <v>85</v>
      </c>
      <c r="C26" s="7" t="s">
        <v>86</v>
      </c>
      <c r="D26" s="1"/>
      <c r="E26" s="1"/>
      <c r="F26" s="1">
        <v>3.54666596E-6</v>
      </c>
      <c r="G26" s="3">
        <f t="shared" si="0"/>
        <v>9.8792923676880224E-6</v>
      </c>
      <c r="H26" s="8">
        <f t="shared" si="3"/>
        <v>-0.72164053682920404</v>
      </c>
      <c r="I26" s="8">
        <f t="shared" si="4"/>
        <v>1.721640536829204</v>
      </c>
      <c r="K26" s="6" t="s">
        <v>85</v>
      </c>
      <c r="L26">
        <v>2.3738779217617287E-4</v>
      </c>
      <c r="M26">
        <v>7.4520024621489683E-6</v>
      </c>
      <c r="O26" s="4">
        <f t="shared" si="1"/>
        <v>5.7383014376990713E-6</v>
      </c>
      <c r="P26" s="5">
        <f t="shared" si="2"/>
        <v>1.8013494312526211E-7</v>
      </c>
      <c r="AH26" s="1"/>
      <c r="AI26" s="1"/>
      <c r="AJ26" s="1"/>
    </row>
    <row r="27" spans="1:36" x14ac:dyDescent="0.25">
      <c r="A27">
        <v>30.474</v>
      </c>
      <c r="B27" s="6" t="s">
        <v>87</v>
      </c>
      <c r="C27" s="7" t="s">
        <v>88</v>
      </c>
      <c r="D27" s="1"/>
      <c r="E27" s="1"/>
      <c r="F27" s="1">
        <v>8.6441062700000005E-7</v>
      </c>
      <c r="G27" s="3">
        <f t="shared" si="0"/>
        <v>2.4078290445682456E-6</v>
      </c>
      <c r="H27" s="8">
        <f t="shared" si="3"/>
        <v>-0.72164053723550869</v>
      </c>
      <c r="I27" s="8">
        <f t="shared" si="4"/>
        <v>1.7216405372355088</v>
      </c>
      <c r="K27" s="6" t="s">
        <v>87</v>
      </c>
      <c r="L27">
        <v>4.2619920196578962E-5</v>
      </c>
      <c r="M27">
        <v>1.9420757630582804E-6</v>
      </c>
      <c r="O27" s="4">
        <f t="shared" si="1"/>
        <v>1.3985666534284624E-6</v>
      </c>
      <c r="P27" s="5">
        <f t="shared" si="2"/>
        <v>6.3728941493019642E-8</v>
      </c>
      <c r="AH27" s="1"/>
      <c r="AI27" s="1"/>
      <c r="AJ27" s="1"/>
    </row>
    <row r="28" spans="1:36" x14ac:dyDescent="0.25">
      <c r="A28">
        <v>39.941000000000003</v>
      </c>
      <c r="B28" s="6" t="s">
        <v>89</v>
      </c>
      <c r="C28" s="7" t="s">
        <v>90</v>
      </c>
      <c r="D28" s="1"/>
      <c r="E28" s="1"/>
      <c r="F28" s="1">
        <v>7.1231986700000003E-6</v>
      </c>
      <c r="G28" s="3">
        <f t="shared" si="0"/>
        <v>1.984177902506964E-5</v>
      </c>
      <c r="H28" s="8">
        <f t="shared" si="3"/>
        <v>-0.72164053688672547</v>
      </c>
      <c r="I28" s="8">
        <f t="shared" si="4"/>
        <v>1.7216405368867256</v>
      </c>
      <c r="K28" s="6" t="s">
        <v>89</v>
      </c>
      <c r="L28">
        <v>4.6031705170778559E-4</v>
      </c>
      <c r="M28">
        <v>1.1282131489038944E-5</v>
      </c>
      <c r="O28" s="4">
        <f t="shared" si="1"/>
        <v>1.152492555789253E-5</v>
      </c>
      <c r="P28" s="5">
        <f t="shared" si="2"/>
        <v>2.8246993037327416E-7</v>
      </c>
      <c r="AH28" s="1"/>
      <c r="AI28" s="1"/>
      <c r="AJ28" s="1"/>
    </row>
    <row r="29" spans="1:36" x14ac:dyDescent="0.25">
      <c r="A29">
        <v>36.503999999999998</v>
      </c>
      <c r="B29" s="6" t="s">
        <v>91</v>
      </c>
      <c r="C29" s="7" t="s">
        <v>92</v>
      </c>
      <c r="D29" s="1"/>
      <c r="E29" s="1"/>
      <c r="F29" s="1">
        <v>1.4063611912E-5</v>
      </c>
      <c r="G29" s="3">
        <f t="shared" si="0"/>
        <v>3.917440644011142E-5</v>
      </c>
      <c r="H29" s="8">
        <f t="shared" si="3"/>
        <v>-0.72164053674911766</v>
      </c>
      <c r="I29" s="8">
        <f t="shared" si="4"/>
        <v>1.7216405367491177</v>
      </c>
      <c r="K29" s="6" t="s">
        <v>91</v>
      </c>
      <c r="L29">
        <v>8.3061620713814198E-4</v>
      </c>
      <c r="M29">
        <v>1.4977680843132558E-5</v>
      </c>
      <c r="O29" s="4">
        <f>L29/A29</f>
        <v>2.2754114813120263E-5</v>
      </c>
      <c r="P29" s="5">
        <f t="shared" si="2"/>
        <v>4.1030245570711589E-7</v>
      </c>
      <c r="AH29" s="1"/>
      <c r="AI29" s="1"/>
      <c r="AJ29" s="1"/>
    </row>
    <row r="30" spans="1:36" x14ac:dyDescent="0.25">
      <c r="A30">
        <v>31.189</v>
      </c>
      <c r="B30" s="9" t="s">
        <v>93</v>
      </c>
      <c r="C30" s="10" t="s">
        <v>94</v>
      </c>
      <c r="D30" s="1"/>
      <c r="E30" s="1"/>
      <c r="F30">
        <v>2.4346739730000001E-6</v>
      </c>
      <c r="G30" s="3">
        <f t="shared" si="0"/>
        <v>6.7818216518105859E-6</v>
      </c>
      <c r="H30" s="8">
        <f t="shared" si="3"/>
        <v>-0.57411123142983456</v>
      </c>
      <c r="I30" s="8">
        <f t="shared" si="4"/>
        <v>1.5741112314298347</v>
      </c>
      <c r="K30" s="9" t="s">
        <v>93</v>
      </c>
      <c r="L30">
        <v>1.3437311879554347E-4</v>
      </c>
      <c r="M30">
        <v>4.6027477844345979E-6</v>
      </c>
      <c r="O30" s="4">
        <f t="shared" ref="O30:O41" si="5">L30/A30</f>
        <v>4.3083497000719311E-6</v>
      </c>
      <c r="P30" s="5">
        <f t="shared" si="2"/>
        <v>1.4757599744892745E-7</v>
      </c>
      <c r="AH30" s="1"/>
      <c r="AI30" s="1"/>
      <c r="AJ30" s="1"/>
    </row>
    <row r="31" spans="1:36" x14ac:dyDescent="0.25">
      <c r="A31">
        <v>21.824999999999999</v>
      </c>
      <c r="B31" s="9" t="s">
        <v>95</v>
      </c>
      <c r="C31" s="10" t="s">
        <v>96</v>
      </c>
      <c r="D31" s="1"/>
      <c r="E31" s="1"/>
      <c r="F31">
        <v>1.535112497E-6</v>
      </c>
      <c r="G31" s="3">
        <f t="shared" si="0"/>
        <v>4.2760793788300838E-6</v>
      </c>
      <c r="H31" s="8">
        <f t="shared" si="3"/>
        <v>-3.1364258461421977</v>
      </c>
      <c r="I31" s="8">
        <f>G31/O31</f>
        <v>4.1364258461421972</v>
      </c>
      <c r="K31" s="9" t="s">
        <v>95</v>
      </c>
      <c r="L31">
        <v>2.2561853134634518E-5</v>
      </c>
      <c r="M31">
        <v>1.0968716671586267E-6</v>
      </c>
      <c r="O31" s="4">
        <f t="shared" si="5"/>
        <v>1.0337618847484315E-6</v>
      </c>
      <c r="P31" s="5">
        <f t="shared" si="2"/>
        <v>5.0257579251254371E-8</v>
      </c>
      <c r="AH31" s="1"/>
      <c r="AI31" s="1"/>
      <c r="AJ31" s="1"/>
    </row>
    <row r="32" spans="1:36" x14ac:dyDescent="0.25">
      <c r="A32">
        <v>12.662000000000001</v>
      </c>
      <c r="B32" s="11" t="s">
        <v>97</v>
      </c>
      <c r="C32" s="12" t="s">
        <v>98</v>
      </c>
      <c r="F32" s="2" t="e">
        <v>#N/A</v>
      </c>
      <c r="G32" s="3" t="e">
        <f t="shared" si="0"/>
        <v>#N/A</v>
      </c>
      <c r="H32" s="8" t="e">
        <f t="shared" si="3"/>
        <v>#N/A</v>
      </c>
      <c r="I32" s="8" t="e">
        <f t="shared" si="4"/>
        <v>#N/A</v>
      </c>
      <c r="K32" s="11" t="s">
        <v>97</v>
      </c>
      <c r="L32">
        <v>2.1802236949414183E-4</v>
      </c>
      <c r="M32">
        <v>4.5004422028753396E-6</v>
      </c>
      <c r="O32" s="4">
        <f t="shared" si="5"/>
        <v>1.7218636036498328E-5</v>
      </c>
      <c r="P32" s="5">
        <f t="shared" si="2"/>
        <v>3.5542901618033006E-7</v>
      </c>
      <c r="AH32" s="1"/>
      <c r="AI32" s="1"/>
      <c r="AJ32" s="1"/>
    </row>
    <row r="33" spans="1:36" x14ac:dyDescent="0.25">
      <c r="A33">
        <v>11.625</v>
      </c>
      <c r="B33" s="11" t="s">
        <v>128</v>
      </c>
      <c r="C33" s="12" t="s">
        <v>129</v>
      </c>
      <c r="F33" s="2">
        <v>1.0209313212E-5</v>
      </c>
      <c r="G33" s="3">
        <f t="shared" si="0"/>
        <v>2.8438198362116993E-5</v>
      </c>
      <c r="H33" s="8">
        <f t="shared" si="3"/>
        <v>-527.69671511212232</v>
      </c>
      <c r="I33" s="8">
        <f>G33/SUM(O32:O35)</f>
        <v>1.5865931372909823</v>
      </c>
      <c r="K33" s="11" t="s">
        <v>128</v>
      </c>
      <c r="L33" s="2">
        <v>6.2529999999999997E-7</v>
      </c>
      <c r="M33" s="2">
        <v>4.9000000000000002E-8</v>
      </c>
      <c r="O33" s="4">
        <f t="shared" si="5"/>
        <v>5.3789247311827955E-8</v>
      </c>
      <c r="P33" s="5">
        <f t="shared" si="2"/>
        <v>4.21505376344086E-9</v>
      </c>
      <c r="AH33" s="1"/>
      <c r="AI33" s="1"/>
      <c r="AJ33" s="1"/>
    </row>
    <row r="34" spans="1:36" x14ac:dyDescent="0.25">
      <c r="A34">
        <v>11.095000000000001</v>
      </c>
      <c r="B34" s="11" t="s">
        <v>130</v>
      </c>
      <c r="C34" s="12" t="s">
        <v>129</v>
      </c>
      <c r="F34" s="2" t="e">
        <v>#N/A</v>
      </c>
      <c r="G34" s="3" t="e">
        <f t="shared" si="0"/>
        <v>#N/A</v>
      </c>
      <c r="H34" s="8" t="e">
        <f t="shared" si="3"/>
        <v>#N/A</v>
      </c>
      <c r="I34" s="8" t="e">
        <f t="shared" si="4"/>
        <v>#N/A</v>
      </c>
      <c r="K34" s="11" t="s">
        <v>130</v>
      </c>
      <c r="L34" s="2">
        <v>2.43E-6</v>
      </c>
      <c r="M34" s="2">
        <v>1.5599999999999999E-7</v>
      </c>
      <c r="O34" s="4">
        <f t="shared" si="5"/>
        <v>2.1901757548445245E-7</v>
      </c>
      <c r="P34" s="5">
        <f t="shared" si="2"/>
        <v>1.4060387561964848E-8</v>
      </c>
      <c r="AH34" s="1"/>
      <c r="AI34" s="1"/>
      <c r="AJ34" s="1"/>
    </row>
    <row r="35" spans="1:36" x14ac:dyDescent="0.25">
      <c r="A35">
        <v>6.8419999999999996</v>
      </c>
      <c r="B35" s="11" t="s">
        <v>131</v>
      </c>
      <c r="C35" s="12" t="s">
        <v>129</v>
      </c>
      <c r="F35" s="2" t="e">
        <v>#N/A</v>
      </c>
      <c r="G35" s="3" t="e">
        <f t="shared" si="0"/>
        <v>#N/A</v>
      </c>
      <c r="H35" s="8" t="e">
        <f t="shared" si="3"/>
        <v>#N/A</v>
      </c>
      <c r="I35" s="8" t="e">
        <f t="shared" si="4"/>
        <v>#N/A</v>
      </c>
      <c r="K35" s="11" t="s">
        <v>131</v>
      </c>
      <c r="L35" s="2">
        <v>2.96E-6</v>
      </c>
      <c r="M35" s="2">
        <v>1.6999999999999999E-7</v>
      </c>
      <c r="O35" s="4">
        <f t="shared" si="5"/>
        <v>4.3262204033908217E-7</v>
      </c>
      <c r="P35" s="5">
        <f t="shared" si="2"/>
        <v>2.4846536100555392E-8</v>
      </c>
      <c r="AH35" s="1"/>
      <c r="AI35" s="1"/>
      <c r="AJ35" s="1"/>
    </row>
    <row r="36" spans="1:36" x14ac:dyDescent="0.25">
      <c r="A36">
        <v>9.9649999999999999</v>
      </c>
      <c r="B36" s="13" t="s">
        <v>99</v>
      </c>
      <c r="C36" t="s">
        <v>100</v>
      </c>
      <c r="F36" t="e">
        <v>#N/A</v>
      </c>
      <c r="G36" s="3" t="e">
        <f t="shared" si="0"/>
        <v>#N/A</v>
      </c>
      <c r="H36" s="8"/>
      <c r="K36" s="13" t="s">
        <v>99</v>
      </c>
      <c r="L36">
        <v>6.0723708412905434E-6</v>
      </c>
      <c r="M36">
        <v>3.276007152527668E-7</v>
      </c>
      <c r="O36" s="4">
        <f t="shared" si="5"/>
        <v>6.0936987870452012E-7</v>
      </c>
      <c r="P36" s="5">
        <f t="shared" si="2"/>
        <v>3.2875134496012725E-8</v>
      </c>
      <c r="AH36" s="1"/>
      <c r="AI36" s="1"/>
      <c r="AJ36" s="1"/>
    </row>
    <row r="37" spans="1:36" x14ac:dyDescent="0.25">
      <c r="A37">
        <v>23.779</v>
      </c>
      <c r="B37" s="13" t="s">
        <v>101</v>
      </c>
      <c r="C37" t="s">
        <v>100</v>
      </c>
      <c r="F37" t="e">
        <v>#N/A</v>
      </c>
      <c r="G37" s="3" t="e">
        <f t="shared" si="0"/>
        <v>#N/A</v>
      </c>
      <c r="H37" s="8"/>
      <c r="K37" s="13" t="s">
        <v>101</v>
      </c>
      <c r="L37">
        <v>1.2276069908162464E-5</v>
      </c>
      <c r="M37">
        <v>6.8282399415121016E-7</v>
      </c>
      <c r="O37" s="4">
        <f t="shared" si="5"/>
        <v>5.1625677733136231E-7</v>
      </c>
      <c r="P37" s="5">
        <f t="shared" si="2"/>
        <v>2.8715420923975363E-8</v>
      </c>
      <c r="AH37" s="1"/>
      <c r="AI37" s="1"/>
      <c r="AJ37" s="1"/>
    </row>
    <row r="38" spans="1:36" x14ac:dyDescent="0.25">
      <c r="A38">
        <v>25.721</v>
      </c>
      <c r="B38" s="13" t="s">
        <v>102</v>
      </c>
      <c r="C38" t="s">
        <v>100</v>
      </c>
      <c r="F38" t="e">
        <v>#N/A</v>
      </c>
      <c r="G38" s="3" t="e">
        <f t="shared" si="0"/>
        <v>#N/A</v>
      </c>
      <c r="H38" s="8"/>
      <c r="J38" s="2"/>
      <c r="K38" s="13" t="s">
        <v>102</v>
      </c>
      <c r="L38">
        <v>2.4789185736183079E-5</v>
      </c>
      <c r="M38">
        <v>1.2226908906238183E-6</v>
      </c>
      <c r="O38" s="4">
        <f t="shared" si="5"/>
        <v>9.6377223810050456E-7</v>
      </c>
      <c r="P38" s="5">
        <f t="shared" si="2"/>
        <v>4.7536677836157935E-8</v>
      </c>
      <c r="AH38" s="1"/>
      <c r="AI38" s="1"/>
      <c r="AJ38" s="1"/>
    </row>
    <row r="39" spans="1:36" x14ac:dyDescent="0.25">
      <c r="A39">
        <v>38.411999999999999</v>
      </c>
      <c r="B39" s="13" t="s">
        <v>103</v>
      </c>
      <c r="C39" t="s">
        <v>100</v>
      </c>
      <c r="F39" t="e">
        <v>#N/A</v>
      </c>
      <c r="G39" s="3" t="e">
        <f t="shared" si="0"/>
        <v>#N/A</v>
      </c>
      <c r="H39" s="8"/>
      <c r="K39" s="13" t="s">
        <v>103</v>
      </c>
      <c r="L39">
        <v>1.6417639765753983E-5</v>
      </c>
      <c r="M39">
        <v>9.4446367372077682E-7</v>
      </c>
      <c r="O39" s="4">
        <f t="shared" si="5"/>
        <v>4.274091368779023E-7</v>
      </c>
      <c r="P39" s="5">
        <f t="shared" si="2"/>
        <v>2.4587724505903801E-8</v>
      </c>
      <c r="AH39" s="1"/>
      <c r="AI39" s="1"/>
      <c r="AJ39" s="1"/>
    </row>
    <row r="40" spans="1:36" x14ac:dyDescent="0.25">
      <c r="A40">
        <v>52.136000000000003</v>
      </c>
      <c r="B40" s="13" t="s">
        <v>104</v>
      </c>
      <c r="C40" t="s">
        <v>100</v>
      </c>
      <c r="F40" t="e">
        <v>#N/A</v>
      </c>
      <c r="G40" s="3" t="e">
        <f t="shared" si="0"/>
        <v>#N/A</v>
      </c>
      <c r="H40" s="8"/>
      <c r="K40" s="13" t="s">
        <v>104</v>
      </c>
      <c r="L40">
        <v>7.0227210946584789E-5</v>
      </c>
      <c r="M40">
        <v>3.2266732930678812E-6</v>
      </c>
      <c r="O40" s="4">
        <f t="shared" si="5"/>
        <v>1.3470003634069508E-6</v>
      </c>
      <c r="P40" s="5">
        <f t="shared" si="2"/>
        <v>6.1889544519485208E-8</v>
      </c>
      <c r="AH40" s="1"/>
      <c r="AI40" s="1"/>
      <c r="AJ40" s="1"/>
    </row>
    <row r="41" spans="1:36" x14ac:dyDescent="0.25">
      <c r="A41">
        <v>22.757999999999999</v>
      </c>
      <c r="B41" s="13" t="s">
        <v>105</v>
      </c>
      <c r="C41" t="s">
        <v>100</v>
      </c>
      <c r="F41" t="e">
        <v>#N/A</v>
      </c>
      <c r="G41" s="3" t="e">
        <f t="shared" si="0"/>
        <v>#N/A</v>
      </c>
      <c r="H41" s="8"/>
      <c r="K41" s="13" t="s">
        <v>105</v>
      </c>
      <c r="L41">
        <v>1.5385960046332389E-5</v>
      </c>
      <c r="M41">
        <v>8.1393792288849254E-7</v>
      </c>
      <c r="O41" s="4">
        <f t="shared" si="5"/>
        <v>6.7606819783515206E-7</v>
      </c>
      <c r="P41" s="5">
        <f t="shared" si="2"/>
        <v>3.5764914442767053E-8</v>
      </c>
      <c r="AH41" s="1"/>
      <c r="AI41" s="1"/>
      <c r="AJ41" s="1"/>
    </row>
    <row r="42" spans="1:36" x14ac:dyDescent="0.25">
      <c r="A42">
        <v>20.85</v>
      </c>
      <c r="B42" s="13" t="s">
        <v>106</v>
      </c>
      <c r="C42" t="s">
        <v>100</v>
      </c>
      <c r="F42" t="e">
        <v>#N/A</v>
      </c>
      <c r="G42" s="3" t="e">
        <f t="shared" si="0"/>
        <v>#N/A</v>
      </c>
      <c r="H42" s="8"/>
      <c r="K42" s="13" t="s">
        <v>106</v>
      </c>
      <c r="L42">
        <v>7.8919826425829579E-5</v>
      </c>
      <c r="M42">
        <v>2.805616048166686E-6</v>
      </c>
      <c r="O42" s="4">
        <f>L42/A42</f>
        <v>3.7851235695841523E-6</v>
      </c>
      <c r="P42" s="5">
        <f t="shared" si="2"/>
        <v>1.3456192077538062E-7</v>
      </c>
      <c r="AH42" s="1"/>
      <c r="AI42" s="1"/>
      <c r="AJ42" s="1"/>
    </row>
    <row r="43" spans="1:36" x14ac:dyDescent="0.25">
      <c r="O43" s="2"/>
      <c r="AH43" s="1"/>
      <c r="AI43" s="1"/>
      <c r="AJ43" s="1"/>
    </row>
    <row r="44" spans="1:36" x14ac:dyDescent="0.25">
      <c r="O44" s="2"/>
      <c r="AH44" s="1"/>
      <c r="AI44" s="1"/>
      <c r="AJ44" s="1"/>
    </row>
    <row r="45" spans="1:36" x14ac:dyDescent="0.25">
      <c r="O45" s="2"/>
      <c r="AH45" s="1"/>
      <c r="AI45" s="1"/>
      <c r="AJ45" s="1"/>
    </row>
    <row r="46" spans="1:36" x14ac:dyDescent="0.25">
      <c r="O46" s="2"/>
      <c r="AH46" s="1"/>
      <c r="AI46" s="1"/>
      <c r="AJ46" s="1"/>
    </row>
    <row r="47" spans="1:36" x14ac:dyDescent="0.25">
      <c r="O47" s="2"/>
      <c r="AH47" s="1"/>
      <c r="AI47" s="1"/>
      <c r="AJ47" s="1"/>
    </row>
    <row r="48" spans="1:36" x14ac:dyDescent="0.25">
      <c r="O48" s="2"/>
      <c r="AH48" s="1"/>
      <c r="AI48" s="1"/>
      <c r="AJ48" s="1"/>
    </row>
    <row r="49" spans="2:36" x14ac:dyDescent="0.25">
      <c r="O49" s="2"/>
      <c r="AH49" s="1"/>
      <c r="AI49" s="1"/>
      <c r="AJ49" s="1"/>
    </row>
    <row r="50" spans="2:36" x14ac:dyDescent="0.25">
      <c r="O50" s="2"/>
      <c r="AH50" s="1"/>
      <c r="AI50" s="1"/>
      <c r="AJ50" s="1"/>
    </row>
    <row r="51" spans="2:36" x14ac:dyDescent="0.25">
      <c r="O51" s="2"/>
      <c r="AH51" s="1"/>
      <c r="AI51" s="1"/>
      <c r="AJ51" s="1"/>
    </row>
    <row r="52" spans="2:36" x14ac:dyDescent="0.25">
      <c r="O52" s="2"/>
      <c r="AH52" s="1"/>
      <c r="AI52" s="1"/>
      <c r="AJ52" s="1"/>
    </row>
    <row r="53" spans="2:36" x14ac:dyDescent="0.25">
      <c r="O53" s="2"/>
      <c r="AH53" s="1"/>
      <c r="AI53" s="1"/>
      <c r="AJ53" s="1"/>
    </row>
    <row r="54" spans="2:36" x14ac:dyDescent="0.25">
      <c r="G54" s="2"/>
      <c r="O54" s="2"/>
      <c r="AH54" s="1"/>
      <c r="AI54" s="1"/>
      <c r="AJ54" s="1"/>
    </row>
    <row r="55" spans="2:36" x14ac:dyDescent="0.25">
      <c r="E55" t="s">
        <v>26</v>
      </c>
      <c r="F55" s="19" t="s">
        <v>28</v>
      </c>
      <c r="G55" s="19"/>
      <c r="J55" t="s">
        <v>26</v>
      </c>
      <c r="K55" t="s">
        <v>28</v>
      </c>
      <c r="O55" s="2"/>
      <c r="AH55" s="1"/>
      <c r="AI55" s="1"/>
      <c r="AJ55" s="1"/>
    </row>
    <row r="56" spans="2:36" x14ac:dyDescent="0.25">
      <c r="B56" s="2"/>
      <c r="E56" t="s">
        <v>31</v>
      </c>
      <c r="F56" s="4" t="s">
        <v>32</v>
      </c>
      <c r="G56" s="5" t="s">
        <v>33</v>
      </c>
      <c r="J56" t="s">
        <v>31</v>
      </c>
      <c r="K56" t="s">
        <v>32</v>
      </c>
      <c r="L56" t="s">
        <v>33</v>
      </c>
      <c r="O56" s="2"/>
      <c r="AH56" s="1"/>
      <c r="AI56" s="1"/>
      <c r="AJ56" s="1"/>
    </row>
    <row r="57" spans="2:36" x14ac:dyDescent="0.25">
      <c r="B57" s="8"/>
      <c r="D57" s="1" t="s">
        <v>36</v>
      </c>
      <c r="E57">
        <v>2.5259291966573819E-5</v>
      </c>
      <c r="F57">
        <v>2.5162826034217326E-5</v>
      </c>
      <c r="G57" s="2">
        <v>1.4395022274275469E-6</v>
      </c>
      <c r="I57" s="7" t="s">
        <v>80</v>
      </c>
      <c r="J57" t="e">
        <v>#N/A</v>
      </c>
      <c r="K57">
        <v>1.8097435106453549E-7</v>
      </c>
      <c r="L57">
        <v>1.1978034383614539E-8</v>
      </c>
      <c r="O57" s="2"/>
      <c r="AH57" s="1"/>
      <c r="AI57" s="1"/>
      <c r="AJ57" s="1"/>
    </row>
    <row r="58" spans="2:36" x14ac:dyDescent="0.25">
      <c r="D58" s="1" t="s">
        <v>39</v>
      </c>
      <c r="E58">
        <v>4.660422175208914E-5</v>
      </c>
      <c r="F58">
        <v>4.6433825013844236E-5</v>
      </c>
      <c r="G58" s="2">
        <v>2.3507037397174724E-6</v>
      </c>
      <c r="I58" s="7" t="s">
        <v>82</v>
      </c>
      <c r="J58">
        <v>6.4616793871866304E-6</v>
      </c>
      <c r="K58">
        <v>3.5759084072042163E-6</v>
      </c>
      <c r="L58">
        <v>1.2916281996437508E-7</v>
      </c>
      <c r="O58" s="2"/>
      <c r="AH58" s="1"/>
      <c r="AI58" s="1"/>
      <c r="AJ58" s="1"/>
    </row>
    <row r="59" spans="2:36" x14ac:dyDescent="0.25">
      <c r="D59" s="1" t="s">
        <v>42</v>
      </c>
      <c r="E59">
        <v>7.6879944596100283E-6</v>
      </c>
      <c r="F59">
        <v>7.6598852218989575E-6</v>
      </c>
      <c r="G59" s="2">
        <v>3.9789753763346777E-7</v>
      </c>
      <c r="I59" s="7" t="s">
        <v>84</v>
      </c>
      <c r="J59">
        <v>9.5833258969359343E-6</v>
      </c>
      <c r="K59">
        <v>5.5663918746149829E-6</v>
      </c>
      <c r="L59">
        <v>1.7642530523221079E-7</v>
      </c>
      <c r="O59" s="2"/>
      <c r="AH59" s="1"/>
      <c r="AI59" s="1"/>
      <c r="AJ59" s="1"/>
    </row>
    <row r="60" spans="2:36" x14ac:dyDescent="0.25">
      <c r="B60" s="2"/>
      <c r="D60" s="1" t="s">
        <v>45</v>
      </c>
      <c r="E60">
        <v>4.4019134016713098E-5</v>
      </c>
      <c r="F60">
        <v>4.3858189007422885E-5</v>
      </c>
      <c r="G60" s="2">
        <v>1.2956243276383541E-6</v>
      </c>
      <c r="I60" s="7" t="s">
        <v>86</v>
      </c>
      <c r="J60">
        <v>9.8792923676880224E-6</v>
      </c>
      <c r="K60">
        <v>5.7383014376990713E-6</v>
      </c>
      <c r="L60">
        <v>1.8013494312526211E-7</v>
      </c>
      <c r="O60" s="2"/>
      <c r="AH60" s="1"/>
      <c r="AI60" s="1"/>
      <c r="AJ60" s="1"/>
    </row>
    <row r="61" spans="2:36" x14ac:dyDescent="0.25">
      <c r="B61" s="8"/>
      <c r="D61" s="1" t="s">
        <v>48</v>
      </c>
      <c r="E61">
        <v>5.033527705292479E-5</v>
      </c>
      <c r="F61">
        <v>5.0151238638631813E-5</v>
      </c>
      <c r="G61" s="2">
        <v>5.1853664646378207E-6</v>
      </c>
      <c r="I61" s="7" t="s">
        <v>88</v>
      </c>
      <c r="J61">
        <v>2.4078290445682456E-6</v>
      </c>
      <c r="K61">
        <v>1.3985666534284624E-6</v>
      </c>
      <c r="L61">
        <v>6.3728941493019642E-8</v>
      </c>
      <c r="O61" s="2"/>
      <c r="AH61" s="1"/>
      <c r="AI61" s="1"/>
      <c r="AJ61" s="1"/>
    </row>
    <row r="62" spans="2:36" x14ac:dyDescent="0.25">
      <c r="D62" s="1" t="s">
        <v>51</v>
      </c>
      <c r="E62">
        <v>1.4681841002785515E-5</v>
      </c>
      <c r="F62">
        <v>1.4312035420422808E-5</v>
      </c>
      <c r="G62" s="2">
        <v>4.2566707209922493E-7</v>
      </c>
      <c r="I62" s="7" t="s">
        <v>90</v>
      </c>
      <c r="J62">
        <v>1.984177902506964E-5</v>
      </c>
      <c r="K62">
        <v>1.152492555789253E-5</v>
      </c>
      <c r="L62">
        <v>2.8246993037327416E-7</v>
      </c>
      <c r="O62" s="2"/>
      <c r="AH62" s="1"/>
      <c r="AI62" s="1"/>
      <c r="AJ62" s="1"/>
    </row>
    <row r="63" spans="2:36" x14ac:dyDescent="0.25">
      <c r="D63" s="1" t="s">
        <v>54</v>
      </c>
      <c r="E63">
        <v>2.1961948328690809E-6</v>
      </c>
      <c r="F63">
        <v>2.2023123677521908E-6</v>
      </c>
      <c r="G63" s="2">
        <v>9.5219307494572958E-8</v>
      </c>
      <c r="I63" s="7" t="s">
        <v>92</v>
      </c>
      <c r="J63">
        <v>3.917440644011142E-5</v>
      </c>
      <c r="K63">
        <v>2.2754114813120263E-5</v>
      </c>
      <c r="L63">
        <v>4.1030245570711589E-7</v>
      </c>
      <c r="O63" s="2"/>
      <c r="AH63" s="1"/>
      <c r="AI63" s="1"/>
      <c r="AJ63" s="1"/>
    </row>
    <row r="64" spans="2:36" x14ac:dyDescent="0.25">
      <c r="D64" s="1" t="s">
        <v>57</v>
      </c>
      <c r="E64">
        <v>2.2031688958217273E-4</v>
      </c>
      <c r="F64">
        <v>2.1983523171661431E-4</v>
      </c>
      <c r="G64" s="2">
        <v>8.0624462797256548E-6</v>
      </c>
      <c r="I64" s="10" t="s">
        <v>94</v>
      </c>
      <c r="J64">
        <v>6.7818216518105859E-6</v>
      </c>
      <c r="K64">
        <v>4.3083497000719311E-6</v>
      </c>
      <c r="L64">
        <v>1.4757599744892745E-7</v>
      </c>
      <c r="O64" s="2"/>
      <c r="AH64" s="1"/>
      <c r="AI64" s="1"/>
      <c r="AJ64" s="1"/>
    </row>
    <row r="65" spans="4:36" x14ac:dyDescent="0.25">
      <c r="D65" s="1" t="s">
        <v>60</v>
      </c>
      <c r="E65">
        <v>6.259399974094708E-5</v>
      </c>
      <c r="F65">
        <v>6.2457155101361755E-5</v>
      </c>
      <c r="G65" s="2">
        <v>1.2700185121069086E-6</v>
      </c>
      <c r="I65" s="10" t="s">
        <v>96</v>
      </c>
      <c r="J65">
        <v>4.2760793788300838E-6</v>
      </c>
      <c r="K65">
        <v>1.0337618847484315E-6</v>
      </c>
      <c r="L65">
        <v>5.0257579251254371E-8</v>
      </c>
      <c r="O65" s="2"/>
      <c r="AH65" s="1"/>
      <c r="AI65" s="1"/>
      <c r="AJ65" s="1"/>
    </row>
    <row r="66" spans="4:36" x14ac:dyDescent="0.25">
      <c r="D66" s="1" t="s">
        <v>63</v>
      </c>
      <c r="E66">
        <v>6.8310850740947078E-5</v>
      </c>
      <c r="F66">
        <v>6.8253223418885916E-5</v>
      </c>
      <c r="G66" s="2">
        <v>9.8903303303634984E-7</v>
      </c>
      <c r="I66" s="12" t="s">
        <v>129</v>
      </c>
      <c r="J66">
        <v>2.8438198362116993E-5</v>
      </c>
      <c r="K66" s="2">
        <f>SUM(O32:O35)</f>
        <v>1.7924064899633691E-5</v>
      </c>
      <c r="L66" s="2">
        <f>SUM(P32:P35)</f>
        <v>3.9855099360629118E-7</v>
      </c>
      <c r="O66" s="2"/>
      <c r="AH66" s="1"/>
      <c r="AI66" s="1"/>
      <c r="AJ66" s="1"/>
    </row>
    <row r="67" spans="4:36" x14ac:dyDescent="0.25">
      <c r="D67" s="1" t="s">
        <v>66</v>
      </c>
      <c r="E67">
        <v>1.1189895964066853E-4</v>
      </c>
      <c r="F67">
        <v>1.1180456120706036E-4</v>
      </c>
      <c r="G67" s="2">
        <v>4.2471286134047097E-6</v>
      </c>
      <c r="I67" s="12" t="s">
        <v>100</v>
      </c>
      <c r="J67" t="e">
        <v>#N/A</v>
      </c>
      <c r="K67" s="2">
        <f>SUM(O36:O42)</f>
        <v>8.3250001618405446E-6</v>
      </c>
      <c r="L67" s="2">
        <f>SUM(P36:P42)</f>
        <v>3.6593133749968266E-7</v>
      </c>
      <c r="O67" s="2"/>
      <c r="AH67" s="1"/>
      <c r="AI67" s="1"/>
      <c r="AJ67" s="1"/>
    </row>
    <row r="68" spans="4:36" x14ac:dyDescent="0.25">
      <c r="D68" s="1" t="s">
        <v>69</v>
      </c>
      <c r="E68">
        <v>1.4812917530083566E-4</v>
      </c>
      <c r="F68">
        <v>1.4876930250187686E-4</v>
      </c>
      <c r="G68" s="2">
        <v>4.9882284513233268E-6</v>
      </c>
      <c r="I68" s="12"/>
      <c r="O68" s="2"/>
      <c r="AH68" s="1"/>
      <c r="AI68" s="1"/>
      <c r="AJ68" s="1"/>
    </row>
    <row r="69" spans="4:36" x14ac:dyDescent="0.25">
      <c r="D69" s="1" t="s">
        <v>72</v>
      </c>
      <c r="E69">
        <v>1.9364301830362119E-4</v>
      </c>
      <c r="F69">
        <v>1.9293498422922166E-4</v>
      </c>
      <c r="G69" s="2">
        <v>3.3452024769860749E-6</v>
      </c>
      <c r="I69" s="12"/>
      <c r="O69" s="2"/>
      <c r="AH69" s="1"/>
      <c r="AI69" s="1"/>
      <c r="AJ69" s="1"/>
    </row>
    <row r="70" spans="4:36" x14ac:dyDescent="0.25">
      <c r="D70" s="1" t="s">
        <v>75</v>
      </c>
      <c r="E70">
        <v>7.5750931983286903E-5</v>
      </c>
      <c r="F70" s="2">
        <v>7.5507071431189882E-5</v>
      </c>
      <c r="G70" s="2">
        <f>SUM(P20:P22)</f>
        <v>2.9354583660156249E-6</v>
      </c>
      <c r="O70" s="2"/>
      <c r="AH70" s="1"/>
      <c r="AI70" s="1"/>
      <c r="AJ70" s="1"/>
    </row>
    <row r="71" spans="4:36" x14ac:dyDescent="0.25">
      <c r="G71" s="2"/>
      <c r="O71" s="2"/>
      <c r="AH71" s="1"/>
      <c r="AI71" s="1"/>
      <c r="AJ71" s="1"/>
    </row>
    <row r="72" spans="4:36" x14ac:dyDescent="0.25">
      <c r="G72" s="2"/>
      <c r="O72" s="2"/>
      <c r="AH72" s="1"/>
      <c r="AI72" s="1"/>
      <c r="AJ72" s="1"/>
    </row>
    <row r="73" spans="4:36" x14ac:dyDescent="0.25">
      <c r="G73" s="2"/>
      <c r="O73" s="2"/>
      <c r="AH73" s="1"/>
      <c r="AI73" s="1"/>
      <c r="AJ73" s="1"/>
    </row>
    <row r="74" spans="4:36" x14ac:dyDescent="0.25">
      <c r="G74" s="2"/>
      <c r="O74" s="2"/>
      <c r="AH74" s="1"/>
      <c r="AI74" s="1"/>
      <c r="AJ74" s="1"/>
    </row>
    <row r="75" spans="4:36" x14ac:dyDescent="0.25">
      <c r="G75" s="2"/>
      <c r="O75" s="2"/>
      <c r="AH75" s="1"/>
      <c r="AI75" s="1"/>
      <c r="AJ75" s="1"/>
    </row>
    <row r="76" spans="4:36" x14ac:dyDescent="0.25">
      <c r="G76" s="2"/>
      <c r="O76" s="2"/>
      <c r="AH76" s="1"/>
      <c r="AI76" s="1"/>
      <c r="AJ76" s="1"/>
    </row>
    <row r="77" spans="4:36" x14ac:dyDescent="0.25">
      <c r="G77" s="2"/>
      <c r="O77" s="2"/>
      <c r="AH77" s="1"/>
      <c r="AI77" s="1"/>
      <c r="AJ77" s="1"/>
    </row>
    <row r="78" spans="4:36" x14ac:dyDescent="0.25">
      <c r="G78" s="2"/>
      <c r="O78" s="2"/>
      <c r="AH78" s="1"/>
      <c r="AI78" s="1"/>
      <c r="AJ78" s="1"/>
    </row>
    <row r="79" spans="4:36" x14ac:dyDescent="0.25">
      <c r="G79" s="2"/>
      <c r="O79" s="2"/>
      <c r="AH79" s="1"/>
      <c r="AI79" s="1"/>
      <c r="AJ79" s="1"/>
    </row>
    <row r="80" spans="4:36" x14ac:dyDescent="0.25">
      <c r="G80" s="2"/>
      <c r="O80" s="2"/>
      <c r="AH80" s="1"/>
      <c r="AI80" s="1"/>
      <c r="AJ80" s="1"/>
    </row>
    <row r="81" spans="1:36" x14ac:dyDescent="0.25">
      <c r="G81" s="2"/>
      <c r="O81" s="2"/>
      <c r="AH81" s="1"/>
      <c r="AI81" s="1"/>
      <c r="AJ81" s="1"/>
    </row>
    <row r="82" spans="1:3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</sheetData>
  <mergeCells count="4">
    <mergeCell ref="I5:J5"/>
    <mergeCell ref="L5:M5"/>
    <mergeCell ref="O5:P5"/>
    <mergeCell ref="F55:G5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062CC-30B1-3C41-A8FD-3F665222B08F}">
  <dimension ref="A1:AJ82"/>
  <sheetViews>
    <sheetView zoomScale="50" workbookViewId="0">
      <selection activeCell="G50" sqref="G50"/>
    </sheetView>
  </sheetViews>
  <sheetFormatPr defaultColWidth="11.42578125" defaultRowHeight="15" x14ac:dyDescent="0.25"/>
  <cols>
    <col min="1" max="1" width="11.140625" bestFit="1" customWidth="1"/>
    <col min="5" max="5" width="12" bestFit="1" customWidth="1"/>
    <col min="6" max="6" width="13" bestFit="1" customWidth="1"/>
    <col min="7" max="9" width="11.28515625" bestFit="1" customWidth="1"/>
    <col min="10" max="11" width="12.140625" bestFit="1" customWidth="1"/>
    <col min="12" max="13" width="11.28515625" bestFit="1" customWidth="1"/>
    <col min="15" max="15" width="11.28515625" bestFit="1" customWidth="1"/>
    <col min="16" max="16" width="12.140625" bestFit="1" customWidth="1"/>
  </cols>
  <sheetData>
    <row r="1" spans="1:36" x14ac:dyDescent="0.25">
      <c r="B1" t="s">
        <v>22</v>
      </c>
      <c r="C1" s="1" t="s">
        <v>23</v>
      </c>
      <c r="D1" s="1"/>
      <c r="E1" s="1"/>
      <c r="G1" s="2"/>
      <c r="O1" s="2"/>
      <c r="AH1" s="1"/>
      <c r="AI1" s="1"/>
      <c r="AJ1" s="1"/>
    </row>
    <row r="2" spans="1:36" x14ac:dyDescent="0.25">
      <c r="B2" t="s">
        <v>127</v>
      </c>
      <c r="C2" s="1" t="s">
        <v>24</v>
      </c>
      <c r="D2" s="1"/>
      <c r="E2" s="1"/>
      <c r="G2" s="2"/>
      <c r="O2" s="2"/>
      <c r="AH2" s="1"/>
      <c r="AI2" s="1"/>
      <c r="AJ2" s="1"/>
    </row>
    <row r="3" spans="1:36" x14ac:dyDescent="0.25">
      <c r="B3" s="1"/>
      <c r="C3" s="1"/>
      <c r="D3" s="1"/>
      <c r="E3" s="1"/>
      <c r="G3" s="2"/>
      <c r="O3" s="2"/>
      <c r="AH3" s="1"/>
      <c r="AI3" s="1"/>
      <c r="AJ3" s="1"/>
    </row>
    <row r="4" spans="1:36" x14ac:dyDescent="0.25">
      <c r="B4" s="1"/>
      <c r="C4" s="1"/>
      <c r="D4" s="1"/>
      <c r="E4" s="1"/>
      <c r="G4" s="2"/>
      <c r="O4" s="2"/>
      <c r="AH4" s="1"/>
      <c r="AI4" s="1"/>
      <c r="AJ4" s="1"/>
    </row>
    <row r="5" spans="1:36" x14ac:dyDescent="0.25">
      <c r="B5" s="1"/>
      <c r="C5" s="1"/>
      <c r="D5" s="1"/>
      <c r="E5" s="1"/>
      <c r="F5" t="s">
        <v>25</v>
      </c>
      <c r="G5" s="3" t="s">
        <v>26</v>
      </c>
      <c r="I5" s="18"/>
      <c r="J5" s="18"/>
      <c r="L5" s="18" t="s">
        <v>27</v>
      </c>
      <c r="M5" s="18"/>
      <c r="O5" s="19" t="s">
        <v>28</v>
      </c>
      <c r="P5" s="19"/>
      <c r="AH5" s="1"/>
      <c r="AI5" s="1"/>
      <c r="AJ5" s="1"/>
    </row>
    <row r="6" spans="1:36" x14ac:dyDescent="0.25">
      <c r="A6" t="s">
        <v>29</v>
      </c>
      <c r="B6" s="1"/>
      <c r="C6" s="1"/>
      <c r="D6" s="1"/>
      <c r="E6" s="1"/>
      <c r="F6" s="1" t="s">
        <v>30</v>
      </c>
      <c r="G6" s="3" t="s">
        <v>31</v>
      </c>
      <c r="L6" t="s">
        <v>32</v>
      </c>
      <c r="M6" t="s">
        <v>33</v>
      </c>
      <c r="O6" s="4" t="s">
        <v>32</v>
      </c>
      <c r="P6" s="5" t="s">
        <v>33</v>
      </c>
      <c r="AH6" s="1"/>
      <c r="AI6" s="1"/>
      <c r="AJ6" s="1"/>
    </row>
    <row r="7" spans="1:36" x14ac:dyDescent="0.25">
      <c r="A7">
        <v>34.896999999999998</v>
      </c>
      <c r="B7" s="6" t="s">
        <v>34</v>
      </c>
      <c r="C7" s="7" t="s">
        <v>35</v>
      </c>
      <c r="D7" s="1" t="s">
        <v>36</v>
      </c>
      <c r="E7" s="1"/>
      <c r="F7" s="1">
        <v>9.0680858160000007E-6</v>
      </c>
      <c r="G7" s="3">
        <f>F7/ 0.359</f>
        <v>2.5259291966573819E-5</v>
      </c>
      <c r="K7" s="6" t="s">
        <v>34</v>
      </c>
      <c r="L7">
        <v>8.7810714011608197E-4</v>
      </c>
      <c r="M7">
        <v>5.0234309230539104E-5</v>
      </c>
      <c r="O7" s="4">
        <f>L7/A7</f>
        <v>2.5162826034217326E-5</v>
      </c>
      <c r="P7" s="5">
        <f>M7/A7</f>
        <v>1.4395022274275469E-6</v>
      </c>
      <c r="AH7" s="1"/>
      <c r="AI7" s="1"/>
      <c r="AJ7" s="1"/>
    </row>
    <row r="8" spans="1:36" x14ac:dyDescent="0.25">
      <c r="A8">
        <v>53.859000000000002</v>
      </c>
      <c r="B8" s="6" t="s">
        <v>37</v>
      </c>
      <c r="C8" s="7" t="s">
        <v>38</v>
      </c>
      <c r="D8" s="1" t="s">
        <v>39</v>
      </c>
      <c r="E8" s="1"/>
      <c r="F8" s="1">
        <v>1.6731125579000001E-5</v>
      </c>
      <c r="G8" s="3">
        <f t="shared" ref="G8:G42" si="0">F8/ 0.359</f>
        <v>4.660480662674095E-5</v>
      </c>
      <c r="K8" s="6" t="s">
        <v>37</v>
      </c>
      <c r="L8">
        <v>2.500879381420637E-3</v>
      </c>
      <c r="M8">
        <v>1.2660655271744335E-4</v>
      </c>
      <c r="O8" s="4">
        <f t="shared" ref="O8:O28" si="1">L8/A8</f>
        <v>4.6433825013844236E-5</v>
      </c>
      <c r="P8" s="5">
        <f t="shared" ref="P8:P42" si="2">M8/A8</f>
        <v>2.3507037397174724E-6</v>
      </c>
      <c r="AH8" s="1"/>
      <c r="AI8" s="1"/>
      <c r="AJ8" s="1"/>
    </row>
    <row r="9" spans="1:36" x14ac:dyDescent="0.25">
      <c r="A9">
        <v>25.530999999999999</v>
      </c>
      <c r="B9" s="6" t="s">
        <v>40</v>
      </c>
      <c r="C9" s="7" t="s">
        <v>41</v>
      </c>
      <c r="D9" s="1" t="s">
        <v>42</v>
      </c>
      <c r="E9" s="1"/>
      <c r="F9" s="1">
        <v>2.7600246490000002E-6</v>
      </c>
      <c r="G9" s="3">
        <f t="shared" si="0"/>
        <v>7.6880909442896949E-6</v>
      </c>
      <c r="K9" s="6" t="s">
        <v>40</v>
      </c>
      <c r="L9">
        <v>1.9556452960030229E-4</v>
      </c>
      <c r="M9">
        <v>1.0158722033320065E-5</v>
      </c>
      <c r="O9" s="4">
        <f t="shared" si="1"/>
        <v>7.6598852218989575E-6</v>
      </c>
      <c r="P9" s="5">
        <f t="shared" si="2"/>
        <v>3.9789753763346777E-7</v>
      </c>
      <c r="AH9" s="1"/>
      <c r="AI9" s="1"/>
      <c r="AJ9" s="1"/>
    </row>
    <row r="10" spans="1:36" x14ac:dyDescent="0.25">
      <c r="A10">
        <v>65.391999999999996</v>
      </c>
      <c r="B10" s="6" t="s">
        <v>43</v>
      </c>
      <c r="C10" s="7" t="s">
        <v>44</v>
      </c>
      <c r="D10" s="1" t="s">
        <v>45</v>
      </c>
      <c r="E10" s="1"/>
      <c r="F10" s="1">
        <v>1.5803067434999998E-5</v>
      </c>
      <c r="G10" s="3">
        <f t="shared" si="0"/>
        <v>4.4019686448467967E-5</v>
      </c>
      <c r="K10" s="6" t="s">
        <v>43</v>
      </c>
      <c r="L10">
        <v>2.8679746955733972E-3</v>
      </c>
      <c r="M10">
        <v>8.472346603292725E-5</v>
      </c>
      <c r="O10" s="4">
        <f t="shared" si="1"/>
        <v>4.3858189007422885E-5</v>
      </c>
      <c r="P10" s="5">
        <f t="shared" si="2"/>
        <v>1.2956243276383541E-6</v>
      </c>
      <c r="AH10" s="1"/>
      <c r="AI10" s="1"/>
      <c r="AJ10" s="1"/>
    </row>
    <row r="11" spans="1:36" x14ac:dyDescent="0.25">
      <c r="A11">
        <v>21.504999999999999</v>
      </c>
      <c r="B11" s="6" t="s">
        <v>46</v>
      </c>
      <c r="C11" s="7" t="s">
        <v>47</v>
      </c>
      <c r="D11" s="1" t="s">
        <v>48</v>
      </c>
      <c r="E11" s="1"/>
      <c r="F11" s="1">
        <v>1.8070591242000001E-5</v>
      </c>
      <c r="G11" s="3">
        <f t="shared" si="0"/>
        <v>5.0335908752089142E-5</v>
      </c>
      <c r="K11" s="6" t="s">
        <v>46</v>
      </c>
      <c r="L11">
        <v>1.0785023869237772E-3</v>
      </c>
      <c r="M11">
        <v>1.1151130582203634E-4</v>
      </c>
      <c r="O11" s="4">
        <f t="shared" si="1"/>
        <v>5.0151238638631813E-5</v>
      </c>
      <c r="P11" s="5">
        <f t="shared" si="2"/>
        <v>5.1853664646378207E-6</v>
      </c>
      <c r="AH11" s="1"/>
      <c r="AI11" s="1"/>
      <c r="AJ11" s="1"/>
    </row>
    <row r="12" spans="1:36" x14ac:dyDescent="0.25">
      <c r="A12">
        <v>55.399000000000001</v>
      </c>
      <c r="B12" s="6" t="s">
        <v>49</v>
      </c>
      <c r="C12" s="7" t="s">
        <v>50</v>
      </c>
      <c r="D12" s="1" t="s">
        <v>51</v>
      </c>
      <c r="E12" s="1"/>
      <c r="F12" s="1">
        <v>5.2622100809999998E-6</v>
      </c>
      <c r="G12" s="3">
        <f t="shared" si="0"/>
        <v>1.4657966799442897E-5</v>
      </c>
      <c r="K12" s="6" t="s">
        <v>49</v>
      </c>
      <c r="L12">
        <v>7.9287245025600318E-4</v>
      </c>
      <c r="M12">
        <v>2.3581530127224962E-5</v>
      </c>
      <c r="O12" s="4">
        <f t="shared" si="1"/>
        <v>1.4312035420422808E-5</v>
      </c>
      <c r="P12" s="5">
        <f t="shared" si="2"/>
        <v>4.2566707209922493E-7</v>
      </c>
      <c r="AH12" s="1"/>
      <c r="AI12" s="1"/>
      <c r="AJ12" s="1"/>
    </row>
    <row r="13" spans="1:36" x14ac:dyDescent="0.25">
      <c r="A13">
        <v>26.266999999999999</v>
      </c>
      <c r="B13" s="6" t="s">
        <v>52</v>
      </c>
      <c r="C13" s="7" t="s">
        <v>53</v>
      </c>
      <c r="D13" s="1" t="s">
        <v>54</v>
      </c>
      <c r="E13" s="1"/>
      <c r="F13" s="1">
        <v>7.8843394500000004E-7</v>
      </c>
      <c r="G13" s="3">
        <f t="shared" si="0"/>
        <v>2.1961948328690809E-6</v>
      </c>
      <c r="K13" s="6" t="s">
        <v>52</v>
      </c>
      <c r="L13">
        <v>5.7848138963746799E-5</v>
      </c>
      <c r="M13">
        <v>2.5011255499599478E-6</v>
      </c>
      <c r="O13" s="4">
        <f t="shared" si="1"/>
        <v>2.2023123677521908E-6</v>
      </c>
      <c r="P13" s="5">
        <f t="shared" si="2"/>
        <v>9.5219307494572958E-8</v>
      </c>
      <c r="AH13" s="1"/>
      <c r="AI13" s="1"/>
      <c r="AJ13" s="1"/>
    </row>
    <row r="14" spans="1:36" x14ac:dyDescent="0.25">
      <c r="A14">
        <v>36.101999999999997</v>
      </c>
      <c r="B14" s="6" t="s">
        <v>55</v>
      </c>
      <c r="C14" s="7" t="s">
        <v>56</v>
      </c>
      <c r="D14" s="1" t="s">
        <v>57</v>
      </c>
      <c r="E14" s="1"/>
      <c r="F14" s="1">
        <v>7.9089845258000001E-5</v>
      </c>
      <c r="G14" s="3">
        <f t="shared" si="0"/>
        <v>2.2030597564902507E-4</v>
      </c>
      <c r="K14" s="6" t="s">
        <v>55</v>
      </c>
      <c r="L14">
        <v>7.9364915354332086E-3</v>
      </c>
      <c r="M14">
        <v>2.9107043559065555E-4</v>
      </c>
      <c r="O14" s="4">
        <f t="shared" si="1"/>
        <v>2.1983523171661431E-4</v>
      </c>
      <c r="P14" s="5">
        <f t="shared" si="2"/>
        <v>8.0624462797256548E-6</v>
      </c>
      <c r="AH14" s="1"/>
      <c r="AI14" s="1"/>
      <c r="AJ14" s="1"/>
    </row>
    <row r="15" spans="1:36" x14ac:dyDescent="0.25">
      <c r="A15">
        <v>41.387999999999998</v>
      </c>
      <c r="B15" s="6" t="s">
        <v>58</v>
      </c>
      <c r="C15" s="7" t="s">
        <v>59</v>
      </c>
      <c r="D15" s="1" t="s">
        <v>60</v>
      </c>
      <c r="E15" s="1"/>
      <c r="F15" s="1">
        <v>2.2470132735E-5</v>
      </c>
      <c r="G15" s="3">
        <f t="shared" si="0"/>
        <v>6.259089898328691E-5</v>
      </c>
      <c r="K15" s="6" t="s">
        <v>58</v>
      </c>
      <c r="L15">
        <v>2.5849767353351601E-3</v>
      </c>
      <c r="M15">
        <v>5.2563526179080733E-5</v>
      </c>
      <c r="O15" s="4">
        <f t="shared" si="1"/>
        <v>6.2457155101361755E-5</v>
      </c>
      <c r="P15" s="5">
        <f t="shared" si="2"/>
        <v>1.2700185121069086E-6</v>
      </c>
      <c r="AH15" s="1"/>
      <c r="AI15" s="1"/>
      <c r="AJ15" s="1"/>
    </row>
    <row r="16" spans="1:36" x14ac:dyDescent="0.25">
      <c r="A16">
        <v>25.937999999999999</v>
      </c>
      <c r="B16" s="6" t="s">
        <v>61</v>
      </c>
      <c r="C16" s="7" t="s">
        <v>62</v>
      </c>
      <c r="D16" s="1" t="s">
        <v>63</v>
      </c>
      <c r="E16" s="1"/>
      <c r="F16" s="1">
        <v>2.4521302375999999E-5</v>
      </c>
      <c r="G16" s="3">
        <f t="shared" si="0"/>
        <v>6.8304463442896935E-5</v>
      </c>
      <c r="K16" s="6" t="s">
        <v>61</v>
      </c>
      <c r="L16">
        <v>1.7703521090390627E-3</v>
      </c>
      <c r="M16">
        <v>2.5653538810896839E-5</v>
      </c>
      <c r="O16" s="4">
        <f t="shared" si="1"/>
        <v>6.8253223418885916E-5</v>
      </c>
      <c r="P16" s="5">
        <f t="shared" si="2"/>
        <v>9.8903303303634984E-7</v>
      </c>
      <c r="AH16" s="1"/>
      <c r="AI16" s="1"/>
      <c r="AJ16" s="1"/>
    </row>
    <row r="17" spans="1:36" x14ac:dyDescent="0.25">
      <c r="A17">
        <v>45.743000000000002</v>
      </c>
      <c r="B17" s="6" t="s">
        <v>64</v>
      </c>
      <c r="C17" s="7" t="s">
        <v>65</v>
      </c>
      <c r="D17" s="1" t="s">
        <v>66</v>
      </c>
      <c r="E17" s="1"/>
      <c r="F17" s="1">
        <v>4.0167970317999997E-5</v>
      </c>
      <c r="G17" s="3">
        <f t="shared" si="0"/>
        <v>1.118884967075209E-4</v>
      </c>
      <c r="K17" s="6" t="s">
        <v>64</v>
      </c>
      <c r="L17">
        <v>5.1142760432945624E-3</v>
      </c>
      <c r="M17">
        <v>1.9427640416297163E-4</v>
      </c>
      <c r="O17" s="4">
        <f t="shared" si="1"/>
        <v>1.1180456120706036E-4</v>
      </c>
      <c r="P17" s="5">
        <f t="shared" si="2"/>
        <v>4.2471286134047097E-6</v>
      </c>
      <c r="AH17" s="1"/>
      <c r="AI17" s="1"/>
      <c r="AJ17" s="1"/>
    </row>
    <row r="18" spans="1:36" x14ac:dyDescent="0.25">
      <c r="A18">
        <v>51.445</v>
      </c>
      <c r="B18" s="6" t="s">
        <v>67</v>
      </c>
      <c r="C18" s="7" t="s">
        <v>68</v>
      </c>
      <c r="D18" s="1" t="s">
        <v>69</v>
      </c>
      <c r="E18" s="1"/>
      <c r="F18" s="1">
        <v>5.3176672824999999E-5</v>
      </c>
      <c r="G18" s="3">
        <f t="shared" si="0"/>
        <v>1.4812443683844012E-4</v>
      </c>
      <c r="K18" s="6" t="s">
        <v>67</v>
      </c>
      <c r="L18">
        <v>7.6534367672090545E-3</v>
      </c>
      <c r="M18">
        <v>2.5661941267832855E-4</v>
      </c>
      <c r="O18" s="4">
        <f t="shared" si="1"/>
        <v>1.4876930250187686E-4</v>
      </c>
      <c r="P18" s="5">
        <f t="shared" si="2"/>
        <v>4.9882284513233268E-6</v>
      </c>
      <c r="AH18" s="1"/>
      <c r="AI18" s="1"/>
      <c r="AJ18" s="1"/>
    </row>
    <row r="19" spans="1:36" x14ac:dyDescent="0.25">
      <c r="A19">
        <v>60.926000000000002</v>
      </c>
      <c r="B19" s="6" t="s">
        <v>70</v>
      </c>
      <c r="C19" s="7" t="s">
        <v>71</v>
      </c>
      <c r="D19" s="1" t="s">
        <v>72</v>
      </c>
      <c r="E19" s="1"/>
      <c r="F19" s="1">
        <v>6.9512967027000002E-5</v>
      </c>
      <c r="G19" s="3">
        <f t="shared" si="0"/>
        <v>1.9362943461559889E-4</v>
      </c>
      <c r="K19" s="6" t="s">
        <v>70</v>
      </c>
      <c r="L19">
        <v>1.175475684914956E-2</v>
      </c>
      <c r="M19">
        <v>2.0380980611285361E-4</v>
      </c>
      <c r="O19" s="4">
        <f t="shared" si="1"/>
        <v>1.9293498422922166E-4</v>
      </c>
      <c r="P19" s="5">
        <f t="shared" si="2"/>
        <v>3.3452024769860749E-6</v>
      </c>
      <c r="AH19" s="1"/>
      <c r="AI19" s="1"/>
      <c r="AJ19" s="1"/>
    </row>
    <row r="20" spans="1:36" x14ac:dyDescent="0.25">
      <c r="A20">
        <v>36.122</v>
      </c>
      <c r="B20" s="6" t="s">
        <v>73</v>
      </c>
      <c r="C20" s="7" t="s">
        <v>74</v>
      </c>
      <c r="D20" s="1" t="s">
        <v>75</v>
      </c>
      <c r="E20" s="1"/>
      <c r="F20" s="1">
        <v>2.7192125341E-5</v>
      </c>
      <c r="G20" s="3">
        <f t="shared" si="0"/>
        <v>7.574408172980501E-5</v>
      </c>
      <c r="K20" s="6" t="s">
        <v>73</v>
      </c>
      <c r="L20">
        <v>1.1882986526484123E-4</v>
      </c>
      <c r="M20">
        <v>7.0063939146987032E-6</v>
      </c>
      <c r="O20" s="4">
        <f t="shared" si="1"/>
        <v>3.2896812265334485E-6</v>
      </c>
      <c r="P20" s="5">
        <f t="shared" si="2"/>
        <v>1.9396472827359235E-7</v>
      </c>
      <c r="AH20" s="1"/>
      <c r="AI20" s="1"/>
      <c r="AJ20" s="1"/>
    </row>
    <row r="21" spans="1:36" x14ac:dyDescent="0.25">
      <c r="A21">
        <v>40.145000000000003</v>
      </c>
      <c r="B21" s="6" t="s">
        <v>76</v>
      </c>
      <c r="C21" s="7" t="s">
        <v>77</v>
      </c>
      <c r="D21" s="1"/>
      <c r="E21" s="1"/>
      <c r="F21" s="1" t="e">
        <v>#N/A</v>
      </c>
      <c r="G21" s="3" t="e">
        <f t="shared" si="0"/>
        <v>#N/A</v>
      </c>
      <c r="K21" s="6" t="s">
        <v>76</v>
      </c>
      <c r="L21">
        <v>2.8991671297659326E-3</v>
      </c>
      <c r="M21">
        <v>1.0513914294550844E-4</v>
      </c>
      <c r="O21" s="4">
        <f t="shared" si="1"/>
        <v>7.2217390204656431E-5</v>
      </c>
      <c r="P21" s="5">
        <f t="shared" si="2"/>
        <v>2.618984753904806E-6</v>
      </c>
      <c r="AH21" s="1"/>
      <c r="AI21" s="1"/>
      <c r="AJ21" s="1"/>
    </row>
    <row r="22" spans="1:36" x14ac:dyDescent="0.25">
      <c r="A22">
        <v>39.582999999999998</v>
      </c>
      <c r="B22" s="6" t="s">
        <v>78</v>
      </c>
      <c r="C22" s="7" t="s">
        <v>77</v>
      </c>
      <c r="D22" s="1"/>
      <c r="E22" s="1"/>
      <c r="F22" s="1" t="e">
        <v>#N/A</v>
      </c>
      <c r="G22" s="3" t="e">
        <f t="shared" si="0"/>
        <v>#N/A</v>
      </c>
      <c r="K22" s="6" t="s">
        <v>78</v>
      </c>
      <c r="L22">
        <v>1.3158698642703933E-4</v>
      </c>
      <c r="M22">
        <v>4.84926914892894E-6</v>
      </c>
      <c r="O22" s="4">
        <f t="shared" si="1"/>
        <v>3.324330809363599E-6</v>
      </c>
      <c r="P22" s="5">
        <f t="shared" si="2"/>
        <v>1.2250888383722658E-7</v>
      </c>
      <c r="AH22" s="1"/>
      <c r="AI22" s="1"/>
      <c r="AJ22" s="1"/>
    </row>
    <row r="23" spans="1:36" x14ac:dyDescent="0.25">
      <c r="A23">
        <v>70.307000000000002</v>
      </c>
      <c r="B23" s="6" t="s">
        <v>79</v>
      </c>
      <c r="C23" s="7" t="s">
        <v>80</v>
      </c>
      <c r="D23" s="1"/>
      <c r="E23" s="1"/>
      <c r="F23" s="1" t="e">
        <v>#N/A</v>
      </c>
      <c r="G23" s="3" t="e">
        <f t="shared" si="0"/>
        <v>#N/A</v>
      </c>
      <c r="H23" s="8" t="e">
        <f>(O23-G23)/O23</f>
        <v>#N/A</v>
      </c>
      <c r="K23" s="6" t="s">
        <v>79</v>
      </c>
      <c r="L23">
        <v>1.2723763700294297E-5</v>
      </c>
      <c r="M23">
        <v>8.4213966340878746E-7</v>
      </c>
      <c r="O23" s="4">
        <f t="shared" si="1"/>
        <v>1.8097435106453549E-7</v>
      </c>
      <c r="P23" s="5">
        <f t="shared" si="2"/>
        <v>1.1978034383614539E-8</v>
      </c>
      <c r="AH23" s="1"/>
      <c r="AI23" s="1"/>
      <c r="AJ23" s="1"/>
    </row>
    <row r="24" spans="1:36" x14ac:dyDescent="0.25">
      <c r="A24">
        <v>70.513999999999996</v>
      </c>
      <c r="B24" s="6" t="s">
        <v>81</v>
      </c>
      <c r="C24" s="7" t="s">
        <v>82</v>
      </c>
      <c r="D24" s="1"/>
      <c r="E24" s="1"/>
      <c r="F24" s="1">
        <v>2.372289402E-6</v>
      </c>
      <c r="G24" s="3">
        <f t="shared" si="0"/>
        <v>6.6080484735376051E-6</v>
      </c>
      <c r="H24" s="8">
        <f>(SUM(O23:O24)-G24)/SUM(O23:O24)</f>
        <v>-0.75891793774866934</v>
      </c>
      <c r="I24" s="8">
        <f>G24/(SUM(O23:O24))</f>
        <v>1.7589179377486692</v>
      </c>
      <c r="K24" s="6" t="s">
        <v>81</v>
      </c>
      <c r="L24">
        <v>2.521516054255981E-4</v>
      </c>
      <c r="M24">
        <v>9.1077870869679429E-6</v>
      </c>
      <c r="O24" s="4">
        <f t="shared" si="1"/>
        <v>3.5759084072042163E-6</v>
      </c>
      <c r="P24" s="5">
        <f t="shared" si="2"/>
        <v>1.2916281996437508E-7</v>
      </c>
      <c r="AH24" s="1"/>
      <c r="AI24" s="1"/>
      <c r="AJ24" s="1"/>
    </row>
    <row r="25" spans="1:36" x14ac:dyDescent="0.25">
      <c r="A25">
        <v>41.857999999999997</v>
      </c>
      <c r="B25" s="6" t="s">
        <v>83</v>
      </c>
      <c r="C25" s="7" t="s">
        <v>84</v>
      </c>
      <c r="D25" s="1"/>
      <c r="E25" s="1"/>
      <c r="F25" s="1">
        <v>3.5184508950000001E-6</v>
      </c>
      <c r="G25" s="3">
        <f t="shared" si="0"/>
        <v>9.8006988718662952E-6</v>
      </c>
      <c r="H25" s="8">
        <f t="shared" ref="H25:H35" si="3">(O25-G25)/O25</f>
        <v>-0.7606915022568711</v>
      </c>
      <c r="I25" s="8">
        <f t="shared" ref="I25:I35" si="4">G25/O25</f>
        <v>1.7606915022568712</v>
      </c>
      <c r="K25" s="6" t="s">
        <v>83</v>
      </c>
      <c r="L25">
        <v>2.3299803108763395E-4</v>
      </c>
      <c r="M25">
        <v>7.3848104264098787E-6</v>
      </c>
      <c r="O25" s="4">
        <f t="shared" si="1"/>
        <v>5.5663918746149829E-6</v>
      </c>
      <c r="P25" s="5">
        <f t="shared" si="2"/>
        <v>1.7642530523221079E-7</v>
      </c>
      <c r="AH25" s="1"/>
      <c r="AI25" s="1"/>
      <c r="AJ25" s="1"/>
    </row>
    <row r="26" spans="1:36" x14ac:dyDescent="0.25">
      <c r="A26">
        <v>41.369</v>
      </c>
      <c r="B26" s="6" t="s">
        <v>85</v>
      </c>
      <c r="C26" s="7" t="s">
        <v>86</v>
      </c>
      <c r="D26" s="1"/>
      <c r="E26" s="1"/>
      <c r="F26" s="1">
        <v>3.62711291E-6</v>
      </c>
      <c r="G26" s="3">
        <f t="shared" si="0"/>
        <v>1.0103378579387187E-5</v>
      </c>
      <c r="H26" s="8">
        <f t="shared" si="3"/>
        <v>-0.76069150236875893</v>
      </c>
      <c r="I26" s="8">
        <f t="shared" si="4"/>
        <v>1.760691502368759</v>
      </c>
      <c r="K26" s="6" t="s">
        <v>85</v>
      </c>
      <c r="L26">
        <v>2.3738779217617287E-4</v>
      </c>
      <c r="M26">
        <v>7.4520024621489683E-6</v>
      </c>
      <c r="O26" s="4">
        <f t="shared" si="1"/>
        <v>5.7383014376990713E-6</v>
      </c>
      <c r="P26" s="5">
        <f t="shared" si="2"/>
        <v>1.8013494312526211E-7</v>
      </c>
      <c r="AH26" s="1"/>
      <c r="AI26" s="1"/>
      <c r="AJ26" s="1"/>
    </row>
    <row r="27" spans="1:36" x14ac:dyDescent="0.25">
      <c r="A27">
        <v>30.474</v>
      </c>
      <c r="B27" s="6" t="s">
        <v>87</v>
      </c>
      <c r="C27" s="7" t="s">
        <v>88</v>
      </c>
      <c r="D27" s="1"/>
      <c r="E27" s="1"/>
      <c r="F27" s="1">
        <v>8.8401754700000005E-7</v>
      </c>
      <c r="G27" s="3">
        <f t="shared" si="0"/>
        <v>2.4624444206128136E-6</v>
      </c>
      <c r="H27" s="8">
        <f t="shared" si="3"/>
        <v>-0.76069150124261076</v>
      </c>
      <c r="I27" s="8">
        <f t="shared" si="4"/>
        <v>1.7606915012426108</v>
      </c>
      <c r="K27" s="6" t="s">
        <v>87</v>
      </c>
      <c r="L27">
        <v>4.2619920196578962E-5</v>
      </c>
      <c r="M27">
        <v>1.9420757630582804E-6</v>
      </c>
      <c r="O27" s="4">
        <f t="shared" si="1"/>
        <v>1.3985666534284624E-6</v>
      </c>
      <c r="P27" s="5">
        <f t="shared" si="2"/>
        <v>6.3728941493019642E-8</v>
      </c>
      <c r="AH27" s="1"/>
      <c r="AI27" s="1"/>
      <c r="AJ27" s="1"/>
    </row>
    <row r="28" spans="1:36" x14ac:dyDescent="0.25">
      <c r="A28">
        <v>39.941000000000003</v>
      </c>
      <c r="B28" s="6" t="s">
        <v>89</v>
      </c>
      <c r="C28" s="7" t="s">
        <v>90</v>
      </c>
      <c r="D28" s="1"/>
      <c r="E28" s="1"/>
      <c r="F28" s="1">
        <v>7.2847700189999999E-6</v>
      </c>
      <c r="G28" s="3">
        <f t="shared" si="0"/>
        <v>2.0291838493036213E-5</v>
      </c>
      <c r="H28" s="8">
        <f t="shared" si="3"/>
        <v>-0.76069150217980386</v>
      </c>
      <c r="I28" s="8">
        <f t="shared" si="4"/>
        <v>1.760691502179804</v>
      </c>
      <c r="K28" s="6" t="s">
        <v>89</v>
      </c>
      <c r="L28">
        <v>4.6031705170778559E-4</v>
      </c>
      <c r="M28">
        <v>1.1282131489038944E-5</v>
      </c>
      <c r="O28" s="4">
        <f t="shared" si="1"/>
        <v>1.152492555789253E-5</v>
      </c>
      <c r="P28" s="5">
        <f t="shared" si="2"/>
        <v>2.8246993037327416E-7</v>
      </c>
      <c r="AH28" s="1"/>
      <c r="AI28" s="1"/>
      <c r="AJ28" s="1"/>
    </row>
    <row r="29" spans="1:36" x14ac:dyDescent="0.25">
      <c r="A29">
        <v>36.503999999999998</v>
      </c>
      <c r="B29" s="6" t="s">
        <v>91</v>
      </c>
      <c r="C29" s="7" t="s">
        <v>92</v>
      </c>
      <c r="D29" s="1"/>
      <c r="E29" s="1"/>
      <c r="F29" s="1">
        <v>1.4382608594E-5</v>
      </c>
      <c r="G29" s="3">
        <f t="shared" si="0"/>
        <v>4.0062976584958216E-5</v>
      </c>
      <c r="H29" s="8">
        <f t="shared" si="3"/>
        <v>-0.76069150191056789</v>
      </c>
      <c r="I29" s="8">
        <f t="shared" si="4"/>
        <v>1.7606915019105678</v>
      </c>
      <c r="K29" s="6" t="s">
        <v>91</v>
      </c>
      <c r="L29">
        <v>8.3061620713814198E-4</v>
      </c>
      <c r="M29">
        <v>1.4977680843132558E-5</v>
      </c>
      <c r="O29" s="4">
        <f>L29/A29</f>
        <v>2.2754114813120263E-5</v>
      </c>
      <c r="P29" s="5">
        <f t="shared" si="2"/>
        <v>4.1030245570711589E-7</v>
      </c>
      <c r="AH29" s="1"/>
      <c r="AI29" s="1"/>
      <c r="AJ29" s="1"/>
    </row>
    <row r="30" spans="1:36" x14ac:dyDescent="0.25">
      <c r="A30">
        <v>31.189</v>
      </c>
      <c r="B30" s="9" t="s">
        <v>93</v>
      </c>
      <c r="C30" s="10" t="s">
        <v>94</v>
      </c>
      <c r="D30" s="1"/>
      <c r="E30" s="1"/>
      <c r="F30">
        <v>2.482772781E-6</v>
      </c>
      <c r="G30" s="3">
        <f t="shared" si="0"/>
        <v>6.9158016183844018E-6</v>
      </c>
      <c r="H30" s="8">
        <f t="shared" si="3"/>
        <v>-0.60520897787589933</v>
      </c>
      <c r="I30" s="8">
        <f t="shared" si="4"/>
        <v>1.6052089778758993</v>
      </c>
      <c r="K30" s="9" t="s">
        <v>93</v>
      </c>
      <c r="L30">
        <v>1.3437311879554347E-4</v>
      </c>
      <c r="M30">
        <v>4.6027477844345979E-6</v>
      </c>
      <c r="O30" s="4">
        <f t="shared" ref="O30:O41" si="5">L30/A30</f>
        <v>4.3083497000719311E-6</v>
      </c>
      <c r="P30" s="5">
        <f t="shared" si="2"/>
        <v>1.4757599744892745E-7</v>
      </c>
      <c r="AH30" s="1"/>
      <c r="AI30" s="1"/>
      <c r="AJ30" s="1"/>
    </row>
    <row r="31" spans="1:36" x14ac:dyDescent="0.25">
      <c r="A31">
        <v>21.824999999999999</v>
      </c>
      <c r="B31" s="9" t="s">
        <v>95</v>
      </c>
      <c r="C31" s="10" t="s">
        <v>96</v>
      </c>
      <c r="D31" s="1"/>
      <c r="E31" s="1"/>
      <c r="F31">
        <v>1.535112497E-6</v>
      </c>
      <c r="G31" s="3">
        <f t="shared" si="0"/>
        <v>4.2760793788300838E-6</v>
      </c>
      <c r="H31" s="8">
        <f t="shared" si="3"/>
        <v>-3.1364258461421977</v>
      </c>
      <c r="I31" s="8">
        <f>G31/O31</f>
        <v>4.1364258461421972</v>
      </c>
      <c r="K31" s="9" t="s">
        <v>95</v>
      </c>
      <c r="L31">
        <v>2.2561853134634518E-5</v>
      </c>
      <c r="M31">
        <v>1.0968716671586267E-6</v>
      </c>
      <c r="O31" s="4">
        <f t="shared" si="5"/>
        <v>1.0337618847484315E-6</v>
      </c>
      <c r="P31" s="5">
        <f t="shared" si="2"/>
        <v>5.0257579251254371E-8</v>
      </c>
      <c r="AH31" s="1"/>
      <c r="AI31" s="1"/>
      <c r="AJ31" s="1"/>
    </row>
    <row r="32" spans="1:36" x14ac:dyDescent="0.25">
      <c r="A32">
        <v>12.662000000000001</v>
      </c>
      <c r="B32" s="11" t="s">
        <v>97</v>
      </c>
      <c r="C32" s="12" t="s">
        <v>98</v>
      </c>
      <c r="F32" s="2" t="e">
        <v>#N/A</v>
      </c>
      <c r="G32" s="3" t="e">
        <f t="shared" si="0"/>
        <v>#N/A</v>
      </c>
      <c r="H32" s="8" t="e">
        <f t="shared" si="3"/>
        <v>#N/A</v>
      </c>
      <c r="I32" s="8" t="e">
        <f t="shared" si="4"/>
        <v>#N/A</v>
      </c>
      <c r="K32" s="11" t="s">
        <v>97</v>
      </c>
      <c r="L32">
        <v>2.1802236949414183E-4</v>
      </c>
      <c r="M32">
        <v>4.5004422028753396E-6</v>
      </c>
      <c r="O32" s="4">
        <f t="shared" si="5"/>
        <v>1.7218636036498328E-5</v>
      </c>
      <c r="P32" s="5">
        <f t="shared" si="2"/>
        <v>3.5542901618033006E-7</v>
      </c>
      <c r="AH32" s="1"/>
      <c r="AI32" s="1"/>
      <c r="AJ32" s="1"/>
    </row>
    <row r="33" spans="1:36" x14ac:dyDescent="0.25">
      <c r="A33">
        <v>11.625</v>
      </c>
      <c r="B33" s="11" t="s">
        <v>128</v>
      </c>
      <c r="C33" s="12" t="s">
        <v>129</v>
      </c>
      <c r="F33" s="2">
        <v>1.045176056E-5</v>
      </c>
      <c r="G33" s="3">
        <f t="shared" si="0"/>
        <v>2.9113539164345403E-5</v>
      </c>
      <c r="H33" s="8">
        <f t="shared" si="3"/>
        <v>-540.25202748363233</v>
      </c>
      <c r="I33" s="8">
        <f>G33/SUM(O32:O35)</f>
        <v>1.624271019289848</v>
      </c>
      <c r="K33" s="11" t="s">
        <v>128</v>
      </c>
      <c r="L33" s="2">
        <v>6.2529999999999997E-7</v>
      </c>
      <c r="M33" s="2">
        <v>4.9000000000000002E-8</v>
      </c>
      <c r="O33" s="4">
        <f t="shared" si="5"/>
        <v>5.3789247311827955E-8</v>
      </c>
      <c r="P33" s="5">
        <f t="shared" si="2"/>
        <v>4.21505376344086E-9</v>
      </c>
      <c r="AH33" s="1"/>
      <c r="AI33" s="1"/>
      <c r="AJ33" s="1"/>
    </row>
    <row r="34" spans="1:36" x14ac:dyDescent="0.25">
      <c r="A34">
        <v>11.095000000000001</v>
      </c>
      <c r="B34" s="11" t="s">
        <v>130</v>
      </c>
      <c r="C34" s="12" t="s">
        <v>129</v>
      </c>
      <c r="F34" s="2" t="e">
        <v>#N/A</v>
      </c>
      <c r="G34" s="3" t="e">
        <f t="shared" si="0"/>
        <v>#N/A</v>
      </c>
      <c r="H34" s="8" t="e">
        <f t="shared" si="3"/>
        <v>#N/A</v>
      </c>
      <c r="I34" s="8" t="e">
        <f t="shared" si="4"/>
        <v>#N/A</v>
      </c>
      <c r="K34" s="11" t="s">
        <v>130</v>
      </c>
      <c r="L34" s="2">
        <v>2.43E-6</v>
      </c>
      <c r="M34" s="2">
        <v>1.5599999999999999E-7</v>
      </c>
      <c r="O34" s="4">
        <f t="shared" si="5"/>
        <v>2.1901757548445245E-7</v>
      </c>
      <c r="P34" s="5">
        <f t="shared" si="2"/>
        <v>1.4060387561964848E-8</v>
      </c>
      <c r="AH34" s="1"/>
      <c r="AI34" s="1"/>
      <c r="AJ34" s="1"/>
    </row>
    <row r="35" spans="1:36" x14ac:dyDescent="0.25">
      <c r="A35">
        <v>6.8419999999999996</v>
      </c>
      <c r="B35" s="11" t="s">
        <v>131</v>
      </c>
      <c r="C35" s="12" t="s">
        <v>129</v>
      </c>
      <c r="F35" s="2" t="e">
        <v>#N/A</v>
      </c>
      <c r="G35" s="3" t="e">
        <f t="shared" si="0"/>
        <v>#N/A</v>
      </c>
      <c r="H35" s="8" t="e">
        <f t="shared" si="3"/>
        <v>#N/A</v>
      </c>
      <c r="I35" s="8" t="e">
        <f t="shared" si="4"/>
        <v>#N/A</v>
      </c>
      <c r="K35" s="11" t="s">
        <v>131</v>
      </c>
      <c r="L35" s="2">
        <v>2.96E-6</v>
      </c>
      <c r="M35" s="2">
        <v>1.6999999999999999E-7</v>
      </c>
      <c r="O35" s="4">
        <f t="shared" si="5"/>
        <v>4.3262204033908217E-7</v>
      </c>
      <c r="P35" s="5">
        <f t="shared" si="2"/>
        <v>2.4846536100555392E-8</v>
      </c>
      <c r="AH35" s="1"/>
      <c r="AI35" s="1"/>
      <c r="AJ35" s="1"/>
    </row>
    <row r="36" spans="1:36" x14ac:dyDescent="0.25">
      <c r="A36">
        <v>9.9649999999999999</v>
      </c>
      <c r="B36" s="13" t="s">
        <v>99</v>
      </c>
      <c r="C36" t="s">
        <v>100</v>
      </c>
      <c r="F36" t="e">
        <v>#N/A</v>
      </c>
      <c r="G36" s="3" t="e">
        <f t="shared" si="0"/>
        <v>#N/A</v>
      </c>
      <c r="H36" s="8"/>
      <c r="K36" s="13" t="s">
        <v>99</v>
      </c>
      <c r="L36">
        <v>6.0723708412905434E-6</v>
      </c>
      <c r="M36">
        <v>3.276007152527668E-7</v>
      </c>
      <c r="O36" s="4">
        <f t="shared" si="5"/>
        <v>6.0936987870452012E-7</v>
      </c>
      <c r="P36" s="5">
        <f t="shared" si="2"/>
        <v>3.2875134496012725E-8</v>
      </c>
      <c r="AH36" s="1"/>
      <c r="AI36" s="1"/>
      <c r="AJ36" s="1"/>
    </row>
    <row r="37" spans="1:36" x14ac:dyDescent="0.25">
      <c r="A37">
        <v>23.779</v>
      </c>
      <c r="B37" s="13" t="s">
        <v>101</v>
      </c>
      <c r="C37" t="s">
        <v>100</v>
      </c>
      <c r="F37" t="e">
        <v>#N/A</v>
      </c>
      <c r="G37" s="3" t="e">
        <f t="shared" si="0"/>
        <v>#N/A</v>
      </c>
      <c r="H37" s="8"/>
      <c r="K37" s="13" t="s">
        <v>101</v>
      </c>
      <c r="L37">
        <v>1.2276069908162464E-5</v>
      </c>
      <c r="M37">
        <v>6.8282399415121016E-7</v>
      </c>
      <c r="O37" s="4">
        <f t="shared" si="5"/>
        <v>5.1625677733136231E-7</v>
      </c>
      <c r="P37" s="5">
        <f t="shared" si="2"/>
        <v>2.8715420923975363E-8</v>
      </c>
      <c r="AH37" s="1"/>
      <c r="AI37" s="1"/>
      <c r="AJ37" s="1"/>
    </row>
    <row r="38" spans="1:36" x14ac:dyDescent="0.25">
      <c r="A38">
        <v>25.721</v>
      </c>
      <c r="B38" s="13" t="s">
        <v>102</v>
      </c>
      <c r="C38" t="s">
        <v>100</v>
      </c>
      <c r="F38" t="e">
        <v>#N/A</v>
      </c>
      <c r="G38" s="3" t="e">
        <f t="shared" si="0"/>
        <v>#N/A</v>
      </c>
      <c r="H38" s="8"/>
      <c r="J38" s="2"/>
      <c r="K38" s="13" t="s">
        <v>102</v>
      </c>
      <c r="L38">
        <v>2.4789185736183079E-5</v>
      </c>
      <c r="M38">
        <v>1.2226908906238183E-6</v>
      </c>
      <c r="O38" s="4">
        <f t="shared" si="5"/>
        <v>9.6377223810050456E-7</v>
      </c>
      <c r="P38" s="5">
        <f t="shared" si="2"/>
        <v>4.7536677836157935E-8</v>
      </c>
      <c r="AH38" s="1"/>
      <c r="AI38" s="1"/>
      <c r="AJ38" s="1"/>
    </row>
    <row r="39" spans="1:36" x14ac:dyDescent="0.25">
      <c r="A39">
        <v>38.411999999999999</v>
      </c>
      <c r="B39" s="13" t="s">
        <v>103</v>
      </c>
      <c r="C39" t="s">
        <v>100</v>
      </c>
      <c r="F39" t="e">
        <v>#N/A</v>
      </c>
      <c r="G39" s="3" t="e">
        <f t="shared" si="0"/>
        <v>#N/A</v>
      </c>
      <c r="H39" s="8"/>
      <c r="K39" s="13" t="s">
        <v>103</v>
      </c>
      <c r="L39">
        <v>1.6417639765753983E-5</v>
      </c>
      <c r="M39">
        <v>9.4446367372077682E-7</v>
      </c>
      <c r="O39" s="4">
        <f t="shared" si="5"/>
        <v>4.274091368779023E-7</v>
      </c>
      <c r="P39" s="5">
        <f t="shared" si="2"/>
        <v>2.4587724505903801E-8</v>
      </c>
      <c r="AH39" s="1"/>
      <c r="AI39" s="1"/>
      <c r="AJ39" s="1"/>
    </row>
    <row r="40" spans="1:36" x14ac:dyDescent="0.25">
      <c r="A40">
        <v>52.136000000000003</v>
      </c>
      <c r="B40" s="13" t="s">
        <v>104</v>
      </c>
      <c r="C40" t="s">
        <v>100</v>
      </c>
      <c r="F40" t="e">
        <v>#N/A</v>
      </c>
      <c r="G40" s="3" t="e">
        <f t="shared" si="0"/>
        <v>#N/A</v>
      </c>
      <c r="H40" s="8"/>
      <c r="K40" s="13" t="s">
        <v>104</v>
      </c>
      <c r="L40">
        <v>7.0227210946584789E-5</v>
      </c>
      <c r="M40">
        <v>3.2266732930678812E-6</v>
      </c>
      <c r="O40" s="4">
        <f t="shared" si="5"/>
        <v>1.3470003634069508E-6</v>
      </c>
      <c r="P40" s="5">
        <f t="shared" si="2"/>
        <v>6.1889544519485208E-8</v>
      </c>
      <c r="AH40" s="1"/>
      <c r="AI40" s="1"/>
      <c r="AJ40" s="1"/>
    </row>
    <row r="41" spans="1:36" x14ac:dyDescent="0.25">
      <c r="A41">
        <v>22.757999999999999</v>
      </c>
      <c r="B41" s="13" t="s">
        <v>105</v>
      </c>
      <c r="C41" t="s">
        <v>100</v>
      </c>
      <c r="F41" t="e">
        <v>#N/A</v>
      </c>
      <c r="G41" s="3" t="e">
        <f t="shared" si="0"/>
        <v>#N/A</v>
      </c>
      <c r="H41" s="8"/>
      <c r="K41" s="13" t="s">
        <v>105</v>
      </c>
      <c r="L41">
        <v>1.5385960046332389E-5</v>
      </c>
      <c r="M41">
        <v>8.1393792288849254E-7</v>
      </c>
      <c r="O41" s="4">
        <f t="shared" si="5"/>
        <v>6.7606819783515206E-7</v>
      </c>
      <c r="P41" s="5">
        <f t="shared" si="2"/>
        <v>3.5764914442767053E-8</v>
      </c>
      <c r="AH41" s="1"/>
      <c r="AI41" s="1"/>
      <c r="AJ41" s="1"/>
    </row>
    <row r="42" spans="1:36" x14ac:dyDescent="0.25">
      <c r="A42">
        <v>20.85</v>
      </c>
      <c r="B42" s="13" t="s">
        <v>106</v>
      </c>
      <c r="C42" t="s">
        <v>100</v>
      </c>
      <c r="F42" t="e">
        <v>#N/A</v>
      </c>
      <c r="G42" s="3" t="e">
        <f t="shared" si="0"/>
        <v>#N/A</v>
      </c>
      <c r="H42" s="8"/>
      <c r="K42" s="13" t="s">
        <v>106</v>
      </c>
      <c r="L42">
        <v>7.8919826425829579E-5</v>
      </c>
      <c r="M42">
        <v>2.805616048166686E-6</v>
      </c>
      <c r="O42" s="4">
        <f>L42/A42</f>
        <v>3.7851235695841523E-6</v>
      </c>
      <c r="P42" s="5">
        <f t="shared" si="2"/>
        <v>1.3456192077538062E-7</v>
      </c>
      <c r="AH42" s="1"/>
      <c r="AI42" s="1"/>
      <c r="AJ42" s="1"/>
    </row>
    <row r="43" spans="1:36" x14ac:dyDescent="0.25">
      <c r="O43" s="2"/>
      <c r="AH43" s="1"/>
      <c r="AI43" s="1"/>
      <c r="AJ43" s="1"/>
    </row>
    <row r="44" spans="1:36" x14ac:dyDescent="0.25">
      <c r="O44" s="2"/>
      <c r="AH44" s="1"/>
      <c r="AI44" s="1"/>
      <c r="AJ44" s="1"/>
    </row>
    <row r="45" spans="1:36" x14ac:dyDescent="0.25">
      <c r="O45" s="2"/>
      <c r="AH45" s="1"/>
      <c r="AI45" s="1"/>
      <c r="AJ45" s="1"/>
    </row>
    <row r="46" spans="1:36" x14ac:dyDescent="0.25">
      <c r="O46" s="2"/>
      <c r="AH46" s="1"/>
      <c r="AI46" s="1"/>
      <c r="AJ46" s="1"/>
    </row>
    <row r="47" spans="1:36" x14ac:dyDescent="0.25">
      <c r="O47" s="2"/>
      <c r="AH47" s="1"/>
      <c r="AI47" s="1"/>
      <c r="AJ47" s="1"/>
    </row>
    <row r="48" spans="1:36" x14ac:dyDescent="0.25">
      <c r="O48" s="2"/>
      <c r="AH48" s="1"/>
      <c r="AI48" s="1"/>
      <c r="AJ48" s="1"/>
    </row>
    <row r="49" spans="2:36" x14ac:dyDescent="0.25">
      <c r="O49" s="2"/>
      <c r="AH49" s="1"/>
      <c r="AI49" s="1"/>
      <c r="AJ49" s="1"/>
    </row>
    <row r="50" spans="2:36" x14ac:dyDescent="0.25">
      <c r="O50" s="2"/>
      <c r="AH50" s="1"/>
      <c r="AI50" s="1"/>
      <c r="AJ50" s="1"/>
    </row>
    <row r="51" spans="2:36" x14ac:dyDescent="0.25">
      <c r="O51" s="2"/>
      <c r="AH51" s="1"/>
      <c r="AI51" s="1"/>
      <c r="AJ51" s="1"/>
    </row>
    <row r="52" spans="2:36" x14ac:dyDescent="0.25">
      <c r="O52" s="2"/>
      <c r="AH52" s="1"/>
      <c r="AI52" s="1"/>
      <c r="AJ52" s="1"/>
    </row>
    <row r="53" spans="2:36" x14ac:dyDescent="0.25">
      <c r="O53" s="2"/>
      <c r="AH53" s="1"/>
      <c r="AI53" s="1"/>
      <c r="AJ53" s="1"/>
    </row>
    <row r="54" spans="2:36" x14ac:dyDescent="0.25">
      <c r="G54" s="2"/>
      <c r="O54" s="2"/>
      <c r="AH54" s="1"/>
      <c r="AI54" s="1"/>
      <c r="AJ54" s="1"/>
    </row>
    <row r="55" spans="2:36" x14ac:dyDescent="0.25">
      <c r="E55" t="s">
        <v>26</v>
      </c>
      <c r="F55" s="19" t="s">
        <v>28</v>
      </c>
      <c r="G55" s="19"/>
      <c r="J55" t="s">
        <v>26</v>
      </c>
      <c r="K55" t="s">
        <v>28</v>
      </c>
      <c r="O55" s="2"/>
      <c r="AH55" s="1"/>
      <c r="AI55" s="1"/>
      <c r="AJ55" s="1"/>
    </row>
    <row r="56" spans="2:36" x14ac:dyDescent="0.25">
      <c r="B56" s="2"/>
      <c r="E56" t="s">
        <v>31</v>
      </c>
      <c r="F56" s="4" t="s">
        <v>32</v>
      </c>
      <c r="G56" s="5" t="s">
        <v>33</v>
      </c>
      <c r="J56" t="s">
        <v>31</v>
      </c>
      <c r="K56" t="s">
        <v>32</v>
      </c>
      <c r="L56" t="s">
        <v>33</v>
      </c>
      <c r="O56" s="2"/>
      <c r="AH56" s="1"/>
      <c r="AI56" s="1"/>
      <c r="AJ56" s="1"/>
    </row>
    <row r="57" spans="2:36" x14ac:dyDescent="0.25">
      <c r="B57" s="8"/>
      <c r="D57" s="1" t="s">
        <v>36</v>
      </c>
      <c r="E57">
        <v>2.5259291966573819E-5</v>
      </c>
      <c r="F57">
        <v>2.5162826034217326E-5</v>
      </c>
      <c r="G57" s="2">
        <v>1.4395022274275469E-6</v>
      </c>
      <c r="I57" s="7" t="s">
        <v>80</v>
      </c>
      <c r="J57" t="e">
        <v>#N/A</v>
      </c>
      <c r="K57">
        <v>1.8097435106453549E-7</v>
      </c>
      <c r="L57">
        <v>1.1978034383614539E-8</v>
      </c>
      <c r="O57" s="2"/>
      <c r="AH57" s="1"/>
      <c r="AI57" s="1"/>
      <c r="AJ57" s="1"/>
    </row>
    <row r="58" spans="2:36" x14ac:dyDescent="0.25">
      <c r="D58" s="1" t="s">
        <v>39</v>
      </c>
      <c r="E58">
        <v>4.660480662674095E-5</v>
      </c>
      <c r="F58">
        <v>4.6433825013844236E-5</v>
      </c>
      <c r="G58" s="2">
        <v>2.3507037397174724E-6</v>
      </c>
      <c r="I58" s="7" t="s">
        <v>82</v>
      </c>
      <c r="J58">
        <v>6.6080484735376051E-6</v>
      </c>
      <c r="K58">
        <v>3.5759084072042163E-6</v>
      </c>
      <c r="L58">
        <v>1.2916281996437508E-7</v>
      </c>
      <c r="O58" s="2"/>
      <c r="AH58" s="1"/>
      <c r="AI58" s="1"/>
      <c r="AJ58" s="1"/>
    </row>
    <row r="59" spans="2:36" x14ac:dyDescent="0.25">
      <c r="D59" s="1" t="s">
        <v>42</v>
      </c>
      <c r="E59">
        <v>7.6880909442896949E-6</v>
      </c>
      <c r="F59">
        <v>7.6598852218989575E-6</v>
      </c>
      <c r="G59" s="2">
        <v>3.9789753763346777E-7</v>
      </c>
      <c r="I59" s="7" t="s">
        <v>84</v>
      </c>
      <c r="J59">
        <v>9.8006988718662952E-6</v>
      </c>
      <c r="K59">
        <v>5.5663918746149829E-6</v>
      </c>
      <c r="L59">
        <v>1.7642530523221079E-7</v>
      </c>
      <c r="O59" s="2"/>
      <c r="AH59" s="1"/>
      <c r="AI59" s="1"/>
      <c r="AJ59" s="1"/>
    </row>
    <row r="60" spans="2:36" x14ac:dyDescent="0.25">
      <c r="B60" s="2"/>
      <c r="D60" s="1" t="s">
        <v>45</v>
      </c>
      <c r="E60">
        <v>4.4019686448467967E-5</v>
      </c>
      <c r="F60">
        <v>4.3858189007422885E-5</v>
      </c>
      <c r="G60" s="2">
        <v>1.2956243276383541E-6</v>
      </c>
      <c r="I60" s="7" t="s">
        <v>86</v>
      </c>
      <c r="J60">
        <v>1.0103378579387187E-5</v>
      </c>
      <c r="K60">
        <v>5.7383014376990713E-6</v>
      </c>
      <c r="L60">
        <v>1.8013494312526211E-7</v>
      </c>
      <c r="O60" s="2"/>
      <c r="AH60" s="1"/>
      <c r="AI60" s="1"/>
      <c r="AJ60" s="1"/>
    </row>
    <row r="61" spans="2:36" x14ac:dyDescent="0.25">
      <c r="B61" s="8"/>
      <c r="D61" s="1" t="s">
        <v>48</v>
      </c>
      <c r="E61">
        <v>5.0335908752089142E-5</v>
      </c>
      <c r="F61">
        <v>5.0151238638631813E-5</v>
      </c>
      <c r="G61" s="2">
        <v>5.1853664646378207E-6</v>
      </c>
      <c r="I61" s="7" t="s">
        <v>88</v>
      </c>
      <c r="J61">
        <v>2.4624444206128136E-6</v>
      </c>
      <c r="K61">
        <v>1.3985666534284624E-6</v>
      </c>
      <c r="L61">
        <v>6.3728941493019642E-8</v>
      </c>
      <c r="O61" s="2"/>
      <c r="AH61" s="1"/>
      <c r="AI61" s="1"/>
      <c r="AJ61" s="1"/>
    </row>
    <row r="62" spans="2:36" x14ac:dyDescent="0.25">
      <c r="D62" s="1" t="s">
        <v>51</v>
      </c>
      <c r="E62">
        <v>1.4657966799442897E-5</v>
      </c>
      <c r="F62">
        <v>1.4312035420422808E-5</v>
      </c>
      <c r="G62" s="2">
        <v>4.2566707209922493E-7</v>
      </c>
      <c r="I62" s="7" t="s">
        <v>90</v>
      </c>
      <c r="J62">
        <v>2.0291838493036213E-5</v>
      </c>
      <c r="K62">
        <v>1.152492555789253E-5</v>
      </c>
      <c r="L62">
        <v>2.8246993037327416E-7</v>
      </c>
      <c r="O62" s="2"/>
      <c r="AH62" s="1"/>
      <c r="AI62" s="1"/>
      <c r="AJ62" s="1"/>
    </row>
    <row r="63" spans="2:36" x14ac:dyDescent="0.25">
      <c r="D63" s="1" t="s">
        <v>54</v>
      </c>
      <c r="E63">
        <v>2.1961948328690809E-6</v>
      </c>
      <c r="F63">
        <v>2.2023123677521908E-6</v>
      </c>
      <c r="G63" s="2">
        <v>9.5219307494572958E-8</v>
      </c>
      <c r="I63" s="7" t="s">
        <v>92</v>
      </c>
      <c r="J63">
        <v>4.0062976584958216E-5</v>
      </c>
      <c r="K63">
        <v>2.2754114813120263E-5</v>
      </c>
      <c r="L63">
        <v>4.1030245570711589E-7</v>
      </c>
      <c r="O63" s="2"/>
      <c r="AH63" s="1"/>
      <c r="AI63" s="1"/>
      <c r="AJ63" s="1"/>
    </row>
    <row r="64" spans="2:36" x14ac:dyDescent="0.25">
      <c r="D64" s="1" t="s">
        <v>57</v>
      </c>
      <c r="E64">
        <v>2.2030597564902507E-4</v>
      </c>
      <c r="F64">
        <v>2.1983523171661431E-4</v>
      </c>
      <c r="G64" s="2">
        <v>8.0624462797256548E-6</v>
      </c>
      <c r="I64" s="10" t="s">
        <v>94</v>
      </c>
      <c r="J64">
        <v>6.9158016183844018E-6</v>
      </c>
      <c r="K64">
        <v>4.3083497000719311E-6</v>
      </c>
      <c r="L64">
        <v>1.4757599744892745E-7</v>
      </c>
      <c r="O64" s="2"/>
      <c r="AH64" s="1"/>
      <c r="AI64" s="1"/>
      <c r="AJ64" s="1"/>
    </row>
    <row r="65" spans="1:36" x14ac:dyDescent="0.25">
      <c r="D65" s="1" t="s">
        <v>60</v>
      </c>
      <c r="E65">
        <v>6.259089898328691E-5</v>
      </c>
      <c r="F65">
        <v>6.2457155101361755E-5</v>
      </c>
      <c r="G65" s="2">
        <v>1.2700185121069086E-6</v>
      </c>
      <c r="I65" s="10" t="s">
        <v>96</v>
      </c>
      <c r="J65">
        <v>4.2760793788300838E-6</v>
      </c>
      <c r="K65">
        <v>1.0337618847484315E-6</v>
      </c>
      <c r="L65">
        <v>5.0257579251254371E-8</v>
      </c>
      <c r="O65" s="2"/>
      <c r="AH65" s="1"/>
      <c r="AI65" s="1"/>
      <c r="AJ65" s="1"/>
    </row>
    <row r="66" spans="1:36" x14ac:dyDescent="0.25">
      <c r="D66" s="1" t="s">
        <v>63</v>
      </c>
      <c r="E66">
        <v>6.8304463442896935E-5</v>
      </c>
      <c r="F66">
        <v>6.8253223418885916E-5</v>
      </c>
      <c r="G66" s="2">
        <v>9.8903303303634984E-7</v>
      </c>
      <c r="I66" s="12" t="s">
        <v>129</v>
      </c>
      <c r="J66">
        <v>2.9113539164345403E-5</v>
      </c>
      <c r="K66" s="2">
        <f>SUM(O32:O35)</f>
        <v>1.7924064899633691E-5</v>
      </c>
      <c r="L66" s="2">
        <f>SUM(P32:P35)</f>
        <v>3.9855099360629118E-7</v>
      </c>
      <c r="O66" s="2"/>
      <c r="AH66" s="1"/>
      <c r="AI66" s="1"/>
      <c r="AJ66" s="1"/>
    </row>
    <row r="67" spans="1:36" x14ac:dyDescent="0.25">
      <c r="D67" s="1" t="s">
        <v>66</v>
      </c>
      <c r="E67">
        <v>1.118884967075209E-4</v>
      </c>
      <c r="F67">
        <v>1.1180456120706036E-4</v>
      </c>
      <c r="G67" s="2">
        <v>4.2471286134047097E-6</v>
      </c>
      <c r="I67" s="12" t="s">
        <v>100</v>
      </c>
      <c r="J67" t="e">
        <v>#N/A</v>
      </c>
      <c r="K67" s="2">
        <f>SUM(O36:O42)</f>
        <v>8.3250001618405446E-6</v>
      </c>
      <c r="L67" s="2">
        <f>SUM(P36:P42)</f>
        <v>3.6593133749968266E-7</v>
      </c>
      <c r="O67" s="2"/>
      <c r="AH67" s="1"/>
      <c r="AI67" s="1"/>
      <c r="AJ67" s="1"/>
    </row>
    <row r="68" spans="1:36" x14ac:dyDescent="0.25">
      <c r="D68" s="1" t="s">
        <v>69</v>
      </c>
      <c r="E68">
        <v>1.4812443683844012E-4</v>
      </c>
      <c r="F68">
        <v>1.4876930250187686E-4</v>
      </c>
      <c r="G68" s="2">
        <v>4.9882284513233268E-6</v>
      </c>
      <c r="I68" s="12"/>
      <c r="O68" s="2"/>
      <c r="AH68" s="1"/>
      <c r="AI68" s="1"/>
      <c r="AJ68" s="1"/>
    </row>
    <row r="69" spans="1:36" x14ac:dyDescent="0.25">
      <c r="D69" s="1" t="s">
        <v>72</v>
      </c>
      <c r="E69">
        <v>1.9362943461559889E-4</v>
      </c>
      <c r="F69">
        <v>1.9293498422922166E-4</v>
      </c>
      <c r="G69" s="2">
        <v>3.3452024769860749E-6</v>
      </c>
      <c r="I69" s="12"/>
      <c r="O69" s="2"/>
      <c r="AH69" s="1"/>
      <c r="AI69" s="1"/>
      <c r="AJ69" s="1"/>
    </row>
    <row r="70" spans="1:36" x14ac:dyDescent="0.25">
      <c r="D70" s="1" t="s">
        <v>75</v>
      </c>
      <c r="E70">
        <v>7.574408172980501E-5</v>
      </c>
      <c r="F70" s="2">
        <v>7.5507071431189882E-5</v>
      </c>
      <c r="G70" s="2">
        <f>SUM(P20:P22)</f>
        <v>2.9354583660156249E-6</v>
      </c>
      <c r="O70" s="2"/>
      <c r="AH70" s="1"/>
      <c r="AI70" s="1"/>
      <c r="AJ70" s="1"/>
    </row>
    <row r="71" spans="1:36" x14ac:dyDescent="0.25">
      <c r="G71" s="2"/>
      <c r="O71" s="2"/>
      <c r="AH71" s="1"/>
      <c r="AI71" s="1"/>
      <c r="AJ71" s="1"/>
    </row>
    <row r="72" spans="1:36" x14ac:dyDescent="0.25">
      <c r="G72" s="2"/>
      <c r="O72" s="2"/>
      <c r="AH72" s="1"/>
      <c r="AI72" s="1"/>
      <c r="AJ72" s="1"/>
    </row>
    <row r="73" spans="1:36" x14ac:dyDescent="0.25">
      <c r="G73" s="2"/>
      <c r="O73" s="2"/>
      <c r="AH73" s="1"/>
      <c r="AI73" s="1"/>
      <c r="AJ73" s="1"/>
    </row>
    <row r="74" spans="1:36" x14ac:dyDescent="0.25">
      <c r="G74" s="2"/>
      <c r="O74" s="2"/>
      <c r="AH74" s="1"/>
      <c r="AI74" s="1"/>
      <c r="AJ74" s="1"/>
    </row>
    <row r="75" spans="1:36" x14ac:dyDescent="0.25">
      <c r="G75" s="2"/>
      <c r="O75" s="2"/>
      <c r="AH75" s="1"/>
      <c r="AI75" s="1"/>
      <c r="AJ75" s="1"/>
    </row>
    <row r="76" spans="1:36" x14ac:dyDescent="0.25">
      <c r="G76" s="2"/>
      <c r="O76" s="2"/>
      <c r="AH76" s="1"/>
      <c r="AI76" s="1"/>
      <c r="AJ76" s="1"/>
    </row>
    <row r="77" spans="1:36" x14ac:dyDescent="0.25">
      <c r="G77" s="2"/>
      <c r="O77" s="2"/>
      <c r="AH77" s="1"/>
      <c r="AI77" s="1"/>
      <c r="AJ77" s="1"/>
    </row>
    <row r="78" spans="1:36" x14ac:dyDescent="0.25">
      <c r="G78" s="2"/>
      <c r="O78" s="2"/>
      <c r="AH78" s="1"/>
      <c r="AI78" s="1"/>
      <c r="AJ78" s="1"/>
    </row>
    <row r="79" spans="1:36" x14ac:dyDescent="0.25">
      <c r="A79" s="1"/>
      <c r="B79" s="1"/>
      <c r="C79" s="1"/>
      <c r="D79" s="1"/>
      <c r="E79" s="1"/>
      <c r="F79" s="1"/>
      <c r="G79" s="14"/>
      <c r="H79" s="1"/>
      <c r="I79" s="1"/>
      <c r="J79" s="1"/>
      <c r="K79" s="1"/>
      <c r="L79" s="1"/>
      <c r="M79" s="1"/>
      <c r="N79" s="1"/>
      <c r="O79" s="14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x14ac:dyDescent="0.25">
      <c r="A80" s="1"/>
      <c r="B80" s="1"/>
      <c r="C80" s="1"/>
      <c r="D80" s="1"/>
      <c r="E80" s="1"/>
      <c r="F80" s="1"/>
      <c r="G80" s="14"/>
      <c r="H80" s="1"/>
      <c r="I80" s="1"/>
      <c r="J80" s="1"/>
      <c r="K80" s="1"/>
      <c r="L80" s="1"/>
      <c r="M80" s="1"/>
      <c r="N80" s="1"/>
      <c r="O80" s="14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x14ac:dyDescent="0.25">
      <c r="A81" s="1"/>
      <c r="B81" s="1"/>
      <c r="C81" s="1"/>
      <c r="D81" s="1"/>
      <c r="E81" s="1"/>
      <c r="F81" s="1"/>
      <c r="G81" s="14"/>
      <c r="H81" s="1"/>
      <c r="I81" s="1"/>
      <c r="J81" s="1"/>
      <c r="K81" s="1"/>
      <c r="L81" s="1"/>
      <c r="M81" s="1"/>
      <c r="N81" s="1"/>
      <c r="O81" s="14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</sheetData>
  <mergeCells count="4">
    <mergeCell ref="I5:J5"/>
    <mergeCell ref="L5:M5"/>
    <mergeCell ref="O5:P5"/>
    <mergeCell ref="F55:G5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9AD68-90EE-BD48-99BE-8DC0880B206D}">
  <dimension ref="A1:AI82"/>
  <sheetViews>
    <sheetView zoomScale="39" workbookViewId="0">
      <selection sqref="A1:AH81"/>
    </sheetView>
  </sheetViews>
  <sheetFormatPr defaultColWidth="11.42578125" defaultRowHeight="15" x14ac:dyDescent="0.25"/>
  <cols>
    <col min="1" max="1" width="11.28515625" bestFit="1" customWidth="1"/>
    <col min="5" max="5" width="12.140625" bestFit="1" customWidth="1"/>
    <col min="6" max="6" width="13.140625" bestFit="1" customWidth="1"/>
    <col min="7" max="9" width="11.42578125" bestFit="1" customWidth="1"/>
    <col min="10" max="13" width="12.42578125" bestFit="1" customWidth="1"/>
    <col min="15" max="15" width="11.42578125" bestFit="1" customWidth="1"/>
    <col min="16" max="16" width="12.42578125" bestFit="1" customWidth="1"/>
  </cols>
  <sheetData>
    <row r="1" spans="1:35" x14ac:dyDescent="0.25">
      <c r="B1" t="s">
        <v>22</v>
      </c>
      <c r="C1" s="1" t="s">
        <v>23</v>
      </c>
      <c r="D1" s="1"/>
      <c r="E1" s="1"/>
      <c r="G1" s="2"/>
      <c r="O1" s="2"/>
      <c r="AH1" s="1"/>
      <c r="AI1" s="1"/>
    </row>
    <row r="2" spans="1:35" x14ac:dyDescent="0.25">
      <c r="B2" t="s">
        <v>127</v>
      </c>
      <c r="C2" s="1" t="s">
        <v>24</v>
      </c>
      <c r="D2" s="1"/>
      <c r="E2" s="1"/>
      <c r="G2" s="2"/>
      <c r="O2" s="2"/>
      <c r="AH2" s="1"/>
      <c r="AI2" s="1"/>
    </row>
    <row r="3" spans="1:35" x14ac:dyDescent="0.25">
      <c r="B3" s="1"/>
      <c r="C3" s="1"/>
      <c r="D3" s="1"/>
      <c r="E3" s="1"/>
      <c r="G3" s="2"/>
      <c r="O3" s="2"/>
      <c r="AH3" s="1"/>
      <c r="AI3" s="1"/>
    </row>
    <row r="4" spans="1:35" x14ac:dyDescent="0.25">
      <c r="B4" s="1"/>
      <c r="C4" s="1"/>
      <c r="D4" s="1"/>
      <c r="E4" s="1"/>
      <c r="G4" s="2"/>
      <c r="O4" s="2"/>
      <c r="AH4" s="1"/>
      <c r="AI4" s="1"/>
    </row>
    <row r="5" spans="1:35" x14ac:dyDescent="0.25">
      <c r="B5" s="1"/>
      <c r="C5" s="1"/>
      <c r="D5" s="1"/>
      <c r="E5" s="1"/>
      <c r="F5" t="s">
        <v>25</v>
      </c>
      <c r="G5" s="3" t="s">
        <v>26</v>
      </c>
      <c r="I5" s="18"/>
      <c r="J5" s="18"/>
      <c r="L5" s="18" t="s">
        <v>27</v>
      </c>
      <c r="M5" s="18"/>
      <c r="O5" s="19" t="s">
        <v>28</v>
      </c>
      <c r="P5" s="19"/>
      <c r="AH5" s="1"/>
      <c r="AI5" s="1"/>
    </row>
    <row r="6" spans="1:35" x14ac:dyDescent="0.25">
      <c r="A6" t="s">
        <v>29</v>
      </c>
      <c r="B6" s="1"/>
      <c r="C6" s="1"/>
      <c r="D6" s="1"/>
      <c r="E6" s="1"/>
      <c r="F6" s="1" t="s">
        <v>30</v>
      </c>
      <c r="G6" s="3" t="s">
        <v>31</v>
      </c>
      <c r="L6" t="s">
        <v>32</v>
      </c>
      <c r="M6" t="s">
        <v>33</v>
      </c>
      <c r="O6" s="4" t="s">
        <v>32</v>
      </c>
      <c r="P6" s="5" t="s">
        <v>33</v>
      </c>
      <c r="AH6" s="1"/>
      <c r="AI6" s="1"/>
    </row>
    <row r="7" spans="1:35" x14ac:dyDescent="0.25">
      <c r="A7">
        <v>34.896999999999998</v>
      </c>
      <c r="B7" s="6" t="s">
        <v>34</v>
      </c>
      <c r="C7" s="7" t="s">
        <v>35</v>
      </c>
      <c r="D7" s="1" t="s">
        <v>36</v>
      </c>
      <c r="E7" s="1"/>
      <c r="F7" s="1">
        <v>9.0680858160000007E-6</v>
      </c>
      <c r="G7" s="3">
        <f>F7/ 0.359</f>
        <v>2.5259291966573819E-5</v>
      </c>
      <c r="K7" s="6" t="s">
        <v>34</v>
      </c>
      <c r="L7">
        <v>8.7810714011608197E-4</v>
      </c>
      <c r="M7">
        <v>5.0234309230539104E-5</v>
      </c>
      <c r="O7" s="4">
        <f>L7/A7</f>
        <v>2.5162826034217326E-5</v>
      </c>
      <c r="P7" s="5">
        <f>M7/A7</f>
        <v>1.4395022274275469E-6</v>
      </c>
      <c r="AH7" s="1"/>
      <c r="AI7" s="1"/>
    </row>
    <row r="8" spans="1:35" x14ac:dyDescent="0.25">
      <c r="A8">
        <v>53.859000000000002</v>
      </c>
      <c r="B8" s="6" t="s">
        <v>37</v>
      </c>
      <c r="C8" s="7" t="s">
        <v>38</v>
      </c>
      <c r="D8" s="1" t="s">
        <v>39</v>
      </c>
      <c r="E8" s="1"/>
      <c r="F8" s="1">
        <v>1.6731154559000001E-5</v>
      </c>
      <c r="G8" s="3">
        <f t="shared" ref="G8:G42" si="0">F8/ 0.359</f>
        <v>4.6604887350974935E-5</v>
      </c>
      <c r="K8" s="6" t="s">
        <v>37</v>
      </c>
      <c r="L8">
        <v>2.500879381420637E-3</v>
      </c>
      <c r="M8">
        <v>1.2660655271744335E-4</v>
      </c>
      <c r="O8" s="4">
        <f t="shared" ref="O8:O28" si="1">L8/A8</f>
        <v>4.6433825013844236E-5</v>
      </c>
      <c r="P8" s="5">
        <f t="shared" ref="P8:P42" si="2">M8/A8</f>
        <v>2.3507037397174724E-6</v>
      </c>
      <c r="AH8" s="1"/>
      <c r="AI8" s="1"/>
    </row>
    <row r="9" spans="1:35" x14ac:dyDescent="0.25">
      <c r="A9">
        <v>25.530999999999999</v>
      </c>
      <c r="B9" s="6" t="s">
        <v>40</v>
      </c>
      <c r="C9" s="7" t="s">
        <v>41</v>
      </c>
      <c r="D9" s="1" t="s">
        <v>42</v>
      </c>
      <c r="E9" s="1"/>
      <c r="F9" s="1">
        <v>2.7600294290000002E-6</v>
      </c>
      <c r="G9" s="3">
        <f t="shared" si="0"/>
        <v>7.6881042590529256E-6</v>
      </c>
      <c r="K9" s="6" t="s">
        <v>40</v>
      </c>
      <c r="L9">
        <v>1.9556452960030229E-4</v>
      </c>
      <c r="M9">
        <v>1.0158722033320065E-5</v>
      </c>
      <c r="O9" s="4">
        <f t="shared" si="1"/>
        <v>7.6598852218989575E-6</v>
      </c>
      <c r="P9" s="5">
        <f t="shared" si="2"/>
        <v>3.9789753763346777E-7</v>
      </c>
      <c r="AH9" s="1"/>
      <c r="AI9" s="1"/>
    </row>
    <row r="10" spans="1:35" x14ac:dyDescent="0.25">
      <c r="A10">
        <v>65.391999999999996</v>
      </c>
      <c r="B10" s="6" t="s">
        <v>43</v>
      </c>
      <c r="C10" s="7" t="s">
        <v>44</v>
      </c>
      <c r="D10" s="1" t="s">
        <v>45</v>
      </c>
      <c r="E10" s="1"/>
      <c r="F10" s="1">
        <v>1.5803094807E-5</v>
      </c>
      <c r="G10" s="3">
        <f t="shared" si="0"/>
        <v>4.4019762693593313E-5</v>
      </c>
      <c r="K10" s="6" t="s">
        <v>43</v>
      </c>
      <c r="L10">
        <v>2.8679746955733972E-3</v>
      </c>
      <c r="M10">
        <v>8.472346603292725E-5</v>
      </c>
      <c r="O10" s="4">
        <f t="shared" si="1"/>
        <v>4.3858189007422885E-5</v>
      </c>
      <c r="P10" s="5">
        <f t="shared" si="2"/>
        <v>1.2956243276383541E-6</v>
      </c>
      <c r="AH10" s="1"/>
      <c r="AI10" s="1"/>
    </row>
    <row r="11" spans="1:35" x14ac:dyDescent="0.25">
      <c r="A11">
        <v>21.504999999999999</v>
      </c>
      <c r="B11" s="6" t="s">
        <v>46</v>
      </c>
      <c r="C11" s="7" t="s">
        <v>47</v>
      </c>
      <c r="D11" s="1" t="s">
        <v>48</v>
      </c>
      <c r="E11" s="1"/>
      <c r="F11" s="1">
        <v>1.8070622541000001E-5</v>
      </c>
      <c r="G11" s="3">
        <f t="shared" si="0"/>
        <v>5.0335995935933148E-5</v>
      </c>
      <c r="K11" s="6" t="s">
        <v>46</v>
      </c>
      <c r="L11">
        <v>1.0785023869237772E-3</v>
      </c>
      <c r="M11">
        <v>1.1151130582203634E-4</v>
      </c>
      <c r="O11" s="4">
        <f t="shared" si="1"/>
        <v>5.0151238638631813E-5</v>
      </c>
      <c r="P11" s="5">
        <f t="shared" si="2"/>
        <v>5.1853664646378207E-6</v>
      </c>
      <c r="AH11" s="1"/>
      <c r="AI11" s="1"/>
    </row>
    <row r="12" spans="1:35" x14ac:dyDescent="0.25">
      <c r="A12">
        <v>55.399000000000001</v>
      </c>
      <c r="B12" s="6" t="s">
        <v>49</v>
      </c>
      <c r="C12" s="7" t="s">
        <v>50</v>
      </c>
      <c r="D12" s="1" t="s">
        <v>51</v>
      </c>
      <c r="E12" s="1"/>
      <c r="F12" s="1">
        <v>5.2610271520000004E-6</v>
      </c>
      <c r="G12" s="3">
        <f t="shared" si="0"/>
        <v>1.465467173259053E-5</v>
      </c>
      <c r="K12" s="6" t="s">
        <v>49</v>
      </c>
      <c r="L12">
        <v>7.9287245025600318E-4</v>
      </c>
      <c r="M12">
        <v>2.3581530127224962E-5</v>
      </c>
      <c r="O12" s="4">
        <f t="shared" si="1"/>
        <v>1.4312035420422808E-5</v>
      </c>
      <c r="P12" s="5">
        <f t="shared" si="2"/>
        <v>4.2566707209922493E-7</v>
      </c>
      <c r="AH12" s="1"/>
      <c r="AI12" s="1"/>
    </row>
    <row r="13" spans="1:35" x14ac:dyDescent="0.25">
      <c r="A13">
        <v>26.266999999999999</v>
      </c>
      <c r="B13" s="6" t="s">
        <v>52</v>
      </c>
      <c r="C13" s="7" t="s">
        <v>53</v>
      </c>
      <c r="D13" s="1" t="s">
        <v>54</v>
      </c>
      <c r="E13" s="1"/>
      <c r="F13" s="1">
        <v>7.8843394500000004E-7</v>
      </c>
      <c r="G13" s="3">
        <f t="shared" si="0"/>
        <v>2.1961948328690809E-6</v>
      </c>
      <c r="K13" s="6" t="s">
        <v>52</v>
      </c>
      <c r="L13">
        <v>5.7848138963746799E-5</v>
      </c>
      <c r="M13">
        <v>2.5011255499599478E-6</v>
      </c>
      <c r="O13" s="4">
        <f t="shared" si="1"/>
        <v>2.2023123677521908E-6</v>
      </c>
      <c r="P13" s="5">
        <f t="shared" si="2"/>
        <v>9.5219307494572958E-8</v>
      </c>
      <c r="AH13" s="1"/>
      <c r="AI13" s="1"/>
    </row>
    <row r="14" spans="1:35" x14ac:dyDescent="0.25">
      <c r="A14">
        <v>36.101999999999997</v>
      </c>
      <c r="B14" s="6" t="s">
        <v>55</v>
      </c>
      <c r="C14" s="7" t="s">
        <v>56</v>
      </c>
      <c r="D14" s="1" t="s">
        <v>57</v>
      </c>
      <c r="E14" s="1"/>
      <c r="F14" s="1">
        <v>7.9088809754000004E-5</v>
      </c>
      <c r="G14" s="3">
        <f t="shared" si="0"/>
        <v>2.2030309123676883E-4</v>
      </c>
      <c r="K14" s="6" t="s">
        <v>55</v>
      </c>
      <c r="L14">
        <v>7.9364915354332086E-3</v>
      </c>
      <c r="M14">
        <v>2.9107043559065555E-4</v>
      </c>
      <c r="O14" s="4">
        <f t="shared" si="1"/>
        <v>2.1983523171661431E-4</v>
      </c>
      <c r="P14" s="5">
        <f t="shared" si="2"/>
        <v>8.0624462797256548E-6</v>
      </c>
      <c r="AH14" s="1"/>
      <c r="AI14" s="1"/>
    </row>
    <row r="15" spans="1:35" x14ac:dyDescent="0.25">
      <c r="A15">
        <v>41.387999999999998</v>
      </c>
      <c r="B15" s="6" t="s">
        <v>58</v>
      </c>
      <c r="C15" s="7" t="s">
        <v>59</v>
      </c>
      <c r="D15" s="1" t="s">
        <v>60</v>
      </c>
      <c r="E15" s="1"/>
      <c r="F15" s="1">
        <v>2.2469838537E-5</v>
      </c>
      <c r="G15" s="3">
        <f t="shared" si="0"/>
        <v>6.2590079490250694E-5</v>
      </c>
      <c r="K15" s="6" t="s">
        <v>58</v>
      </c>
      <c r="L15">
        <v>2.5849767353351601E-3</v>
      </c>
      <c r="M15">
        <v>5.2563526179080733E-5</v>
      </c>
      <c r="O15" s="4">
        <f t="shared" si="1"/>
        <v>6.2457155101361755E-5</v>
      </c>
      <c r="P15" s="5">
        <f t="shared" si="2"/>
        <v>1.2700185121069086E-6</v>
      </c>
      <c r="AH15" s="1"/>
      <c r="AI15" s="1"/>
    </row>
    <row r="16" spans="1:35" x14ac:dyDescent="0.25">
      <c r="A16">
        <v>25.937999999999999</v>
      </c>
      <c r="B16" s="6" t="s">
        <v>61</v>
      </c>
      <c r="C16" s="7" t="s">
        <v>62</v>
      </c>
      <c r="D16" s="1" t="s">
        <v>63</v>
      </c>
      <c r="E16" s="1"/>
      <c r="F16" s="1">
        <v>2.4520743223999999E-5</v>
      </c>
      <c r="G16" s="3">
        <f t="shared" si="0"/>
        <v>6.8302905916434544E-5</v>
      </c>
      <c r="K16" s="6" t="s">
        <v>61</v>
      </c>
      <c r="L16">
        <v>1.7703521090390627E-3</v>
      </c>
      <c r="M16">
        <v>2.5653538810896839E-5</v>
      </c>
      <c r="O16" s="4">
        <f t="shared" si="1"/>
        <v>6.8253223418885916E-5</v>
      </c>
      <c r="P16" s="5">
        <f t="shared" si="2"/>
        <v>9.8903303303634984E-7</v>
      </c>
      <c r="AH16" s="1"/>
      <c r="AI16" s="1"/>
    </row>
    <row r="17" spans="1:35" x14ac:dyDescent="0.25">
      <c r="A17">
        <v>45.743000000000002</v>
      </c>
      <c r="B17" s="6" t="s">
        <v>64</v>
      </c>
      <c r="C17" s="7" t="s">
        <v>65</v>
      </c>
      <c r="D17" s="1" t="s">
        <v>66</v>
      </c>
      <c r="E17" s="1"/>
      <c r="F17" s="1">
        <v>4.0167054378999998E-5</v>
      </c>
      <c r="G17" s="3">
        <f t="shared" si="0"/>
        <v>1.118859453454039E-4</v>
      </c>
      <c r="K17" s="6" t="s">
        <v>64</v>
      </c>
      <c r="L17">
        <v>5.1142760432945624E-3</v>
      </c>
      <c r="M17">
        <v>1.9427640416297163E-4</v>
      </c>
      <c r="O17" s="4">
        <f t="shared" si="1"/>
        <v>1.1180456120706036E-4</v>
      </c>
      <c r="P17" s="5">
        <f t="shared" si="2"/>
        <v>4.2471286134047097E-6</v>
      </c>
      <c r="AH17" s="1"/>
      <c r="AI17" s="1"/>
    </row>
    <row r="18" spans="1:35" x14ac:dyDescent="0.25">
      <c r="A18">
        <v>51.445</v>
      </c>
      <c r="B18" s="6" t="s">
        <v>67</v>
      </c>
      <c r="C18" s="7" t="s">
        <v>68</v>
      </c>
      <c r="D18" s="1" t="s">
        <v>69</v>
      </c>
      <c r="E18" s="1"/>
      <c r="F18" s="1">
        <v>5.3176107786000002E-5</v>
      </c>
      <c r="G18" s="3">
        <f t="shared" si="0"/>
        <v>1.4812286291364903E-4</v>
      </c>
      <c r="K18" s="6" t="s">
        <v>67</v>
      </c>
      <c r="L18">
        <v>7.6534367672090545E-3</v>
      </c>
      <c r="M18">
        <v>2.5661941267832855E-4</v>
      </c>
      <c r="O18" s="4">
        <f t="shared" si="1"/>
        <v>1.4876930250187686E-4</v>
      </c>
      <c r="P18" s="5">
        <f t="shared" si="2"/>
        <v>4.9882284513233268E-6</v>
      </c>
      <c r="AH18" s="1"/>
      <c r="AI18" s="1"/>
    </row>
    <row r="19" spans="1:35" x14ac:dyDescent="0.25">
      <c r="A19">
        <v>60.926000000000002</v>
      </c>
      <c r="B19" s="6" t="s">
        <v>70</v>
      </c>
      <c r="C19" s="7" t="s">
        <v>71</v>
      </c>
      <c r="D19" s="1" t="s">
        <v>72</v>
      </c>
      <c r="E19" s="1"/>
      <c r="F19" s="1">
        <v>6.9511880990000006E-5</v>
      </c>
      <c r="G19" s="3">
        <f t="shared" si="0"/>
        <v>1.9362640944289695E-4</v>
      </c>
      <c r="K19" s="6" t="s">
        <v>70</v>
      </c>
      <c r="L19">
        <v>1.175475684914956E-2</v>
      </c>
      <c r="M19">
        <v>2.0380980611285361E-4</v>
      </c>
      <c r="O19" s="4">
        <f t="shared" si="1"/>
        <v>1.9293498422922166E-4</v>
      </c>
      <c r="P19" s="5">
        <f t="shared" si="2"/>
        <v>3.3452024769860749E-6</v>
      </c>
      <c r="AH19" s="1"/>
      <c r="AI19" s="1"/>
    </row>
    <row r="20" spans="1:35" x14ac:dyDescent="0.25">
      <c r="A20">
        <v>36.122</v>
      </c>
      <c r="B20" s="6" t="s">
        <v>73</v>
      </c>
      <c r="C20" s="7" t="s">
        <v>74</v>
      </c>
      <c r="D20" s="1" t="s">
        <v>75</v>
      </c>
      <c r="E20" s="1"/>
      <c r="F20" s="1">
        <v>2.7191594081999998E-5</v>
      </c>
      <c r="G20" s="3">
        <f t="shared" si="0"/>
        <v>7.5742601899721451E-5</v>
      </c>
      <c r="K20" s="6" t="s">
        <v>73</v>
      </c>
      <c r="L20">
        <v>1.1882986526484123E-4</v>
      </c>
      <c r="M20">
        <v>7.0063939146987032E-6</v>
      </c>
      <c r="O20" s="4">
        <f t="shared" si="1"/>
        <v>3.2896812265334485E-6</v>
      </c>
      <c r="P20" s="5">
        <f t="shared" si="2"/>
        <v>1.9396472827359235E-7</v>
      </c>
      <c r="AH20" s="1"/>
      <c r="AI20" s="1"/>
    </row>
    <row r="21" spans="1:35" x14ac:dyDescent="0.25">
      <c r="A21">
        <v>40.145000000000003</v>
      </c>
      <c r="B21" s="6" t="s">
        <v>76</v>
      </c>
      <c r="C21" s="7" t="s">
        <v>77</v>
      </c>
      <c r="D21" s="1"/>
      <c r="E21" s="1"/>
      <c r="F21" s="1" t="e">
        <v>#N/A</v>
      </c>
      <c r="G21" s="3" t="e">
        <f t="shared" si="0"/>
        <v>#N/A</v>
      </c>
      <c r="K21" s="6" t="s">
        <v>76</v>
      </c>
      <c r="L21">
        <v>2.8991671297659326E-3</v>
      </c>
      <c r="M21">
        <v>1.0513914294550844E-4</v>
      </c>
      <c r="O21" s="4">
        <f t="shared" si="1"/>
        <v>7.2217390204656431E-5</v>
      </c>
      <c r="P21" s="5">
        <f t="shared" si="2"/>
        <v>2.618984753904806E-6</v>
      </c>
      <c r="AH21" s="1"/>
      <c r="AI21" s="1"/>
    </row>
    <row r="22" spans="1:35" x14ac:dyDescent="0.25">
      <c r="A22">
        <v>39.582999999999998</v>
      </c>
      <c r="B22" s="6" t="s">
        <v>78</v>
      </c>
      <c r="C22" s="7" t="s">
        <v>77</v>
      </c>
      <c r="D22" s="1"/>
      <c r="E22" s="1"/>
      <c r="F22" s="1" t="e">
        <v>#N/A</v>
      </c>
      <c r="G22" s="3" t="e">
        <f t="shared" si="0"/>
        <v>#N/A</v>
      </c>
      <c r="K22" s="6" t="s">
        <v>78</v>
      </c>
      <c r="L22">
        <v>1.3158698642703933E-4</v>
      </c>
      <c r="M22">
        <v>4.84926914892894E-6</v>
      </c>
      <c r="O22" s="4">
        <f t="shared" si="1"/>
        <v>3.324330809363599E-6</v>
      </c>
      <c r="P22" s="5">
        <f t="shared" si="2"/>
        <v>1.2250888383722658E-7</v>
      </c>
      <c r="AH22" s="1"/>
      <c r="AI22" s="1"/>
    </row>
    <row r="23" spans="1:35" x14ac:dyDescent="0.25">
      <c r="A23">
        <v>70.307000000000002</v>
      </c>
      <c r="B23" s="6" t="s">
        <v>79</v>
      </c>
      <c r="C23" s="7" t="s">
        <v>80</v>
      </c>
      <c r="D23" s="1"/>
      <c r="E23" s="1"/>
      <c r="F23" s="1" t="e">
        <v>#N/A</v>
      </c>
      <c r="G23" s="3" t="e">
        <f t="shared" si="0"/>
        <v>#N/A</v>
      </c>
      <c r="H23" s="8" t="e">
        <f>(O23-G23)/O23</f>
        <v>#N/A</v>
      </c>
      <c r="K23" s="6" t="s">
        <v>79</v>
      </c>
      <c r="L23">
        <v>1.2723763700294297E-5</v>
      </c>
      <c r="M23">
        <v>8.4213966340878746E-7</v>
      </c>
      <c r="O23" s="4">
        <f t="shared" si="1"/>
        <v>1.8097435106453549E-7</v>
      </c>
      <c r="P23" s="5">
        <f t="shared" si="2"/>
        <v>1.1978034383614539E-8</v>
      </c>
      <c r="AH23" s="1"/>
      <c r="AI23" s="1"/>
    </row>
    <row r="24" spans="1:35" x14ac:dyDescent="0.25">
      <c r="A24">
        <v>70.513999999999996</v>
      </c>
      <c r="B24" s="6" t="s">
        <v>81</v>
      </c>
      <c r="C24" s="7" t="s">
        <v>82</v>
      </c>
      <c r="D24" s="1"/>
      <c r="E24" s="1"/>
      <c r="F24" s="1">
        <v>2.384707578E-6</v>
      </c>
      <c r="G24" s="3">
        <f t="shared" si="0"/>
        <v>6.6426394930362121E-6</v>
      </c>
      <c r="H24" s="8">
        <f>(SUM(O23:O24)-G24)/SUM(O23:O24)</f>
        <v>-0.7681253103829293</v>
      </c>
      <c r="I24" s="8">
        <f>G24/(SUM(O23:O24))</f>
        <v>1.7681253103829293</v>
      </c>
      <c r="K24" s="6" t="s">
        <v>81</v>
      </c>
      <c r="L24">
        <v>2.521516054255981E-4</v>
      </c>
      <c r="M24">
        <v>9.1077870869679429E-6</v>
      </c>
      <c r="O24" s="4">
        <f t="shared" si="1"/>
        <v>3.5759084072042163E-6</v>
      </c>
      <c r="P24" s="5">
        <f t="shared" si="2"/>
        <v>1.2916281996437508E-7</v>
      </c>
      <c r="AH24" s="1"/>
      <c r="AI24" s="1"/>
    </row>
    <row r="25" spans="1:35" x14ac:dyDescent="0.25">
      <c r="A25">
        <v>41.857999999999997</v>
      </c>
      <c r="B25" s="6" t="s">
        <v>83</v>
      </c>
      <c r="C25" s="7" t="s">
        <v>84</v>
      </c>
      <c r="D25" s="1"/>
      <c r="E25" s="1"/>
      <c r="F25" s="1">
        <v>3.536893149E-6</v>
      </c>
      <c r="G25" s="3">
        <f t="shared" si="0"/>
        <v>9.8520700529247917E-6</v>
      </c>
      <c r="H25" s="8">
        <f t="shared" ref="H25:H35" si="3">(O25-G25)/O25</f>
        <v>-0.76992031370522962</v>
      </c>
      <c r="I25" s="8">
        <f t="shared" ref="I25:I35" si="4">G25/O25</f>
        <v>1.7699203137052295</v>
      </c>
      <c r="K25" s="6" t="s">
        <v>83</v>
      </c>
      <c r="L25">
        <v>2.3299803108763395E-4</v>
      </c>
      <c r="M25">
        <v>7.3848104264098787E-6</v>
      </c>
      <c r="O25" s="4">
        <f t="shared" si="1"/>
        <v>5.5663918746149829E-6</v>
      </c>
      <c r="P25" s="5">
        <f t="shared" si="2"/>
        <v>1.7642530523221079E-7</v>
      </c>
      <c r="AH25" s="1"/>
      <c r="AI25" s="1"/>
    </row>
    <row r="26" spans="1:35" x14ac:dyDescent="0.25">
      <c r="A26">
        <v>41.369</v>
      </c>
      <c r="B26" s="6" t="s">
        <v>85</v>
      </c>
      <c r="C26" s="7" t="s">
        <v>86</v>
      </c>
      <c r="D26" s="1"/>
      <c r="E26" s="1"/>
      <c r="F26" s="1">
        <v>3.6461247249999999E-6</v>
      </c>
      <c r="G26" s="3">
        <f t="shared" si="0"/>
        <v>1.0156336281337048E-5</v>
      </c>
      <c r="H26" s="8">
        <f t="shared" si="3"/>
        <v>-0.76992031380796699</v>
      </c>
      <c r="I26" s="8">
        <f t="shared" si="4"/>
        <v>1.7699203138079669</v>
      </c>
      <c r="K26" s="6" t="s">
        <v>85</v>
      </c>
      <c r="L26">
        <v>2.3738779217617287E-4</v>
      </c>
      <c r="M26">
        <v>7.4520024621489683E-6</v>
      </c>
      <c r="O26" s="4">
        <f t="shared" si="1"/>
        <v>5.7383014376990713E-6</v>
      </c>
      <c r="P26" s="5">
        <f t="shared" si="2"/>
        <v>1.8013494312526211E-7</v>
      </c>
      <c r="AH26" s="1"/>
      <c r="AI26" s="1"/>
    </row>
    <row r="27" spans="1:35" x14ac:dyDescent="0.25">
      <c r="A27">
        <v>30.474</v>
      </c>
      <c r="B27" s="6" t="s">
        <v>87</v>
      </c>
      <c r="C27" s="7" t="s">
        <v>88</v>
      </c>
      <c r="D27" s="1"/>
      <c r="E27" s="1"/>
      <c r="F27" s="1">
        <v>8.8865119899999996E-7</v>
      </c>
      <c r="G27" s="3">
        <f t="shared" si="0"/>
        <v>2.4753515292479107E-6</v>
      </c>
      <c r="H27" s="8">
        <f t="shared" si="3"/>
        <v>-0.76992031318622212</v>
      </c>
      <c r="I27" s="8">
        <f t="shared" si="4"/>
        <v>1.7699203131862222</v>
      </c>
      <c r="K27" s="6" t="s">
        <v>87</v>
      </c>
      <c r="L27">
        <v>4.2619920196578962E-5</v>
      </c>
      <c r="M27">
        <v>1.9420757630582804E-6</v>
      </c>
      <c r="O27" s="4">
        <f t="shared" si="1"/>
        <v>1.3985666534284624E-6</v>
      </c>
      <c r="P27" s="5">
        <f t="shared" si="2"/>
        <v>6.3728941493019642E-8</v>
      </c>
      <c r="AH27" s="1"/>
      <c r="AI27" s="1"/>
    </row>
    <row r="28" spans="1:35" x14ac:dyDescent="0.25">
      <c r="A28">
        <v>39.941000000000003</v>
      </c>
      <c r="B28" s="6" t="s">
        <v>89</v>
      </c>
      <c r="C28" s="7" t="s">
        <v>90</v>
      </c>
      <c r="D28" s="1"/>
      <c r="E28" s="1"/>
      <c r="F28" s="1">
        <v>7.3229537489999999E-6</v>
      </c>
      <c r="G28" s="3">
        <f t="shared" si="0"/>
        <v>2.0398199857938718E-5</v>
      </c>
      <c r="H28" s="8">
        <f t="shared" si="3"/>
        <v>-0.76992031362576296</v>
      </c>
      <c r="I28" s="8">
        <f t="shared" si="4"/>
        <v>1.7699203136257629</v>
      </c>
      <c r="K28" s="6" t="s">
        <v>89</v>
      </c>
      <c r="L28">
        <v>4.6031705170778559E-4</v>
      </c>
      <c r="M28">
        <v>1.1282131489038944E-5</v>
      </c>
      <c r="O28" s="4">
        <f t="shared" si="1"/>
        <v>1.152492555789253E-5</v>
      </c>
      <c r="P28" s="5">
        <f t="shared" si="2"/>
        <v>2.8246993037327416E-7</v>
      </c>
      <c r="AH28" s="1"/>
      <c r="AI28" s="1"/>
    </row>
    <row r="29" spans="1:35" x14ac:dyDescent="0.25">
      <c r="A29">
        <v>36.503999999999998</v>
      </c>
      <c r="B29" s="6" t="s">
        <v>91</v>
      </c>
      <c r="C29" s="7" t="s">
        <v>92</v>
      </c>
      <c r="D29" s="1"/>
      <c r="E29" s="1"/>
      <c r="F29" s="1">
        <v>3.662816132E-6</v>
      </c>
      <c r="G29" s="3">
        <f t="shared" si="0"/>
        <v>1.0202830451253483E-5</v>
      </c>
      <c r="H29" s="8">
        <f t="shared" si="3"/>
        <v>0.55160503781186765</v>
      </c>
      <c r="I29" s="8">
        <f t="shared" si="4"/>
        <v>0.44839496218813235</v>
      </c>
      <c r="K29" s="6" t="s">
        <v>91</v>
      </c>
      <c r="L29">
        <v>8.3061620713814198E-4</v>
      </c>
      <c r="M29">
        <v>1.4977680843132558E-5</v>
      </c>
      <c r="O29" s="4">
        <f>L29/A29</f>
        <v>2.2754114813120263E-5</v>
      </c>
      <c r="P29" s="5">
        <f t="shared" si="2"/>
        <v>4.1030245570711589E-7</v>
      </c>
      <c r="AH29" s="1"/>
      <c r="AI29" s="1"/>
    </row>
    <row r="30" spans="1:35" x14ac:dyDescent="0.25">
      <c r="A30">
        <v>31.189</v>
      </c>
      <c r="B30" s="9" t="s">
        <v>93</v>
      </c>
      <c r="C30" s="10" t="s">
        <v>94</v>
      </c>
      <c r="D30" s="1"/>
      <c r="E30" s="1"/>
      <c r="F30">
        <v>2.494139845E-6</v>
      </c>
      <c r="G30" s="3">
        <f t="shared" si="0"/>
        <v>6.9474647493036214E-6</v>
      </c>
      <c r="H30" s="8">
        <f t="shared" si="3"/>
        <v>-0.6125582259925717</v>
      </c>
      <c r="I30" s="8">
        <f t="shared" si="4"/>
        <v>1.6125582259925717</v>
      </c>
      <c r="K30" s="9" t="s">
        <v>93</v>
      </c>
      <c r="L30">
        <v>1.3437311879554347E-4</v>
      </c>
      <c r="M30">
        <v>4.6027477844345979E-6</v>
      </c>
      <c r="O30" s="4">
        <f t="shared" ref="O30:O41" si="5">L30/A30</f>
        <v>4.3083497000719311E-6</v>
      </c>
      <c r="P30" s="5">
        <f t="shared" si="2"/>
        <v>1.4757599744892745E-7</v>
      </c>
      <c r="AH30" s="1"/>
      <c r="AI30" s="1"/>
    </row>
    <row r="31" spans="1:35" x14ac:dyDescent="0.25">
      <c r="A31">
        <v>21.824999999999999</v>
      </c>
      <c r="B31" s="9" t="s">
        <v>95</v>
      </c>
      <c r="C31" s="10" t="s">
        <v>96</v>
      </c>
      <c r="D31" s="1"/>
      <c r="E31" s="1"/>
      <c r="F31">
        <v>1.535112497E-6</v>
      </c>
      <c r="G31" s="3">
        <f t="shared" si="0"/>
        <v>4.2760793788300838E-6</v>
      </c>
      <c r="H31" s="8">
        <f t="shared" si="3"/>
        <v>-3.1364258461421977</v>
      </c>
      <c r="I31" s="8">
        <f>G31/O31</f>
        <v>4.1364258461421972</v>
      </c>
      <c r="K31" s="9" t="s">
        <v>95</v>
      </c>
      <c r="L31">
        <v>2.2561853134634518E-5</v>
      </c>
      <c r="M31">
        <v>1.0968716671586267E-6</v>
      </c>
      <c r="O31" s="4">
        <f t="shared" si="5"/>
        <v>1.0337618847484315E-6</v>
      </c>
      <c r="P31" s="5">
        <f t="shared" si="2"/>
        <v>5.0257579251254371E-8</v>
      </c>
      <c r="AH31" s="1"/>
      <c r="AI31" s="1"/>
    </row>
    <row r="32" spans="1:35" x14ac:dyDescent="0.25">
      <c r="A32">
        <v>12.662000000000001</v>
      </c>
      <c r="B32" s="11" t="s">
        <v>97</v>
      </c>
      <c r="C32" s="12" t="s">
        <v>98</v>
      </c>
      <c r="F32" s="2" t="e">
        <v>#N/A</v>
      </c>
      <c r="G32" s="3" t="e">
        <f t="shared" si="0"/>
        <v>#N/A</v>
      </c>
      <c r="H32" s="8" t="e">
        <f t="shared" si="3"/>
        <v>#N/A</v>
      </c>
      <c r="I32" s="8" t="e">
        <f t="shared" si="4"/>
        <v>#N/A</v>
      </c>
      <c r="K32" s="11" t="s">
        <v>97</v>
      </c>
      <c r="L32">
        <v>2.1802236949414183E-4</v>
      </c>
      <c r="M32">
        <v>4.5004422028753396E-6</v>
      </c>
      <c r="O32" s="4">
        <f t="shared" si="5"/>
        <v>1.7218636036498328E-5</v>
      </c>
      <c r="P32" s="5">
        <f t="shared" si="2"/>
        <v>3.5542901618033006E-7</v>
      </c>
      <c r="AH32" s="1"/>
      <c r="AI32" s="1"/>
    </row>
    <row r="33" spans="1:35" x14ac:dyDescent="0.25">
      <c r="A33">
        <v>11.625</v>
      </c>
      <c r="B33" s="11" t="s">
        <v>128</v>
      </c>
      <c r="C33" s="12" t="s">
        <v>129</v>
      </c>
      <c r="F33" s="2">
        <v>1.0509057501E-5</v>
      </c>
      <c r="G33" s="3">
        <f t="shared" si="0"/>
        <v>2.9273140671309192E-5</v>
      </c>
      <c r="H33" s="8">
        <f>(O33-G33)/O33</f>
        <v>-543.21919127453918</v>
      </c>
      <c r="I33" s="8">
        <f>G33/SUM(O32:O35)</f>
        <v>1.6331753335655148</v>
      </c>
      <c r="K33" s="11" t="s">
        <v>128</v>
      </c>
      <c r="L33" s="2">
        <v>6.2529999999999997E-7</v>
      </c>
      <c r="M33" s="2">
        <v>4.9000000000000002E-8</v>
      </c>
      <c r="O33" s="4">
        <f t="shared" si="5"/>
        <v>5.3789247311827955E-8</v>
      </c>
      <c r="P33" s="5">
        <f t="shared" si="2"/>
        <v>4.21505376344086E-9</v>
      </c>
      <c r="AH33" s="1"/>
      <c r="AI33" s="1"/>
    </row>
    <row r="34" spans="1:35" x14ac:dyDescent="0.25">
      <c r="A34">
        <v>11.095000000000001</v>
      </c>
      <c r="B34" s="11" t="s">
        <v>130</v>
      </c>
      <c r="C34" s="12" t="s">
        <v>129</v>
      </c>
      <c r="F34" s="2" t="e">
        <v>#N/A</v>
      </c>
      <c r="G34" s="3" t="e">
        <f t="shared" si="0"/>
        <v>#N/A</v>
      </c>
      <c r="H34" s="8" t="e">
        <f t="shared" si="3"/>
        <v>#N/A</v>
      </c>
      <c r="I34" s="8" t="e">
        <f t="shared" si="4"/>
        <v>#N/A</v>
      </c>
      <c r="K34" s="11" t="s">
        <v>130</v>
      </c>
      <c r="L34" s="2">
        <v>2.43E-6</v>
      </c>
      <c r="M34" s="2">
        <v>1.5599999999999999E-7</v>
      </c>
      <c r="O34" s="4">
        <f t="shared" si="5"/>
        <v>2.1901757548445245E-7</v>
      </c>
      <c r="P34" s="5">
        <f t="shared" si="2"/>
        <v>1.4060387561964848E-8</v>
      </c>
      <c r="AH34" s="1"/>
      <c r="AI34" s="1"/>
    </row>
    <row r="35" spans="1:35" x14ac:dyDescent="0.25">
      <c r="A35">
        <v>6.8419999999999996</v>
      </c>
      <c r="B35" s="11" t="s">
        <v>131</v>
      </c>
      <c r="C35" s="12" t="s">
        <v>129</v>
      </c>
      <c r="F35" s="2" t="e">
        <v>#N/A</v>
      </c>
      <c r="G35" s="3" t="e">
        <f t="shared" si="0"/>
        <v>#N/A</v>
      </c>
      <c r="H35" s="8" t="e">
        <f t="shared" si="3"/>
        <v>#N/A</v>
      </c>
      <c r="I35" s="8" t="e">
        <f t="shared" si="4"/>
        <v>#N/A</v>
      </c>
      <c r="K35" s="11" t="s">
        <v>131</v>
      </c>
      <c r="L35" s="2">
        <v>2.96E-6</v>
      </c>
      <c r="M35" s="2">
        <v>1.6999999999999999E-7</v>
      </c>
      <c r="O35" s="4">
        <f t="shared" si="5"/>
        <v>4.3262204033908217E-7</v>
      </c>
      <c r="P35" s="5">
        <f t="shared" si="2"/>
        <v>2.4846536100555392E-8</v>
      </c>
      <c r="AH35" s="1"/>
      <c r="AI35" s="1"/>
    </row>
    <row r="36" spans="1:35" x14ac:dyDescent="0.25">
      <c r="A36">
        <v>9.9649999999999999</v>
      </c>
      <c r="B36" s="13" t="s">
        <v>99</v>
      </c>
      <c r="C36" t="s">
        <v>100</v>
      </c>
      <c r="F36" t="e">
        <v>#N/A</v>
      </c>
      <c r="G36" s="3" t="e">
        <f t="shared" si="0"/>
        <v>#N/A</v>
      </c>
      <c r="H36" s="8"/>
      <c r="K36" s="13" t="s">
        <v>99</v>
      </c>
      <c r="L36">
        <v>6.0723708412905434E-6</v>
      </c>
      <c r="M36">
        <v>3.276007152527668E-7</v>
      </c>
      <c r="O36" s="4">
        <f t="shared" si="5"/>
        <v>6.0936987870452012E-7</v>
      </c>
      <c r="P36" s="5">
        <f t="shared" si="2"/>
        <v>3.2875134496012725E-8</v>
      </c>
      <c r="AH36" s="1"/>
      <c r="AI36" s="1"/>
    </row>
    <row r="37" spans="1:35" x14ac:dyDescent="0.25">
      <c r="A37">
        <v>23.779</v>
      </c>
      <c r="B37" s="13" t="s">
        <v>101</v>
      </c>
      <c r="C37" t="s">
        <v>100</v>
      </c>
      <c r="F37" t="e">
        <v>#N/A</v>
      </c>
      <c r="G37" s="3" t="e">
        <f t="shared" si="0"/>
        <v>#N/A</v>
      </c>
      <c r="H37" s="8"/>
      <c r="K37" s="13" t="s">
        <v>101</v>
      </c>
      <c r="L37">
        <v>1.2276069908162464E-5</v>
      </c>
      <c r="M37">
        <v>6.8282399415121016E-7</v>
      </c>
      <c r="O37" s="4">
        <f t="shared" si="5"/>
        <v>5.1625677733136231E-7</v>
      </c>
      <c r="P37" s="5">
        <f t="shared" si="2"/>
        <v>2.8715420923975363E-8</v>
      </c>
      <c r="AH37" s="1"/>
      <c r="AI37" s="1"/>
    </row>
    <row r="38" spans="1:35" x14ac:dyDescent="0.25">
      <c r="A38">
        <v>25.721</v>
      </c>
      <c r="B38" s="13" t="s">
        <v>102</v>
      </c>
      <c r="C38" t="s">
        <v>100</v>
      </c>
      <c r="F38" t="e">
        <v>#N/A</v>
      </c>
      <c r="G38" s="3" t="e">
        <f t="shared" si="0"/>
        <v>#N/A</v>
      </c>
      <c r="H38" s="8"/>
      <c r="J38" s="2"/>
      <c r="K38" s="13" t="s">
        <v>102</v>
      </c>
      <c r="L38">
        <v>2.4789185736183079E-5</v>
      </c>
      <c r="M38">
        <v>1.2226908906238183E-6</v>
      </c>
      <c r="O38" s="4">
        <f t="shared" si="5"/>
        <v>9.6377223810050456E-7</v>
      </c>
      <c r="P38" s="5">
        <f t="shared" si="2"/>
        <v>4.7536677836157935E-8</v>
      </c>
      <c r="AH38" s="1"/>
      <c r="AI38" s="1"/>
    </row>
    <row r="39" spans="1:35" x14ac:dyDescent="0.25">
      <c r="A39">
        <v>38.411999999999999</v>
      </c>
      <c r="B39" s="13" t="s">
        <v>103</v>
      </c>
      <c r="C39" t="s">
        <v>100</v>
      </c>
      <c r="F39" t="e">
        <v>#N/A</v>
      </c>
      <c r="G39" s="3" t="e">
        <f t="shared" si="0"/>
        <v>#N/A</v>
      </c>
      <c r="H39" s="8"/>
      <c r="K39" s="13" t="s">
        <v>103</v>
      </c>
      <c r="L39">
        <v>1.6417639765753983E-5</v>
      </c>
      <c r="M39">
        <v>9.4446367372077682E-7</v>
      </c>
      <c r="O39" s="4">
        <f t="shared" si="5"/>
        <v>4.274091368779023E-7</v>
      </c>
      <c r="P39" s="5">
        <f t="shared" si="2"/>
        <v>2.4587724505903801E-8</v>
      </c>
      <c r="AH39" s="1"/>
      <c r="AI39" s="1"/>
    </row>
    <row r="40" spans="1:35" x14ac:dyDescent="0.25">
      <c r="A40">
        <v>52.136000000000003</v>
      </c>
      <c r="B40" s="13" t="s">
        <v>104</v>
      </c>
      <c r="C40" t="s">
        <v>100</v>
      </c>
      <c r="F40" t="e">
        <v>#N/A</v>
      </c>
      <c r="G40" s="3" t="e">
        <f t="shared" si="0"/>
        <v>#N/A</v>
      </c>
      <c r="H40" s="8"/>
      <c r="K40" s="13" t="s">
        <v>104</v>
      </c>
      <c r="L40">
        <v>7.0227210946584789E-5</v>
      </c>
      <c r="M40">
        <v>3.2266732930678812E-6</v>
      </c>
      <c r="O40" s="4">
        <f t="shared" si="5"/>
        <v>1.3470003634069508E-6</v>
      </c>
      <c r="P40" s="5">
        <f t="shared" si="2"/>
        <v>6.1889544519485208E-8</v>
      </c>
      <c r="AH40" s="1"/>
      <c r="AI40" s="1"/>
    </row>
    <row r="41" spans="1:35" x14ac:dyDescent="0.25">
      <c r="A41">
        <v>22.757999999999999</v>
      </c>
      <c r="B41" s="13" t="s">
        <v>105</v>
      </c>
      <c r="C41" t="s">
        <v>100</v>
      </c>
      <c r="F41" t="e">
        <v>#N/A</v>
      </c>
      <c r="G41" s="3" t="e">
        <f t="shared" si="0"/>
        <v>#N/A</v>
      </c>
      <c r="H41" s="8"/>
      <c r="K41" s="13" t="s">
        <v>105</v>
      </c>
      <c r="L41">
        <v>1.5385960046332389E-5</v>
      </c>
      <c r="M41">
        <v>8.1393792288849254E-7</v>
      </c>
      <c r="O41" s="4">
        <f t="shared" si="5"/>
        <v>6.7606819783515206E-7</v>
      </c>
      <c r="P41" s="5">
        <f t="shared" si="2"/>
        <v>3.5764914442767053E-8</v>
      </c>
      <c r="AH41" s="1"/>
      <c r="AI41" s="1"/>
    </row>
    <row r="42" spans="1:35" x14ac:dyDescent="0.25">
      <c r="A42">
        <v>20.85</v>
      </c>
      <c r="B42" s="13" t="s">
        <v>106</v>
      </c>
      <c r="C42" t="s">
        <v>100</v>
      </c>
      <c r="F42" t="e">
        <v>#N/A</v>
      </c>
      <c r="G42" s="3" t="e">
        <f t="shared" si="0"/>
        <v>#N/A</v>
      </c>
      <c r="H42" s="8"/>
      <c r="K42" s="13" t="s">
        <v>106</v>
      </c>
      <c r="L42">
        <v>7.8919826425829579E-5</v>
      </c>
      <c r="M42">
        <v>2.805616048166686E-6</v>
      </c>
      <c r="O42" s="4">
        <f>L42/A42</f>
        <v>3.7851235695841523E-6</v>
      </c>
      <c r="P42" s="5">
        <f t="shared" si="2"/>
        <v>1.3456192077538062E-7</v>
      </c>
      <c r="AH42" s="1"/>
      <c r="AI42" s="1"/>
    </row>
    <row r="43" spans="1:35" x14ac:dyDescent="0.25">
      <c r="O43" s="2"/>
      <c r="AH43" s="1"/>
      <c r="AI43" s="1"/>
    </row>
    <row r="44" spans="1:35" x14ac:dyDescent="0.25">
      <c r="O44" s="2"/>
      <c r="AH44" s="1"/>
      <c r="AI44" s="1"/>
    </row>
    <row r="45" spans="1:35" x14ac:dyDescent="0.25">
      <c r="O45" s="2"/>
      <c r="AH45" s="1"/>
      <c r="AI45" s="1"/>
    </row>
    <row r="46" spans="1:35" x14ac:dyDescent="0.25">
      <c r="O46" s="2"/>
      <c r="AH46" s="1"/>
      <c r="AI46" s="1"/>
    </row>
    <row r="47" spans="1:35" x14ac:dyDescent="0.25">
      <c r="O47" s="2"/>
      <c r="AH47" s="1"/>
      <c r="AI47" s="1"/>
    </row>
    <row r="48" spans="1:35" x14ac:dyDescent="0.25">
      <c r="O48" s="2"/>
      <c r="AH48" s="1"/>
      <c r="AI48" s="1"/>
    </row>
    <row r="49" spans="2:35" x14ac:dyDescent="0.25">
      <c r="O49" s="2"/>
      <c r="AH49" s="1"/>
      <c r="AI49" s="1"/>
    </row>
    <row r="50" spans="2:35" x14ac:dyDescent="0.25">
      <c r="O50" s="2"/>
      <c r="AH50" s="1"/>
      <c r="AI50" s="1"/>
    </row>
    <row r="51" spans="2:35" x14ac:dyDescent="0.25">
      <c r="O51" s="2"/>
      <c r="AH51" s="1"/>
      <c r="AI51" s="1"/>
    </row>
    <row r="52" spans="2:35" x14ac:dyDescent="0.25">
      <c r="O52" s="2"/>
      <c r="AH52" s="1"/>
      <c r="AI52" s="1"/>
    </row>
    <row r="53" spans="2:35" x14ac:dyDescent="0.25">
      <c r="O53" s="2"/>
      <c r="AH53" s="1"/>
      <c r="AI53" s="1"/>
    </row>
    <row r="54" spans="2:35" x14ac:dyDescent="0.25">
      <c r="G54" s="2"/>
      <c r="O54" s="2"/>
      <c r="AH54" s="1"/>
      <c r="AI54" s="1"/>
    </row>
    <row r="55" spans="2:35" x14ac:dyDescent="0.25">
      <c r="E55" t="s">
        <v>26</v>
      </c>
      <c r="F55" s="19" t="s">
        <v>28</v>
      </c>
      <c r="G55" s="19"/>
      <c r="J55" t="s">
        <v>26</v>
      </c>
      <c r="K55" t="s">
        <v>28</v>
      </c>
      <c r="O55" s="2"/>
      <c r="AH55" s="1"/>
      <c r="AI55" s="1"/>
    </row>
    <row r="56" spans="2:35" x14ac:dyDescent="0.25">
      <c r="B56" s="2"/>
      <c r="E56" t="s">
        <v>31</v>
      </c>
      <c r="F56" s="4" t="s">
        <v>32</v>
      </c>
      <c r="G56" s="5" t="s">
        <v>33</v>
      </c>
      <c r="J56" t="s">
        <v>31</v>
      </c>
      <c r="K56" t="s">
        <v>32</v>
      </c>
      <c r="L56" t="s">
        <v>33</v>
      </c>
      <c r="O56" s="2"/>
      <c r="AH56" s="1"/>
      <c r="AI56" s="1"/>
    </row>
    <row r="57" spans="2:35" x14ac:dyDescent="0.25">
      <c r="B57" s="8"/>
      <c r="D57" s="1" t="s">
        <v>36</v>
      </c>
      <c r="E57">
        <v>2.5259291966573819E-5</v>
      </c>
      <c r="F57">
        <v>2.5162826034217326E-5</v>
      </c>
      <c r="G57" s="2">
        <v>1.4395022274275469E-6</v>
      </c>
      <c r="I57" s="7" t="s">
        <v>80</v>
      </c>
      <c r="J57" t="e">
        <v>#N/A</v>
      </c>
      <c r="K57">
        <v>1.8097435106453549E-7</v>
      </c>
      <c r="L57">
        <v>1.1978034383614539E-8</v>
      </c>
      <c r="O57" s="2"/>
      <c r="AH57" s="1"/>
      <c r="AI57" s="1"/>
    </row>
    <row r="58" spans="2:35" x14ac:dyDescent="0.25">
      <c r="D58" s="1" t="s">
        <v>39</v>
      </c>
      <c r="E58">
        <v>4.6604887350974935E-5</v>
      </c>
      <c r="F58">
        <v>4.6433825013844236E-5</v>
      </c>
      <c r="G58" s="2">
        <v>2.3507037397174724E-6</v>
      </c>
      <c r="I58" s="7" t="s">
        <v>82</v>
      </c>
      <c r="J58">
        <v>6.6426394930362121E-6</v>
      </c>
      <c r="K58">
        <v>3.5759084072042163E-6</v>
      </c>
      <c r="L58">
        <v>1.2916281996437508E-7</v>
      </c>
      <c r="O58" s="2"/>
      <c r="AH58" s="1"/>
      <c r="AI58" s="1"/>
    </row>
    <row r="59" spans="2:35" x14ac:dyDescent="0.25">
      <c r="D59" s="1" t="s">
        <v>42</v>
      </c>
      <c r="E59">
        <v>7.6881042590529256E-6</v>
      </c>
      <c r="F59">
        <v>7.6598852218989575E-6</v>
      </c>
      <c r="G59" s="2">
        <v>3.9789753763346777E-7</v>
      </c>
      <c r="I59" s="7" t="s">
        <v>84</v>
      </c>
      <c r="J59">
        <v>9.8520700529247917E-6</v>
      </c>
      <c r="K59">
        <v>5.5663918746149829E-6</v>
      </c>
      <c r="L59">
        <v>1.7642530523221079E-7</v>
      </c>
      <c r="O59" s="2"/>
      <c r="AH59" s="1"/>
      <c r="AI59" s="1"/>
    </row>
    <row r="60" spans="2:35" x14ac:dyDescent="0.25">
      <c r="B60" s="2"/>
      <c r="D60" s="1" t="s">
        <v>45</v>
      </c>
      <c r="E60">
        <v>4.4019762693593313E-5</v>
      </c>
      <c r="F60">
        <v>4.3858189007422885E-5</v>
      </c>
      <c r="G60" s="2">
        <v>1.2956243276383541E-6</v>
      </c>
      <c r="I60" s="7" t="s">
        <v>86</v>
      </c>
      <c r="J60">
        <v>1.0156336281337048E-5</v>
      </c>
      <c r="K60">
        <v>5.7383014376990713E-6</v>
      </c>
      <c r="L60">
        <v>1.8013494312526211E-7</v>
      </c>
      <c r="O60" s="2"/>
      <c r="AH60" s="1"/>
      <c r="AI60" s="1"/>
    </row>
    <row r="61" spans="2:35" x14ac:dyDescent="0.25">
      <c r="B61" s="8"/>
      <c r="D61" s="1" t="s">
        <v>48</v>
      </c>
      <c r="E61">
        <v>5.0335995935933148E-5</v>
      </c>
      <c r="F61">
        <v>5.0151238638631813E-5</v>
      </c>
      <c r="G61" s="2">
        <v>5.1853664646378207E-6</v>
      </c>
      <c r="I61" s="7" t="s">
        <v>88</v>
      </c>
      <c r="J61">
        <v>2.4753515292479107E-6</v>
      </c>
      <c r="K61">
        <v>1.3985666534284624E-6</v>
      </c>
      <c r="L61">
        <v>6.3728941493019642E-8</v>
      </c>
      <c r="O61" s="2"/>
      <c r="AH61" s="1"/>
      <c r="AI61" s="1"/>
    </row>
    <row r="62" spans="2:35" x14ac:dyDescent="0.25">
      <c r="D62" s="1" t="s">
        <v>51</v>
      </c>
      <c r="E62">
        <v>1.465467173259053E-5</v>
      </c>
      <c r="F62">
        <v>1.4312035420422808E-5</v>
      </c>
      <c r="G62" s="2">
        <v>4.2566707209922493E-7</v>
      </c>
      <c r="I62" s="7" t="s">
        <v>90</v>
      </c>
      <c r="J62">
        <v>2.0398199857938718E-5</v>
      </c>
      <c r="K62">
        <v>1.152492555789253E-5</v>
      </c>
      <c r="L62">
        <v>2.8246993037327416E-7</v>
      </c>
      <c r="O62" s="2"/>
      <c r="AH62" s="1"/>
      <c r="AI62" s="1"/>
    </row>
    <row r="63" spans="2:35" x14ac:dyDescent="0.25">
      <c r="D63" s="1" t="s">
        <v>54</v>
      </c>
      <c r="E63">
        <v>2.1961948328690809E-6</v>
      </c>
      <c r="F63">
        <v>2.2023123677521908E-6</v>
      </c>
      <c r="G63" s="2">
        <v>9.5219307494572958E-8</v>
      </c>
      <c r="I63" s="7" t="s">
        <v>92</v>
      </c>
      <c r="J63">
        <v>1.0202830451253483E-5</v>
      </c>
      <c r="K63">
        <v>2.2754114813120263E-5</v>
      </c>
      <c r="L63">
        <v>4.1030245570711589E-7</v>
      </c>
      <c r="O63" s="2"/>
      <c r="AH63" s="1"/>
      <c r="AI63" s="1"/>
    </row>
    <row r="64" spans="2:35" x14ac:dyDescent="0.25">
      <c r="D64" s="1" t="s">
        <v>57</v>
      </c>
      <c r="E64">
        <v>2.2030309123676883E-4</v>
      </c>
      <c r="F64">
        <v>2.1983523171661431E-4</v>
      </c>
      <c r="G64" s="2">
        <v>8.0624462797256548E-6</v>
      </c>
      <c r="I64" s="10" t="s">
        <v>94</v>
      </c>
      <c r="J64">
        <v>6.9474647493036214E-6</v>
      </c>
      <c r="K64">
        <v>4.3083497000719311E-6</v>
      </c>
      <c r="L64">
        <v>1.4757599744892745E-7</v>
      </c>
      <c r="O64" s="2"/>
      <c r="AH64" s="1"/>
      <c r="AI64" s="1"/>
    </row>
    <row r="65" spans="1:35" x14ac:dyDescent="0.25">
      <c r="D65" s="1" t="s">
        <v>60</v>
      </c>
      <c r="E65">
        <v>6.2590079490250694E-5</v>
      </c>
      <c r="F65">
        <v>6.2457155101361755E-5</v>
      </c>
      <c r="G65" s="2">
        <v>1.2700185121069086E-6</v>
      </c>
      <c r="I65" s="10" t="s">
        <v>96</v>
      </c>
      <c r="J65">
        <v>4.2760793788300838E-6</v>
      </c>
      <c r="K65">
        <v>1.0337618847484315E-6</v>
      </c>
      <c r="L65">
        <v>5.0257579251254371E-8</v>
      </c>
      <c r="O65" s="2"/>
      <c r="AH65" s="1"/>
      <c r="AI65" s="1"/>
    </row>
    <row r="66" spans="1:35" x14ac:dyDescent="0.25">
      <c r="D66" s="1" t="s">
        <v>63</v>
      </c>
      <c r="E66">
        <v>6.8302905916434544E-5</v>
      </c>
      <c r="F66">
        <v>6.8253223418885916E-5</v>
      </c>
      <c r="G66" s="2">
        <v>9.8903303303634984E-7</v>
      </c>
      <c r="I66" s="12" t="s">
        <v>129</v>
      </c>
      <c r="J66">
        <v>2.9273140671309192E-5</v>
      </c>
      <c r="K66" s="2">
        <f>SUM(O32:O35)</f>
        <v>1.7924064899633691E-5</v>
      </c>
      <c r="L66" s="2">
        <f>SUM(P32:P35)</f>
        <v>3.9855099360629118E-7</v>
      </c>
      <c r="O66" s="2"/>
      <c r="AH66" s="1"/>
      <c r="AI66" s="1"/>
    </row>
    <row r="67" spans="1:35" x14ac:dyDescent="0.25">
      <c r="D67" s="1" t="s">
        <v>66</v>
      </c>
      <c r="E67">
        <v>1.118859453454039E-4</v>
      </c>
      <c r="F67">
        <v>1.1180456120706036E-4</v>
      </c>
      <c r="G67" s="2">
        <v>4.2471286134047097E-6</v>
      </c>
      <c r="I67" s="12" t="s">
        <v>100</v>
      </c>
      <c r="J67" t="e">
        <v>#N/A</v>
      </c>
      <c r="K67" s="2">
        <f>SUM(O36:O42)</f>
        <v>8.3250001618405446E-6</v>
      </c>
      <c r="L67" s="2">
        <f>SUM(P36:P42)</f>
        <v>3.6593133749968266E-7</v>
      </c>
      <c r="O67" s="2"/>
      <c r="AH67" s="1"/>
      <c r="AI67" s="1"/>
    </row>
    <row r="68" spans="1:35" x14ac:dyDescent="0.25">
      <c r="D68" s="1" t="s">
        <v>69</v>
      </c>
      <c r="E68">
        <v>1.4812286291364903E-4</v>
      </c>
      <c r="F68">
        <v>1.4876930250187686E-4</v>
      </c>
      <c r="G68" s="2">
        <v>4.9882284513233268E-6</v>
      </c>
      <c r="I68" s="12"/>
      <c r="O68" s="2"/>
      <c r="AH68" s="1"/>
      <c r="AI68" s="1"/>
    </row>
    <row r="69" spans="1:35" x14ac:dyDescent="0.25">
      <c r="D69" s="1" t="s">
        <v>72</v>
      </c>
      <c r="E69">
        <v>1.9362640944289695E-4</v>
      </c>
      <c r="F69">
        <v>1.9293498422922166E-4</v>
      </c>
      <c r="G69" s="2">
        <v>3.3452024769860749E-6</v>
      </c>
      <c r="I69" s="12"/>
      <c r="O69" s="2"/>
      <c r="AH69" s="1"/>
      <c r="AI69" s="1"/>
    </row>
    <row r="70" spans="1:35" x14ac:dyDescent="0.25">
      <c r="D70" s="1" t="s">
        <v>75</v>
      </c>
      <c r="E70">
        <v>7.5742601899721451E-5</v>
      </c>
      <c r="F70" s="2">
        <v>7.5507071431189882E-5</v>
      </c>
      <c r="G70" s="2">
        <f>SUM(P20:P22)</f>
        <v>2.9354583660156249E-6</v>
      </c>
      <c r="O70" s="2"/>
      <c r="AH70" s="1"/>
      <c r="AI70" s="1"/>
    </row>
    <row r="71" spans="1:35" x14ac:dyDescent="0.25">
      <c r="G71" s="2"/>
      <c r="O71" s="2"/>
      <c r="AH71" s="1"/>
      <c r="AI71" s="1"/>
    </row>
    <row r="72" spans="1:35" x14ac:dyDescent="0.25">
      <c r="G72" s="2"/>
      <c r="O72" s="2"/>
      <c r="AH72" s="1"/>
      <c r="AI72" s="1"/>
    </row>
    <row r="73" spans="1:35" x14ac:dyDescent="0.25">
      <c r="G73" s="2"/>
      <c r="O73" s="2"/>
      <c r="AH73" s="1"/>
      <c r="AI73" s="1"/>
    </row>
    <row r="74" spans="1:35" x14ac:dyDescent="0.25">
      <c r="G74" s="2"/>
      <c r="O74" s="2"/>
      <c r="AH74" s="1"/>
      <c r="AI74" s="1"/>
    </row>
    <row r="75" spans="1:35" x14ac:dyDescent="0.25">
      <c r="G75" s="2"/>
      <c r="O75" s="2"/>
      <c r="AH75" s="1"/>
      <c r="AI75" s="1"/>
    </row>
    <row r="76" spans="1:35" x14ac:dyDescent="0.25">
      <c r="G76" s="2"/>
      <c r="O76" s="2"/>
      <c r="AH76" s="1"/>
      <c r="AI76" s="1"/>
    </row>
    <row r="77" spans="1:35" x14ac:dyDescent="0.25">
      <c r="G77" s="2"/>
      <c r="O77" s="2"/>
      <c r="AH77" s="1"/>
      <c r="AI77" s="1"/>
    </row>
    <row r="78" spans="1:35" x14ac:dyDescent="0.25">
      <c r="G78" s="2"/>
      <c r="O78" s="2"/>
      <c r="AH78" s="1"/>
      <c r="AI78" s="1"/>
    </row>
    <row r="79" spans="1:35" x14ac:dyDescent="0.25">
      <c r="A79" s="1"/>
      <c r="B79" s="1"/>
      <c r="C79" s="1"/>
      <c r="D79" s="1"/>
      <c r="E79" s="1"/>
      <c r="F79" s="1"/>
      <c r="G79" s="14"/>
      <c r="H79" s="1"/>
      <c r="I79" s="1"/>
      <c r="J79" s="1"/>
      <c r="K79" s="1"/>
      <c r="L79" s="1"/>
      <c r="M79" s="1"/>
      <c r="N79" s="1"/>
      <c r="O79" s="14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x14ac:dyDescent="0.25">
      <c r="A80" s="1"/>
      <c r="B80" s="1"/>
      <c r="C80" s="1"/>
      <c r="D80" s="1"/>
      <c r="E80" s="1"/>
      <c r="F80" s="1"/>
      <c r="G80" s="14"/>
      <c r="H80" s="1"/>
      <c r="I80" s="1"/>
      <c r="J80" s="1"/>
      <c r="K80" s="1"/>
      <c r="L80" s="1"/>
      <c r="M80" s="1"/>
      <c r="N80" s="1"/>
      <c r="O80" s="14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x14ac:dyDescent="0.25">
      <c r="A81" s="1"/>
      <c r="B81" s="1"/>
      <c r="C81" s="1"/>
      <c r="D81" s="1"/>
      <c r="E81" s="1"/>
      <c r="F81" s="1"/>
      <c r="G81" s="14"/>
      <c r="H81" s="1"/>
      <c r="I81" s="1"/>
      <c r="J81" s="1"/>
      <c r="K81" s="1"/>
      <c r="L81" s="1"/>
      <c r="M81" s="1"/>
      <c r="N81" s="1"/>
      <c r="O81" s="14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</sheetData>
  <mergeCells count="4">
    <mergeCell ref="I5:J5"/>
    <mergeCell ref="L5:M5"/>
    <mergeCell ref="O5:P5"/>
    <mergeCell ref="F55:G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Molar yields</vt:lpstr>
      <vt:lpstr>Kapps</vt:lpstr>
      <vt:lpstr>MEP Constraints</vt:lpstr>
      <vt:lpstr>No MEP Constraints</vt:lpstr>
      <vt:lpstr>No Protein Constraints</vt:lpstr>
      <vt:lpstr>IDI</vt:lpstr>
      <vt:lpstr>MedianKapp_IDI_IspS</vt:lpstr>
      <vt:lpstr>MedKapp_IspS_IDI_IspH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Kirsten Fisher</dc:creator>
  <cp:lastModifiedBy>Kirsten Fisher</cp:lastModifiedBy>
  <dcterms:created xsi:type="dcterms:W3CDTF">2026-03-17T15:25:10Z</dcterms:created>
  <dcterms:modified xsi:type="dcterms:W3CDTF">2026-07-07T21:10:49Z</dcterms:modified>
</cp:coreProperties>
</file>