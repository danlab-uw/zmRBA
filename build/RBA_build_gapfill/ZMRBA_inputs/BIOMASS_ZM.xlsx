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Updated/7. Biomass_Curation/"/>
    </mc:Choice>
  </mc:AlternateContent>
  <xr:revisionPtr revIDLastSave="380" documentId="8_{26C7D8A0-ECAA-4ECF-8DA7-AA9D934A1CA7}" xr6:coauthVersionLast="47" xr6:coauthVersionMax="47" xr10:uidLastSave="{8BEF351F-5280-924B-AD17-A451AF9B2D6C}"/>
  <bookViews>
    <workbookView xWindow="0" yWindow="760" windowWidth="38400" windowHeight="18880" tabRatio="500" activeTab="1" xr2:uid="{00000000-000D-0000-FFFF-FFFF00000000}"/>
  </bookViews>
  <sheets>
    <sheet name="Notes" sheetId="4" r:id="rId1"/>
    <sheet name="RBABioRxns" sheetId="1" r:id="rId2"/>
    <sheet name="RBA_Biomas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4" i="2" l="1"/>
  <c r="H12" i="2"/>
  <c r="G124" i="2"/>
  <c r="G86" i="2"/>
  <c r="G87" i="2"/>
  <c r="G88" i="2"/>
  <c r="G85" i="2"/>
  <c r="G81" i="2"/>
  <c r="G82" i="2"/>
  <c r="G83" i="2"/>
  <c r="G84" i="2"/>
  <c r="G80" i="2"/>
  <c r="B70" i="2" l="1"/>
  <c r="H123" i="2"/>
  <c r="G100" i="2"/>
  <c r="H100" i="2" s="1"/>
  <c r="G101" i="2"/>
  <c r="H101" i="2" s="1"/>
  <c r="G102" i="2"/>
  <c r="H102" i="2" s="1"/>
  <c r="G103" i="2"/>
  <c r="H103" i="2" s="1"/>
  <c r="G104" i="2"/>
  <c r="H104" i="2" s="1"/>
  <c r="G105" i="2"/>
  <c r="H105" i="2" s="1"/>
  <c r="G106" i="2"/>
  <c r="H106" i="2" s="1"/>
  <c r="G107" i="2"/>
  <c r="H107" i="2" s="1"/>
  <c r="G108" i="2"/>
  <c r="H108" i="2" s="1"/>
  <c r="G109" i="2"/>
  <c r="H109" i="2" s="1"/>
  <c r="G110" i="2"/>
  <c r="H110" i="2" s="1"/>
  <c r="G111" i="2"/>
  <c r="H111" i="2" s="1"/>
  <c r="G112" i="2"/>
  <c r="H112" i="2" s="1"/>
  <c r="G113" i="2"/>
  <c r="H113" i="2" s="1"/>
  <c r="G114" i="2"/>
  <c r="H114" i="2" s="1"/>
  <c r="G115" i="2"/>
  <c r="H115" i="2" s="1"/>
  <c r="G116" i="2"/>
  <c r="H116" i="2" s="1"/>
  <c r="G117" i="2"/>
  <c r="H117" i="2" s="1"/>
  <c r="G118" i="2"/>
  <c r="H118" i="2" s="1"/>
  <c r="G119" i="2"/>
  <c r="H119" i="2" s="1"/>
  <c r="G120" i="2"/>
  <c r="H120" i="2" s="1"/>
  <c r="G121" i="2"/>
  <c r="G122" i="2"/>
  <c r="G123" i="2"/>
  <c r="G99" i="2"/>
  <c r="H99" i="2" s="1"/>
  <c r="B123" i="2"/>
  <c r="H122" i="2"/>
  <c r="B122" i="2"/>
  <c r="H121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D88" i="2"/>
  <c r="H88" i="2" s="1"/>
  <c r="B88" i="2"/>
  <c r="D87" i="2"/>
  <c r="H87" i="2" s="1"/>
  <c r="B87" i="2"/>
  <c r="D86" i="2"/>
  <c r="H86" i="2" s="1"/>
  <c r="B86" i="2"/>
  <c r="D85" i="2"/>
  <c r="H85" i="2" s="1"/>
  <c r="B85" i="2"/>
  <c r="D84" i="2"/>
  <c r="H84" i="2" s="1"/>
  <c r="B84" i="2"/>
  <c r="D83" i="2"/>
  <c r="B83" i="2"/>
  <c r="D82" i="2"/>
  <c r="B82" i="2"/>
  <c r="D81" i="2"/>
  <c r="B81" i="2"/>
  <c r="D80" i="2"/>
  <c r="B80" i="2"/>
  <c r="G74" i="2"/>
  <c r="H74" i="2" s="1"/>
  <c r="G73" i="2"/>
  <c r="B74" i="2"/>
  <c r="B73" i="2"/>
  <c r="G47" i="2" a="1"/>
  <c r="G47" i="2" s="1"/>
  <c r="H47" i="2" s="1"/>
  <c r="G48" i="2" a="1"/>
  <c r="G48" i="2"/>
  <c r="G49" i="2" a="1"/>
  <c r="G49" i="2" s="1"/>
  <c r="G46" i="2" a="1"/>
  <c r="G46" i="2" s="1"/>
  <c r="H46" i="2" s="1"/>
  <c r="D49" i="2"/>
  <c r="D48" i="2"/>
  <c r="H48" i="2" s="1"/>
  <c r="D47" i="2"/>
  <c r="D46" i="2"/>
  <c r="B46" i="2"/>
  <c r="B39" i="2"/>
  <c r="B38" i="2"/>
  <c r="B37" i="2"/>
  <c r="G34" i="2" a="1"/>
  <c r="G34" i="2" s="1"/>
  <c r="H34" i="2" s="1"/>
  <c r="G35" i="2" a="1"/>
  <c r="G35" i="2" s="1"/>
  <c r="H35" i="2" s="1"/>
  <c r="G36" i="2" a="1"/>
  <c r="G36" i="2" s="1"/>
  <c r="H36" i="2" s="1"/>
  <c r="G33" i="2" a="1"/>
  <c r="G33" i="2" s="1"/>
  <c r="D36" i="2"/>
  <c r="B36" i="2"/>
  <c r="D35" i="2"/>
  <c r="B35" i="2"/>
  <c r="D34" i="2"/>
  <c r="B34" i="2"/>
  <c r="D33" i="2"/>
  <c r="B33" i="2"/>
  <c r="B16" i="4"/>
  <c r="B90" i="2" l="1"/>
  <c r="H83" i="2"/>
  <c r="H82" i="2"/>
  <c r="H81" i="2"/>
  <c r="H80" i="2"/>
  <c r="B89" i="2" s="1"/>
  <c r="H73" i="2"/>
  <c r="H49" i="2"/>
  <c r="B44" i="2"/>
  <c r="H33" i="2"/>
  <c r="D14" i="2" l="1"/>
  <c r="D13" i="2"/>
  <c r="D12" i="2"/>
  <c r="D11" i="2"/>
  <c r="D10" i="2"/>
  <c r="D9" i="2"/>
  <c r="D8" i="2"/>
  <c r="D16" i="2"/>
  <c r="D20" i="2"/>
  <c r="D19" i="2"/>
  <c r="D18" i="2"/>
  <c r="D17" i="2"/>
  <c r="B6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<sst xmlns="http://schemas.openxmlformats.org/spreadsheetml/2006/main" count="355" uniqueCount="254">
  <si>
    <t>rxn_id</t>
  </si>
  <si>
    <t>rxn_equation</t>
  </si>
  <si>
    <t>Biomass reaction network</t>
  </si>
  <si>
    <t>Biomass dilution and molecular weight constraint</t>
  </si>
  <si>
    <t>Metabolite</t>
  </si>
  <si>
    <t>Coeff (g/gDW)</t>
  </si>
  <si>
    <t>Remarks</t>
  </si>
  <si>
    <t>BIO-lipid</t>
  </si>
  <si>
    <t>BIO-dna</t>
  </si>
  <si>
    <t>Coeff (mmol/gDW/h)</t>
  </si>
  <si>
    <t>MET-atp_c</t>
  </si>
  <si>
    <t>GAM</t>
  </si>
  <si>
    <t>MET-h2o_c</t>
  </si>
  <si>
    <t>MET-adp_c</t>
  </si>
  <si>
    <t>MET-pi_c</t>
  </si>
  <si>
    <t>MET-h_c</t>
  </si>
  <si>
    <t>BIOSYN-PROTMODELED</t>
  </si>
  <si>
    <t>BIO-protmodeled --&gt; BIO-prot</t>
  </si>
  <si>
    <t>BIOSYN-PROTDUMMY</t>
  </si>
  <si>
    <t>BIO-protdummy --&gt; BIO-prot</t>
  </si>
  <si>
    <t>BIOSYN-PROTDUMMY2</t>
  </si>
  <si>
    <t>BIO-protdummy --&gt; BIO-protmodeled</t>
  </si>
  <si>
    <t>BIOSYN-PROTCYT</t>
  </si>
  <si>
    <t>BIO-protcyt --&gt; BIO-protmodeled</t>
  </si>
  <si>
    <t>Coeff</t>
  </si>
  <si>
    <t>Formula</t>
  </si>
  <si>
    <t>MW</t>
  </si>
  <si>
    <t>%wt. in macro</t>
  </si>
  <si>
    <t>RNA synthesis (coefficients in gram per gDW)</t>
  </si>
  <si>
    <t>BIOSYN-RNA</t>
  </si>
  <si>
    <t>0.15 BIO-trna + 0.05 BIO-mrna + 0.80 BIO-rrna --&gt; BIO-rna</t>
  </si>
  <si>
    <t>MW without pyrophosphate</t>
  </si>
  <si>
    <t>BIOSYN-RNA1</t>
  </si>
  <si>
    <t>atp_c</t>
  </si>
  <si>
    <t>C10H12N5O13P3</t>
  </si>
  <si>
    <t>BIOSYN-RNA2</t>
  </si>
  <si>
    <t>ctp_c</t>
  </si>
  <si>
    <t>C9H12N3O14P3</t>
  </si>
  <si>
    <t>BIOSYN-RNA3</t>
  </si>
  <si>
    <t>gtp_c</t>
  </si>
  <si>
    <t>C10H12N5O14P3</t>
  </si>
  <si>
    <t>BIOSYN-RNA4</t>
  </si>
  <si>
    <t>utp_c</t>
  </si>
  <si>
    <t>C9H11N2O15P3</t>
  </si>
  <si>
    <t>BIOSYN-RNA5</t>
  </si>
  <si>
    <t>BIOSYN-RNA6</t>
  </si>
  <si>
    <t>BIOSYN-RNA7</t>
  </si>
  <si>
    <t>Lipid synthesis (coefficients in gram per gDW)</t>
  </si>
  <si>
    <t>BIOSYN-LIPID</t>
  </si>
  <si>
    <t>BIOSYN-LIPID1</t>
  </si>
  <si>
    <t>DNA synthesis (coefficients in gram per gDW)</t>
  </si>
  <si>
    <t>BIOSYN-DNA</t>
  </si>
  <si>
    <t>BIOSYN-DNA1</t>
  </si>
  <si>
    <t>datp_c</t>
  </si>
  <si>
    <t>C10H12N5O12P3</t>
  </si>
  <si>
    <t>BIOSYN-DNA2</t>
  </si>
  <si>
    <t>dctp_c</t>
  </si>
  <si>
    <t>C9H12N3O13P3</t>
  </si>
  <si>
    <t>BIOSYN-DNA3</t>
  </si>
  <si>
    <t>dgtp_c</t>
  </si>
  <si>
    <t>BIOSYN-DNA4</t>
  </si>
  <si>
    <t>dttp_c</t>
  </si>
  <si>
    <t>C10H13N2O14P3</t>
  </si>
  <si>
    <t>ca2_c</t>
  </si>
  <si>
    <t>Ca</t>
  </si>
  <si>
    <t>Cofactors synthesis (coefficients in gram per gDW)</t>
  </si>
  <si>
    <t>nad_c</t>
  </si>
  <si>
    <t>so4_c</t>
  </si>
  <si>
    <t>BIOSYN-LIPID2</t>
  </si>
  <si>
    <t>BIOSYN-LIPID3</t>
  </si>
  <si>
    <t>BIOSYN-LIPID4</t>
  </si>
  <si>
    <t>BIOSYN-LIPID5</t>
  </si>
  <si>
    <t>BIOSYN-LIPID6</t>
  </si>
  <si>
    <r>
      <t>C</t>
    </r>
    <r>
      <rPr>
        <vertAlign val="subscript"/>
        <sz val="10"/>
        <color rgb="FF111827"/>
        <rFont val="Arial"/>
        <family val="2"/>
      </rPr>
      <t>30</t>
    </r>
    <r>
      <rPr>
        <sz val="10"/>
        <color rgb="FF111827"/>
        <rFont val="Arial"/>
        <family val="2"/>
      </rPr>
      <t>H</t>
    </r>
    <r>
      <rPr>
        <vertAlign val="subscript"/>
        <sz val="10"/>
        <color rgb="FF111827"/>
        <rFont val="Arial"/>
        <family val="2"/>
      </rPr>
      <t>52</t>
    </r>
    <r>
      <rPr>
        <sz val="10"/>
        <color rgb="FF111827"/>
        <rFont val="Arial"/>
        <family val="2"/>
      </rPr>
      <t>O</t>
    </r>
  </si>
  <si>
    <t>hopene_c</t>
  </si>
  <si>
    <r>
      <t>C</t>
    </r>
    <r>
      <rPr>
        <vertAlign val="subscript"/>
        <sz val="10"/>
        <color rgb="FF111827"/>
        <rFont val="Arial"/>
        <family val="2"/>
      </rPr>
      <t>30</t>
    </r>
    <r>
      <rPr>
        <sz val="10"/>
        <color rgb="FF111827"/>
        <rFont val="Arial"/>
        <family val="2"/>
      </rPr>
      <t>H</t>
    </r>
    <r>
      <rPr>
        <vertAlign val="subscript"/>
        <sz val="10"/>
        <color rgb="FF111827"/>
        <rFont val="Arial"/>
        <family val="2"/>
      </rPr>
      <t>50</t>
    </r>
  </si>
  <si>
    <t>thbh_c</t>
  </si>
  <si>
    <r>
      <t>C</t>
    </r>
    <r>
      <rPr>
        <vertAlign val="subscript"/>
        <sz val="10"/>
        <color rgb="FF111827"/>
        <rFont val="Arial"/>
        <family val="2"/>
      </rPr>
      <t>35</t>
    </r>
    <r>
      <rPr>
        <sz val="10"/>
        <color rgb="FF111827"/>
        <rFont val="Arial"/>
        <family val="2"/>
      </rPr>
      <t>H</t>
    </r>
    <r>
      <rPr>
        <vertAlign val="subscript"/>
        <sz val="10"/>
        <color rgb="FF111827"/>
        <rFont val="Arial"/>
        <family val="2"/>
      </rPr>
      <t>62</t>
    </r>
    <r>
      <rPr>
        <sz val="10"/>
        <color rgb="FF111827"/>
        <rFont val="Arial"/>
        <family val="2"/>
      </rPr>
      <t>O</t>
    </r>
    <r>
      <rPr>
        <vertAlign val="subscript"/>
        <sz val="10"/>
        <color rgb="FF111827"/>
        <rFont val="Arial"/>
        <family val="2"/>
      </rPr>
      <t>4</t>
    </r>
  </si>
  <si>
    <t>thbhet_c</t>
  </si>
  <si>
    <r>
      <t>C</t>
    </r>
    <r>
      <rPr>
        <vertAlign val="subscript"/>
        <sz val="10"/>
        <color rgb="FF111827"/>
        <rFont val="Arial"/>
        <family val="2"/>
      </rPr>
      <t>41</t>
    </r>
    <r>
      <rPr>
        <sz val="10"/>
        <color rgb="FF111827"/>
        <rFont val="Arial"/>
        <family val="2"/>
      </rPr>
      <t>H</t>
    </r>
    <r>
      <rPr>
        <vertAlign val="subscript"/>
        <sz val="10"/>
        <color rgb="FF111827"/>
        <rFont val="Arial"/>
        <family val="2"/>
      </rPr>
      <t>73</t>
    </r>
    <r>
      <rPr>
        <sz val="10"/>
        <color rgb="FF111827"/>
        <rFont val="Arial"/>
        <family val="2"/>
      </rPr>
      <t>NO</t>
    </r>
    <r>
      <rPr>
        <vertAlign val="subscript"/>
        <sz val="10"/>
        <color rgb="FF111827"/>
        <rFont val="Arial"/>
        <family val="2"/>
      </rPr>
      <t>8</t>
    </r>
  </si>
  <si>
    <t>thbhga_c</t>
  </si>
  <si>
    <t>BIOSYN-LIPID7</t>
  </si>
  <si>
    <t>BIOSYN-LIPID8</t>
  </si>
  <si>
    <t>BIOSYN-LIPID9</t>
  </si>
  <si>
    <t>fad_c</t>
  </si>
  <si>
    <t>nadp_c</t>
  </si>
  <si>
    <t>ribflv_c</t>
  </si>
  <si>
    <t>thf_c</t>
  </si>
  <si>
    <t>thmpp_c</t>
  </si>
  <si>
    <t>fe2_c</t>
  </si>
  <si>
    <t>k_c</t>
  </si>
  <si>
    <t>mg2_c</t>
  </si>
  <si>
    <t>K</t>
  </si>
  <si>
    <t>Mg</t>
  </si>
  <si>
    <t>Deriving RBA ZM-biomass synthesis network</t>
  </si>
  <si>
    <t>pg_ZM_c</t>
  </si>
  <si>
    <t>clpn_ZM_c</t>
  </si>
  <si>
    <t>BIO-protein</t>
  </si>
  <si>
    <t>BIO-rna</t>
  </si>
  <si>
    <t>BIO-peptidoglycan</t>
  </si>
  <si>
    <t>inlcudes cofactors, minerals, Fe-S clusters, and vitamins</t>
  </si>
  <si>
    <t>BIO-carbohydrate</t>
  </si>
  <si>
    <t>BIO-small_molecules</t>
  </si>
  <si>
    <t>BIOSYN-BIODIL</t>
  </si>
  <si>
    <t>Xuejun Qian and Kirsten Fisher</t>
  </si>
  <si>
    <t>Protein synthesis</t>
  </si>
  <si>
    <t>*updated GAM and NGAM (reparameterized them based on same data Ong et al used)</t>
  </si>
  <si>
    <t>small molecule</t>
  </si>
  <si>
    <t>RNA</t>
  </si>
  <si>
    <t>protein</t>
  </si>
  <si>
    <t>peptido</t>
  </si>
  <si>
    <t>lipid</t>
  </si>
  <si>
    <t>0.0549 CARBO_ZM_c + 0.0297 DNA_ZM_c + 0.0769 LIPID_ZM_c + 0.0275 PEPTIDO_ZM_c + 0.527 PROTEIN_ZM_c + 0.242 RNA_ZM_c + 0.0428 SM_MOLECULE_ZM_c + 172.1086 atp_c + 172.1086 h2o_c --&gt; 172.1086 adp_c + 172.1086 h_c + 172.1086 pi_c</t>
  </si>
  <si>
    <t>DNA</t>
  </si>
  <si>
    <t>carb</t>
  </si>
  <si>
    <t>Percent g/gDW</t>
  </si>
  <si>
    <t>In the biomass precursor reactions, the coefficients are in mmol/g</t>
  </si>
  <si>
    <t>In the final biomass equation, the coefficients are in g/gDCW assuming DCW of 1 (so it is essentially percent composition of each component)</t>
  </si>
  <si>
    <t>Coeff (mmol/gDCW in 1 gDCW)</t>
  </si>
  <si>
    <t>MET-dctp_c --&gt; 0.288174 BIO-dctp_c + MET-ppi_c</t>
  </si>
  <si>
    <t>MET-dgtp_c --&gt; 0.328198 BIO-dgtp_c + MET-ppi_c</t>
  </si>
  <si>
    <t>MET-dttp_c --&gt; 0.303185 BIO-dttp_c + MET-ppi_c</t>
  </si>
  <si>
    <t>***Note that the atp_c hydrolysis here will be added in with the GAM for RBA</t>
  </si>
  <si>
    <t>Peptidoglycan synthesis (coefficients in gram per gDW)</t>
  </si>
  <si>
    <t>BIOSYN-PEPTIDOGLYCAN</t>
  </si>
  <si>
    <t>Carbohydrate synthesis (coefficients in gram per gDW of the Biomolecule)</t>
  </si>
  <si>
    <t>BIOSYN-CARBOHYDRATE</t>
  </si>
  <si>
    <t>BIOSYN-CARBOHYDRATE1</t>
  </si>
  <si>
    <t>gdpmann_c</t>
  </si>
  <si>
    <t>C16H23N5O16P2</t>
  </si>
  <si>
    <t>BIOSYN-CARBOHYDRATE2</t>
  </si>
  <si>
    <t>udpg_c</t>
  </si>
  <si>
    <t>C15H22N2O17P2</t>
  </si>
  <si>
    <t>pe_ZM_c</t>
  </si>
  <si>
    <t>pc_ZM_c</t>
  </si>
  <si>
    <t>BIOSYN-LIPID10</t>
  </si>
  <si>
    <t>BIOSYN-LIPID11</t>
  </si>
  <si>
    <t>BIOSYN-SMALL_MOLECULES</t>
  </si>
  <si>
    <t>BIOSYN-SMALLMOLECULE1</t>
  </si>
  <si>
    <t>10fthf_c</t>
  </si>
  <si>
    <t>C20H21N7O7</t>
  </si>
  <si>
    <t>BIOSYN-SMALLMOLECULE2</t>
  </si>
  <si>
    <t>2fe2s_c</t>
  </si>
  <si>
    <t>S2Fe2</t>
  </si>
  <si>
    <t>BIOSYN-SMALLMOLECULE3</t>
  </si>
  <si>
    <t>4fe4s_c</t>
  </si>
  <si>
    <t>S4Fe4</t>
  </si>
  <si>
    <t>BIOSYN-SMALLMOLECULE4</t>
  </si>
  <si>
    <t>5mthf_c</t>
  </si>
  <si>
    <t>C20H24N7O6</t>
  </si>
  <si>
    <t>BIOSYN-SMALLMOLECULE5</t>
  </si>
  <si>
    <t>amet_c</t>
  </si>
  <si>
    <t>C15H23N6O5S</t>
  </si>
  <si>
    <t>BIOSYN-SMALLMOLECULE6</t>
  </si>
  <si>
    <t>btn_c</t>
  </si>
  <si>
    <t>C10H15N2O3S</t>
  </si>
  <si>
    <t>BIOSYN-SMALLMOLECULE7</t>
  </si>
  <si>
    <t>BIOSYN-SMALLMOLECULE8</t>
  </si>
  <si>
    <t>cl_c</t>
  </si>
  <si>
    <t>Cl</t>
  </si>
  <si>
    <t>BIOSYN-SMALLMOLECULE9</t>
  </si>
  <si>
    <t>coa_c</t>
  </si>
  <si>
    <t>C21H32N7O16P3S</t>
  </si>
  <si>
    <t>BIOSYN-SMALLMOLECULE10</t>
  </si>
  <si>
    <t>C27H31N9O15P2</t>
  </si>
  <si>
    <t>BIOSYN-SMALLMOLECULE11</t>
  </si>
  <si>
    <t>Fe2+</t>
  </si>
  <si>
    <t>BIOSYN-SMALLMOLECULE12</t>
  </si>
  <si>
    <t>BIOSYN-SMALLMOLECULE13</t>
  </si>
  <si>
    <t>BIOSYN-SMALLMOLECULE14</t>
  </si>
  <si>
    <t>mlthf_c</t>
  </si>
  <si>
    <t>C20H21N7O6</t>
  </si>
  <si>
    <t>BIOSYN-SMALLMOLECULE15</t>
  </si>
  <si>
    <t>mobd_c</t>
  </si>
  <si>
    <t>MoO4</t>
  </si>
  <si>
    <t>BIOSYN-SMALLMOLECULE16</t>
  </si>
  <si>
    <t>C21H26N7O14P2</t>
  </si>
  <si>
    <t>BIOSYN-SMALLMOLECULE17</t>
  </si>
  <si>
    <t>C21H25N7O17P3</t>
  </si>
  <si>
    <t>BIOSYN-SMALLMOLECULE18</t>
  </si>
  <si>
    <t>nh4_c</t>
  </si>
  <si>
    <t>H4N</t>
  </si>
  <si>
    <t>BIOSYN-SMALLMOLECULE19</t>
  </si>
  <si>
    <t>ptrc_c</t>
  </si>
  <si>
    <t>C4H14N2</t>
  </si>
  <si>
    <t>BIOSYN-SMALLMOLECULE20</t>
  </si>
  <si>
    <t>pydx5p_c</t>
  </si>
  <si>
    <t>C8H8NO6P</t>
  </si>
  <si>
    <t>BIOSYN-SMALLMOLECULE21</t>
  </si>
  <si>
    <t>C17H20N4O6</t>
  </si>
  <si>
    <t>BIOSYN-SMALLMOLECULE22</t>
  </si>
  <si>
    <t>O4S</t>
  </si>
  <si>
    <t>BIOSYN-SMALLMOLECULE23</t>
  </si>
  <si>
    <t>C19H21N7O6</t>
  </si>
  <si>
    <t>BIOSYN-SMALLMOLECULE24</t>
  </si>
  <si>
    <t>C12H16N4O7P2S</t>
  </si>
  <si>
    <t>BIOSYN-SMALLMOLECULE25</t>
  </si>
  <si>
    <t>udcpdp_c</t>
  </si>
  <si>
    <t>C55H92O7P2</t>
  </si>
  <si>
    <t>MET-atp_c --&gt; 0.328198 BIO-atp_c + MET-ppi_c</t>
  </si>
  <si>
    <t>MET-ctp_c --&gt; 0.304173 BIO-ctp_c + MET-ppi_c</t>
  </si>
  <si>
    <t>MET-gtp_c --&gt; 0.344197 BIO-gtp_c + MET-ppi_c</t>
  </si>
  <si>
    <t>MET-utp_c --&gt; 0.305158 BIO-utp_c + MET-ppi_c</t>
  </si>
  <si>
    <t>0.219842 BIO-atp_c + 0.218999 BIO-ctp_c + 0.320642 BIO-gtp_c + 0.240517 BIO-utp_c --&gt; BIO-trna</t>
  </si>
  <si>
    <t>0.219842 BIO-atp_c + 0.218999 BIO-ctp_c + 0.320642 BIO-gtp_c + 0.240517 BIO-utp_c --&gt; BIO-mrna</t>
  </si>
  <si>
    <t>0.219842 BIO-atp_c + 0.218999 BIO-ctp_c + 0.320642 BIO-gtp_c + 0.240517 BIO-utp_c --&gt; BIO-rrna</t>
  </si>
  <si>
    <t>0.272104 BIO-datp_c + 0.21677 BIO-dctp_c + 0.246877 BIO-dgtp_c + 0.264248 BIO-dttp_c +  --&gt; BIO-dna</t>
  </si>
  <si>
    <t>MET-datp_c --&gt; 0.312199 BIO-datp_c + MET-ppi_c</t>
  </si>
  <si>
    <t>MET-gdpmann_c --&gt; 0.603326 BIO-gdpmann_c + MET-gdp_c</t>
  </si>
  <si>
    <t>MET-udpg_c --&gt; 0.564286 BIO-udpg_c + MET-udp_c</t>
  </si>
  <si>
    <t>MET-clpn_ZM_c --&gt; 0.428733 BIO-clpn_ZM_c</t>
  </si>
  <si>
    <t>MET-hopene_c --&gt; 0.410718 BIO-hopene_c</t>
  </si>
  <si>
    <t>MET-thbh_c --&gt; 0.546875 BIO-thbh_c</t>
  </si>
  <si>
    <t>MET-thbhet_c --&gt; 0.708546 BIO-thbhet_c</t>
  </si>
  <si>
    <t>MET-thbhga_c --&gt; 0.708546 BIO-thbhga_c</t>
  </si>
  <si>
    <t>MET-pe_ZM_c --&gt; 0.731502 BIO-pe_ZM_c</t>
  </si>
  <si>
    <t>MET-pg_ZM_c --&gt; 0.75986 BIO-pg_ZM_c</t>
  </si>
  <si>
    <t>MET-pc_ZM_c --&gt; 0.77014 BIO-pc_ZM_c</t>
  </si>
  <si>
    <t>MET-clpn_ZM_c --&gt; 1.430726 BIO-clpn_ZM_c</t>
  </si>
  <si>
    <t>MET-10fthf_c --&gt; 0.47343 BIO-10fthf_c</t>
  </si>
  <si>
    <t>MET-2fe2s_c --&gt; 0.17582 BIO-2fe2s_c</t>
  </si>
  <si>
    <t>MET-4fe4s_c --&gt; 0.35164 BIO-4fe4s_c</t>
  </si>
  <si>
    <t>MET-5mthf_c --&gt; 0.45845 BIO-5mthf_c</t>
  </si>
  <si>
    <t>MET-amet_c --&gt; 0.39945 BIO-amet_c</t>
  </si>
  <si>
    <t>MET-btn_c --&gt; 0.24331 BIO-btn_c</t>
  </si>
  <si>
    <t>MET-ca2_c --&gt; 0.04008 BIO-ca2_c</t>
  </si>
  <si>
    <t>MET-cl_c --&gt; 0.03545 BIO-cl_c</t>
  </si>
  <si>
    <t>MET-coa_c --&gt; 0.76754 BIO-coa_c</t>
  </si>
  <si>
    <t>MET-fad_c --&gt; 0.78354 BIO-fad_c</t>
  </si>
  <si>
    <t>MET-fe2_c --&gt; 0.05585 BIO-fe2_c</t>
  </si>
  <si>
    <t>MET-k_c --&gt; 0.0391 BIO-k_c</t>
  </si>
  <si>
    <t>MET-mg2_c --&gt; 0.02431 BIO-mg2_c</t>
  </si>
  <si>
    <t>MET-mlthf_c --&gt; 0.45516 BIO-mlthf_c</t>
  </si>
  <si>
    <t>MET-mobd_c --&gt; 0.15995 BIO-mobd_c</t>
  </si>
  <si>
    <t>MET-nad_c --&gt; 0.6621 BIO-nad_c</t>
  </si>
  <si>
    <t>MET-nadp_c --&gt; 0.74038 BIO-nadp_c</t>
  </si>
  <si>
    <t>MET-nh4_c --&gt; 0.01804 BIO-nh4_c</t>
  </si>
  <si>
    <t>MET-ptrc_c --&gt; 0.09017 BIO-ptrc_c</t>
  </si>
  <si>
    <t>MET-pydx5p_c --&gt; 0.24513 BIO-pydx5p_c</t>
  </si>
  <si>
    <t>MET-ribflv_c --&gt; 0.37636 BIO-ribflv_c</t>
  </si>
  <si>
    <t>MET-so4_c --&gt; 0.09808 BIO-so4_c</t>
  </si>
  <si>
    <t>MET-thf_c --&gt; 0.4434 BIO-thf_c</t>
  </si>
  <si>
    <t>MET-thmpp_c --&gt; 0.42229 BIO-thmpp_c</t>
  </si>
  <si>
    <t>MET-udcpdp_c --&gt; 0.92726 BIO-udcpdp_c</t>
  </si>
  <si>
    <t>0.492201 BIO-gdpmann_c + 0.507799 BIO-udpg_c --&gt; BIO-carbohydrate</t>
  </si>
  <si>
    <t>0.007127 BIO-10fthf_c + 0.000308 BIO-2fe2s_c + 0.00617 BIO-4fe4s_c + 0.006901 BIO-5mthf_c + 0.006013 BIO-amet_c + 0.000033 BIO-btn_c + 0.013345 BIO-ca2_c + 0.011804 BIO-cl_c + 0.029765 BIO-coa_c + 0.011795 BIO-fad_c + 0.023997 BIO-fe2_c + 0.488413 BIO-k_c + 0.013499 BIO-mg2_c + 0.006852 BIO-mlthf_c + 0.000071 BIO-mobd_c + 0.081847 BIO-nad_c + 0.022217 BIO-nadp_c + 0.015017 BIO-nh4_c + 0.201808 BIO-ptrc_c + 0.00369 BIO-pydx5p_c + 0.005666 BIO-ribflv_c + 0.027182 BIO-so4_c + 0.006675 BIO-thf_c + 0.006357 BIO-thmpp_c + 0.003448 BIO-udcpdp_c --&gt; BIO-small_molecules</t>
  </si>
  <si>
    <t>BIO-protmodeled --&gt; BIO-protein</t>
  </si>
  <si>
    <t>BIO-protdummy --&gt; BIO-protein</t>
  </si>
  <si>
    <t>to review how RBA biomass synthesis network was created, refer to 'KF_biomass updates_GSM_RBA.xlsx'</t>
  </si>
  <si>
    <t>0.029992 BIO-clpn_ZM_c + 0.009851 BIO-hopene_c + 0.256318 BIO-thbh_c + 0.304478 BIO-thbhet_c + 0.399361 BIO-thbhga_c --&gt; BIO-Hopanoids_ZM_c</t>
  </si>
  <si>
    <t>0.580447 BIO-pe_ZM_c + 0.237686 BIO-pg_ZM_c + 0.154701 BIO-pc_ZM_c + 0.027167 BIO-clpn_ZM_c --&gt; BIO-Phospholipids_ZM_c</t>
  </si>
  <si>
    <t>0.527 BIO-protein + 0.242 BIO-rna + 0.0549 BIO-carbohydrate + 0.0275 BIO-peptidoglycan + 0.0769 BIO-lipid + 0.0297 BIO-dna + 0.0428 BIO-small_molecules + 89.23480037 MET-atp_c + 89.23480037 MET-h2o_c --&gt; 89.23480037 MET-adp_c + 89.23480037 MET-pi_c + 89.23480037 MET-h_c</t>
  </si>
  <si>
    <t xml:space="preserve">MET-PEPTIDO_ZM_c --&gt; BIO-peptidoglycan </t>
  </si>
  <si>
    <t>0.401 BIO-Hopanoids_ZM_c + 0.599 BIO-Phospholipids_ZM_c --&gt; BIO-lipid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</si>
</sst>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%"/>
    <numFmt numFmtId="165" formatCode="0.000"/>
    <numFmt numFmtId="166" formatCode="0.000000"/>
    <numFmt numFmtId="167" formatCode="0.0000"/>
    <numFmt numFmtId="168" formatCode="0.0%"/>
  </numFmts>
  <fonts count="15" x14ac:knownFonts="1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  <charset val="1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111827"/>
      <name val="Arial"/>
      <family val="2"/>
    </font>
    <font>
      <vertAlign val="subscript"/>
      <sz val="10"/>
      <color rgb="FF111827"/>
      <name val="Arial"/>
      <family val="2"/>
    </font>
    <font>
      <sz val="11"/>
      <color rgb="FFC00000"/>
      <name val="Calibri"/>
      <family val="2"/>
      <scheme val="minor"/>
    </font>
    <font>
      <sz val="8"/>
      <name val="Arial"/>
      <family val="2"/>
      <charset val="1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onsolas"/>
      <family val="3"/>
    </font>
  </fonts>
  <fills count="17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  <fill>
      <patternFill patternType="solid">
        <fgColor rgb="FFFF9999"/>
        <bgColor rgb="FFFF8080"/>
      </patternFill>
    </fill>
    <fill>
      <patternFill patternType="solid">
        <fgColor rgb="FF9999FF"/>
        <bgColor rgb="FFB2B2B2"/>
      </patternFill>
    </fill>
    <fill>
      <patternFill patternType="solid">
        <fgColor rgb="FFCCFF66"/>
        <bgColor rgb="FFFFFFA6"/>
      </patternFill>
    </fill>
    <fill>
      <patternFill patternType="solid">
        <fgColor rgb="FFB2B2B2"/>
        <bgColor rgb="FF969696"/>
      </patternFill>
    </fill>
    <fill>
      <patternFill patternType="solid">
        <fgColor rgb="FF66FF99"/>
        <bgColor rgb="FF66CCFF"/>
      </patternFill>
    </fill>
    <fill>
      <patternFill patternType="solid">
        <fgColor rgb="FF66CCFF"/>
        <bgColor rgb="FF9999FF"/>
      </patternFill>
    </fill>
    <fill>
      <patternFill patternType="solid">
        <fgColor rgb="FFCC9900"/>
        <bgColor rgb="FF808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rgb="FFFFFFA6"/>
      </patternFill>
    </fill>
    <fill>
      <patternFill patternType="solid">
        <fgColor theme="2" tint="-9.9978637043366805E-2"/>
        <bgColor rgb="FF969696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1" fillId="0" borderId="0"/>
    <xf numFmtId="0" fontId="1" fillId="0" borderId="0"/>
  </cellStyleXfs>
  <cellXfs count="54">
    <xf numFmtId="0" fontId="0" fillId="0" borderId="0" xfId="0"/>
    <xf numFmtId="0" fontId="3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10" fontId="0" fillId="4" borderId="0" xfId="0" applyNumberFormat="1" applyFill="1" applyAlignment="1">
      <alignment horizontal="left"/>
    </xf>
    <xf numFmtId="0" fontId="0" fillId="5" borderId="0" xfId="0" applyFill="1"/>
    <xf numFmtId="10" fontId="0" fillId="5" borderId="0" xfId="0" applyNumberFormat="1" applyFill="1" applyAlignment="1">
      <alignment horizontal="left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2" fontId="0" fillId="9" borderId="0" xfId="0" applyNumberFormat="1" applyFill="1" applyAlignment="1">
      <alignment horizontal="left"/>
    </xf>
    <xf numFmtId="2" fontId="0" fillId="0" borderId="0" xfId="0" applyNumberFormat="1"/>
    <xf numFmtId="10" fontId="0" fillId="0" borderId="0" xfId="0" applyNumberFormat="1"/>
    <xf numFmtId="0" fontId="5" fillId="0" borderId="0" xfId="0" applyFont="1"/>
    <xf numFmtId="0" fontId="10" fillId="0" borderId="0" xfId="0" applyFont="1"/>
    <xf numFmtId="166" fontId="0" fillId="0" borderId="0" xfId="0" applyNumberFormat="1"/>
    <xf numFmtId="166" fontId="5" fillId="0" borderId="0" xfId="0" applyNumberFormat="1" applyFont="1"/>
    <xf numFmtId="0" fontId="4" fillId="0" borderId="0" xfId="0" applyFont="1" applyAlignment="1">
      <alignment horizontal="left" vertical="center"/>
    </xf>
    <xf numFmtId="0" fontId="6" fillId="0" borderId="0" xfId="0" applyFont="1"/>
    <xf numFmtId="10" fontId="5" fillId="0" borderId="0" xfId="0" applyNumberFormat="1" applyFont="1"/>
    <xf numFmtId="0" fontId="8" fillId="0" borderId="0" xfId="0" applyFont="1"/>
    <xf numFmtId="0" fontId="12" fillId="0" borderId="0" xfId="0" applyFont="1"/>
    <xf numFmtId="10" fontId="0" fillId="6" borderId="0" xfId="0" applyNumberFormat="1" applyFill="1" applyAlignment="1">
      <alignment horizontal="left"/>
    </xf>
    <xf numFmtId="10" fontId="0" fillId="7" borderId="0" xfId="0" applyNumberFormat="1" applyFill="1" applyAlignment="1">
      <alignment horizontal="left"/>
    </xf>
    <xf numFmtId="10" fontId="0" fillId="8" borderId="0" xfId="0" applyNumberFormat="1" applyFill="1" applyAlignment="1">
      <alignment horizontal="left"/>
    </xf>
    <xf numFmtId="168" fontId="0" fillId="2" borderId="0" xfId="0" applyNumberFormat="1" applyFill="1" applyAlignment="1">
      <alignment horizontal="left"/>
    </xf>
    <xf numFmtId="168" fontId="0" fillId="3" borderId="0" xfId="0" applyNumberFormat="1" applyFill="1" applyAlignment="1">
      <alignment horizontal="left"/>
    </xf>
    <xf numFmtId="0" fontId="1" fillId="0" borderId="0" xfId="3"/>
    <xf numFmtId="0" fontId="13" fillId="0" borderId="0" xfId="0" applyFont="1"/>
    <xf numFmtId="0" fontId="0" fillId="11" borderId="0" xfId="0" applyFill="1"/>
    <xf numFmtId="10" fontId="0" fillId="12" borderId="0" xfId="0" applyNumberFormat="1" applyFill="1"/>
    <xf numFmtId="0" fontId="0" fillId="13" borderId="0" xfId="0" applyFill="1"/>
    <xf numFmtId="0" fontId="0" fillId="13" borderId="0" xfId="0" applyFill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6" fontId="5" fillId="14" borderId="0" xfId="0" applyNumberFormat="1" applyFont="1" applyFill="1"/>
    <xf numFmtId="0" fontId="14" fillId="11" borderId="0" xfId="0" applyFont="1" applyFill="1"/>
    <xf numFmtId="10" fontId="0" fillId="15" borderId="0" xfId="0" applyNumberFormat="1" applyFill="1"/>
    <xf numFmtId="0" fontId="4" fillId="11" borderId="0" xfId="0" applyFont="1" applyFill="1" applyAlignment="1">
      <alignment horizontal="left" vertical="center"/>
    </xf>
    <xf numFmtId="167" fontId="4" fillId="11" borderId="0" xfId="0" applyNumberFormat="1" applyFont="1" applyFill="1"/>
    <xf numFmtId="0" fontId="6" fillId="11" borderId="0" xfId="0" applyFont="1" applyFill="1"/>
    <xf numFmtId="0" fontId="8" fillId="11" borderId="0" xfId="0" applyFont="1" applyFill="1"/>
    <xf numFmtId="10" fontId="5" fillId="12" borderId="0" xfId="0" applyNumberFormat="1" applyFont="1" applyFill="1"/>
    <xf numFmtId="0" fontId="4" fillId="11" borderId="0" xfId="0" applyFont="1" applyFill="1"/>
    <xf numFmtId="0" fontId="1" fillId="0" borderId="0" xfId="3" applyAlignment="1">
      <alignment horizontal="center"/>
    </xf>
    <xf numFmtId="0" fontId="1" fillId="10" borderId="0" xfId="3" applyFill="1" applyAlignment="1">
      <alignment horizontal="center" wrapText="1"/>
    </xf>
    <xf numFmtId="0" fontId="13" fillId="16" borderId="0" xfId="3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">
    <cellStyle name="Normal" xfId="0" builtinId="0"/>
    <cellStyle name="Normal 2" xfId="1" xr:uid="{42432EE5-D192-453E-8995-B97721ADA06A}"/>
    <cellStyle name="Normal 3" xfId="2" xr:uid="{69D48B43-16F4-449B-B4BC-5FE21FD71CAA}"/>
    <cellStyle name="Normal 4" xfId="3" xr:uid="{03B02426-D8DE-4578-8C04-BB780ADE58DD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66"/>
      <rgbColor rgb="FFFFFFA6"/>
      <rgbColor rgb="FF66CCFF"/>
      <rgbColor rgb="FFFF9999"/>
      <rgbColor rgb="FFFF99FF"/>
      <rgbColor rgb="FFFFCC99"/>
      <rgbColor rgb="FF3366FF"/>
      <rgbColor rgb="FF66FF99"/>
      <rgbColor rgb="FF99CC00"/>
      <rgbColor rgb="FFFFCC00"/>
      <rgbColor rgb="FFCC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5118-31C2-4336-AECA-97E7BB6E44B8}">
  <dimension ref="A1:X19"/>
  <sheetViews>
    <sheetView workbookViewId="0">
      <selection activeCell="I21" sqref="I21"/>
    </sheetView>
  </sheetViews>
  <sheetFormatPr baseColWidth="10" defaultColWidth="9.1640625" defaultRowHeight="15" x14ac:dyDescent="0.2"/>
  <cols>
    <col min="1" max="1" width="17.1640625" style="32" customWidth="1"/>
    <col min="2" max="16384" width="9.1640625" style="32"/>
  </cols>
  <sheetData>
    <row r="1" spans="1:24" x14ac:dyDescent="0.2">
      <c r="A1" s="32" t="s">
        <v>117</v>
      </c>
    </row>
    <row r="2" spans="1:24" x14ac:dyDescent="0.2">
      <c r="A2" s="32" t="s">
        <v>116</v>
      </c>
    </row>
    <row r="4" spans="1:24" x14ac:dyDescent="0.2">
      <c r="A4" s="51" t="s">
        <v>248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</row>
    <row r="5" spans="1:24" x14ac:dyDescent="0.2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</row>
    <row r="8" spans="1:24" x14ac:dyDescent="0.2">
      <c r="A8" s="49" t="s">
        <v>115</v>
      </c>
      <c r="B8" s="49"/>
    </row>
    <row r="9" spans="1:24" x14ac:dyDescent="0.2">
      <c r="A9" s="32" t="s">
        <v>114</v>
      </c>
      <c r="B9" s="32">
        <v>5.49</v>
      </c>
    </row>
    <row r="10" spans="1:24" x14ac:dyDescent="0.2">
      <c r="A10" s="32" t="s">
        <v>113</v>
      </c>
      <c r="B10" s="32">
        <v>2.97</v>
      </c>
      <c r="F10" s="50" t="s">
        <v>112</v>
      </c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</row>
    <row r="11" spans="1:24" x14ac:dyDescent="0.2">
      <c r="A11" s="32" t="s">
        <v>111</v>
      </c>
      <c r="B11" s="32">
        <v>7.69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</row>
    <row r="12" spans="1:24" x14ac:dyDescent="0.2">
      <c r="A12" s="32" t="s">
        <v>110</v>
      </c>
      <c r="B12" s="32">
        <v>2.75</v>
      </c>
    </row>
    <row r="13" spans="1:24" x14ac:dyDescent="0.2">
      <c r="A13" s="32" t="s">
        <v>109</v>
      </c>
      <c r="B13" s="32">
        <v>52.7</v>
      </c>
    </row>
    <row r="14" spans="1:24" x14ac:dyDescent="0.2">
      <c r="A14" s="32" t="s">
        <v>108</v>
      </c>
      <c r="B14" s="32">
        <v>24.2</v>
      </c>
    </row>
    <row r="15" spans="1:24" x14ac:dyDescent="0.2">
      <c r="A15" s="32" t="s">
        <v>107</v>
      </c>
      <c r="B15" s="32">
        <v>4.28</v>
      </c>
    </row>
    <row r="16" spans="1:24" x14ac:dyDescent="0.2">
      <c r="B16" s="32">
        <f>SUM(B9:B15)</f>
        <v>100.08000000000001</v>
      </c>
    </row>
    <row r="19" spans="1:1" x14ac:dyDescent="0.2">
      <c r="A19" s="32" t="s">
        <v>106</v>
      </c>
    </row>
  </sheetData>
  <mergeCells count="3">
    <mergeCell ref="A8:B8"/>
    <mergeCell ref="F10:X11"/>
    <mergeCell ref="A4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0"/>
  <sheetViews>
    <sheetView tabSelected="1" zoomScale="145" zoomScaleNormal="145" workbookViewId="0">
      <selection activeCell="F19" sqref="F19"/>
    </sheetView>
  </sheetViews>
  <sheetFormatPr baseColWidth="10" defaultColWidth="12" defaultRowHeight="13" x14ac:dyDescent="0.15"/>
  <cols>
    <col min="1" max="1" width="31.8320312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18" t="s">
        <v>103</v>
      </c>
      <c r="B2" s="18" t="s">
        <v>251</v>
      </c>
    </row>
    <row r="3" spans="1:2" x14ac:dyDescent="0.15">
      <c r="A3" t="s">
        <v>16</v>
      </c>
      <c r="B3" t="s">
        <v>246</v>
      </c>
    </row>
    <row r="4" spans="1:2" x14ac:dyDescent="0.15">
      <c r="A4" t="s">
        <v>18</v>
      </c>
      <c r="B4" t="s">
        <v>247</v>
      </c>
    </row>
    <row r="5" spans="1:2" x14ac:dyDescent="0.15">
      <c r="A5" t="s">
        <v>20</v>
      </c>
      <c r="B5" t="s">
        <v>21</v>
      </c>
    </row>
    <row r="6" spans="1:2" x14ac:dyDescent="0.15">
      <c r="A6" t="s">
        <v>22</v>
      </c>
      <c r="B6" t="s">
        <v>23</v>
      </c>
    </row>
    <row r="7" spans="1:2" x14ac:dyDescent="0.15">
      <c r="A7" t="s">
        <v>29</v>
      </c>
      <c r="B7" t="s">
        <v>30</v>
      </c>
    </row>
    <row r="8" spans="1:2" x14ac:dyDescent="0.15">
      <c r="A8" t="s">
        <v>32</v>
      </c>
      <c r="B8" t="s">
        <v>199</v>
      </c>
    </row>
    <row r="9" spans="1:2" x14ac:dyDescent="0.15">
      <c r="A9" t="s">
        <v>35</v>
      </c>
      <c r="B9" t="s">
        <v>200</v>
      </c>
    </row>
    <row r="10" spans="1:2" x14ac:dyDescent="0.15">
      <c r="A10" t="s">
        <v>38</v>
      </c>
      <c r="B10" t="s">
        <v>201</v>
      </c>
    </row>
    <row r="11" spans="1:2" x14ac:dyDescent="0.15">
      <c r="A11" t="s">
        <v>41</v>
      </c>
      <c r="B11" t="s">
        <v>202</v>
      </c>
    </row>
    <row r="12" spans="1:2" x14ac:dyDescent="0.15">
      <c r="A12" t="s">
        <v>44</v>
      </c>
      <c r="B12" t="s">
        <v>203</v>
      </c>
    </row>
    <row r="13" spans="1:2" x14ac:dyDescent="0.15">
      <c r="A13" t="s">
        <v>45</v>
      </c>
      <c r="B13" t="s">
        <v>204</v>
      </c>
    </row>
    <row r="14" spans="1:2" x14ac:dyDescent="0.15">
      <c r="A14" t="s">
        <v>46</v>
      </c>
      <c r="B14" t="s">
        <v>205</v>
      </c>
    </row>
    <row r="15" spans="1:2" x14ac:dyDescent="0.15">
      <c r="A15" t="s">
        <v>51</v>
      </c>
      <c r="B15" t="s">
        <v>206</v>
      </c>
    </row>
    <row r="16" spans="1:2" x14ac:dyDescent="0.15">
      <c r="A16" t="s">
        <v>52</v>
      </c>
      <c r="B16" t="s">
        <v>207</v>
      </c>
    </row>
    <row r="17" spans="1:2" x14ac:dyDescent="0.15">
      <c r="A17" t="s">
        <v>55</v>
      </c>
      <c r="B17" t="s">
        <v>119</v>
      </c>
    </row>
    <row r="18" spans="1:2" x14ac:dyDescent="0.15">
      <c r="A18" t="s">
        <v>58</v>
      </c>
      <c r="B18" t="s">
        <v>120</v>
      </c>
    </row>
    <row r="19" spans="1:2" x14ac:dyDescent="0.15">
      <c r="A19" t="s">
        <v>60</v>
      </c>
      <c r="B19" t="s">
        <v>121</v>
      </c>
    </row>
    <row r="20" spans="1:2" x14ac:dyDescent="0.15">
      <c r="A20" s="38" t="s">
        <v>124</v>
      </c>
      <c r="B20" t="s">
        <v>252</v>
      </c>
    </row>
    <row r="21" spans="1:2" x14ac:dyDescent="0.15">
      <c r="A21" s="38" t="s">
        <v>126</v>
      </c>
      <c r="B21" t="s">
        <v>244</v>
      </c>
    </row>
    <row r="22" spans="1:2" x14ac:dyDescent="0.15">
      <c r="A22" t="s">
        <v>127</v>
      </c>
      <c r="B22" t="s">
        <v>208</v>
      </c>
    </row>
    <row r="23" spans="1:2" x14ac:dyDescent="0.15">
      <c r="A23" t="s">
        <v>130</v>
      </c>
      <c r="B23" t="s">
        <v>209</v>
      </c>
    </row>
    <row r="24" spans="1:2" x14ac:dyDescent="0.15">
      <c r="A24" t="s">
        <v>48</v>
      </c>
      <c r="B24" t="s">
        <v>253</v>
      </c>
    </row>
    <row r="25" spans="1:2" x14ac:dyDescent="0.15">
      <c r="A25" s="18" t="s">
        <v>49</v>
      </c>
      <c r="B25" t="s">
        <v>210</v>
      </c>
    </row>
    <row r="26" spans="1:2" x14ac:dyDescent="0.15">
      <c r="A26" s="18" t="s">
        <v>68</v>
      </c>
      <c r="B26" t="s">
        <v>211</v>
      </c>
    </row>
    <row r="27" spans="1:2" x14ac:dyDescent="0.15">
      <c r="A27" s="18" t="s">
        <v>69</v>
      </c>
      <c r="B27" t="s">
        <v>212</v>
      </c>
    </row>
    <row r="28" spans="1:2" x14ac:dyDescent="0.15">
      <c r="A28" s="18" t="s">
        <v>70</v>
      </c>
      <c r="B28" t="s">
        <v>213</v>
      </c>
    </row>
    <row r="29" spans="1:2" x14ac:dyDescent="0.15">
      <c r="A29" s="18" t="s">
        <v>71</v>
      </c>
      <c r="B29" t="s">
        <v>214</v>
      </c>
    </row>
    <row r="30" spans="1:2" x14ac:dyDescent="0.15">
      <c r="A30" s="18" t="s">
        <v>72</v>
      </c>
      <c r="B30" t="s">
        <v>215</v>
      </c>
    </row>
    <row r="31" spans="1:2" x14ac:dyDescent="0.15">
      <c r="A31" s="18" t="s">
        <v>81</v>
      </c>
      <c r="B31" t="s">
        <v>216</v>
      </c>
    </row>
    <row r="32" spans="1:2" x14ac:dyDescent="0.15">
      <c r="A32" s="18" t="s">
        <v>82</v>
      </c>
      <c r="B32" t="s">
        <v>217</v>
      </c>
    </row>
    <row r="33" spans="1:2" x14ac:dyDescent="0.15">
      <c r="A33" s="18" t="s">
        <v>83</v>
      </c>
      <c r="B33" t="s">
        <v>218</v>
      </c>
    </row>
    <row r="34" spans="1:2" x14ac:dyDescent="0.15">
      <c r="A34" s="18" t="s">
        <v>135</v>
      </c>
      <c r="B34" t="s">
        <v>249</v>
      </c>
    </row>
    <row r="35" spans="1:2" x14ac:dyDescent="0.15">
      <c r="A35" s="18" t="s">
        <v>136</v>
      </c>
      <c r="B35" t="s">
        <v>250</v>
      </c>
    </row>
    <row r="36" spans="1:2" x14ac:dyDescent="0.15">
      <c r="A36" s="38" t="s">
        <v>137</v>
      </c>
      <c r="B36" t="s">
        <v>245</v>
      </c>
    </row>
    <row r="37" spans="1:2" x14ac:dyDescent="0.15">
      <c r="A37" t="s">
        <v>138</v>
      </c>
      <c r="B37" t="s">
        <v>219</v>
      </c>
    </row>
    <row r="38" spans="1:2" x14ac:dyDescent="0.15">
      <c r="A38" t="s">
        <v>141</v>
      </c>
      <c r="B38" t="s">
        <v>220</v>
      </c>
    </row>
    <row r="39" spans="1:2" x14ac:dyDescent="0.15">
      <c r="A39" t="s">
        <v>144</v>
      </c>
      <c r="B39" t="s">
        <v>221</v>
      </c>
    </row>
    <row r="40" spans="1:2" x14ac:dyDescent="0.15">
      <c r="A40" t="s">
        <v>147</v>
      </c>
      <c r="B40" t="s">
        <v>222</v>
      </c>
    </row>
    <row r="41" spans="1:2" x14ac:dyDescent="0.15">
      <c r="A41" t="s">
        <v>150</v>
      </c>
      <c r="B41" t="s">
        <v>223</v>
      </c>
    </row>
    <row r="42" spans="1:2" x14ac:dyDescent="0.15">
      <c r="A42" t="s">
        <v>153</v>
      </c>
      <c r="B42" t="s">
        <v>224</v>
      </c>
    </row>
    <row r="43" spans="1:2" x14ac:dyDescent="0.15">
      <c r="A43" t="s">
        <v>156</v>
      </c>
      <c r="B43" t="s">
        <v>225</v>
      </c>
    </row>
    <row r="44" spans="1:2" x14ac:dyDescent="0.15">
      <c r="A44" t="s">
        <v>157</v>
      </c>
      <c r="B44" t="s">
        <v>226</v>
      </c>
    </row>
    <row r="45" spans="1:2" x14ac:dyDescent="0.15">
      <c r="A45" t="s">
        <v>160</v>
      </c>
      <c r="B45" t="s">
        <v>227</v>
      </c>
    </row>
    <row r="46" spans="1:2" x14ac:dyDescent="0.15">
      <c r="A46" t="s">
        <v>163</v>
      </c>
      <c r="B46" t="s">
        <v>228</v>
      </c>
    </row>
    <row r="47" spans="1:2" x14ac:dyDescent="0.15">
      <c r="A47" t="s">
        <v>165</v>
      </c>
      <c r="B47" t="s">
        <v>229</v>
      </c>
    </row>
    <row r="48" spans="1:2" x14ac:dyDescent="0.15">
      <c r="A48" t="s">
        <v>167</v>
      </c>
      <c r="B48" t="s">
        <v>230</v>
      </c>
    </row>
    <row r="49" spans="1:2" x14ac:dyDescent="0.15">
      <c r="A49" t="s">
        <v>168</v>
      </c>
      <c r="B49" t="s">
        <v>231</v>
      </c>
    </row>
    <row r="50" spans="1:2" x14ac:dyDescent="0.15">
      <c r="A50" t="s">
        <v>169</v>
      </c>
      <c r="B50" t="s">
        <v>232</v>
      </c>
    </row>
    <row r="51" spans="1:2" x14ac:dyDescent="0.15">
      <c r="A51" t="s">
        <v>172</v>
      </c>
      <c r="B51" t="s">
        <v>233</v>
      </c>
    </row>
    <row r="52" spans="1:2" x14ac:dyDescent="0.15">
      <c r="A52" t="s">
        <v>175</v>
      </c>
      <c r="B52" t="s">
        <v>234</v>
      </c>
    </row>
    <row r="53" spans="1:2" x14ac:dyDescent="0.15">
      <c r="A53" t="s">
        <v>177</v>
      </c>
      <c r="B53" t="s">
        <v>235</v>
      </c>
    </row>
    <row r="54" spans="1:2" x14ac:dyDescent="0.15">
      <c r="A54" t="s">
        <v>179</v>
      </c>
      <c r="B54" t="s">
        <v>236</v>
      </c>
    </row>
    <row r="55" spans="1:2" x14ac:dyDescent="0.15">
      <c r="A55" t="s">
        <v>182</v>
      </c>
      <c r="B55" t="s">
        <v>237</v>
      </c>
    </row>
    <row r="56" spans="1:2" x14ac:dyDescent="0.15">
      <c r="A56" t="s">
        <v>185</v>
      </c>
      <c r="B56" t="s">
        <v>238</v>
      </c>
    </row>
    <row r="57" spans="1:2" x14ac:dyDescent="0.15">
      <c r="A57" t="s">
        <v>188</v>
      </c>
      <c r="B57" t="s">
        <v>239</v>
      </c>
    </row>
    <row r="58" spans="1:2" x14ac:dyDescent="0.15">
      <c r="A58" t="s">
        <v>190</v>
      </c>
      <c r="B58" t="s">
        <v>240</v>
      </c>
    </row>
    <row r="59" spans="1:2" x14ac:dyDescent="0.15">
      <c r="A59" t="s">
        <v>192</v>
      </c>
      <c r="B59" t="s">
        <v>241</v>
      </c>
    </row>
    <row r="60" spans="1:2" x14ac:dyDescent="0.15">
      <c r="A60" t="s">
        <v>194</v>
      </c>
      <c r="B60" t="s">
        <v>242</v>
      </c>
    </row>
    <row r="61" spans="1:2" x14ac:dyDescent="0.15">
      <c r="A61" t="s">
        <v>196</v>
      </c>
      <c r="B61" t="s">
        <v>243</v>
      </c>
    </row>
    <row r="62" spans="1:2" x14ac:dyDescent="0.15">
      <c r="A62" s="18"/>
    </row>
    <row r="63" spans="1:2" x14ac:dyDescent="0.15">
      <c r="A63" s="18"/>
    </row>
    <row r="64" spans="1:2" x14ac:dyDescent="0.15">
      <c r="A64" s="18"/>
    </row>
    <row r="65" spans="1:1" x14ac:dyDescent="0.15">
      <c r="A65" s="18"/>
    </row>
    <row r="66" spans="1:1" x14ac:dyDescent="0.15">
      <c r="A66" s="18"/>
    </row>
    <row r="67" spans="1:1" x14ac:dyDescent="0.15">
      <c r="A67" s="18"/>
    </row>
    <row r="68" spans="1:1" x14ac:dyDescent="0.15">
      <c r="A68" s="18"/>
    </row>
    <row r="69" spans="1:1" x14ac:dyDescent="0.15">
      <c r="A69" s="18"/>
    </row>
    <row r="70" spans="1:1" x14ac:dyDescent="0.15">
      <c r="A70" s="18"/>
    </row>
    <row r="71" spans="1:1" x14ac:dyDescent="0.15">
      <c r="A71" s="18"/>
    </row>
    <row r="72" spans="1:1" x14ac:dyDescent="0.15">
      <c r="A72" s="18"/>
    </row>
    <row r="73" spans="1:1" x14ac:dyDescent="0.15">
      <c r="A73" s="18"/>
    </row>
    <row r="74" spans="1:1" x14ac:dyDescent="0.15">
      <c r="A74" s="18"/>
    </row>
    <row r="75" spans="1:1" x14ac:dyDescent="0.15">
      <c r="A75" s="18"/>
    </row>
    <row r="76" spans="1:1" x14ac:dyDescent="0.15">
      <c r="A76" s="18"/>
    </row>
    <row r="77" spans="1:1" x14ac:dyDescent="0.15">
      <c r="A77" s="18"/>
    </row>
    <row r="78" spans="1:1" x14ac:dyDescent="0.15">
      <c r="A78" s="18"/>
    </row>
    <row r="79" spans="1:1" x14ac:dyDescent="0.15">
      <c r="A79" s="18"/>
    </row>
    <row r="80" spans="1:1" x14ac:dyDescent="0.15">
      <c r="A80" s="18"/>
    </row>
    <row r="81" spans="1:1" x14ac:dyDescent="0.15">
      <c r="A81" s="18"/>
    </row>
    <row r="82" spans="1:1" x14ac:dyDescent="0.15">
      <c r="A82" s="18"/>
    </row>
    <row r="83" spans="1:1" x14ac:dyDescent="0.15">
      <c r="A83" s="18"/>
    </row>
    <row r="84" spans="1:1" x14ac:dyDescent="0.15">
      <c r="A84" s="18"/>
    </row>
    <row r="85" spans="1:1" x14ac:dyDescent="0.15">
      <c r="A85" s="18"/>
    </row>
    <row r="86" spans="1:1" x14ac:dyDescent="0.15">
      <c r="A86" s="18"/>
    </row>
    <row r="87" spans="1:1" x14ac:dyDescent="0.15">
      <c r="A87" s="18"/>
    </row>
    <row r="88" spans="1:1" x14ac:dyDescent="0.15">
      <c r="A88" s="18"/>
    </row>
    <row r="89" spans="1:1" x14ac:dyDescent="0.15">
      <c r="A89" s="18"/>
    </row>
    <row r="90" spans="1:1" x14ac:dyDescent="0.15">
      <c r="A90" s="18"/>
    </row>
    <row r="91" spans="1:1" x14ac:dyDescent="0.15">
      <c r="A91" s="18"/>
    </row>
    <row r="92" spans="1:1" x14ac:dyDescent="0.15">
      <c r="A92" s="18"/>
    </row>
    <row r="93" spans="1:1" x14ac:dyDescent="0.15">
      <c r="A93" s="18"/>
    </row>
    <row r="94" spans="1:1" x14ac:dyDescent="0.15">
      <c r="A94" s="18"/>
    </row>
    <row r="95" spans="1:1" x14ac:dyDescent="0.15">
      <c r="A95" s="18"/>
    </row>
    <row r="96" spans="1:1" x14ac:dyDescent="0.15">
      <c r="A96" s="18"/>
    </row>
    <row r="97" spans="1:1" x14ac:dyDescent="0.15">
      <c r="A97" s="18"/>
    </row>
    <row r="98" spans="1:1" x14ac:dyDescent="0.15">
      <c r="A98" s="18"/>
    </row>
    <row r="99" spans="1:1" x14ac:dyDescent="0.15">
      <c r="A99" s="18"/>
    </row>
    <row r="100" spans="1:1" x14ac:dyDescent="0.15">
      <c r="A100" s="18"/>
    </row>
    <row r="101" spans="1:1" x14ac:dyDescent="0.15">
      <c r="A101" s="18"/>
    </row>
    <row r="102" spans="1:1" x14ac:dyDescent="0.15">
      <c r="A102" s="18"/>
    </row>
    <row r="103" spans="1:1" x14ac:dyDescent="0.15">
      <c r="A103" s="18"/>
    </row>
    <row r="104" spans="1:1" x14ac:dyDescent="0.15">
      <c r="A104" s="18"/>
    </row>
    <row r="105" spans="1:1" x14ac:dyDescent="0.15">
      <c r="A105" s="18"/>
    </row>
    <row r="106" spans="1:1" x14ac:dyDescent="0.15">
      <c r="A106" s="18"/>
    </row>
    <row r="107" spans="1:1" x14ac:dyDescent="0.15">
      <c r="A107" s="18"/>
    </row>
    <row r="108" spans="1:1" x14ac:dyDescent="0.15">
      <c r="A108" s="18"/>
    </row>
    <row r="109" spans="1:1" x14ac:dyDescent="0.15">
      <c r="A109" s="18"/>
    </row>
    <row r="110" spans="1:1" x14ac:dyDescent="0.15">
      <c r="A110" s="18"/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4"/>
  <sheetViews>
    <sheetView topLeftCell="A45" zoomScale="90" zoomScaleNormal="110" workbookViewId="0">
      <selection activeCell="B78" sqref="B78"/>
    </sheetView>
  </sheetViews>
  <sheetFormatPr baseColWidth="10" defaultColWidth="8.6640625" defaultRowHeight="13" x14ac:dyDescent="0.15"/>
  <cols>
    <col min="1" max="1" width="26.5" customWidth="1"/>
    <col min="2" max="2" width="88.5" customWidth="1"/>
    <col min="3" max="3" width="18" customWidth="1"/>
    <col min="4" max="4" width="15.83203125" customWidth="1"/>
    <col min="5" max="5" width="10.6640625" customWidth="1"/>
    <col min="6" max="6" width="9.5" customWidth="1"/>
    <col min="7" max="7" width="18.83203125" customWidth="1"/>
    <col min="8" max="8" width="25.83203125" customWidth="1"/>
    <col min="9" max="9" width="47.6640625" customWidth="1"/>
    <col min="10" max="10" width="16.1640625" customWidth="1"/>
    <col min="11" max="11" width="11.33203125" customWidth="1"/>
    <col min="12" max="12" width="16.83203125" customWidth="1"/>
    <col min="13" max="13" width="9.1640625" customWidth="1"/>
    <col min="14" max="14" width="15.83203125" customWidth="1"/>
    <col min="15" max="15" width="31.83203125" customWidth="1"/>
    <col min="16" max="16" width="14.6640625" bestFit="1" customWidth="1"/>
    <col min="1022" max="1031" width="11.5" customWidth="1"/>
  </cols>
  <sheetData>
    <row r="1" spans="1:18" x14ac:dyDescent="0.15">
      <c r="A1" s="1" t="s">
        <v>94</v>
      </c>
      <c r="L1" s="1"/>
    </row>
    <row r="2" spans="1:18" x14ac:dyDescent="0.15">
      <c r="A2" t="s">
        <v>104</v>
      </c>
      <c r="L2" s="1"/>
      <c r="M2" s="2"/>
      <c r="N2" s="3"/>
      <c r="R2" s="3"/>
    </row>
    <row r="3" spans="1:18" x14ac:dyDescent="0.15">
      <c r="L3" s="1"/>
      <c r="M3" s="2"/>
      <c r="N3" s="3"/>
    </row>
    <row r="4" spans="1:18" x14ac:dyDescent="0.15">
      <c r="A4" s="1" t="s">
        <v>2</v>
      </c>
      <c r="H4" s="1"/>
      <c r="I4" s="4"/>
      <c r="N4" s="3"/>
    </row>
    <row r="5" spans="1:18" x14ac:dyDescent="0.15">
      <c r="A5" s="1" t="s">
        <v>3</v>
      </c>
      <c r="H5" s="1"/>
    </row>
    <row r="6" spans="1:18" x14ac:dyDescent="0.15">
      <c r="A6" t="s">
        <v>103</v>
      </c>
      <c r="B6" t="str">
        <f>_xlfn.CONCAT(D8:D14,D16:D20)</f>
        <v>0.527 BIO-protein + 0.242 BIO-rna + 0.0549 BIO-carbohydrate + 0.0275 BIO-peptidoglycan + 0.0769 BIO-lipid + 0.0297 BIO-dna + 0.0428 BIO-small_molecules + 89.23480037 MET-atp_c + 89.23480037 MET-h2o_c --&gt; 89.23480037 MET-adp_c + 89.23480037 MET-pi_c + 89.23480037 MET-h_c</v>
      </c>
    </row>
    <row r="7" spans="1:18" x14ac:dyDescent="0.15">
      <c r="A7" s="26" t="s">
        <v>4</v>
      </c>
      <c r="B7" s="26" t="s">
        <v>5</v>
      </c>
      <c r="C7" s="26" t="s">
        <v>6</v>
      </c>
      <c r="I7" s="1"/>
      <c r="J7" s="1"/>
      <c r="K7" s="1"/>
    </row>
    <row r="8" spans="1:18" x14ac:dyDescent="0.15">
      <c r="A8" s="5" t="s">
        <v>97</v>
      </c>
      <c r="B8" s="30">
        <v>-0.52700000000000002</v>
      </c>
      <c r="C8" s="5"/>
      <c r="D8" t="str">
        <f t="shared" ref="D8:D13" si="0">-B8 &amp; " " &amp; A8 &amp; " +" &amp; " "</f>
        <v xml:space="preserve">0.527 BIO-protein + </v>
      </c>
    </row>
    <row r="9" spans="1:18" x14ac:dyDescent="0.15">
      <c r="A9" s="6" t="s">
        <v>98</v>
      </c>
      <c r="B9" s="31">
        <v>-0.24199999999999999</v>
      </c>
      <c r="C9" s="6"/>
      <c r="D9" t="str">
        <f t="shared" si="0"/>
        <v xml:space="preserve">0.242 BIO-rna + </v>
      </c>
    </row>
    <row r="10" spans="1:18" x14ac:dyDescent="0.15">
      <c r="A10" s="7" t="s">
        <v>101</v>
      </c>
      <c r="B10" s="8">
        <v>-5.4899999999999997E-2</v>
      </c>
      <c r="C10" s="7"/>
      <c r="D10" t="str">
        <f t="shared" si="0"/>
        <v xml:space="preserve">0.0549 BIO-carbohydrate + </v>
      </c>
    </row>
    <row r="11" spans="1:18" x14ac:dyDescent="0.15">
      <c r="A11" s="9" t="s">
        <v>99</v>
      </c>
      <c r="B11" s="10">
        <v>-2.75E-2</v>
      </c>
      <c r="C11" s="9"/>
      <c r="D11" t="str">
        <f t="shared" si="0"/>
        <v xml:space="preserve">0.0275 BIO-peptidoglycan + </v>
      </c>
    </row>
    <row r="12" spans="1:18" x14ac:dyDescent="0.15">
      <c r="A12" s="11" t="s">
        <v>7</v>
      </c>
      <c r="B12" s="27">
        <v>-7.6899999999999996E-2</v>
      </c>
      <c r="C12" s="11"/>
      <c r="D12" t="str">
        <f t="shared" si="0"/>
        <v xml:space="preserve">0.0769 BIO-lipid + </v>
      </c>
      <c r="H12">
        <f>85.996800365963+B56</f>
        <v>89.234800365962997</v>
      </c>
    </row>
    <row r="13" spans="1:18" x14ac:dyDescent="0.15">
      <c r="A13" s="12" t="s">
        <v>8</v>
      </c>
      <c r="B13" s="28">
        <v>-2.9700000000000001E-2</v>
      </c>
      <c r="C13" s="12"/>
      <c r="D13" t="str">
        <f t="shared" si="0"/>
        <v xml:space="preserve">0.0297 BIO-dna + </v>
      </c>
    </row>
    <row r="14" spans="1:18" x14ac:dyDescent="0.15">
      <c r="A14" s="13" t="s">
        <v>102</v>
      </c>
      <c r="B14" s="29">
        <v>-4.2799999999999998E-2</v>
      </c>
      <c r="C14" s="13" t="s">
        <v>100</v>
      </c>
      <c r="D14" t="str">
        <f>-B14 &amp; " " &amp; A14 &amp; " +" &amp; " "</f>
        <v xml:space="preserve">0.0428 BIO-small_molecules + </v>
      </c>
    </row>
    <row r="15" spans="1:18" x14ac:dyDescent="0.15">
      <c r="A15" s="26" t="s">
        <v>4</v>
      </c>
      <c r="B15" s="26" t="s">
        <v>9</v>
      </c>
      <c r="C15" s="26" t="s">
        <v>6</v>
      </c>
    </row>
    <row r="16" spans="1:18" x14ac:dyDescent="0.15">
      <c r="A16" s="14" t="s">
        <v>10</v>
      </c>
      <c r="B16" s="15">
        <v>-89.234800370000002</v>
      </c>
      <c r="C16" s="26" t="s">
        <v>11</v>
      </c>
      <c r="D16" t="str">
        <f>-B16 &amp; " " &amp; A16 &amp; " +" &amp; " "</f>
        <v xml:space="preserve">89.23480037 MET-atp_c + </v>
      </c>
      <c r="M16" s="1"/>
      <c r="N16" s="1"/>
    </row>
    <row r="17" spans="1:9" x14ac:dyDescent="0.15">
      <c r="A17" s="14" t="s">
        <v>12</v>
      </c>
      <c r="B17" s="15">
        <v>-89.234800370000002</v>
      </c>
      <c r="D17" t="str">
        <f>-B17 &amp; " " &amp; A17 &amp; " --&gt; "</f>
        <v xml:space="preserve">89.23480037 MET-h2o_c --&gt; </v>
      </c>
    </row>
    <row r="18" spans="1:9" x14ac:dyDescent="0.15">
      <c r="A18" s="14" t="s">
        <v>13</v>
      </c>
      <c r="B18" s="15">
        <v>89.234800370000002</v>
      </c>
      <c r="D18" t="str">
        <f>B18 &amp; " " &amp; A18 &amp; " +" &amp; " "</f>
        <v xml:space="preserve">89.23480037 MET-adp_c + </v>
      </c>
    </row>
    <row r="19" spans="1:9" x14ac:dyDescent="0.15">
      <c r="A19" s="14" t="s">
        <v>14</v>
      </c>
      <c r="B19" s="15">
        <v>89.234800370000002</v>
      </c>
      <c r="D19" t="str">
        <f>B19 &amp; " " &amp; A19 &amp; " +" &amp; " "</f>
        <v xml:space="preserve">89.23480037 MET-pi_c + </v>
      </c>
    </row>
    <row r="20" spans="1:9" x14ac:dyDescent="0.15">
      <c r="A20" s="14" t="s">
        <v>15</v>
      </c>
      <c r="B20" s="15">
        <v>89.234800370000002</v>
      </c>
      <c r="D20" t="str">
        <f>B20 &amp; " " &amp; A20</f>
        <v>89.23480037 MET-h_c</v>
      </c>
    </row>
    <row r="23" spans="1:9" x14ac:dyDescent="0.15">
      <c r="A23" s="26" t="s">
        <v>105</v>
      </c>
    </row>
    <row r="24" spans="1:9" x14ac:dyDescent="0.15">
      <c r="A24" t="s">
        <v>16</v>
      </c>
      <c r="B24" t="s">
        <v>17</v>
      </c>
    </row>
    <row r="25" spans="1:9" x14ac:dyDescent="0.15">
      <c r="A25" t="s">
        <v>18</v>
      </c>
      <c r="B25" t="s">
        <v>19</v>
      </c>
    </row>
    <row r="26" spans="1:9" x14ac:dyDescent="0.15">
      <c r="A26" t="s">
        <v>20</v>
      </c>
      <c r="B26" t="s">
        <v>21</v>
      </c>
    </row>
    <row r="27" spans="1:9" x14ac:dyDescent="0.15">
      <c r="A27" t="s">
        <v>22</v>
      </c>
      <c r="B27" t="s">
        <v>23</v>
      </c>
      <c r="H27" s="1"/>
    </row>
    <row r="29" spans="1:9" x14ac:dyDescent="0.15">
      <c r="A29" s="1"/>
    </row>
    <row r="30" spans="1:9" ht="15" x14ac:dyDescent="0.2">
      <c r="A30" s="33" t="s">
        <v>28</v>
      </c>
    </row>
    <row r="31" spans="1:9" x14ac:dyDescent="0.15">
      <c r="A31" t="s">
        <v>29</v>
      </c>
      <c r="B31" t="s">
        <v>30</v>
      </c>
    </row>
    <row r="32" spans="1:9" ht="15" x14ac:dyDescent="0.2">
      <c r="C32" s="33" t="s">
        <v>4</v>
      </c>
      <c r="D32" s="33" t="s">
        <v>24</v>
      </c>
      <c r="E32" s="33" t="s">
        <v>25</v>
      </c>
      <c r="F32" s="33" t="s">
        <v>26</v>
      </c>
      <c r="G32" s="33" t="s">
        <v>27</v>
      </c>
      <c r="H32" s="33"/>
      <c r="I32" s="33" t="s">
        <v>31</v>
      </c>
    </row>
    <row r="33" spans="1:9" x14ac:dyDescent="0.15">
      <c r="A33" t="s">
        <v>32</v>
      </c>
      <c r="B33" t="str">
        <f>"MET-" &amp; C33 &amp; " --&gt; " &amp; ROUND(I33/1000,6) &amp; " BIO-" &amp; C33 &amp; " + MET-ppi_c"</f>
        <v>MET-atp_c --&gt; 0.328198 BIO-atp_c + MET-ppi_c</v>
      </c>
      <c r="C33" s="34" t="s">
        <v>33</v>
      </c>
      <c r="D33" s="34">
        <f>-(0.668*0.242)</f>
        <v>-0.16165599999999999</v>
      </c>
      <c r="E33" s="34" t="s">
        <v>34</v>
      </c>
      <c r="F33" s="34">
        <v>503.14926300000002</v>
      </c>
      <c r="G33" s="35" cm="1">
        <f t="array" ref="G33">D33/1000 * I33 / SUMPRODUCT($D$33:$D$36/1000, $I$33:$I$36)</f>
        <v>0.21984163901450932</v>
      </c>
      <c r="H33" t="str">
        <f>ROUND(G33,6) &amp; " BIO-" &amp; C33 &amp; " + "</f>
        <v xml:space="preserve">0.219842 BIO-atp_c + </v>
      </c>
      <c r="I33">
        <v>328.19800099999998</v>
      </c>
    </row>
    <row r="34" spans="1:9" x14ac:dyDescent="0.15">
      <c r="A34" t="s">
        <v>35</v>
      </c>
      <c r="B34" t="str">
        <f t="shared" ref="B34:B36" si="1">"MET-" &amp; C34 &amp; " --&gt; " &amp; ROUND(I34/1000,6) &amp; " BIO-" &amp; C34 &amp; " + MET-ppi_c"</f>
        <v>MET-ctp_c --&gt; 0.304173 BIO-ctp_c + MET-ppi_c</v>
      </c>
      <c r="C34" s="34" t="s">
        <v>36</v>
      </c>
      <c r="D34" s="34">
        <f>-(0.718*0.242)</f>
        <v>-0.17375599999999999</v>
      </c>
      <c r="E34" s="34" t="s">
        <v>37</v>
      </c>
      <c r="F34" s="34">
        <v>479.12456300000002</v>
      </c>
      <c r="G34" s="35" cm="1">
        <f t="array" ref="G34">D34/1000 * I34 / SUMPRODUCT($D$33:$D$36/1000, $I$33:$I$36)</f>
        <v>0.21899948543990522</v>
      </c>
      <c r="H34" t="str">
        <f t="shared" ref="H34:H35" si="2">ROUND(G34,6) &amp; " BIO-" &amp; C34 &amp; " + "</f>
        <v xml:space="preserve">0.218999 BIO-ctp_c + </v>
      </c>
      <c r="I34">
        <v>304.17330100000004</v>
      </c>
    </row>
    <row r="35" spans="1:9" x14ac:dyDescent="0.15">
      <c r="A35" t="s">
        <v>38</v>
      </c>
      <c r="B35" t="str">
        <f t="shared" si="1"/>
        <v>MET-gtp_c --&gt; 0.344197 BIO-gtp_c + MET-ppi_c</v>
      </c>
      <c r="C35" s="34" t="s">
        <v>39</v>
      </c>
      <c r="D35" s="34">
        <f>-(0.929*0.242)</f>
        <v>-0.22481800000000002</v>
      </c>
      <c r="E35" s="34" t="s">
        <v>40</v>
      </c>
      <c r="F35" s="34">
        <v>519.14866300000006</v>
      </c>
      <c r="G35" s="35" cm="1">
        <f t="array" ref="G35">D35/1000 * I35 / SUMPRODUCT($D$33:$D$36/1000, $I$33:$I$36)</f>
        <v>0.32064233310771378</v>
      </c>
      <c r="H35" t="str">
        <f t="shared" si="2"/>
        <v xml:space="preserve">0.320642 BIO-gtp_c + </v>
      </c>
      <c r="I35">
        <v>344.19740100000001</v>
      </c>
    </row>
    <row r="36" spans="1:9" x14ac:dyDescent="0.15">
      <c r="A36" t="s">
        <v>41</v>
      </c>
      <c r="B36" t="str">
        <f t="shared" si="1"/>
        <v>MET-utp_c --&gt; 0.305158 BIO-utp_c + MET-ppi_c</v>
      </c>
      <c r="C36" s="34" t="s">
        <v>42</v>
      </c>
      <c r="D36" s="34">
        <f>-(0.786*0.242)</f>
        <v>-0.19021199999999999</v>
      </c>
      <c r="E36" s="34" t="s">
        <v>43</v>
      </c>
      <c r="F36" s="34">
        <v>480.10932300000002</v>
      </c>
      <c r="G36" s="35" cm="1">
        <f t="array" ref="G36">D36/1000 * I36 / SUMPRODUCT($D$33:$D$36/1000, $I$33:$I$36)</f>
        <v>0.24051654243787163</v>
      </c>
      <c r="H36" t="str">
        <f>ROUND(G36,6) &amp; " BIO-" &amp; C36</f>
        <v>0.240517 BIO-utp_c</v>
      </c>
      <c r="I36">
        <v>305.15806099999998</v>
      </c>
    </row>
    <row r="37" spans="1:9" x14ac:dyDescent="0.15">
      <c r="A37" t="s">
        <v>44</v>
      </c>
      <c r="B37" t="str">
        <f>_xlfn.CONCAT($H$33:$H$36) &amp; " --&gt; BIO-trna"</f>
        <v>0.219842 BIO-atp_c + 0.218999 BIO-ctp_c + 0.320642 BIO-gtp_c + 0.240517 BIO-utp_c --&gt; BIO-trna</v>
      </c>
    </row>
    <row r="38" spans="1:9" x14ac:dyDescent="0.15">
      <c r="A38" t="s">
        <v>45</v>
      </c>
      <c r="B38" t="str">
        <f>_xlfn.CONCAT($H$33:$H$36) &amp; " --&gt; BIO-mrna"</f>
        <v>0.219842 BIO-atp_c + 0.218999 BIO-ctp_c + 0.320642 BIO-gtp_c + 0.240517 BIO-utp_c --&gt; BIO-mrna</v>
      </c>
    </row>
    <row r="39" spans="1:9" x14ac:dyDescent="0.15">
      <c r="A39" t="s">
        <v>46</v>
      </c>
      <c r="B39" t="str">
        <f>_xlfn.CONCAT($H$33:$H$36) &amp; " --&gt; BIO-rrna"</f>
        <v>0.219842 BIO-atp_c + 0.218999 BIO-ctp_c + 0.320642 BIO-gtp_c + 0.240517 BIO-utp_c --&gt; BIO-rrna</v>
      </c>
    </row>
    <row r="43" spans="1:9" ht="15" x14ac:dyDescent="0.2">
      <c r="A43" s="33" t="s">
        <v>50</v>
      </c>
    </row>
    <row r="44" spans="1:9" x14ac:dyDescent="0.15">
      <c r="A44" t="s">
        <v>51</v>
      </c>
      <c r="B44" t="str">
        <f>_xlfn.CONCAT(H46:H49) &amp; " --&gt; BIO-dna"</f>
        <v>0.272104 BIO-datp_c + 0.21677 BIO-dctp_c + 0.246877 BIO-dgtp_c + 0.264248 BIO-dttp_c +  --&gt; BIO-dna</v>
      </c>
    </row>
    <row r="45" spans="1:9" ht="15" x14ac:dyDescent="0.2">
      <c r="C45" s="33" t="s">
        <v>4</v>
      </c>
      <c r="D45" s="33" t="s">
        <v>118</v>
      </c>
      <c r="E45" s="33" t="s">
        <v>25</v>
      </c>
      <c r="F45" s="33" t="s">
        <v>26</v>
      </c>
      <c r="G45" s="33" t="s">
        <v>27</v>
      </c>
      <c r="H45" s="33"/>
      <c r="I45" s="33" t="s">
        <v>31</v>
      </c>
    </row>
    <row r="46" spans="1:9" x14ac:dyDescent="0.15">
      <c r="A46" t="s">
        <v>52</v>
      </c>
      <c r="B46" t="str">
        <f>"MET-" &amp; C46 &amp; " --&gt; " &amp; ROUND(I46/1000,6) &amp; " BIO-" &amp; C46 &amp; " + MET-ppi_c"</f>
        <v>MET-datp_c --&gt; 0.312199 BIO-datp_c + MET-ppi_c</v>
      </c>
      <c r="C46" s="34" t="s">
        <v>53</v>
      </c>
      <c r="D46" s="34">
        <f>-(0.869*0.0297)</f>
        <v>-2.58093E-2</v>
      </c>
      <c r="E46" s="34" t="s">
        <v>54</v>
      </c>
      <c r="F46" s="34">
        <v>487.14986299999998</v>
      </c>
      <c r="G46" s="35" cm="1">
        <f t="array" ref="G46">((D46/1000)*I46)/ SUMPRODUCT((($D$46:$D$49)/1000),$I$46:$I$49)</f>
        <v>0.27210397528370817</v>
      </c>
      <c r="H46" t="str">
        <f>ROUND(G46,6) &amp; " BIO-" &amp; C46 &amp; " + "</f>
        <v xml:space="preserve">0.272104 BIO-datp_c + </v>
      </c>
      <c r="I46">
        <v>312.19860099999994</v>
      </c>
    </row>
    <row r="47" spans="1:9" x14ac:dyDescent="0.15">
      <c r="A47" t="s">
        <v>55</v>
      </c>
      <c r="B47" t="s">
        <v>119</v>
      </c>
      <c r="C47" s="34" t="s">
        <v>56</v>
      </c>
      <c r="D47" s="34">
        <f>-(0.75*0.0297)</f>
        <v>-2.2275E-2</v>
      </c>
      <c r="E47" s="34" t="s">
        <v>57</v>
      </c>
      <c r="F47" s="34">
        <v>463.12516299999999</v>
      </c>
      <c r="G47" s="35" cm="1">
        <f t="array" ref="G47">((D47/1000)*I47)/ SUMPRODUCT((($D$46:$D$49)/1000),$I$46:$I$49)</f>
        <v>0.2167704436936416</v>
      </c>
      <c r="H47" t="str">
        <f t="shared" ref="H47:H49" si="3">ROUND(G47,6) &amp; " BIO-" &amp; C47 &amp; " + "</f>
        <v xml:space="preserve">0.21677 BIO-dctp_c + </v>
      </c>
      <c r="I47">
        <v>288.173901</v>
      </c>
    </row>
    <row r="48" spans="1:9" x14ac:dyDescent="0.15">
      <c r="A48" t="s">
        <v>58</v>
      </c>
      <c r="B48" t="s">
        <v>120</v>
      </c>
      <c r="C48" s="34" t="s">
        <v>59</v>
      </c>
      <c r="D48" s="34">
        <f>-(0.75*0.0297)</f>
        <v>-2.2275E-2</v>
      </c>
      <c r="E48" s="34" t="s">
        <v>34</v>
      </c>
      <c r="F48" s="34">
        <v>503.14926300000002</v>
      </c>
      <c r="G48" s="35" cm="1">
        <f t="array" ref="G48">((D48/1000)*I48)/ SUMPRODUCT((($D$46:$D$49)/1000),$I$46:$I$49)</f>
        <v>0.24687740995717797</v>
      </c>
      <c r="H48" t="str">
        <f t="shared" si="3"/>
        <v xml:space="preserve">0.246877 BIO-dgtp_c + </v>
      </c>
      <c r="I48">
        <v>328.19800099999998</v>
      </c>
    </row>
    <row r="49" spans="1:15" x14ac:dyDescent="0.15">
      <c r="A49" t="s">
        <v>60</v>
      </c>
      <c r="B49" t="s">
        <v>121</v>
      </c>
      <c r="C49" s="34" t="s">
        <v>61</v>
      </c>
      <c r="D49" s="34">
        <f>-(0.869*0.0297)</f>
        <v>-2.58093E-2</v>
      </c>
      <c r="E49" s="34" t="s">
        <v>62</v>
      </c>
      <c r="F49" s="34">
        <v>478.136503</v>
      </c>
      <c r="G49" s="35" cm="1">
        <f t="array" ref="G49">((D49/1000)*I49)/ SUMPRODUCT((($D$46:$D$49)/1000),$I$46:$I$49)</f>
        <v>0.26424817106547227</v>
      </c>
      <c r="H49" t="str">
        <f t="shared" si="3"/>
        <v xml:space="preserve">0.264248 BIO-dttp_c + </v>
      </c>
      <c r="I49">
        <v>303.18524100000002</v>
      </c>
    </row>
    <row r="51" spans="1:15" x14ac:dyDescent="0.15">
      <c r="L51" s="1"/>
      <c r="M51" s="1"/>
      <c r="N51" s="1"/>
    </row>
    <row r="52" spans="1:15" x14ac:dyDescent="0.15">
      <c r="L52" s="23"/>
      <c r="N52" s="24"/>
      <c r="O52" s="18"/>
    </row>
    <row r="53" spans="1:15" x14ac:dyDescent="0.15">
      <c r="A53" s="36" t="s">
        <v>122</v>
      </c>
      <c r="B53" s="36"/>
      <c r="L53" s="23"/>
      <c r="N53" s="24"/>
      <c r="O53" s="18"/>
    </row>
    <row r="54" spans="1:15" x14ac:dyDescent="0.15">
      <c r="A54" s="36" t="s">
        <v>4</v>
      </c>
      <c r="B54" s="36" t="s">
        <v>118</v>
      </c>
      <c r="L54" s="23"/>
      <c r="N54" s="24"/>
      <c r="O54" s="18"/>
    </row>
    <row r="55" spans="1:15" x14ac:dyDescent="0.15">
      <c r="A55" s="36" t="s">
        <v>10</v>
      </c>
      <c r="B55" s="37">
        <v>-3.238</v>
      </c>
      <c r="L55" s="23"/>
      <c r="N55" s="24"/>
      <c r="O55" s="18"/>
    </row>
    <row r="56" spans="1:15" x14ac:dyDescent="0.15">
      <c r="A56" s="36" t="s">
        <v>12</v>
      </c>
      <c r="B56" s="37">
        <v>3.238</v>
      </c>
      <c r="L56" s="23"/>
      <c r="N56" s="24"/>
      <c r="O56" s="18"/>
    </row>
    <row r="57" spans="1:15" ht="15" x14ac:dyDescent="0.2">
      <c r="A57" s="36" t="s">
        <v>13</v>
      </c>
      <c r="B57" s="37">
        <v>3.238</v>
      </c>
      <c r="L57" s="23"/>
      <c r="M57" s="25"/>
      <c r="N57" s="24"/>
      <c r="O57" s="18"/>
    </row>
    <row r="58" spans="1:15" ht="15" x14ac:dyDescent="0.2">
      <c r="A58" s="36" t="s">
        <v>14</v>
      </c>
      <c r="B58" s="37">
        <v>3.238</v>
      </c>
      <c r="L58" s="23"/>
      <c r="M58" s="25"/>
      <c r="N58" s="24"/>
      <c r="O58" s="18"/>
    </row>
    <row r="59" spans="1:15" ht="15" x14ac:dyDescent="0.2">
      <c r="A59" s="36" t="s">
        <v>15</v>
      </c>
      <c r="B59" s="37">
        <v>3.238</v>
      </c>
      <c r="L59" s="23"/>
      <c r="M59" s="25"/>
      <c r="N59" s="24"/>
      <c r="O59" s="18"/>
    </row>
    <row r="60" spans="1:15" ht="15" x14ac:dyDescent="0.2">
      <c r="H60" s="18"/>
      <c r="I60" s="18"/>
      <c r="K60" s="21"/>
      <c r="L60" s="23"/>
      <c r="M60" s="25"/>
      <c r="N60" s="24"/>
      <c r="O60" s="18"/>
    </row>
    <row r="61" spans="1:15" x14ac:dyDescent="0.15">
      <c r="H61" s="18"/>
      <c r="I61" s="18"/>
      <c r="J61" s="22"/>
      <c r="K61" s="21"/>
      <c r="L61" s="23"/>
      <c r="M61" s="23"/>
      <c r="N61" s="24"/>
      <c r="O61" s="18"/>
    </row>
    <row r="62" spans="1:15" x14ac:dyDescent="0.15">
      <c r="A62" s="1" t="s">
        <v>123</v>
      </c>
    </row>
    <row r="63" spans="1:15" ht="14" x14ac:dyDescent="0.15">
      <c r="A63" s="38" t="s">
        <v>124</v>
      </c>
      <c r="B63" s="39" t="s">
        <v>252</v>
      </c>
      <c r="C63" s="39"/>
      <c r="D63" s="39"/>
      <c r="E63" s="39"/>
      <c r="F63" s="39"/>
      <c r="G63" s="39"/>
    </row>
    <row r="65" spans="1:22" x14ac:dyDescent="0.15">
      <c r="J65" s="1"/>
      <c r="K65" s="1"/>
      <c r="L65" s="1"/>
      <c r="M65" s="1"/>
      <c r="N65" s="1"/>
      <c r="P65" s="1"/>
    </row>
    <row r="66" spans="1:22" ht="15" x14ac:dyDescent="0.2">
      <c r="K66" s="20"/>
      <c r="M66" s="16"/>
      <c r="N66" s="17"/>
      <c r="P66" s="16"/>
      <c r="S66" s="19"/>
      <c r="T66" s="19"/>
      <c r="U66" s="19"/>
      <c r="V66" s="19"/>
    </row>
    <row r="67" spans="1:22" ht="15" x14ac:dyDescent="0.2">
      <c r="K67" s="20"/>
      <c r="M67" s="16"/>
      <c r="N67" s="17"/>
      <c r="P67" s="16"/>
      <c r="S67" s="19"/>
      <c r="T67" s="19"/>
      <c r="U67" s="19"/>
      <c r="V67" s="19"/>
    </row>
    <row r="68" spans="1:22" x14ac:dyDescent="0.15">
      <c r="K68" s="20"/>
      <c r="M68" s="16"/>
      <c r="N68" s="17"/>
      <c r="P68" s="16"/>
    </row>
    <row r="69" spans="1:22" x14ac:dyDescent="0.15">
      <c r="A69" s="1" t="s">
        <v>125</v>
      </c>
      <c r="K69" s="20"/>
      <c r="M69" s="16"/>
      <c r="N69" s="17"/>
      <c r="P69" s="16"/>
    </row>
    <row r="70" spans="1:22" ht="14" x14ac:dyDescent="0.15">
      <c r="A70" s="38" t="s">
        <v>126</v>
      </c>
      <c r="B70" s="39" t="str">
        <f>_xlfn.CONCAT(H73:H74) &amp; " --&gt; BIO-carbohydrate"</f>
        <v>0.492201 BIO-gdpmann_c + 0.507799 BIO-udpg_c --&gt; BIO-carbohydrate</v>
      </c>
      <c r="C70" s="39"/>
      <c r="D70" s="39"/>
      <c r="E70" s="39"/>
      <c r="F70" s="39"/>
      <c r="G70" s="39"/>
    </row>
    <row r="72" spans="1:22" ht="15" x14ac:dyDescent="0.2">
      <c r="C72" s="1" t="s">
        <v>4</v>
      </c>
      <c r="D72" s="33" t="s">
        <v>118</v>
      </c>
      <c r="E72" s="1" t="s">
        <v>25</v>
      </c>
      <c r="F72" s="1" t="s">
        <v>26</v>
      </c>
      <c r="G72" s="1" t="s">
        <v>27</v>
      </c>
    </row>
    <row r="73" spans="1:22" ht="15" x14ac:dyDescent="0.2">
      <c r="A73" t="s">
        <v>127</v>
      </c>
      <c r="B73" t="str">
        <f>"MET-" &amp; C73 &amp; " --&gt; " &amp; ROUND(F73/1000,6) &amp; " BIO-" &amp; C73 &amp; " + MET-gdp_c"</f>
        <v>MET-gdpmann_c --&gt; 0.603326 BIO-gdpmann_c + MET-gdp_c</v>
      </c>
      <c r="C73" s="34" t="s">
        <v>128</v>
      </c>
      <c r="D73" s="40">
        <v>-0.14488109999999998</v>
      </c>
      <c r="E73" s="34" t="s">
        <v>129</v>
      </c>
      <c r="F73" s="41">
        <v>603.32600000000002</v>
      </c>
      <c r="G73" s="42">
        <f>D73*F73/SUMPRODUCT($D$73:$D$74,$F$73:$F$74)</f>
        <v>0.49220059728568122</v>
      </c>
      <c r="H73" t="str">
        <f>ROUND(G73,6)&amp;" BIO-"&amp;C73 &amp; " + "</f>
        <v xml:space="preserve">0.492201 BIO-gdpmann_c + </v>
      </c>
    </row>
    <row r="74" spans="1:22" ht="15" x14ac:dyDescent="0.2">
      <c r="A74" t="s">
        <v>130</v>
      </c>
      <c r="B74" t="str">
        <f>"MET-" &amp; C74 &amp; " --&gt; " &amp; ROUND(F74/1000,6) &amp; " BIO-" &amp; C74 &amp; " + MET-udp_c"</f>
        <v>MET-udpg_c --&gt; 0.564286 BIO-udpg_c + MET-udp_c</v>
      </c>
      <c r="C74" s="34" t="s">
        <v>131</v>
      </c>
      <c r="D74" s="40">
        <v>-0.15981389999999998</v>
      </c>
      <c r="E74" s="34" t="s">
        <v>132</v>
      </c>
      <c r="F74" s="41">
        <v>564.28599999999994</v>
      </c>
      <c r="G74" s="42">
        <f>D74*F74/SUMPRODUCT($D$73:$D$74,$F$73:$F$74)</f>
        <v>0.50779940271431867</v>
      </c>
      <c r="H74" t="str">
        <f>ROUND(G74,6)&amp;" BIO-"&amp;C74</f>
        <v>0.507799 BIO-udpg_c</v>
      </c>
    </row>
    <row r="77" spans="1:22" x14ac:dyDescent="0.15">
      <c r="A77" s="1" t="s">
        <v>47</v>
      </c>
    </row>
    <row r="78" spans="1:22" x14ac:dyDescent="0.15">
      <c r="A78" t="s">
        <v>48</v>
      </c>
      <c r="B78" t="s">
        <v>253</v>
      </c>
    </row>
    <row r="79" spans="1:22" x14ac:dyDescent="0.15">
      <c r="C79" s="1" t="s">
        <v>4</v>
      </c>
      <c r="D79" s="1" t="s">
        <v>24</v>
      </c>
      <c r="E79" s="1" t="s">
        <v>25</v>
      </c>
      <c r="F79" s="1" t="s">
        <v>26</v>
      </c>
      <c r="G79" s="1" t="s">
        <v>27</v>
      </c>
    </row>
    <row r="80" spans="1:22" ht="15" x14ac:dyDescent="0.2">
      <c r="A80" s="18" t="s">
        <v>49</v>
      </c>
      <c r="B80" s="18" t="str">
        <f t="shared" ref="B80:B88" si="4">"MET-" &amp; C80 &amp; " --&gt; " &amp; ROUND(F80/1000,6) &amp; " BIO-" &amp;C80</f>
        <v>MET-clpn_ZM_c --&gt; 0.428733 BIO-clpn_ZM_c</v>
      </c>
      <c r="C80" s="43" t="s">
        <v>96</v>
      </c>
      <c r="D80" s="44">
        <f>-0.0769*0.07</f>
        <v>-5.3830000000000006E-3</v>
      </c>
      <c r="E80" s="45" t="s">
        <v>73</v>
      </c>
      <c r="F80" s="34">
        <v>428.733</v>
      </c>
      <c r="G80" s="47">
        <f>D80*F80/SUMPRODUCT($D$80:$D$84,$F$80:$F$84)</f>
        <v>2.9991886024942929E-2</v>
      </c>
      <c r="H80" s="18" t="str">
        <f>ROUND(G80,6) &amp; " BIO-" &amp; C80 &amp; " + "</f>
        <v xml:space="preserve">0.029992 BIO-clpn_ZM_c + </v>
      </c>
    </row>
    <row r="81" spans="1:8" ht="15" x14ac:dyDescent="0.2">
      <c r="A81" s="18" t="s">
        <v>68</v>
      </c>
      <c r="B81" s="18" t="str">
        <f t="shared" si="4"/>
        <v>MET-hopene_c --&gt; 0.410718 BIO-hopene_c</v>
      </c>
      <c r="C81" s="43" t="s">
        <v>74</v>
      </c>
      <c r="D81" s="44">
        <f>-0.0769*0.024</f>
        <v>-1.8456E-3</v>
      </c>
      <c r="E81" s="45" t="s">
        <v>75</v>
      </c>
      <c r="F81" s="34">
        <v>410.71800000000002</v>
      </c>
      <c r="G81" s="47">
        <f t="shared" ref="G81:G84" si="5">D81*F81/SUMPRODUCT($D$80:$D$84,$F$80:$F$84)</f>
        <v>9.8508521842405466E-3</v>
      </c>
      <c r="H81" s="18" t="str">
        <f t="shared" ref="H81:H87" si="6">ROUND(G81,6) &amp; " BIO-" &amp; C81 &amp; " + "</f>
        <v xml:space="preserve">0.009851 BIO-hopene_c + </v>
      </c>
    </row>
    <row r="82" spans="1:8" ht="15" x14ac:dyDescent="0.2">
      <c r="A82" s="18" t="s">
        <v>69</v>
      </c>
      <c r="B82" s="18" t="str">
        <f t="shared" si="4"/>
        <v>MET-thbh_c --&gt; 0.546875 BIO-thbh_c</v>
      </c>
      <c r="C82" s="43" t="s">
        <v>76</v>
      </c>
      <c r="D82" s="44">
        <f>-0.0769*0.469</f>
        <v>-3.6066099999999997E-2</v>
      </c>
      <c r="E82" s="45" t="s">
        <v>77</v>
      </c>
      <c r="F82" s="34">
        <v>546.875</v>
      </c>
      <c r="G82" s="47">
        <f t="shared" si="5"/>
        <v>0.25631837271277791</v>
      </c>
      <c r="H82" s="18" t="str">
        <f t="shared" si="6"/>
        <v xml:space="preserve">0.256318 BIO-thbh_c + </v>
      </c>
    </row>
    <row r="83" spans="1:8" ht="15" x14ac:dyDescent="0.2">
      <c r="A83" s="18" t="s">
        <v>70</v>
      </c>
      <c r="B83" s="18" t="str">
        <f t="shared" si="4"/>
        <v>MET-thbhet_c --&gt; 0.708546 BIO-thbhet_c</v>
      </c>
      <c r="C83" s="43" t="s">
        <v>78</v>
      </c>
      <c r="D83" s="44">
        <f>-0.0769*0.43</f>
        <v>-3.3066999999999999E-2</v>
      </c>
      <c r="E83" s="45" t="s">
        <v>79</v>
      </c>
      <c r="F83" s="34">
        <v>708.54600000000005</v>
      </c>
      <c r="G83" s="47">
        <f t="shared" si="5"/>
        <v>0.30447758783053985</v>
      </c>
      <c r="H83" s="18" t="str">
        <f t="shared" si="6"/>
        <v xml:space="preserve">0.304478 BIO-thbhet_c + </v>
      </c>
    </row>
    <row r="84" spans="1:8" ht="15" x14ac:dyDescent="0.2">
      <c r="A84" s="18" t="s">
        <v>71</v>
      </c>
      <c r="B84" s="18" t="str">
        <f t="shared" si="4"/>
        <v>MET-thbhga_c --&gt; 0.708546 BIO-thbhga_c</v>
      </c>
      <c r="C84" s="43" t="s">
        <v>80</v>
      </c>
      <c r="D84" s="44">
        <f>-0.0769*0.564</f>
        <v>-4.3371599999999996E-2</v>
      </c>
      <c r="E84" s="45" t="s">
        <v>79</v>
      </c>
      <c r="F84" s="34">
        <v>708.54600000000005</v>
      </c>
      <c r="G84" s="47">
        <f t="shared" si="5"/>
        <v>0.3993613012474988</v>
      </c>
      <c r="H84" s="18" t="str">
        <f>ROUND(G84,6) &amp; " BIO-" &amp; C84</f>
        <v>0.399361 BIO-thbhga_c</v>
      </c>
    </row>
    <row r="85" spans="1:8" ht="15" x14ac:dyDescent="0.2">
      <c r="A85" s="18" t="s">
        <v>72</v>
      </c>
      <c r="B85" s="18" t="str">
        <f t="shared" si="4"/>
        <v>MET-pe_ZM_c --&gt; 0.731502 BIO-pe_ZM_c</v>
      </c>
      <c r="C85" s="34" t="s">
        <v>133</v>
      </c>
      <c r="D85" s="44">
        <f>-0.0769*0.794</f>
        <v>-6.1058599999999998E-2</v>
      </c>
      <c r="E85" s="45"/>
      <c r="F85" s="46">
        <v>731.50213150434058</v>
      </c>
      <c r="G85" s="47">
        <f>D85*F85/SUMPRODUCT($D$85:$D$88,$F$85:$F$88)</f>
        <v>0.58044654691477271</v>
      </c>
      <c r="H85" s="18" t="str">
        <f t="shared" si="6"/>
        <v xml:space="preserve">0.580447 BIO-pe_ZM_c + </v>
      </c>
    </row>
    <row r="86" spans="1:8" ht="15" x14ac:dyDescent="0.2">
      <c r="A86" s="18" t="s">
        <v>81</v>
      </c>
      <c r="B86" s="18" t="str">
        <f t="shared" si="4"/>
        <v>MET-pg_ZM_c --&gt; 0.75986 BIO-pg_ZM_c</v>
      </c>
      <c r="C86" s="34" t="s">
        <v>95</v>
      </c>
      <c r="D86" s="44">
        <f>-0.0769*0.313</f>
        <v>-2.4069699999999999E-2</v>
      </c>
      <c r="E86" s="45"/>
      <c r="F86" s="46">
        <v>759.86010436161826</v>
      </c>
      <c r="G86" s="47">
        <f t="shared" ref="G86:G88" si="7">D86*F86/SUMPRODUCT($D$85:$D$88,$F$85:$F$88)</f>
        <v>0.23768628023419097</v>
      </c>
      <c r="H86" s="18" t="str">
        <f t="shared" si="6"/>
        <v xml:space="preserve">0.237686 BIO-pg_ZM_c + </v>
      </c>
    </row>
    <row r="87" spans="1:8" ht="15" x14ac:dyDescent="0.2">
      <c r="A87" s="18" t="s">
        <v>82</v>
      </c>
      <c r="B87" s="18" t="str">
        <f t="shared" si="4"/>
        <v>MET-pc_ZM_c --&gt; 0.77014 BIO-pc_ZM_c</v>
      </c>
      <c r="C87" s="34" t="s">
        <v>134</v>
      </c>
      <c r="D87" s="44">
        <f>-0.0769*0.201</f>
        <v>-1.5456900000000001E-2</v>
      </c>
      <c r="E87" s="45"/>
      <c r="F87" s="46">
        <v>770.1398484096668</v>
      </c>
      <c r="G87" s="47">
        <f t="shared" si="7"/>
        <v>0.15470052448803462</v>
      </c>
      <c r="H87" s="18" t="str">
        <f t="shared" si="6"/>
        <v xml:space="preserve">0.154701 BIO-pc_ZM_c + </v>
      </c>
    </row>
    <row r="88" spans="1:8" ht="15" x14ac:dyDescent="0.2">
      <c r="A88" s="18" t="s">
        <v>83</v>
      </c>
      <c r="B88" s="18" t="str">
        <f t="shared" si="4"/>
        <v>MET-clpn_ZM_c --&gt; 1.430726 BIO-clpn_ZM_c</v>
      </c>
      <c r="C88" s="34" t="s">
        <v>96</v>
      </c>
      <c r="D88" s="44">
        <f>-0.0769*0.019</f>
        <v>-1.4610999999999999E-3</v>
      </c>
      <c r="E88" s="45"/>
      <c r="F88" s="46">
        <v>1430.7255303297509</v>
      </c>
      <c r="G88" s="47">
        <f t="shared" si="7"/>
        <v>2.7166648363001662E-2</v>
      </c>
      <c r="H88" s="18" t="str">
        <f>ROUND(G88,6) &amp; " BIO-" &amp; C88</f>
        <v>0.027167 BIO-clpn_ZM_c</v>
      </c>
    </row>
    <row r="89" spans="1:8" x14ac:dyDescent="0.15">
      <c r="A89" s="18" t="s">
        <v>135</v>
      </c>
      <c r="B89" t="str">
        <f>_xlfn.CONCAT(H80:H84) &amp; " --&gt; BIO-Hopanoids_ZM_c"</f>
        <v>0.029992 BIO-clpn_ZM_c + 0.009851 BIO-hopene_c + 0.256318 BIO-thbh_c + 0.304478 BIO-thbhet_c + 0.399361 BIO-thbhga_c --&gt; BIO-Hopanoids_ZM_c</v>
      </c>
    </row>
    <row r="90" spans="1:8" x14ac:dyDescent="0.15">
      <c r="A90" s="18" t="s">
        <v>136</v>
      </c>
      <c r="B90" t="str">
        <f>_xlfn.CONCAT(H85:H88) &amp; " --&gt; BIO-Phospholipids_ZM_c"</f>
        <v>0.580447 BIO-pe_ZM_c + 0.237686 BIO-pg_ZM_c + 0.154701 BIO-pc_ZM_c + 0.027167 BIO-clpn_ZM_c --&gt; BIO-Phospholipids_ZM_c</v>
      </c>
    </row>
    <row r="93" spans="1:8" x14ac:dyDescent="0.15">
      <c r="A93" s="1" t="s">
        <v>65</v>
      </c>
    </row>
    <row r="94" spans="1:8" x14ac:dyDescent="0.15">
      <c r="A94" s="52" t="s">
        <v>137</v>
      </c>
      <c r="B94" s="53" t="str">
        <f>_xlfn.CONCAT(H99:H123) &amp; " --&gt; BIO-small_molecules"</f>
        <v>0.007127 BIO-10fthf_c + 0.000308 BIO-2fe2s_c + 0.00617 BIO-4fe4s_c + 0.006901 BIO-5mthf_c + 0.006013 BIO-amet_c + 0.000033 BIO-btn_c + 0.013345 BIO-ca2_c + 0.011804 BIO-cl_c + 0.029765 BIO-coa_c + 0.011795 BIO-fad_c + 0.023997 BIO-fe2_c + 0.488413 BIO-k_c + 0.013499 BIO-mg2_c + 0.006852 BIO-mlthf_c + 0.000071 BIO-mobd_c + 0.081847 BIO-nad_c + 0.022217 BIO-nadp_c + 0.015017 BIO-nh4_c + 0.201808 BIO-ptrc_c + 0.00369 BIO-pydx5p_c + 0.005666 BIO-ribflv_c + 0.027182 BIO-so4_c + 0.006675 BIO-thf_c + 0.006357 BIO-thmpp_c + 0.003448 BIO-udcpdp_c --&gt; BIO-small_molecules</v>
      </c>
      <c r="C94" s="53"/>
      <c r="D94" s="53"/>
      <c r="E94" s="53"/>
      <c r="F94" s="53"/>
      <c r="G94" s="53"/>
    </row>
    <row r="95" spans="1:8" x14ac:dyDescent="0.15">
      <c r="A95" s="52"/>
      <c r="B95" s="53"/>
      <c r="C95" s="53"/>
      <c r="D95" s="53"/>
      <c r="E95" s="53"/>
      <c r="F95" s="53"/>
      <c r="G95" s="53"/>
    </row>
    <row r="96" spans="1:8" x14ac:dyDescent="0.15">
      <c r="A96" s="52"/>
      <c r="B96" s="53"/>
      <c r="C96" s="53"/>
      <c r="D96" s="53"/>
      <c r="E96" s="53"/>
      <c r="F96" s="53"/>
      <c r="G96" s="53"/>
    </row>
    <row r="98" spans="1:8" ht="15" x14ac:dyDescent="0.2">
      <c r="C98" s="1" t="s">
        <v>4</v>
      </c>
      <c r="D98" s="33" t="s">
        <v>118</v>
      </c>
      <c r="E98" s="1" t="s">
        <v>25</v>
      </c>
      <c r="F98" s="1" t="s">
        <v>26</v>
      </c>
      <c r="G98" s="1" t="s">
        <v>27</v>
      </c>
    </row>
    <row r="99" spans="1:8" ht="15" x14ac:dyDescent="0.2">
      <c r="A99" t="s">
        <v>138</v>
      </c>
      <c r="B99" t="str">
        <f>"MET-" &amp; C99 &amp; " --&gt; " &amp; ROUND(F99/1000,6) &amp; " BIO-" &amp;C99</f>
        <v>MET-10fthf_c --&gt; 0.47343 BIO-10fthf_c</v>
      </c>
      <c r="C99" s="48" t="s">
        <v>139</v>
      </c>
      <c r="D99" s="40">
        <v>-6.4627999999999994E-4</v>
      </c>
      <c r="E99" s="45" t="s">
        <v>140</v>
      </c>
      <c r="F99" s="41">
        <v>473.43</v>
      </c>
      <c r="G99" s="42">
        <f>D99*F99/SUMPRODUCT($D$99:$D$123,$F$99:$F$123)</f>
        <v>7.1267605019603034E-3</v>
      </c>
      <c r="H99" t="str">
        <f>ROUND(G99,6) &amp; " BIO-" &amp; C99&amp; " + "</f>
        <v xml:space="preserve">0.007127 BIO-10fthf_c + </v>
      </c>
    </row>
    <row r="100" spans="1:8" x14ac:dyDescent="0.15">
      <c r="A100" t="s">
        <v>141</v>
      </c>
      <c r="B100" t="str">
        <f t="shared" ref="B100:B123" si="8">"MET-" &amp; C100 &amp; " --&gt; " &amp; ROUND(F100/1000,6) &amp; " BIO-" &amp;C100</f>
        <v>MET-2fe2s_c --&gt; 0.17582 BIO-2fe2s_c</v>
      </c>
      <c r="C100" s="34" t="s">
        <v>142</v>
      </c>
      <c r="D100" s="40">
        <v>-7.5327999999999994E-5</v>
      </c>
      <c r="E100" s="45" t="s">
        <v>143</v>
      </c>
      <c r="F100" s="45">
        <v>175.82</v>
      </c>
      <c r="G100" s="42">
        <f t="shared" ref="G100:G123" si="9">D100*F100/SUMPRODUCT($D$99:$D$123,$F$99:$F$123)</f>
        <v>3.0848949960646536E-4</v>
      </c>
      <c r="H100" t="str">
        <f t="shared" ref="H100:H122" si="10">ROUND(G100,6) &amp; " BIO-" &amp; C100&amp; " + "</f>
        <v xml:space="preserve">0.000308 BIO-2fe2s_c + </v>
      </c>
    </row>
    <row r="101" spans="1:8" x14ac:dyDescent="0.15">
      <c r="A101" t="s">
        <v>144</v>
      </c>
      <c r="B101" t="str">
        <f t="shared" si="8"/>
        <v>MET-4fe4s_c --&gt; 0.35164 BIO-4fe4s_c</v>
      </c>
      <c r="C101" s="34" t="s">
        <v>145</v>
      </c>
      <c r="D101" s="40">
        <v>-7.5328000000000005E-4</v>
      </c>
      <c r="E101" s="45" t="s">
        <v>146</v>
      </c>
      <c r="F101" s="45">
        <v>351.64</v>
      </c>
      <c r="G101" s="42">
        <f t="shared" si="9"/>
        <v>6.1697899921293077E-3</v>
      </c>
      <c r="H101" t="str">
        <f t="shared" si="10"/>
        <v xml:space="preserve">0.00617 BIO-4fe4s_c + </v>
      </c>
    </row>
    <row r="102" spans="1:8" ht="15" x14ac:dyDescent="0.2">
      <c r="A102" t="s">
        <v>147</v>
      </c>
      <c r="B102" t="str">
        <f t="shared" si="8"/>
        <v>MET-5mthf_c --&gt; 0.45845 BIO-5mthf_c</v>
      </c>
      <c r="C102" s="34" t="s">
        <v>148</v>
      </c>
      <c r="D102" s="40">
        <v>-6.4627999999999994E-4</v>
      </c>
      <c r="E102" s="45" t="s">
        <v>149</v>
      </c>
      <c r="F102" s="41">
        <v>458.45</v>
      </c>
      <c r="G102" s="42">
        <f t="shared" si="9"/>
        <v>6.9012596416021402E-3</v>
      </c>
      <c r="H102" t="str">
        <f t="shared" si="10"/>
        <v xml:space="preserve">0.006901 BIO-5mthf_c + </v>
      </c>
    </row>
    <row r="103" spans="1:8" ht="15" x14ac:dyDescent="0.2">
      <c r="A103" t="s">
        <v>150</v>
      </c>
      <c r="B103" t="str">
        <f t="shared" si="8"/>
        <v>MET-amet_c --&gt; 0.39945 BIO-amet_c</v>
      </c>
      <c r="C103" s="34" t="s">
        <v>151</v>
      </c>
      <c r="D103" s="40">
        <v>-6.4627999999999994E-4</v>
      </c>
      <c r="E103" s="45" t="s">
        <v>152</v>
      </c>
      <c r="F103" s="41">
        <v>399.45</v>
      </c>
      <c r="G103" s="42">
        <f t="shared" si="9"/>
        <v>6.0131053851848072E-3</v>
      </c>
      <c r="H103" t="str">
        <f t="shared" si="10"/>
        <v xml:space="preserve">0.006013 BIO-amet_c + </v>
      </c>
    </row>
    <row r="104" spans="1:8" ht="15" x14ac:dyDescent="0.2">
      <c r="A104" t="s">
        <v>153</v>
      </c>
      <c r="B104" t="str">
        <f t="shared" si="8"/>
        <v>MET-btn_c --&gt; 0.24331 BIO-btn_c</v>
      </c>
      <c r="C104" s="34" t="s">
        <v>154</v>
      </c>
      <c r="D104" s="40">
        <v>-5.7779999999999996E-6</v>
      </c>
      <c r="E104" s="45" t="s">
        <v>155</v>
      </c>
      <c r="F104" s="41">
        <v>243.31</v>
      </c>
      <c r="G104" s="42">
        <f t="shared" si="9"/>
        <v>3.27456163850058E-5</v>
      </c>
      <c r="H104" t="str">
        <f t="shared" si="10"/>
        <v xml:space="preserve">0.000033 BIO-btn_c + </v>
      </c>
    </row>
    <row r="105" spans="1:8" ht="15" x14ac:dyDescent="0.2">
      <c r="A105" t="s">
        <v>156</v>
      </c>
      <c r="B105" t="str">
        <f t="shared" si="8"/>
        <v>MET-ca2_c --&gt; 0.04008 BIO-ca2_c</v>
      </c>
      <c r="C105" s="34" t="s">
        <v>63</v>
      </c>
      <c r="D105" s="40">
        <v>-1.4295199999999999E-2</v>
      </c>
      <c r="E105" s="45" t="s">
        <v>64</v>
      </c>
      <c r="F105" s="41">
        <v>40.08</v>
      </c>
      <c r="G105" s="42">
        <f t="shared" si="9"/>
        <v>1.3345462282486294E-2</v>
      </c>
      <c r="H105" t="str">
        <f t="shared" si="10"/>
        <v xml:space="preserve">0.013345 BIO-ca2_c + </v>
      </c>
    </row>
    <row r="106" spans="1:8" ht="15" x14ac:dyDescent="0.2">
      <c r="A106" t="s">
        <v>157</v>
      </c>
      <c r="B106" t="str">
        <f t="shared" si="8"/>
        <v>MET-cl_c --&gt; 0.03545 BIO-cl_c</v>
      </c>
      <c r="C106" s="34" t="s">
        <v>158</v>
      </c>
      <c r="D106" s="40">
        <v>-1.4295199999999999E-2</v>
      </c>
      <c r="E106" s="45" t="s">
        <v>159</v>
      </c>
      <c r="F106" s="41">
        <v>35.450000000000003</v>
      </c>
      <c r="G106" s="42">
        <f t="shared" si="9"/>
        <v>1.1803808331191094E-2</v>
      </c>
      <c r="H106" t="str">
        <f t="shared" si="10"/>
        <v xml:space="preserve">0.011804 BIO-cl_c + </v>
      </c>
    </row>
    <row r="107" spans="1:8" ht="15" x14ac:dyDescent="0.2">
      <c r="A107" t="s">
        <v>160</v>
      </c>
      <c r="B107" t="str">
        <f t="shared" si="8"/>
        <v>MET-coa_c --&gt; 0.76754 BIO-coa_c</v>
      </c>
      <c r="C107" s="34" t="s">
        <v>161</v>
      </c>
      <c r="D107" s="40">
        <v>-1.6649199999999999E-3</v>
      </c>
      <c r="E107" s="45" t="s">
        <v>162</v>
      </c>
      <c r="F107" s="41">
        <v>767.54</v>
      </c>
      <c r="G107" s="42">
        <f t="shared" si="9"/>
        <v>2.9765286125328059E-2</v>
      </c>
      <c r="H107" t="str">
        <f t="shared" si="10"/>
        <v xml:space="preserve">0.029765 BIO-coa_c + </v>
      </c>
    </row>
    <row r="108" spans="1:8" ht="15" x14ac:dyDescent="0.2">
      <c r="A108" t="s">
        <v>163</v>
      </c>
      <c r="B108" t="str">
        <f t="shared" si="8"/>
        <v>MET-fad_c --&gt; 0.78354 BIO-fad_c</v>
      </c>
      <c r="C108" s="34" t="s">
        <v>84</v>
      </c>
      <c r="D108" s="40">
        <v>-6.4627999999999994E-4</v>
      </c>
      <c r="E108" s="45" t="s">
        <v>164</v>
      </c>
      <c r="F108" s="41">
        <v>783.54</v>
      </c>
      <c r="G108" s="42">
        <f t="shared" si="9"/>
        <v>1.1794989594461642E-2</v>
      </c>
      <c r="H108" t="str">
        <f t="shared" si="10"/>
        <v xml:space="preserve">0.011795 BIO-fad_c + </v>
      </c>
    </row>
    <row r="109" spans="1:8" ht="15" x14ac:dyDescent="0.2">
      <c r="A109" t="s">
        <v>165</v>
      </c>
      <c r="B109" t="str">
        <f t="shared" si="8"/>
        <v>MET-fe2_c --&gt; 0.05585 BIO-fe2_c</v>
      </c>
      <c r="C109" s="34" t="s">
        <v>89</v>
      </c>
      <c r="D109" s="40">
        <v>-1.8446799999999999E-2</v>
      </c>
      <c r="E109" s="34" t="s">
        <v>166</v>
      </c>
      <c r="F109" s="41">
        <v>55.85</v>
      </c>
      <c r="G109" s="42">
        <f t="shared" si="9"/>
        <v>2.3997162375363527E-2</v>
      </c>
      <c r="H109" t="str">
        <f t="shared" si="10"/>
        <v xml:space="preserve">0.023997 BIO-fe2_c + </v>
      </c>
    </row>
    <row r="110" spans="1:8" ht="15" x14ac:dyDescent="0.2">
      <c r="A110" t="s">
        <v>167</v>
      </c>
      <c r="B110" t="str">
        <f t="shared" si="8"/>
        <v>MET-k_c --&gt; 0.0391 BIO-k_c</v>
      </c>
      <c r="C110" s="34" t="s">
        <v>90</v>
      </c>
      <c r="D110" s="40">
        <v>-0.53628399999999998</v>
      </c>
      <c r="E110" s="45" t="s">
        <v>92</v>
      </c>
      <c r="F110" s="41">
        <v>39.1</v>
      </c>
      <c r="G110" s="42">
        <f t="shared" si="9"/>
        <v>0.48841306293270736</v>
      </c>
      <c r="H110" t="str">
        <f t="shared" si="10"/>
        <v xml:space="preserve">0.488413 BIO-k_c + </v>
      </c>
    </row>
    <row r="111" spans="1:8" ht="15" x14ac:dyDescent="0.2">
      <c r="A111" t="s">
        <v>168</v>
      </c>
      <c r="B111" t="str">
        <f t="shared" si="8"/>
        <v>MET-mg2_c --&gt; 0.02431 BIO-mg2_c</v>
      </c>
      <c r="C111" s="34" t="s">
        <v>91</v>
      </c>
      <c r="D111" s="40">
        <v>-2.3839600000000002E-2</v>
      </c>
      <c r="E111" s="45" t="s">
        <v>93</v>
      </c>
      <c r="F111" s="41">
        <v>24.31</v>
      </c>
      <c r="G111" s="42">
        <f t="shared" si="9"/>
        <v>1.3498937810351877E-2</v>
      </c>
      <c r="H111" t="str">
        <f t="shared" si="10"/>
        <v xml:space="preserve">0.013499 BIO-mg2_c + </v>
      </c>
    </row>
    <row r="112" spans="1:8" ht="15" x14ac:dyDescent="0.2">
      <c r="A112" t="s">
        <v>169</v>
      </c>
      <c r="B112" t="str">
        <f t="shared" si="8"/>
        <v>MET-mlthf_c --&gt; 0.45516 BIO-mlthf_c</v>
      </c>
      <c r="C112" s="34" t="s">
        <v>170</v>
      </c>
      <c r="D112" s="40">
        <v>-6.4627999999999994E-4</v>
      </c>
      <c r="E112" s="45" t="s">
        <v>171</v>
      </c>
      <c r="F112" s="41">
        <v>455.16</v>
      </c>
      <c r="G112" s="42">
        <f t="shared" si="9"/>
        <v>6.8517337517103941E-3</v>
      </c>
      <c r="H112" t="str">
        <f t="shared" si="10"/>
        <v xml:space="preserve">0.006852 BIO-mlthf_c + </v>
      </c>
    </row>
    <row r="113" spans="1:8" ht="15" x14ac:dyDescent="0.2">
      <c r="A113" t="s">
        <v>172</v>
      </c>
      <c r="B113" t="str">
        <f t="shared" si="8"/>
        <v>MET-mobd_c --&gt; 0.15995 BIO-mobd_c</v>
      </c>
      <c r="C113" s="34" t="s">
        <v>173</v>
      </c>
      <c r="D113" s="40">
        <v>-1.9088799999999999E-5</v>
      </c>
      <c r="E113" s="45" t="s">
        <v>174</v>
      </c>
      <c r="F113" s="41">
        <v>159.94999999999999</v>
      </c>
      <c r="G113" s="42">
        <f t="shared" si="9"/>
        <v>7.1117838026740101E-5</v>
      </c>
      <c r="H113" t="str">
        <f t="shared" si="10"/>
        <v xml:space="preserve">0.000071 BIO-mobd_c + </v>
      </c>
    </row>
    <row r="114" spans="1:8" ht="15" x14ac:dyDescent="0.2">
      <c r="A114" t="s">
        <v>175</v>
      </c>
      <c r="B114" t="str">
        <f t="shared" si="8"/>
        <v>MET-nad_c --&gt; 0.6621 BIO-nad_c</v>
      </c>
      <c r="C114" s="34" t="s">
        <v>66</v>
      </c>
      <c r="D114" s="40">
        <v>-5.3071999999999998E-3</v>
      </c>
      <c r="E114" s="45" t="s">
        <v>176</v>
      </c>
      <c r="F114" s="41">
        <v>662.1</v>
      </c>
      <c r="G114" s="42">
        <f t="shared" si="9"/>
        <v>8.1847367508772695E-2</v>
      </c>
      <c r="H114" t="str">
        <f t="shared" si="10"/>
        <v xml:space="preserve">0.081847 BIO-nad_c + </v>
      </c>
    </row>
    <row r="115" spans="1:8" ht="15" x14ac:dyDescent="0.2">
      <c r="A115" t="s">
        <v>177</v>
      </c>
      <c r="B115" t="str">
        <f t="shared" si="8"/>
        <v>MET-nadp_c --&gt; 0.74038 BIO-nadp_c</v>
      </c>
      <c r="C115" s="34" t="s">
        <v>85</v>
      </c>
      <c r="D115" s="40">
        <v>-1.2882799999999999E-3</v>
      </c>
      <c r="E115" s="45" t="s">
        <v>178</v>
      </c>
      <c r="F115" s="41">
        <v>740.38</v>
      </c>
      <c r="G115" s="42">
        <f t="shared" si="9"/>
        <v>2.2216754535665701E-2</v>
      </c>
      <c r="H115" t="str">
        <f t="shared" si="10"/>
        <v xml:space="preserve">0.022217 BIO-nadp_c + </v>
      </c>
    </row>
    <row r="116" spans="1:8" ht="15" x14ac:dyDescent="0.2">
      <c r="A116" t="s">
        <v>179</v>
      </c>
      <c r="B116" t="str">
        <f t="shared" si="8"/>
        <v>MET-nh4_c --&gt; 0.01804 BIO-nh4_c</v>
      </c>
      <c r="C116" s="34" t="s">
        <v>180</v>
      </c>
      <c r="D116" s="40">
        <v>-3.5737999999999999E-2</v>
      </c>
      <c r="E116" s="45" t="s">
        <v>181</v>
      </c>
      <c r="F116" s="41">
        <v>18.04</v>
      </c>
      <c r="G116" s="42">
        <f t="shared" si="9"/>
        <v>1.5016974773955383E-2</v>
      </c>
      <c r="H116" t="str">
        <f t="shared" si="10"/>
        <v xml:space="preserve">0.015017 BIO-nh4_c + </v>
      </c>
    </row>
    <row r="117" spans="1:8" ht="15" x14ac:dyDescent="0.2">
      <c r="A117" t="s">
        <v>182</v>
      </c>
      <c r="B117" t="str">
        <f t="shared" si="8"/>
        <v>MET-ptrc_c --&gt; 0.09017 BIO-ptrc_c</v>
      </c>
      <c r="C117" s="34" t="s">
        <v>183</v>
      </c>
      <c r="D117" s="40">
        <v>-9.6086000000000005E-2</v>
      </c>
      <c r="E117" s="45" t="s">
        <v>184</v>
      </c>
      <c r="F117" s="41">
        <v>90.17</v>
      </c>
      <c r="G117" s="42">
        <f t="shared" si="9"/>
        <v>0.20180775797629791</v>
      </c>
      <c r="H117" t="str">
        <f t="shared" si="10"/>
        <v xml:space="preserve">0.201808 BIO-ptrc_c + </v>
      </c>
    </row>
    <row r="118" spans="1:8" ht="15" x14ac:dyDescent="0.2">
      <c r="A118" t="s">
        <v>185</v>
      </c>
      <c r="B118" t="str">
        <f t="shared" si="8"/>
        <v>MET-pydx5p_c --&gt; 0.24513 BIO-pydx5p_c</v>
      </c>
      <c r="C118" s="34" t="s">
        <v>186</v>
      </c>
      <c r="D118" s="40">
        <v>-6.4627999999999994E-4</v>
      </c>
      <c r="E118" s="45" t="s">
        <v>187</v>
      </c>
      <c r="F118" s="41">
        <v>245.13</v>
      </c>
      <c r="G118" s="42">
        <f t="shared" si="9"/>
        <v>3.6900551334844204E-3</v>
      </c>
      <c r="H118" t="str">
        <f t="shared" si="10"/>
        <v xml:space="preserve">0.00369 BIO-pydx5p_c + </v>
      </c>
    </row>
    <row r="119" spans="1:8" ht="15" x14ac:dyDescent="0.2">
      <c r="A119" t="s">
        <v>188</v>
      </c>
      <c r="B119" t="str">
        <f t="shared" si="8"/>
        <v>MET-ribflv_c --&gt; 0.37636 BIO-ribflv_c</v>
      </c>
      <c r="C119" s="34" t="s">
        <v>86</v>
      </c>
      <c r="D119" s="40">
        <v>-6.4627999999999994E-4</v>
      </c>
      <c r="E119" s="45" t="s">
        <v>189</v>
      </c>
      <c r="F119" s="41">
        <v>376.36</v>
      </c>
      <c r="G119" s="42">
        <f t="shared" si="9"/>
        <v>5.665520948224193E-3</v>
      </c>
      <c r="H119" t="str">
        <f t="shared" si="10"/>
        <v xml:space="preserve">0.005666 BIO-ribflv_c + </v>
      </c>
    </row>
    <row r="120" spans="1:8" ht="15" x14ac:dyDescent="0.2">
      <c r="A120" t="s">
        <v>190</v>
      </c>
      <c r="B120" t="str">
        <f t="shared" si="8"/>
        <v>MET-so4_c --&gt; 0.09808 BIO-so4_c</v>
      </c>
      <c r="C120" s="34" t="s">
        <v>67</v>
      </c>
      <c r="D120" s="40">
        <v>-1.18984E-2</v>
      </c>
      <c r="E120" s="45" t="s">
        <v>191</v>
      </c>
      <c r="F120" s="41">
        <v>98.08</v>
      </c>
      <c r="G120" s="42">
        <f t="shared" si="9"/>
        <v>2.718220576102429E-2</v>
      </c>
      <c r="H120" t="str">
        <f t="shared" si="10"/>
        <v xml:space="preserve">0.027182 BIO-so4_c + </v>
      </c>
    </row>
    <row r="121" spans="1:8" ht="15" x14ac:dyDescent="0.2">
      <c r="A121" t="s">
        <v>192</v>
      </c>
      <c r="B121" t="str">
        <f t="shared" si="8"/>
        <v>MET-thf_c --&gt; 0.4434 BIO-thf_c</v>
      </c>
      <c r="C121" s="34" t="s">
        <v>87</v>
      </c>
      <c r="D121" s="40">
        <v>-6.4627999999999994E-4</v>
      </c>
      <c r="E121" s="45" t="s">
        <v>193</v>
      </c>
      <c r="F121" s="41">
        <v>443.4</v>
      </c>
      <c r="G121" s="42">
        <f t="shared" si="9"/>
        <v>6.6747050389058538E-3</v>
      </c>
      <c r="H121" t="str">
        <f t="shared" si="10"/>
        <v xml:space="preserve">0.006675 BIO-thf_c + </v>
      </c>
    </row>
    <row r="122" spans="1:8" ht="15" x14ac:dyDescent="0.2">
      <c r="A122" t="s">
        <v>194</v>
      </c>
      <c r="B122" t="str">
        <f t="shared" si="8"/>
        <v>MET-thmpp_c --&gt; 0.42229 BIO-thmpp_c</v>
      </c>
      <c r="C122" s="34" t="s">
        <v>88</v>
      </c>
      <c r="D122" s="40">
        <v>-6.4627999999999994E-4</v>
      </c>
      <c r="E122" s="45" t="s">
        <v>195</v>
      </c>
      <c r="F122" s="41">
        <v>422.29</v>
      </c>
      <c r="G122" s="42">
        <f t="shared" si="9"/>
        <v>6.3569264566521264E-3</v>
      </c>
      <c r="H122" t="str">
        <f t="shared" si="10"/>
        <v xml:space="preserve">0.006357 BIO-thmpp_c + </v>
      </c>
    </row>
    <row r="123" spans="1:8" ht="15" x14ac:dyDescent="0.2">
      <c r="A123" t="s">
        <v>196</v>
      </c>
      <c r="B123" t="str">
        <f t="shared" si="8"/>
        <v>MET-udcpdp_c --&gt; 0.92726 BIO-udcpdp_c</v>
      </c>
      <c r="C123" s="34" t="s">
        <v>197</v>
      </c>
      <c r="D123" s="40">
        <v>-1.5964399999999999E-4</v>
      </c>
      <c r="E123" s="41" t="s">
        <v>198</v>
      </c>
      <c r="F123" s="41">
        <v>927.26</v>
      </c>
      <c r="G123" s="42">
        <f t="shared" si="9"/>
        <v>3.4480201885224485E-3</v>
      </c>
      <c r="H123" t="str">
        <f>ROUND(G123,6) &amp; " BIO-" &amp; C123</f>
        <v>0.003448 BIO-udcpdp_c</v>
      </c>
    </row>
    <row r="124" spans="1:8" x14ac:dyDescent="0.15">
      <c r="G124" s="17">
        <f>SUM(G99:G123)</f>
        <v>0.99999999999999978</v>
      </c>
    </row>
  </sheetData>
  <mergeCells count="2">
    <mergeCell ref="A94:A96"/>
    <mergeCell ref="B94:G96"/>
  </mergeCells>
  <phoneticPr fontId="9" type="noConversion"/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64556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RBABioRxns</vt:lpstr>
      <vt:lpstr>RBA_Biomass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XUEJUN QIAN</dc:creator>
  <dc:description/>
  <cp:lastModifiedBy>Kirsten Fisher</cp:lastModifiedBy>
  <cp:revision>1727</cp:revision>
  <dcterms:created xsi:type="dcterms:W3CDTF">2018-09-17T14:07:15Z</dcterms:created>
  <dcterms:modified xsi:type="dcterms:W3CDTF">2026-03-25T15:54:50Z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