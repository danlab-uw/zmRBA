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wprod-my.sharepoint.com/personal/kfisher22_wisc_edu/Documents/Jun ZmRBA Paper/Updating_model_MEP_fdxA_rnf/2. rRNA_KF/"/>
    </mc:Choice>
  </mc:AlternateContent>
  <xr:revisionPtr revIDLastSave="57" documentId="13_ncr:1_{075B3CF2-9FF3-9849-8DEB-6F2F8F0FBA80}" xr6:coauthVersionLast="47" xr6:coauthVersionMax="47" xr10:uidLastSave="{7CDEA947-816D-479F-A672-38DBC70D3A5E}"/>
  <bookViews>
    <workbookView xWindow="-120" yWindow="-120" windowWidth="29040" windowHeight="15840" tabRatio="500" xr2:uid="{00000000-000D-0000-FFFF-FFFF00000000}"/>
  </bookViews>
  <sheets>
    <sheet name="RNA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J2" i="1" l="1"/>
  <c r="B4" i="1"/>
  <c r="Q4" i="1" s="1"/>
  <c r="J3" i="1"/>
  <c r="J4" i="1" l="1"/>
  <c r="B2" i="1"/>
  <c r="E4" i="1"/>
  <c r="D4" i="1"/>
  <c r="C4" i="1"/>
  <c r="E3" i="1"/>
  <c r="D3" i="1"/>
  <c r="C3" i="1"/>
  <c r="B3" i="1"/>
  <c r="E2" i="1"/>
  <c r="D2" i="1"/>
  <c r="C2" i="1"/>
  <c r="Q2" i="1" l="1"/>
  <c r="Q3" i="1"/>
</calcChain>
</file>

<file path=xl/sharedStrings.xml><?xml version="1.0" encoding="utf-8"?>
<sst xmlns="http://schemas.openxmlformats.org/spreadsheetml/2006/main" count="39" uniqueCount="33">
  <si>
    <t>RNAid</t>
  </si>
  <si>
    <t>A</t>
  </si>
  <si>
    <t>C</t>
  </si>
  <si>
    <t>G</t>
  </si>
  <si>
    <t>U</t>
  </si>
  <si>
    <t>Reference</t>
  </si>
  <si>
    <t>Notes</t>
  </si>
  <si>
    <t>Sequence</t>
  </si>
  <si>
    <t>Seq_source</t>
  </si>
  <si>
    <t>MW (g/mmol)</t>
  </si>
  <si>
    <t>RNAcentral</t>
  </si>
  <si>
    <t>rrna5s_c</t>
  </si>
  <si>
    <t>rrna16s_c</t>
  </si>
  <si>
    <t>UGAACUUGAGAGUUUGAUUCUGGCUCAGAACGAACGCUGGCGGCAUGCUUAACACAUGCAAGUCGAACGAAGGCUUCGGCCUUAGUGGCGCACGGGUGCGUAACGCGUGGGAAUCUGCCUUCAGGUACGGAAUAACUAGGGGAAACUCGAGCUAAUACCGUAUGAUAUCGAGAGAUCAAAGAUUUAUCGCCUGAAGAUGAGCCCGCGUUGGAUUAGCUAGUUGGUAGGGUAAAGGCUUACCAAGGCGACGAUCCAUAGCUGGUCUGAGAGGAUGAUCAGCCACACUGGGACUGAGACACGGCCCAGACUCCUACGGGAGGCAGCAGUGGGGAAUAUUGGACAAUGGGGGAAACCCUGAUCCAGCAAUGCCGCGUGAGUGAAGAAGGCCUUAGGGUUGUAAAGCUCUUUUACCCGGGAUGAUAAUGACAGUACCGGGAGAAUAAGCUCCGGCUAACUCCGUGCCAGCAGCCGCGGUAAUACGGAGGGAGCUAGCGUUGUUCGGAAUUACUGGGCGUAAAGCGUACGUAGGCGGUUUAAUAAGUCAGGGGUGAAAGCCCAGAGCUCAACUCUGGAACUGCCUUUGAGACUGUUAGACUAGAACAUAGAAGAGGUAAGUGGAAUUCCGAGUGUAGAGGUGAAAUUCGUAGAUAUUCGGAAGAACACCAGUGGCGAAGGCGACUUACUGGUCUAUAGUUGACGCUGAGGUACGAAAGCGUGGGUAGCAAACAGGAUUAGAUACCCUGGUAGUCCACGCCGUAAACGAUGAUAACUAGCUGUCCGGGUACAUGGUAUCUGGGUGGCGGAGCUAACGCAUUAAGUUAUCCGCCUGGGGAGUACGGUCGCAAGAUUAAAACUCAAAGAAAUUGACGGGGGCCUGCACAAGCGGUGGAGCAUGUGGUUUAAUUCGAAGCAACGCGCAGAACCUUACCAGCGUUUGACAUCCUGAUCGCGGAAAGUGGAGACACAUUCUUUCAGUUCGGCUGGAUCAGAGACAGGUGCUGCAUGGCUGUCGUCAGCUCGUGUCGUGAGAUGUUGGGUUAAGUCCCGCAACGAGCGCAACCCUCACCUCUAGUUGCCAUCAUUAAGUUGGGCACUUUAGAGGAACUGCCGGUGAUAAGCCGGAGGAAGGUGGGGAUGACGUCAAGUCCUCAUGGCCCUUACGCGCUGGGCUACACACGUGCUACAAUGGCGGUGACAGAGGGCCGCAAGCCUGCAAAGGUUAGCUAAUCUCAAAAAGCCGUCUCAGUUCGGAUUGUUCUCUGCAACUCGAGAGCAUGAAGGCGGAAUCGCUAGUAAUCGCGGAUCAGCAUGCCGCGGUGAAUACGUUCCCAGGCCUUGUACACACCGCCCGUCACACCAUGGGAGUUGGAUUCACCCGAAGGCGCUGCGCUAACCCGCAAGGGAGGCAGGCGACCACGGUGGGUUUAGCGACUGGGGUGAAGUCGUAACAAGGUAGCCGUAGGGGAACCUGCGGCUGGAUCACCUCCUUU</t>
  </si>
  <si>
    <t>URS0000304C39_264203</t>
  </si>
  <si>
    <t>https://rnacentral.org/rna/URS0000304C39/264203</t>
  </si>
  <si>
    <t>rrna23s_c</t>
  </si>
  <si>
    <t>URS0000469D01_264203</t>
  </si>
  <si>
    <t>CUUGGUGGCUAUAGCGUCAGUGACCCACCCGAUCCCAUUUCGAACUCGGACGUGAAACCUGUCCUGCGCCGAUGGUACUGUUGCUUAAGCAACGGAAGAGUAGGUCGUCGCCAGGC</t>
  </si>
  <si>
    <t>https://rnacentral.org/rna/URS0000469D01/264203</t>
  </si>
  <si>
    <t>Link</t>
  </si>
  <si>
    <t>Component MW (g/mol)</t>
  </si>
  <si>
    <t>UGAGGUAAGAGCAUUUGGUGGAUGCCUAGGCAUACACAGGCGAUGAAGGACGUGGCACGCUGCGAUAAGCUACGGCGAGAUGUGAGCAAUCUUUGACCCGUAGAUUUCCGAAUGGGGAAACCCAUCCUCACCAUUUAAUUUCGAUAUUGUUCUGCAGUAUCGGAGUUAGGUGGGAAGGAUAUUACCAAAGUGAAUACAUAGCUUUGGUGAAGCGAACCCGGCGAACUGAAACAUCUAAGUACCCGGAGGAAAAGACAUCAACCGAGAUUCCGUUAGUAGUGGCGAGCGAACGCGGAGUAGGCCAGUACCUUUGAUUGCGUUAGCAGAAGUCUUUGGAAAGAGACACCAUAGUGGGUGACAGUCCCGUAUGUUAAAACAAUAUUGAAGGUCUUGAGUAGGGCGGGGCACGUGAAACCUUGUCUGAACAUGGGGGGACCACCCUCCAAGCCUAAAUACUCGUGUAUGACCGAUAGUGAACAAGUACCGUGAGGGAAAGGUGAAAAGAACCCCGAUUAGGGGAGUGAAACAGUUCCUGAAACCGAAUGCUUACAAGCAGUAGGAGGGUCUUUAAGGCCUGACUGCGUACCUCUUGCAUAAUGGGUCUGUGACUUAAUGUAUCAAGCAAGCUUAAGCCGAUAGGUGUAGGCGCAGCGAAAGCGAGUCUGAAUAGGGCGAUUUAGUUUGAUGCAUUAGACCCGAAACCCGGCGAUCUAGGCAUGGUCAGGAUGAAGGUAAGGUAACACUUACUGGAGGUCCGAACCGAUUAACGUUGAAAAGUUAUCGGAUGAACUGUGUUUAGGGGUGAAAGGCCAAUCAAGCCGGGAAAUAGCUGGUUCUCCGCGAAAACUAUUGAGGUAGUGCCUCAUGUGAUGACCGUUGGGGGUAGAGCACUGGAUGGAUGCGGGGGUUUCGCGACCUACCAAAUCUAACCAAACUCCGAAUACCAACGAGUUUAACAUGGGAGACAGACGGCGGGUGCUAAGGUCCGUCGUCGAGAGGGAAACAGCCCUGACCUACAGCUAAGGUCCCCAAGUCAUGUCUAAGUGGGAAAGCUUGUGAAGACCCCAAAACAACCAGGAGGUUGGCUUAGAAGCAGCCAUCCUUUAAAGAAAGCGUAACAGCUCACUGGUCUAAAUAAGGGUCUUUGCGGCGAAGAUGUAACGGGGCUCAAGACAUGCACCGAAGCUUAGGAUUGUUACAUUAGUAACAGUGGUAGCGGAGCGUUCCGUAAGCCUGUGAAGCAGUCUGGUAAUGGACUGUGGAGGUAUCGGAAGUGCGAAUGCAGACAUGAGUAGCGAUAAAUAGGGUGAGAUGCCCUAUCGCCGAAAGUCCAAGGGUUCCUGCGCAAGGCUAAUCCGCGCAGGGUGAGUCGGCCCCUAAGACGAGCCCGAAGGGGGUAGUCGAUGGGAAACAGGUUAAUAUUCCUGUACCUGGAGAGAUGUGACGGAUCGUGUAAAUUGUAUGUCCUUAUCGGAUUGGACAUGCUCAUAAGCGGUUCCAGGAAAUAGCCUCUCCAUAUAGACCGUACCCUAAACCGACACAGGUGGACAGGUAGAGUAUACCAAGGCGCUUGAGAGAAGGGUGUUGAAGGAACUCGGCAAAUUGCCUCCGUACCUUCGGAAGAAGGAGGCCCUUAUUAUAGGCAACUAUUCUAAGGGGGCACAGGCCAGGGGGUAGCGACUGUUUAGCAAAAACACAGGGCUCUGCAAAGUCGGCUUCAAGACGACGUAUAGGGCCUGACGCCUGCCCGGUGCUGGAAGGUUAAGUGGAGGAGUGCAAGCUCUGAAAUGAAGCCCCAGUAAACGGCGGCCGUAACUAUAACGGUCCUAAGGUAGCGAAAUUCCUUGUCGGGUAAGUUCCGACCUGCACGAAUGGCGUAACGACUUCCCCACUGUCUCCAACACCUGCUCAGCGAAAUUGAAUUCUCCGUGAAGAUGCGGAGUACCCGCGGUUAGACGGAAAGACCCCGUGCACCUUUACUGCAGCUUCAGAGUGGCAUUAGGAAAGAACUGUGUAGCAUAGGUGGGAGGCUUUGAAACUUGAGCGCCAGCUUGAGUGGAGCCAUAGGUGAAAUACCACCCUGUUGUUUUCUGAUGUCUAACCUAGAACCAUGAAACUGGUUCAGGGACCCUCUGUGGCGGGUAGUUUGACUGGGGCGGUCGCCUCCUAAAGAGUAACGGAGGCGCGCGAUGGUUGGCUCAGGCCGGUUGGAAACCGGCUGCAAGAGUGCAAUGGCAUAAGCCAGCCUGACUGUGAGACUGACAAGUCGAACAGAGACGAAAGUCGGUCAUAGUGAUCCGGUGGUCCCUCGUGGAAGGGCCAUCGCUCAACGGAUAAAAGGUACGCCGGGGAUAACAGGCUGAUAACCCCCAAGAGCUCAUAUCGACGGGGUUGUUUGGCACCUCGAUGUCGGCUCAUCACAUCCUGGGGCUGGAGCAGGUCCCAAGGGUUUGGCUGUUCGCCAAUUAAAGUGGUACGUGAGCUGGGUUCAGAACGUCGCGAGACAGUUUGGUCCCUAUCUGCCGUGGGCGUCGAUAUUUGAGAGGAGUUGCCCUUAGUACGAAAGGACCGGGGUGAACAUGCCUCUGGUGGACCUGUCGUGGCGCCAGCCGCGCAGCAGGGUAGCUAUGCAUGGACGGGAUAACCGCUGAAAGCAUCUAAGCGGGAAGCCUCCCUCAAGAUAAGAUAUCUCAGAGCCGUCGAAGACUACGACGUUGAUAGGCCAGAUGUGGAAGUGUGGCAACACAUGUAGCUAACUGGUCCUAAUUGCUCUAUUCACGCUUUUG</t>
  </si>
  <si>
    <t>URS000014DFF8_120045</t>
  </si>
  <si>
    <t>https://rnacentral.org/rna/URS000014DFF8/120045</t>
  </si>
  <si>
    <t xml:space="preserve">MW calculated: </t>
  </si>
  <si>
    <t>Exact M.W. of ssRNA (e.g., RNA Transcript):</t>
  </si>
  <si>
    <t>M.W. = (An x 329.2) + (Un x 306.2) + (Cn x 305.2) + (Gn x 345.2) + 159ª</t>
  </si>
  <si>
    <t>An, Un, Cn, and Gn are the number of each respective nucleotide within the polynucleotide.</t>
  </si>
  <si>
    <t>M.W. calculated is valid at physiological pH.</t>
  </si>
  <si>
    <t>ªAddition of "159" to the M.W. takes into account the M.W. of a 5' triphosphate.</t>
  </si>
  <si>
    <t xml:space="preserve">https://www.thermofisher.com/us/en/home/references/ambion-tech-support/rna-tools-and-calculators/dna-and-rna-molecular-weights-and-conversions.html </t>
  </si>
  <si>
    <t>Total 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</si>
</sst>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Arial"/>
      <family val="2"/>
      <charset val="1"/>
    </font>
    <font>
      <sz val="11"/>
      <color rgb="FF777777"/>
      <name val="Helvetica Neue"/>
      <family val="2"/>
    </font>
    <font>
      <sz val="10"/>
      <color rgb="FF777777"/>
      <name val="Helvetica Neue"/>
      <family val="2"/>
    </font>
    <font>
      <sz val="10"/>
      <color theme="1"/>
      <name val="Arial"/>
      <family val="2"/>
      <charset val="1"/>
    </font>
    <font>
      <sz val="10"/>
      <color theme="1"/>
      <name val="Helvetica Neue"/>
      <family val="2"/>
    </font>
    <font>
      <sz val="11"/>
      <color theme="1"/>
      <name val="Helvetica Neue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  <charset val="1"/>
    </font>
    <font>
      <b/>
      <sz val="10"/>
      <color rgb="FF333333"/>
      <name val="Segoe UI"/>
      <family val="2"/>
    </font>
    <font>
      <sz val="10"/>
      <color rgb="FF333333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5">
    <xf numFmtId="0" fontId="0" fillId="0" borderId="0" xfId="0"/>
    <xf numFmtId="2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2" fontId="3" fillId="0" borderId="0" xfId="0" applyNumberFormat="1" applyFont="1"/>
    <xf numFmtId="0" fontId="5" fillId="0" borderId="0" xfId="0" applyFont="1"/>
    <xf numFmtId="0" fontId="6" fillId="0" borderId="0" xfId="0" applyFont="1"/>
    <xf numFmtId="0" fontId="3" fillId="2" borderId="0" xfId="0" applyFont="1" applyFill="1"/>
    <xf numFmtId="0" fontId="7" fillId="0" borderId="0" xfId="1"/>
    <xf numFmtId="0" fontId="0" fillId="3" borderId="0" xfId="0" applyFill="1"/>
    <xf numFmtId="0" fontId="8" fillId="0" borderId="0" xfId="0" applyFont="1"/>
    <xf numFmtId="0" fontId="9" fillId="0" borderId="0" xfId="0" applyFont="1"/>
    <xf numFmtId="2" fontId="7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hermofisher.com/us/en/home/references/ambion-tech-support/rna-tools-and-calculators/dna-and-rna-molecular-weights-and-conversions.html" TargetMode="External"/><Relationship Id="rId2" Type="http://schemas.openxmlformats.org/officeDocument/2006/relationships/hyperlink" Target="https://rnacentral.org/rna/URS0000469D01/264203" TargetMode="External"/><Relationship Id="rId1" Type="http://schemas.openxmlformats.org/officeDocument/2006/relationships/hyperlink" Target="https://rnacentral.org/rna/URS0000304C39/2642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zoomScale="118" zoomScaleNormal="100" workbookViewId="0">
      <pane ySplit="1" topLeftCell="A2" activePane="bottomLeft" state="frozen"/>
      <selection pane="bottomLeft" activeCell="H15" sqref="H15"/>
    </sheetView>
  </sheetViews>
  <sheetFormatPr defaultColWidth="11.7109375" defaultRowHeight="12.75"/>
  <cols>
    <col min="1" max="1" width="9.7109375" customWidth="1"/>
    <col min="2" max="5" width="5.85546875" customWidth="1"/>
    <col min="7" max="7" width="15" customWidth="1"/>
    <col min="9" max="9" width="12.28515625" customWidth="1"/>
    <col min="10" max="10" width="19.7109375" customWidth="1"/>
    <col min="11" max="11" width="14.28515625" customWidth="1"/>
    <col min="12" max="12" width="31.7109375" customWidth="1"/>
    <col min="13" max="13" width="6.140625" customWidth="1"/>
    <col min="14" max="14" width="6" customWidth="1"/>
    <col min="15" max="15" width="5.85546875" customWidth="1"/>
  </cols>
  <sheetData>
    <row r="1" spans="1:18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20</v>
      </c>
      <c r="L1" s="4"/>
      <c r="M1" s="8" t="s">
        <v>21</v>
      </c>
      <c r="N1" s="8"/>
      <c r="O1" s="8"/>
      <c r="P1" s="8"/>
      <c r="Q1" t="s">
        <v>32</v>
      </c>
    </row>
    <row r="2" spans="1:18">
      <c r="A2" s="4" t="s">
        <v>11</v>
      </c>
      <c r="B2" s="4">
        <f>LEN(H2) - LEN(SUBSTITUTE(H2,"A",""))</f>
        <v>24</v>
      </c>
      <c r="C2" s="4">
        <f t="shared" ref="C2:C4" si="0">LEN(H2) - LEN(SUBSTITUTE(H2,"C",""))</f>
        <v>33</v>
      </c>
      <c r="D2" s="4">
        <f t="shared" ref="D2:D4" si="1">LEN(H2) - LEN(SUBSTITUTE(H2,"G",""))</f>
        <v>33</v>
      </c>
      <c r="E2" s="4">
        <f t="shared" ref="E2:E4" si="2">LEN(H2) - LEN(SUBSTITUTE(H2,"U",""))</f>
        <v>26</v>
      </c>
      <c r="F2" s="5" t="s">
        <v>17</v>
      </c>
      <c r="G2" s="4"/>
      <c r="H2" s="4" t="s">
        <v>18</v>
      </c>
      <c r="I2" s="4" t="s">
        <v>10</v>
      </c>
      <c r="J2" s="6">
        <f>(SUMPRODUCT(B2:E2,$M$3:$P$3) + 159) / 1000</f>
        <v>37.484199999999994</v>
      </c>
      <c r="K2" s="10" t="s">
        <v>19</v>
      </c>
      <c r="L2" s="4"/>
      <c r="M2" s="9" t="s">
        <v>1</v>
      </c>
      <c r="N2" s="9" t="s">
        <v>2</v>
      </c>
      <c r="O2" s="9" t="s">
        <v>3</v>
      </c>
      <c r="P2" s="9" t="s">
        <v>4</v>
      </c>
      <c r="Q2">
        <f>SUM(B2:E2)</f>
        <v>116</v>
      </c>
      <c r="R2" s="11"/>
    </row>
    <row r="3" spans="1:18">
      <c r="A3" s="4" t="s">
        <v>12</v>
      </c>
      <c r="B3" s="4">
        <f t="shared" ref="B3" si="3">LEN(H3) - LEN(SUBSTITUTE(H3,"A",""))</f>
        <v>384</v>
      </c>
      <c r="C3" s="4">
        <f t="shared" si="0"/>
        <v>334</v>
      </c>
      <c r="D3" s="4">
        <f t="shared" si="1"/>
        <v>458</v>
      </c>
      <c r="E3" s="4">
        <f t="shared" si="2"/>
        <v>314</v>
      </c>
      <c r="F3" s="5" t="s">
        <v>14</v>
      </c>
      <c r="G3" s="4"/>
      <c r="H3" s="4" t="s">
        <v>13</v>
      </c>
      <c r="I3" s="4" t="s">
        <v>10</v>
      </c>
      <c r="J3" s="6">
        <f>(SUMPRODUCT(B3:E3,$M$3:$P$3) + 159) / 1000</f>
        <v>482.75699999999995</v>
      </c>
      <c r="K3" s="10" t="s">
        <v>15</v>
      </c>
      <c r="L3" s="4"/>
      <c r="M3" s="9">
        <v>329.2</v>
      </c>
      <c r="N3" s="9">
        <v>305.2</v>
      </c>
      <c r="O3" s="9">
        <v>345.2</v>
      </c>
      <c r="P3" s="9">
        <v>306.2</v>
      </c>
      <c r="Q3">
        <f t="shared" ref="Q3" si="4">SUM(B3:E3)</f>
        <v>1490</v>
      </c>
      <c r="R3" s="11"/>
    </row>
    <row r="4" spans="1:18" ht="14.25">
      <c r="A4" s="4" t="s">
        <v>16</v>
      </c>
      <c r="B4" s="4">
        <f>LEN(H4) - LEN(SUBSTITUTE(H4,"A",""))</f>
        <v>750</v>
      </c>
      <c r="C4" s="4">
        <f t="shared" si="0"/>
        <v>604</v>
      </c>
      <c r="D4" s="4">
        <f t="shared" si="1"/>
        <v>831</v>
      </c>
      <c r="E4" s="4">
        <f t="shared" si="2"/>
        <v>601</v>
      </c>
      <c r="F4" s="7" t="s">
        <v>23</v>
      </c>
      <c r="G4" s="4"/>
      <c r="H4" s="4" t="s">
        <v>22</v>
      </c>
      <c r="I4" s="4" t="s">
        <v>10</v>
      </c>
      <c r="J4" s="6">
        <f>(SUMPRODUCT(B4:E4,$M$3:$P$3) + 159) / 1000</f>
        <v>902.28719999999998</v>
      </c>
      <c r="K4" s="10" t="s">
        <v>24</v>
      </c>
      <c r="L4" s="4"/>
      <c r="M4" s="4"/>
      <c r="N4" s="4"/>
      <c r="O4" s="4"/>
      <c r="P4" s="4"/>
      <c r="Q4">
        <f>SUM(B4:E4)</f>
        <v>2786</v>
      </c>
      <c r="R4" s="11"/>
    </row>
    <row r="5" spans="1:18">
      <c r="J5" s="1"/>
    </row>
    <row r="6" spans="1:18">
      <c r="J6" s="1"/>
    </row>
    <row r="7" spans="1:18" ht="11.1" customHeight="1">
      <c r="A7" s="4"/>
      <c r="J7" s="1"/>
    </row>
    <row r="8" spans="1:18" ht="14.25">
      <c r="J8" s="1" t="s">
        <v>25</v>
      </c>
      <c r="K8" s="12" t="s">
        <v>26</v>
      </c>
    </row>
    <row r="9" spans="1:18" ht="14.25">
      <c r="J9" s="14" t="s">
        <v>31</v>
      </c>
      <c r="K9" s="12" t="s">
        <v>27</v>
      </c>
    </row>
    <row r="10" spans="1:18" ht="14.25">
      <c r="J10" s="1"/>
      <c r="K10" s="13" t="s">
        <v>28</v>
      </c>
    </row>
    <row r="11" spans="1:18" ht="14.25">
      <c r="J11" s="1"/>
      <c r="K11" s="13" t="s">
        <v>29</v>
      </c>
    </row>
    <row r="12" spans="1:18" ht="14.25">
      <c r="F12" s="3"/>
      <c r="J12" s="1"/>
      <c r="K12" s="13" t="s">
        <v>30</v>
      </c>
    </row>
    <row r="13" spans="1:18">
      <c r="F13" s="3"/>
      <c r="J13" s="1"/>
    </row>
    <row r="14" spans="1:18" ht="14.25">
      <c r="F14" s="2"/>
      <c r="J14" s="1"/>
    </row>
  </sheetData>
  <hyperlinks>
    <hyperlink ref="K3" r:id="rId1" xr:uid="{64B80D2B-5A06-4476-82DC-7354CC34CF0F}"/>
    <hyperlink ref="K2" r:id="rId2" xr:uid="{58F24971-3D5D-435B-A8BF-36EB9DC5BA13}"/>
    <hyperlink ref="J9" r:id="rId3" xr:uid="{232C316A-74CA-4313-95EC-EFB52EB15787}"/>
  </hyperlinks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5647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Kirsten Fisher</cp:lastModifiedBy>
  <cp:revision>47</cp:revision>
  <dcterms:created xsi:type="dcterms:W3CDTF">2020-08-20T18:38:45Z</dcterms:created>
  <dcterms:modified xsi:type="dcterms:W3CDTF">2025-09-30T17:41:28Z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