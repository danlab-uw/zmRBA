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ZMRBA_Isoprene/MEP_OE_Data_DK/"/>
    </mc:Choice>
  </mc:AlternateContent>
  <xr:revisionPtr revIDLastSave="0" documentId="11_12CFA804832BD465A01AFA898514A026F1956248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 1" sheetId="6" r:id="rId1"/>
    <sheet name="Summary 2" sheetId="5" r:id="rId2"/>
    <sheet name="All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5" l="1"/>
  <c r="N15" i="5"/>
  <c r="G17" i="6" l="1"/>
  <c r="G18" i="6" s="1"/>
  <c r="F17" i="6"/>
  <c r="F18" i="6" s="1"/>
  <c r="E17" i="6"/>
  <c r="E18" i="6" s="1"/>
  <c r="D17" i="6"/>
  <c r="D18" i="6" s="1"/>
  <c r="C17" i="6"/>
  <c r="C18" i="6" s="1"/>
  <c r="B17" i="6"/>
  <c r="B18" i="6" s="1"/>
  <c r="G16" i="6"/>
  <c r="F16" i="6"/>
  <c r="E16" i="6"/>
  <c r="D16" i="6"/>
  <c r="C16" i="6"/>
  <c r="B16" i="6"/>
  <c r="N6" i="6" s="1"/>
  <c r="C16" i="5"/>
  <c r="C17" i="5" s="1"/>
  <c r="D16" i="5"/>
  <c r="D17" i="5" s="1"/>
  <c r="E16" i="5"/>
  <c r="E17" i="5" s="1"/>
  <c r="F16" i="5"/>
  <c r="F17" i="5" s="1"/>
  <c r="G16" i="5"/>
  <c r="G17" i="5" s="1"/>
  <c r="B16" i="5"/>
  <c r="B17" i="5" s="1"/>
  <c r="M16" i="5"/>
  <c r="N16" i="5"/>
  <c r="N17" i="5" s="1"/>
  <c r="O16" i="5"/>
  <c r="O17" i="5" s="1"/>
  <c r="P16" i="5"/>
  <c r="P17" i="5" s="1"/>
  <c r="Q16" i="5"/>
  <c r="Q17" i="5" s="1"/>
  <c r="L16" i="5"/>
  <c r="L17" i="5" s="1"/>
  <c r="M15" i="5"/>
  <c r="P15" i="5"/>
  <c r="Q15" i="5"/>
  <c r="L15" i="5"/>
  <c r="C15" i="5"/>
  <c r="D15" i="5"/>
  <c r="E15" i="5"/>
  <c r="F15" i="5"/>
  <c r="G15" i="5"/>
  <c r="B15" i="5"/>
  <c r="M17" i="5"/>
  <c r="P9" i="6" l="1"/>
  <c r="M8" i="6"/>
  <c r="N9" i="6"/>
  <c r="O6" i="6"/>
  <c r="L6" i="6"/>
  <c r="O12" i="6"/>
  <c r="O8" i="6"/>
  <c r="Q9" i="6"/>
  <c r="Q8" i="6"/>
  <c r="N8" i="6"/>
  <c r="Q7" i="6"/>
  <c r="M7" i="6"/>
  <c r="Q10" i="6"/>
  <c r="O7" i="6"/>
  <c r="P6" i="6"/>
  <c r="N7" i="6"/>
  <c r="P10" i="6"/>
  <c r="L9" i="6"/>
  <c r="L8" i="6"/>
  <c r="O11" i="6"/>
  <c r="P8" i="6"/>
  <c r="N10" i="6"/>
  <c r="L7" i="6"/>
  <c r="L17" i="6" s="1"/>
  <c r="L18" i="6" s="1"/>
  <c r="O10" i="6"/>
  <c r="P7" i="6"/>
  <c r="O13" i="6"/>
  <c r="M6" i="6"/>
  <c r="O9" i="6"/>
  <c r="Q6" i="6"/>
  <c r="L16" i="6" l="1"/>
  <c r="P17" i="6"/>
  <c r="P18" i="6" s="1"/>
  <c r="P16" i="6"/>
  <c r="M17" i="6"/>
  <c r="M18" i="6" s="1"/>
  <c r="M16" i="6"/>
  <c r="N17" i="6"/>
  <c r="N18" i="6" s="1"/>
  <c r="N16" i="6"/>
  <c r="Q16" i="6"/>
  <c r="Q17" i="6"/>
  <c r="Q18" i="6" s="1"/>
  <c r="O16" i="6"/>
  <c r="O17" i="6"/>
  <c r="O18" i="6" s="1"/>
</calcChain>
</file>

<file path=xl/sharedStrings.xml><?xml version="1.0" encoding="utf-8"?>
<sst xmlns="http://schemas.openxmlformats.org/spreadsheetml/2006/main" count="119" uniqueCount="44">
  <si>
    <t>Date</t>
  </si>
  <si>
    <t xml:space="preserve">Before </t>
  </si>
  <si>
    <t>1h</t>
  </si>
  <si>
    <t>2h</t>
  </si>
  <si>
    <t>3h</t>
  </si>
  <si>
    <t>Avg</t>
  </si>
  <si>
    <t>9/10,11/</t>
  </si>
  <si>
    <t>9/2,3/</t>
  </si>
  <si>
    <t>10/7,8/</t>
  </si>
  <si>
    <t>8/18,19/</t>
  </si>
  <si>
    <t>8/12,13/</t>
  </si>
  <si>
    <t>7/16/</t>
  </si>
  <si>
    <t>7/11/</t>
  </si>
  <si>
    <t>7/9/</t>
  </si>
  <si>
    <t>Culture #</t>
  </si>
  <si>
    <t>GFP</t>
  </si>
  <si>
    <t>ISPS</t>
  </si>
  <si>
    <t>DXS2/ISPS</t>
  </si>
  <si>
    <t>DXS2/ISPS/IDI</t>
  </si>
  <si>
    <t>DXS2/ISPS/GH</t>
  </si>
  <si>
    <t>DSX2/ISPS/IDI/GH</t>
  </si>
  <si>
    <t>Rate of isoprene synthesis detected in samples before induction</t>
  </si>
  <si>
    <t>12/18/</t>
  </si>
  <si>
    <t>1/22/</t>
  </si>
  <si>
    <t>2/5/</t>
  </si>
  <si>
    <t>2/8/</t>
  </si>
  <si>
    <t>2/9/</t>
  </si>
  <si>
    <t>2/12/</t>
  </si>
  <si>
    <t>SD</t>
  </si>
  <si>
    <t>SE</t>
  </si>
  <si>
    <t xml:space="preserve">Rate of isoprene synthesis detected in samples 3 h after induction </t>
  </si>
  <si>
    <t>Rate of isoprene synthesis detected in samples 3 h after induction</t>
  </si>
  <si>
    <r>
      <t>Rate of isoprene synthesis detected in samples 3 h after induction,</t>
    </r>
    <r>
      <rPr>
        <b/>
        <sz val="10"/>
        <color theme="5"/>
        <rFont val="Calibri"/>
        <family val="2"/>
        <scheme val="minor"/>
      </rPr>
      <t xml:space="preserve"> relative to control (GFP) strain</t>
    </r>
  </si>
  <si>
    <t>(+)  Statistically different from GFP at α = 0.1</t>
  </si>
  <si>
    <r>
      <t xml:space="preserve">(*)  Statistically different from GFP at </t>
    </r>
    <r>
      <rPr>
        <sz val="11"/>
        <color theme="1"/>
        <rFont val="Calibri"/>
        <family val="2"/>
        <scheme val="minor"/>
      </rPr>
      <t>α = 0.05</t>
    </r>
  </si>
  <si>
    <t>ANOVA and Fishers LSD test</t>
  </si>
  <si>
    <t xml:space="preserve">If we take out the values in bold font in DXS2/ISPS and DXS2/ISPS/IDI above,  then DXS2/ISPS/IDI strain </t>
  </si>
  <si>
    <t xml:space="preserve">Isoprene emission in DXS2/ISPS is higher than all strains. DXS2/ISPS/IDI is different from GFP and DXS2/ISPS only. </t>
  </si>
  <si>
    <t>Please feel free to remove outliers and conduct statistics as you wish.</t>
  </si>
  <si>
    <t>Eitherway, data is comparable with previous reports from the Sharkey Lab  (Weise et al. 2013).</t>
  </si>
  <si>
    <t xml:space="preserve">Please see my notes in Summary 1. </t>
  </si>
  <si>
    <t xml:space="preserve">I do not think we should deduct the emission detected before induction from those detected after induction, </t>
  </si>
  <si>
    <t xml:space="preserve">but only have the data to show the rewiers that we did not detect high the emission rates in emitting strains before induction. </t>
  </si>
  <si>
    <t xml:space="preserve">also becomes statistically different (at α=0.05)  from ISPS in addition to being different from GFP and DXS2/ISPS.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</si>
</sst>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2" fontId="2" fillId="0" borderId="0" xfId="0" applyNumberFormat="1" applyFont="1"/>
    <xf numFmtId="2" fontId="2" fillId="0" borderId="3" xfId="0" applyNumberFormat="1" applyFont="1" applyBorder="1"/>
    <xf numFmtId="0" fontId="2" fillId="0" borderId="5" xfId="0" applyFont="1" applyBorder="1"/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16" fontId="2" fillId="0" borderId="0" xfId="0" applyNumberFormat="1" applyFont="1" applyAlignment="1">
      <alignment horizontal="right"/>
    </xf>
    <xf numFmtId="0" fontId="2" fillId="0" borderId="6" xfId="0" applyFont="1" applyBorder="1"/>
    <xf numFmtId="2" fontId="2" fillId="0" borderId="6" xfId="0" applyNumberFormat="1" applyFont="1" applyBorder="1"/>
    <xf numFmtId="0" fontId="2" fillId="0" borderId="7" xfId="0" applyFont="1" applyBorder="1"/>
    <xf numFmtId="164" fontId="2" fillId="0" borderId="3" xfId="0" applyNumberFormat="1" applyFont="1" applyBorder="1"/>
    <xf numFmtId="164" fontId="2" fillId="0" borderId="0" xfId="0" applyNumberFormat="1" applyFont="1"/>
    <xf numFmtId="164" fontId="2" fillId="0" borderId="6" xfId="0" applyNumberFormat="1" applyFont="1" applyBorder="1"/>
    <xf numFmtId="164" fontId="2" fillId="0" borderId="1" xfId="0" applyNumberFormat="1" applyFont="1" applyBorder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6" fontId="2" fillId="0" borderId="3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4" fontId="8" fillId="0" borderId="0" xfId="0" applyNumberFormat="1" applyFont="1"/>
    <xf numFmtId="0" fontId="3" fillId="0" borderId="3" xfId="0" applyFont="1" applyBorder="1"/>
    <xf numFmtId="164" fontId="0" fillId="0" borderId="0" xfId="0" applyNumberFormat="1"/>
    <xf numFmtId="0" fontId="3" fillId="0" borderId="0" xfId="0" applyFont="1"/>
    <xf numFmtId="164" fontId="1" fillId="0" borderId="0" xfId="0" applyNumberFormat="1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7" fontId="2" fillId="0" borderId="0" xfId="0" applyNumberFormat="1" applyFont="1" applyAlignment="1">
      <alignment horizontal="right"/>
    </xf>
    <xf numFmtId="17" fontId="2" fillId="0" borderId="3" xfId="0" applyNumberFormat="1" applyFont="1" applyBorder="1" applyAlignment="1">
      <alignment horizontal="right"/>
    </xf>
    <xf numFmtId="164" fontId="3" fillId="0" borderId="3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4" xfId="0" applyFont="1" applyBorder="1"/>
    <xf numFmtId="164" fontId="2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2" xfId="0" applyFont="1" applyBorder="1"/>
    <xf numFmtId="164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4" fontId="2" fillId="0" borderId="4" xfId="0" applyNumberFormat="1" applyFont="1" applyBorder="1"/>
    <xf numFmtId="17" fontId="2" fillId="0" borderId="1" xfId="0" applyNumberFormat="1" applyFont="1" applyBorder="1" applyAlignment="1">
      <alignment horizontal="right"/>
    </xf>
    <xf numFmtId="17" fontId="2" fillId="0" borderId="4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" fontId="2" fillId="0" borderId="1" xfId="0" applyNumberFormat="1" applyFont="1" applyBorder="1" applyAlignment="1">
      <alignment horizontal="right"/>
    </xf>
    <xf numFmtId="0" fontId="2" fillId="0" borderId="8" xfId="0" applyFont="1" applyBorder="1"/>
    <xf numFmtId="16" fontId="2" fillId="0" borderId="4" xfId="0" applyNumberFormat="1" applyFont="1" applyBorder="1" applyAlignment="1">
      <alignment horizontal="right"/>
    </xf>
    <xf numFmtId="1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h after induction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'Summary 1'!$L$18:$Q$18</c:f>
                <c:numCache>
                  <c:formatCode>General</c:formatCode>
                  <c:ptCount val="6"/>
                  <c:pt idx="0">
                    <c:v>14.171416331381685</c:v>
                  </c:pt>
                  <c:pt idx="1">
                    <c:v>84.944160052836793</c:v>
                  </c:pt>
                  <c:pt idx="2">
                    <c:v>203.29370716800787</c:v>
                  </c:pt>
                  <c:pt idx="3">
                    <c:v>103.39826983489318</c:v>
                  </c:pt>
                  <c:pt idx="4">
                    <c:v>52.492472319016308</c:v>
                  </c:pt>
                  <c:pt idx="5">
                    <c:v>81.756486379623084</c:v>
                  </c:pt>
                </c:numCache>
              </c:numRef>
            </c:plus>
            <c:minus>
              <c:numRef>
                <c:f>'Summary 1'!$L$18:$Q$18</c:f>
                <c:numCache>
                  <c:formatCode>General</c:formatCode>
                  <c:ptCount val="6"/>
                  <c:pt idx="0">
                    <c:v>14.171416331381685</c:v>
                  </c:pt>
                  <c:pt idx="1">
                    <c:v>84.944160052836793</c:v>
                  </c:pt>
                  <c:pt idx="2">
                    <c:v>203.29370716800787</c:v>
                  </c:pt>
                  <c:pt idx="3">
                    <c:v>103.39826983489318</c:v>
                  </c:pt>
                  <c:pt idx="4">
                    <c:v>52.492472319016308</c:v>
                  </c:pt>
                  <c:pt idx="5">
                    <c:v>81.756486379623084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'Summary 1'!$L$4:$Q$4</c:f>
              <c:strCache>
                <c:ptCount val="6"/>
                <c:pt idx="0">
                  <c:v>GFP</c:v>
                </c:pt>
                <c:pt idx="1">
                  <c:v>ISPS</c:v>
                </c:pt>
                <c:pt idx="2">
                  <c:v>DXS2/ISPS</c:v>
                </c:pt>
                <c:pt idx="3">
                  <c:v>DXS2/ISPS/IDI</c:v>
                </c:pt>
                <c:pt idx="4">
                  <c:v>DXS2/ISPS/GH</c:v>
                </c:pt>
                <c:pt idx="5">
                  <c:v>DSX2/ISPS/IDI/GH</c:v>
                </c:pt>
              </c:strCache>
            </c:strRef>
          </c:cat>
          <c:val>
            <c:numRef>
              <c:f>'Summary 1'!$L$16:$Q$16</c:f>
              <c:numCache>
                <c:formatCode>0.0</c:formatCode>
                <c:ptCount val="6"/>
                <c:pt idx="0">
                  <c:v>-7.1054273576010019E-15</c:v>
                </c:pt>
                <c:pt idx="1">
                  <c:v>24.513733240393965</c:v>
                </c:pt>
                <c:pt idx="2">
                  <c:v>635.90324926074766</c:v>
                </c:pt>
                <c:pt idx="3">
                  <c:v>307.22739138440551</c:v>
                </c:pt>
                <c:pt idx="4">
                  <c:v>86.850170261213208</c:v>
                </c:pt>
                <c:pt idx="5">
                  <c:v>128.13112429957746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9-4D97-B201-68E6BAF6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828592"/>
        <c:axId val="17148294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'Summary 1'!$L$35:$Q$35</c15:sqref>
                        </c15:formulaRef>
                      </c:ext>
                    </c:extLst>
                    <c:numCache>
                      <c:formatCode>0.0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7D7-450A-8AF7-02ADAE9F216D}"/>
                  </c:ext>
                </c:extLst>
              </c15:ser>
            </c15:filteredBarSeries>
          </c:ext>
        </c:extLst>
      </c:barChart>
      <c:catAx>
        <c:axId val="17148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29424"/>
        <c:crosses val="autoZero"/>
        <c:auto val="1"/>
        <c:lblAlgn val="ctr"/>
        <c:lblOffset val="100"/>
        <c:noMultiLvlLbl val="0"/>
      </c:catAx>
      <c:valAx>
        <c:axId val="1714829424"/>
        <c:scaling>
          <c:orientation val="minMax"/>
          <c:max val="9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baseline="0">
                    <a:effectLst/>
                  </a:rPr>
                  <a:t>Rate of isoprene emission relative to control strain (nmol</a:t>
                </a:r>
                <a:r>
                  <a:rPr lang="en-US" sz="1100" b="1" i="0" baseline="-25000">
                    <a:effectLst/>
                  </a:rPr>
                  <a:t>isp</a:t>
                </a:r>
                <a:r>
                  <a:rPr lang="en-US" sz="1100" b="1" i="0" baseline="0">
                    <a:effectLst/>
                  </a:rPr>
                  <a:t> L</a:t>
                </a:r>
                <a:r>
                  <a:rPr lang="en-US" sz="1100" b="1" i="0" baseline="30000">
                    <a:effectLst/>
                  </a:rPr>
                  <a:t>-1 </a:t>
                </a:r>
                <a:r>
                  <a:rPr lang="en-US" sz="1100" b="1" i="0" baseline="0">
                    <a:effectLst/>
                  </a:rPr>
                  <a:t>culture OD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 h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) </a:t>
                </a:r>
                <a:endParaRPr lang="en-US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"/>
              <c:y val="0.1114808131622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2859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3 h after induction 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'Summary 2'!$L$17:$Q$17</c:f>
                <c:numCache>
                  <c:formatCode>General</c:formatCode>
                  <c:ptCount val="6"/>
                  <c:pt idx="0">
                    <c:v>14.171416331381648</c:v>
                  </c:pt>
                  <c:pt idx="1">
                    <c:v>84.944160052836779</c:v>
                  </c:pt>
                  <c:pt idx="2">
                    <c:v>203.29370716800787</c:v>
                  </c:pt>
                  <c:pt idx="3">
                    <c:v>103.3982698348931</c:v>
                  </c:pt>
                  <c:pt idx="4">
                    <c:v>52.492472319016294</c:v>
                  </c:pt>
                  <c:pt idx="5">
                    <c:v>81.756486379623098</c:v>
                  </c:pt>
                </c:numCache>
              </c:numRef>
            </c:plus>
            <c:minus>
              <c:numRef>
                <c:f>'Summary 2'!$L$17:$Q$17</c:f>
                <c:numCache>
                  <c:formatCode>General</c:formatCode>
                  <c:ptCount val="6"/>
                  <c:pt idx="0">
                    <c:v>14.171416331381648</c:v>
                  </c:pt>
                  <c:pt idx="1">
                    <c:v>84.944160052836779</c:v>
                  </c:pt>
                  <c:pt idx="2">
                    <c:v>203.29370716800787</c:v>
                  </c:pt>
                  <c:pt idx="3">
                    <c:v>103.3982698348931</c:v>
                  </c:pt>
                  <c:pt idx="4">
                    <c:v>52.492472319016294</c:v>
                  </c:pt>
                  <c:pt idx="5">
                    <c:v>81.756486379623098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'Summary 1'!$B$4:$G$4</c:f>
              <c:strCache>
                <c:ptCount val="6"/>
                <c:pt idx="0">
                  <c:v>GFP</c:v>
                </c:pt>
                <c:pt idx="1">
                  <c:v>ISPS</c:v>
                </c:pt>
                <c:pt idx="2">
                  <c:v>DXS2/ISPS</c:v>
                </c:pt>
                <c:pt idx="3">
                  <c:v>DXS2/ISPS/IDI</c:v>
                </c:pt>
                <c:pt idx="4">
                  <c:v>DXS2/ISPS/GH</c:v>
                </c:pt>
                <c:pt idx="5">
                  <c:v>DSX2/ISPS/IDI/GH</c:v>
                </c:pt>
              </c:strCache>
            </c:strRef>
          </c:cat>
          <c:val>
            <c:numRef>
              <c:f>'Summary 1'!$B$16:$G$16</c:f>
              <c:numCache>
                <c:formatCode>0.0</c:formatCode>
                <c:ptCount val="6"/>
                <c:pt idx="0">
                  <c:v>149.44926066785681</c:v>
                </c:pt>
                <c:pt idx="1">
                  <c:v>173.96299390825075</c:v>
                </c:pt>
                <c:pt idx="2">
                  <c:v>785.35250992860449</c:v>
                </c:pt>
                <c:pt idx="3">
                  <c:v>456.67665205226234</c:v>
                </c:pt>
                <c:pt idx="4">
                  <c:v>236.29943092907001</c:v>
                </c:pt>
                <c:pt idx="5">
                  <c:v>277.58038496743427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C-4C32-99CE-82437857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643920"/>
        <c:axId val="1762644336"/>
      </c:barChart>
      <c:catAx>
        <c:axId val="176264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4336"/>
        <c:crosses val="autoZero"/>
        <c:auto val="1"/>
        <c:lblAlgn val="ctr"/>
        <c:lblOffset val="100"/>
        <c:noMultiLvlLbl val="0"/>
      </c:catAx>
      <c:valAx>
        <c:axId val="1762644336"/>
        <c:scaling>
          <c:orientation val="minMax"/>
          <c:max val="10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baseline="0">
                    <a:effectLst/>
                  </a:rPr>
                  <a:t>Rate of isoprene emission                                                   (nmol</a:t>
                </a:r>
                <a:r>
                  <a:rPr lang="en-US" sz="1100" b="1" i="0" baseline="-25000">
                    <a:effectLst/>
                  </a:rPr>
                  <a:t>isp</a:t>
                </a:r>
                <a:r>
                  <a:rPr lang="en-US" sz="1100" b="1" i="0" baseline="0">
                    <a:effectLst/>
                  </a:rPr>
                  <a:t> L</a:t>
                </a:r>
                <a:r>
                  <a:rPr lang="en-US" sz="1100" b="1" i="0" baseline="30000">
                    <a:effectLst/>
                  </a:rPr>
                  <a:t>-1 </a:t>
                </a:r>
                <a:r>
                  <a:rPr lang="en-US" sz="1100" b="1" i="0" baseline="0">
                    <a:effectLst/>
                  </a:rPr>
                  <a:t>culture OD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 h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) </a:t>
                </a:r>
                <a:endParaRPr lang="en-US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4.4802867383512543E-3"/>
              <c:y val="0.22775434320709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Before induction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'Summary 2'!$B$17:$G$17</c:f>
                <c:numCache>
                  <c:formatCode>General</c:formatCode>
                  <c:ptCount val="6"/>
                  <c:pt idx="0">
                    <c:v>43.468047310007243</c:v>
                  </c:pt>
                  <c:pt idx="1">
                    <c:v>73.031250600413472</c:v>
                  </c:pt>
                  <c:pt idx="2">
                    <c:v>54.492254445284473</c:v>
                  </c:pt>
                  <c:pt idx="3">
                    <c:v>18.140110206545462</c:v>
                  </c:pt>
                  <c:pt idx="4">
                    <c:v>28.270999097235137</c:v>
                  </c:pt>
                  <c:pt idx="5">
                    <c:v>22.744032959302849</c:v>
                  </c:pt>
                </c:numCache>
              </c:numRef>
            </c:plus>
            <c:minus>
              <c:numRef>
                <c:f>'Summary 2'!$B$17:$G$17</c:f>
                <c:numCache>
                  <c:formatCode>General</c:formatCode>
                  <c:ptCount val="6"/>
                  <c:pt idx="0">
                    <c:v>43.468047310007243</c:v>
                  </c:pt>
                  <c:pt idx="1">
                    <c:v>73.031250600413472</c:v>
                  </c:pt>
                  <c:pt idx="2">
                    <c:v>54.492254445284473</c:v>
                  </c:pt>
                  <c:pt idx="3">
                    <c:v>18.140110206545462</c:v>
                  </c:pt>
                  <c:pt idx="4">
                    <c:v>28.270999097235137</c:v>
                  </c:pt>
                  <c:pt idx="5">
                    <c:v>22.744032959302849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'Summary 2'!$B$3:$G$3</c:f>
              <c:strCache>
                <c:ptCount val="6"/>
                <c:pt idx="0">
                  <c:v>GFP</c:v>
                </c:pt>
                <c:pt idx="1">
                  <c:v>ISPS</c:v>
                </c:pt>
                <c:pt idx="2">
                  <c:v>DXS2/ISPS</c:v>
                </c:pt>
                <c:pt idx="3">
                  <c:v>DXS2/ISPS/IDI</c:v>
                </c:pt>
                <c:pt idx="4">
                  <c:v>DXS2/ISPS/GH</c:v>
                </c:pt>
                <c:pt idx="5">
                  <c:v>DSX2/ISPS/IDI/GH</c:v>
                </c:pt>
              </c:strCache>
            </c:strRef>
          </c:cat>
          <c:val>
            <c:numRef>
              <c:f>'Summary 2'!$B$15:$G$15</c:f>
              <c:numCache>
                <c:formatCode>0.0</c:formatCode>
                <c:ptCount val="6"/>
                <c:pt idx="0">
                  <c:v>346.9367567564949</c:v>
                </c:pt>
                <c:pt idx="1">
                  <c:v>283.56619114312065</c:v>
                </c:pt>
                <c:pt idx="2">
                  <c:v>310.11376884557586</c:v>
                </c:pt>
                <c:pt idx="3">
                  <c:v>190.55827971283981</c:v>
                </c:pt>
                <c:pt idx="4">
                  <c:v>201.8925050407438</c:v>
                </c:pt>
                <c:pt idx="5">
                  <c:v>288.91937309593368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1-49EF-BF77-F99B27969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642672"/>
        <c:axId val="1762641840"/>
      </c:barChart>
      <c:catAx>
        <c:axId val="176264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1840"/>
        <c:crosses val="autoZero"/>
        <c:auto val="1"/>
        <c:lblAlgn val="ctr"/>
        <c:lblOffset val="100"/>
        <c:noMultiLvlLbl val="0"/>
      </c:catAx>
      <c:valAx>
        <c:axId val="1762641840"/>
        <c:scaling>
          <c:orientation val="minMax"/>
          <c:max val="10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baseline="0">
                    <a:effectLst/>
                  </a:rPr>
                  <a:t>Rate of isoprene emission                                                   (nmol</a:t>
                </a:r>
                <a:r>
                  <a:rPr lang="en-US" sz="1100" b="1" i="0" baseline="-25000">
                    <a:effectLst/>
                  </a:rPr>
                  <a:t>isp</a:t>
                </a:r>
                <a:r>
                  <a:rPr lang="en-US" sz="1100" b="1" i="0" baseline="0">
                    <a:effectLst/>
                  </a:rPr>
                  <a:t> L</a:t>
                </a:r>
                <a:r>
                  <a:rPr lang="en-US" sz="1100" b="1" i="0" baseline="30000">
                    <a:effectLst/>
                  </a:rPr>
                  <a:t>-1 </a:t>
                </a:r>
                <a:r>
                  <a:rPr lang="en-US" sz="1100" b="1" i="0" baseline="0">
                    <a:effectLst/>
                  </a:rPr>
                  <a:t>culture OD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 h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) </a:t>
                </a:r>
                <a:endParaRPr lang="en-US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6.7204301075268818E-3"/>
              <c:y val="0.21981783527059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3 h after induction 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'Summary 2'!$L$17:$Q$17</c:f>
                <c:numCache>
                  <c:formatCode>General</c:formatCode>
                  <c:ptCount val="6"/>
                  <c:pt idx="0">
                    <c:v>14.171416331381648</c:v>
                  </c:pt>
                  <c:pt idx="1">
                    <c:v>84.944160052836779</c:v>
                  </c:pt>
                  <c:pt idx="2">
                    <c:v>203.29370716800787</c:v>
                  </c:pt>
                  <c:pt idx="3">
                    <c:v>103.3982698348931</c:v>
                  </c:pt>
                  <c:pt idx="4">
                    <c:v>52.492472319016294</c:v>
                  </c:pt>
                  <c:pt idx="5">
                    <c:v>81.756486379623098</c:v>
                  </c:pt>
                </c:numCache>
              </c:numRef>
            </c:plus>
            <c:minus>
              <c:numRef>
                <c:f>'Summary 2'!$L$17:$Q$17</c:f>
                <c:numCache>
                  <c:formatCode>General</c:formatCode>
                  <c:ptCount val="6"/>
                  <c:pt idx="0">
                    <c:v>14.171416331381648</c:v>
                  </c:pt>
                  <c:pt idx="1">
                    <c:v>84.944160052836779</c:v>
                  </c:pt>
                  <c:pt idx="2">
                    <c:v>203.29370716800787</c:v>
                  </c:pt>
                  <c:pt idx="3">
                    <c:v>103.3982698348931</c:v>
                  </c:pt>
                  <c:pt idx="4">
                    <c:v>52.492472319016294</c:v>
                  </c:pt>
                  <c:pt idx="5">
                    <c:v>81.756486379623098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'Summary 2'!$L$3:$Q$3</c:f>
              <c:strCache>
                <c:ptCount val="6"/>
                <c:pt idx="0">
                  <c:v>GFP</c:v>
                </c:pt>
                <c:pt idx="1">
                  <c:v>ISPS</c:v>
                </c:pt>
                <c:pt idx="2">
                  <c:v>DXS2/ISPS</c:v>
                </c:pt>
                <c:pt idx="3">
                  <c:v>DXS2/ISPS/IDI</c:v>
                </c:pt>
                <c:pt idx="4">
                  <c:v>DXS2/ISPS/GH</c:v>
                </c:pt>
                <c:pt idx="5">
                  <c:v>DSX2/ISPS/IDI/GH</c:v>
                </c:pt>
              </c:strCache>
            </c:strRef>
          </c:cat>
          <c:val>
            <c:numRef>
              <c:f>'Summary 2'!$L$15:$Q$15</c:f>
              <c:numCache>
                <c:formatCode>0.0</c:formatCode>
                <c:ptCount val="6"/>
                <c:pt idx="0">
                  <c:v>149.44926066785681</c:v>
                </c:pt>
                <c:pt idx="1">
                  <c:v>173.96299390825075</c:v>
                </c:pt>
                <c:pt idx="2">
                  <c:v>785.35250992860449</c:v>
                </c:pt>
                <c:pt idx="3">
                  <c:v>456.67665205226234</c:v>
                </c:pt>
                <c:pt idx="4">
                  <c:v>236.29943092907001</c:v>
                </c:pt>
                <c:pt idx="5">
                  <c:v>277.58038496743427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1-4C13-84B7-DD0F9AEB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643920"/>
        <c:axId val="1762644336"/>
      </c:barChart>
      <c:catAx>
        <c:axId val="176264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4336"/>
        <c:crosses val="autoZero"/>
        <c:auto val="1"/>
        <c:lblAlgn val="ctr"/>
        <c:lblOffset val="100"/>
        <c:noMultiLvlLbl val="0"/>
      </c:catAx>
      <c:valAx>
        <c:axId val="1762644336"/>
        <c:scaling>
          <c:orientation val="minMax"/>
          <c:max val="10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baseline="0">
                    <a:effectLst/>
                  </a:rPr>
                  <a:t>Rate of isoprene emission                                                   (nmol</a:t>
                </a:r>
                <a:r>
                  <a:rPr lang="en-US" sz="1100" b="1" i="0" baseline="-25000">
                    <a:effectLst/>
                  </a:rPr>
                  <a:t>isp</a:t>
                </a:r>
                <a:r>
                  <a:rPr lang="en-US" sz="1100" b="1" i="0" baseline="0">
                    <a:effectLst/>
                  </a:rPr>
                  <a:t> L</a:t>
                </a:r>
                <a:r>
                  <a:rPr lang="en-US" sz="1100" b="1" i="0" baseline="30000">
                    <a:effectLst/>
                  </a:rPr>
                  <a:t>-1 </a:t>
                </a:r>
                <a:r>
                  <a:rPr lang="en-US" sz="1100" b="1" i="0" baseline="0">
                    <a:effectLst/>
                  </a:rPr>
                  <a:t>culture OD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 h</a:t>
                </a:r>
                <a:r>
                  <a:rPr lang="en-US" sz="1100" b="1" i="0" baseline="30000">
                    <a:effectLst/>
                  </a:rPr>
                  <a:t>-1</a:t>
                </a:r>
                <a:r>
                  <a:rPr lang="en-US" sz="1100" b="1" i="0" baseline="0">
                    <a:effectLst/>
                  </a:rPr>
                  <a:t>) </a:t>
                </a:r>
                <a:endParaRPr lang="en-US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4.4802867383512543E-3"/>
              <c:y val="0.22775434320709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506186</xdr:colOff>
      <xdr:row>19</xdr:row>
      <xdr:rowOff>182335</xdr:rowOff>
    </xdr:from>
    <xdr:to>
      <xdr:col>17</xdr:col>
      <xdr:colOff>314597</xdr:colOff>
      <xdr:row>37</xdr:row>
      <xdr:rowOff>143147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32657</xdr:colOff>
      <xdr:row>22</xdr:row>
      <xdr:rowOff>70758</xdr:rowOff>
    </xdr:from>
    <xdr:to>
      <xdr:col>14</xdr:col>
      <xdr:colOff>272143</xdr:colOff>
      <xdr:row>23</xdr:row>
      <xdr:rowOff>103415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243457" y="4142015"/>
          <a:ext cx="239486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14</xdr:col>
      <xdr:colOff>865414</xdr:colOff>
      <xdr:row>28</xdr:row>
      <xdr:rowOff>130627</xdr:rowOff>
    </xdr:from>
    <xdr:to>
      <xdr:col>15</xdr:col>
      <xdr:colOff>228600</xdr:colOff>
      <xdr:row>29</xdr:row>
      <xdr:rowOff>163284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076214" y="5312227"/>
          <a:ext cx="239486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  <xdr:twoCellAnchor>
    <xdr:from>
      <xdr:col>0</xdr:col>
      <xdr:colOff>190500</xdr:colOff>
      <xdr:row>20</xdr:row>
      <xdr:rowOff>16328</xdr:rowOff>
    </xdr:from>
    <xdr:to>
      <xdr:col>7</xdr:col>
      <xdr:colOff>586740</xdr:colOff>
      <xdr:row>37</xdr:row>
      <xdr:rowOff>162197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473529</xdr:colOff>
      <xdr:row>22</xdr:row>
      <xdr:rowOff>16329</xdr:rowOff>
    </xdr:from>
    <xdr:to>
      <xdr:col>4</xdr:col>
      <xdr:colOff>713015</xdr:colOff>
      <xdr:row>23</xdr:row>
      <xdr:rowOff>48986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042558" y="4087586"/>
          <a:ext cx="239486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5</xdr:col>
      <xdr:colOff>332014</xdr:colOff>
      <xdr:row>27</xdr:row>
      <xdr:rowOff>103413</xdr:rowOff>
    </xdr:from>
    <xdr:to>
      <xdr:col>5</xdr:col>
      <xdr:colOff>571500</xdr:colOff>
      <xdr:row>28</xdr:row>
      <xdr:rowOff>136070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880757" y="5099956"/>
          <a:ext cx="239486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18</xdr:row>
      <xdr:rowOff>179915</xdr:rowOff>
    </xdr:from>
    <xdr:to>
      <xdr:col>9</xdr:col>
      <xdr:colOff>58783</xdr:colOff>
      <xdr:row>36</xdr:row>
      <xdr:rowOff>140726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635000</xdr:colOff>
      <xdr:row>19</xdr:row>
      <xdr:rowOff>2116</xdr:rowOff>
    </xdr:from>
    <xdr:to>
      <xdr:col>18</xdr:col>
      <xdr:colOff>443411</xdr:colOff>
      <xdr:row>36</xdr:row>
      <xdr:rowOff>147984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843643</xdr:colOff>
      <xdr:row>20</xdr:row>
      <xdr:rowOff>168729</xdr:rowOff>
    </xdr:from>
    <xdr:to>
      <xdr:col>15</xdr:col>
      <xdr:colOff>206829</xdr:colOff>
      <xdr:row>22</xdr:row>
      <xdr:rowOff>16328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054443" y="3815443"/>
          <a:ext cx="239486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15</xdr:col>
      <xdr:colOff>789214</xdr:colOff>
      <xdr:row>26</xdr:row>
      <xdr:rowOff>114300</xdr:rowOff>
    </xdr:from>
    <xdr:to>
      <xdr:col>16</xdr:col>
      <xdr:colOff>81643</xdr:colOff>
      <xdr:row>27</xdr:row>
      <xdr:rowOff>146957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1876314" y="4871357"/>
          <a:ext cx="239486" cy="217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A7" zoomScaleNormal="100" workbookViewId="0">
      <selection activeCell="AB36" sqref="AB36"/>
    </sheetView>
  </sheetViews>
  <sheetFormatPr defaultColWidth="8.85546875" defaultRowHeight="15" x14ac:dyDescent="0.25"/>
  <cols>
    <col min="5" max="5" width="13.5703125" customWidth="1"/>
    <col min="6" max="6" width="13" customWidth="1"/>
    <col min="7" max="7" width="16" customWidth="1"/>
    <col min="14" max="14" width="10" customWidth="1"/>
    <col min="15" max="15" width="12.140625" customWidth="1"/>
    <col min="16" max="16" width="13.140625" customWidth="1"/>
    <col min="17" max="17" width="15.42578125" customWidth="1"/>
  </cols>
  <sheetData>
    <row r="1" spans="1:19" x14ac:dyDescent="0.25">
      <c r="C1" s="23"/>
      <c r="D1" s="23"/>
    </row>
    <row r="2" spans="1:19" x14ac:dyDescent="0.25">
      <c r="A2" s="20" t="s">
        <v>31</v>
      </c>
      <c r="C2" s="20"/>
      <c r="D2" s="20"/>
      <c r="E2" s="20"/>
      <c r="F2" s="20"/>
      <c r="G2" s="20"/>
      <c r="H2" s="20"/>
      <c r="I2" s="20"/>
      <c r="K2" s="20" t="s">
        <v>32</v>
      </c>
      <c r="M2" s="20"/>
      <c r="N2" s="20"/>
      <c r="O2" s="20"/>
      <c r="P2" s="20"/>
      <c r="Q2" s="20"/>
      <c r="R2" s="20"/>
      <c r="S2" s="20"/>
    </row>
    <row r="3" spans="1:19" x14ac:dyDescent="0.25">
      <c r="B3" s="20"/>
      <c r="C3" s="21"/>
      <c r="D3" s="21"/>
      <c r="E3" s="21"/>
      <c r="F3" s="21"/>
      <c r="G3" s="21"/>
      <c r="H3" s="21"/>
      <c r="I3" s="21"/>
      <c r="L3" s="20"/>
      <c r="M3" s="21"/>
      <c r="N3" s="21"/>
      <c r="O3" s="21"/>
      <c r="P3" s="21"/>
      <c r="Q3" s="21"/>
      <c r="R3" s="21"/>
      <c r="S3" s="21"/>
    </row>
    <row r="4" spans="1:19" x14ac:dyDescent="0.25">
      <c r="A4" t="s">
        <v>14</v>
      </c>
      <c r="B4" s="19" t="s">
        <v>15</v>
      </c>
      <c r="C4" s="19" t="s">
        <v>16</v>
      </c>
      <c r="D4" s="19" t="s">
        <v>17</v>
      </c>
      <c r="E4" s="19" t="s">
        <v>18</v>
      </c>
      <c r="F4" s="19" t="s">
        <v>19</v>
      </c>
      <c r="G4" s="19" t="s">
        <v>20</v>
      </c>
      <c r="H4" s="2"/>
      <c r="I4" s="2"/>
      <c r="K4" t="s">
        <v>14</v>
      </c>
      <c r="L4" s="19" t="s">
        <v>15</v>
      </c>
      <c r="M4" s="19" t="s">
        <v>16</v>
      </c>
      <c r="N4" s="19" t="s">
        <v>17</v>
      </c>
      <c r="O4" s="19" t="s">
        <v>18</v>
      </c>
      <c r="P4" s="19" t="s">
        <v>19</v>
      </c>
      <c r="Q4" s="19" t="s">
        <v>20</v>
      </c>
      <c r="R4" s="2"/>
      <c r="S4" s="2"/>
    </row>
    <row r="5" spans="1:19" x14ac:dyDescent="0.25">
      <c r="A5" s="26"/>
      <c r="B5" s="2">
        <v>30</v>
      </c>
      <c r="C5" s="2">
        <v>84</v>
      </c>
      <c r="D5" s="2">
        <v>69</v>
      </c>
      <c r="E5" s="2">
        <v>85</v>
      </c>
      <c r="F5" s="2">
        <v>132</v>
      </c>
      <c r="G5" s="2">
        <v>133</v>
      </c>
      <c r="L5" s="2">
        <v>30</v>
      </c>
      <c r="M5" s="2">
        <v>84</v>
      </c>
      <c r="N5" s="2">
        <v>69</v>
      </c>
      <c r="O5" s="2">
        <v>85</v>
      </c>
      <c r="P5" s="2">
        <v>132</v>
      </c>
      <c r="Q5" s="2">
        <v>133</v>
      </c>
    </row>
    <row r="6" spans="1:19" x14ac:dyDescent="0.25">
      <c r="A6">
        <v>1</v>
      </c>
      <c r="B6" s="15">
        <v>133.63712327614945</v>
      </c>
      <c r="C6" s="15">
        <v>120.23756791427684</v>
      </c>
      <c r="D6" s="15">
        <v>652.69054487776668</v>
      </c>
      <c r="E6" s="18">
        <v>1164.0664810582718</v>
      </c>
      <c r="F6" s="15">
        <v>202.2944945980679</v>
      </c>
      <c r="G6" s="15">
        <v>165.20644199037062</v>
      </c>
      <c r="K6">
        <v>1</v>
      </c>
      <c r="L6" s="26">
        <f t="shared" ref="L6:Q8" si="0">B6-$B$16</f>
        <v>-15.812137391707353</v>
      </c>
      <c r="M6" s="26">
        <f t="shared" si="0"/>
        <v>-29.211692753579968</v>
      </c>
      <c r="N6" s="26">
        <f t="shared" si="0"/>
        <v>503.24128420990985</v>
      </c>
      <c r="O6" s="28">
        <f t="shared" si="0"/>
        <v>1014.617220390415</v>
      </c>
      <c r="P6" s="26">
        <f t="shared" si="0"/>
        <v>52.845233930211094</v>
      </c>
      <c r="Q6" s="26">
        <f t="shared" si="0"/>
        <v>15.757181322513816</v>
      </c>
    </row>
    <row r="7" spans="1:19" x14ac:dyDescent="0.25">
      <c r="A7">
        <v>2</v>
      </c>
      <c r="B7" s="15">
        <v>132.9269986693763</v>
      </c>
      <c r="C7" s="15">
        <v>61.24879286652439</v>
      </c>
      <c r="D7" s="15">
        <v>714.45700357201088</v>
      </c>
      <c r="E7" s="15">
        <v>370.53527310566722</v>
      </c>
      <c r="F7" s="15">
        <v>210.62496871047432</v>
      </c>
      <c r="G7" s="15">
        <v>184.13546469645195</v>
      </c>
      <c r="K7">
        <v>2</v>
      </c>
      <c r="L7" s="26">
        <f t="shared" si="0"/>
        <v>-16.522261998480502</v>
      </c>
      <c r="M7" s="26">
        <f t="shared" si="0"/>
        <v>-88.200467801332422</v>
      </c>
      <c r="N7" s="26">
        <f>D7-$B$16</f>
        <v>565.00774290415404</v>
      </c>
      <c r="O7" s="26">
        <f t="shared" si="0"/>
        <v>221.08601243781041</v>
      </c>
      <c r="P7" s="26">
        <f t="shared" si="0"/>
        <v>61.175708042617515</v>
      </c>
      <c r="Q7" s="26">
        <f t="shared" si="0"/>
        <v>34.686204028595142</v>
      </c>
    </row>
    <row r="8" spans="1:19" x14ac:dyDescent="0.25">
      <c r="A8">
        <v>3</v>
      </c>
      <c r="B8" s="15">
        <v>191.73334156692937</v>
      </c>
      <c r="C8" s="15">
        <v>340.40262094395109</v>
      </c>
      <c r="D8" s="15">
        <v>331.12695728256085</v>
      </c>
      <c r="E8" s="15">
        <v>348.66114517675618</v>
      </c>
      <c r="F8" s="15">
        <v>155.93790504117609</v>
      </c>
      <c r="G8" s="15">
        <v>387.37642308021083</v>
      </c>
      <c r="K8">
        <v>3</v>
      </c>
      <c r="L8" s="26">
        <f t="shared" si="0"/>
        <v>42.284080899072563</v>
      </c>
      <c r="M8" s="26">
        <f t="shared" si="0"/>
        <v>190.95336027609429</v>
      </c>
      <c r="N8" s="26">
        <f>D8-$B$16</f>
        <v>181.67769661470405</v>
      </c>
      <c r="O8" s="26">
        <f t="shared" si="0"/>
        <v>199.21188450889937</v>
      </c>
      <c r="P8" s="26">
        <f t="shared" si="0"/>
        <v>6.4886443733192891</v>
      </c>
      <c r="Q8" s="26">
        <f t="shared" si="0"/>
        <v>237.92716241235402</v>
      </c>
    </row>
    <row r="9" spans="1:19" x14ac:dyDescent="0.25">
      <c r="A9">
        <v>4</v>
      </c>
      <c r="B9" s="15">
        <v>139.49957915897207</v>
      </c>
      <c r="C9" s="1"/>
      <c r="D9" s="18">
        <v>1550.8680888861836</v>
      </c>
      <c r="E9" s="15">
        <v>308.8282440728139</v>
      </c>
      <c r="F9" s="15">
        <v>170.2501055451302</v>
      </c>
      <c r="G9" s="15">
        <v>106.89423963898068</v>
      </c>
      <c r="K9">
        <v>4</v>
      </c>
      <c r="L9" s="26">
        <f>B9-$B$16</f>
        <v>-9.949681508884737</v>
      </c>
      <c r="N9" s="28">
        <f>D9-$B$16</f>
        <v>1401.4188282183268</v>
      </c>
      <c r="O9" s="26">
        <f t="shared" ref="O9:Q10" si="1">E9-$B$16</f>
        <v>159.3789834049571</v>
      </c>
      <c r="P9" s="26">
        <f t="shared" si="1"/>
        <v>20.800844877273391</v>
      </c>
      <c r="Q9" s="26">
        <f t="shared" si="1"/>
        <v>-42.555021028876126</v>
      </c>
    </row>
    <row r="10" spans="1:19" x14ac:dyDescent="0.25">
      <c r="A10">
        <v>5</v>
      </c>
      <c r="B10" s="15"/>
      <c r="C10" s="15"/>
      <c r="D10" s="15">
        <v>677.61995502450043</v>
      </c>
      <c r="E10" s="15">
        <v>476.46386358896621</v>
      </c>
      <c r="F10" s="15">
        <v>442.38968075050155</v>
      </c>
      <c r="G10" s="15">
        <v>544.28935543115722</v>
      </c>
      <c r="K10">
        <v>5</v>
      </c>
      <c r="N10" s="26">
        <f>D10-$B$16</f>
        <v>528.17069435664359</v>
      </c>
      <c r="O10" s="26">
        <f t="shared" si="1"/>
        <v>327.01460292110937</v>
      </c>
      <c r="P10" s="26">
        <f t="shared" si="1"/>
        <v>292.94042008264478</v>
      </c>
      <c r="Q10" s="26">
        <f t="shared" si="1"/>
        <v>394.84009476330039</v>
      </c>
    </row>
    <row r="11" spans="1:19" x14ac:dyDescent="0.25">
      <c r="A11">
        <v>6</v>
      </c>
      <c r="B11" s="15"/>
      <c r="C11" s="15"/>
      <c r="D11" s="15"/>
      <c r="E11" s="15">
        <v>292</v>
      </c>
      <c r="F11" s="15"/>
      <c r="G11" s="15"/>
      <c r="K11">
        <v>6</v>
      </c>
      <c r="O11" s="26">
        <f>E11-$B$16</f>
        <v>142.55073933214319</v>
      </c>
      <c r="P11" s="26"/>
    </row>
    <row r="12" spans="1:19" x14ac:dyDescent="0.25">
      <c r="A12">
        <v>7</v>
      </c>
      <c r="B12" s="15"/>
      <c r="C12" s="15"/>
      <c r="D12" s="15"/>
      <c r="E12" s="15">
        <v>293.79291091737269</v>
      </c>
      <c r="F12" s="15"/>
      <c r="G12" s="15"/>
      <c r="K12">
        <v>7</v>
      </c>
      <c r="O12" s="26">
        <f>E12-$B$16</f>
        <v>144.34365024951589</v>
      </c>
    </row>
    <row r="13" spans="1:19" x14ac:dyDescent="0.25">
      <c r="A13">
        <v>8</v>
      </c>
      <c r="B13" s="15"/>
      <c r="C13" s="15"/>
      <c r="D13" s="15"/>
      <c r="E13" s="15">
        <v>399.06529849825046</v>
      </c>
      <c r="F13" s="15"/>
      <c r="G13" s="15"/>
      <c r="K13">
        <v>8</v>
      </c>
      <c r="O13" s="26">
        <f>E13-$B$16</f>
        <v>249.61603783039365</v>
      </c>
    </row>
    <row r="14" spans="1:19" x14ac:dyDescent="0.25">
      <c r="A14" s="15"/>
      <c r="B14" s="15"/>
      <c r="C14" s="15"/>
      <c r="D14" s="15"/>
      <c r="E14" s="15"/>
      <c r="F14" s="15"/>
      <c r="G14" s="15"/>
      <c r="H14" s="15"/>
      <c r="I14" s="15"/>
      <c r="K14" s="15"/>
    </row>
    <row r="15" spans="1:19" x14ac:dyDescent="0.25">
      <c r="A15" s="15"/>
      <c r="B15" s="15"/>
      <c r="C15" s="15"/>
      <c r="D15" s="15"/>
      <c r="E15" s="15"/>
      <c r="F15" s="15"/>
      <c r="G15" s="15"/>
      <c r="H15" s="15"/>
      <c r="I15" s="15"/>
      <c r="K15" s="15"/>
    </row>
    <row r="16" spans="1:19" x14ac:dyDescent="0.25">
      <c r="A16" s="29" t="s">
        <v>5</v>
      </c>
      <c r="B16" s="18">
        <f>AVERAGE(B6:B13)</f>
        <v>149.44926066785681</v>
      </c>
      <c r="C16" s="18">
        <f t="shared" ref="C16:G16" si="2">AVERAGE(C6:C13)</f>
        <v>173.96299390825075</v>
      </c>
      <c r="D16" s="18">
        <f>AVERAGE(D6:D13)</f>
        <v>785.35250992860449</v>
      </c>
      <c r="E16" s="18">
        <f t="shared" si="2"/>
        <v>456.67665205226234</v>
      </c>
      <c r="F16" s="18">
        <f t="shared" si="2"/>
        <v>236.29943092907001</v>
      </c>
      <c r="G16" s="18">
        <f t="shared" si="2"/>
        <v>277.58038496743427</v>
      </c>
      <c r="H16" s="18"/>
      <c r="I16" s="18"/>
      <c r="K16" s="29" t="s">
        <v>5</v>
      </c>
      <c r="L16" s="18">
        <f>AVERAGE(L6:L13)</f>
        <v>-7.1054273576010019E-15</v>
      </c>
      <c r="M16" s="18">
        <f t="shared" ref="M16:Q16" si="3">AVERAGE(M6:M13)</f>
        <v>24.513733240393965</v>
      </c>
      <c r="N16" s="18">
        <f t="shared" si="3"/>
        <v>635.90324926074766</v>
      </c>
      <c r="O16" s="18">
        <f t="shared" si="3"/>
        <v>307.22739138440551</v>
      </c>
      <c r="P16" s="18">
        <f>AVERAGE(P6:P13)</f>
        <v>86.850170261213208</v>
      </c>
      <c r="Q16" s="18">
        <f t="shared" si="3"/>
        <v>128.13112429957746</v>
      </c>
    </row>
    <row r="17" spans="1:19" x14ac:dyDescent="0.25">
      <c r="A17" s="8" t="s">
        <v>28</v>
      </c>
      <c r="B17" s="15">
        <f>STDEV(B6:B13)</f>
        <v>28.342832662763296</v>
      </c>
      <c r="C17" s="15">
        <f t="shared" ref="C17:G17" si="4">STDEV(C6:C13)</f>
        <v>147.1276010177759</v>
      </c>
      <c r="D17" s="15">
        <f>STDEV(D6:D13)</f>
        <v>454.57854862560191</v>
      </c>
      <c r="E17" s="15">
        <f t="shared" si="4"/>
        <v>292.45447105283745</v>
      </c>
      <c r="F17" s="15">
        <f t="shared" si="4"/>
        <v>117.37673641234646</v>
      </c>
      <c r="G17" s="15">
        <f t="shared" si="4"/>
        <v>182.81306114637295</v>
      </c>
      <c r="H17" s="1"/>
      <c r="I17" s="1"/>
      <c r="K17" s="8" t="s">
        <v>28</v>
      </c>
      <c r="L17" s="15">
        <f>STDEV(L6:L13)</f>
        <v>28.342832662763371</v>
      </c>
      <c r="M17" s="15">
        <f t="shared" ref="M17:Q17" si="5">STDEV(M6:M13)</f>
        <v>147.12760101777593</v>
      </c>
      <c r="N17" s="15">
        <f t="shared" si="5"/>
        <v>454.57854862560191</v>
      </c>
      <c r="O17" s="15">
        <f t="shared" si="5"/>
        <v>292.45447105283768</v>
      </c>
      <c r="P17" s="15">
        <f>STDEV(P6:P13)</f>
        <v>117.3767364123465</v>
      </c>
      <c r="Q17" s="15">
        <f t="shared" si="5"/>
        <v>182.81306114637289</v>
      </c>
    </row>
    <row r="18" spans="1:19" x14ac:dyDescent="0.25">
      <c r="A18" s="8" t="s">
        <v>29</v>
      </c>
      <c r="B18" s="15">
        <f>B17/SQRT(4)</f>
        <v>14.171416331381648</v>
      </c>
      <c r="C18" s="15">
        <f>C17/SQRT(3)</f>
        <v>84.944160052836779</v>
      </c>
      <c r="D18" s="15">
        <f>D17/SQRT(5)</f>
        <v>203.29370716800787</v>
      </c>
      <c r="E18" s="15">
        <f>E17/SQRT(8)</f>
        <v>103.3982698348931</v>
      </c>
      <c r="F18" s="15">
        <f>F17/SQRT(5)</f>
        <v>52.492472319016294</v>
      </c>
      <c r="G18" s="15">
        <f>G17/SQRT(5)</f>
        <v>81.756486379623098</v>
      </c>
      <c r="H18" s="1"/>
      <c r="I18" s="1"/>
      <c r="K18" s="8" t="s">
        <v>29</v>
      </c>
      <c r="L18" s="15">
        <f>L17/SQRT(4)</f>
        <v>14.171416331381685</v>
      </c>
      <c r="M18" s="15">
        <f>M17/SQRT(3)</f>
        <v>84.944160052836793</v>
      </c>
      <c r="N18" s="15">
        <f>N17/SQRT(5)</f>
        <v>203.29370716800787</v>
      </c>
      <c r="O18" s="15">
        <f>O17/SQRT(8)</f>
        <v>103.39826983489318</v>
      </c>
      <c r="P18" s="15">
        <f>P17/SQRT(5)</f>
        <v>52.492472319016308</v>
      </c>
      <c r="Q18" s="15">
        <f>Q17/SQRT(5)</f>
        <v>81.756486379623084</v>
      </c>
    </row>
    <row r="21" spans="1:19" x14ac:dyDescent="0.25">
      <c r="A21" s="20"/>
      <c r="C21" s="20"/>
      <c r="D21" s="20"/>
      <c r="E21" s="20"/>
      <c r="F21" s="20"/>
      <c r="G21" s="20"/>
      <c r="H21" s="20"/>
      <c r="K21" s="20"/>
      <c r="M21" s="20"/>
      <c r="N21" s="20"/>
      <c r="O21" s="20"/>
      <c r="P21" s="20"/>
      <c r="Q21" s="20"/>
    </row>
    <row r="22" spans="1:19" x14ac:dyDescent="0.25">
      <c r="B22" s="20"/>
      <c r="C22" s="21"/>
      <c r="D22" s="21"/>
      <c r="E22" s="21"/>
      <c r="F22" s="21"/>
      <c r="G22" s="21"/>
      <c r="H22" s="21"/>
      <c r="L22" s="20"/>
      <c r="M22" s="21"/>
      <c r="N22" s="21"/>
      <c r="O22" s="21"/>
      <c r="P22" s="21"/>
      <c r="Q22" s="21"/>
      <c r="S22" t="s">
        <v>35</v>
      </c>
    </row>
    <row r="23" spans="1:19" x14ac:dyDescent="0.25">
      <c r="B23" s="19"/>
      <c r="C23" s="19"/>
      <c r="D23" s="19"/>
      <c r="E23" s="19"/>
      <c r="F23" s="19"/>
      <c r="G23" s="19"/>
      <c r="H23" s="2"/>
      <c r="L23" s="19"/>
      <c r="M23" s="19"/>
      <c r="N23" s="19"/>
      <c r="O23" s="19"/>
      <c r="P23" s="19"/>
      <c r="Q23" s="19"/>
      <c r="S23" t="s">
        <v>34</v>
      </c>
    </row>
    <row r="24" spans="1:19" x14ac:dyDescent="0.25">
      <c r="B24" s="2"/>
      <c r="C24" s="2"/>
      <c r="D24" s="2"/>
      <c r="E24" s="2"/>
      <c r="F24" s="2"/>
      <c r="G24" s="2"/>
      <c r="L24" s="2"/>
      <c r="M24" s="2"/>
      <c r="N24" s="2"/>
      <c r="O24" s="2"/>
      <c r="P24" s="2"/>
      <c r="Q24" s="2"/>
      <c r="S24" t="s">
        <v>33</v>
      </c>
    </row>
    <row r="25" spans="1:19" x14ac:dyDescent="0.25">
      <c r="B25" s="15"/>
      <c r="C25" s="15"/>
      <c r="D25" s="15"/>
      <c r="E25" s="15"/>
      <c r="F25" s="15"/>
      <c r="G25" s="15"/>
      <c r="H25" s="1"/>
      <c r="L25" s="26"/>
      <c r="M25" s="26"/>
      <c r="N25" s="26"/>
      <c r="O25" s="26"/>
      <c r="P25" s="26"/>
      <c r="Q25" s="26"/>
    </row>
    <row r="26" spans="1:19" x14ac:dyDescent="0.25">
      <c r="B26" s="15"/>
      <c r="C26" s="15"/>
      <c r="D26" s="15"/>
      <c r="E26" s="15"/>
      <c r="F26" s="15"/>
      <c r="G26" s="15"/>
      <c r="H26" s="1"/>
      <c r="L26" s="26"/>
      <c r="M26" s="26"/>
      <c r="N26" s="26"/>
      <c r="O26" s="26"/>
      <c r="P26" s="26"/>
      <c r="Q26" s="26"/>
      <c r="S26" t="s">
        <v>37</v>
      </c>
    </row>
    <row r="27" spans="1:19" x14ac:dyDescent="0.25">
      <c r="B27" s="15"/>
      <c r="C27" s="15"/>
      <c r="D27" s="15"/>
      <c r="E27" s="15"/>
      <c r="F27" s="15"/>
      <c r="G27" s="15"/>
      <c r="H27" s="1"/>
      <c r="L27" s="26"/>
      <c r="M27" s="26"/>
      <c r="N27" s="26"/>
      <c r="O27" s="26"/>
      <c r="P27" s="26"/>
      <c r="Q27" s="26"/>
      <c r="S27" t="s">
        <v>36</v>
      </c>
    </row>
    <row r="28" spans="1:19" x14ac:dyDescent="0.25">
      <c r="B28" s="15"/>
      <c r="C28" s="1"/>
      <c r="D28" s="15"/>
      <c r="E28" s="15"/>
      <c r="F28" s="15"/>
      <c r="G28" s="15"/>
      <c r="H28" s="1"/>
      <c r="L28" s="26"/>
      <c r="N28" s="26"/>
      <c r="O28" s="26"/>
      <c r="P28" s="26"/>
      <c r="Q28" s="26"/>
      <c r="S28" t="s">
        <v>43</v>
      </c>
    </row>
    <row r="29" spans="1:19" x14ac:dyDescent="0.25">
      <c r="B29" s="15"/>
      <c r="C29" s="15"/>
      <c r="D29" s="15"/>
      <c r="E29" s="15"/>
      <c r="F29" s="15"/>
      <c r="G29" s="15"/>
      <c r="H29" s="1"/>
      <c r="N29" s="26"/>
      <c r="O29" s="26"/>
      <c r="P29" s="26"/>
      <c r="Q29" s="26"/>
      <c r="S29" t="s">
        <v>38</v>
      </c>
    </row>
    <row r="30" spans="1:19" x14ac:dyDescent="0.25">
      <c r="B30" s="18"/>
      <c r="C30" s="15"/>
      <c r="D30" s="15"/>
      <c r="E30" s="15"/>
      <c r="F30" s="15"/>
      <c r="G30" s="15"/>
      <c r="H30" s="15"/>
      <c r="O30" s="26"/>
      <c r="S30" t="s">
        <v>39</v>
      </c>
    </row>
    <row r="31" spans="1:19" x14ac:dyDescent="0.25">
      <c r="B31" s="15"/>
      <c r="C31" s="15"/>
      <c r="D31" s="15"/>
      <c r="E31" s="15"/>
      <c r="F31" s="15"/>
      <c r="G31" s="15"/>
      <c r="H31" s="1"/>
      <c r="O31" s="26"/>
    </row>
    <row r="32" spans="1:19" x14ac:dyDescent="0.25">
      <c r="B32" s="15"/>
      <c r="C32" s="15"/>
      <c r="D32" s="15"/>
      <c r="E32" s="15"/>
      <c r="F32" s="15"/>
      <c r="G32" s="15"/>
      <c r="H32" s="1"/>
      <c r="O32" s="26"/>
    </row>
    <row r="33" spans="1:17" x14ac:dyDescent="0.25">
      <c r="A33" s="15"/>
      <c r="B33" s="15"/>
      <c r="C33" s="15"/>
      <c r="D33" s="15"/>
      <c r="E33" s="15"/>
      <c r="F33" s="15"/>
      <c r="G33" s="15"/>
      <c r="H33" s="15"/>
      <c r="K33" s="15"/>
    </row>
    <row r="34" spans="1:17" x14ac:dyDescent="0.25">
      <c r="A34" s="15"/>
      <c r="B34" s="15"/>
      <c r="C34" s="15"/>
      <c r="D34" s="15"/>
      <c r="E34" s="15"/>
      <c r="F34" s="15"/>
      <c r="G34" s="15"/>
      <c r="H34" s="15"/>
      <c r="K34" s="15"/>
    </row>
    <row r="35" spans="1:17" x14ac:dyDescent="0.25">
      <c r="A35" s="29"/>
      <c r="B35" s="18"/>
      <c r="C35" s="18"/>
      <c r="D35" s="18"/>
      <c r="E35" s="18"/>
      <c r="F35" s="18"/>
      <c r="G35" s="18"/>
      <c r="H35" s="18"/>
      <c r="K35" s="29"/>
      <c r="L35" s="18"/>
      <c r="M35" s="18"/>
      <c r="N35" s="18"/>
      <c r="O35" s="18"/>
      <c r="P35" s="18"/>
      <c r="Q35" s="18"/>
    </row>
    <row r="36" spans="1:17" x14ac:dyDescent="0.25">
      <c r="A36" s="8"/>
      <c r="B36" s="15"/>
      <c r="C36" s="15"/>
      <c r="D36" s="15"/>
      <c r="E36" s="15"/>
      <c r="F36" s="15"/>
      <c r="G36" s="15"/>
      <c r="H36" s="1"/>
      <c r="K36" s="8"/>
      <c r="L36" s="15"/>
      <c r="M36" s="15"/>
      <c r="N36" s="15"/>
      <c r="O36" s="15"/>
      <c r="P36" s="15"/>
      <c r="Q36" s="15"/>
    </row>
    <row r="37" spans="1:17" x14ac:dyDescent="0.25">
      <c r="A37" s="30"/>
      <c r="B37" s="18"/>
      <c r="C37" s="18"/>
      <c r="D37" s="18"/>
      <c r="E37" s="18"/>
      <c r="F37" s="18"/>
      <c r="G37" s="18"/>
      <c r="H37" s="27"/>
      <c r="K37" s="30"/>
      <c r="L37" s="18"/>
      <c r="M37" s="18"/>
      <c r="N37" s="18"/>
      <c r="O37" s="18"/>
      <c r="P37" s="18"/>
      <c r="Q37" s="18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="70" zoomScaleNormal="70" workbookViewId="0">
      <selection activeCell="V34" sqref="V34"/>
    </sheetView>
  </sheetViews>
  <sheetFormatPr defaultColWidth="8.85546875" defaultRowHeight="15" x14ac:dyDescent="0.25"/>
  <cols>
    <col min="5" max="5" width="13.5703125" customWidth="1"/>
    <col min="6" max="6" width="13" customWidth="1"/>
    <col min="7" max="7" width="16" customWidth="1"/>
    <col min="14" max="14" width="10" customWidth="1"/>
    <col min="15" max="15" width="12.140625" customWidth="1"/>
    <col min="16" max="16" width="13.140625" customWidth="1"/>
    <col min="17" max="17" width="15.42578125" customWidth="1"/>
  </cols>
  <sheetData>
    <row r="1" spans="1:27" x14ac:dyDescent="0.25">
      <c r="A1" s="20" t="s">
        <v>21</v>
      </c>
      <c r="C1" s="20"/>
      <c r="D1" s="20"/>
      <c r="E1" s="20"/>
      <c r="F1" s="20"/>
      <c r="G1" s="20"/>
      <c r="H1" s="20"/>
      <c r="I1" s="20"/>
      <c r="J1" s="20"/>
      <c r="K1" s="20" t="s">
        <v>30</v>
      </c>
      <c r="M1" s="20"/>
      <c r="N1" s="20"/>
      <c r="O1" s="20"/>
      <c r="P1" s="20"/>
      <c r="Q1" s="20"/>
      <c r="R1" s="20"/>
      <c r="S1" s="20"/>
      <c r="T1" s="20"/>
      <c r="U1" s="20"/>
      <c r="W1" s="20"/>
      <c r="X1" s="20"/>
      <c r="Y1" s="20"/>
      <c r="Z1" s="20"/>
      <c r="AA1" s="20"/>
    </row>
    <row r="2" spans="1:27" x14ac:dyDescent="0.25">
      <c r="B2" s="20"/>
      <c r="C2" s="21"/>
      <c r="D2" s="21"/>
      <c r="E2" s="21"/>
      <c r="F2" s="21"/>
      <c r="G2" s="21"/>
      <c r="H2" s="21"/>
      <c r="I2" s="21"/>
      <c r="J2" s="21"/>
      <c r="L2" s="20"/>
      <c r="M2" s="21"/>
      <c r="N2" s="21"/>
      <c r="O2" s="21"/>
      <c r="P2" s="21"/>
      <c r="Q2" s="21"/>
      <c r="R2" s="21"/>
      <c r="S2" s="21"/>
      <c r="T2" s="21"/>
      <c r="V2" s="20"/>
      <c r="W2" s="21"/>
      <c r="X2" s="21"/>
      <c r="Y2" s="21"/>
      <c r="Z2" s="21"/>
      <c r="AA2" s="21"/>
    </row>
    <row r="3" spans="1:27" x14ac:dyDescent="0.25">
      <c r="A3" t="s">
        <v>14</v>
      </c>
      <c r="B3" s="19" t="s">
        <v>15</v>
      </c>
      <c r="C3" s="19" t="s">
        <v>16</v>
      </c>
      <c r="D3" s="19" t="s">
        <v>17</v>
      </c>
      <c r="E3" s="19" t="s">
        <v>18</v>
      </c>
      <c r="F3" s="19" t="s">
        <v>19</v>
      </c>
      <c r="G3" s="19" t="s">
        <v>20</v>
      </c>
      <c r="H3" s="2"/>
      <c r="I3" s="2"/>
      <c r="J3" s="2"/>
      <c r="K3" t="s">
        <v>14</v>
      </c>
      <c r="L3" s="19" t="s">
        <v>15</v>
      </c>
      <c r="M3" s="19" t="s">
        <v>16</v>
      </c>
      <c r="N3" s="19" t="s">
        <v>17</v>
      </c>
      <c r="O3" s="19" t="s">
        <v>18</v>
      </c>
      <c r="P3" s="19" t="s">
        <v>19</v>
      </c>
      <c r="Q3" s="19" t="s">
        <v>20</v>
      </c>
      <c r="R3" s="2"/>
      <c r="S3" s="2"/>
      <c r="T3" s="2"/>
      <c r="V3" s="19"/>
      <c r="W3" s="19"/>
      <c r="X3" s="19"/>
      <c r="Y3" s="19"/>
      <c r="Z3" s="19"/>
      <c r="AA3" s="19"/>
    </row>
    <row r="4" spans="1:27" x14ac:dyDescent="0.25">
      <c r="B4" s="2">
        <v>30</v>
      </c>
      <c r="C4" s="2">
        <v>84</v>
      </c>
      <c r="D4" s="2">
        <v>69</v>
      </c>
      <c r="E4" s="2">
        <v>85</v>
      </c>
      <c r="F4" s="2">
        <v>132</v>
      </c>
      <c r="G4" s="2">
        <v>133</v>
      </c>
      <c r="K4" s="26"/>
      <c r="L4" s="2">
        <v>30</v>
      </c>
      <c r="M4" s="2">
        <v>84</v>
      </c>
      <c r="N4" s="2">
        <v>69</v>
      </c>
      <c r="O4" s="2">
        <v>85</v>
      </c>
      <c r="P4" s="2">
        <v>132</v>
      </c>
      <c r="Q4" s="2">
        <v>133</v>
      </c>
      <c r="V4" s="2"/>
      <c r="W4" s="2"/>
      <c r="X4" s="2"/>
      <c r="Y4" s="2"/>
      <c r="Z4" s="2"/>
      <c r="AA4" s="2"/>
    </row>
    <row r="5" spans="1:27" x14ac:dyDescent="0.25">
      <c r="A5">
        <v>1</v>
      </c>
      <c r="B5" s="15">
        <v>301.26622970308534</v>
      </c>
      <c r="C5" s="15">
        <v>155.16423576256983</v>
      </c>
      <c r="D5" s="15">
        <v>120.60370432512754</v>
      </c>
      <c r="E5" s="15">
        <v>193.24980354196123</v>
      </c>
      <c r="F5" s="15">
        <v>132.09731340201205</v>
      </c>
      <c r="G5" s="15">
        <v>307.60507065642435</v>
      </c>
      <c r="H5" s="1"/>
      <c r="K5">
        <v>1</v>
      </c>
      <c r="L5" s="15">
        <v>133.63712327614945</v>
      </c>
      <c r="M5" s="15">
        <v>120.23756791427684</v>
      </c>
      <c r="N5" s="15">
        <v>652.69054487776668</v>
      </c>
      <c r="O5" s="18">
        <v>1164.0664810582718</v>
      </c>
      <c r="P5" s="15">
        <v>202.2944945980679</v>
      </c>
      <c r="Q5" s="15">
        <v>165.20644199037062</v>
      </c>
      <c r="V5" s="26"/>
      <c r="W5" s="26"/>
      <c r="X5" s="26"/>
      <c r="Y5" s="26"/>
      <c r="Z5" s="26"/>
      <c r="AA5" s="26"/>
    </row>
    <row r="6" spans="1:27" x14ac:dyDescent="0.25">
      <c r="A6">
        <v>2</v>
      </c>
      <c r="B6" s="15">
        <v>399.94476766905422</v>
      </c>
      <c r="C6" s="15">
        <v>287.4729395604428</v>
      </c>
      <c r="D6" s="15">
        <v>360.50403700979132</v>
      </c>
      <c r="E6" s="15">
        <v>241.853163911466</v>
      </c>
      <c r="F6" s="15">
        <v>214.72701183460586</v>
      </c>
      <c r="G6" s="15">
        <v>313.76801845710298</v>
      </c>
      <c r="H6" s="1"/>
      <c r="K6">
        <v>2</v>
      </c>
      <c r="L6" s="15">
        <v>132.9269986693763</v>
      </c>
      <c r="M6" s="15">
        <v>61.24879286652439</v>
      </c>
      <c r="N6" s="15">
        <v>714.45700357201088</v>
      </c>
      <c r="O6" s="15">
        <v>370.53527310566722</v>
      </c>
      <c r="P6" s="15">
        <v>210.62496871047432</v>
      </c>
      <c r="Q6" s="15">
        <v>184.13546469645195</v>
      </c>
      <c r="V6" s="26"/>
      <c r="W6" s="26"/>
      <c r="X6" s="26"/>
      <c r="Y6" s="26"/>
      <c r="Z6" s="26"/>
      <c r="AA6" s="26"/>
    </row>
    <row r="7" spans="1:27" x14ac:dyDescent="0.25">
      <c r="A7">
        <v>3</v>
      </c>
      <c r="B7" s="15">
        <v>437.47812056512231</v>
      </c>
      <c r="C7" s="15">
        <v>408.06139810634926</v>
      </c>
      <c r="D7" s="15">
        <v>292.34900443592289</v>
      </c>
      <c r="E7" s="15">
        <v>201.60569138208152</v>
      </c>
      <c r="F7" s="15">
        <v>194.72339522177762</v>
      </c>
      <c r="G7" s="15">
        <v>345.62310718593267</v>
      </c>
      <c r="H7" s="1"/>
      <c r="K7">
        <v>3</v>
      </c>
      <c r="L7" s="15">
        <v>191.73334156692937</v>
      </c>
      <c r="M7" s="15">
        <v>340.40262094395109</v>
      </c>
      <c r="N7" s="15">
        <v>331.12695728256085</v>
      </c>
      <c r="O7" s="15">
        <v>348.66114517675618</v>
      </c>
      <c r="P7" s="15">
        <v>155.93790504117609</v>
      </c>
      <c r="Q7" s="15">
        <v>387.37642308021083</v>
      </c>
      <c r="V7" s="26"/>
      <c r="W7" s="26"/>
      <c r="X7" s="26"/>
      <c r="Y7" s="26"/>
      <c r="Z7" s="26"/>
      <c r="AA7" s="26"/>
    </row>
    <row r="8" spans="1:27" x14ac:dyDescent="0.25">
      <c r="A8">
        <v>4</v>
      </c>
      <c r="B8" s="15">
        <v>249.05790908871757</v>
      </c>
      <c r="C8" s="1"/>
      <c r="D8" s="15">
        <v>324.085503036852</v>
      </c>
      <c r="E8" s="15">
        <v>139.05901488268822</v>
      </c>
      <c r="F8" s="15">
        <v>167.46987331202047</v>
      </c>
      <c r="G8" s="15">
        <v>262.67564332342607</v>
      </c>
      <c r="H8" s="1"/>
      <c r="K8">
        <v>4</v>
      </c>
      <c r="L8" s="15">
        <v>139.49957915897207</v>
      </c>
      <c r="M8" s="1"/>
      <c r="N8" s="18">
        <v>1550.8680888861836</v>
      </c>
      <c r="O8" s="15">
        <v>308.8282440728139</v>
      </c>
      <c r="P8" s="15">
        <v>170.2501055451302</v>
      </c>
      <c r="Q8" s="15">
        <v>106.89423963898068</v>
      </c>
      <c r="V8" s="26"/>
      <c r="X8" s="26"/>
      <c r="Y8" s="26"/>
      <c r="Z8" s="26"/>
      <c r="AA8" s="26"/>
    </row>
    <row r="9" spans="1:27" x14ac:dyDescent="0.25">
      <c r="A9">
        <v>5</v>
      </c>
      <c r="B9" s="15"/>
      <c r="C9" s="15"/>
      <c r="D9" s="15">
        <v>453.0265954201854</v>
      </c>
      <c r="E9" s="15">
        <v>173.8751170435429</v>
      </c>
      <c r="F9" s="15">
        <v>300.44493143330288</v>
      </c>
      <c r="G9" s="15">
        <v>214.92502585678218</v>
      </c>
      <c r="H9" s="1"/>
      <c r="K9">
        <v>5</v>
      </c>
      <c r="L9" s="15"/>
      <c r="M9" s="15"/>
      <c r="N9" s="15">
        <v>677.61995502450043</v>
      </c>
      <c r="O9" s="15">
        <v>476.46386358896621</v>
      </c>
      <c r="P9" s="15">
        <v>442.38968075050155</v>
      </c>
      <c r="Q9" s="15">
        <v>544.28935543115722</v>
      </c>
      <c r="X9" s="26"/>
      <c r="Y9" s="26"/>
      <c r="Z9" s="26"/>
      <c r="AA9" s="26"/>
    </row>
    <row r="10" spans="1:27" x14ac:dyDescent="0.25">
      <c r="A10">
        <v>6</v>
      </c>
      <c r="B10" s="18"/>
      <c r="C10" s="15"/>
      <c r="D10" s="15"/>
      <c r="E10" s="15">
        <v>197.339858796404</v>
      </c>
      <c r="F10" s="15"/>
      <c r="G10" s="15"/>
      <c r="H10" s="15"/>
      <c r="K10">
        <v>6</v>
      </c>
      <c r="L10" s="15"/>
      <c r="M10" s="15"/>
      <c r="N10" s="15"/>
      <c r="O10" s="15">
        <v>292</v>
      </c>
      <c r="P10" s="15"/>
      <c r="Q10" s="15"/>
      <c r="Y10" s="26"/>
      <c r="Z10" s="26"/>
    </row>
    <row r="11" spans="1:27" ht="12.4" customHeight="1" x14ac:dyDescent="0.25">
      <c r="A11">
        <v>7</v>
      </c>
      <c r="B11" s="15"/>
      <c r="C11" s="15"/>
      <c r="D11" s="15"/>
      <c r="E11" s="15">
        <v>109.10507042884511</v>
      </c>
      <c r="F11" s="15"/>
      <c r="G11" s="15"/>
      <c r="H11" s="1"/>
      <c r="K11">
        <v>7</v>
      </c>
      <c r="L11" s="15"/>
      <c r="M11" s="15"/>
      <c r="N11" s="15"/>
      <c r="O11" s="15">
        <v>293.79291091737269</v>
      </c>
      <c r="P11" s="15"/>
      <c r="Q11" s="15"/>
      <c r="Y11" s="26"/>
    </row>
    <row r="12" spans="1:27" ht="12.4" customHeight="1" x14ac:dyDescent="0.25">
      <c r="A12">
        <v>8</v>
      </c>
      <c r="B12" s="15"/>
      <c r="C12" s="15"/>
      <c r="D12" s="15"/>
      <c r="E12" s="15">
        <v>268.37851771572946</v>
      </c>
      <c r="F12" s="15"/>
      <c r="G12" s="15"/>
      <c r="H12" s="1"/>
      <c r="K12">
        <v>8</v>
      </c>
      <c r="L12" s="15"/>
      <c r="M12" s="15"/>
      <c r="N12" s="15"/>
      <c r="O12" s="15">
        <v>399.06529849825046</v>
      </c>
      <c r="P12" s="15"/>
      <c r="Q12" s="15"/>
      <c r="Y12" s="26"/>
    </row>
    <row r="13" spans="1:27" s="15" customFormat="1" x14ac:dyDescent="0.25">
      <c r="V13"/>
      <c r="W13"/>
      <c r="X13"/>
      <c r="Y13"/>
      <c r="Z13"/>
      <c r="AA13"/>
    </row>
    <row r="14" spans="1:27" s="15" customFormat="1" x14ac:dyDescent="0.25">
      <c r="V14"/>
      <c r="W14"/>
      <c r="X14"/>
      <c r="Y14"/>
      <c r="Z14"/>
      <c r="AA14"/>
    </row>
    <row r="15" spans="1:27" s="18" customFormat="1" x14ac:dyDescent="0.25">
      <c r="A15" s="29" t="s">
        <v>5</v>
      </c>
      <c r="B15" s="18">
        <f>AVERAGE(B5:B12)</f>
        <v>346.9367567564949</v>
      </c>
      <c r="C15" s="18">
        <f t="shared" ref="C15:G15" si="0">AVERAGE(C5:C12)</f>
        <v>283.56619114312065</v>
      </c>
      <c r="D15" s="18">
        <f t="shared" si="0"/>
        <v>310.11376884557586</v>
      </c>
      <c r="E15" s="18">
        <f t="shared" si="0"/>
        <v>190.55827971283981</v>
      </c>
      <c r="F15" s="18">
        <f t="shared" si="0"/>
        <v>201.8925050407438</v>
      </c>
      <c r="G15" s="18">
        <f t="shared" si="0"/>
        <v>288.91937309593368</v>
      </c>
      <c r="K15" s="29" t="s">
        <v>5</v>
      </c>
      <c r="L15" s="18">
        <f>AVERAGE(L5:L12)</f>
        <v>149.44926066785681</v>
      </c>
      <c r="M15" s="18">
        <f t="shared" ref="M15:Q15" si="1">AVERAGE(M5:M12)</f>
        <v>173.96299390825075</v>
      </c>
      <c r="N15" s="18">
        <f>AVERAGE(N5:N12)</f>
        <v>785.35250992860449</v>
      </c>
      <c r="O15" s="18">
        <f>AVERAGE(O5:O12)</f>
        <v>456.67665205226234</v>
      </c>
      <c r="P15" s="18">
        <f t="shared" si="1"/>
        <v>236.29943092907001</v>
      </c>
      <c r="Q15" s="18">
        <f t="shared" si="1"/>
        <v>277.58038496743427</v>
      </c>
      <c r="U15" s="29"/>
    </row>
    <row r="16" spans="1:27" s="1" customFormat="1" x14ac:dyDescent="0.25">
      <c r="A16" s="8" t="s">
        <v>28</v>
      </c>
      <c r="B16" s="15">
        <f>STDEV(B5:B12)</f>
        <v>86.936094620014487</v>
      </c>
      <c r="C16" s="15">
        <f t="shared" ref="C16:G16" si="2">STDEV(C5:C12)</f>
        <v>126.49383658021121</v>
      </c>
      <c r="D16" s="15">
        <f t="shared" si="2"/>
        <v>121.84838518687118</v>
      </c>
      <c r="E16" s="15">
        <f t="shared" si="2"/>
        <v>51.307979754078396</v>
      </c>
      <c r="F16" s="15">
        <f t="shared" si="2"/>
        <v>63.215875773252954</v>
      </c>
      <c r="G16" s="15">
        <f t="shared" si="2"/>
        <v>50.857203779496878</v>
      </c>
      <c r="K16" s="8" t="s">
        <v>28</v>
      </c>
      <c r="L16" s="15">
        <f>STDEV(L5:L12)</f>
        <v>28.342832662763296</v>
      </c>
      <c r="M16" s="15">
        <f t="shared" ref="M16:Q16" si="3">STDEV(M5:M12)</f>
        <v>147.1276010177759</v>
      </c>
      <c r="N16" s="15">
        <f t="shared" si="3"/>
        <v>454.57854862560191</v>
      </c>
      <c r="O16" s="15">
        <f t="shared" si="3"/>
        <v>292.45447105283745</v>
      </c>
      <c r="P16" s="15">
        <f t="shared" si="3"/>
        <v>117.37673641234646</v>
      </c>
      <c r="Q16" s="15">
        <f t="shared" si="3"/>
        <v>182.81306114637295</v>
      </c>
      <c r="U16" s="8"/>
      <c r="V16" s="15"/>
      <c r="W16" s="15"/>
      <c r="X16" s="15"/>
      <c r="Y16" s="15"/>
      <c r="Z16" s="15"/>
      <c r="AA16" s="15"/>
    </row>
    <row r="17" spans="1:27" s="27" customFormat="1" x14ac:dyDescent="0.25">
      <c r="A17" s="30" t="s">
        <v>29</v>
      </c>
      <c r="B17" s="18">
        <f>B16/SQRT(4)</f>
        <v>43.468047310007243</v>
      </c>
      <c r="C17" s="18">
        <f>C16/SQRT(3)</f>
        <v>73.031250600413472</v>
      </c>
      <c r="D17" s="18">
        <f>D16/SQRT(5)</f>
        <v>54.492254445284473</v>
      </c>
      <c r="E17" s="18">
        <f>E16/SQRT(8)</f>
        <v>18.140110206545462</v>
      </c>
      <c r="F17" s="18">
        <f>F16/SQRT(5)</f>
        <v>28.270999097235137</v>
      </c>
      <c r="G17" s="18">
        <f>G16/SQRT(5)</f>
        <v>22.744032959302849</v>
      </c>
      <c r="K17" s="30" t="s">
        <v>29</v>
      </c>
      <c r="L17" s="18">
        <f>L16/SQRT(4)</f>
        <v>14.171416331381648</v>
      </c>
      <c r="M17" s="18">
        <f>M16/SQRT(3)</f>
        <v>84.944160052836779</v>
      </c>
      <c r="N17" s="18">
        <f>N16/SQRT(5)</f>
        <v>203.29370716800787</v>
      </c>
      <c r="O17" s="18">
        <f>O16/SQRT(8)</f>
        <v>103.3982698348931</v>
      </c>
      <c r="P17" s="18">
        <f>P16/SQRT(5)</f>
        <v>52.492472319016294</v>
      </c>
      <c r="Q17" s="18">
        <f>Q16/SQRT(5)</f>
        <v>81.756486379623098</v>
      </c>
      <c r="U17" s="8"/>
      <c r="V17" s="15"/>
      <c r="W17" s="15"/>
      <c r="X17" s="15"/>
      <c r="Y17" s="15"/>
      <c r="Z17" s="15"/>
      <c r="AA17" s="15"/>
    </row>
    <row r="18" spans="1:27" x14ac:dyDescent="0.25">
      <c r="B18" s="26"/>
      <c r="C18" s="24"/>
      <c r="D18" s="24"/>
      <c r="E18" s="26"/>
      <c r="F18" s="26"/>
      <c r="G18" s="26"/>
    </row>
    <row r="19" spans="1:27" x14ac:dyDescent="0.25">
      <c r="C19" s="23"/>
      <c r="D19" s="23"/>
    </row>
    <row r="20" spans="1:27" x14ac:dyDescent="0.25">
      <c r="C20" s="23"/>
      <c r="D20" s="23"/>
    </row>
    <row r="21" spans="1:27" x14ac:dyDescent="0.25">
      <c r="C21" s="23"/>
      <c r="D21" s="23"/>
      <c r="T21" t="s">
        <v>35</v>
      </c>
    </row>
    <row r="22" spans="1:27" x14ac:dyDescent="0.25">
      <c r="T22" t="s">
        <v>34</v>
      </c>
    </row>
    <row r="23" spans="1:27" x14ac:dyDescent="0.25">
      <c r="T23" t="s">
        <v>33</v>
      </c>
    </row>
    <row r="25" spans="1:27" x14ac:dyDescent="0.25">
      <c r="T25" t="s">
        <v>40</v>
      </c>
    </row>
    <row r="26" spans="1:27" x14ac:dyDescent="0.25">
      <c r="T26" t="s">
        <v>41</v>
      </c>
    </row>
    <row r="27" spans="1:27" x14ac:dyDescent="0.25">
      <c r="T27" t="s">
        <v>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9"/>
  <sheetViews>
    <sheetView zoomScale="70" zoomScaleNormal="70" workbookViewId="0">
      <selection activeCell="E43" sqref="E43"/>
    </sheetView>
  </sheetViews>
  <sheetFormatPr defaultColWidth="8.85546875" defaultRowHeight="15" x14ac:dyDescent="0.25"/>
  <cols>
    <col min="1" max="4" width="8.85546875" style="1"/>
    <col min="5" max="5" width="8.85546875" style="1" customWidth="1"/>
    <col min="6" max="9" width="8.85546875" style="1"/>
    <col min="10" max="25" width="8.85546875" style="1" customWidth="1"/>
    <col min="26" max="16384" width="8.85546875" style="1"/>
  </cols>
  <sheetData>
    <row r="1" spans="1:33" x14ac:dyDescent="0.25">
      <c r="B1" s="1" t="s">
        <v>1</v>
      </c>
      <c r="J1" s="35" t="s">
        <v>2</v>
      </c>
      <c r="Q1" s="4"/>
      <c r="R1" s="1" t="s">
        <v>3</v>
      </c>
      <c r="Z1" s="35" t="s">
        <v>4</v>
      </c>
    </row>
    <row r="2" spans="1:33" s="31" customFormat="1" x14ac:dyDescent="0.25">
      <c r="B2" s="31" t="s">
        <v>0</v>
      </c>
      <c r="C2" s="31">
        <v>30</v>
      </c>
      <c r="D2" s="31">
        <v>84</v>
      </c>
      <c r="E2" s="31">
        <v>69</v>
      </c>
      <c r="F2" s="31">
        <v>85</v>
      </c>
      <c r="G2" s="31">
        <v>132</v>
      </c>
      <c r="H2" s="31">
        <v>133</v>
      </c>
      <c r="J2" s="36" t="s">
        <v>0</v>
      </c>
      <c r="K2" s="31">
        <v>30</v>
      </c>
      <c r="L2" s="31">
        <v>84</v>
      </c>
      <c r="M2" s="31">
        <v>69</v>
      </c>
      <c r="N2" s="31">
        <v>85</v>
      </c>
      <c r="O2" s="31">
        <v>132</v>
      </c>
      <c r="P2" s="31">
        <v>133</v>
      </c>
      <c r="Q2" s="37"/>
      <c r="R2" s="31" t="s">
        <v>0</v>
      </c>
      <c r="S2" s="31">
        <v>30</v>
      </c>
      <c r="T2" s="31">
        <v>84</v>
      </c>
      <c r="U2" s="31">
        <v>69</v>
      </c>
      <c r="V2" s="31">
        <v>85</v>
      </c>
      <c r="W2" s="31">
        <v>132</v>
      </c>
      <c r="X2" s="31">
        <v>133</v>
      </c>
      <c r="Z2" s="36" t="s">
        <v>0</v>
      </c>
      <c r="AA2" s="31">
        <v>30</v>
      </c>
      <c r="AB2" s="31">
        <v>84</v>
      </c>
      <c r="AC2" s="31">
        <v>69</v>
      </c>
      <c r="AD2" s="31">
        <v>85</v>
      </c>
      <c r="AE2" s="31">
        <v>132</v>
      </c>
      <c r="AF2" s="31">
        <v>133</v>
      </c>
    </row>
    <row r="3" spans="1:33" x14ac:dyDescent="0.25">
      <c r="A3" s="1">
        <v>2020</v>
      </c>
      <c r="B3" s="32" t="s">
        <v>8</v>
      </c>
      <c r="C3" s="15"/>
      <c r="D3" s="15"/>
      <c r="E3" s="15"/>
      <c r="F3" s="15">
        <v>193.24980354196123</v>
      </c>
      <c r="G3" s="15">
        <v>132.09731340201205</v>
      </c>
      <c r="H3" s="15"/>
      <c r="I3" s="15"/>
      <c r="J3" s="48" t="s">
        <v>8</v>
      </c>
      <c r="K3" s="15"/>
      <c r="L3" s="15"/>
      <c r="M3" s="15"/>
      <c r="N3" s="15">
        <v>240.34962664308659</v>
      </c>
      <c r="O3" s="15">
        <v>173.54667838908352</v>
      </c>
      <c r="P3" s="15"/>
      <c r="Q3" s="4"/>
      <c r="R3" s="32" t="s">
        <v>8</v>
      </c>
      <c r="S3" s="15"/>
      <c r="T3" s="15"/>
      <c r="U3" s="15"/>
      <c r="V3" s="15">
        <v>254.01035718426652</v>
      </c>
      <c r="W3" s="15">
        <v>174.99930939701241</v>
      </c>
      <c r="X3" s="15"/>
      <c r="Z3" s="48" t="s">
        <v>8</v>
      </c>
      <c r="AA3" s="15"/>
      <c r="AB3" s="15"/>
      <c r="AC3" s="15"/>
      <c r="AD3" s="15">
        <v>1164.0664810582718</v>
      </c>
      <c r="AE3" s="15">
        <v>202.2944945980679</v>
      </c>
      <c r="AF3" s="15"/>
      <c r="AG3" s="5"/>
    </row>
    <row r="4" spans="1:33" s="3" customFormat="1" x14ac:dyDescent="0.25">
      <c r="B4" s="33"/>
      <c r="C4" s="14"/>
      <c r="D4" s="14"/>
      <c r="E4" s="14"/>
      <c r="F4" s="14">
        <v>241.853163911466</v>
      </c>
      <c r="G4" s="47">
        <v>214.72701183460586</v>
      </c>
      <c r="H4" s="14"/>
      <c r="I4" s="14"/>
      <c r="J4" s="49"/>
      <c r="K4" s="14"/>
      <c r="L4" s="14"/>
      <c r="M4" s="14"/>
      <c r="N4" s="14">
        <v>289.73669819405939</v>
      </c>
      <c r="O4" s="14">
        <v>209.19750801894602</v>
      </c>
      <c r="P4" s="14"/>
      <c r="Q4" s="7"/>
      <c r="R4" s="33"/>
      <c r="S4" s="14"/>
      <c r="T4" s="14"/>
      <c r="U4" s="14"/>
      <c r="V4" s="14">
        <v>241.88176810061088</v>
      </c>
      <c r="W4" s="14">
        <v>209.31956588022211</v>
      </c>
      <c r="X4" s="14"/>
      <c r="Z4" s="49"/>
      <c r="AA4" s="14"/>
      <c r="AB4" s="14"/>
      <c r="AC4" s="14"/>
      <c r="AD4" s="14">
        <v>370.53527310566722</v>
      </c>
      <c r="AE4" s="14">
        <v>210.62496871047432</v>
      </c>
      <c r="AF4" s="14"/>
      <c r="AG4" s="6"/>
    </row>
    <row r="5" spans="1:33" x14ac:dyDescent="0.25">
      <c r="B5" s="32"/>
      <c r="C5" s="15"/>
      <c r="D5" s="15"/>
      <c r="E5" s="15"/>
      <c r="F5" s="15"/>
      <c r="G5" s="15"/>
      <c r="H5" s="15"/>
      <c r="I5" s="15"/>
      <c r="J5" s="48"/>
      <c r="K5" s="15"/>
      <c r="L5" s="15"/>
      <c r="M5" s="15"/>
      <c r="N5" s="15"/>
      <c r="O5" s="15"/>
      <c r="P5" s="15"/>
      <c r="Q5" s="4"/>
      <c r="R5" s="32"/>
      <c r="S5" s="15"/>
      <c r="T5" s="15"/>
      <c r="U5" s="15"/>
      <c r="V5" s="15"/>
      <c r="W5" s="15"/>
      <c r="X5" s="15"/>
      <c r="Z5" s="48"/>
      <c r="AA5" s="15"/>
      <c r="AB5" s="15"/>
      <c r="AC5" s="15"/>
      <c r="AD5" s="15"/>
      <c r="AE5" s="15"/>
      <c r="AF5" s="15"/>
      <c r="AG5" s="5"/>
    </row>
    <row r="6" spans="1:33" x14ac:dyDescent="0.25">
      <c r="B6" s="8" t="s">
        <v>6</v>
      </c>
      <c r="C6" s="15"/>
      <c r="D6" s="15"/>
      <c r="E6" s="15">
        <v>120.60370432512754</v>
      </c>
      <c r="F6" s="15"/>
      <c r="G6" s="15">
        <v>194.72339522177762</v>
      </c>
      <c r="H6" s="15"/>
      <c r="I6" s="15"/>
      <c r="J6" s="50" t="s">
        <v>6</v>
      </c>
      <c r="K6" s="15"/>
      <c r="L6" s="15"/>
      <c r="M6" s="15">
        <v>384.50225352621339</v>
      </c>
      <c r="N6" s="15"/>
      <c r="O6" s="15">
        <v>45.668874386443058</v>
      </c>
      <c r="P6" s="15"/>
      <c r="Q6" s="4"/>
      <c r="R6" s="8" t="s">
        <v>6</v>
      </c>
      <c r="S6" s="15"/>
      <c r="T6" s="15"/>
      <c r="U6" s="15">
        <v>652.69054487776668</v>
      </c>
      <c r="V6" s="15"/>
      <c r="W6" s="15">
        <v>181.32650185148515</v>
      </c>
      <c r="X6" s="15"/>
      <c r="Z6" s="50" t="s">
        <v>6</v>
      </c>
      <c r="AA6" s="15"/>
      <c r="AB6" s="15"/>
      <c r="AC6" s="15">
        <v>652.69054487776668</v>
      </c>
      <c r="AD6" s="15"/>
      <c r="AE6" s="15">
        <v>155.93790504117609</v>
      </c>
      <c r="AF6" s="15"/>
      <c r="AG6" s="5"/>
    </row>
    <row r="7" spans="1:33" s="3" customFormat="1" x14ac:dyDescent="0.25">
      <c r="B7" s="9"/>
      <c r="C7" s="14"/>
      <c r="D7" s="14"/>
      <c r="E7" s="14"/>
      <c r="F7" s="14"/>
      <c r="G7" s="14">
        <v>167.46987331202047</v>
      </c>
      <c r="H7" s="14">
        <v>307.60507065642435</v>
      </c>
      <c r="I7" s="14"/>
      <c r="J7" s="51"/>
      <c r="K7" s="14"/>
      <c r="L7" s="14"/>
      <c r="M7" s="14"/>
      <c r="N7" s="14"/>
      <c r="O7" s="14">
        <v>91.25901992858239</v>
      </c>
      <c r="P7" s="14">
        <v>158.23876935310619</v>
      </c>
      <c r="Q7" s="7"/>
      <c r="R7" s="9"/>
      <c r="S7" s="14"/>
      <c r="T7" s="14"/>
      <c r="U7" s="14"/>
      <c r="V7" s="14"/>
      <c r="W7" s="14">
        <v>103.34306501600732</v>
      </c>
      <c r="X7" s="14">
        <v>163.10150419397604</v>
      </c>
      <c r="Z7" s="51"/>
      <c r="AA7" s="14"/>
      <c r="AB7" s="14"/>
      <c r="AC7" s="14"/>
      <c r="AD7" s="14"/>
      <c r="AE7" s="14">
        <v>170.2501055451302</v>
      </c>
      <c r="AF7" s="14">
        <v>165.20644199037062</v>
      </c>
      <c r="AG7" s="6"/>
    </row>
    <row r="8" spans="1:33" x14ac:dyDescent="0.25">
      <c r="B8" s="8"/>
      <c r="C8" s="15"/>
      <c r="D8" s="15"/>
      <c r="E8" s="15"/>
      <c r="F8" s="15"/>
      <c r="G8" s="15"/>
      <c r="H8" s="15"/>
      <c r="I8" s="15"/>
      <c r="J8" s="50"/>
      <c r="K8" s="15"/>
      <c r="L8" s="15"/>
      <c r="M8" s="15"/>
      <c r="N8" s="15"/>
      <c r="O8" s="15"/>
      <c r="P8" s="15"/>
      <c r="Q8" s="4"/>
      <c r="R8" s="8"/>
      <c r="S8" s="15"/>
      <c r="T8" s="15"/>
      <c r="U8" s="15"/>
      <c r="V8" s="15"/>
      <c r="W8" s="15"/>
      <c r="X8" s="15"/>
      <c r="Z8" s="50"/>
      <c r="AA8" s="15"/>
      <c r="AB8" s="15"/>
      <c r="AC8" s="15"/>
      <c r="AD8" s="15"/>
      <c r="AE8" s="15"/>
      <c r="AF8" s="15"/>
      <c r="AG8" s="5"/>
    </row>
    <row r="9" spans="1:33" x14ac:dyDescent="0.25">
      <c r="B9" s="10" t="s">
        <v>7</v>
      </c>
      <c r="C9" s="15"/>
      <c r="D9" s="15"/>
      <c r="E9" s="15"/>
      <c r="F9" s="15"/>
      <c r="G9" s="15"/>
      <c r="H9" s="15">
        <v>313.76801845710298</v>
      </c>
      <c r="I9" s="15"/>
      <c r="J9" s="52" t="s">
        <v>7</v>
      </c>
      <c r="K9" s="15"/>
      <c r="L9" s="15"/>
      <c r="M9" s="15"/>
      <c r="N9" s="15"/>
      <c r="O9" s="15"/>
      <c r="P9" s="15">
        <v>316.50203937471093</v>
      </c>
      <c r="Q9" s="4"/>
      <c r="R9" s="10" t="s">
        <v>7</v>
      </c>
      <c r="S9" s="15"/>
      <c r="T9" s="15"/>
      <c r="U9" s="15"/>
      <c r="V9" s="15"/>
      <c r="W9" s="15"/>
      <c r="X9" s="15">
        <v>107.99710191539927</v>
      </c>
      <c r="Z9" s="52" t="s">
        <v>7</v>
      </c>
      <c r="AA9" s="15"/>
      <c r="AB9" s="15"/>
      <c r="AC9" s="15"/>
      <c r="AD9" s="15"/>
      <c r="AE9" s="15"/>
      <c r="AF9" s="15">
        <v>184.13546469645195</v>
      </c>
      <c r="AG9" s="5"/>
    </row>
    <row r="10" spans="1:33" x14ac:dyDescent="0.25">
      <c r="C10" s="15"/>
      <c r="D10" s="15"/>
      <c r="E10" s="15"/>
      <c r="F10" s="15">
        <v>201.60569138208152</v>
      </c>
      <c r="G10" s="15"/>
      <c r="H10" s="15">
        <v>345.62310718593267</v>
      </c>
      <c r="I10" s="15"/>
      <c r="J10" s="35"/>
      <c r="K10" s="15"/>
      <c r="L10" s="15"/>
      <c r="M10" s="15"/>
      <c r="N10" s="15">
        <v>13.635167533087635</v>
      </c>
      <c r="O10" s="15"/>
      <c r="P10" s="15">
        <v>219.12726865047895</v>
      </c>
      <c r="Q10" s="4"/>
      <c r="S10" s="15"/>
      <c r="T10" s="15"/>
      <c r="U10" s="15"/>
      <c r="V10" s="15">
        <v>141.38922014920161</v>
      </c>
      <c r="W10" s="15"/>
      <c r="X10" s="15">
        <v>360.70802763718643</v>
      </c>
      <c r="Z10" s="35"/>
      <c r="AA10" s="15"/>
      <c r="AB10" s="15"/>
      <c r="AC10" s="15"/>
      <c r="AD10" s="15">
        <v>348.66114517675618</v>
      </c>
      <c r="AE10" s="15"/>
      <c r="AF10" s="15">
        <v>387.37642308021083</v>
      </c>
      <c r="AG10" s="5"/>
    </row>
    <row r="11" spans="1:33" s="3" customFormat="1" x14ac:dyDescent="0.25">
      <c r="C11" s="14"/>
      <c r="D11" s="14"/>
      <c r="E11" s="14"/>
      <c r="F11" s="14">
        <v>139.05901488268822</v>
      </c>
      <c r="G11" s="14"/>
      <c r="H11" s="14"/>
      <c r="I11" s="14"/>
      <c r="J11" s="38"/>
      <c r="K11" s="14"/>
      <c r="L11" s="14"/>
      <c r="M11" s="14"/>
      <c r="N11" s="14">
        <v>126.33042584552406</v>
      </c>
      <c r="O11" s="14"/>
      <c r="P11" s="14"/>
      <c r="Q11" s="7"/>
      <c r="S11" s="14"/>
      <c r="T11" s="14"/>
      <c r="U11" s="14"/>
      <c r="V11" s="14">
        <v>208.25974480312104</v>
      </c>
      <c r="W11" s="14"/>
      <c r="X11" s="14"/>
      <c r="Z11" s="38"/>
      <c r="AA11" s="14"/>
      <c r="AB11" s="14"/>
      <c r="AC11" s="14"/>
      <c r="AD11" s="14">
        <v>308.8282440728139</v>
      </c>
      <c r="AE11" s="14"/>
      <c r="AF11" s="14"/>
      <c r="AG11" s="6"/>
    </row>
    <row r="12" spans="1:33" x14ac:dyDescent="0.25">
      <c r="C12" s="15"/>
      <c r="D12" s="15"/>
      <c r="E12" s="15"/>
      <c r="F12" s="15"/>
      <c r="G12" s="15"/>
      <c r="H12" s="15"/>
      <c r="I12" s="15"/>
      <c r="J12" s="35"/>
      <c r="K12" s="15"/>
      <c r="L12" s="15"/>
      <c r="M12" s="15"/>
      <c r="N12" s="15"/>
      <c r="O12" s="15"/>
      <c r="P12" s="15"/>
      <c r="Q12" s="4"/>
      <c r="S12" s="15"/>
      <c r="T12" s="15"/>
      <c r="U12" s="15"/>
      <c r="V12" s="15"/>
      <c r="W12" s="15"/>
      <c r="X12" s="15"/>
      <c r="Z12" s="35"/>
      <c r="AA12" s="15"/>
      <c r="AB12" s="15"/>
      <c r="AC12" s="15"/>
      <c r="AD12" s="15"/>
      <c r="AE12" s="15"/>
      <c r="AF12" s="15"/>
      <c r="AG12" s="5"/>
    </row>
    <row r="13" spans="1:33" x14ac:dyDescent="0.25">
      <c r="B13" s="8" t="s">
        <v>9</v>
      </c>
      <c r="C13" s="15"/>
      <c r="D13" s="15"/>
      <c r="E13" s="15"/>
      <c r="F13" s="15">
        <v>173.8751170435429</v>
      </c>
      <c r="G13" s="15"/>
      <c r="H13" s="15"/>
      <c r="I13" s="15"/>
      <c r="J13" s="50" t="s">
        <v>9</v>
      </c>
      <c r="K13" s="15"/>
      <c r="L13" s="15">
        <v>436.48542282102699</v>
      </c>
      <c r="M13" s="15"/>
      <c r="N13" s="15">
        <v>217.15300691944708</v>
      </c>
      <c r="O13" s="15"/>
      <c r="P13" s="15"/>
      <c r="Q13" s="4"/>
      <c r="R13" s="8" t="s">
        <v>9</v>
      </c>
      <c r="S13" s="15"/>
      <c r="T13" s="15">
        <v>247.26446945187828</v>
      </c>
      <c r="U13" s="15"/>
      <c r="V13" s="15">
        <v>127.83500747612867</v>
      </c>
      <c r="W13" s="15"/>
      <c r="X13" s="15"/>
      <c r="Z13" s="50" t="s">
        <v>9</v>
      </c>
      <c r="AA13" s="15"/>
      <c r="AB13" s="15"/>
      <c r="AC13" s="15"/>
      <c r="AD13" s="15">
        <v>476.46386358896621</v>
      </c>
      <c r="AE13" s="15"/>
      <c r="AF13" s="15"/>
      <c r="AG13" s="5"/>
    </row>
    <row r="14" spans="1:33" s="11" customFormat="1" x14ac:dyDescent="0.25">
      <c r="C14" s="16"/>
      <c r="D14" s="16"/>
      <c r="E14" s="16"/>
      <c r="F14" s="16"/>
      <c r="G14" s="16"/>
      <c r="H14" s="16"/>
      <c r="I14" s="16"/>
      <c r="J14" s="53"/>
      <c r="K14" s="16"/>
      <c r="L14" s="16"/>
      <c r="M14" s="16"/>
      <c r="N14" s="16"/>
      <c r="O14" s="16"/>
      <c r="P14" s="16"/>
      <c r="Q14" s="13"/>
      <c r="S14" s="16"/>
      <c r="T14" s="16"/>
      <c r="U14" s="16"/>
      <c r="V14" s="16"/>
      <c r="W14" s="16"/>
      <c r="X14" s="16"/>
      <c r="Z14" s="53"/>
      <c r="AA14" s="16"/>
      <c r="AB14" s="16"/>
      <c r="AC14" s="16"/>
      <c r="AD14" s="16"/>
      <c r="AE14" s="16"/>
      <c r="AF14" s="16"/>
      <c r="AG14" s="12"/>
    </row>
    <row r="15" spans="1:33" s="3" customFormat="1" x14ac:dyDescent="0.25">
      <c r="B15" s="9" t="s">
        <v>10</v>
      </c>
      <c r="C15" s="14">
        <v>301.26622970308534</v>
      </c>
      <c r="D15" s="14"/>
      <c r="E15" s="14">
        <v>360.50403700979132</v>
      </c>
      <c r="F15" s="14"/>
      <c r="G15" s="14"/>
      <c r="H15" s="14">
        <v>262.67564332342607</v>
      </c>
      <c r="I15" s="14"/>
      <c r="J15" s="51" t="s">
        <v>10</v>
      </c>
      <c r="K15" s="14">
        <v>73.526748180188378</v>
      </c>
      <c r="L15" s="14"/>
      <c r="M15" s="14">
        <v>1336.3875007131821</v>
      </c>
      <c r="N15" s="14"/>
      <c r="O15" s="14"/>
      <c r="P15" s="14">
        <v>138.49709980816911</v>
      </c>
      <c r="Q15" s="7"/>
      <c r="R15" s="9" t="s">
        <v>10</v>
      </c>
      <c r="S15" s="14">
        <v>276.39446228477971</v>
      </c>
      <c r="T15" s="14"/>
      <c r="U15" s="14">
        <v>1367.2539756456813</v>
      </c>
      <c r="V15" s="14"/>
      <c r="W15" s="14"/>
      <c r="X15" s="14">
        <v>58.077760969842942</v>
      </c>
      <c r="Z15" s="51" t="s">
        <v>10</v>
      </c>
      <c r="AA15" s="14">
        <v>133.63712327614945</v>
      </c>
      <c r="AB15" s="14"/>
      <c r="AC15" s="14">
        <v>714.45700357201088</v>
      </c>
      <c r="AD15" s="14"/>
      <c r="AE15" s="14"/>
      <c r="AF15" s="14">
        <v>106.89423963898068</v>
      </c>
      <c r="AG15" s="6"/>
    </row>
    <row r="16" spans="1:33" x14ac:dyDescent="0.25">
      <c r="C16" s="15"/>
      <c r="D16" s="15"/>
      <c r="E16" s="15"/>
      <c r="F16" s="15"/>
      <c r="G16" s="15"/>
      <c r="H16" s="15"/>
      <c r="I16" s="15"/>
      <c r="J16" s="35"/>
      <c r="K16" s="15"/>
      <c r="L16" s="15"/>
      <c r="M16" s="15"/>
      <c r="N16" s="15"/>
      <c r="O16" s="15"/>
      <c r="P16" s="15"/>
      <c r="Q16" s="4"/>
      <c r="S16" s="15"/>
      <c r="T16" s="15"/>
      <c r="U16" s="15"/>
      <c r="V16" s="15"/>
      <c r="W16" s="15"/>
      <c r="X16" s="15"/>
      <c r="Z16" s="35"/>
      <c r="AA16" s="15"/>
      <c r="AB16" s="15"/>
      <c r="AC16" s="15"/>
      <c r="AD16" s="15"/>
      <c r="AE16" s="15"/>
      <c r="AF16" s="15"/>
      <c r="AG16" s="5"/>
    </row>
    <row r="17" spans="1:32" x14ac:dyDescent="0.25">
      <c r="B17" s="8" t="s">
        <v>11</v>
      </c>
      <c r="C17" s="15"/>
      <c r="D17" s="17">
        <v>155.16423576256983</v>
      </c>
      <c r="E17" s="15"/>
      <c r="F17" s="15"/>
      <c r="G17" s="15"/>
      <c r="H17" s="15"/>
      <c r="I17" s="15"/>
      <c r="J17" s="50" t="s">
        <v>11</v>
      </c>
      <c r="K17" s="15"/>
      <c r="L17" s="17">
        <v>156.26258332709631</v>
      </c>
      <c r="M17" s="15"/>
      <c r="N17" s="15"/>
      <c r="O17" s="15"/>
      <c r="P17" s="15"/>
      <c r="Q17" s="4"/>
      <c r="R17" s="8" t="s">
        <v>11</v>
      </c>
      <c r="S17" s="15"/>
      <c r="T17" s="15">
        <v>51.458179017316851</v>
      </c>
      <c r="U17" s="15"/>
      <c r="V17" s="15"/>
      <c r="W17" s="15"/>
      <c r="X17" s="15"/>
      <c r="Z17" s="50" t="s">
        <v>11</v>
      </c>
      <c r="AA17" s="15"/>
      <c r="AB17" s="15">
        <v>120.23756791427684</v>
      </c>
      <c r="AC17" s="15"/>
      <c r="AD17" s="15"/>
      <c r="AE17" s="15"/>
      <c r="AF17" s="15"/>
    </row>
    <row r="18" spans="1:32" s="3" customFormat="1" x14ac:dyDescent="0.25">
      <c r="C18" s="14"/>
      <c r="D18" s="14">
        <v>287.4729395604428</v>
      </c>
      <c r="E18" s="14"/>
      <c r="F18" s="14"/>
      <c r="G18" s="14"/>
      <c r="H18" s="14"/>
      <c r="I18" s="14"/>
      <c r="J18" s="38"/>
      <c r="K18" s="14"/>
      <c r="L18" s="14">
        <v>103.4309480117447</v>
      </c>
      <c r="M18" s="14"/>
      <c r="N18" s="14"/>
      <c r="O18" s="14"/>
      <c r="P18" s="14"/>
      <c r="Q18" s="7"/>
      <c r="S18" s="14"/>
      <c r="T18" s="14">
        <v>91.913068155916307</v>
      </c>
      <c r="U18" s="14"/>
      <c r="V18" s="14"/>
      <c r="W18" s="14"/>
      <c r="X18" s="14"/>
      <c r="Z18" s="38"/>
      <c r="AA18" s="14"/>
      <c r="AB18" s="14">
        <v>61.24879286652439</v>
      </c>
      <c r="AC18" s="14"/>
      <c r="AD18" s="14"/>
      <c r="AE18" s="14"/>
      <c r="AF18" s="14"/>
    </row>
    <row r="19" spans="1:32" x14ac:dyDescent="0.25">
      <c r="C19" s="15"/>
      <c r="D19" s="15"/>
      <c r="E19" s="15"/>
      <c r="F19" s="15"/>
      <c r="G19" s="15"/>
      <c r="H19" s="15"/>
      <c r="I19" s="15"/>
      <c r="J19" s="35"/>
      <c r="K19" s="15"/>
      <c r="L19" s="15"/>
      <c r="M19" s="15"/>
      <c r="N19" s="15"/>
      <c r="O19" s="15"/>
      <c r="P19" s="15"/>
      <c r="Q19" s="4"/>
      <c r="S19" s="15"/>
      <c r="T19" s="15"/>
      <c r="U19" s="15"/>
      <c r="V19" s="15"/>
      <c r="W19" s="15"/>
      <c r="X19" s="15"/>
      <c r="Z19" s="35"/>
      <c r="AA19" s="15"/>
      <c r="AB19" s="15"/>
      <c r="AC19" s="15"/>
      <c r="AD19" s="15"/>
      <c r="AE19" s="15"/>
      <c r="AF19" s="15"/>
    </row>
    <row r="20" spans="1:32" s="3" customFormat="1" x14ac:dyDescent="0.25">
      <c r="B20" s="9" t="s">
        <v>12</v>
      </c>
      <c r="C20" s="14"/>
      <c r="D20" s="14">
        <v>408.06139810634926</v>
      </c>
      <c r="E20" s="14"/>
      <c r="F20" s="14"/>
      <c r="G20" s="14">
        <v>300.44493143330288</v>
      </c>
      <c r="H20" s="14">
        <v>214.92502585678218</v>
      </c>
      <c r="I20" s="14"/>
      <c r="J20" s="51" t="s">
        <v>12</v>
      </c>
      <c r="K20" s="14"/>
      <c r="L20" s="14">
        <v>175.82217429383357</v>
      </c>
      <c r="M20" s="14"/>
      <c r="N20" s="14"/>
      <c r="O20" s="14">
        <v>262.18815748483485</v>
      </c>
      <c r="P20" s="14">
        <v>186.32207021323666</v>
      </c>
      <c r="Q20" s="7"/>
      <c r="R20" s="9" t="s">
        <v>12</v>
      </c>
      <c r="S20" s="14"/>
      <c r="T20" s="14">
        <v>169.54208034290784</v>
      </c>
      <c r="U20" s="14"/>
      <c r="V20" s="14"/>
      <c r="W20" s="14">
        <v>654.79026437075299</v>
      </c>
      <c r="X20" s="14">
        <v>396.81114040310092</v>
      </c>
      <c r="Z20" s="51" t="s">
        <v>12</v>
      </c>
      <c r="AA20" s="14"/>
      <c r="AB20" s="14">
        <v>340.40262094395109</v>
      </c>
      <c r="AC20" s="14"/>
      <c r="AD20" s="14"/>
      <c r="AE20" s="14">
        <v>442.38968075050155</v>
      </c>
      <c r="AF20" s="14">
        <v>544.28935543115722</v>
      </c>
    </row>
    <row r="21" spans="1:32" x14ac:dyDescent="0.25">
      <c r="C21" s="15"/>
      <c r="D21" s="15"/>
      <c r="E21" s="15"/>
      <c r="F21" s="15"/>
      <c r="G21" s="15"/>
      <c r="H21" s="15"/>
      <c r="I21" s="15"/>
      <c r="J21" s="35"/>
      <c r="K21" s="15"/>
      <c r="L21" s="15"/>
      <c r="M21" s="15"/>
      <c r="N21" s="15"/>
      <c r="O21" s="15"/>
      <c r="P21" s="15"/>
      <c r="Q21" s="4"/>
      <c r="S21" s="15"/>
      <c r="T21" s="15"/>
      <c r="U21" s="15"/>
      <c r="V21" s="15"/>
      <c r="W21" s="15"/>
      <c r="X21" s="15"/>
      <c r="Z21" s="35"/>
      <c r="AA21" s="15"/>
      <c r="AB21" s="15"/>
      <c r="AC21" s="15"/>
      <c r="AD21" s="15"/>
      <c r="AE21" s="15"/>
      <c r="AF21" s="15"/>
    </row>
    <row r="22" spans="1:32" s="3" customFormat="1" x14ac:dyDescent="0.25">
      <c r="B22" s="9" t="s">
        <v>13</v>
      </c>
      <c r="C22" s="14">
        <v>399.94476766905422</v>
      </c>
      <c r="D22" s="14"/>
      <c r="E22" s="14">
        <v>292.34900443592289</v>
      </c>
      <c r="F22" s="14">
        <v>197.339858796404</v>
      </c>
      <c r="G22" s="14"/>
      <c r="H22" s="14"/>
      <c r="I22" s="14"/>
      <c r="J22" s="51" t="s">
        <v>13</v>
      </c>
      <c r="K22" s="14">
        <v>395.64298697867468</v>
      </c>
      <c r="L22" s="14"/>
      <c r="M22" s="14">
        <v>706.05950215655594</v>
      </c>
      <c r="N22" s="14">
        <v>235.33199302187836</v>
      </c>
      <c r="O22" s="14"/>
      <c r="P22" s="14"/>
      <c r="Q22" s="7"/>
      <c r="R22" s="9" t="s">
        <v>13</v>
      </c>
      <c r="S22" s="14">
        <v>138.09020352126035</v>
      </c>
      <c r="T22" s="14"/>
      <c r="U22" s="14">
        <v>573.65686355059631</v>
      </c>
      <c r="V22" s="14">
        <v>281.88428241467432</v>
      </c>
      <c r="W22" s="14"/>
      <c r="X22" s="14"/>
      <c r="Z22" s="51" t="s">
        <v>13</v>
      </c>
      <c r="AA22" s="14">
        <v>132.9269986693763</v>
      </c>
      <c r="AB22" s="14"/>
      <c r="AC22" s="14">
        <v>331.12695728256085</v>
      </c>
      <c r="AD22" s="14">
        <v>292.22520169241841</v>
      </c>
      <c r="AE22" s="14"/>
      <c r="AF22" s="14"/>
    </row>
    <row r="23" spans="1:32" x14ac:dyDescent="0.25">
      <c r="B23" s="8"/>
      <c r="C23" s="15"/>
      <c r="D23" s="15"/>
      <c r="E23" s="15"/>
      <c r="F23" s="15"/>
      <c r="G23" s="15"/>
      <c r="H23" s="15"/>
      <c r="J23" s="50"/>
      <c r="K23" s="15"/>
      <c r="L23" s="15"/>
      <c r="M23" s="15"/>
      <c r="N23" s="15"/>
      <c r="O23" s="15"/>
      <c r="P23" s="15"/>
      <c r="Q23" s="4"/>
      <c r="R23" s="8"/>
      <c r="S23" s="15"/>
      <c r="T23" s="15"/>
      <c r="U23" s="15"/>
      <c r="V23" s="15"/>
      <c r="W23" s="15"/>
      <c r="X23" s="15"/>
      <c r="Z23" s="50"/>
      <c r="AA23" s="15"/>
      <c r="AB23" s="15"/>
      <c r="AC23" s="15"/>
      <c r="AD23" s="15"/>
      <c r="AE23" s="15"/>
      <c r="AF23" s="15"/>
    </row>
    <row r="24" spans="1:32" s="3" customFormat="1" x14ac:dyDescent="0.25">
      <c r="B24" s="22" t="s">
        <v>22</v>
      </c>
      <c r="D24" s="14"/>
      <c r="E24" s="14"/>
      <c r="F24" s="3">
        <v>109.10507042884511</v>
      </c>
      <c r="G24" s="14"/>
      <c r="H24" s="14"/>
      <c r="J24" s="54" t="s">
        <v>22</v>
      </c>
      <c r="K24" s="14"/>
      <c r="L24" s="14"/>
      <c r="M24" s="14"/>
      <c r="N24" s="14"/>
      <c r="O24" s="14"/>
      <c r="P24" s="14"/>
      <c r="Q24" s="7"/>
      <c r="R24" s="22" t="s">
        <v>22</v>
      </c>
      <c r="S24" s="14"/>
      <c r="T24" s="14"/>
      <c r="U24" s="14"/>
      <c r="V24" s="14"/>
      <c r="W24" s="14"/>
      <c r="X24" s="14"/>
      <c r="Z24" s="54" t="s">
        <v>22</v>
      </c>
      <c r="AB24" s="14"/>
      <c r="AC24" s="14"/>
      <c r="AD24" s="3">
        <v>293.79291091737269</v>
      </c>
      <c r="AE24" s="14"/>
      <c r="AF24" s="14"/>
    </row>
    <row r="25" spans="1:32" x14ac:dyDescent="0.25">
      <c r="A25" s="1">
        <v>2021</v>
      </c>
      <c r="C25" s="15"/>
      <c r="E25" s="15"/>
      <c r="G25" s="15"/>
      <c r="I25" s="15"/>
      <c r="J25" s="35"/>
      <c r="K25" s="15"/>
      <c r="L25" s="15"/>
      <c r="M25" s="15"/>
      <c r="N25" s="15"/>
      <c r="O25" s="15"/>
      <c r="P25" s="15"/>
      <c r="Q25" s="4"/>
      <c r="S25" s="15"/>
      <c r="T25" s="15"/>
      <c r="U25" s="15"/>
      <c r="V25" s="15"/>
      <c r="W25" s="15"/>
      <c r="X25" s="15"/>
      <c r="Z25" s="35"/>
      <c r="AA25" s="15"/>
      <c r="AC25" s="15"/>
      <c r="AD25" s="15"/>
      <c r="AE25" s="15"/>
      <c r="AF25" s="15"/>
    </row>
    <row r="26" spans="1:32" x14ac:dyDescent="0.25">
      <c r="B26" s="10" t="s">
        <v>23</v>
      </c>
      <c r="C26" s="15"/>
      <c r="E26" s="1">
        <v>324.08550303685161</v>
      </c>
      <c r="I26" s="15"/>
      <c r="J26" s="52" t="s">
        <v>23</v>
      </c>
      <c r="K26" s="39"/>
      <c r="L26" s="39"/>
      <c r="M26" s="39"/>
      <c r="N26" s="39"/>
      <c r="O26" s="39"/>
      <c r="P26" s="39"/>
      <c r="Q26" s="40"/>
      <c r="R26" s="10" t="s">
        <v>23</v>
      </c>
      <c r="S26" s="15"/>
      <c r="T26" s="15"/>
      <c r="U26" s="15"/>
      <c r="V26" s="15"/>
      <c r="W26" s="15"/>
      <c r="X26" s="15"/>
      <c r="Z26" s="55" t="s">
        <v>23</v>
      </c>
      <c r="AA26" s="15"/>
      <c r="AC26" s="1">
        <v>1550.8680888861836</v>
      </c>
      <c r="AE26" s="15"/>
      <c r="AF26" s="15"/>
    </row>
    <row r="27" spans="1:32" s="3" customFormat="1" x14ac:dyDescent="0.25">
      <c r="B27" s="9"/>
      <c r="C27" s="14"/>
      <c r="D27" s="14"/>
      <c r="E27" s="3">
        <v>453.0265954201854</v>
      </c>
      <c r="F27" s="14"/>
      <c r="H27" s="14"/>
      <c r="I27" s="14"/>
      <c r="J27" s="38"/>
      <c r="K27" s="14"/>
      <c r="L27" s="14"/>
      <c r="M27" s="14"/>
      <c r="N27" s="14"/>
      <c r="O27" s="14"/>
      <c r="P27" s="14"/>
      <c r="Q27" s="7"/>
      <c r="S27" s="14"/>
      <c r="T27" s="14"/>
      <c r="U27" s="14"/>
      <c r="V27" s="14"/>
      <c r="W27" s="14"/>
      <c r="X27" s="14"/>
      <c r="Z27" s="38"/>
      <c r="AA27" s="14"/>
      <c r="AB27" s="14"/>
      <c r="AC27" s="3">
        <v>677.61995502450043</v>
      </c>
      <c r="AD27" s="14"/>
      <c r="AE27" s="14"/>
      <c r="AF27" s="14"/>
    </row>
    <row r="28" spans="1:32" x14ac:dyDescent="0.25">
      <c r="B28" s="8"/>
      <c r="C28" s="15"/>
      <c r="D28" s="15"/>
      <c r="F28" s="15"/>
      <c r="H28" s="15"/>
      <c r="I28" s="15"/>
      <c r="J28" s="35"/>
      <c r="K28" s="15"/>
      <c r="L28" s="15"/>
      <c r="M28" s="15"/>
      <c r="N28" s="15"/>
      <c r="O28" s="15"/>
      <c r="P28" s="15"/>
      <c r="Q28" s="4"/>
      <c r="S28" s="15"/>
      <c r="T28" s="15"/>
      <c r="U28" s="15"/>
      <c r="V28" s="15"/>
      <c r="W28" s="15"/>
      <c r="X28" s="15"/>
      <c r="Z28" s="35"/>
      <c r="AA28" s="15"/>
      <c r="AB28" s="15"/>
      <c r="AD28" s="15"/>
      <c r="AE28" s="15"/>
      <c r="AF28" s="15"/>
    </row>
    <row r="29" spans="1:32" ht="14.65" customHeight="1" x14ac:dyDescent="0.25">
      <c r="B29" s="10" t="s">
        <v>24</v>
      </c>
      <c r="D29" s="15"/>
      <c r="H29" s="15"/>
      <c r="I29" s="15"/>
      <c r="J29" s="35"/>
      <c r="K29" s="15"/>
      <c r="L29" s="15"/>
      <c r="M29" s="15"/>
      <c r="N29" s="15"/>
      <c r="O29" s="15"/>
      <c r="P29" s="15"/>
      <c r="Q29" s="4"/>
      <c r="S29" s="15"/>
      <c r="T29" s="15"/>
      <c r="U29" s="15"/>
      <c r="V29" s="15"/>
      <c r="W29" s="15"/>
      <c r="X29" s="15"/>
      <c r="Z29" s="35"/>
      <c r="AB29" s="15"/>
      <c r="AD29" s="15"/>
      <c r="AE29" s="15"/>
      <c r="AF29" s="15"/>
    </row>
    <row r="30" spans="1:32" s="3" customFormat="1" x14ac:dyDescent="0.25">
      <c r="C30" s="3">
        <v>437.47812056512231</v>
      </c>
      <c r="D30" s="14"/>
      <c r="H30" s="14"/>
      <c r="I30" s="14"/>
      <c r="J30" s="38"/>
      <c r="K30" s="14"/>
      <c r="L30" s="14"/>
      <c r="M30" s="14"/>
      <c r="N30" s="14"/>
      <c r="O30" s="14"/>
      <c r="P30" s="14"/>
      <c r="Q30" s="7"/>
      <c r="S30" s="14"/>
      <c r="T30" s="14"/>
      <c r="U30" s="14"/>
      <c r="V30" s="14"/>
      <c r="W30" s="14"/>
      <c r="X30" s="14"/>
      <c r="Z30" s="38"/>
      <c r="AA30" s="3">
        <v>191.73334156692937</v>
      </c>
      <c r="AB30" s="14"/>
      <c r="AD30" s="14"/>
      <c r="AE30" s="14"/>
      <c r="AF30" s="14"/>
    </row>
    <row r="31" spans="1:32" x14ac:dyDescent="0.25">
      <c r="D31" s="15"/>
      <c r="H31" s="15"/>
      <c r="I31" s="15"/>
      <c r="J31" s="35"/>
      <c r="K31" s="15"/>
      <c r="L31" s="15"/>
      <c r="M31" s="15"/>
      <c r="N31" s="15"/>
      <c r="O31" s="15"/>
      <c r="P31" s="15"/>
      <c r="Q31" s="4"/>
      <c r="S31" s="15"/>
      <c r="T31" s="15"/>
      <c r="U31" s="15"/>
      <c r="V31" s="15"/>
      <c r="W31" s="15"/>
      <c r="X31" s="15"/>
      <c r="Z31" s="35"/>
      <c r="AB31" s="15"/>
      <c r="AD31" s="15"/>
      <c r="AE31" s="15"/>
      <c r="AF31" s="15"/>
    </row>
    <row r="32" spans="1:32" x14ac:dyDescent="0.25">
      <c r="B32" s="8" t="s">
        <v>25</v>
      </c>
      <c r="C32" s="1">
        <v>249.05790908871757</v>
      </c>
      <c r="D32" s="15"/>
      <c r="H32" s="15"/>
      <c r="I32" s="15"/>
      <c r="J32" s="50" t="s">
        <v>25</v>
      </c>
      <c r="K32" s="15"/>
      <c r="L32" s="15"/>
      <c r="M32" s="15"/>
      <c r="N32" s="15"/>
      <c r="O32" s="15"/>
      <c r="P32" s="15"/>
      <c r="Q32" s="4"/>
      <c r="R32" s="8" t="s">
        <v>25</v>
      </c>
      <c r="S32" s="15"/>
      <c r="T32" s="15"/>
      <c r="U32" s="15"/>
      <c r="V32" s="15"/>
      <c r="W32" s="15"/>
      <c r="X32" s="15"/>
      <c r="Z32" s="50" t="s">
        <v>25</v>
      </c>
      <c r="AA32" s="1">
        <v>139.49957915897207</v>
      </c>
      <c r="AB32" s="15"/>
      <c r="AD32" s="15"/>
      <c r="AE32" s="15"/>
      <c r="AF32" s="15"/>
    </row>
    <row r="33" spans="2:32" s="25" customFormat="1" x14ac:dyDescent="0.25">
      <c r="D33" s="34"/>
      <c r="H33" s="34"/>
      <c r="I33" s="34"/>
      <c r="J33" s="41"/>
      <c r="K33" s="34"/>
      <c r="L33" s="34"/>
      <c r="M33" s="34"/>
      <c r="N33" s="34"/>
      <c r="O33" s="34"/>
      <c r="P33" s="34"/>
      <c r="Q33" s="42"/>
      <c r="S33" s="34"/>
      <c r="T33" s="34"/>
      <c r="U33" s="34"/>
      <c r="V33" s="34"/>
      <c r="W33" s="34"/>
      <c r="X33" s="34"/>
      <c r="Z33" s="41"/>
      <c r="AB33" s="34"/>
      <c r="AD33" s="34"/>
      <c r="AE33" s="34"/>
      <c r="AF33" s="34"/>
    </row>
    <row r="34" spans="2:32" s="27" customFormat="1" x14ac:dyDescent="0.25">
      <c r="D34" s="18"/>
      <c r="H34" s="18"/>
      <c r="I34" s="18"/>
      <c r="J34" s="43"/>
      <c r="K34" s="18"/>
      <c r="L34" s="18"/>
      <c r="M34" s="18"/>
      <c r="N34" s="18"/>
      <c r="O34" s="18"/>
      <c r="P34" s="18"/>
      <c r="Q34" s="44"/>
      <c r="S34" s="18"/>
      <c r="T34" s="18"/>
      <c r="U34" s="18"/>
      <c r="V34" s="18"/>
      <c r="W34" s="18"/>
      <c r="X34" s="18"/>
      <c r="Z34" s="43"/>
      <c r="AB34" s="18"/>
      <c r="AD34" s="18"/>
      <c r="AE34" s="18"/>
      <c r="AF34" s="18"/>
    </row>
    <row r="35" spans="2:32" s="27" customFormat="1" x14ac:dyDescent="0.25">
      <c r="B35" s="8" t="s">
        <v>26</v>
      </c>
      <c r="D35" s="18"/>
      <c r="F35" s="1">
        <v>268.37851771572946</v>
      </c>
      <c r="H35" s="18"/>
      <c r="I35" s="18"/>
      <c r="J35" s="50" t="s">
        <v>26</v>
      </c>
      <c r="K35" s="18"/>
      <c r="L35" s="18"/>
      <c r="M35" s="18"/>
      <c r="N35" s="18"/>
      <c r="O35" s="18"/>
      <c r="P35" s="18"/>
      <c r="Q35" s="44"/>
      <c r="R35" s="8" t="s">
        <v>26</v>
      </c>
      <c r="S35" s="18"/>
      <c r="T35" s="18"/>
      <c r="U35" s="18"/>
      <c r="V35" s="18"/>
      <c r="W35" s="18"/>
      <c r="X35" s="18"/>
      <c r="Z35" s="50" t="s">
        <v>26</v>
      </c>
      <c r="AB35" s="18"/>
      <c r="AD35" s="1">
        <v>399.06529849825046</v>
      </c>
      <c r="AE35" s="18"/>
      <c r="AF35" s="18"/>
    </row>
    <row r="36" spans="2:32" s="25" customFormat="1" x14ac:dyDescent="0.25">
      <c r="D36" s="34"/>
      <c r="F36" s="3"/>
      <c r="H36" s="34"/>
      <c r="I36" s="34"/>
      <c r="J36" s="41"/>
      <c r="K36" s="34"/>
      <c r="L36" s="34"/>
      <c r="M36" s="34"/>
      <c r="N36" s="34"/>
      <c r="O36" s="34"/>
      <c r="P36" s="34"/>
      <c r="Q36" s="42"/>
      <c r="S36" s="34"/>
      <c r="T36" s="34"/>
      <c r="U36" s="34"/>
      <c r="V36" s="34"/>
      <c r="W36" s="34"/>
      <c r="X36" s="34"/>
      <c r="Z36" s="41"/>
      <c r="AB36" s="34"/>
      <c r="AD36" s="3"/>
      <c r="AE36" s="34"/>
      <c r="AF36" s="34"/>
    </row>
    <row r="37" spans="2:32" s="27" customFormat="1" x14ac:dyDescent="0.25">
      <c r="D37" s="18"/>
      <c r="F37" s="1"/>
      <c r="H37" s="18"/>
      <c r="I37" s="18"/>
      <c r="J37" s="43"/>
      <c r="K37" s="18"/>
      <c r="L37" s="18"/>
      <c r="M37" s="18"/>
      <c r="N37" s="18"/>
      <c r="O37" s="18"/>
      <c r="P37" s="18"/>
      <c r="Q37" s="44"/>
      <c r="S37" s="18"/>
      <c r="T37" s="18"/>
      <c r="U37" s="18"/>
      <c r="V37" s="18"/>
      <c r="W37" s="18"/>
      <c r="X37" s="18"/>
      <c r="Z37" s="43"/>
      <c r="AB37" s="18"/>
      <c r="AD37" s="1"/>
      <c r="AE37" s="18"/>
      <c r="AF37" s="18"/>
    </row>
    <row r="38" spans="2:32" s="9" customFormat="1" x14ac:dyDescent="0.25">
      <c r="B38" s="9" t="s">
        <v>27</v>
      </c>
      <c r="D38" s="45"/>
      <c r="H38" s="14"/>
      <c r="I38" s="45"/>
      <c r="J38" s="51" t="s">
        <v>27</v>
      </c>
      <c r="K38" s="45"/>
      <c r="L38" s="45"/>
      <c r="M38" s="45"/>
      <c r="N38" s="45"/>
      <c r="O38" s="45"/>
      <c r="P38" s="45"/>
      <c r="Q38" s="46"/>
      <c r="R38" s="9" t="s">
        <v>27</v>
      </c>
      <c r="S38" s="45"/>
      <c r="T38" s="45"/>
      <c r="U38" s="45"/>
      <c r="V38" s="45"/>
      <c r="W38" s="45"/>
      <c r="X38" s="45"/>
      <c r="Z38" s="51" t="s">
        <v>27</v>
      </c>
      <c r="AB38" s="45"/>
      <c r="AE38" s="45"/>
      <c r="AF38" s="3"/>
    </row>
    <row r="39" spans="2:32" s="8" customFormat="1" x14ac:dyDescent="0.25">
      <c r="D39" s="39"/>
      <c r="H39" s="15"/>
      <c r="I39" s="39"/>
      <c r="J39" s="50"/>
      <c r="K39" s="39"/>
      <c r="L39" s="39"/>
      <c r="M39" s="39"/>
      <c r="N39" s="39"/>
      <c r="O39" s="39"/>
      <c r="P39" s="39"/>
      <c r="Q39" s="40"/>
      <c r="S39" s="39"/>
      <c r="T39" s="39"/>
      <c r="U39" s="39"/>
      <c r="V39" s="39"/>
      <c r="W39" s="39"/>
      <c r="X39" s="39"/>
      <c r="Z39" s="50"/>
      <c r="AB39" s="39"/>
      <c r="AE39" s="39"/>
      <c r="AF39" s="1"/>
    </row>
    <row r="40" spans="2:32" s="8" customFormat="1" x14ac:dyDescent="0.25">
      <c r="D40" s="39"/>
      <c r="H40" s="15"/>
      <c r="I40" s="39"/>
      <c r="J40" s="50"/>
      <c r="K40" s="39"/>
      <c r="L40" s="39"/>
      <c r="M40" s="39"/>
      <c r="N40" s="39"/>
      <c r="O40" s="39"/>
      <c r="P40" s="39"/>
      <c r="Q40" s="40"/>
      <c r="S40" s="39"/>
      <c r="T40" s="39"/>
      <c r="U40" s="39"/>
      <c r="V40" s="39"/>
      <c r="W40" s="39"/>
      <c r="X40" s="39"/>
      <c r="Z40" s="50"/>
      <c r="AB40" s="39"/>
      <c r="AE40" s="39"/>
      <c r="AF40" s="1"/>
    </row>
    <row r="41" spans="2:32" s="8" customFormat="1" x14ac:dyDescent="0.25">
      <c r="D41" s="39"/>
      <c r="H41" s="15"/>
      <c r="I41" s="39"/>
      <c r="J41" s="50"/>
      <c r="K41" s="39"/>
      <c r="L41" s="39"/>
      <c r="M41" s="39"/>
      <c r="N41" s="39"/>
      <c r="O41" s="39"/>
      <c r="P41" s="39"/>
      <c r="Q41" s="40"/>
      <c r="S41" s="39"/>
      <c r="T41" s="39"/>
      <c r="U41" s="39"/>
      <c r="V41" s="39"/>
      <c r="W41" s="39"/>
      <c r="X41" s="39"/>
      <c r="Z41" s="50"/>
      <c r="AB41" s="39"/>
      <c r="AE41" s="39"/>
      <c r="AF41" s="1"/>
    </row>
    <row r="42" spans="2:32" s="27" customFormat="1" x14ac:dyDescent="0.25">
      <c r="D42" s="18"/>
      <c r="F42" s="1"/>
      <c r="H42" s="18"/>
      <c r="I42" s="18"/>
      <c r="J42" s="43"/>
      <c r="K42" s="18"/>
      <c r="L42" s="18"/>
      <c r="M42" s="18"/>
      <c r="N42" s="18"/>
      <c r="O42" s="18"/>
      <c r="P42" s="18"/>
      <c r="Q42" s="44"/>
      <c r="S42" s="18"/>
      <c r="T42" s="18"/>
      <c r="U42" s="18"/>
      <c r="V42" s="18"/>
      <c r="W42" s="18"/>
      <c r="X42" s="18"/>
      <c r="Z42" s="43"/>
      <c r="AB42" s="18"/>
      <c r="AD42" s="1"/>
      <c r="AE42" s="18"/>
      <c r="AF42" s="18"/>
    </row>
    <row r="43" spans="2:32" x14ac:dyDescent="0.25">
      <c r="C43" s="15"/>
      <c r="D43" s="15"/>
      <c r="E43" s="15"/>
      <c r="F43" s="15"/>
      <c r="G43" s="15"/>
      <c r="H43" s="15"/>
      <c r="I43" s="15"/>
    </row>
    <row r="44" spans="2:32" x14ac:dyDescent="0.25">
      <c r="C44" s="31"/>
      <c r="D44" s="15"/>
      <c r="E44" s="15"/>
      <c r="F44" s="15"/>
      <c r="G44" s="15"/>
      <c r="H44" s="15"/>
      <c r="I44" s="15"/>
    </row>
    <row r="45" spans="2:32" x14ac:dyDescent="0.25">
      <c r="C45" s="31"/>
    </row>
    <row r="46" spans="2:32" x14ac:dyDescent="0.25">
      <c r="C46" s="31"/>
    </row>
    <row r="47" spans="2:32" x14ac:dyDescent="0.25">
      <c r="C47" s="31"/>
    </row>
    <row r="48" spans="2:32" x14ac:dyDescent="0.25">
      <c r="C48" s="31"/>
    </row>
    <row r="49" spans="3:3" x14ac:dyDescent="0.25">
      <c r="C49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1</vt:lpstr>
      <vt:lpstr>Summary 2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sarawork</dc:creator>
  <cp:lastModifiedBy>Kirsten Fisher</cp:lastModifiedBy>
  <dcterms:created xsi:type="dcterms:W3CDTF">2020-11-29T19:46:16Z</dcterms:created>
  <dcterms:modified xsi:type="dcterms:W3CDTF">2026-03-09T20:42:17Z</dcterms:modified>
</cp:coreProperties>
</file>