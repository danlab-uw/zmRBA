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https://uwprod-my.sharepoint.com/personal/kfisher22_wisc_edu/Documents/Jun ZmRBA Paper/Updating_model_MEP_fdxA_rnf/Updated/8. ZMRBA_build/ZMRBA_Isoprene/MEP_OE_Data_DK/"/>
    </mc:Choice>
  </mc:AlternateContent>
  <xr:revisionPtr revIDLastSave="704" documentId="8_{20B679C0-D243-4746-A4AF-120602D2861B}" xr6:coauthVersionLast="47" xr6:coauthVersionMax="47" xr10:uidLastSave="{142A72B5-8F6A-4D2D-9740-AD06095AE6D3}"/>
  <bookViews>
    <workbookView xWindow="0" yWindow="760" windowWidth="30240" windowHeight="18880" xr2:uid="{1A4602BF-558B-45AA-8974-5E5FE1E8DAA9}"/>
  </bookViews>
  <sheets>
    <sheet name="MEP_OE" sheetId="1" r:id="rId1"/>
    <sheet name="Simulations" sheetId="3" r:id="rId2"/>
    <sheet name="Quant Data" sheetId="2"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1638" i="2" l="1"/>
  <c r="BN1623" i="2"/>
  <c r="BN1624" i="2"/>
  <c r="BN1625" i="2"/>
  <c r="BN1627" i="2"/>
  <c r="BN1628" i="2"/>
  <c r="BN1629" i="2"/>
  <c r="BN1631" i="2"/>
  <c r="BN1632" i="2"/>
  <c r="BN1633" i="2"/>
  <c r="BN1634" i="2"/>
  <c r="BN1635" i="2"/>
  <c r="BN1636" i="2"/>
  <c r="M27" i="3" l="1"/>
  <c r="M28" i="3"/>
  <c r="M29" i="3"/>
  <c r="M30" i="3"/>
  <c r="M31" i="3"/>
  <c r="M32" i="3"/>
  <c r="M26" i="3"/>
  <c r="DG7" i="3"/>
  <c r="DH7" i="3"/>
  <c r="DG8" i="3"/>
  <c r="DH8" i="3"/>
  <c r="DH22" i="3"/>
  <c r="DG22" i="3"/>
  <c r="DH21" i="3"/>
  <c r="DG21" i="3"/>
  <c r="DH20" i="3"/>
  <c r="DG20" i="3"/>
  <c r="DH19" i="3"/>
  <c r="DG19" i="3"/>
  <c r="DH18" i="3"/>
  <c r="DG18" i="3"/>
  <c r="DH17" i="3"/>
  <c r="DG17" i="3"/>
  <c r="DH16" i="3"/>
  <c r="DG16" i="3"/>
  <c r="DG15" i="3"/>
  <c r="DG14" i="3"/>
  <c r="DH9" i="3"/>
  <c r="DG9" i="3"/>
  <c r="CY22" i="3"/>
  <c r="CX22" i="3"/>
  <c r="CY21" i="3"/>
  <c r="CX21" i="3"/>
  <c r="CY20" i="3"/>
  <c r="CX20" i="3"/>
  <c r="CY19" i="3"/>
  <c r="CX19" i="3"/>
  <c r="CY18" i="3"/>
  <c r="CX18" i="3"/>
  <c r="CY17" i="3"/>
  <c r="CX17" i="3"/>
  <c r="CY16" i="3"/>
  <c r="CX16" i="3"/>
  <c r="CX15" i="3"/>
  <c r="CX14" i="3"/>
  <c r="CY11" i="3"/>
  <c r="CX11" i="3"/>
  <c r="CY10" i="3"/>
  <c r="CX10" i="3"/>
  <c r="CY9" i="3"/>
  <c r="CX9" i="3"/>
  <c r="CY8" i="3"/>
  <c r="CX8" i="3"/>
  <c r="CY7" i="3"/>
  <c r="CX7" i="3"/>
  <c r="CY6" i="3"/>
  <c r="CX6" i="3"/>
  <c r="CP22" i="3"/>
  <c r="CO22" i="3"/>
  <c r="CP21" i="3"/>
  <c r="CO21" i="3"/>
  <c r="CP20" i="3"/>
  <c r="CO20" i="3"/>
  <c r="CP19" i="3"/>
  <c r="CO19" i="3"/>
  <c r="CP18" i="3"/>
  <c r="CO18" i="3"/>
  <c r="CP17" i="3"/>
  <c r="CO17" i="3"/>
  <c r="CP16" i="3"/>
  <c r="CO16" i="3"/>
  <c r="CO15" i="3"/>
  <c r="CO14" i="3"/>
  <c r="CP13" i="3"/>
  <c r="CO13" i="3"/>
  <c r="CP11" i="3"/>
  <c r="CO11" i="3"/>
  <c r="CP10" i="3"/>
  <c r="CO10" i="3"/>
  <c r="CP9" i="3"/>
  <c r="CO9" i="3"/>
  <c r="CP8" i="3"/>
  <c r="CO8" i="3"/>
  <c r="CP7" i="3"/>
  <c r="CO7" i="3"/>
  <c r="CP6" i="3"/>
  <c r="CO6" i="3"/>
  <c r="CG22" i="3"/>
  <c r="CF22" i="3"/>
  <c r="CG21" i="3"/>
  <c r="CF21" i="3"/>
  <c r="CG20" i="3"/>
  <c r="CF20" i="3"/>
  <c r="CG19" i="3"/>
  <c r="CF19" i="3"/>
  <c r="CG18" i="3"/>
  <c r="CF18" i="3"/>
  <c r="CG17" i="3"/>
  <c r="CF17" i="3"/>
  <c r="CG16" i="3"/>
  <c r="CF16" i="3"/>
  <c r="CF15" i="3"/>
  <c r="CF14" i="3"/>
  <c r="CG12" i="3"/>
  <c r="CF12" i="3"/>
  <c r="CG11" i="3"/>
  <c r="CF11" i="3"/>
  <c r="CG10" i="3"/>
  <c r="CF10" i="3"/>
  <c r="CG9" i="3"/>
  <c r="CF9" i="3"/>
  <c r="CG8" i="3"/>
  <c r="CF8" i="3"/>
  <c r="CG7" i="3"/>
  <c r="CF7" i="3"/>
  <c r="CG6" i="3"/>
  <c r="CF6" i="3"/>
  <c r="BX22" i="3"/>
  <c r="BW22" i="3"/>
  <c r="BX21" i="3"/>
  <c r="BW21" i="3"/>
  <c r="BX20" i="3"/>
  <c r="BW20" i="3"/>
  <c r="BX19" i="3"/>
  <c r="BW19" i="3"/>
  <c r="BX18" i="3"/>
  <c r="BW18" i="3"/>
  <c r="BX17" i="3"/>
  <c r="BW17" i="3"/>
  <c r="BX16" i="3"/>
  <c r="BW16" i="3"/>
  <c r="BW15" i="3"/>
  <c r="BW14" i="3"/>
  <c r="BX13" i="3"/>
  <c r="BW13" i="3"/>
  <c r="BX12" i="3"/>
  <c r="BW12" i="3"/>
  <c r="BX9" i="3"/>
  <c r="BW9" i="3"/>
  <c r="BX8" i="3"/>
  <c r="BW8" i="3"/>
  <c r="BX7" i="3"/>
  <c r="BW7" i="3"/>
  <c r="AN7" i="3"/>
  <c r="AM7" i="3"/>
  <c r="BO22" i="3"/>
  <c r="BN22" i="3"/>
  <c r="BO21" i="3"/>
  <c r="BN21" i="3"/>
  <c r="BO20" i="3"/>
  <c r="BN20" i="3"/>
  <c r="BO19" i="3"/>
  <c r="BN19" i="3"/>
  <c r="BO18" i="3"/>
  <c r="BN18" i="3"/>
  <c r="BO17" i="3"/>
  <c r="BN17" i="3"/>
  <c r="BO16" i="3"/>
  <c r="BN16" i="3"/>
  <c r="BN15" i="3"/>
  <c r="BN14" i="3"/>
  <c r="BO13" i="3"/>
  <c r="BN13" i="3"/>
  <c r="BO12" i="3"/>
  <c r="BN12" i="3"/>
  <c r="BO10" i="3"/>
  <c r="BN10" i="3"/>
  <c r="BO9" i="3"/>
  <c r="BN9" i="3"/>
  <c r="BO8" i="3"/>
  <c r="BN8" i="3"/>
  <c r="BO7" i="3"/>
  <c r="BN7" i="3"/>
  <c r="BF22" i="3"/>
  <c r="BE22" i="3"/>
  <c r="BF21" i="3"/>
  <c r="BE21" i="3"/>
  <c r="BF20" i="3"/>
  <c r="BE20" i="3"/>
  <c r="BF19" i="3"/>
  <c r="BE19" i="3"/>
  <c r="BF18" i="3"/>
  <c r="BE18" i="3"/>
  <c r="BF17" i="3"/>
  <c r="BE17" i="3"/>
  <c r="BF16" i="3"/>
  <c r="BE16" i="3"/>
  <c r="BE15" i="3"/>
  <c r="BE14" i="3"/>
  <c r="BF13" i="3"/>
  <c r="BE13" i="3"/>
  <c r="BF12" i="3"/>
  <c r="BE12" i="3"/>
  <c r="BF11" i="3"/>
  <c r="BE11" i="3"/>
  <c r="BF9" i="3"/>
  <c r="BE9" i="3"/>
  <c r="BF8" i="3"/>
  <c r="BE8" i="3"/>
  <c r="BF7" i="3"/>
  <c r="BE7" i="3"/>
  <c r="AW22" i="3"/>
  <c r="AV22" i="3"/>
  <c r="AW21" i="3"/>
  <c r="AV21" i="3"/>
  <c r="AW20" i="3"/>
  <c r="AV20" i="3"/>
  <c r="AW19" i="3"/>
  <c r="AV19" i="3"/>
  <c r="AW18" i="3"/>
  <c r="AV18" i="3"/>
  <c r="AW17" i="3"/>
  <c r="AV17" i="3"/>
  <c r="AW16" i="3"/>
  <c r="AV16" i="3"/>
  <c r="AV15" i="3"/>
  <c r="AV14" i="3"/>
  <c r="AW13" i="3"/>
  <c r="AV13" i="3"/>
  <c r="AW12" i="3"/>
  <c r="AV12" i="3"/>
  <c r="AW10" i="3"/>
  <c r="AV10" i="3"/>
  <c r="AW9" i="3"/>
  <c r="AV9" i="3"/>
  <c r="AW8" i="3"/>
  <c r="AV8" i="3"/>
  <c r="AW7" i="3"/>
  <c r="AV7" i="3"/>
  <c r="AW6" i="3"/>
  <c r="AV6" i="3"/>
  <c r="AN22" i="3"/>
  <c r="AM22" i="3"/>
  <c r="AN21" i="3"/>
  <c r="AM21" i="3"/>
  <c r="AN20" i="3"/>
  <c r="AM20" i="3"/>
  <c r="AN19" i="3"/>
  <c r="AM19" i="3"/>
  <c r="AN18" i="3"/>
  <c r="AM18" i="3"/>
  <c r="AN17" i="3"/>
  <c r="AM17" i="3"/>
  <c r="AN16" i="3"/>
  <c r="AM16" i="3"/>
  <c r="AM15" i="3"/>
  <c r="AM14" i="3"/>
  <c r="AN13" i="3"/>
  <c r="AM13" i="3"/>
  <c r="AN12" i="3"/>
  <c r="AM12" i="3"/>
  <c r="AN11" i="3"/>
  <c r="AM11" i="3"/>
  <c r="AN9" i="3"/>
  <c r="AM9" i="3"/>
  <c r="AN8" i="3"/>
  <c r="AM8" i="3"/>
  <c r="AN6" i="3"/>
  <c r="AM6" i="3"/>
  <c r="AE22" i="3"/>
  <c r="AD22" i="3"/>
  <c r="AE21" i="3"/>
  <c r="AD21" i="3"/>
  <c r="AE20" i="3"/>
  <c r="AD20" i="3"/>
  <c r="AE19" i="3"/>
  <c r="AD19" i="3"/>
  <c r="AE18" i="3"/>
  <c r="AD18" i="3"/>
  <c r="AE17" i="3"/>
  <c r="AD17" i="3"/>
  <c r="AE16" i="3"/>
  <c r="AD16" i="3"/>
  <c r="AD15" i="3"/>
  <c r="AD14" i="3"/>
  <c r="AE13" i="3"/>
  <c r="AD13" i="3"/>
  <c r="AE12" i="3"/>
  <c r="AD12" i="3"/>
  <c r="AE11" i="3"/>
  <c r="AD11" i="3"/>
  <c r="AE10" i="3"/>
  <c r="AD10" i="3"/>
  <c r="AE9" i="3"/>
  <c r="AD9" i="3"/>
  <c r="AE8" i="3"/>
  <c r="AD8" i="3"/>
  <c r="AE7" i="3"/>
  <c r="AD7" i="3"/>
  <c r="U14" i="3"/>
  <c r="U15" i="3"/>
  <c r="V22" i="3" l="1"/>
  <c r="U22" i="3"/>
  <c r="V21" i="3"/>
  <c r="U21" i="3"/>
  <c r="V20" i="3"/>
  <c r="U20" i="3"/>
  <c r="V19" i="3"/>
  <c r="U19" i="3"/>
  <c r="V18" i="3"/>
  <c r="U18" i="3"/>
  <c r="V17" i="3"/>
  <c r="U17" i="3"/>
  <c r="V16" i="3"/>
  <c r="U16" i="3"/>
  <c r="V13" i="3"/>
  <c r="U13" i="3"/>
  <c r="V12" i="3"/>
  <c r="U12" i="3"/>
  <c r="V11" i="3"/>
  <c r="U11" i="3"/>
  <c r="V10" i="3"/>
  <c r="U10" i="3"/>
  <c r="V9" i="3"/>
  <c r="U9" i="3"/>
  <c r="V8" i="3"/>
  <c r="U8" i="3"/>
  <c r="V7" i="3"/>
  <c r="U7" i="3"/>
  <c r="V6" i="3"/>
  <c r="U6" i="3"/>
  <c r="G21" i="3"/>
  <c r="F21" i="3"/>
  <c r="E21" i="3"/>
  <c r="D21" i="3"/>
  <c r="C21" i="3"/>
  <c r="F43" i="1"/>
  <c r="F44" i="1"/>
  <c r="F45" i="1"/>
  <c r="F46" i="1"/>
  <c r="F47" i="1"/>
  <c r="F48" i="1"/>
  <c r="F42" i="1"/>
  <c r="E43" i="1"/>
  <c r="E44" i="1"/>
  <c r="E45" i="1"/>
  <c r="E46" i="1"/>
  <c r="E47" i="1"/>
  <c r="E48" i="1"/>
  <c r="E42" i="1"/>
  <c r="H29" i="1" l="1"/>
  <c r="H30" i="1"/>
  <c r="H31" i="1"/>
  <c r="H32" i="1"/>
  <c r="H33" i="1"/>
  <c r="H34" i="1"/>
  <c r="H35" i="1"/>
  <c r="H28" i="1"/>
  <c r="G29" i="1"/>
  <c r="G30" i="1"/>
  <c r="G31" i="1"/>
  <c r="G32" i="1"/>
  <c r="G33" i="1"/>
  <c r="G34" i="1"/>
  <c r="G35" i="1"/>
  <c r="G28" i="1"/>
  <c r="E35" i="1" l="1"/>
  <c r="J35" i="1" s="1"/>
  <c r="E34" i="1"/>
  <c r="J34" i="1" s="1"/>
  <c r="E29" i="1"/>
  <c r="J29" i="1" s="1"/>
  <c r="E30" i="1"/>
  <c r="J30" i="1" s="1"/>
  <c r="E31" i="1"/>
  <c r="J31" i="1" s="1"/>
  <c r="E32" i="1"/>
  <c r="J32" i="1" s="1"/>
  <c r="E33" i="1"/>
  <c r="J33" i="1" s="1"/>
  <c r="E28" i="1"/>
  <c r="J28" i="1" s="1"/>
  <c r="BK1641" i="2"/>
  <c r="BK1640" i="2"/>
  <c r="I33" i="1" l="1"/>
  <c r="I28" i="1"/>
  <c r="I35" i="1"/>
  <c r="I30" i="1"/>
  <c r="I34" i="1"/>
  <c r="I31" i="1"/>
  <c r="I29" i="1"/>
  <c r="I32" i="1"/>
  <c r="AS25" i="2"/>
  <c r="AR25" i="2"/>
  <c r="BA4" i="2"/>
  <c r="BA5" i="2"/>
  <c r="BA6" i="2"/>
  <c r="BA7" i="2"/>
  <c r="BA8" i="2"/>
  <c r="BA9" i="2"/>
  <c r="BA10" i="2"/>
  <c r="BA11" i="2"/>
  <c r="BA12" i="2"/>
  <c r="BA13" i="2"/>
  <c r="BA14" i="2"/>
  <c r="BA15" i="2"/>
  <c r="BA16" i="2"/>
  <c r="BA17" i="2"/>
  <c r="BA18" i="2"/>
  <c r="BA19" i="2"/>
  <c r="BA20" i="2"/>
  <c r="BA21" i="2"/>
  <c r="BA22" i="2"/>
  <c r="BA23" i="2"/>
  <c r="BA24" i="2"/>
  <c r="BA25" i="2"/>
  <c r="BA26" i="2"/>
  <c r="BA27" i="2"/>
  <c r="BA28" i="2"/>
  <c r="BA29" i="2"/>
  <c r="BA30" i="2"/>
  <c r="BA31" i="2"/>
  <c r="BA32" i="2"/>
  <c r="BA33" i="2"/>
  <c r="BA34" i="2"/>
  <c r="BA35" i="2"/>
  <c r="BA36" i="2"/>
  <c r="BA37" i="2"/>
  <c r="BA38" i="2"/>
  <c r="BA39" i="2"/>
  <c r="BA40" i="2"/>
  <c r="BA41" i="2"/>
  <c r="BA42" i="2"/>
  <c r="BA43" i="2"/>
  <c r="BA44" i="2"/>
  <c r="BA45" i="2"/>
  <c r="BA46" i="2"/>
  <c r="BA47" i="2"/>
  <c r="BA48" i="2"/>
  <c r="BA49" i="2"/>
  <c r="BA50" i="2"/>
  <c r="BA51" i="2"/>
  <c r="BA52" i="2"/>
  <c r="BA53" i="2"/>
  <c r="BA54" i="2"/>
  <c r="BA55" i="2"/>
  <c r="BA56" i="2"/>
  <c r="BA57" i="2"/>
  <c r="BA58" i="2"/>
  <c r="BA59" i="2"/>
  <c r="BA60" i="2"/>
  <c r="BA61" i="2"/>
  <c r="BA62" i="2"/>
  <c r="BA63" i="2"/>
  <c r="BA64" i="2"/>
  <c r="BA65" i="2"/>
  <c r="BA66" i="2"/>
  <c r="BA67" i="2"/>
  <c r="BA68" i="2"/>
  <c r="BA69" i="2"/>
  <c r="BA70" i="2"/>
  <c r="BA71" i="2"/>
  <c r="BA72" i="2"/>
  <c r="BA73" i="2"/>
  <c r="BA74" i="2"/>
  <c r="BA75" i="2"/>
  <c r="BA76" i="2"/>
  <c r="BA77" i="2"/>
  <c r="BA78" i="2"/>
  <c r="BA79" i="2"/>
  <c r="BA80" i="2"/>
  <c r="BA81" i="2"/>
  <c r="BA82" i="2"/>
  <c r="BA83" i="2"/>
  <c r="BA84" i="2"/>
  <c r="BA85" i="2"/>
  <c r="BA86" i="2"/>
  <c r="BA87" i="2"/>
  <c r="BA88" i="2"/>
  <c r="BA89" i="2"/>
  <c r="BA90" i="2"/>
  <c r="BA91" i="2"/>
  <c r="BA92" i="2"/>
  <c r="BA93" i="2"/>
  <c r="BA94" i="2"/>
  <c r="BA95" i="2"/>
  <c r="BA96" i="2"/>
  <c r="BA97" i="2"/>
  <c r="BA98" i="2"/>
  <c r="BA99" i="2"/>
  <c r="BA100" i="2"/>
  <c r="BA101" i="2"/>
  <c r="BA102" i="2"/>
  <c r="BA103" i="2"/>
  <c r="BA104" i="2"/>
  <c r="BA105" i="2"/>
  <c r="BA106" i="2"/>
  <c r="BA107" i="2"/>
  <c r="BA108" i="2"/>
  <c r="BA109" i="2"/>
  <c r="BA110" i="2"/>
  <c r="BA111" i="2"/>
  <c r="BA112" i="2"/>
  <c r="BA113" i="2"/>
  <c r="BA114" i="2"/>
  <c r="BA115" i="2"/>
  <c r="BA116" i="2"/>
  <c r="BA117" i="2"/>
  <c r="BA118" i="2"/>
  <c r="BA119" i="2"/>
  <c r="BA120" i="2"/>
  <c r="BA121" i="2"/>
  <c r="BA122" i="2"/>
  <c r="BA123" i="2"/>
  <c r="BA124" i="2"/>
  <c r="BA125" i="2"/>
  <c r="BA126" i="2"/>
  <c r="BA127" i="2"/>
  <c r="BA128" i="2"/>
  <c r="BA129" i="2"/>
  <c r="BA130" i="2"/>
  <c r="BA131" i="2"/>
  <c r="BA132" i="2"/>
  <c r="BA133" i="2"/>
  <c r="BA134" i="2"/>
  <c r="BA135" i="2"/>
  <c r="BA136" i="2"/>
  <c r="BA137" i="2"/>
  <c r="BA138" i="2"/>
  <c r="BA139" i="2"/>
  <c r="BA140" i="2"/>
  <c r="BA141" i="2"/>
  <c r="BA142" i="2"/>
  <c r="BA143" i="2"/>
  <c r="BA144" i="2"/>
  <c r="BA145" i="2"/>
  <c r="BA146" i="2"/>
  <c r="BA147" i="2"/>
  <c r="BA148" i="2"/>
  <c r="BA149" i="2"/>
  <c r="BA150" i="2"/>
  <c r="BA151" i="2"/>
  <c r="BA152" i="2"/>
  <c r="BA153" i="2"/>
  <c r="BA154" i="2"/>
  <c r="BA155" i="2"/>
  <c r="BA156" i="2"/>
  <c r="BA157" i="2"/>
  <c r="BA158" i="2"/>
  <c r="BA159" i="2"/>
  <c r="BA160" i="2"/>
  <c r="BA161" i="2"/>
  <c r="BA162" i="2"/>
  <c r="BA163" i="2"/>
  <c r="BA164" i="2"/>
  <c r="BA165" i="2"/>
  <c r="BA166" i="2"/>
  <c r="BA167" i="2"/>
  <c r="BA168" i="2"/>
  <c r="BA169" i="2"/>
  <c r="BA170" i="2"/>
  <c r="BA171" i="2"/>
  <c r="BA172" i="2"/>
  <c r="BA173" i="2"/>
  <c r="BA174" i="2"/>
  <c r="BA175" i="2"/>
  <c r="BA176" i="2"/>
  <c r="BA177" i="2"/>
  <c r="BA178" i="2"/>
  <c r="BA179" i="2"/>
  <c r="BA180" i="2"/>
  <c r="BA181" i="2"/>
  <c r="BA182" i="2"/>
  <c r="BA183" i="2"/>
  <c r="BA184" i="2"/>
  <c r="BA185" i="2"/>
  <c r="BA186" i="2"/>
  <c r="BA187" i="2"/>
  <c r="BA188" i="2"/>
  <c r="BA189" i="2"/>
  <c r="BA190" i="2"/>
  <c r="BA191" i="2"/>
  <c r="BA192" i="2"/>
  <c r="BA193" i="2"/>
  <c r="BA194" i="2"/>
  <c r="BA195" i="2"/>
  <c r="BA196" i="2"/>
  <c r="BA197" i="2"/>
  <c r="BA198" i="2"/>
  <c r="BA199" i="2"/>
  <c r="BA200" i="2"/>
  <c r="BA201" i="2"/>
  <c r="BA202" i="2"/>
  <c r="BA203" i="2"/>
  <c r="BA204" i="2"/>
  <c r="BA205" i="2"/>
  <c r="BA206" i="2"/>
  <c r="BA207" i="2"/>
  <c r="BA208" i="2"/>
  <c r="BA209" i="2"/>
  <c r="BA210" i="2"/>
  <c r="BA211" i="2"/>
  <c r="BA212" i="2"/>
  <c r="BA213" i="2"/>
  <c r="BA214" i="2"/>
  <c r="BA215" i="2"/>
  <c r="BA216" i="2"/>
  <c r="BA217" i="2"/>
  <c r="BA218" i="2"/>
  <c r="BA219" i="2"/>
  <c r="BA220" i="2"/>
  <c r="BA221" i="2"/>
  <c r="BA222" i="2"/>
  <c r="BA223" i="2"/>
  <c r="BA224" i="2"/>
  <c r="BA225" i="2"/>
  <c r="BA226" i="2"/>
  <c r="BA227" i="2"/>
  <c r="BA228" i="2"/>
  <c r="BA229" i="2"/>
  <c r="BA230" i="2"/>
  <c r="BA231" i="2"/>
  <c r="BA232" i="2"/>
  <c r="BA233" i="2"/>
  <c r="BA234" i="2"/>
  <c r="BA235" i="2"/>
  <c r="BA236" i="2"/>
  <c r="BA237" i="2"/>
  <c r="BA238" i="2"/>
  <c r="BA239" i="2"/>
  <c r="BA240" i="2"/>
  <c r="BA241" i="2"/>
  <c r="BA242" i="2"/>
  <c r="BA243" i="2"/>
  <c r="BA244" i="2"/>
  <c r="BA245" i="2"/>
  <c r="BA246" i="2"/>
  <c r="BA247" i="2"/>
  <c r="BA248" i="2"/>
  <c r="BA249" i="2"/>
  <c r="BA250" i="2"/>
  <c r="BA251" i="2"/>
  <c r="BA252" i="2"/>
  <c r="BA253" i="2"/>
  <c r="BA254" i="2"/>
  <c r="BA255" i="2"/>
  <c r="BA256" i="2"/>
  <c r="BA257" i="2"/>
  <c r="BA258" i="2"/>
  <c r="BA259" i="2"/>
  <c r="BA260" i="2"/>
  <c r="BA261" i="2"/>
  <c r="BA262" i="2"/>
  <c r="BA263" i="2"/>
  <c r="BA264" i="2"/>
  <c r="BA265" i="2"/>
  <c r="BA266" i="2"/>
  <c r="BA267" i="2"/>
  <c r="BA268" i="2"/>
  <c r="BA269" i="2"/>
  <c r="BA270" i="2"/>
  <c r="BA271" i="2"/>
  <c r="BA272" i="2"/>
  <c r="BA273" i="2"/>
  <c r="BA274" i="2"/>
  <c r="BA275" i="2"/>
  <c r="BA276" i="2"/>
  <c r="BA277" i="2"/>
  <c r="BA278" i="2"/>
  <c r="BA279" i="2"/>
  <c r="BA280" i="2"/>
  <c r="BA281" i="2"/>
  <c r="BA282" i="2"/>
  <c r="BA283" i="2"/>
  <c r="BA284" i="2"/>
  <c r="BA285" i="2"/>
  <c r="BA286" i="2"/>
  <c r="BA287" i="2"/>
  <c r="BA288" i="2"/>
  <c r="BA289" i="2"/>
  <c r="BA290" i="2"/>
  <c r="BA291" i="2"/>
  <c r="BA292" i="2"/>
  <c r="BA293" i="2"/>
  <c r="BA294" i="2"/>
  <c r="BA295" i="2"/>
  <c r="BA296" i="2"/>
  <c r="BA297" i="2"/>
  <c r="BA298" i="2"/>
  <c r="BA299" i="2"/>
  <c r="BA300" i="2"/>
  <c r="BA301" i="2"/>
  <c r="BA302" i="2"/>
  <c r="BA303" i="2"/>
  <c r="BA304" i="2"/>
  <c r="BA305" i="2"/>
  <c r="BA306" i="2"/>
  <c r="BA307" i="2"/>
  <c r="BA308" i="2"/>
  <c r="BA309" i="2"/>
  <c r="BA310" i="2"/>
  <c r="BA311" i="2"/>
  <c r="BA312" i="2"/>
  <c r="BA313" i="2"/>
  <c r="BA314" i="2"/>
  <c r="BA315" i="2"/>
  <c r="BA316" i="2"/>
  <c r="BA317" i="2"/>
  <c r="BA318" i="2"/>
  <c r="BA319" i="2"/>
  <c r="BA320" i="2"/>
  <c r="BA321" i="2"/>
  <c r="BA322" i="2"/>
  <c r="BA323" i="2"/>
  <c r="BA324" i="2"/>
  <c r="BA325" i="2"/>
  <c r="BA326" i="2"/>
  <c r="BA327" i="2"/>
  <c r="BA328" i="2"/>
  <c r="BA329" i="2"/>
  <c r="BA330" i="2"/>
  <c r="BA331" i="2"/>
  <c r="BA332" i="2"/>
  <c r="BA333" i="2"/>
  <c r="BA334" i="2"/>
  <c r="BA335" i="2"/>
  <c r="BA336" i="2"/>
  <c r="BA337" i="2"/>
  <c r="BA338" i="2"/>
  <c r="BA339" i="2"/>
  <c r="BA340" i="2"/>
  <c r="BA341" i="2"/>
  <c r="BA342" i="2"/>
  <c r="BA343" i="2"/>
  <c r="BA344" i="2"/>
  <c r="BA345" i="2"/>
  <c r="BA346" i="2"/>
  <c r="BA347" i="2"/>
  <c r="BA348" i="2"/>
  <c r="BA349" i="2"/>
  <c r="BA350" i="2"/>
  <c r="BA351" i="2"/>
  <c r="BA352" i="2"/>
  <c r="BA353" i="2"/>
  <c r="BA354" i="2"/>
  <c r="BA355" i="2"/>
  <c r="BA356" i="2"/>
  <c r="BA357" i="2"/>
  <c r="BA358" i="2"/>
  <c r="BA359" i="2"/>
  <c r="BA360" i="2"/>
  <c r="BA361" i="2"/>
  <c r="BA362" i="2"/>
  <c r="BA363" i="2"/>
  <c r="BA364" i="2"/>
  <c r="BA365" i="2"/>
  <c r="BA366" i="2"/>
  <c r="BA367" i="2"/>
  <c r="BA368" i="2"/>
  <c r="BA369" i="2"/>
  <c r="BA370" i="2"/>
  <c r="BA371" i="2"/>
  <c r="BA372" i="2"/>
  <c r="BA373" i="2"/>
  <c r="BA374" i="2"/>
  <c r="BA375" i="2"/>
  <c r="BA376" i="2"/>
  <c r="BA377" i="2"/>
  <c r="BA378" i="2"/>
  <c r="BA379" i="2"/>
  <c r="BA380" i="2"/>
  <c r="BA381" i="2"/>
  <c r="BA382" i="2"/>
  <c r="BA383" i="2"/>
  <c r="BA384" i="2"/>
  <c r="BA385" i="2"/>
  <c r="BA386" i="2"/>
  <c r="BA387" i="2"/>
  <c r="BA388" i="2"/>
  <c r="BA389" i="2"/>
  <c r="BA390" i="2"/>
  <c r="BA391" i="2"/>
  <c r="BA392" i="2"/>
  <c r="BA393" i="2"/>
  <c r="BA394" i="2"/>
  <c r="BA395" i="2"/>
  <c r="BA396" i="2"/>
  <c r="BA397" i="2"/>
  <c r="BA398" i="2"/>
  <c r="BA399" i="2"/>
  <c r="BA400" i="2"/>
  <c r="BA401" i="2"/>
  <c r="BA402" i="2"/>
  <c r="BA403" i="2"/>
  <c r="BA404" i="2"/>
  <c r="BA405" i="2"/>
  <c r="BA406" i="2"/>
  <c r="BA407" i="2"/>
  <c r="BA408" i="2"/>
  <c r="BA409" i="2"/>
  <c r="BA410" i="2"/>
  <c r="BA411" i="2"/>
  <c r="BA412" i="2"/>
  <c r="BA413" i="2"/>
  <c r="BA414" i="2"/>
  <c r="BA415" i="2"/>
  <c r="BA416" i="2"/>
  <c r="BA417" i="2"/>
  <c r="BA418" i="2"/>
  <c r="BA419" i="2"/>
  <c r="BA420" i="2"/>
  <c r="BA421" i="2"/>
  <c r="BA422" i="2"/>
  <c r="BA423" i="2"/>
  <c r="BA424" i="2"/>
  <c r="BA425" i="2"/>
  <c r="BA426" i="2"/>
  <c r="BA427" i="2"/>
  <c r="BA428" i="2"/>
  <c r="BA429" i="2"/>
  <c r="BA430" i="2"/>
  <c r="BA431" i="2"/>
  <c r="BA432" i="2"/>
  <c r="BA433" i="2"/>
  <c r="BA434" i="2"/>
  <c r="BA435" i="2"/>
  <c r="BA436" i="2"/>
  <c r="BA437" i="2"/>
  <c r="BA438" i="2"/>
  <c r="BA439" i="2"/>
  <c r="BA440" i="2"/>
  <c r="BA441" i="2"/>
  <c r="BA442" i="2"/>
  <c r="BA443" i="2"/>
  <c r="BA444" i="2"/>
  <c r="BA445" i="2"/>
  <c r="BA446" i="2"/>
  <c r="BA447" i="2"/>
  <c r="BA448" i="2"/>
  <c r="BA449" i="2"/>
  <c r="BA450" i="2"/>
  <c r="BA451" i="2"/>
  <c r="BA452" i="2"/>
  <c r="BA453" i="2"/>
  <c r="BA454" i="2"/>
  <c r="BA455" i="2"/>
  <c r="BA456" i="2"/>
  <c r="BA457" i="2"/>
  <c r="BA458" i="2"/>
  <c r="BA459" i="2"/>
  <c r="BA460" i="2"/>
  <c r="BA461" i="2"/>
  <c r="BA462" i="2"/>
  <c r="BA463" i="2"/>
  <c r="BA464" i="2"/>
  <c r="BA465" i="2"/>
  <c r="BA466" i="2"/>
  <c r="BA467" i="2"/>
  <c r="BA468" i="2"/>
  <c r="BA469" i="2"/>
  <c r="BA470" i="2"/>
  <c r="BA471" i="2"/>
  <c r="BA472" i="2"/>
  <c r="BA473" i="2"/>
  <c r="BA474" i="2"/>
  <c r="BA475" i="2"/>
  <c r="BA476" i="2"/>
  <c r="BA477" i="2"/>
  <c r="BA478" i="2"/>
  <c r="BA479" i="2"/>
  <c r="BA480" i="2"/>
  <c r="BA481" i="2"/>
  <c r="BA482" i="2"/>
  <c r="BA483" i="2"/>
  <c r="BA484" i="2"/>
  <c r="BA485" i="2"/>
  <c r="BA486" i="2"/>
  <c r="BA487" i="2"/>
  <c r="BA488" i="2"/>
  <c r="BA489" i="2"/>
  <c r="BA490" i="2"/>
  <c r="BA491" i="2"/>
  <c r="BA492" i="2"/>
  <c r="BA493" i="2"/>
  <c r="BA494" i="2"/>
  <c r="BA495" i="2"/>
  <c r="BA496" i="2"/>
  <c r="BA497" i="2"/>
  <c r="BA498" i="2"/>
  <c r="BA499" i="2"/>
  <c r="BA500" i="2"/>
  <c r="BA501" i="2"/>
  <c r="BA502" i="2"/>
  <c r="BA503" i="2"/>
  <c r="BA504" i="2"/>
  <c r="BA505" i="2"/>
  <c r="BA506" i="2"/>
  <c r="BA507" i="2"/>
  <c r="BA508" i="2"/>
  <c r="BA509" i="2"/>
  <c r="BA510" i="2"/>
  <c r="BA511" i="2"/>
  <c r="BA512" i="2"/>
  <c r="BA513" i="2"/>
  <c r="BA514" i="2"/>
  <c r="BA515" i="2"/>
  <c r="BA516" i="2"/>
  <c r="BA517" i="2"/>
  <c r="BA518" i="2"/>
  <c r="BA519" i="2"/>
  <c r="BA520" i="2"/>
  <c r="BA521" i="2"/>
  <c r="BA522" i="2"/>
  <c r="BA523" i="2"/>
  <c r="BA524" i="2"/>
  <c r="BA525" i="2"/>
  <c r="BA526" i="2"/>
  <c r="BA527" i="2"/>
  <c r="BA528" i="2"/>
  <c r="BA529" i="2"/>
  <c r="BA530" i="2"/>
  <c r="BA531" i="2"/>
  <c r="BA532" i="2"/>
  <c r="BA533" i="2"/>
  <c r="BA534" i="2"/>
  <c r="BA535" i="2"/>
  <c r="BA536" i="2"/>
  <c r="BA537" i="2"/>
  <c r="BA538" i="2"/>
  <c r="BA539" i="2"/>
  <c r="BA540" i="2"/>
  <c r="BA541" i="2"/>
  <c r="BA542" i="2"/>
  <c r="BA543" i="2"/>
  <c r="BA544" i="2"/>
  <c r="BA545" i="2"/>
  <c r="BA546" i="2"/>
  <c r="BA547" i="2"/>
  <c r="BA548" i="2"/>
  <c r="BA549" i="2"/>
  <c r="BA550" i="2"/>
  <c r="BA551" i="2"/>
  <c r="BA552" i="2"/>
  <c r="BA553" i="2"/>
  <c r="BA554" i="2"/>
  <c r="BA555" i="2"/>
  <c r="BA556" i="2"/>
  <c r="BA557" i="2"/>
  <c r="BA558" i="2"/>
  <c r="BA559" i="2"/>
  <c r="BA560" i="2"/>
  <c r="BA561" i="2"/>
  <c r="BA562" i="2"/>
  <c r="BA563" i="2"/>
  <c r="BA564" i="2"/>
  <c r="BA565" i="2"/>
  <c r="BA566" i="2"/>
  <c r="BA567" i="2"/>
  <c r="BA568" i="2"/>
  <c r="BA569" i="2"/>
  <c r="BA570" i="2"/>
  <c r="BA571" i="2"/>
  <c r="BA572" i="2"/>
  <c r="BA573" i="2"/>
  <c r="BA574" i="2"/>
  <c r="BA575" i="2"/>
  <c r="BA576" i="2"/>
  <c r="BA577" i="2"/>
  <c r="BA578" i="2"/>
  <c r="BA579" i="2"/>
  <c r="BA580" i="2"/>
  <c r="BA581" i="2"/>
  <c r="BA582" i="2"/>
  <c r="BA583" i="2"/>
  <c r="BA584" i="2"/>
  <c r="BA585" i="2"/>
  <c r="BA586" i="2"/>
  <c r="BA587" i="2"/>
  <c r="BA588" i="2"/>
  <c r="BA589" i="2"/>
  <c r="BA590" i="2"/>
  <c r="BA591" i="2"/>
  <c r="BA592" i="2"/>
  <c r="BA593" i="2"/>
  <c r="BA594" i="2"/>
  <c r="BA595" i="2"/>
  <c r="BA596" i="2"/>
  <c r="BA597" i="2"/>
  <c r="BA598" i="2"/>
  <c r="BA599" i="2"/>
  <c r="BA600" i="2"/>
  <c r="BA601" i="2"/>
  <c r="BA602" i="2"/>
  <c r="BA603" i="2"/>
  <c r="BA604" i="2"/>
  <c r="BA605" i="2"/>
  <c r="BA606" i="2"/>
  <c r="BA607" i="2"/>
  <c r="BA608" i="2"/>
  <c r="BA609" i="2"/>
  <c r="BA610" i="2"/>
  <c r="BA611" i="2"/>
  <c r="BA612" i="2"/>
  <c r="BA613" i="2"/>
  <c r="BA614" i="2"/>
  <c r="BA615" i="2"/>
  <c r="BA616" i="2"/>
  <c r="BA617" i="2"/>
  <c r="BA618" i="2"/>
  <c r="BA619" i="2"/>
  <c r="BA620" i="2"/>
  <c r="BA621" i="2"/>
  <c r="BA622" i="2"/>
  <c r="BA623" i="2"/>
  <c r="BA624" i="2"/>
  <c r="BA625" i="2"/>
  <c r="BA626" i="2"/>
  <c r="BA627" i="2"/>
  <c r="BA628" i="2"/>
  <c r="BA629" i="2"/>
  <c r="BA630" i="2"/>
  <c r="BA631" i="2"/>
  <c r="BA632" i="2"/>
  <c r="BA633" i="2"/>
  <c r="BA634" i="2"/>
  <c r="BA635" i="2"/>
  <c r="BA636" i="2"/>
  <c r="BA637" i="2"/>
  <c r="BA638" i="2"/>
  <c r="BA639" i="2"/>
  <c r="BA640" i="2"/>
  <c r="BA641" i="2"/>
  <c r="BA642" i="2"/>
  <c r="BA643" i="2"/>
  <c r="BA644" i="2"/>
  <c r="BA645" i="2"/>
  <c r="BA646" i="2"/>
  <c r="BA647" i="2"/>
  <c r="BA648" i="2"/>
  <c r="BA649" i="2"/>
  <c r="BA650" i="2"/>
  <c r="BA651" i="2"/>
  <c r="BA652" i="2"/>
  <c r="BA653" i="2"/>
  <c r="BA654" i="2"/>
  <c r="BA655" i="2"/>
  <c r="BA656" i="2"/>
  <c r="BA657" i="2"/>
  <c r="BA658" i="2"/>
  <c r="BA659" i="2"/>
  <c r="BA660" i="2"/>
  <c r="BA661" i="2"/>
  <c r="BA662" i="2"/>
  <c r="BA663" i="2"/>
  <c r="BA664" i="2"/>
  <c r="BA665" i="2"/>
  <c r="BA666" i="2"/>
  <c r="BA667" i="2"/>
  <c r="BA668" i="2"/>
  <c r="BA669" i="2"/>
  <c r="BA670" i="2"/>
  <c r="BA671" i="2"/>
  <c r="BA672" i="2"/>
  <c r="BA673" i="2"/>
  <c r="BA674" i="2"/>
  <c r="BA675" i="2"/>
  <c r="BA676" i="2"/>
  <c r="BA677" i="2"/>
  <c r="BA678" i="2"/>
  <c r="BA679" i="2"/>
  <c r="BA680" i="2"/>
  <c r="BA681" i="2"/>
  <c r="BA682" i="2"/>
  <c r="BA683" i="2"/>
  <c r="BA684" i="2"/>
  <c r="BA685" i="2"/>
  <c r="BA686" i="2"/>
  <c r="BA687" i="2"/>
  <c r="BA688" i="2"/>
  <c r="BA689" i="2"/>
  <c r="BA690" i="2"/>
  <c r="BA691" i="2"/>
  <c r="BA692" i="2"/>
  <c r="BA693" i="2"/>
  <c r="BA694" i="2"/>
  <c r="BA695" i="2"/>
  <c r="BA696" i="2"/>
  <c r="BA697" i="2"/>
  <c r="BA698" i="2"/>
  <c r="BA699" i="2"/>
  <c r="BA700" i="2"/>
  <c r="BA701" i="2"/>
  <c r="BA702" i="2"/>
  <c r="BA703" i="2"/>
  <c r="BA704" i="2"/>
  <c r="BA705" i="2"/>
  <c r="BA706" i="2"/>
  <c r="BA707" i="2"/>
  <c r="BA708" i="2"/>
  <c r="BA709" i="2"/>
  <c r="BA710" i="2"/>
  <c r="BA711" i="2"/>
  <c r="BA712" i="2"/>
  <c r="BA713" i="2"/>
  <c r="BA714" i="2"/>
  <c r="BA715" i="2"/>
  <c r="BA716" i="2"/>
  <c r="BA717" i="2"/>
  <c r="BA718" i="2"/>
  <c r="BA719" i="2"/>
  <c r="BA720" i="2"/>
  <c r="BA721" i="2"/>
  <c r="BA722" i="2"/>
  <c r="BA723" i="2"/>
  <c r="BA724" i="2"/>
  <c r="BA725" i="2"/>
  <c r="BA726" i="2"/>
  <c r="BA727" i="2"/>
  <c r="BA728" i="2"/>
  <c r="BA729" i="2"/>
  <c r="BA730" i="2"/>
  <c r="BA731" i="2"/>
  <c r="BA732" i="2"/>
  <c r="BA733" i="2"/>
  <c r="BA734" i="2"/>
  <c r="BA735" i="2"/>
  <c r="BA736" i="2"/>
  <c r="BA737" i="2"/>
  <c r="BA738" i="2"/>
  <c r="BA739" i="2"/>
  <c r="BA740" i="2"/>
  <c r="BA741" i="2"/>
  <c r="BA742" i="2"/>
  <c r="BA743" i="2"/>
  <c r="BA744" i="2"/>
  <c r="BA745" i="2"/>
  <c r="BA746" i="2"/>
  <c r="BA747" i="2"/>
  <c r="BA748" i="2"/>
  <c r="BA749" i="2"/>
  <c r="BA750" i="2"/>
  <c r="BA751" i="2"/>
  <c r="BA752" i="2"/>
  <c r="BA753" i="2"/>
  <c r="BA754" i="2"/>
  <c r="BA755" i="2"/>
  <c r="BA756" i="2"/>
  <c r="BA757" i="2"/>
  <c r="BA758" i="2"/>
  <c r="BA759" i="2"/>
  <c r="BA760" i="2"/>
  <c r="BA761" i="2"/>
  <c r="BA762" i="2"/>
  <c r="BA763" i="2"/>
  <c r="BA764" i="2"/>
  <c r="BA765" i="2"/>
  <c r="BA766" i="2"/>
  <c r="BA767" i="2"/>
  <c r="BA768" i="2"/>
  <c r="BA769" i="2"/>
  <c r="BA770" i="2"/>
  <c r="BA771" i="2"/>
  <c r="BA772" i="2"/>
  <c r="BA773" i="2"/>
  <c r="BA774" i="2"/>
  <c r="BA775" i="2"/>
  <c r="BA776" i="2"/>
  <c r="BA777" i="2"/>
  <c r="BA778" i="2"/>
  <c r="BA779" i="2"/>
  <c r="BA780" i="2"/>
  <c r="BA781" i="2"/>
  <c r="BA782" i="2"/>
  <c r="BA783" i="2"/>
  <c r="BA784" i="2"/>
  <c r="BA785" i="2"/>
  <c r="BA786" i="2"/>
  <c r="BA787" i="2"/>
  <c r="BA788" i="2"/>
  <c r="BA789" i="2"/>
  <c r="BA790" i="2"/>
  <c r="BA791" i="2"/>
  <c r="BA792" i="2"/>
  <c r="BA793" i="2"/>
  <c r="BA794" i="2"/>
  <c r="BA795" i="2"/>
  <c r="BA796" i="2"/>
  <c r="BA797" i="2"/>
  <c r="BA798" i="2"/>
  <c r="BA799" i="2"/>
  <c r="BA800" i="2"/>
  <c r="BA801" i="2"/>
  <c r="BA802" i="2"/>
  <c r="BA803" i="2"/>
  <c r="BA804" i="2"/>
  <c r="BA805" i="2"/>
  <c r="BA806" i="2"/>
  <c r="BA807" i="2"/>
  <c r="BA808" i="2"/>
  <c r="BA809" i="2"/>
  <c r="BA810" i="2"/>
  <c r="BA811" i="2"/>
  <c r="BA812" i="2"/>
  <c r="BA813" i="2"/>
  <c r="BA814" i="2"/>
  <c r="BA815" i="2"/>
  <c r="BA816" i="2"/>
  <c r="BA817" i="2"/>
  <c r="BA818" i="2"/>
  <c r="BA819" i="2"/>
  <c r="BA820" i="2"/>
  <c r="BA821" i="2"/>
  <c r="BA822" i="2"/>
  <c r="BA823" i="2"/>
  <c r="BA824" i="2"/>
  <c r="BA825" i="2"/>
  <c r="BA826" i="2"/>
  <c r="BA827" i="2"/>
  <c r="BA828" i="2"/>
  <c r="BA829" i="2"/>
  <c r="BA830" i="2"/>
  <c r="BA831" i="2"/>
  <c r="BA832" i="2"/>
  <c r="BA833" i="2"/>
  <c r="BA834" i="2"/>
  <c r="BA835" i="2"/>
  <c r="BA836" i="2"/>
  <c r="BA837" i="2"/>
  <c r="BA838" i="2"/>
  <c r="BA839" i="2"/>
  <c r="BA840" i="2"/>
  <c r="BA841" i="2"/>
  <c r="BA842" i="2"/>
  <c r="BA843" i="2"/>
  <c r="BA844" i="2"/>
  <c r="BA845" i="2"/>
  <c r="BA846" i="2"/>
  <c r="BA847" i="2"/>
  <c r="BA848" i="2"/>
  <c r="BA849" i="2"/>
  <c r="BA850" i="2"/>
  <c r="BA851" i="2"/>
  <c r="BA852" i="2"/>
  <c r="BA853" i="2"/>
  <c r="BA854" i="2"/>
  <c r="BA855" i="2"/>
  <c r="BA856" i="2"/>
  <c r="BA857" i="2"/>
  <c r="BA858" i="2"/>
  <c r="BA859" i="2"/>
  <c r="BA860" i="2"/>
  <c r="BA861" i="2"/>
  <c r="BA862" i="2"/>
  <c r="BA863" i="2"/>
  <c r="BA864" i="2"/>
  <c r="BA865" i="2"/>
  <c r="BA866" i="2"/>
  <c r="BA867" i="2"/>
  <c r="BA868" i="2"/>
  <c r="BA869" i="2"/>
  <c r="BA870" i="2"/>
  <c r="BA871" i="2"/>
  <c r="BA872" i="2"/>
  <c r="BA873" i="2"/>
  <c r="BA874" i="2"/>
  <c r="BA875" i="2"/>
  <c r="BA876" i="2"/>
  <c r="BA877" i="2"/>
  <c r="BA878" i="2"/>
  <c r="BA879" i="2"/>
  <c r="BA880" i="2"/>
  <c r="BA881" i="2"/>
  <c r="BA882" i="2"/>
  <c r="BA883" i="2"/>
  <c r="BA884" i="2"/>
  <c r="BA885" i="2"/>
  <c r="BA886" i="2"/>
  <c r="BA887" i="2"/>
  <c r="BA888" i="2"/>
  <c r="BA889" i="2"/>
  <c r="BA890" i="2"/>
  <c r="BA891" i="2"/>
  <c r="BA892" i="2"/>
  <c r="BA893" i="2"/>
  <c r="BA894" i="2"/>
  <c r="BA895" i="2"/>
  <c r="BA896" i="2"/>
  <c r="BA897" i="2"/>
  <c r="BA898" i="2"/>
  <c r="BA899" i="2"/>
  <c r="BA900" i="2"/>
  <c r="BA901" i="2"/>
  <c r="BA902" i="2"/>
  <c r="BA903" i="2"/>
  <c r="BA904" i="2"/>
  <c r="BA905" i="2"/>
  <c r="BA906" i="2"/>
  <c r="BA907" i="2"/>
  <c r="BA908" i="2"/>
  <c r="BA909" i="2"/>
  <c r="BA910" i="2"/>
  <c r="BA911" i="2"/>
  <c r="BA912" i="2"/>
  <c r="BA913" i="2"/>
  <c r="BA914" i="2"/>
  <c r="BA915" i="2"/>
  <c r="BA916" i="2"/>
  <c r="BA917" i="2"/>
  <c r="BA918" i="2"/>
  <c r="BA919" i="2"/>
  <c r="BA920" i="2"/>
  <c r="BA921" i="2"/>
  <c r="BA922" i="2"/>
  <c r="BA923" i="2"/>
  <c r="BA924" i="2"/>
  <c r="BA925" i="2"/>
  <c r="BA926" i="2"/>
  <c r="BA927" i="2"/>
  <c r="BA928" i="2"/>
  <c r="BA929" i="2"/>
  <c r="BA930" i="2"/>
  <c r="BA931" i="2"/>
  <c r="BA932" i="2"/>
  <c r="BA933" i="2"/>
  <c r="BA934" i="2"/>
  <c r="BA935" i="2"/>
  <c r="BA936" i="2"/>
  <c r="BA937" i="2"/>
  <c r="BA938" i="2"/>
  <c r="BA939" i="2"/>
  <c r="BA940" i="2"/>
  <c r="BA941" i="2"/>
  <c r="BA942" i="2"/>
  <c r="BA943" i="2"/>
  <c r="BA944" i="2"/>
  <c r="BA945" i="2"/>
  <c r="BA946" i="2"/>
  <c r="BA947" i="2"/>
  <c r="BA948" i="2"/>
  <c r="BA949" i="2"/>
  <c r="BA950" i="2"/>
  <c r="BA951" i="2"/>
  <c r="BA952" i="2"/>
  <c r="BA953" i="2"/>
  <c r="BA954" i="2"/>
  <c r="BA955" i="2"/>
  <c r="BA956" i="2"/>
  <c r="BA957" i="2"/>
  <c r="BA958" i="2"/>
  <c r="BA959" i="2"/>
  <c r="BA960" i="2"/>
  <c r="BA961" i="2"/>
  <c r="BA962" i="2"/>
  <c r="BA963" i="2"/>
  <c r="BA964" i="2"/>
  <c r="BA965" i="2"/>
  <c r="BA966" i="2"/>
  <c r="BA967" i="2"/>
  <c r="BA968" i="2"/>
  <c r="BA969" i="2"/>
  <c r="BA970" i="2"/>
  <c r="BA971" i="2"/>
  <c r="BA972" i="2"/>
  <c r="BA973" i="2"/>
  <c r="BA974" i="2"/>
  <c r="BA975" i="2"/>
  <c r="BA976" i="2"/>
  <c r="BA977" i="2"/>
  <c r="BA978" i="2"/>
  <c r="BA979" i="2"/>
  <c r="BA980" i="2"/>
  <c r="BA981" i="2"/>
  <c r="BA982" i="2"/>
  <c r="BA983" i="2"/>
  <c r="BA984" i="2"/>
  <c r="BA985" i="2"/>
  <c r="BA986" i="2"/>
  <c r="BA987" i="2"/>
  <c r="BA988" i="2"/>
  <c r="BA989" i="2"/>
  <c r="BA990" i="2"/>
  <c r="BA991" i="2"/>
  <c r="BA992" i="2"/>
  <c r="BA993" i="2"/>
  <c r="BA994" i="2"/>
  <c r="BA995" i="2"/>
  <c r="BA996" i="2"/>
  <c r="BA997" i="2"/>
  <c r="BA998" i="2"/>
  <c r="BA999" i="2"/>
  <c r="BA1000" i="2"/>
  <c r="BA1001" i="2"/>
  <c r="BA1002" i="2"/>
  <c r="BA1003" i="2"/>
  <c r="BA1004" i="2"/>
  <c r="BA1005" i="2"/>
  <c r="BA1006" i="2"/>
  <c r="BA1007" i="2"/>
  <c r="BA1008" i="2"/>
  <c r="BA1009" i="2"/>
  <c r="BA1010" i="2"/>
  <c r="BA1011" i="2"/>
  <c r="BA1012" i="2"/>
  <c r="BA1013" i="2"/>
  <c r="BA1014" i="2"/>
  <c r="BA1015" i="2"/>
  <c r="BA1016" i="2"/>
  <c r="BA1017" i="2"/>
  <c r="BA1018" i="2"/>
  <c r="BA1019" i="2"/>
  <c r="BA1020" i="2"/>
  <c r="BA1021" i="2"/>
  <c r="BA1022" i="2"/>
  <c r="BA1023" i="2"/>
  <c r="BA1024" i="2"/>
  <c r="BA1025" i="2"/>
  <c r="BA1026" i="2"/>
  <c r="BA1027" i="2"/>
  <c r="BA1028" i="2"/>
  <c r="BA1029" i="2"/>
  <c r="BA1030" i="2"/>
  <c r="BA1031" i="2"/>
  <c r="BA1032" i="2"/>
  <c r="BA1033" i="2"/>
  <c r="BA1034" i="2"/>
  <c r="BA1035" i="2"/>
  <c r="BA1036" i="2"/>
  <c r="BA1037" i="2"/>
  <c r="BA1038" i="2"/>
  <c r="BA1039" i="2"/>
  <c r="BA1040" i="2"/>
  <c r="BA1041" i="2"/>
  <c r="BA1042" i="2"/>
  <c r="BA1043" i="2"/>
  <c r="BA1044" i="2"/>
  <c r="BA1045" i="2"/>
  <c r="BA1046" i="2"/>
  <c r="BA1047" i="2"/>
  <c r="BA1048" i="2"/>
  <c r="BA1049" i="2"/>
  <c r="BA1050" i="2"/>
  <c r="BA1051" i="2"/>
  <c r="BA1052" i="2"/>
  <c r="BA1053" i="2"/>
  <c r="BA1054" i="2"/>
  <c r="BA1055" i="2"/>
  <c r="BA1056" i="2"/>
  <c r="BA1057" i="2"/>
  <c r="BA1058" i="2"/>
  <c r="BA1059" i="2"/>
  <c r="BA1060" i="2"/>
  <c r="BA1061" i="2"/>
  <c r="BA1062" i="2"/>
  <c r="BA1063" i="2"/>
  <c r="BA1064" i="2"/>
  <c r="BA1065" i="2"/>
  <c r="BA1066" i="2"/>
  <c r="BA1067" i="2"/>
  <c r="BA1068" i="2"/>
  <c r="BA1069" i="2"/>
  <c r="BA1070" i="2"/>
  <c r="BA1071" i="2"/>
  <c r="BA1072" i="2"/>
  <c r="BA1073" i="2"/>
  <c r="BA1074" i="2"/>
  <c r="BA1075" i="2"/>
  <c r="BA1076" i="2"/>
  <c r="BA1077" i="2"/>
  <c r="BA1078" i="2"/>
  <c r="BA1079" i="2"/>
  <c r="BA1080" i="2"/>
  <c r="BA1081" i="2"/>
  <c r="BA1082" i="2"/>
  <c r="BA1083" i="2"/>
  <c r="BA1084" i="2"/>
  <c r="BA1085" i="2"/>
  <c r="BA1086" i="2"/>
  <c r="BA1087" i="2"/>
  <c r="BA1088" i="2"/>
  <c r="BA1089" i="2"/>
  <c r="BA1090" i="2"/>
  <c r="BA1091" i="2"/>
  <c r="BA1092" i="2"/>
  <c r="BA1093" i="2"/>
  <c r="BA1094" i="2"/>
  <c r="BA1095" i="2"/>
  <c r="BA1096" i="2"/>
  <c r="BA1097" i="2"/>
  <c r="BA1098" i="2"/>
  <c r="BA1099" i="2"/>
  <c r="BA1100" i="2"/>
  <c r="BA1101" i="2"/>
  <c r="BA1102" i="2"/>
  <c r="BA1103" i="2"/>
  <c r="BA1104" i="2"/>
  <c r="BA1105" i="2"/>
  <c r="BA1106" i="2"/>
  <c r="BA1107" i="2"/>
  <c r="BA1108" i="2"/>
  <c r="BA1109" i="2"/>
  <c r="BA1110" i="2"/>
  <c r="BA1111" i="2"/>
  <c r="BA1112" i="2"/>
  <c r="BA1113" i="2"/>
  <c r="BA1114" i="2"/>
  <c r="BA1115" i="2"/>
  <c r="BA1116" i="2"/>
  <c r="BA1117" i="2"/>
  <c r="BA1118" i="2"/>
  <c r="BA1119" i="2"/>
  <c r="BA1120" i="2"/>
  <c r="BA1121" i="2"/>
  <c r="BA1122" i="2"/>
  <c r="BA1123" i="2"/>
  <c r="BA1124" i="2"/>
  <c r="BA1125" i="2"/>
  <c r="BA1126" i="2"/>
  <c r="BA1127" i="2"/>
  <c r="BA1128" i="2"/>
  <c r="BA1129" i="2"/>
  <c r="BA1130" i="2"/>
  <c r="BA1131" i="2"/>
  <c r="BA1132" i="2"/>
  <c r="BA1133" i="2"/>
  <c r="BA1134" i="2"/>
  <c r="BA1135" i="2"/>
  <c r="BA1136" i="2"/>
  <c r="BA1137" i="2"/>
  <c r="BA1138" i="2"/>
  <c r="BA1139" i="2"/>
  <c r="BA1140" i="2"/>
  <c r="BA1141" i="2"/>
  <c r="BA1142" i="2"/>
  <c r="BA1143" i="2"/>
  <c r="BA1144" i="2"/>
  <c r="BA1145" i="2"/>
  <c r="BA1146" i="2"/>
  <c r="BA1147" i="2"/>
  <c r="BA1148" i="2"/>
  <c r="BA1149" i="2"/>
  <c r="BA1150" i="2"/>
  <c r="BA1151" i="2"/>
  <c r="BA1152" i="2"/>
  <c r="BA1153" i="2"/>
  <c r="BA1154" i="2"/>
  <c r="BA1155" i="2"/>
  <c r="BA1156" i="2"/>
  <c r="BA1157" i="2"/>
  <c r="BA1158" i="2"/>
  <c r="BA1159" i="2"/>
  <c r="BA1160" i="2"/>
  <c r="BA1161" i="2"/>
  <c r="BA1162" i="2"/>
  <c r="BA1163" i="2"/>
  <c r="BA1164" i="2"/>
  <c r="BA1165" i="2"/>
  <c r="BA1166" i="2"/>
  <c r="BA1167" i="2"/>
  <c r="BA1168" i="2"/>
  <c r="BA1169" i="2"/>
  <c r="BA1170" i="2"/>
  <c r="BA1171" i="2"/>
  <c r="BA1172" i="2"/>
  <c r="BA1173" i="2"/>
  <c r="BA1174" i="2"/>
  <c r="BA1175" i="2"/>
  <c r="BA1176" i="2"/>
  <c r="BA1177" i="2"/>
  <c r="BA1178" i="2"/>
  <c r="BA1179" i="2"/>
  <c r="BA1180" i="2"/>
  <c r="BA1181" i="2"/>
  <c r="BA1182" i="2"/>
  <c r="BA1183" i="2"/>
  <c r="BA1184" i="2"/>
  <c r="BA1185" i="2"/>
  <c r="BA1186" i="2"/>
  <c r="BA1187" i="2"/>
  <c r="BA1188" i="2"/>
  <c r="BA1189" i="2"/>
  <c r="BA1190" i="2"/>
  <c r="BA1191" i="2"/>
  <c r="BA1192" i="2"/>
  <c r="BA1193" i="2"/>
  <c r="BA1194" i="2"/>
  <c r="BA1195" i="2"/>
  <c r="BA1196" i="2"/>
  <c r="BA1197" i="2"/>
  <c r="BA1198" i="2"/>
  <c r="BA1199" i="2"/>
  <c r="BA1200" i="2"/>
  <c r="BA1201" i="2"/>
  <c r="BA1202" i="2"/>
  <c r="BA1203" i="2"/>
  <c r="BA1204" i="2"/>
  <c r="BA1205" i="2"/>
  <c r="BA1206" i="2"/>
  <c r="BA1207" i="2"/>
  <c r="BA1208" i="2"/>
  <c r="BA1209" i="2"/>
  <c r="BA1210" i="2"/>
  <c r="BA1211" i="2"/>
  <c r="BA1212" i="2"/>
  <c r="BA1213" i="2"/>
  <c r="BA1214" i="2"/>
  <c r="BA1215" i="2"/>
  <c r="BA1216" i="2"/>
  <c r="BA1217" i="2"/>
  <c r="BA1218" i="2"/>
  <c r="BA1219" i="2"/>
  <c r="BA1220" i="2"/>
  <c r="BA1221" i="2"/>
  <c r="BA1222" i="2"/>
  <c r="BA1223" i="2"/>
  <c r="BA1224" i="2"/>
  <c r="BA1225" i="2"/>
  <c r="BA1226" i="2"/>
  <c r="BA1227" i="2"/>
  <c r="BA1228" i="2"/>
  <c r="BA1229" i="2"/>
  <c r="BA1230" i="2"/>
  <c r="BA1231" i="2"/>
  <c r="BA1232" i="2"/>
  <c r="BA1233" i="2"/>
  <c r="BA1234" i="2"/>
  <c r="BA1235" i="2"/>
  <c r="BA1236" i="2"/>
  <c r="BA1237" i="2"/>
  <c r="BA1238" i="2"/>
  <c r="BA1239" i="2"/>
  <c r="BA1240" i="2"/>
  <c r="BA1241" i="2"/>
  <c r="BA1242" i="2"/>
  <c r="BA1243" i="2"/>
  <c r="BA1244" i="2"/>
  <c r="BA1245" i="2"/>
  <c r="BA1246" i="2"/>
  <c r="BA1247" i="2"/>
  <c r="BA1248" i="2"/>
  <c r="BA1249" i="2"/>
  <c r="BA1250" i="2"/>
  <c r="BA1251" i="2"/>
  <c r="BA1252" i="2"/>
  <c r="BA1253" i="2"/>
  <c r="BA1254" i="2"/>
  <c r="BA1255" i="2"/>
  <c r="BA1256" i="2"/>
  <c r="BA1257" i="2"/>
  <c r="BA1258" i="2"/>
  <c r="BA1259" i="2"/>
  <c r="BA1260" i="2"/>
  <c r="BA1261" i="2"/>
  <c r="BA1262" i="2"/>
  <c r="BA1263" i="2"/>
  <c r="BA1264" i="2"/>
  <c r="BA1265" i="2"/>
  <c r="BA1266" i="2"/>
  <c r="BA1267" i="2"/>
  <c r="BA1268" i="2"/>
  <c r="BA1269" i="2"/>
  <c r="BA1270" i="2"/>
  <c r="BA1271" i="2"/>
  <c r="BA1272" i="2"/>
  <c r="BA1273" i="2"/>
  <c r="BA1274" i="2"/>
  <c r="BA1275" i="2"/>
  <c r="BA1276" i="2"/>
  <c r="BA1277" i="2"/>
  <c r="BA1278" i="2"/>
  <c r="BA1279" i="2"/>
  <c r="BA1280" i="2"/>
  <c r="BA1281" i="2"/>
  <c r="BA1282" i="2"/>
  <c r="BA1283" i="2"/>
  <c r="BA1284" i="2"/>
  <c r="BA1285" i="2"/>
  <c r="BA1286" i="2"/>
  <c r="BA1287" i="2"/>
  <c r="BA1288" i="2"/>
  <c r="BA1289" i="2"/>
  <c r="BA1290" i="2"/>
  <c r="BA1291" i="2"/>
  <c r="BA1292" i="2"/>
  <c r="BA1293" i="2"/>
  <c r="BA1294" i="2"/>
  <c r="BA1295" i="2"/>
  <c r="BA1296" i="2"/>
  <c r="BA1297" i="2"/>
  <c r="BA1298" i="2"/>
  <c r="BA1299" i="2"/>
  <c r="BA1300" i="2"/>
  <c r="BA1301" i="2"/>
  <c r="BA1302" i="2"/>
  <c r="BA1303" i="2"/>
  <c r="BA1304" i="2"/>
  <c r="BA1305" i="2"/>
  <c r="BA1306" i="2"/>
  <c r="BA1307" i="2"/>
  <c r="BA1308" i="2"/>
  <c r="BA1309" i="2"/>
  <c r="BA1310" i="2"/>
  <c r="BA1311" i="2"/>
  <c r="BA1312" i="2"/>
  <c r="BA1313" i="2"/>
  <c r="BA1314" i="2"/>
  <c r="BA1315" i="2"/>
  <c r="BA1316" i="2"/>
  <c r="BA1317" i="2"/>
  <c r="BA1318" i="2"/>
  <c r="BA1319" i="2"/>
  <c r="BA1320" i="2"/>
  <c r="BA1321" i="2"/>
  <c r="BA1322" i="2"/>
  <c r="BA1323" i="2"/>
  <c r="BA1324" i="2"/>
  <c r="BA1325" i="2"/>
  <c r="BA1326" i="2"/>
  <c r="BA1327" i="2"/>
  <c r="BA1328" i="2"/>
  <c r="BA1329" i="2"/>
  <c r="BA1330" i="2"/>
  <c r="BA1331" i="2"/>
  <c r="BA1332" i="2"/>
  <c r="BA1333" i="2"/>
  <c r="BA1334" i="2"/>
  <c r="BA1335" i="2"/>
  <c r="BA1336" i="2"/>
  <c r="BA1337" i="2"/>
  <c r="BA1338" i="2"/>
  <c r="BA1339" i="2"/>
  <c r="BA1340" i="2"/>
  <c r="BA1341" i="2"/>
  <c r="BA1342" i="2"/>
  <c r="BA1343" i="2"/>
  <c r="BA1344" i="2"/>
  <c r="BA1345" i="2"/>
  <c r="BA1346" i="2"/>
  <c r="BA1347" i="2"/>
  <c r="BA1348" i="2"/>
  <c r="BA1349" i="2"/>
  <c r="BA1350" i="2"/>
  <c r="BA1351" i="2"/>
  <c r="BA1352" i="2"/>
  <c r="BA1353" i="2"/>
  <c r="BA1354" i="2"/>
  <c r="BA1355" i="2"/>
  <c r="BA1356" i="2"/>
  <c r="BA1357" i="2"/>
  <c r="BA1358" i="2"/>
  <c r="BA1359" i="2"/>
  <c r="BA1360" i="2"/>
  <c r="BA1361" i="2"/>
  <c r="BA1362" i="2"/>
  <c r="BA1363" i="2"/>
  <c r="BA1364" i="2"/>
  <c r="BA1365" i="2"/>
  <c r="BA1366" i="2"/>
  <c r="BA1367" i="2"/>
  <c r="BA1368" i="2"/>
  <c r="BA1369" i="2"/>
  <c r="BA1370" i="2"/>
  <c r="BA1371" i="2"/>
  <c r="BA1372" i="2"/>
  <c r="BA1373" i="2"/>
  <c r="BA1374" i="2"/>
  <c r="BA1375" i="2"/>
  <c r="BA1376" i="2"/>
  <c r="BA1377" i="2"/>
  <c r="BA1378" i="2"/>
  <c r="BA1379" i="2"/>
  <c r="BA1380" i="2"/>
  <c r="BA1381" i="2"/>
  <c r="BA1382" i="2"/>
  <c r="BA1383" i="2"/>
  <c r="BA1384" i="2"/>
  <c r="BA1385" i="2"/>
  <c r="BA1386" i="2"/>
  <c r="BA1387" i="2"/>
  <c r="BA1388" i="2"/>
  <c r="BA1389" i="2"/>
  <c r="BA1390" i="2"/>
  <c r="BA1391" i="2"/>
  <c r="BA1392" i="2"/>
  <c r="BA1393" i="2"/>
  <c r="BA1394" i="2"/>
  <c r="BA1395" i="2"/>
  <c r="BA1396" i="2"/>
  <c r="BA1397" i="2"/>
  <c r="BA1398" i="2"/>
  <c r="BA1399" i="2"/>
  <c r="BA1400" i="2"/>
  <c r="BA1401" i="2"/>
  <c r="BA1402" i="2"/>
  <c r="BA1403" i="2"/>
  <c r="BA1404" i="2"/>
  <c r="BA1405" i="2"/>
  <c r="BA1406" i="2"/>
  <c r="BA1407" i="2"/>
  <c r="BA1408" i="2"/>
  <c r="BA1409" i="2"/>
  <c r="BA1410" i="2"/>
  <c r="BA1411" i="2"/>
  <c r="BA1412" i="2"/>
  <c r="BA1413" i="2"/>
  <c r="BA1414" i="2"/>
  <c r="BA1415" i="2"/>
  <c r="BA1416" i="2"/>
  <c r="BA1417" i="2"/>
  <c r="BA1418" i="2"/>
  <c r="BA1419" i="2"/>
  <c r="BA1420" i="2"/>
  <c r="BA1421" i="2"/>
  <c r="BA1422" i="2"/>
  <c r="BA1423" i="2"/>
  <c r="BA1424" i="2"/>
  <c r="BA1425" i="2"/>
  <c r="BA1426" i="2"/>
  <c r="BA1427" i="2"/>
  <c r="BA1428" i="2"/>
  <c r="BA1429" i="2"/>
  <c r="BA1430" i="2"/>
  <c r="BA1431" i="2"/>
  <c r="BA1432" i="2"/>
  <c r="BA1433" i="2"/>
  <c r="BA1434" i="2"/>
  <c r="BA1435" i="2"/>
  <c r="BA1436" i="2"/>
  <c r="BA1437" i="2"/>
  <c r="BA1438" i="2"/>
  <c r="BA1439" i="2"/>
  <c r="BA1440" i="2"/>
  <c r="BA1441" i="2"/>
  <c r="BA1442" i="2"/>
  <c r="BA1443" i="2"/>
  <c r="BA1444" i="2"/>
  <c r="BA1445" i="2"/>
  <c r="BA1446" i="2"/>
  <c r="BA1447" i="2"/>
  <c r="BA1448" i="2"/>
  <c r="BA1449" i="2"/>
  <c r="BA1450" i="2"/>
  <c r="BA1451" i="2"/>
  <c r="BA1452" i="2"/>
  <c r="BA1453" i="2"/>
  <c r="BA1454" i="2"/>
  <c r="BA1455" i="2"/>
  <c r="BA1456" i="2"/>
  <c r="BA1457" i="2"/>
  <c r="BA1458" i="2"/>
  <c r="BA1459" i="2"/>
  <c r="BA1460" i="2"/>
  <c r="BA1461" i="2"/>
  <c r="BA1462" i="2"/>
  <c r="BA1463" i="2"/>
  <c r="BA1464" i="2"/>
  <c r="BA1465" i="2"/>
  <c r="BA1466" i="2"/>
  <c r="BA1467" i="2"/>
  <c r="BA1468" i="2"/>
  <c r="BA1469" i="2"/>
  <c r="BA1470" i="2"/>
  <c r="BA1471" i="2"/>
  <c r="BA1472" i="2"/>
  <c r="BA1473" i="2"/>
  <c r="BA1474" i="2"/>
  <c r="BA1475" i="2"/>
  <c r="BA1476" i="2"/>
  <c r="BA1477" i="2"/>
  <c r="BA1478" i="2"/>
  <c r="BA1479" i="2"/>
  <c r="BA1480" i="2"/>
  <c r="BA1481" i="2"/>
  <c r="BA1482" i="2"/>
  <c r="BA1483" i="2"/>
  <c r="BA1484" i="2"/>
  <c r="BA1485" i="2"/>
  <c r="BA1486" i="2"/>
  <c r="BA1487" i="2"/>
  <c r="BA1488" i="2"/>
  <c r="BA1489" i="2"/>
  <c r="BA1490" i="2"/>
  <c r="BA1491" i="2"/>
  <c r="BA1492" i="2"/>
  <c r="BA1493" i="2"/>
  <c r="BA1494" i="2"/>
  <c r="BA1495" i="2"/>
  <c r="BA1496" i="2"/>
  <c r="BA1497" i="2"/>
  <c r="BA1498" i="2"/>
  <c r="BA1499" i="2"/>
  <c r="BA1500" i="2"/>
  <c r="BA1501" i="2"/>
  <c r="BA1502" i="2"/>
  <c r="BA1503" i="2"/>
  <c r="BA1504" i="2"/>
  <c r="BA1505" i="2"/>
  <c r="BA1506" i="2"/>
  <c r="BA1507" i="2"/>
  <c r="BA1508" i="2"/>
  <c r="BA1509" i="2"/>
  <c r="BA1510" i="2"/>
  <c r="BA1511" i="2"/>
  <c r="BA1512" i="2"/>
  <c r="BA1513" i="2"/>
  <c r="BA1514" i="2"/>
  <c r="BA1515" i="2"/>
  <c r="BA1516" i="2"/>
  <c r="BA1517" i="2"/>
  <c r="BA1518" i="2"/>
  <c r="BA1519" i="2"/>
  <c r="BA1520" i="2"/>
  <c r="BA1521" i="2"/>
  <c r="BA1522" i="2"/>
  <c r="BA1523" i="2"/>
  <c r="BA1524" i="2"/>
  <c r="BA1525" i="2"/>
  <c r="BA1526" i="2"/>
  <c r="BA1527" i="2"/>
  <c r="BA1528" i="2"/>
  <c r="BA1529" i="2"/>
  <c r="BA1530" i="2"/>
  <c r="BA1531" i="2"/>
  <c r="BA1532" i="2"/>
  <c r="BA1533" i="2"/>
  <c r="BA1534" i="2"/>
  <c r="BA1535" i="2"/>
  <c r="BA1536" i="2"/>
  <c r="BA1537" i="2"/>
  <c r="BA1538" i="2"/>
  <c r="BA1539" i="2"/>
  <c r="BA1540" i="2"/>
  <c r="BA1541" i="2"/>
  <c r="BA1542" i="2"/>
  <c r="BA1543" i="2"/>
  <c r="BA1544" i="2"/>
  <c r="BA1545" i="2"/>
  <c r="BA1546" i="2"/>
  <c r="BA1547" i="2"/>
  <c r="BA1548" i="2"/>
  <c r="BA1549" i="2"/>
  <c r="BA1550" i="2"/>
  <c r="BA1551" i="2"/>
  <c r="BA1552" i="2"/>
  <c r="BA1553" i="2"/>
  <c r="BA1554" i="2"/>
  <c r="BA1555" i="2"/>
  <c r="BA1556" i="2"/>
  <c r="BA1557" i="2"/>
  <c r="BA1558" i="2"/>
  <c r="BA1559" i="2"/>
  <c r="BA1560" i="2"/>
  <c r="BA1561" i="2"/>
  <c r="BA1562" i="2"/>
  <c r="BA1563" i="2"/>
  <c r="BA1564" i="2"/>
  <c r="BA1565" i="2"/>
  <c r="BA1566" i="2"/>
  <c r="BA1567" i="2"/>
  <c r="BA1568" i="2"/>
  <c r="BA1569" i="2"/>
  <c r="BA1570" i="2"/>
  <c r="BA1571" i="2"/>
  <c r="BA1572" i="2"/>
  <c r="BA1573" i="2"/>
  <c r="BA1574" i="2"/>
  <c r="BA1575" i="2"/>
  <c r="BA1576" i="2"/>
  <c r="BA1577" i="2"/>
  <c r="BA1578" i="2"/>
  <c r="BA1579" i="2"/>
  <c r="BA1580" i="2"/>
  <c r="BA1581" i="2"/>
  <c r="BA1582" i="2"/>
  <c r="BA1583" i="2"/>
  <c r="BA1584" i="2"/>
  <c r="BA1585" i="2"/>
  <c r="BA1586" i="2"/>
  <c r="BA1587" i="2"/>
  <c r="BA1588" i="2"/>
  <c r="BA1589" i="2"/>
  <c r="BA1590" i="2"/>
  <c r="BA1591" i="2"/>
  <c r="BA1592" i="2"/>
  <c r="BA1593" i="2"/>
  <c r="BA1594" i="2"/>
  <c r="BA1595" i="2"/>
  <c r="BA1596" i="2"/>
  <c r="BA1597" i="2"/>
  <c r="BA1598" i="2"/>
  <c r="BA1599" i="2"/>
  <c r="BA1600" i="2"/>
  <c r="BA1601" i="2"/>
  <c r="BA1602" i="2"/>
  <c r="BA1603" i="2"/>
  <c r="BA1604" i="2"/>
  <c r="BA1605" i="2"/>
  <c r="BA1606" i="2"/>
  <c r="BA1607" i="2"/>
  <c r="BA1608" i="2"/>
  <c r="BA1609" i="2"/>
  <c r="BA1610" i="2"/>
  <c r="BA1611" i="2"/>
  <c r="BA1612" i="2"/>
  <c r="BA1613" i="2"/>
  <c r="BA1614" i="2"/>
  <c r="BA1615" i="2"/>
  <c r="BA1616" i="2"/>
  <c r="BA1617" i="2"/>
  <c r="BA1618" i="2"/>
  <c r="BA1619" i="2"/>
  <c r="BA1620" i="2"/>
  <c r="BA1621" i="2"/>
  <c r="BA1622" i="2"/>
  <c r="BA1623" i="2"/>
  <c r="BA1624" i="2"/>
  <c r="BA1625" i="2"/>
  <c r="BA1626" i="2"/>
  <c r="BA1627" i="2"/>
  <c r="BA1628" i="2"/>
  <c r="BA1629" i="2"/>
  <c r="BA1630" i="2"/>
  <c r="BA1631" i="2"/>
  <c r="BA1632" i="2"/>
  <c r="BA1633" i="2"/>
  <c r="BA1634" i="2"/>
  <c r="BA1635" i="2"/>
  <c r="BA1636" i="2"/>
  <c r="BA3" i="2"/>
  <c r="AZ1637" i="2"/>
  <c r="V11" i="2" s="1"/>
  <c r="P44" i="2"/>
  <c r="O44" i="2"/>
  <c r="N44" i="2"/>
  <c r="M44" i="2"/>
  <c r="L44" i="2"/>
  <c r="K44" i="2"/>
  <c r="J44" i="2"/>
  <c r="I44" i="2"/>
  <c r="P43" i="2"/>
  <c r="O43" i="2"/>
  <c r="N43" i="2"/>
  <c r="M43" i="2"/>
  <c r="L43" i="2"/>
  <c r="K43" i="2"/>
  <c r="J43" i="2"/>
  <c r="I43" i="2"/>
  <c r="P42" i="2"/>
  <c r="O42" i="2"/>
  <c r="AC20" i="2" s="1"/>
  <c r="AK20" i="2" s="1"/>
  <c r="N42" i="2"/>
  <c r="M42" i="2"/>
  <c r="L42" i="2"/>
  <c r="K42" i="2"/>
  <c r="J42" i="2"/>
  <c r="X20" i="2" s="1"/>
  <c r="AF20" i="2" s="1"/>
  <c r="I42" i="2"/>
  <c r="P41" i="2"/>
  <c r="O41" i="2"/>
  <c r="N41" i="2"/>
  <c r="M41" i="2"/>
  <c r="L41" i="2"/>
  <c r="K41" i="2"/>
  <c r="Y19" i="2" s="1"/>
  <c r="J41" i="2"/>
  <c r="I41" i="2"/>
  <c r="W19" i="2" s="1"/>
  <c r="AE19" i="2" s="1"/>
  <c r="P40" i="2"/>
  <c r="AD19" i="2" s="1"/>
  <c r="AL19" i="2" s="1"/>
  <c r="O40" i="2"/>
  <c r="AC19" i="2" s="1"/>
  <c r="AK19" i="2" s="1"/>
  <c r="N40" i="2"/>
  <c r="AB19" i="2" s="1"/>
  <c r="AJ19" i="2" s="1"/>
  <c r="M40" i="2"/>
  <c r="AA19" i="2" s="1"/>
  <c r="AI19" i="2" s="1"/>
  <c r="L40" i="2"/>
  <c r="K40" i="2"/>
  <c r="J40" i="2"/>
  <c r="I40" i="2"/>
  <c r="P39" i="2"/>
  <c r="O39" i="2"/>
  <c r="AC18" i="2" s="1"/>
  <c r="AK18" i="2" s="1"/>
  <c r="N39" i="2"/>
  <c r="M39" i="2"/>
  <c r="L39" i="2"/>
  <c r="K39" i="2"/>
  <c r="J39" i="2"/>
  <c r="I39" i="2"/>
  <c r="P38" i="2"/>
  <c r="O38" i="2"/>
  <c r="N38" i="2"/>
  <c r="M38" i="2"/>
  <c r="L38" i="2"/>
  <c r="K38" i="2"/>
  <c r="J38" i="2"/>
  <c r="I38" i="2"/>
  <c r="P37" i="2"/>
  <c r="O37" i="2"/>
  <c r="N37" i="2"/>
  <c r="AB18" i="2" s="1"/>
  <c r="AJ18" i="2" s="1"/>
  <c r="M37" i="2"/>
  <c r="L37" i="2"/>
  <c r="K37" i="2"/>
  <c r="J37" i="2"/>
  <c r="I37" i="2"/>
  <c r="P36" i="2"/>
  <c r="O36" i="2"/>
  <c r="N36" i="2"/>
  <c r="M36" i="2"/>
  <c r="AA17" i="2" s="1"/>
  <c r="L36" i="2"/>
  <c r="K36" i="2"/>
  <c r="J36" i="2"/>
  <c r="X17" i="2" s="1"/>
  <c r="AF17" i="2" s="1"/>
  <c r="I36" i="2"/>
  <c r="P35" i="2"/>
  <c r="O35" i="2"/>
  <c r="N35" i="2"/>
  <c r="M35" i="2"/>
  <c r="L35" i="2"/>
  <c r="K35" i="2"/>
  <c r="Y17" i="2" s="1"/>
  <c r="AG17" i="2" s="1"/>
  <c r="J35" i="2"/>
  <c r="I35" i="2"/>
  <c r="P34" i="2"/>
  <c r="O34" i="2"/>
  <c r="N34" i="2"/>
  <c r="AB16" i="2" s="1"/>
  <c r="AJ16" i="2" s="1"/>
  <c r="M34" i="2"/>
  <c r="L34" i="2"/>
  <c r="K34" i="2"/>
  <c r="J34" i="2"/>
  <c r="I34" i="2"/>
  <c r="P33" i="2"/>
  <c r="O33" i="2"/>
  <c r="N33" i="2"/>
  <c r="M33" i="2"/>
  <c r="L33" i="2"/>
  <c r="K33" i="2"/>
  <c r="J33" i="2"/>
  <c r="X16" i="2" s="1"/>
  <c r="AF16" i="2" s="1"/>
  <c r="I33" i="2"/>
  <c r="P32" i="2"/>
  <c r="O32" i="2"/>
  <c r="N32" i="2"/>
  <c r="M32" i="2"/>
  <c r="L32" i="2"/>
  <c r="K32" i="2"/>
  <c r="Y16" i="2" s="1"/>
  <c r="AG16" i="2" s="1"/>
  <c r="J32" i="2"/>
  <c r="I32" i="2"/>
  <c r="P31" i="2"/>
  <c r="O31" i="2"/>
  <c r="N31" i="2"/>
  <c r="M31" i="2"/>
  <c r="L31" i="2"/>
  <c r="K31" i="2"/>
  <c r="J31" i="2"/>
  <c r="I31" i="2"/>
  <c r="P30" i="2"/>
  <c r="O30" i="2"/>
  <c r="AC15" i="2" s="1"/>
  <c r="AK15" i="2" s="1"/>
  <c r="N30" i="2"/>
  <c r="M30" i="2"/>
  <c r="L30" i="2"/>
  <c r="K30" i="2"/>
  <c r="J30" i="2"/>
  <c r="X15" i="2" s="1"/>
  <c r="AF15" i="2" s="1"/>
  <c r="I30" i="2"/>
  <c r="P29" i="2"/>
  <c r="O29" i="2"/>
  <c r="N29" i="2"/>
  <c r="M29" i="2"/>
  <c r="L29" i="2"/>
  <c r="K29" i="2"/>
  <c r="Y15" i="2" s="1"/>
  <c r="AG15" i="2" s="1"/>
  <c r="J29" i="2"/>
  <c r="I29" i="2"/>
  <c r="P28" i="2"/>
  <c r="O28" i="2"/>
  <c r="N28" i="2"/>
  <c r="AB15" i="2" s="1"/>
  <c r="AJ15" i="2" s="1"/>
  <c r="M28" i="2"/>
  <c r="L28" i="2"/>
  <c r="K28" i="2"/>
  <c r="J28" i="2"/>
  <c r="I28" i="2"/>
  <c r="P27" i="2"/>
  <c r="O27" i="2"/>
  <c r="N27" i="2"/>
  <c r="M27" i="2"/>
  <c r="AA14" i="2" s="1"/>
  <c r="AI14" i="2" s="1"/>
  <c r="L27" i="2"/>
  <c r="K27" i="2"/>
  <c r="J27" i="2"/>
  <c r="I27" i="2"/>
  <c r="S26" i="2"/>
  <c r="P26" i="2"/>
  <c r="O26" i="2"/>
  <c r="N26" i="2"/>
  <c r="M26" i="2"/>
  <c r="L26" i="2"/>
  <c r="Z14" i="2" s="1"/>
  <c r="AH14" i="2" s="1"/>
  <c r="K26" i="2"/>
  <c r="J26" i="2"/>
  <c r="I26" i="2"/>
  <c r="P25" i="2"/>
  <c r="O25" i="2"/>
  <c r="N25" i="2"/>
  <c r="AB14" i="2" s="1"/>
  <c r="AJ14" i="2" s="1"/>
  <c r="M25" i="2"/>
  <c r="L25" i="2"/>
  <c r="K25" i="2"/>
  <c r="J25" i="2"/>
  <c r="I25" i="2"/>
  <c r="P24" i="2"/>
  <c r="AD13" i="2" s="1"/>
  <c r="AL13" i="2" s="1"/>
  <c r="O24" i="2"/>
  <c r="N24" i="2"/>
  <c r="M24" i="2"/>
  <c r="L24" i="2"/>
  <c r="K24" i="2"/>
  <c r="J24" i="2"/>
  <c r="I24" i="2"/>
  <c r="BQ23" i="2"/>
  <c r="P23" i="2"/>
  <c r="O23" i="2"/>
  <c r="N23" i="2"/>
  <c r="M23" i="2"/>
  <c r="AA13" i="2" s="1"/>
  <c r="L23" i="2"/>
  <c r="K23" i="2"/>
  <c r="J23" i="2"/>
  <c r="I23" i="2"/>
  <c r="P22" i="2"/>
  <c r="O22" i="2"/>
  <c r="N22" i="2"/>
  <c r="M22" i="2"/>
  <c r="L22" i="2"/>
  <c r="K22" i="2"/>
  <c r="J22" i="2"/>
  <c r="I22" i="2"/>
  <c r="W12" i="2" s="1"/>
  <c r="BQ21" i="2"/>
  <c r="P21" i="2"/>
  <c r="O21" i="2"/>
  <c r="N21" i="2"/>
  <c r="M21" i="2"/>
  <c r="L21" i="2"/>
  <c r="K21" i="2"/>
  <c r="J21" i="2"/>
  <c r="I21" i="2"/>
  <c r="BQ20" i="2"/>
  <c r="P20" i="2"/>
  <c r="O20" i="2"/>
  <c r="N20" i="2"/>
  <c r="M20" i="2"/>
  <c r="L20" i="2"/>
  <c r="K20" i="2"/>
  <c r="Y12" i="2" s="1"/>
  <c r="AG12" i="2" s="1"/>
  <c r="J20" i="2"/>
  <c r="I20" i="2"/>
  <c r="BQ19" i="2"/>
  <c r="X19" i="2"/>
  <c r="AF19" i="2" s="1"/>
  <c r="P19" i="2"/>
  <c r="O19" i="2"/>
  <c r="N19" i="2"/>
  <c r="M19" i="2"/>
  <c r="L19" i="2"/>
  <c r="K19" i="2"/>
  <c r="J19" i="2"/>
  <c r="I19" i="2"/>
  <c r="BQ18" i="2"/>
  <c r="Y18" i="2"/>
  <c r="AG18" i="2" s="1"/>
  <c r="P18" i="2"/>
  <c r="O18" i="2"/>
  <c r="N18" i="2"/>
  <c r="M18" i="2"/>
  <c r="L18" i="2"/>
  <c r="K18" i="2"/>
  <c r="J18" i="2"/>
  <c r="I18" i="2"/>
  <c r="BQ17" i="2"/>
  <c r="AD17" i="2"/>
  <c r="AL17" i="2" s="1"/>
  <c r="P17" i="2"/>
  <c r="O17" i="2"/>
  <c r="AC11" i="2" s="1"/>
  <c r="AK11" i="2" s="1"/>
  <c r="N17" i="2"/>
  <c r="M17" i="2"/>
  <c r="AA11" i="2" s="1"/>
  <c r="AI11" i="2" s="1"/>
  <c r="L17" i="2"/>
  <c r="K17" i="2"/>
  <c r="Y11" i="2" s="1"/>
  <c r="AG11" i="2" s="1"/>
  <c r="J17" i="2"/>
  <c r="I17" i="2"/>
  <c r="BQ16" i="2"/>
  <c r="P16" i="2"/>
  <c r="O16" i="2"/>
  <c r="AC10" i="2" s="1"/>
  <c r="AK10" i="2" s="1"/>
  <c r="N16" i="2"/>
  <c r="M16" i="2"/>
  <c r="L16" i="2"/>
  <c r="K16" i="2"/>
  <c r="J16" i="2"/>
  <c r="I16" i="2"/>
  <c r="BQ15" i="2"/>
  <c r="P15" i="2"/>
  <c r="O15" i="2"/>
  <c r="N15" i="2"/>
  <c r="AB10" i="2" s="1"/>
  <c r="AJ10" i="2" s="1"/>
  <c r="M15" i="2"/>
  <c r="L15" i="2"/>
  <c r="Z10" i="2" s="1"/>
  <c r="AH10" i="2" s="1"/>
  <c r="K15" i="2"/>
  <c r="J15" i="2"/>
  <c r="I15" i="2"/>
  <c r="W10" i="2" s="1"/>
  <c r="BQ14" i="2"/>
  <c r="AD14" i="2"/>
  <c r="AL14" i="2" s="1"/>
  <c r="Y14" i="2"/>
  <c r="AG14" i="2" s="1"/>
  <c r="P14" i="2"/>
  <c r="O14" i="2"/>
  <c r="N14" i="2"/>
  <c r="M14" i="2"/>
  <c r="L14" i="2"/>
  <c r="K14" i="2"/>
  <c r="J14" i="2"/>
  <c r="I14" i="2"/>
  <c r="BQ13" i="2"/>
  <c r="AH13" i="2"/>
  <c r="AE13" i="2"/>
  <c r="Z13" i="2"/>
  <c r="W13" i="2"/>
  <c r="P13" i="2"/>
  <c r="AD9" i="2" s="1"/>
  <c r="AL9" i="2" s="1"/>
  <c r="O13" i="2"/>
  <c r="N13" i="2"/>
  <c r="M13" i="2"/>
  <c r="L13" i="2"/>
  <c r="Z9" i="2" s="1"/>
  <c r="AH9" i="2" s="1"/>
  <c r="K13" i="2"/>
  <c r="Y9" i="2" s="1"/>
  <c r="AG9" i="2" s="1"/>
  <c r="J13" i="2"/>
  <c r="I13" i="2"/>
  <c r="BQ12" i="2"/>
  <c r="AB12" i="2"/>
  <c r="AJ12" i="2" s="1"/>
  <c r="P12" i="2"/>
  <c r="O12" i="2"/>
  <c r="N12" i="2"/>
  <c r="M12" i="2"/>
  <c r="L12" i="2"/>
  <c r="K12" i="2"/>
  <c r="J12" i="2"/>
  <c r="I12" i="2"/>
  <c r="BQ11" i="2"/>
  <c r="AB11" i="2"/>
  <c r="AJ11" i="2" s="1"/>
  <c r="P11" i="2"/>
  <c r="AD8" i="2" s="1"/>
  <c r="AL8" i="2" s="1"/>
  <c r="O11" i="2"/>
  <c r="N11" i="2"/>
  <c r="M11" i="2"/>
  <c r="AA8" i="2" s="1"/>
  <c r="AI8" i="2" s="1"/>
  <c r="L11" i="2"/>
  <c r="K11" i="2"/>
  <c r="J11" i="2"/>
  <c r="I11" i="2"/>
  <c r="BQ10" i="2"/>
  <c r="AD10" i="2"/>
  <c r="AL10" i="2" s="1"/>
  <c r="X10" i="2"/>
  <c r="AF10" i="2" s="1"/>
  <c r="P10" i="2"/>
  <c r="O10" i="2"/>
  <c r="N10" i="2"/>
  <c r="M10" i="2"/>
  <c r="L10" i="2"/>
  <c r="K10" i="2"/>
  <c r="J10" i="2"/>
  <c r="I10" i="2"/>
  <c r="BQ9" i="2"/>
  <c r="P9" i="2"/>
  <c r="O9" i="2"/>
  <c r="N9" i="2"/>
  <c r="M9" i="2"/>
  <c r="L9" i="2"/>
  <c r="K9" i="2"/>
  <c r="J9" i="2"/>
  <c r="I9" i="2"/>
  <c r="BQ8" i="2"/>
  <c r="Y8" i="2"/>
  <c r="AG8" i="2" s="1"/>
  <c r="X8" i="2"/>
  <c r="AF8" i="2" s="1"/>
  <c r="P8" i="2"/>
  <c r="O8" i="2"/>
  <c r="N8" i="2"/>
  <c r="M8" i="2"/>
  <c r="L8" i="2"/>
  <c r="K8" i="2"/>
  <c r="J8" i="2"/>
  <c r="X7" i="2" s="1"/>
  <c r="AF7" i="2" s="1"/>
  <c r="I8" i="2"/>
  <c r="BQ7" i="2"/>
  <c r="P7" i="2"/>
  <c r="O7" i="2"/>
  <c r="N7" i="2"/>
  <c r="M7" i="2"/>
  <c r="L7" i="2"/>
  <c r="K7" i="2"/>
  <c r="J7" i="2"/>
  <c r="I7" i="2"/>
  <c r="CQ6" i="2"/>
  <c r="CP6" i="2"/>
  <c r="BQ6" i="2"/>
  <c r="Y6" i="2"/>
  <c r="AG6" i="2" s="1"/>
  <c r="X6" i="2"/>
  <c r="AF6" i="2" s="1"/>
  <c r="W6" i="2"/>
  <c r="AE6" i="2" s="1"/>
  <c r="P6" i="2"/>
  <c r="AD6" i="2" s="1"/>
  <c r="AL6" i="2" s="1"/>
  <c r="O6" i="2"/>
  <c r="N6" i="2"/>
  <c r="M6" i="2"/>
  <c r="L6" i="2"/>
  <c r="Z6" i="2" s="1"/>
  <c r="AH6" i="2" s="1"/>
  <c r="K6" i="2"/>
  <c r="J6" i="2"/>
  <c r="I6" i="2"/>
  <c r="BQ5" i="2"/>
  <c r="P5" i="2"/>
  <c r="O5" i="2"/>
  <c r="N5" i="2"/>
  <c r="AB5" i="2" s="1"/>
  <c r="AJ5" i="2" s="1"/>
  <c r="M5" i="2"/>
  <c r="L5" i="2"/>
  <c r="K5" i="2"/>
  <c r="J5" i="2"/>
  <c r="I5" i="2"/>
  <c r="BQ4" i="2"/>
  <c r="P4" i="2"/>
  <c r="O4" i="2"/>
  <c r="AC5" i="2" s="1"/>
  <c r="AK5" i="2" s="1"/>
  <c r="N4" i="2"/>
  <c r="M4" i="2"/>
  <c r="AA5" i="2" s="1"/>
  <c r="L4" i="2"/>
  <c r="Z5" i="2" s="1"/>
  <c r="AH5" i="2" s="1"/>
  <c r="K4" i="2"/>
  <c r="Y5" i="2" s="1"/>
  <c r="AG5" i="2" s="1"/>
  <c r="J4" i="2"/>
  <c r="I4" i="2"/>
  <c r="BQ3" i="2"/>
  <c r="P3" i="2"/>
  <c r="AD4" i="2" s="1"/>
  <c r="AL4" i="2" s="1"/>
  <c r="O3" i="2"/>
  <c r="AC4" i="2" s="1"/>
  <c r="AK4" i="2" s="1"/>
  <c r="N3" i="2"/>
  <c r="AB4" i="2" s="1"/>
  <c r="AJ4" i="2" s="1"/>
  <c r="M3" i="2"/>
  <c r="AA4" i="2" s="1"/>
  <c r="L3" i="2"/>
  <c r="Z4" i="2" s="1"/>
  <c r="AH4" i="2" s="1"/>
  <c r="K3" i="2"/>
  <c r="Y4" i="2" s="1"/>
  <c r="AG4" i="2" s="1"/>
  <c r="J3" i="2"/>
  <c r="X4" i="2" s="1"/>
  <c r="AF4" i="2" s="1"/>
  <c r="I3" i="2"/>
  <c r="W4" i="2" s="1"/>
  <c r="AE4" i="2" s="1"/>
  <c r="V4" i="2" l="1"/>
  <c r="AJ27" i="2" s="1"/>
  <c r="V9" i="2"/>
  <c r="W7" i="2"/>
  <c r="AA9" i="2"/>
  <c r="AI9" i="2" s="1"/>
  <c r="Y10" i="2"/>
  <c r="AG10" i="2" s="1"/>
  <c r="Z11" i="2"/>
  <c r="AH11" i="2" s="1"/>
  <c r="Z12" i="2"/>
  <c r="AH12" i="2" s="1"/>
  <c r="Y20" i="2"/>
  <c r="AG20" i="2" s="1"/>
  <c r="V20" i="2"/>
  <c r="V8" i="2"/>
  <c r="Z8" i="2"/>
  <c r="AH8" i="2" s="1"/>
  <c r="AB9" i="2"/>
  <c r="AJ9" i="2" s="1"/>
  <c r="AA10" i="2"/>
  <c r="AC12" i="2"/>
  <c r="AK12" i="2" s="1"/>
  <c r="X13" i="2"/>
  <c r="AF13" i="2" s="1"/>
  <c r="W14" i="2"/>
  <c r="AE14" i="2" s="1"/>
  <c r="AD15" i="2"/>
  <c r="AL15" i="2" s="1"/>
  <c r="Z16" i="2"/>
  <c r="AH16" i="2" s="1"/>
  <c r="AD16" i="2"/>
  <c r="AL16" i="2" s="1"/>
  <c r="Z17" i="2"/>
  <c r="AH17" i="2" s="1"/>
  <c r="AD18" i="2"/>
  <c r="AL18" i="2" s="1"/>
  <c r="Z18" i="2"/>
  <c r="AH18" i="2" s="1"/>
  <c r="V19" i="2"/>
  <c r="V7" i="2"/>
  <c r="AF29" i="2" s="1"/>
  <c r="AC9" i="2"/>
  <c r="AK9" i="2" s="1"/>
  <c r="AD12" i="2"/>
  <c r="AL12" i="2" s="1"/>
  <c r="X14" i="2"/>
  <c r="AF14" i="2" s="1"/>
  <c r="W15" i="2"/>
  <c r="AE15" i="2" s="1"/>
  <c r="AA15" i="2"/>
  <c r="AI15" i="2" s="1"/>
  <c r="W16" i="2"/>
  <c r="AE16" i="2" s="1"/>
  <c r="W17" i="2"/>
  <c r="AN17" i="2" s="1"/>
  <c r="AO17" i="2" s="1"/>
  <c r="AP17" i="2" s="1"/>
  <c r="W18" i="2"/>
  <c r="AE18" i="2" s="1"/>
  <c r="AA20" i="2"/>
  <c r="W20" i="2"/>
  <c r="AE20" i="2" s="1"/>
  <c r="V18" i="2"/>
  <c r="V6" i="2"/>
  <c r="AB20" i="2"/>
  <c r="AJ20" i="2" s="1"/>
  <c r="V17" i="2"/>
  <c r="V5" i="2"/>
  <c r="AB8" i="2"/>
  <c r="AJ8" i="2" s="1"/>
  <c r="AC14" i="2"/>
  <c r="AK14" i="2" s="1"/>
  <c r="V16" i="2"/>
  <c r="AD5" i="2"/>
  <c r="AL5" i="2" s="1"/>
  <c r="W5" i="2"/>
  <c r="X5" i="2"/>
  <c r="AF5" i="2" s="1"/>
  <c r="AA6" i="2"/>
  <c r="AI6" i="2" s="1"/>
  <c r="Y7" i="2"/>
  <c r="AG7" i="2" s="1"/>
  <c r="AB7" i="2"/>
  <c r="AJ7" i="2" s="1"/>
  <c r="AC8" i="2"/>
  <c r="AK8" i="2" s="1"/>
  <c r="AB13" i="2"/>
  <c r="AJ13" i="2" s="1"/>
  <c r="V15" i="2"/>
  <c r="V10" i="2"/>
  <c r="AR4" i="2"/>
  <c r="AS4" i="2" s="1"/>
  <c r="AT4" i="2" s="1"/>
  <c r="AB6" i="2"/>
  <c r="AJ6" i="2" s="1"/>
  <c r="AJ23" i="2" s="1"/>
  <c r="AC13" i="2"/>
  <c r="AK13" i="2" s="1"/>
  <c r="V14" i="2"/>
  <c r="AC6" i="2"/>
  <c r="AK6" i="2" s="1"/>
  <c r="AB17" i="2"/>
  <c r="AJ17" i="2" s="1"/>
  <c r="V13" i="2"/>
  <c r="AC16" i="2"/>
  <c r="AK16" i="2" s="1"/>
  <c r="AC17" i="2"/>
  <c r="AK17" i="2" s="1"/>
  <c r="V12" i="2"/>
  <c r="X12" i="2"/>
  <c r="AF12" i="2" s="1"/>
  <c r="X9" i="2"/>
  <c r="AF9" i="2" s="1"/>
  <c r="AN14" i="2"/>
  <c r="BS13" i="2" s="1"/>
  <c r="CA13" i="2" s="1"/>
  <c r="CB13" i="2" s="1"/>
  <c r="AI13" i="2"/>
  <c r="AI5" i="2"/>
  <c r="AI20" i="2"/>
  <c r="AM12" i="2"/>
  <c r="BB1616" i="2" s="1"/>
  <c r="CP35" i="2" s="1"/>
  <c r="AE12" i="2"/>
  <c r="AR14" i="2"/>
  <c r="AS14" i="2" s="1"/>
  <c r="AT14" i="2" s="1"/>
  <c r="AN10" i="2"/>
  <c r="AE10" i="2"/>
  <c r="AA12" i="2"/>
  <c r="AA7" i="2"/>
  <c r="AI7" i="2" s="1"/>
  <c r="AD11" i="2"/>
  <c r="AL11" i="2" s="1"/>
  <c r="X11" i="2"/>
  <c r="AF11" i="2" s="1"/>
  <c r="AD20" i="2"/>
  <c r="AL20" i="2" s="1"/>
  <c r="Z20" i="2"/>
  <c r="AH20" i="2" s="1"/>
  <c r="AH24" i="2" s="1"/>
  <c r="AA16" i="2"/>
  <c r="Z15" i="2"/>
  <c r="AH15" i="2" s="1"/>
  <c r="Z19" i="2"/>
  <c r="AH19" i="2" s="1"/>
  <c r="AA18" i="2"/>
  <c r="Z7" i="2"/>
  <c r="AH7" i="2" s="1"/>
  <c r="AD7" i="2"/>
  <c r="AL7" i="2" s="1"/>
  <c r="W8" i="2"/>
  <c r="W11" i="2"/>
  <c r="AE11" i="2" s="1"/>
  <c r="X18" i="2"/>
  <c r="AF18" i="2" s="1"/>
  <c r="W9" i="2"/>
  <c r="AE9" i="2" s="1"/>
  <c r="AR10" i="2"/>
  <c r="AI10" i="2"/>
  <c r="AQ10" i="2"/>
  <c r="AJ24" i="2"/>
  <c r="AE8" i="2"/>
  <c r="AM4" i="2"/>
  <c r="AN4" i="2"/>
  <c r="AO10" i="2"/>
  <c r="AP10" i="2" s="1"/>
  <c r="BS9" i="2"/>
  <c r="CA9" i="2" s="1"/>
  <c r="CB9" i="2" s="1"/>
  <c r="AI17" i="2"/>
  <c r="AR17" i="2"/>
  <c r="AR19" i="2"/>
  <c r="AM5" i="2"/>
  <c r="BC1546" i="2" s="1"/>
  <c r="BD1546" i="2" s="1"/>
  <c r="AM6" i="2"/>
  <c r="AQ4" i="2"/>
  <c r="BG1494" i="2" s="1"/>
  <c r="BH1494" i="2" s="1"/>
  <c r="AN6" i="2"/>
  <c r="AM10" i="2"/>
  <c r="BC1636" i="2" s="1"/>
  <c r="BD1636" i="2" s="1"/>
  <c r="AM14" i="2"/>
  <c r="BC1634" i="2" s="1"/>
  <c r="BD1634" i="2" s="1"/>
  <c r="AE5" i="2"/>
  <c r="AE7" i="2"/>
  <c r="AQ6" i="2"/>
  <c r="AI4" i="2"/>
  <c r="Y13" i="2"/>
  <c r="AG19" i="2"/>
  <c r="AQ11" i="2"/>
  <c r="AM7" i="2"/>
  <c r="BC1379" i="2" s="1"/>
  <c r="BD1379" i="2" s="1"/>
  <c r="AR9" i="2"/>
  <c r="AR12" i="2"/>
  <c r="AN18" i="2"/>
  <c r="AM18" i="2"/>
  <c r="AN12" i="2"/>
  <c r="AC7" i="2"/>
  <c r="AK7" i="2" s="1"/>
  <c r="AQ19" i="2"/>
  <c r="AJ28" i="2" l="1"/>
  <c r="AJ29" i="2"/>
  <c r="AH27" i="2"/>
  <c r="AL27" i="2"/>
  <c r="AF28" i="2"/>
  <c r="AL29" i="2"/>
  <c r="AF27" i="2"/>
  <c r="AK29" i="2"/>
  <c r="AE27" i="2"/>
  <c r="AQ9" i="2"/>
  <c r="BG1588" i="2" s="1"/>
  <c r="BH1588" i="2" s="1"/>
  <c r="AM19" i="2"/>
  <c r="BR18" i="2" s="1"/>
  <c r="AR5" i="2"/>
  <c r="AS5" i="2" s="1"/>
  <c r="AT5" i="2" s="1"/>
  <c r="AN20" i="2"/>
  <c r="AM16" i="2"/>
  <c r="AM20" i="2"/>
  <c r="AR8" i="2"/>
  <c r="AO14" i="2"/>
  <c r="AP14" i="2" s="1"/>
  <c r="AM17" i="2"/>
  <c r="BC998" i="2" s="1"/>
  <c r="BD998" i="2" s="1"/>
  <c r="AG29" i="2"/>
  <c r="AN16" i="2"/>
  <c r="AM15" i="2"/>
  <c r="BC1496" i="2" s="1"/>
  <c r="BD1496" i="2" s="1"/>
  <c r="AN8" i="2"/>
  <c r="AO8" i="2" s="1"/>
  <c r="AP8" i="2" s="1"/>
  <c r="BF1580" i="2" s="1"/>
  <c r="BJ1580" i="2" s="1"/>
  <c r="AE17" i="2"/>
  <c r="AE23" i="2" s="1"/>
  <c r="AQ5" i="2"/>
  <c r="AL22" i="2"/>
  <c r="BR11" i="2"/>
  <c r="BZ11" i="2" s="1"/>
  <c r="AR15" i="2"/>
  <c r="AQ14" i="2"/>
  <c r="BF1634" i="2" s="1"/>
  <c r="BJ1634" i="2" s="1"/>
  <c r="AR6" i="2"/>
  <c r="AH28" i="2"/>
  <c r="AH29" i="2"/>
  <c r="AG27" i="2"/>
  <c r="AQ17" i="2"/>
  <c r="BF998" i="2" s="1"/>
  <c r="BJ998" i="2" s="1"/>
  <c r="BL998" i="2" s="1"/>
  <c r="AN19" i="2"/>
  <c r="AQ13" i="2"/>
  <c r="BG1631" i="2" s="1"/>
  <c r="BH1631" i="2" s="1"/>
  <c r="AJ22" i="2"/>
  <c r="AR13" i="2"/>
  <c r="AS13" i="2" s="1"/>
  <c r="AT13" i="2" s="1"/>
  <c r="AL28" i="2"/>
  <c r="AK28" i="2"/>
  <c r="AE29" i="2"/>
  <c r="AN15" i="2"/>
  <c r="AO15" i="2" s="1"/>
  <c r="AP15" i="2" s="1"/>
  <c r="BF1496" i="2" s="1"/>
  <c r="BJ1496" i="2" s="1"/>
  <c r="AQ15" i="2"/>
  <c r="BG1496" i="2" s="1"/>
  <c r="BH1496" i="2" s="1"/>
  <c r="AK22" i="2"/>
  <c r="AR11" i="2"/>
  <c r="AS11" i="2" s="1"/>
  <c r="AT11" i="2" s="1"/>
  <c r="AQ8" i="2"/>
  <c r="AN5" i="2"/>
  <c r="AE28" i="2"/>
  <c r="AK27" i="2"/>
  <c r="AF22" i="2"/>
  <c r="AF23" i="2"/>
  <c r="AF24" i="2"/>
  <c r="BF1636" i="2"/>
  <c r="BJ1636" i="2" s="1"/>
  <c r="BL1636" i="2" s="1"/>
  <c r="AQ12" i="2"/>
  <c r="BG1616" i="2" s="1"/>
  <c r="BH1616" i="2" s="1"/>
  <c r="AI12" i="2"/>
  <c r="AI28" i="2" s="1"/>
  <c r="BS16" i="2"/>
  <c r="AR20" i="2"/>
  <c r="AS20" i="2" s="1"/>
  <c r="AT20" i="2" s="1"/>
  <c r="AK24" i="2"/>
  <c r="AN9" i="2"/>
  <c r="AO9" i="2" s="1"/>
  <c r="AP9" i="2" s="1"/>
  <c r="BF1588" i="2" s="1"/>
  <c r="BJ1588" i="2" s="1"/>
  <c r="AK23" i="2"/>
  <c r="AL23" i="2"/>
  <c r="BB998" i="2"/>
  <c r="CP40" i="2" s="1"/>
  <c r="BR16" i="2"/>
  <c r="AL24" i="2"/>
  <c r="AM9" i="2"/>
  <c r="BR8" i="2" s="1"/>
  <c r="BZ8" i="2" s="1"/>
  <c r="AQ20" i="2"/>
  <c r="AR18" i="2"/>
  <c r="AS18" i="2" s="1"/>
  <c r="AT18" i="2" s="1"/>
  <c r="AI18" i="2"/>
  <c r="AQ18" i="2"/>
  <c r="AM8" i="2"/>
  <c r="AM11" i="2"/>
  <c r="BC1608" i="2" s="1"/>
  <c r="BD1608" i="2" s="1"/>
  <c r="AN11" i="2"/>
  <c r="AO11" i="2" s="1"/>
  <c r="AP11" i="2" s="1"/>
  <c r="BF1608" i="2" s="1"/>
  <c r="BJ1608" i="2" s="1"/>
  <c r="AR16" i="2"/>
  <c r="AQ16" i="2"/>
  <c r="AI16" i="2"/>
  <c r="BG1546" i="2"/>
  <c r="BH1546" i="2" s="1"/>
  <c r="BI1546" i="2" s="1"/>
  <c r="BX4" i="2" s="1"/>
  <c r="AN7" i="2"/>
  <c r="BB1582" i="2"/>
  <c r="CP29" i="2" s="1"/>
  <c r="BR5" i="2"/>
  <c r="BZ5" i="2" s="1"/>
  <c r="BC1616" i="2"/>
  <c r="BD1616" i="2" s="1"/>
  <c r="AO12" i="2"/>
  <c r="AP12" i="2" s="1"/>
  <c r="BS11" i="2"/>
  <c r="CA11" i="2" s="1"/>
  <c r="CB11" i="2" s="1"/>
  <c r="BG1582" i="2"/>
  <c r="BH1582" i="2" s="1"/>
  <c r="AS6" i="2"/>
  <c r="AT6" i="2" s="1"/>
  <c r="BE1634" i="2"/>
  <c r="CQ37" i="2"/>
  <c r="BB1620" i="2"/>
  <c r="BR19" i="2"/>
  <c r="BC1635" i="2"/>
  <c r="BD1635" i="2" s="1"/>
  <c r="BE1635" i="2" s="1"/>
  <c r="AO18" i="2"/>
  <c r="AP18" i="2" s="1"/>
  <c r="BS17" i="2"/>
  <c r="BB1047" i="2"/>
  <c r="CP39" i="2" s="1"/>
  <c r="BR15" i="2"/>
  <c r="BB1496" i="2"/>
  <c r="CP38" i="2" s="1"/>
  <c r="BC1047" i="2"/>
  <c r="BD1047" i="2" s="1"/>
  <c r="AO16" i="2"/>
  <c r="AP16" i="2" s="1"/>
  <c r="BS15" i="2"/>
  <c r="BS8" i="2"/>
  <c r="CA8" i="2" s="1"/>
  <c r="CB8" i="2" s="1"/>
  <c r="BB1546" i="2"/>
  <c r="CP28" i="2" s="1"/>
  <c r="BR4" i="2"/>
  <c r="BZ4" i="2" s="1"/>
  <c r="AS12" i="2"/>
  <c r="AT12" i="2" s="1"/>
  <c r="AS15" i="2"/>
  <c r="AT15" i="2" s="1"/>
  <c r="BL1634" i="2"/>
  <c r="BB1634" i="2"/>
  <c r="CP37" i="2" s="1"/>
  <c r="BR13" i="2"/>
  <c r="BZ13" i="2" s="1"/>
  <c r="BB1608" i="2"/>
  <c r="CP34" i="2" s="1"/>
  <c r="BR10" i="2"/>
  <c r="BZ10" i="2" s="1"/>
  <c r="BG1636" i="2"/>
  <c r="BH1636" i="2" s="1"/>
  <c r="AS10" i="2"/>
  <c r="AT10" i="2" s="1"/>
  <c r="AH22" i="2"/>
  <c r="BE1636" i="2"/>
  <c r="CQ33" i="2"/>
  <c r="BE1546" i="2"/>
  <c r="CQ28" i="2"/>
  <c r="AH23" i="2"/>
  <c r="BB1636" i="2"/>
  <c r="CP33" i="2" s="1"/>
  <c r="BR9" i="2"/>
  <c r="BZ9" i="2" s="1"/>
  <c r="BG1608" i="2"/>
  <c r="BH1608" i="2" s="1"/>
  <c r="BB1126" i="2"/>
  <c r="BB1588" i="2"/>
  <c r="CP32" i="2" s="1"/>
  <c r="BG1126" i="2"/>
  <c r="BH1126" i="2" s="1"/>
  <c r="AS19" i="2"/>
  <c r="AT19" i="2" s="1"/>
  <c r="BC1494" i="2"/>
  <c r="BD1494" i="2" s="1"/>
  <c r="BE1494" i="2" s="1"/>
  <c r="BS3" i="2"/>
  <c r="CA3" i="2" s="1"/>
  <c r="CB3" i="2" s="1"/>
  <c r="AO4" i="2"/>
  <c r="AP4" i="2" s="1"/>
  <c r="BF1494" i="2" s="1"/>
  <c r="BJ1494" i="2" s="1"/>
  <c r="BL1494" i="2" s="1"/>
  <c r="AR7" i="2"/>
  <c r="AS17" i="2"/>
  <c r="AT17" i="2" s="1"/>
  <c r="BB1494" i="2"/>
  <c r="BR3" i="2"/>
  <c r="BZ3" i="2" s="1"/>
  <c r="BK1494" i="2"/>
  <c r="BM1494" i="2" s="1"/>
  <c r="BI1494" i="2"/>
  <c r="AQ7" i="2"/>
  <c r="AS9" i="2"/>
  <c r="AT9" i="2" s="1"/>
  <c r="BS18" i="2"/>
  <c r="AO19" i="2"/>
  <c r="AP19" i="2" s="1"/>
  <c r="BF1126" i="2" s="1"/>
  <c r="BJ1126" i="2" s="1"/>
  <c r="BB1379" i="2"/>
  <c r="CP30" i="2" s="1"/>
  <c r="BR6" i="2"/>
  <c r="BZ6" i="2" s="1"/>
  <c r="BG1580" i="2"/>
  <c r="BH1580" i="2" s="1"/>
  <c r="AS8" i="2"/>
  <c r="AT8" i="2" s="1"/>
  <c r="AE24" i="2"/>
  <c r="BC1620" i="2"/>
  <c r="BD1620" i="2" s="1"/>
  <c r="BE1620" i="2" s="1"/>
  <c r="AO20" i="2"/>
  <c r="AP20" i="2" s="1"/>
  <c r="BS19" i="2"/>
  <c r="AN13" i="2"/>
  <c r="AM13" i="2"/>
  <c r="AG13" i="2"/>
  <c r="AG28" i="2" s="1"/>
  <c r="BC1582" i="2"/>
  <c r="BD1582" i="2" s="1"/>
  <c r="AO6" i="2"/>
  <c r="AP6" i="2" s="1"/>
  <c r="BF1582" i="2" s="1"/>
  <c r="BJ1582" i="2" s="1"/>
  <c r="BS5" i="2"/>
  <c r="CA5" i="2" s="1"/>
  <c r="CB5" i="2" s="1"/>
  <c r="BE1379" i="2"/>
  <c r="CQ30" i="2"/>
  <c r="BI1631" i="2"/>
  <c r="BK1631" i="2"/>
  <c r="BM1631" i="2" s="1"/>
  <c r="BB1580" i="2"/>
  <c r="CP31" i="2" s="1"/>
  <c r="BR7" i="2"/>
  <c r="BZ7" i="2" s="1"/>
  <c r="BB1635" i="2"/>
  <c r="BR17" i="2"/>
  <c r="BC1580" i="2"/>
  <c r="BD1580" i="2" s="1"/>
  <c r="BS7" i="2"/>
  <c r="CA7" i="2" s="1"/>
  <c r="CB7" i="2" s="1"/>
  <c r="AI23" i="2" l="1"/>
  <c r="AE32" i="2"/>
  <c r="AI24" i="2"/>
  <c r="AE31" i="2"/>
  <c r="BC1126" i="2"/>
  <c r="BD1126" i="2" s="1"/>
  <c r="BE1126" i="2" s="1"/>
  <c r="BR14" i="2"/>
  <c r="AI22" i="2"/>
  <c r="BS14" i="2"/>
  <c r="AO5" i="2"/>
  <c r="AP5" i="2" s="1"/>
  <c r="BS4" i="2"/>
  <c r="CA4" i="2" s="1"/>
  <c r="CB4" i="2" s="1"/>
  <c r="BF1546" i="2"/>
  <c r="BJ1546" i="2" s="1"/>
  <c r="BL1546" i="2" s="1"/>
  <c r="BU4" i="2" s="1"/>
  <c r="CD4" i="2" s="1"/>
  <c r="BK1546" i="2"/>
  <c r="BM1546" i="2" s="1"/>
  <c r="AI29" i="2"/>
  <c r="AI27" i="2"/>
  <c r="BG998" i="2"/>
  <c r="BH998" i="2" s="1"/>
  <c r="BG1634" i="2"/>
  <c r="BH1634" i="2" s="1"/>
  <c r="AE22" i="2"/>
  <c r="BL1496" i="2"/>
  <c r="BL1588" i="2"/>
  <c r="BL1580" i="2"/>
  <c r="BX7" i="2"/>
  <c r="BL1126" i="2"/>
  <c r="BL1582" i="2"/>
  <c r="BL1608" i="2"/>
  <c r="BF1047" i="2"/>
  <c r="BJ1047" i="2" s="1"/>
  <c r="BX3" i="2"/>
  <c r="BS10" i="2"/>
  <c r="CA10" i="2" s="1"/>
  <c r="CB10" i="2" s="1"/>
  <c r="BX23" i="2"/>
  <c r="BF1616" i="2"/>
  <c r="BJ1616" i="2" s="1"/>
  <c r="BG1047" i="2"/>
  <c r="BH1047" i="2" s="1"/>
  <c r="AS16" i="2"/>
  <c r="AT16" i="2" s="1"/>
  <c r="BF1620" i="2"/>
  <c r="BJ1620" i="2" s="1"/>
  <c r="BG1620" i="2"/>
  <c r="BH1620" i="2" s="1"/>
  <c r="BC1588" i="2"/>
  <c r="BD1588" i="2" s="1"/>
  <c r="BE998" i="2"/>
  <c r="CQ40" i="2"/>
  <c r="AO7" i="2"/>
  <c r="AP7" i="2" s="1"/>
  <c r="BF1379" i="2" s="1"/>
  <c r="BJ1379" i="2" s="1"/>
  <c r="BS6" i="2"/>
  <c r="CA6" i="2" s="1"/>
  <c r="CB6" i="2" s="1"/>
  <c r="BF1635" i="2"/>
  <c r="BJ1635" i="2" s="1"/>
  <c r="BG1635" i="2"/>
  <c r="BH1635" i="2" s="1"/>
  <c r="BB1535" i="2"/>
  <c r="BC1429" i="2"/>
  <c r="BD1429" i="2" s="1"/>
  <c r="BE1429" i="2" s="1"/>
  <c r="BB1042" i="2"/>
  <c r="BC970" i="2"/>
  <c r="BD970" i="2" s="1"/>
  <c r="BE970" i="2" s="1"/>
  <c r="BC933" i="2"/>
  <c r="BD933" i="2" s="1"/>
  <c r="BE933" i="2" s="1"/>
  <c r="BC868" i="2"/>
  <c r="BD868" i="2" s="1"/>
  <c r="BE868" i="2" s="1"/>
  <c r="BC804" i="2"/>
  <c r="BD804" i="2" s="1"/>
  <c r="BE804" i="2" s="1"/>
  <c r="BC854" i="2"/>
  <c r="BD854" i="2" s="1"/>
  <c r="BE854" i="2" s="1"/>
  <c r="BC732" i="2"/>
  <c r="BD732" i="2" s="1"/>
  <c r="BE732" i="2" s="1"/>
  <c r="BB672" i="2"/>
  <c r="BC604" i="2"/>
  <c r="BD604" i="2" s="1"/>
  <c r="BE604" i="2" s="1"/>
  <c r="BB681" i="2"/>
  <c r="BB595" i="2"/>
  <c r="BB488" i="2"/>
  <c r="BC545" i="2"/>
  <c r="BD545" i="2" s="1"/>
  <c r="BE545" i="2" s="1"/>
  <c r="BB584" i="2"/>
  <c r="BB539" i="2"/>
  <c r="BC366" i="2"/>
  <c r="BD366" i="2" s="1"/>
  <c r="BE366" i="2" s="1"/>
  <c r="BB388" i="2"/>
  <c r="BB436" i="2"/>
  <c r="BB405" i="2"/>
  <c r="BC476" i="2"/>
  <c r="BD476" i="2" s="1"/>
  <c r="BE476" i="2" s="1"/>
  <c r="BC428" i="2"/>
  <c r="BD428" i="2" s="1"/>
  <c r="BE428" i="2" s="1"/>
  <c r="BC274" i="2"/>
  <c r="BD274" i="2" s="1"/>
  <c r="BE274" i="2" s="1"/>
  <c r="BB417" i="2"/>
  <c r="BB357" i="2"/>
  <c r="BC234" i="2"/>
  <c r="BD234" i="2" s="1"/>
  <c r="BE234" i="2" s="1"/>
  <c r="BC401" i="2"/>
  <c r="BD401" i="2" s="1"/>
  <c r="BE401" i="2" s="1"/>
  <c r="BC260" i="2"/>
  <c r="BD260" i="2" s="1"/>
  <c r="BE260" i="2" s="1"/>
  <c r="BB165" i="2"/>
  <c r="BB204" i="2"/>
  <c r="BB201" i="2"/>
  <c r="BC71" i="2"/>
  <c r="BD71" i="2" s="1"/>
  <c r="BE71" i="2" s="1"/>
  <c r="BB9" i="2"/>
  <c r="BC91" i="2"/>
  <c r="BD91" i="2" s="1"/>
  <c r="BE91" i="2" s="1"/>
  <c r="BC110" i="2"/>
  <c r="BD110" i="2" s="1"/>
  <c r="BE110" i="2" s="1"/>
  <c r="BB54" i="2"/>
  <c r="BC217" i="2"/>
  <c r="BD217" i="2" s="1"/>
  <c r="BE217" i="2" s="1"/>
  <c r="BC208" i="2"/>
  <c r="BD208" i="2" s="1"/>
  <c r="BE208" i="2" s="1"/>
  <c r="BC150" i="2"/>
  <c r="BD150" i="2" s="1"/>
  <c r="BE150" i="2" s="1"/>
  <c r="BB193" i="2"/>
  <c r="BB190" i="2"/>
  <c r="BB4" i="2"/>
  <c r="BB8" i="2"/>
  <c r="BB111" i="2"/>
  <c r="BK1636" i="2"/>
  <c r="BM1636" i="2" s="1"/>
  <c r="BI1636" i="2"/>
  <c r="BX9" i="2" s="1"/>
  <c r="BK1616" i="2"/>
  <c r="BM1616" i="2" s="1"/>
  <c r="BI1616" i="2"/>
  <c r="AG23" i="2"/>
  <c r="BC1071" i="2" s="1"/>
  <c r="BD1071" i="2" s="1"/>
  <c r="AG22" i="2"/>
  <c r="AG24" i="2"/>
  <c r="BC1025" i="2" s="1"/>
  <c r="BD1025" i="2" s="1"/>
  <c r="BE1025" i="2" s="1"/>
  <c r="BK998" i="2"/>
  <c r="BM998" i="2" s="1"/>
  <c r="BI998" i="2"/>
  <c r="BX16" i="2" s="1"/>
  <c r="BB1631" i="2"/>
  <c r="CP36" i="2" s="1"/>
  <c r="BR12" i="2"/>
  <c r="BZ12" i="2" s="1"/>
  <c r="CK9" i="2" s="1"/>
  <c r="BG1379" i="2"/>
  <c r="BH1379" i="2" s="1"/>
  <c r="AS7" i="2"/>
  <c r="AT7" i="2" s="1"/>
  <c r="BE1580" i="2"/>
  <c r="CQ31" i="2"/>
  <c r="BV4" i="2"/>
  <c r="CE4" i="2" s="1"/>
  <c r="BT4" i="2"/>
  <c r="CC4" i="2" s="1"/>
  <c r="BC1631" i="2"/>
  <c r="BD1631" i="2" s="1"/>
  <c r="AO13" i="2"/>
  <c r="AP13" i="2" s="1"/>
  <c r="BF1631" i="2" s="1"/>
  <c r="BJ1631" i="2" s="1"/>
  <c r="BS12" i="2"/>
  <c r="CA12" i="2" s="1"/>
  <c r="CB12" i="2" s="1"/>
  <c r="BT16" i="2"/>
  <c r="BV16" i="2"/>
  <c r="BI1582" i="2"/>
  <c r="BX5" i="2" s="1"/>
  <c r="BK1582" i="2"/>
  <c r="BM1582" i="2" s="1"/>
  <c r="BE1588" i="2"/>
  <c r="CQ32" i="2"/>
  <c r="BE1616" i="2"/>
  <c r="CQ35" i="2"/>
  <c r="BU13" i="2"/>
  <c r="CD13" i="2" s="1"/>
  <c r="BW13" i="2"/>
  <c r="CF13" i="2" s="1"/>
  <c r="CG13" i="2" s="1"/>
  <c r="BI1608" i="2"/>
  <c r="BX10" i="2" s="1"/>
  <c r="BK1608" i="2"/>
  <c r="BM1608" i="2" s="1"/>
  <c r="BK1126" i="2"/>
  <c r="BM1126" i="2" s="1"/>
  <c r="BI1126" i="2"/>
  <c r="BX18" i="2" s="1"/>
  <c r="BT14" i="2"/>
  <c r="BK1580" i="2"/>
  <c r="BM1580" i="2" s="1"/>
  <c r="BI1580" i="2"/>
  <c r="BI1588" i="2"/>
  <c r="BX8" i="2" s="1"/>
  <c r="BK1588" i="2"/>
  <c r="BM1588" i="2" s="1"/>
  <c r="CQ7" i="2"/>
  <c r="BU23" i="2"/>
  <c r="BW3" i="2"/>
  <c r="CF3" i="2" s="1"/>
  <c r="CG3" i="2" s="1"/>
  <c r="BU3" i="2"/>
  <c r="CD3" i="2" s="1"/>
  <c r="BW23" i="2"/>
  <c r="BE1582" i="2"/>
  <c r="CQ29" i="2"/>
  <c r="BE1608" i="2"/>
  <c r="CQ34" i="2"/>
  <c r="BK1496" i="2"/>
  <c r="BM1496" i="2" s="1"/>
  <c r="BI1496" i="2"/>
  <c r="BX14" i="2" s="1"/>
  <c r="BE1047" i="2"/>
  <c r="CQ39" i="2"/>
  <c r="BT23" i="2"/>
  <c r="BT3" i="2"/>
  <c r="CC3" i="2" s="1"/>
  <c r="CP7" i="2"/>
  <c r="BV3" i="2"/>
  <c r="CE3" i="2" s="1"/>
  <c r="BV23" i="2"/>
  <c r="BV7" i="2"/>
  <c r="CE7" i="2" s="1"/>
  <c r="BT7" i="2"/>
  <c r="CC7" i="2" s="1"/>
  <c r="BF1633" i="2"/>
  <c r="BJ1633" i="2" s="1"/>
  <c r="BL1633" i="2" s="1"/>
  <c r="BF1630" i="2"/>
  <c r="BJ1630" i="2" s="1"/>
  <c r="BL1630" i="2" s="1"/>
  <c r="BG1625" i="2"/>
  <c r="BH1625" i="2" s="1"/>
  <c r="BG1619" i="2"/>
  <c r="BH1619" i="2" s="1"/>
  <c r="BG1613" i="2"/>
  <c r="BH1613" i="2" s="1"/>
  <c r="BG1607" i="2"/>
  <c r="BH1607" i="2" s="1"/>
  <c r="BG1601" i="2"/>
  <c r="BH1601" i="2" s="1"/>
  <c r="BG1595" i="2"/>
  <c r="BH1595" i="2" s="1"/>
  <c r="BG1589" i="2"/>
  <c r="BH1589" i="2" s="1"/>
  <c r="BG1583" i="2"/>
  <c r="BH1583" i="2" s="1"/>
  <c r="BG1577" i="2"/>
  <c r="BH1577" i="2" s="1"/>
  <c r="BF1576" i="2"/>
  <c r="BJ1576" i="2" s="1"/>
  <c r="BL1576" i="2" s="1"/>
  <c r="BG1565" i="2"/>
  <c r="BH1565" i="2" s="1"/>
  <c r="BF1564" i="2"/>
  <c r="BJ1564" i="2" s="1"/>
  <c r="BL1564" i="2" s="1"/>
  <c r="BG1553" i="2"/>
  <c r="BH1553" i="2" s="1"/>
  <c r="BF1552" i="2"/>
  <c r="BJ1552" i="2" s="1"/>
  <c r="BL1552" i="2" s="1"/>
  <c r="BF1551" i="2"/>
  <c r="BJ1551" i="2" s="1"/>
  <c r="BL1551" i="2" s="1"/>
  <c r="BF1550" i="2"/>
  <c r="BJ1550" i="2" s="1"/>
  <c r="BL1550" i="2" s="1"/>
  <c r="BF1549" i="2"/>
  <c r="BJ1549" i="2" s="1"/>
  <c r="BL1549" i="2" s="1"/>
  <c r="BF1548" i="2"/>
  <c r="BJ1548" i="2" s="1"/>
  <c r="BL1548" i="2" s="1"/>
  <c r="BF1625" i="2"/>
  <c r="BJ1625" i="2" s="1"/>
  <c r="BL1625" i="2" s="1"/>
  <c r="BF1619" i="2"/>
  <c r="BJ1619" i="2" s="1"/>
  <c r="BL1619" i="2" s="1"/>
  <c r="BF1613" i="2"/>
  <c r="BJ1613" i="2" s="1"/>
  <c r="BL1613" i="2" s="1"/>
  <c r="BF1607" i="2"/>
  <c r="BJ1607" i="2" s="1"/>
  <c r="BL1607" i="2" s="1"/>
  <c r="BF1601" i="2"/>
  <c r="BJ1601" i="2" s="1"/>
  <c r="BL1601" i="2" s="1"/>
  <c r="BF1595" i="2"/>
  <c r="BJ1595" i="2" s="1"/>
  <c r="BL1595" i="2" s="1"/>
  <c r="BF1589" i="2"/>
  <c r="BJ1589" i="2" s="1"/>
  <c r="BL1589" i="2" s="1"/>
  <c r="BF1583" i="2"/>
  <c r="BJ1583" i="2" s="1"/>
  <c r="BL1583" i="2" s="1"/>
  <c r="BF1577" i="2"/>
  <c r="BJ1577" i="2" s="1"/>
  <c r="BL1577" i="2" s="1"/>
  <c r="BG1566" i="2"/>
  <c r="BH1566" i="2" s="1"/>
  <c r="BF1565" i="2"/>
  <c r="BJ1565" i="2" s="1"/>
  <c r="BL1565" i="2" s="1"/>
  <c r="BG1554" i="2"/>
  <c r="BH1554" i="2" s="1"/>
  <c r="BF1553" i="2"/>
  <c r="BJ1553" i="2" s="1"/>
  <c r="BL1553" i="2" s="1"/>
  <c r="BG1626" i="2"/>
  <c r="BH1626" i="2" s="1"/>
  <c r="BG1614" i="2"/>
  <c r="BH1614" i="2" s="1"/>
  <c r="BG1602" i="2"/>
  <c r="BH1602" i="2" s="1"/>
  <c r="BG1596" i="2"/>
  <c r="BH1596" i="2" s="1"/>
  <c r="BG1590" i="2"/>
  <c r="BH1590" i="2" s="1"/>
  <c r="BF1626" i="2"/>
  <c r="BJ1626" i="2" s="1"/>
  <c r="BL1626" i="2" s="1"/>
  <c r="BF1614" i="2"/>
  <c r="BJ1614" i="2" s="1"/>
  <c r="BL1614" i="2" s="1"/>
  <c r="BG1627" i="2"/>
  <c r="BH1627" i="2" s="1"/>
  <c r="BG1621" i="2"/>
  <c r="BH1621" i="2" s="1"/>
  <c r="BG1615" i="2"/>
  <c r="BH1615" i="2" s="1"/>
  <c r="BG1609" i="2"/>
  <c r="BH1609" i="2" s="1"/>
  <c r="BG1603" i="2"/>
  <c r="BH1603" i="2" s="1"/>
  <c r="BG1597" i="2"/>
  <c r="BH1597" i="2" s="1"/>
  <c r="BF1627" i="2"/>
  <c r="BJ1627" i="2" s="1"/>
  <c r="BL1627" i="2" s="1"/>
  <c r="BF1621" i="2"/>
  <c r="BJ1621" i="2" s="1"/>
  <c r="BL1621" i="2" s="1"/>
  <c r="BF1615" i="2"/>
  <c r="BJ1615" i="2" s="1"/>
  <c r="BL1615" i="2" s="1"/>
  <c r="BF1609" i="2"/>
  <c r="BJ1609" i="2" s="1"/>
  <c r="BL1609" i="2" s="1"/>
  <c r="BF1603" i="2"/>
  <c r="BJ1603" i="2" s="1"/>
  <c r="BL1603" i="2" s="1"/>
  <c r="BF1597" i="2"/>
  <c r="BJ1597" i="2" s="1"/>
  <c r="BL1597" i="2" s="1"/>
  <c r="BG1628" i="2"/>
  <c r="BH1628" i="2" s="1"/>
  <c r="BG1622" i="2"/>
  <c r="BH1622" i="2" s="1"/>
  <c r="BG1610" i="2"/>
  <c r="BH1610" i="2" s="1"/>
  <c r="BG1604" i="2"/>
  <c r="BH1604" i="2" s="1"/>
  <c r="BG1598" i="2"/>
  <c r="BH1598" i="2" s="1"/>
  <c r="BG1632" i="2"/>
  <c r="BH1632" i="2" s="1"/>
  <c r="BF1628" i="2"/>
  <c r="BJ1628" i="2" s="1"/>
  <c r="BL1628" i="2" s="1"/>
  <c r="BF1622" i="2"/>
  <c r="BJ1622" i="2" s="1"/>
  <c r="BL1622" i="2" s="1"/>
  <c r="BF1610" i="2"/>
  <c r="BJ1610" i="2" s="1"/>
  <c r="BL1610" i="2" s="1"/>
  <c r="BF1632" i="2"/>
  <c r="BJ1632" i="2" s="1"/>
  <c r="BL1632" i="2" s="1"/>
  <c r="BG1629" i="2"/>
  <c r="BH1629" i="2" s="1"/>
  <c r="BG1623" i="2"/>
  <c r="BH1623" i="2" s="1"/>
  <c r="BG1617" i="2"/>
  <c r="BH1617" i="2" s="1"/>
  <c r="BG1611" i="2"/>
  <c r="BH1611" i="2" s="1"/>
  <c r="BG1605" i="2"/>
  <c r="BH1605" i="2" s="1"/>
  <c r="BG1599" i="2"/>
  <c r="BH1599" i="2" s="1"/>
  <c r="BG1593" i="2"/>
  <c r="BH1593" i="2" s="1"/>
  <c r="BG1587" i="2"/>
  <c r="BH1587" i="2" s="1"/>
  <c r="BG1581" i="2"/>
  <c r="BH1581" i="2" s="1"/>
  <c r="BG1573" i="2"/>
  <c r="BH1573" i="2" s="1"/>
  <c r="BF1572" i="2"/>
  <c r="BJ1572" i="2" s="1"/>
  <c r="BL1572" i="2" s="1"/>
  <c r="BG1561" i="2"/>
  <c r="BH1561" i="2" s="1"/>
  <c r="BF1560" i="2"/>
  <c r="BJ1560" i="2" s="1"/>
  <c r="BL1560" i="2" s="1"/>
  <c r="BF1629" i="2"/>
  <c r="BJ1629" i="2" s="1"/>
  <c r="BL1629" i="2" s="1"/>
  <c r="BF1623" i="2"/>
  <c r="BJ1623" i="2" s="1"/>
  <c r="BL1623" i="2" s="1"/>
  <c r="BF1617" i="2"/>
  <c r="BJ1617" i="2" s="1"/>
  <c r="BL1617" i="2" s="1"/>
  <c r="BF1611" i="2"/>
  <c r="BJ1611" i="2" s="1"/>
  <c r="BL1611" i="2" s="1"/>
  <c r="BF1605" i="2"/>
  <c r="BJ1605" i="2" s="1"/>
  <c r="BL1605" i="2" s="1"/>
  <c r="BF1599" i="2"/>
  <c r="BJ1599" i="2" s="1"/>
  <c r="BL1599" i="2" s="1"/>
  <c r="BF1593" i="2"/>
  <c r="BJ1593" i="2" s="1"/>
  <c r="BL1593" i="2" s="1"/>
  <c r="BF1587" i="2"/>
  <c r="BJ1587" i="2" s="1"/>
  <c r="BL1587" i="2" s="1"/>
  <c r="BF1581" i="2"/>
  <c r="BJ1581" i="2" s="1"/>
  <c r="BL1581" i="2" s="1"/>
  <c r="BG1574" i="2"/>
  <c r="BH1574" i="2" s="1"/>
  <c r="BF1573" i="2"/>
  <c r="BJ1573" i="2" s="1"/>
  <c r="BL1573" i="2" s="1"/>
  <c r="BG1562" i="2"/>
  <c r="BH1562" i="2" s="1"/>
  <c r="BF1561" i="2"/>
  <c r="BJ1561" i="2" s="1"/>
  <c r="BL1561" i="2" s="1"/>
  <c r="BG1624" i="2"/>
  <c r="BH1624" i="2" s="1"/>
  <c r="BG1618" i="2"/>
  <c r="BH1618" i="2" s="1"/>
  <c r="BG1594" i="2"/>
  <c r="BH1594" i="2" s="1"/>
  <c r="BG1586" i="2"/>
  <c r="BH1586" i="2" s="1"/>
  <c r="BG1584" i="2"/>
  <c r="BH1584" i="2" s="1"/>
  <c r="BG1567" i="2"/>
  <c r="BH1567" i="2" s="1"/>
  <c r="BG1559" i="2"/>
  <c r="BH1559" i="2" s="1"/>
  <c r="BF1554" i="2"/>
  <c r="BJ1554" i="2" s="1"/>
  <c r="BL1554" i="2" s="1"/>
  <c r="BG1533" i="2"/>
  <c r="BH1533" i="2" s="1"/>
  <c r="BF1532" i="2"/>
  <c r="BJ1532" i="2" s="1"/>
  <c r="BL1532" i="2" s="1"/>
  <c r="BG1633" i="2"/>
  <c r="BH1633" i="2" s="1"/>
  <c r="BF1618" i="2"/>
  <c r="BJ1618" i="2" s="1"/>
  <c r="BL1618" i="2" s="1"/>
  <c r="BF1604" i="2"/>
  <c r="BJ1604" i="2" s="1"/>
  <c r="BL1604" i="2" s="1"/>
  <c r="BG1600" i="2"/>
  <c r="BH1600" i="2" s="1"/>
  <c r="BF1594" i="2"/>
  <c r="BJ1594" i="2" s="1"/>
  <c r="BL1594" i="2" s="1"/>
  <c r="BF1586" i="2"/>
  <c r="BJ1586" i="2" s="1"/>
  <c r="BL1586" i="2" s="1"/>
  <c r="BF1584" i="2"/>
  <c r="BJ1584" i="2" s="1"/>
  <c r="BL1584" i="2" s="1"/>
  <c r="BG1572" i="2"/>
  <c r="BH1572" i="2" s="1"/>
  <c r="BF1567" i="2"/>
  <c r="BJ1567" i="2" s="1"/>
  <c r="BL1567" i="2" s="1"/>
  <c r="BF1559" i="2"/>
  <c r="BJ1559" i="2" s="1"/>
  <c r="BL1559" i="2" s="1"/>
  <c r="BG1545" i="2"/>
  <c r="BH1545" i="2" s="1"/>
  <c r="BG1541" i="2"/>
  <c r="BH1541" i="2" s="1"/>
  <c r="BG1534" i="2"/>
  <c r="BH1534" i="2" s="1"/>
  <c r="BF1533" i="2"/>
  <c r="BJ1533" i="2" s="1"/>
  <c r="BL1533" i="2" s="1"/>
  <c r="BG1522" i="2"/>
  <c r="BH1522" i="2" s="1"/>
  <c r="BF1521" i="2"/>
  <c r="BJ1521" i="2" s="1"/>
  <c r="BL1521" i="2" s="1"/>
  <c r="BF1600" i="2"/>
  <c r="BJ1600" i="2" s="1"/>
  <c r="BL1600" i="2" s="1"/>
  <c r="BG1575" i="2"/>
  <c r="BH1575" i="2" s="1"/>
  <c r="BF1562" i="2"/>
  <c r="BJ1562" i="2" s="1"/>
  <c r="BL1562" i="2" s="1"/>
  <c r="BG1557" i="2"/>
  <c r="BH1557" i="2" s="1"/>
  <c r="BF1545" i="2"/>
  <c r="BJ1545" i="2" s="1"/>
  <c r="BL1545" i="2" s="1"/>
  <c r="BG1630" i="2"/>
  <c r="BH1630" i="2" s="1"/>
  <c r="BG1591" i="2"/>
  <c r="BH1591" i="2" s="1"/>
  <c r="BF1575" i="2"/>
  <c r="BJ1575" i="2" s="1"/>
  <c r="BL1575" i="2" s="1"/>
  <c r="BG1570" i="2"/>
  <c r="BH1570" i="2" s="1"/>
  <c r="BF1557" i="2"/>
  <c r="BJ1557" i="2" s="1"/>
  <c r="BL1557" i="2" s="1"/>
  <c r="BG1552" i="2"/>
  <c r="BH1552" i="2" s="1"/>
  <c r="BF1596" i="2"/>
  <c r="BJ1596" i="2" s="1"/>
  <c r="BL1596" i="2" s="1"/>
  <c r="BF1591" i="2"/>
  <c r="BJ1591" i="2" s="1"/>
  <c r="BL1591" i="2" s="1"/>
  <c r="BG1578" i="2"/>
  <c r="BH1578" i="2" s="1"/>
  <c r="BF1570" i="2"/>
  <c r="BJ1570" i="2" s="1"/>
  <c r="BL1570" i="2" s="1"/>
  <c r="BG1555" i="2"/>
  <c r="BH1555" i="2" s="1"/>
  <c r="BF1578" i="2"/>
  <c r="BJ1578" i="2" s="1"/>
  <c r="BL1578" i="2" s="1"/>
  <c r="BG1568" i="2"/>
  <c r="BH1568" i="2" s="1"/>
  <c r="BG1560" i="2"/>
  <c r="BH1560" i="2" s="1"/>
  <c r="BF1555" i="2"/>
  <c r="BJ1555" i="2" s="1"/>
  <c r="BL1555" i="2" s="1"/>
  <c r="BG1585" i="2"/>
  <c r="BH1585" i="2" s="1"/>
  <c r="BF1568" i="2"/>
  <c r="BJ1568" i="2" s="1"/>
  <c r="BL1568" i="2" s="1"/>
  <c r="BG1563" i="2"/>
  <c r="BH1563" i="2" s="1"/>
  <c r="BF1538" i="2"/>
  <c r="BJ1538" i="2" s="1"/>
  <c r="BL1538" i="2" s="1"/>
  <c r="BG1527" i="2"/>
  <c r="BH1527" i="2" s="1"/>
  <c r="BF1526" i="2"/>
  <c r="BJ1526" i="2" s="1"/>
  <c r="BL1526" i="2" s="1"/>
  <c r="BG1515" i="2"/>
  <c r="BH1515" i="2" s="1"/>
  <c r="BF1514" i="2"/>
  <c r="BJ1514" i="2" s="1"/>
  <c r="BL1514" i="2" s="1"/>
  <c r="BG1503" i="2"/>
  <c r="BH1503" i="2" s="1"/>
  <c r="BF1502" i="2"/>
  <c r="BJ1502" i="2" s="1"/>
  <c r="BL1502" i="2" s="1"/>
  <c r="BG1491" i="2"/>
  <c r="BH1491" i="2" s="1"/>
  <c r="BF1490" i="2"/>
  <c r="BJ1490" i="2" s="1"/>
  <c r="BL1490" i="2" s="1"/>
  <c r="BF1602" i="2"/>
  <c r="BJ1602" i="2" s="1"/>
  <c r="BL1602" i="2" s="1"/>
  <c r="BF1585" i="2"/>
  <c r="BJ1585" i="2" s="1"/>
  <c r="BL1585" i="2" s="1"/>
  <c r="BG1576" i="2"/>
  <c r="BH1576" i="2" s="1"/>
  <c r="BF1563" i="2"/>
  <c r="BJ1563" i="2" s="1"/>
  <c r="BL1563" i="2" s="1"/>
  <c r="BG1558" i="2"/>
  <c r="BH1558" i="2" s="1"/>
  <c r="BG1550" i="2"/>
  <c r="BH1550" i="2" s="1"/>
  <c r="BG1547" i="2"/>
  <c r="BH1547" i="2" s="1"/>
  <c r="BG1543" i="2"/>
  <c r="BH1543" i="2" s="1"/>
  <c r="BF1624" i="2"/>
  <c r="BJ1624" i="2" s="1"/>
  <c r="BL1624" i="2" s="1"/>
  <c r="BG1612" i="2"/>
  <c r="BH1612" i="2" s="1"/>
  <c r="BG1606" i="2"/>
  <c r="BH1606" i="2" s="1"/>
  <c r="BF1598" i="2"/>
  <c r="BJ1598" i="2" s="1"/>
  <c r="BL1598" i="2" s="1"/>
  <c r="BG1571" i="2"/>
  <c r="BH1571" i="2" s="1"/>
  <c r="BF1566" i="2"/>
  <c r="BJ1566" i="2" s="1"/>
  <c r="BL1566" i="2" s="1"/>
  <c r="BF1558" i="2"/>
  <c r="BJ1558" i="2" s="1"/>
  <c r="BL1558" i="2" s="1"/>
  <c r="BF1547" i="2"/>
  <c r="BJ1547" i="2" s="1"/>
  <c r="BL1547" i="2" s="1"/>
  <c r="BF1612" i="2"/>
  <c r="BJ1612" i="2" s="1"/>
  <c r="BL1612" i="2" s="1"/>
  <c r="BF1606" i="2"/>
  <c r="BJ1606" i="2" s="1"/>
  <c r="BL1606" i="2" s="1"/>
  <c r="BF1590" i="2"/>
  <c r="BJ1590" i="2" s="1"/>
  <c r="BL1590" i="2" s="1"/>
  <c r="BF1571" i="2"/>
  <c r="BJ1571" i="2" s="1"/>
  <c r="BL1571" i="2" s="1"/>
  <c r="BG1556" i="2"/>
  <c r="BH1556" i="2" s="1"/>
  <c r="BG1530" i="2"/>
  <c r="BH1530" i="2" s="1"/>
  <c r="BF1529" i="2"/>
  <c r="BJ1529" i="2" s="1"/>
  <c r="BL1529" i="2" s="1"/>
  <c r="BG1518" i="2"/>
  <c r="BH1518" i="2" s="1"/>
  <c r="BF1517" i="2"/>
  <c r="BJ1517" i="2" s="1"/>
  <c r="BL1517" i="2" s="1"/>
  <c r="BG1506" i="2"/>
  <c r="BH1506" i="2" s="1"/>
  <c r="BF1505" i="2"/>
  <c r="BJ1505" i="2" s="1"/>
  <c r="BL1505" i="2" s="1"/>
  <c r="BG1592" i="2"/>
  <c r="BH1592" i="2" s="1"/>
  <c r="BG1535" i="2"/>
  <c r="BH1535" i="2" s="1"/>
  <c r="BF1520" i="2"/>
  <c r="BJ1520" i="2" s="1"/>
  <c r="BL1520" i="2" s="1"/>
  <c r="BG1517" i="2"/>
  <c r="BH1517" i="2" s="1"/>
  <c r="BG1500" i="2"/>
  <c r="BH1500" i="2" s="1"/>
  <c r="BG1486" i="2"/>
  <c r="BH1486" i="2" s="1"/>
  <c r="BF1485" i="2"/>
  <c r="BJ1485" i="2" s="1"/>
  <c r="BL1485" i="2" s="1"/>
  <c r="BF1592" i="2"/>
  <c r="BJ1592" i="2" s="1"/>
  <c r="BL1592" i="2" s="1"/>
  <c r="BG1551" i="2"/>
  <c r="BH1551" i="2" s="1"/>
  <c r="BF1535" i="2"/>
  <c r="BJ1535" i="2" s="1"/>
  <c r="BL1535" i="2" s="1"/>
  <c r="BG1514" i="2"/>
  <c r="BH1514" i="2" s="1"/>
  <c r="BG1510" i="2"/>
  <c r="BH1510" i="2" s="1"/>
  <c r="BF1500" i="2"/>
  <c r="BJ1500" i="2" s="1"/>
  <c r="BL1500" i="2" s="1"/>
  <c r="BG1487" i="2"/>
  <c r="BH1487" i="2" s="1"/>
  <c r="BF1486" i="2"/>
  <c r="BJ1486" i="2" s="1"/>
  <c r="BL1486" i="2" s="1"/>
  <c r="BG1475" i="2"/>
  <c r="BH1475" i="2" s="1"/>
  <c r="BF1474" i="2"/>
  <c r="BJ1474" i="2" s="1"/>
  <c r="BL1474" i="2" s="1"/>
  <c r="BG1579" i="2"/>
  <c r="BH1579" i="2" s="1"/>
  <c r="BG1569" i="2"/>
  <c r="BH1569" i="2" s="1"/>
  <c r="BG1542" i="2"/>
  <c r="BH1542" i="2" s="1"/>
  <c r="BG1540" i="2"/>
  <c r="BH1540" i="2" s="1"/>
  <c r="BF1530" i="2"/>
  <c r="BJ1530" i="2" s="1"/>
  <c r="BL1530" i="2" s="1"/>
  <c r="BF1527" i="2"/>
  <c r="BJ1527" i="2" s="1"/>
  <c r="BL1527" i="2" s="1"/>
  <c r="BG1524" i="2"/>
  <c r="BH1524" i="2" s="1"/>
  <c r="BF1510" i="2"/>
  <c r="BJ1510" i="2" s="1"/>
  <c r="BL1510" i="2" s="1"/>
  <c r="BF1506" i="2"/>
  <c r="BJ1506" i="2" s="1"/>
  <c r="BL1506" i="2" s="1"/>
  <c r="BG1501" i="2"/>
  <c r="BH1501" i="2" s="1"/>
  <c r="BG1495" i="2"/>
  <c r="BH1495" i="2" s="1"/>
  <c r="BF1579" i="2"/>
  <c r="BJ1579" i="2" s="1"/>
  <c r="BL1579" i="2" s="1"/>
  <c r="BF1569" i="2"/>
  <c r="BJ1569" i="2" s="1"/>
  <c r="BL1569" i="2" s="1"/>
  <c r="BF1542" i="2"/>
  <c r="BJ1542" i="2" s="1"/>
  <c r="BL1542" i="2" s="1"/>
  <c r="BF1540" i="2"/>
  <c r="BJ1540" i="2" s="1"/>
  <c r="BL1540" i="2" s="1"/>
  <c r="BG1538" i="2"/>
  <c r="BH1538" i="2" s="1"/>
  <c r="BF1524" i="2"/>
  <c r="BJ1524" i="2" s="1"/>
  <c r="BL1524" i="2" s="1"/>
  <c r="BG1521" i="2"/>
  <c r="BH1521" i="2" s="1"/>
  <c r="BF1501" i="2"/>
  <c r="BJ1501" i="2" s="1"/>
  <c r="BL1501" i="2" s="1"/>
  <c r="BF1495" i="2"/>
  <c r="BJ1495" i="2" s="1"/>
  <c r="BL1495" i="2" s="1"/>
  <c r="BG1489" i="2"/>
  <c r="BH1489" i="2" s="1"/>
  <c r="BF1488" i="2"/>
  <c r="BJ1488" i="2" s="1"/>
  <c r="BL1488" i="2" s="1"/>
  <c r="BG1477" i="2"/>
  <c r="BH1477" i="2" s="1"/>
  <c r="BF1476" i="2"/>
  <c r="BJ1476" i="2" s="1"/>
  <c r="BL1476" i="2" s="1"/>
  <c r="BG1465" i="2"/>
  <c r="BH1465" i="2" s="1"/>
  <c r="BF1464" i="2"/>
  <c r="BJ1464" i="2" s="1"/>
  <c r="BL1464" i="2" s="1"/>
  <c r="BF1518" i="2"/>
  <c r="BJ1518" i="2" s="1"/>
  <c r="BL1518" i="2" s="1"/>
  <c r="BG1511" i="2"/>
  <c r="BH1511" i="2" s="1"/>
  <c r="BG1507" i="2"/>
  <c r="BH1507" i="2" s="1"/>
  <c r="BG1549" i="2"/>
  <c r="BH1549" i="2" s="1"/>
  <c r="BG1544" i="2"/>
  <c r="BH1544" i="2" s="1"/>
  <c r="BF1556" i="2"/>
  <c r="BJ1556" i="2" s="1"/>
  <c r="BL1556" i="2" s="1"/>
  <c r="BF1544" i="2"/>
  <c r="BJ1544" i="2" s="1"/>
  <c r="BL1544" i="2" s="1"/>
  <c r="BF1536" i="2"/>
  <c r="BG1531" i="2"/>
  <c r="BH1531" i="2" s="1"/>
  <c r="BF1528" i="2"/>
  <c r="BJ1528" i="2" s="1"/>
  <c r="BL1528" i="2" s="1"/>
  <c r="BG1525" i="2"/>
  <c r="BH1525" i="2" s="1"/>
  <c r="BG1548" i="2"/>
  <c r="BH1548" i="2" s="1"/>
  <c r="BF1531" i="2"/>
  <c r="BJ1531" i="2" s="1"/>
  <c r="BL1531" i="2" s="1"/>
  <c r="BF1525" i="2"/>
  <c r="BJ1525" i="2" s="1"/>
  <c r="BL1525" i="2" s="1"/>
  <c r="BF1522" i="2"/>
  <c r="BJ1522" i="2" s="1"/>
  <c r="BL1522" i="2" s="1"/>
  <c r="BG1519" i="2"/>
  <c r="BH1519" i="2" s="1"/>
  <c r="BG1512" i="2"/>
  <c r="BH1512" i="2" s="1"/>
  <c r="BF1574" i="2"/>
  <c r="BJ1574" i="2" s="1"/>
  <c r="BL1574" i="2" s="1"/>
  <c r="BF1541" i="2"/>
  <c r="BJ1541" i="2" s="1"/>
  <c r="BL1541" i="2" s="1"/>
  <c r="BG1539" i="2"/>
  <c r="BH1539" i="2" s="1"/>
  <c r="BF1534" i="2"/>
  <c r="BJ1534" i="2" s="1"/>
  <c r="BL1534" i="2" s="1"/>
  <c r="BG1564" i="2"/>
  <c r="BH1564" i="2" s="1"/>
  <c r="BF1543" i="2"/>
  <c r="BJ1543" i="2" s="1"/>
  <c r="BL1543" i="2" s="1"/>
  <c r="BF1539" i="2"/>
  <c r="BJ1539" i="2" s="1"/>
  <c r="BL1539" i="2" s="1"/>
  <c r="BG1529" i="2"/>
  <c r="BH1529" i="2" s="1"/>
  <c r="BF1516" i="2"/>
  <c r="BJ1516" i="2" s="1"/>
  <c r="BL1516" i="2" s="1"/>
  <c r="BF1504" i="2"/>
  <c r="BJ1504" i="2" s="1"/>
  <c r="BL1504" i="2" s="1"/>
  <c r="BF1498" i="2"/>
  <c r="BJ1498" i="2" s="1"/>
  <c r="BL1498" i="2" s="1"/>
  <c r="BF1492" i="2"/>
  <c r="BJ1492" i="2" s="1"/>
  <c r="BL1492" i="2" s="1"/>
  <c r="BG1520" i="2"/>
  <c r="BH1520" i="2" s="1"/>
  <c r="BG1488" i="2"/>
  <c r="BH1488" i="2" s="1"/>
  <c r="BG1481" i="2"/>
  <c r="BH1481" i="2" s="1"/>
  <c r="BF1472" i="2"/>
  <c r="BJ1472" i="2" s="1"/>
  <c r="BL1472" i="2" s="1"/>
  <c r="BF1467" i="2"/>
  <c r="BJ1467" i="2" s="1"/>
  <c r="BL1467" i="2" s="1"/>
  <c r="BG1460" i="2"/>
  <c r="BH1460" i="2" s="1"/>
  <c r="BF1459" i="2"/>
  <c r="BJ1459" i="2" s="1"/>
  <c r="BL1459" i="2" s="1"/>
  <c r="BG1448" i="2"/>
  <c r="BH1448" i="2" s="1"/>
  <c r="BF1447" i="2"/>
  <c r="BJ1447" i="2" s="1"/>
  <c r="BL1447" i="2" s="1"/>
  <c r="BF1446" i="2"/>
  <c r="BJ1446" i="2" s="1"/>
  <c r="BL1446" i="2" s="1"/>
  <c r="BF1445" i="2"/>
  <c r="BJ1445" i="2" s="1"/>
  <c r="BL1445" i="2" s="1"/>
  <c r="BF1444" i="2"/>
  <c r="BJ1444" i="2" s="1"/>
  <c r="BL1444" i="2" s="1"/>
  <c r="BF1443" i="2"/>
  <c r="BJ1443" i="2" s="1"/>
  <c r="BL1443" i="2" s="1"/>
  <c r="BF1515" i="2"/>
  <c r="BJ1515" i="2" s="1"/>
  <c r="BL1515" i="2" s="1"/>
  <c r="BF1511" i="2"/>
  <c r="BJ1511" i="2" s="1"/>
  <c r="BL1511" i="2" s="1"/>
  <c r="BG1508" i="2"/>
  <c r="BH1508" i="2" s="1"/>
  <c r="BG1497" i="2"/>
  <c r="BH1497" i="2" s="1"/>
  <c r="BG1485" i="2"/>
  <c r="BH1485" i="2" s="1"/>
  <c r="BF1481" i="2"/>
  <c r="BJ1481" i="2" s="1"/>
  <c r="BL1481" i="2" s="1"/>
  <c r="BF1477" i="2"/>
  <c r="BJ1477" i="2" s="1"/>
  <c r="BL1477" i="2" s="1"/>
  <c r="BG1468" i="2"/>
  <c r="BH1468" i="2" s="1"/>
  <c r="BG1461" i="2"/>
  <c r="BH1461" i="2" s="1"/>
  <c r="BF1460" i="2"/>
  <c r="BJ1460" i="2" s="1"/>
  <c r="BL1460" i="2" s="1"/>
  <c r="BG1449" i="2"/>
  <c r="BH1449" i="2" s="1"/>
  <c r="BF1448" i="2"/>
  <c r="BJ1448" i="2" s="1"/>
  <c r="BG1528" i="2"/>
  <c r="BH1528" i="2" s="1"/>
  <c r="BF1519" i="2"/>
  <c r="BJ1519" i="2" s="1"/>
  <c r="BL1519" i="2" s="1"/>
  <c r="BF1508" i="2"/>
  <c r="BJ1508" i="2" s="1"/>
  <c r="BL1508" i="2" s="1"/>
  <c r="BF1503" i="2"/>
  <c r="BJ1503" i="2" s="1"/>
  <c r="BL1503" i="2" s="1"/>
  <c r="BG1499" i="2"/>
  <c r="BH1499" i="2" s="1"/>
  <c r="BF1497" i="2"/>
  <c r="BJ1497" i="2" s="1"/>
  <c r="BL1497" i="2" s="1"/>
  <c r="BG1493" i="2"/>
  <c r="BH1493" i="2" s="1"/>
  <c r="BG1473" i="2"/>
  <c r="BH1473" i="2" s="1"/>
  <c r="BF1468" i="2"/>
  <c r="BJ1468" i="2" s="1"/>
  <c r="BL1468" i="2" s="1"/>
  <c r="BG1462" i="2"/>
  <c r="BH1462" i="2" s="1"/>
  <c r="BF1461" i="2"/>
  <c r="BJ1461" i="2" s="1"/>
  <c r="BL1461" i="2" s="1"/>
  <c r="BG1523" i="2"/>
  <c r="BH1523" i="2" s="1"/>
  <c r="BF1499" i="2"/>
  <c r="BJ1499" i="2" s="1"/>
  <c r="BL1499" i="2" s="1"/>
  <c r="BF1493" i="2"/>
  <c r="BJ1493" i="2" s="1"/>
  <c r="BL1493" i="2" s="1"/>
  <c r="BG1482" i="2"/>
  <c r="BH1482" i="2" s="1"/>
  <c r="BG1478" i="2"/>
  <c r="BH1478" i="2" s="1"/>
  <c r="BF1473" i="2"/>
  <c r="BJ1473" i="2" s="1"/>
  <c r="BL1473" i="2" s="1"/>
  <c r="BG1469" i="2"/>
  <c r="BH1469" i="2" s="1"/>
  <c r="BF1462" i="2"/>
  <c r="BJ1462" i="2" s="1"/>
  <c r="BL1462" i="2" s="1"/>
  <c r="BG1451" i="2"/>
  <c r="BH1451" i="2" s="1"/>
  <c r="BF1450" i="2"/>
  <c r="BJ1450" i="2" s="1"/>
  <c r="BL1450" i="2" s="1"/>
  <c r="BF1523" i="2"/>
  <c r="BJ1523" i="2" s="1"/>
  <c r="BL1523" i="2" s="1"/>
  <c r="BG1505" i="2"/>
  <c r="BH1505" i="2" s="1"/>
  <c r="BF1491" i="2"/>
  <c r="BJ1491" i="2" s="1"/>
  <c r="BL1491" i="2" s="1"/>
  <c r="BF1482" i="2"/>
  <c r="BJ1482" i="2" s="1"/>
  <c r="BL1482" i="2" s="1"/>
  <c r="BF1478" i="2"/>
  <c r="BJ1478" i="2" s="1"/>
  <c r="BL1478" i="2" s="1"/>
  <c r="BF1469" i="2"/>
  <c r="BJ1469" i="2" s="1"/>
  <c r="BL1469" i="2" s="1"/>
  <c r="BF1507" i="2"/>
  <c r="BJ1507" i="2" s="1"/>
  <c r="BL1507" i="2" s="1"/>
  <c r="BF1489" i="2"/>
  <c r="BJ1489" i="2" s="1"/>
  <c r="BL1489" i="2" s="1"/>
  <c r="BG1474" i="2"/>
  <c r="BH1474" i="2" s="1"/>
  <c r="BG1470" i="2"/>
  <c r="BH1470" i="2" s="1"/>
  <c r="BF1463" i="2"/>
  <c r="BJ1463" i="2" s="1"/>
  <c r="BL1463" i="2" s="1"/>
  <c r="BG1453" i="2"/>
  <c r="BH1453" i="2" s="1"/>
  <c r="BF1452" i="2"/>
  <c r="BJ1452" i="2" s="1"/>
  <c r="BL1452" i="2" s="1"/>
  <c r="BG1483" i="2"/>
  <c r="BH1483" i="2" s="1"/>
  <c r="BG1479" i="2"/>
  <c r="BH1479" i="2" s="1"/>
  <c r="BF1470" i="2"/>
  <c r="BJ1470" i="2" s="1"/>
  <c r="BL1470" i="2" s="1"/>
  <c r="BG1464" i="2"/>
  <c r="BH1464" i="2" s="1"/>
  <c r="BG1532" i="2"/>
  <c r="BH1532" i="2" s="1"/>
  <c r="BG1526" i="2"/>
  <c r="BH1526" i="2" s="1"/>
  <c r="BG1513" i="2"/>
  <c r="BH1513" i="2" s="1"/>
  <c r="BG1502" i="2"/>
  <c r="BH1502" i="2" s="1"/>
  <c r="BF1483" i="2"/>
  <c r="BJ1483" i="2" s="1"/>
  <c r="BL1483" i="2" s="1"/>
  <c r="BF1479" i="2"/>
  <c r="BJ1479" i="2" s="1"/>
  <c r="BL1479" i="2" s="1"/>
  <c r="BF1513" i="2"/>
  <c r="BJ1513" i="2" s="1"/>
  <c r="BL1513" i="2" s="1"/>
  <c r="BG1498" i="2"/>
  <c r="BH1498" i="2" s="1"/>
  <c r="BF1487" i="2"/>
  <c r="BJ1487" i="2" s="1"/>
  <c r="BL1487" i="2" s="1"/>
  <c r="BF1475" i="2"/>
  <c r="BJ1475" i="2" s="1"/>
  <c r="BL1475" i="2" s="1"/>
  <c r="BG1471" i="2"/>
  <c r="BH1471" i="2" s="1"/>
  <c r="BF1465" i="2"/>
  <c r="BJ1465" i="2" s="1"/>
  <c r="BL1465" i="2" s="1"/>
  <c r="BG1456" i="2"/>
  <c r="BH1456" i="2" s="1"/>
  <c r="BF1455" i="2"/>
  <c r="BJ1455" i="2" s="1"/>
  <c r="BL1455" i="2" s="1"/>
  <c r="BG1537" i="2"/>
  <c r="BH1537" i="2" s="1"/>
  <c r="BG1509" i="2"/>
  <c r="BH1509" i="2" s="1"/>
  <c r="BG1504" i="2"/>
  <c r="BH1504" i="2" s="1"/>
  <c r="BG1492" i="2"/>
  <c r="BH1492" i="2" s="1"/>
  <c r="BG1484" i="2"/>
  <c r="BH1484" i="2" s="1"/>
  <c r="BG1480" i="2"/>
  <c r="BH1480" i="2" s="1"/>
  <c r="BF1471" i="2"/>
  <c r="BJ1471" i="2" s="1"/>
  <c r="BL1471" i="2" s="1"/>
  <c r="BG1466" i="2"/>
  <c r="BH1466" i="2" s="1"/>
  <c r="BG1457" i="2"/>
  <c r="BH1457" i="2" s="1"/>
  <c r="BF1456" i="2"/>
  <c r="BJ1456" i="2" s="1"/>
  <c r="BL1456" i="2" s="1"/>
  <c r="BF1537" i="2"/>
  <c r="BJ1537" i="2" s="1"/>
  <c r="BL1537" i="2" s="1"/>
  <c r="BG1516" i="2"/>
  <c r="BH1516" i="2" s="1"/>
  <c r="BF1512" i="2"/>
  <c r="BJ1512" i="2" s="1"/>
  <c r="BL1512" i="2" s="1"/>
  <c r="BF1509" i="2"/>
  <c r="BJ1509" i="2" s="1"/>
  <c r="BL1509" i="2" s="1"/>
  <c r="BF1480" i="2"/>
  <c r="BJ1480" i="2" s="1"/>
  <c r="BL1480" i="2" s="1"/>
  <c r="BG1452" i="2"/>
  <c r="BH1452" i="2" s="1"/>
  <c r="BG1450" i="2"/>
  <c r="BH1450" i="2" s="1"/>
  <c r="BG1443" i="2"/>
  <c r="BH1443" i="2" s="1"/>
  <c r="BF1440" i="2"/>
  <c r="BJ1440" i="2" s="1"/>
  <c r="BL1440" i="2" s="1"/>
  <c r="BG1437" i="2"/>
  <c r="BH1437" i="2" s="1"/>
  <c r="BG1433" i="2"/>
  <c r="BH1433" i="2" s="1"/>
  <c r="BG1429" i="2"/>
  <c r="BH1429" i="2" s="1"/>
  <c r="BF1423" i="2"/>
  <c r="BJ1423" i="2" s="1"/>
  <c r="BL1423" i="2" s="1"/>
  <c r="BF1417" i="2"/>
  <c r="BJ1417" i="2" s="1"/>
  <c r="BL1417" i="2" s="1"/>
  <c r="BG1409" i="2"/>
  <c r="BH1409" i="2" s="1"/>
  <c r="BF1408" i="2"/>
  <c r="BJ1408" i="2" s="1"/>
  <c r="BL1408" i="2" s="1"/>
  <c r="BG1397" i="2"/>
  <c r="BH1397" i="2" s="1"/>
  <c r="BF1396" i="2"/>
  <c r="BJ1396" i="2" s="1"/>
  <c r="BL1396" i="2" s="1"/>
  <c r="BG1536" i="2"/>
  <c r="BH1536" i="2" s="1"/>
  <c r="BG1454" i="2"/>
  <c r="BH1454" i="2" s="1"/>
  <c r="BF1437" i="2"/>
  <c r="BJ1437" i="2" s="1"/>
  <c r="BL1437" i="2" s="1"/>
  <c r="BF1433" i="2"/>
  <c r="BJ1433" i="2" s="1"/>
  <c r="BL1433" i="2" s="1"/>
  <c r="BF1429" i="2"/>
  <c r="BJ1429" i="2" s="1"/>
  <c r="BL1429" i="2" s="1"/>
  <c r="BG1424" i="2"/>
  <c r="BH1424" i="2" s="1"/>
  <c r="BG1418" i="2"/>
  <c r="BH1418" i="2" s="1"/>
  <c r="BG1410" i="2"/>
  <c r="BH1410" i="2" s="1"/>
  <c r="BF1409" i="2"/>
  <c r="BJ1409" i="2" s="1"/>
  <c r="BL1409" i="2" s="1"/>
  <c r="BG1398" i="2"/>
  <c r="BH1398" i="2" s="1"/>
  <c r="BF1397" i="2"/>
  <c r="BJ1397" i="2" s="1"/>
  <c r="BL1397" i="2" s="1"/>
  <c r="BG1472" i="2"/>
  <c r="BH1472" i="2" s="1"/>
  <c r="BG1467" i="2"/>
  <c r="BH1467" i="2" s="1"/>
  <c r="BF1454" i="2"/>
  <c r="BJ1454" i="2" s="1"/>
  <c r="BL1454" i="2" s="1"/>
  <c r="BF1424" i="2"/>
  <c r="BJ1424" i="2" s="1"/>
  <c r="BL1424" i="2" s="1"/>
  <c r="BF1418" i="2"/>
  <c r="BJ1418" i="2" s="1"/>
  <c r="BL1418" i="2" s="1"/>
  <c r="BG1411" i="2"/>
  <c r="BH1411" i="2" s="1"/>
  <c r="BF1410" i="2"/>
  <c r="BJ1410" i="2" s="1"/>
  <c r="BL1410" i="2" s="1"/>
  <c r="BG1399" i="2"/>
  <c r="BH1399" i="2" s="1"/>
  <c r="BF1398" i="2"/>
  <c r="BJ1398" i="2" s="1"/>
  <c r="BL1398" i="2" s="1"/>
  <c r="BG1463" i="2"/>
  <c r="BH1463" i="2" s="1"/>
  <c r="BG1458" i="2"/>
  <c r="BH1458" i="2" s="1"/>
  <c r="BG1446" i="2"/>
  <c r="BH1446" i="2" s="1"/>
  <c r="BG1441" i="2"/>
  <c r="BH1441" i="2" s="1"/>
  <c r="BG1438" i="2"/>
  <c r="BH1438" i="2" s="1"/>
  <c r="BG1434" i="2"/>
  <c r="BH1434" i="2" s="1"/>
  <c r="BG1430" i="2"/>
  <c r="BH1430" i="2" s="1"/>
  <c r="BG1425" i="2"/>
  <c r="BH1425" i="2" s="1"/>
  <c r="BG1419" i="2"/>
  <c r="BH1419" i="2" s="1"/>
  <c r="BG1412" i="2"/>
  <c r="BH1412" i="2" s="1"/>
  <c r="BF1411" i="2"/>
  <c r="BJ1411" i="2" s="1"/>
  <c r="BL1411" i="2" s="1"/>
  <c r="BG1400" i="2"/>
  <c r="BH1400" i="2" s="1"/>
  <c r="BF1399" i="2"/>
  <c r="BJ1399" i="2" s="1"/>
  <c r="BL1399" i="2" s="1"/>
  <c r="BF1458" i="2"/>
  <c r="BJ1458" i="2" s="1"/>
  <c r="BL1458" i="2" s="1"/>
  <c r="BF1441" i="2"/>
  <c r="BJ1441" i="2" s="1"/>
  <c r="BL1441" i="2" s="1"/>
  <c r="BF1438" i="2"/>
  <c r="BJ1438" i="2" s="1"/>
  <c r="BL1438" i="2" s="1"/>
  <c r="BF1434" i="2"/>
  <c r="BJ1434" i="2" s="1"/>
  <c r="BL1434" i="2" s="1"/>
  <c r="BF1430" i="2"/>
  <c r="BJ1430" i="2" s="1"/>
  <c r="BL1430" i="2" s="1"/>
  <c r="BF1425" i="2"/>
  <c r="BJ1425" i="2" s="1"/>
  <c r="BL1425" i="2" s="1"/>
  <c r="BF1419" i="2"/>
  <c r="BJ1419" i="2" s="1"/>
  <c r="BL1419" i="2" s="1"/>
  <c r="BG1413" i="2"/>
  <c r="BH1413" i="2" s="1"/>
  <c r="BF1412" i="2"/>
  <c r="BJ1412" i="2" s="1"/>
  <c r="BL1412" i="2" s="1"/>
  <c r="BF1466" i="2"/>
  <c r="BJ1466" i="2" s="1"/>
  <c r="BL1466" i="2" s="1"/>
  <c r="BG1444" i="2"/>
  <c r="BH1444" i="2" s="1"/>
  <c r="BG1426" i="2"/>
  <c r="BH1426" i="2" s="1"/>
  <c r="BG1420" i="2"/>
  <c r="BH1420" i="2" s="1"/>
  <c r="BG1414" i="2"/>
  <c r="BH1414" i="2" s="1"/>
  <c r="BF1413" i="2"/>
  <c r="BJ1413" i="2" s="1"/>
  <c r="BL1413" i="2" s="1"/>
  <c r="BG1402" i="2"/>
  <c r="BH1402" i="2" s="1"/>
  <c r="BF1401" i="2"/>
  <c r="BJ1401" i="2" s="1"/>
  <c r="BL1401" i="2" s="1"/>
  <c r="BF1484" i="2"/>
  <c r="BJ1484" i="2" s="1"/>
  <c r="BL1484" i="2" s="1"/>
  <c r="BG1476" i="2"/>
  <c r="BH1476" i="2" s="1"/>
  <c r="BF1451" i="2"/>
  <c r="BJ1451" i="2" s="1"/>
  <c r="BL1451" i="2" s="1"/>
  <c r="BG1435" i="2"/>
  <c r="BH1435" i="2" s="1"/>
  <c r="BG1431" i="2"/>
  <c r="BH1431" i="2" s="1"/>
  <c r="BF1426" i="2"/>
  <c r="BJ1426" i="2" s="1"/>
  <c r="BL1426" i="2" s="1"/>
  <c r="BF1420" i="2"/>
  <c r="BJ1420" i="2" s="1"/>
  <c r="BL1420" i="2" s="1"/>
  <c r="BF1414" i="2"/>
  <c r="BJ1414" i="2" s="1"/>
  <c r="BL1414" i="2" s="1"/>
  <c r="BG1403" i="2"/>
  <c r="BH1403" i="2" s="1"/>
  <c r="BF1453" i="2"/>
  <c r="BJ1453" i="2" s="1"/>
  <c r="BL1453" i="2" s="1"/>
  <c r="BF1449" i="2"/>
  <c r="BJ1449" i="2" s="1"/>
  <c r="BL1449" i="2" s="1"/>
  <c r="BG1442" i="2"/>
  <c r="BH1442" i="2" s="1"/>
  <c r="BG1439" i="2"/>
  <c r="BH1439" i="2" s="1"/>
  <c r="BF1435" i="2"/>
  <c r="BJ1435" i="2" s="1"/>
  <c r="BL1435" i="2" s="1"/>
  <c r="BF1431" i="2"/>
  <c r="BJ1431" i="2" s="1"/>
  <c r="BL1431" i="2" s="1"/>
  <c r="BG1427" i="2"/>
  <c r="BH1427" i="2" s="1"/>
  <c r="BG1421" i="2"/>
  <c r="BH1421" i="2" s="1"/>
  <c r="BG1415" i="2"/>
  <c r="BH1415" i="2" s="1"/>
  <c r="BG1404" i="2"/>
  <c r="BH1404" i="2" s="1"/>
  <c r="BG1455" i="2"/>
  <c r="BH1455" i="2" s="1"/>
  <c r="BG1447" i="2"/>
  <c r="BH1447" i="2" s="1"/>
  <c r="BF1442" i="2"/>
  <c r="BJ1442" i="2" s="1"/>
  <c r="BL1442" i="2" s="1"/>
  <c r="BF1439" i="2"/>
  <c r="BJ1439" i="2" s="1"/>
  <c r="BL1439" i="2" s="1"/>
  <c r="BF1427" i="2"/>
  <c r="BJ1427" i="2" s="1"/>
  <c r="BL1427" i="2" s="1"/>
  <c r="BF1421" i="2"/>
  <c r="BJ1421" i="2" s="1"/>
  <c r="BL1421" i="2" s="1"/>
  <c r="BF1415" i="2"/>
  <c r="BJ1415" i="2" s="1"/>
  <c r="BL1415" i="2" s="1"/>
  <c r="BF1457" i="2"/>
  <c r="BJ1457" i="2" s="1"/>
  <c r="BL1457" i="2" s="1"/>
  <c r="BG1436" i="2"/>
  <c r="BH1436" i="2" s="1"/>
  <c r="BG1432" i="2"/>
  <c r="BH1432" i="2" s="1"/>
  <c r="BG1428" i="2"/>
  <c r="BH1428" i="2" s="1"/>
  <c r="BG1422" i="2"/>
  <c r="BH1422" i="2" s="1"/>
  <c r="BG1416" i="2"/>
  <c r="BH1416" i="2" s="1"/>
  <c r="BG1406" i="2"/>
  <c r="BH1406" i="2" s="1"/>
  <c r="BF1405" i="2"/>
  <c r="BJ1405" i="2" s="1"/>
  <c r="BL1405" i="2" s="1"/>
  <c r="BG1394" i="2"/>
  <c r="BH1394" i="2" s="1"/>
  <c r="BF1393" i="2"/>
  <c r="BJ1393" i="2" s="1"/>
  <c r="BL1393" i="2" s="1"/>
  <c r="BF1392" i="2"/>
  <c r="BJ1392" i="2" s="1"/>
  <c r="BL1392" i="2" s="1"/>
  <c r="BF1391" i="2"/>
  <c r="BJ1391" i="2" s="1"/>
  <c r="BL1391" i="2" s="1"/>
  <c r="BF1390" i="2"/>
  <c r="BJ1390" i="2" s="1"/>
  <c r="BL1390" i="2" s="1"/>
  <c r="BF1389" i="2"/>
  <c r="BJ1389" i="2" s="1"/>
  <c r="BL1389" i="2" s="1"/>
  <c r="BF1416" i="2"/>
  <c r="BJ1416" i="2" s="1"/>
  <c r="BL1416" i="2" s="1"/>
  <c r="BG1392" i="2"/>
  <c r="BH1392" i="2" s="1"/>
  <c r="BG1384" i="2"/>
  <c r="BH1384" i="2" s="1"/>
  <c r="BG1378" i="2"/>
  <c r="BH1378" i="2" s="1"/>
  <c r="BG1369" i="2"/>
  <c r="BH1369" i="2" s="1"/>
  <c r="BF1368" i="2"/>
  <c r="BJ1368" i="2" s="1"/>
  <c r="BL1368" i="2" s="1"/>
  <c r="BG1357" i="2"/>
  <c r="BH1357" i="2" s="1"/>
  <c r="BF1356" i="2"/>
  <c r="BJ1356" i="2" s="1"/>
  <c r="BL1356" i="2" s="1"/>
  <c r="BG1345" i="2"/>
  <c r="BH1345" i="2" s="1"/>
  <c r="BF1344" i="2"/>
  <c r="BJ1344" i="2" s="1"/>
  <c r="BL1344" i="2" s="1"/>
  <c r="BG1333" i="2"/>
  <c r="BH1333" i="2" s="1"/>
  <c r="BF1332" i="2"/>
  <c r="BJ1332" i="2" s="1"/>
  <c r="BL1332" i="2" s="1"/>
  <c r="BG1321" i="2"/>
  <c r="BH1321" i="2" s="1"/>
  <c r="BF1320" i="2"/>
  <c r="BJ1320" i="2" s="1"/>
  <c r="BL1320" i="2" s="1"/>
  <c r="BG1423" i="2"/>
  <c r="BH1423" i="2" s="1"/>
  <c r="BF1404" i="2"/>
  <c r="BJ1404" i="2" s="1"/>
  <c r="BL1404" i="2" s="1"/>
  <c r="BF1384" i="2"/>
  <c r="BJ1384" i="2" s="1"/>
  <c r="BL1384" i="2" s="1"/>
  <c r="BF1378" i="2"/>
  <c r="BJ1378" i="2" s="1"/>
  <c r="BL1378" i="2" s="1"/>
  <c r="BG1370" i="2"/>
  <c r="BH1370" i="2" s="1"/>
  <c r="BF1369" i="2"/>
  <c r="BJ1369" i="2" s="1"/>
  <c r="BL1369" i="2" s="1"/>
  <c r="BG1358" i="2"/>
  <c r="BH1358" i="2" s="1"/>
  <c r="BF1357" i="2"/>
  <c r="BJ1357" i="2" s="1"/>
  <c r="BL1357" i="2" s="1"/>
  <c r="BG1346" i="2"/>
  <c r="BH1346" i="2" s="1"/>
  <c r="BF1345" i="2"/>
  <c r="BJ1345" i="2" s="1"/>
  <c r="BL1345" i="2" s="1"/>
  <c r="BG1334" i="2"/>
  <c r="BH1334" i="2" s="1"/>
  <c r="BF1333" i="2"/>
  <c r="BJ1333" i="2" s="1"/>
  <c r="BL1333" i="2" s="1"/>
  <c r="BG1322" i="2"/>
  <c r="BH1322" i="2" s="1"/>
  <c r="BF1321" i="2"/>
  <c r="BJ1321" i="2" s="1"/>
  <c r="BL1321" i="2" s="1"/>
  <c r="BG1310" i="2"/>
  <c r="BH1310" i="2" s="1"/>
  <c r="BF1309" i="2"/>
  <c r="BJ1309" i="2" s="1"/>
  <c r="BL1309" i="2" s="1"/>
  <c r="BG1298" i="2"/>
  <c r="BH1298" i="2" s="1"/>
  <c r="BF1297" i="2"/>
  <c r="BJ1297" i="2" s="1"/>
  <c r="BL1297" i="2" s="1"/>
  <c r="BG1286" i="2"/>
  <c r="BH1286" i="2" s="1"/>
  <c r="BF1285" i="2"/>
  <c r="BJ1285" i="2" s="1"/>
  <c r="BL1285" i="2" s="1"/>
  <c r="BG1490" i="2"/>
  <c r="BH1490" i="2" s="1"/>
  <c r="BG1459" i="2"/>
  <c r="BH1459" i="2" s="1"/>
  <c r="BF1422" i="2"/>
  <c r="BJ1422" i="2" s="1"/>
  <c r="BL1422" i="2" s="1"/>
  <c r="BG1390" i="2"/>
  <c r="BH1390" i="2" s="1"/>
  <c r="BG1385" i="2"/>
  <c r="BH1385" i="2" s="1"/>
  <c r="BG1371" i="2"/>
  <c r="BH1371" i="2" s="1"/>
  <c r="BF1370" i="2"/>
  <c r="BJ1370" i="2" s="1"/>
  <c r="BL1370" i="2" s="1"/>
  <c r="BG1359" i="2"/>
  <c r="BH1359" i="2" s="1"/>
  <c r="BF1358" i="2"/>
  <c r="BJ1358" i="2" s="1"/>
  <c r="BL1358" i="2" s="1"/>
  <c r="BG1347" i="2"/>
  <c r="BH1347" i="2" s="1"/>
  <c r="BF1346" i="2"/>
  <c r="BJ1346" i="2" s="1"/>
  <c r="BL1346" i="2" s="1"/>
  <c r="BG1408" i="2"/>
  <c r="BH1408" i="2" s="1"/>
  <c r="BG1401" i="2"/>
  <c r="BH1401" i="2" s="1"/>
  <c r="BF1385" i="2"/>
  <c r="BJ1385" i="2" s="1"/>
  <c r="BL1385" i="2" s="1"/>
  <c r="BG1372" i="2"/>
  <c r="BH1372" i="2" s="1"/>
  <c r="BF1371" i="2"/>
  <c r="BJ1371" i="2" s="1"/>
  <c r="BL1371" i="2" s="1"/>
  <c r="BG1360" i="2"/>
  <c r="BH1360" i="2" s="1"/>
  <c r="BF1359" i="2"/>
  <c r="BJ1359" i="2" s="1"/>
  <c r="BL1359" i="2" s="1"/>
  <c r="BG1348" i="2"/>
  <c r="BH1348" i="2" s="1"/>
  <c r="BF1347" i="2"/>
  <c r="BJ1347" i="2" s="1"/>
  <c r="BL1347" i="2" s="1"/>
  <c r="BG1336" i="2"/>
  <c r="BH1336" i="2" s="1"/>
  <c r="BF1335" i="2"/>
  <c r="BJ1335" i="2" s="1"/>
  <c r="BL1335" i="2" s="1"/>
  <c r="BG1324" i="2"/>
  <c r="BH1324" i="2" s="1"/>
  <c r="BF1323" i="2"/>
  <c r="BJ1323" i="2" s="1"/>
  <c r="BL1323" i="2" s="1"/>
  <c r="BG1312" i="2"/>
  <c r="BH1312" i="2" s="1"/>
  <c r="BF1311" i="2"/>
  <c r="BJ1311" i="2" s="1"/>
  <c r="BL1311" i="2" s="1"/>
  <c r="BG1300" i="2"/>
  <c r="BH1300" i="2" s="1"/>
  <c r="BF1299" i="2"/>
  <c r="BJ1299" i="2" s="1"/>
  <c r="BL1299" i="2" s="1"/>
  <c r="BG1288" i="2"/>
  <c r="BH1288" i="2" s="1"/>
  <c r="BF1287" i="2"/>
  <c r="BJ1287" i="2" s="1"/>
  <c r="BL1287" i="2" s="1"/>
  <c r="BG1445" i="2"/>
  <c r="BH1445" i="2" s="1"/>
  <c r="BF1436" i="2"/>
  <c r="BJ1436" i="2" s="1"/>
  <c r="BL1436" i="2" s="1"/>
  <c r="BF1428" i="2"/>
  <c r="BJ1428" i="2" s="1"/>
  <c r="BL1428" i="2" s="1"/>
  <c r="BG1407" i="2"/>
  <c r="BH1407" i="2" s="1"/>
  <c r="BG1395" i="2"/>
  <c r="BH1395" i="2" s="1"/>
  <c r="BG1386" i="2"/>
  <c r="BH1386" i="2" s="1"/>
  <c r="BG1380" i="2"/>
  <c r="BH1380" i="2" s="1"/>
  <c r="BG1373" i="2"/>
  <c r="BH1373" i="2" s="1"/>
  <c r="BF1372" i="2"/>
  <c r="BJ1372" i="2" s="1"/>
  <c r="BL1372" i="2" s="1"/>
  <c r="BG1361" i="2"/>
  <c r="BH1361" i="2" s="1"/>
  <c r="BF1360" i="2"/>
  <c r="BJ1360" i="2" s="1"/>
  <c r="BL1360" i="2" s="1"/>
  <c r="BG1349" i="2"/>
  <c r="BH1349" i="2" s="1"/>
  <c r="BF1348" i="2"/>
  <c r="BJ1348" i="2" s="1"/>
  <c r="BL1348" i="2" s="1"/>
  <c r="BF1407" i="2"/>
  <c r="BJ1407" i="2" s="1"/>
  <c r="BL1407" i="2" s="1"/>
  <c r="BF1403" i="2"/>
  <c r="BJ1403" i="2" s="1"/>
  <c r="BL1403" i="2" s="1"/>
  <c r="BF1395" i="2"/>
  <c r="BJ1395" i="2" s="1"/>
  <c r="BL1395" i="2" s="1"/>
  <c r="BG1393" i="2"/>
  <c r="BH1393" i="2" s="1"/>
  <c r="BF1386" i="2"/>
  <c r="BJ1386" i="2" s="1"/>
  <c r="BL1386" i="2" s="1"/>
  <c r="BF1380" i="2"/>
  <c r="BJ1380" i="2" s="1"/>
  <c r="BL1380" i="2" s="1"/>
  <c r="BG1374" i="2"/>
  <c r="BH1374" i="2" s="1"/>
  <c r="BF1373" i="2"/>
  <c r="BJ1373" i="2" s="1"/>
  <c r="BL1373" i="2" s="1"/>
  <c r="BG1362" i="2"/>
  <c r="BH1362" i="2" s="1"/>
  <c r="BF1361" i="2"/>
  <c r="BJ1361" i="2" s="1"/>
  <c r="BL1361" i="2" s="1"/>
  <c r="BG1350" i="2"/>
  <c r="BH1350" i="2" s="1"/>
  <c r="BF1349" i="2"/>
  <c r="BJ1349" i="2" s="1"/>
  <c r="BL1349" i="2" s="1"/>
  <c r="BF1406" i="2"/>
  <c r="BJ1406" i="2" s="1"/>
  <c r="BL1406" i="2" s="1"/>
  <c r="BG1387" i="2"/>
  <c r="BH1387" i="2" s="1"/>
  <c r="BG1381" i="2"/>
  <c r="BH1381" i="2" s="1"/>
  <c r="BG1375" i="2"/>
  <c r="BH1375" i="2" s="1"/>
  <c r="BF1374" i="2"/>
  <c r="BJ1374" i="2" s="1"/>
  <c r="BL1374" i="2" s="1"/>
  <c r="BG1363" i="2"/>
  <c r="BH1363" i="2" s="1"/>
  <c r="BF1362" i="2"/>
  <c r="BJ1362" i="2" s="1"/>
  <c r="BL1362" i="2" s="1"/>
  <c r="BG1351" i="2"/>
  <c r="BH1351" i="2" s="1"/>
  <c r="BF1350" i="2"/>
  <c r="BJ1350" i="2" s="1"/>
  <c r="BL1350" i="2" s="1"/>
  <c r="BG1391" i="2"/>
  <c r="BH1391" i="2" s="1"/>
  <c r="BF1387" i="2"/>
  <c r="BJ1387" i="2" s="1"/>
  <c r="BL1387" i="2" s="1"/>
  <c r="BF1381" i="2"/>
  <c r="BJ1381" i="2" s="1"/>
  <c r="BL1381" i="2" s="1"/>
  <c r="BF1375" i="2"/>
  <c r="BJ1375" i="2" s="1"/>
  <c r="BL1375" i="2" s="1"/>
  <c r="BG1364" i="2"/>
  <c r="BH1364" i="2" s="1"/>
  <c r="BF1363" i="2"/>
  <c r="BJ1363" i="2" s="1"/>
  <c r="BL1363" i="2" s="1"/>
  <c r="BG1352" i="2"/>
  <c r="BH1352" i="2" s="1"/>
  <c r="BF1351" i="2"/>
  <c r="BJ1351" i="2" s="1"/>
  <c r="BL1351" i="2" s="1"/>
  <c r="BG1340" i="2"/>
  <c r="BH1340" i="2" s="1"/>
  <c r="BF1339" i="2"/>
  <c r="BJ1339" i="2" s="1"/>
  <c r="BL1339" i="2" s="1"/>
  <c r="BG1388" i="2"/>
  <c r="BH1388" i="2" s="1"/>
  <c r="BG1382" i="2"/>
  <c r="BH1382" i="2" s="1"/>
  <c r="BG1376" i="2"/>
  <c r="BH1376" i="2" s="1"/>
  <c r="BG1365" i="2"/>
  <c r="BH1365" i="2" s="1"/>
  <c r="BF1364" i="2"/>
  <c r="BJ1364" i="2" s="1"/>
  <c r="BL1364" i="2" s="1"/>
  <c r="BG1353" i="2"/>
  <c r="BH1353" i="2" s="1"/>
  <c r="BF1352" i="2"/>
  <c r="BJ1352" i="2" s="1"/>
  <c r="BL1352" i="2" s="1"/>
  <c r="BG1341" i="2"/>
  <c r="BH1341" i="2" s="1"/>
  <c r="BG1405" i="2"/>
  <c r="BH1405" i="2" s="1"/>
  <c r="BF1400" i="2"/>
  <c r="BJ1400" i="2" s="1"/>
  <c r="BL1400" i="2" s="1"/>
  <c r="BF1388" i="2"/>
  <c r="BJ1388" i="2" s="1"/>
  <c r="BL1388" i="2" s="1"/>
  <c r="BF1382" i="2"/>
  <c r="BJ1382" i="2" s="1"/>
  <c r="BL1382" i="2" s="1"/>
  <c r="BF1376" i="2"/>
  <c r="BJ1376" i="2" s="1"/>
  <c r="BL1376" i="2" s="1"/>
  <c r="BG1366" i="2"/>
  <c r="BH1366" i="2" s="1"/>
  <c r="BF1365" i="2"/>
  <c r="BJ1365" i="2" s="1"/>
  <c r="BL1365" i="2" s="1"/>
  <c r="BG1354" i="2"/>
  <c r="BH1354" i="2" s="1"/>
  <c r="BF1353" i="2"/>
  <c r="BJ1353" i="2" s="1"/>
  <c r="BL1353" i="2" s="1"/>
  <c r="BG1342" i="2"/>
  <c r="BH1342" i="2" s="1"/>
  <c r="BF1432" i="2"/>
  <c r="BJ1432" i="2" s="1"/>
  <c r="BL1432" i="2" s="1"/>
  <c r="BF1402" i="2"/>
  <c r="BJ1402" i="2" s="1"/>
  <c r="BL1402" i="2" s="1"/>
  <c r="BG1396" i="2"/>
  <c r="BH1396" i="2" s="1"/>
  <c r="BG1383" i="2"/>
  <c r="BH1383" i="2" s="1"/>
  <c r="BG1377" i="2"/>
  <c r="BH1377" i="2" s="1"/>
  <c r="BG1367" i="2"/>
  <c r="BH1367" i="2" s="1"/>
  <c r="BF1366" i="2"/>
  <c r="BJ1366" i="2" s="1"/>
  <c r="BL1366" i="2" s="1"/>
  <c r="BG1355" i="2"/>
  <c r="BH1355" i="2" s="1"/>
  <c r="BF1354" i="2"/>
  <c r="BJ1354" i="2" s="1"/>
  <c r="BL1354" i="2" s="1"/>
  <c r="BG1343" i="2"/>
  <c r="BH1343" i="2" s="1"/>
  <c r="BF1342" i="2"/>
  <c r="BJ1342" i="2" s="1"/>
  <c r="BL1342" i="2" s="1"/>
  <c r="BG1331" i="2"/>
  <c r="BH1331" i="2" s="1"/>
  <c r="BF1330" i="2"/>
  <c r="BJ1330" i="2" s="1"/>
  <c r="BL1330" i="2" s="1"/>
  <c r="BG1319" i="2"/>
  <c r="BH1319" i="2" s="1"/>
  <c r="BF1318" i="2"/>
  <c r="BJ1318" i="2" s="1"/>
  <c r="BL1318" i="2" s="1"/>
  <c r="BF1394" i="2"/>
  <c r="BJ1394" i="2" s="1"/>
  <c r="BL1394" i="2" s="1"/>
  <c r="BG1325" i="2"/>
  <c r="BH1325" i="2" s="1"/>
  <c r="BG1317" i="2"/>
  <c r="BH1317" i="2" s="1"/>
  <c r="BG1311" i="2"/>
  <c r="BH1311" i="2" s="1"/>
  <c r="BF1298" i="2"/>
  <c r="BJ1298" i="2" s="1"/>
  <c r="BL1298" i="2" s="1"/>
  <c r="BG1294" i="2"/>
  <c r="BH1294" i="2" s="1"/>
  <c r="BG1290" i="2"/>
  <c r="BH1290" i="2" s="1"/>
  <c r="BF1281" i="2"/>
  <c r="BJ1281" i="2" s="1"/>
  <c r="BL1281" i="2" s="1"/>
  <c r="BG1271" i="2"/>
  <c r="BH1271" i="2" s="1"/>
  <c r="BF1270" i="2"/>
  <c r="BJ1270" i="2" s="1"/>
  <c r="BL1270" i="2" s="1"/>
  <c r="BG1259" i="2"/>
  <c r="BH1259" i="2" s="1"/>
  <c r="BF1258" i="2"/>
  <c r="BJ1258" i="2" s="1"/>
  <c r="BL1258" i="2" s="1"/>
  <c r="BG1247" i="2"/>
  <c r="BH1247" i="2" s="1"/>
  <c r="BF1246" i="2"/>
  <c r="BJ1246" i="2" s="1"/>
  <c r="BL1246" i="2" s="1"/>
  <c r="BF1377" i="2"/>
  <c r="BJ1377" i="2" s="1"/>
  <c r="BL1377" i="2" s="1"/>
  <c r="BF1340" i="2"/>
  <c r="BJ1340" i="2" s="1"/>
  <c r="BL1340" i="2" s="1"/>
  <c r="BG1338" i="2"/>
  <c r="BH1338" i="2" s="1"/>
  <c r="BG1330" i="2"/>
  <c r="BH1330" i="2" s="1"/>
  <c r="BF1325" i="2"/>
  <c r="BJ1325" i="2" s="1"/>
  <c r="BL1325" i="2" s="1"/>
  <c r="BF1317" i="2"/>
  <c r="BJ1317" i="2" s="1"/>
  <c r="BL1317" i="2" s="1"/>
  <c r="BG1307" i="2"/>
  <c r="BH1307" i="2" s="1"/>
  <c r="BG1303" i="2"/>
  <c r="BH1303" i="2" s="1"/>
  <c r="BF1294" i="2"/>
  <c r="BJ1294" i="2" s="1"/>
  <c r="BL1294" i="2" s="1"/>
  <c r="BF1290" i="2"/>
  <c r="BJ1290" i="2" s="1"/>
  <c r="BL1290" i="2" s="1"/>
  <c r="BG1272" i="2"/>
  <c r="BH1272" i="2" s="1"/>
  <c r="BF1271" i="2"/>
  <c r="BJ1271" i="2" s="1"/>
  <c r="BL1271" i="2" s="1"/>
  <c r="BG1260" i="2"/>
  <c r="BH1260" i="2" s="1"/>
  <c r="BF1259" i="2"/>
  <c r="BJ1259" i="2" s="1"/>
  <c r="BL1259" i="2" s="1"/>
  <c r="BG1248" i="2"/>
  <c r="BH1248" i="2" s="1"/>
  <c r="BF1247" i="2"/>
  <c r="BJ1247" i="2" s="1"/>
  <c r="BL1247" i="2" s="1"/>
  <c r="BG1236" i="2"/>
  <c r="BH1236" i="2" s="1"/>
  <c r="BF1235" i="2"/>
  <c r="BJ1235" i="2" s="1"/>
  <c r="BL1235" i="2" s="1"/>
  <c r="BG1440" i="2"/>
  <c r="BH1440" i="2" s="1"/>
  <c r="BF1338" i="2"/>
  <c r="BJ1338" i="2" s="1"/>
  <c r="BL1338" i="2" s="1"/>
  <c r="BG1320" i="2"/>
  <c r="BH1320" i="2" s="1"/>
  <c r="BG1315" i="2"/>
  <c r="BH1315" i="2" s="1"/>
  <c r="BF1307" i="2"/>
  <c r="BJ1307" i="2" s="1"/>
  <c r="BL1307" i="2" s="1"/>
  <c r="BF1303" i="2"/>
  <c r="BJ1303" i="2" s="1"/>
  <c r="BL1303" i="2" s="1"/>
  <c r="BG1299" i="2"/>
  <c r="BH1299" i="2" s="1"/>
  <c r="BF1286" i="2"/>
  <c r="BJ1286" i="2" s="1"/>
  <c r="BL1286" i="2" s="1"/>
  <c r="BG1282" i="2"/>
  <c r="BH1282" i="2" s="1"/>
  <c r="BG1273" i="2"/>
  <c r="BH1273" i="2" s="1"/>
  <c r="BF1272" i="2"/>
  <c r="BJ1272" i="2" s="1"/>
  <c r="BL1272" i="2" s="1"/>
  <c r="BG1389" i="2"/>
  <c r="BH1389" i="2" s="1"/>
  <c r="BG1328" i="2"/>
  <c r="BH1328" i="2" s="1"/>
  <c r="BG1323" i="2"/>
  <c r="BH1323" i="2" s="1"/>
  <c r="BF1315" i="2"/>
  <c r="BJ1315" i="2" s="1"/>
  <c r="BL1315" i="2" s="1"/>
  <c r="BF1312" i="2"/>
  <c r="BJ1312" i="2" s="1"/>
  <c r="BL1312" i="2" s="1"/>
  <c r="BG1295" i="2"/>
  <c r="BH1295" i="2" s="1"/>
  <c r="BG1291" i="2"/>
  <c r="BH1291" i="2" s="1"/>
  <c r="BF1282" i="2"/>
  <c r="BJ1282" i="2" s="1"/>
  <c r="BL1282" i="2" s="1"/>
  <c r="BG1274" i="2"/>
  <c r="BH1274" i="2" s="1"/>
  <c r="BF1273" i="2"/>
  <c r="BJ1273" i="2" s="1"/>
  <c r="BL1273" i="2" s="1"/>
  <c r="BG1262" i="2"/>
  <c r="BH1262" i="2" s="1"/>
  <c r="BF1261" i="2"/>
  <c r="BJ1261" i="2" s="1"/>
  <c r="BL1261" i="2" s="1"/>
  <c r="BG1250" i="2"/>
  <c r="BH1250" i="2" s="1"/>
  <c r="BF1249" i="2"/>
  <c r="BJ1249" i="2" s="1"/>
  <c r="BL1249" i="2" s="1"/>
  <c r="BG1238" i="2"/>
  <c r="BH1238" i="2" s="1"/>
  <c r="BF1237" i="2"/>
  <c r="BJ1237" i="2" s="1"/>
  <c r="BL1237" i="2" s="1"/>
  <c r="BF1336" i="2"/>
  <c r="BJ1336" i="2" s="1"/>
  <c r="BL1336" i="2" s="1"/>
  <c r="BF1328" i="2"/>
  <c r="BJ1328" i="2" s="1"/>
  <c r="BL1328" i="2" s="1"/>
  <c r="BG1308" i="2"/>
  <c r="BH1308" i="2" s="1"/>
  <c r="BG1304" i="2"/>
  <c r="BH1304" i="2" s="1"/>
  <c r="BF1295" i="2"/>
  <c r="BJ1295" i="2" s="1"/>
  <c r="BL1295" i="2" s="1"/>
  <c r="BF1291" i="2"/>
  <c r="BJ1291" i="2" s="1"/>
  <c r="BL1291" i="2" s="1"/>
  <c r="BG1287" i="2"/>
  <c r="BH1287" i="2" s="1"/>
  <c r="BG1275" i="2"/>
  <c r="BH1275" i="2" s="1"/>
  <c r="BF1274" i="2"/>
  <c r="BJ1274" i="2" s="1"/>
  <c r="BL1274" i="2" s="1"/>
  <c r="BG1263" i="2"/>
  <c r="BH1263" i="2" s="1"/>
  <c r="BG1417" i="2"/>
  <c r="BH1417" i="2" s="1"/>
  <c r="BG1326" i="2"/>
  <c r="BH1326" i="2" s="1"/>
  <c r="BG1318" i="2"/>
  <c r="BH1318" i="2" s="1"/>
  <c r="BF1308" i="2"/>
  <c r="BJ1308" i="2" s="1"/>
  <c r="BL1308" i="2" s="1"/>
  <c r="BF1304" i="2"/>
  <c r="BJ1304" i="2" s="1"/>
  <c r="BL1304" i="2" s="1"/>
  <c r="BF1300" i="2"/>
  <c r="BJ1300" i="2" s="1"/>
  <c r="BL1300" i="2" s="1"/>
  <c r="BG1283" i="2"/>
  <c r="BH1283" i="2" s="1"/>
  <c r="BG1276" i="2"/>
  <c r="BH1276" i="2" s="1"/>
  <c r="BF1275" i="2"/>
  <c r="BJ1275" i="2" s="1"/>
  <c r="BL1275" i="2" s="1"/>
  <c r="BG1264" i="2"/>
  <c r="BH1264" i="2" s="1"/>
  <c r="BF1263" i="2"/>
  <c r="BJ1263" i="2" s="1"/>
  <c r="BL1263" i="2" s="1"/>
  <c r="BF1331" i="2"/>
  <c r="BJ1331" i="2" s="1"/>
  <c r="BL1331" i="2" s="1"/>
  <c r="BF1326" i="2"/>
  <c r="BJ1326" i="2" s="1"/>
  <c r="BL1326" i="2" s="1"/>
  <c r="BG1313" i="2"/>
  <c r="BH1313" i="2" s="1"/>
  <c r="BG1296" i="2"/>
  <c r="BH1296" i="2" s="1"/>
  <c r="BG1292" i="2"/>
  <c r="BH1292" i="2" s="1"/>
  <c r="BF1283" i="2"/>
  <c r="BJ1283" i="2" s="1"/>
  <c r="BL1283" i="2" s="1"/>
  <c r="BG1277" i="2"/>
  <c r="BH1277" i="2" s="1"/>
  <c r="BF1276" i="2"/>
  <c r="BJ1276" i="2" s="1"/>
  <c r="BL1276" i="2" s="1"/>
  <c r="BG1265" i="2"/>
  <c r="BH1265" i="2" s="1"/>
  <c r="BF1264" i="2"/>
  <c r="BJ1264" i="2" s="1"/>
  <c r="BL1264" i="2" s="1"/>
  <c r="BF1341" i="2"/>
  <c r="BJ1341" i="2" s="1"/>
  <c r="BL1341" i="2" s="1"/>
  <c r="BG1339" i="2"/>
  <c r="BH1339" i="2" s="1"/>
  <c r="BF1334" i="2"/>
  <c r="BJ1334" i="2" s="1"/>
  <c r="BL1334" i="2" s="1"/>
  <c r="BG1316" i="2"/>
  <c r="BH1316" i="2" s="1"/>
  <c r="BF1313" i="2"/>
  <c r="BJ1313" i="2" s="1"/>
  <c r="BL1313" i="2" s="1"/>
  <c r="BG1309" i="2"/>
  <c r="BH1309" i="2" s="1"/>
  <c r="BG1305" i="2"/>
  <c r="BH1305" i="2" s="1"/>
  <c r="BG1301" i="2"/>
  <c r="BH1301" i="2" s="1"/>
  <c r="BF1296" i="2"/>
  <c r="BJ1296" i="2" s="1"/>
  <c r="BL1296" i="2" s="1"/>
  <c r="BF1292" i="2"/>
  <c r="BJ1292" i="2" s="1"/>
  <c r="BL1292" i="2" s="1"/>
  <c r="BF1288" i="2"/>
  <c r="BJ1288" i="2" s="1"/>
  <c r="BL1288" i="2" s="1"/>
  <c r="BG1278" i="2"/>
  <c r="BH1278" i="2" s="1"/>
  <c r="BF1277" i="2"/>
  <c r="BJ1277" i="2" s="1"/>
  <c r="BL1277" i="2" s="1"/>
  <c r="BF1383" i="2"/>
  <c r="BJ1383" i="2" s="1"/>
  <c r="BL1383" i="2" s="1"/>
  <c r="BG1356" i="2"/>
  <c r="BH1356" i="2" s="1"/>
  <c r="BG1344" i="2"/>
  <c r="BH1344" i="2" s="1"/>
  <c r="BG1337" i="2"/>
  <c r="BH1337" i="2" s="1"/>
  <c r="BG1329" i="2"/>
  <c r="BH1329" i="2" s="1"/>
  <c r="BF1324" i="2"/>
  <c r="BJ1324" i="2" s="1"/>
  <c r="BL1324" i="2" s="1"/>
  <c r="BF1316" i="2"/>
  <c r="BJ1316" i="2" s="1"/>
  <c r="BL1316" i="2" s="1"/>
  <c r="BF1305" i="2"/>
  <c r="BJ1305" i="2" s="1"/>
  <c r="BL1305" i="2" s="1"/>
  <c r="BF1301" i="2"/>
  <c r="BJ1301" i="2" s="1"/>
  <c r="BL1301" i="2" s="1"/>
  <c r="BG1284" i="2"/>
  <c r="BH1284" i="2" s="1"/>
  <c r="BG1279" i="2"/>
  <c r="BH1279" i="2" s="1"/>
  <c r="BF1278" i="2"/>
  <c r="BJ1278" i="2" s="1"/>
  <c r="BL1278" i="2" s="1"/>
  <c r="BG1368" i="2"/>
  <c r="BH1368" i="2" s="1"/>
  <c r="BF1355" i="2"/>
  <c r="BJ1355" i="2" s="1"/>
  <c r="BL1355" i="2" s="1"/>
  <c r="BF1337" i="2"/>
  <c r="BJ1337" i="2" s="1"/>
  <c r="BL1337" i="2" s="1"/>
  <c r="BF1329" i="2"/>
  <c r="BJ1329" i="2" s="1"/>
  <c r="BL1329" i="2" s="1"/>
  <c r="BG1297" i="2"/>
  <c r="BH1297" i="2" s="1"/>
  <c r="BG1293" i="2"/>
  <c r="BH1293" i="2" s="1"/>
  <c r="BG1289" i="2"/>
  <c r="BH1289" i="2" s="1"/>
  <c r="BF1284" i="2"/>
  <c r="BJ1284" i="2" s="1"/>
  <c r="BL1284" i="2" s="1"/>
  <c r="BG1280" i="2"/>
  <c r="BH1280" i="2" s="1"/>
  <c r="BF1279" i="2"/>
  <c r="BJ1279" i="2" s="1"/>
  <c r="BL1279" i="2" s="1"/>
  <c r="BG1268" i="2"/>
  <c r="BH1268" i="2" s="1"/>
  <c r="BF1367" i="2"/>
  <c r="BJ1367" i="2" s="1"/>
  <c r="BL1367" i="2" s="1"/>
  <c r="BG1332" i="2"/>
  <c r="BH1332" i="2" s="1"/>
  <c r="BG1327" i="2"/>
  <c r="BH1327" i="2" s="1"/>
  <c r="BF1319" i="2"/>
  <c r="BJ1319" i="2" s="1"/>
  <c r="BL1319" i="2" s="1"/>
  <c r="BG1314" i="2"/>
  <c r="BH1314" i="2" s="1"/>
  <c r="BF1310" i="2"/>
  <c r="BJ1310" i="2" s="1"/>
  <c r="BL1310" i="2" s="1"/>
  <c r="BG1306" i="2"/>
  <c r="BH1306" i="2" s="1"/>
  <c r="BG1302" i="2"/>
  <c r="BH1302" i="2" s="1"/>
  <c r="BF1293" i="2"/>
  <c r="BJ1293" i="2" s="1"/>
  <c r="BL1293" i="2" s="1"/>
  <c r="BF1289" i="2"/>
  <c r="BJ1289" i="2" s="1"/>
  <c r="BL1289" i="2" s="1"/>
  <c r="BF1280" i="2"/>
  <c r="BJ1280" i="2" s="1"/>
  <c r="BL1280" i="2" s="1"/>
  <c r="BG1269" i="2"/>
  <c r="BH1269" i="2" s="1"/>
  <c r="BF1268" i="2"/>
  <c r="BJ1268" i="2" s="1"/>
  <c r="BL1268" i="2" s="1"/>
  <c r="BG1257" i="2"/>
  <c r="BH1257" i="2" s="1"/>
  <c r="BF1256" i="2"/>
  <c r="BJ1256" i="2" s="1"/>
  <c r="BL1256" i="2" s="1"/>
  <c r="BG1245" i="2"/>
  <c r="BH1245" i="2" s="1"/>
  <c r="BF1244" i="2"/>
  <c r="BJ1244" i="2" s="1"/>
  <c r="BL1244" i="2" s="1"/>
  <c r="BG1233" i="2"/>
  <c r="BH1233" i="2" s="1"/>
  <c r="BF1232" i="2"/>
  <c r="BJ1232" i="2" s="1"/>
  <c r="BL1232" i="2" s="1"/>
  <c r="BF1265" i="2"/>
  <c r="BJ1265" i="2" s="1"/>
  <c r="BL1265" i="2" s="1"/>
  <c r="BG1252" i="2"/>
  <c r="BH1252" i="2" s="1"/>
  <c r="BG1244" i="2"/>
  <c r="BH1244" i="2" s="1"/>
  <c r="BG1239" i="2"/>
  <c r="BH1239" i="2" s="1"/>
  <c r="BF1229" i="2"/>
  <c r="BJ1229" i="2" s="1"/>
  <c r="BL1229" i="2" s="1"/>
  <c r="BF1225" i="2"/>
  <c r="BJ1225" i="2" s="1"/>
  <c r="BL1225" i="2" s="1"/>
  <c r="BG1221" i="2"/>
  <c r="BH1221" i="2" s="1"/>
  <c r="BG1215" i="2"/>
  <c r="BH1215" i="2" s="1"/>
  <c r="BG1209" i="2"/>
  <c r="BH1209" i="2" s="1"/>
  <c r="BG1203" i="2"/>
  <c r="BH1203" i="2" s="1"/>
  <c r="BG1197" i="2"/>
  <c r="BH1197" i="2" s="1"/>
  <c r="BG1191" i="2"/>
  <c r="BH1191" i="2" s="1"/>
  <c r="BG1182" i="2"/>
  <c r="BH1182" i="2" s="1"/>
  <c r="BF1181" i="2"/>
  <c r="BJ1181" i="2" s="1"/>
  <c r="BL1181" i="2" s="1"/>
  <c r="BG1170" i="2"/>
  <c r="BH1170" i="2" s="1"/>
  <c r="BF1169" i="2"/>
  <c r="BJ1169" i="2" s="1"/>
  <c r="BL1169" i="2" s="1"/>
  <c r="BF1327" i="2"/>
  <c r="BJ1327" i="2" s="1"/>
  <c r="BL1327" i="2" s="1"/>
  <c r="BF1257" i="2"/>
  <c r="BJ1257" i="2" s="1"/>
  <c r="BL1257" i="2" s="1"/>
  <c r="BF1252" i="2"/>
  <c r="BJ1252" i="2" s="1"/>
  <c r="BL1252" i="2" s="1"/>
  <c r="BF1239" i="2"/>
  <c r="BJ1239" i="2" s="1"/>
  <c r="BL1239" i="2" s="1"/>
  <c r="BF1221" i="2"/>
  <c r="BJ1221" i="2" s="1"/>
  <c r="BL1221" i="2" s="1"/>
  <c r="BF1215" i="2"/>
  <c r="BJ1215" i="2" s="1"/>
  <c r="BL1215" i="2" s="1"/>
  <c r="BF1209" i="2"/>
  <c r="BJ1209" i="2" s="1"/>
  <c r="BL1209" i="2" s="1"/>
  <c r="BF1203" i="2"/>
  <c r="BJ1203" i="2" s="1"/>
  <c r="BL1203" i="2" s="1"/>
  <c r="BF1197" i="2"/>
  <c r="BJ1197" i="2" s="1"/>
  <c r="BL1197" i="2" s="1"/>
  <c r="BF1191" i="2"/>
  <c r="BJ1191" i="2" s="1"/>
  <c r="BL1191" i="2" s="1"/>
  <c r="BG1183" i="2"/>
  <c r="BH1183" i="2" s="1"/>
  <c r="BF1182" i="2"/>
  <c r="BJ1182" i="2" s="1"/>
  <c r="BL1182" i="2" s="1"/>
  <c r="BG1171" i="2"/>
  <c r="BH1171" i="2" s="1"/>
  <c r="BF1170" i="2"/>
  <c r="BJ1170" i="2" s="1"/>
  <c r="BL1170" i="2" s="1"/>
  <c r="BG1159" i="2"/>
  <c r="BH1159" i="2" s="1"/>
  <c r="BF1158" i="2"/>
  <c r="BJ1158" i="2" s="1"/>
  <c r="BL1158" i="2" s="1"/>
  <c r="BG1147" i="2"/>
  <c r="BH1147" i="2" s="1"/>
  <c r="BF1146" i="2"/>
  <c r="BJ1146" i="2" s="1"/>
  <c r="BL1146" i="2" s="1"/>
  <c r="BG1135" i="2"/>
  <c r="BH1135" i="2" s="1"/>
  <c r="BF1134" i="2"/>
  <c r="BJ1134" i="2" s="1"/>
  <c r="BL1134" i="2" s="1"/>
  <c r="BG1123" i="2"/>
  <c r="BH1123" i="2" s="1"/>
  <c r="BG1242" i="2"/>
  <c r="BH1242" i="2" s="1"/>
  <c r="BF1236" i="2"/>
  <c r="BJ1236" i="2" s="1"/>
  <c r="BL1236" i="2" s="1"/>
  <c r="BG1226" i="2"/>
  <c r="BH1226" i="2" s="1"/>
  <c r="BG1222" i="2"/>
  <c r="BH1222" i="2" s="1"/>
  <c r="BG1216" i="2"/>
  <c r="BH1216" i="2" s="1"/>
  <c r="BG1210" i="2"/>
  <c r="BH1210" i="2" s="1"/>
  <c r="BG1204" i="2"/>
  <c r="BH1204" i="2" s="1"/>
  <c r="BG1198" i="2"/>
  <c r="BH1198" i="2" s="1"/>
  <c r="BG1192" i="2"/>
  <c r="BH1192" i="2" s="1"/>
  <c r="BG1184" i="2"/>
  <c r="BH1184" i="2" s="1"/>
  <c r="BF1183" i="2"/>
  <c r="BJ1183" i="2" s="1"/>
  <c r="BL1183" i="2" s="1"/>
  <c r="BG1172" i="2"/>
  <c r="BH1172" i="2" s="1"/>
  <c r="BF1171" i="2"/>
  <c r="BJ1171" i="2" s="1"/>
  <c r="BL1171" i="2" s="1"/>
  <c r="BF1306" i="2"/>
  <c r="BJ1306" i="2" s="1"/>
  <c r="BL1306" i="2" s="1"/>
  <c r="BG1267" i="2"/>
  <c r="BH1267" i="2" s="1"/>
  <c r="BF1262" i="2"/>
  <c r="BJ1262" i="2" s="1"/>
  <c r="BL1262" i="2" s="1"/>
  <c r="BG1255" i="2"/>
  <c r="BH1255" i="2" s="1"/>
  <c r="BF1250" i="2"/>
  <c r="BJ1250" i="2" s="1"/>
  <c r="BL1250" i="2" s="1"/>
  <c r="BF1242" i="2"/>
  <c r="BJ1242" i="2" s="1"/>
  <c r="BL1242" i="2" s="1"/>
  <c r="BF1233" i="2"/>
  <c r="BJ1233" i="2" s="1"/>
  <c r="BL1233" i="2" s="1"/>
  <c r="BG1230" i="2"/>
  <c r="BH1230" i="2" s="1"/>
  <c r="BF1226" i="2"/>
  <c r="BJ1226" i="2" s="1"/>
  <c r="BL1226" i="2" s="1"/>
  <c r="BF1222" i="2"/>
  <c r="BJ1222" i="2" s="1"/>
  <c r="BL1222" i="2" s="1"/>
  <c r="BF1216" i="2"/>
  <c r="BJ1216" i="2" s="1"/>
  <c r="BL1216" i="2" s="1"/>
  <c r="BF1210" i="2"/>
  <c r="BJ1210" i="2" s="1"/>
  <c r="BL1210" i="2" s="1"/>
  <c r="BF1204" i="2"/>
  <c r="BJ1204" i="2" s="1"/>
  <c r="BL1204" i="2" s="1"/>
  <c r="BF1198" i="2"/>
  <c r="BJ1198" i="2" s="1"/>
  <c r="BL1198" i="2" s="1"/>
  <c r="BF1192" i="2"/>
  <c r="BJ1192" i="2" s="1"/>
  <c r="BL1192" i="2" s="1"/>
  <c r="BG1185" i="2"/>
  <c r="BH1185" i="2" s="1"/>
  <c r="BF1184" i="2"/>
  <c r="BJ1184" i="2" s="1"/>
  <c r="BL1184" i="2" s="1"/>
  <c r="BG1173" i="2"/>
  <c r="BH1173" i="2" s="1"/>
  <c r="BF1172" i="2"/>
  <c r="BJ1172" i="2" s="1"/>
  <c r="BL1172" i="2" s="1"/>
  <c r="BG1161" i="2"/>
  <c r="BH1161" i="2" s="1"/>
  <c r="BF1160" i="2"/>
  <c r="BJ1160" i="2" s="1"/>
  <c r="BL1160" i="2" s="1"/>
  <c r="BG1149" i="2"/>
  <c r="BH1149" i="2" s="1"/>
  <c r="BF1148" i="2"/>
  <c r="BJ1148" i="2" s="1"/>
  <c r="BL1148" i="2" s="1"/>
  <c r="BG1137" i="2"/>
  <c r="BH1137" i="2" s="1"/>
  <c r="BF1136" i="2"/>
  <c r="BJ1136" i="2" s="1"/>
  <c r="BL1136" i="2" s="1"/>
  <c r="BG1125" i="2"/>
  <c r="BH1125" i="2" s="1"/>
  <c r="BF1124" i="2"/>
  <c r="BJ1124" i="2" s="1"/>
  <c r="BL1124" i="2" s="1"/>
  <c r="BF1343" i="2"/>
  <c r="BJ1343" i="2" s="1"/>
  <c r="BL1343" i="2" s="1"/>
  <c r="BF1322" i="2"/>
  <c r="BJ1322" i="2" s="1"/>
  <c r="BL1322" i="2" s="1"/>
  <c r="BF1267" i="2"/>
  <c r="BJ1267" i="2" s="1"/>
  <c r="BL1267" i="2" s="1"/>
  <c r="BF1260" i="2"/>
  <c r="BJ1260" i="2" s="1"/>
  <c r="BL1260" i="2" s="1"/>
  <c r="BF1255" i="2"/>
  <c r="BJ1255" i="2" s="1"/>
  <c r="BL1255" i="2" s="1"/>
  <c r="BG1240" i="2"/>
  <c r="BH1240" i="2" s="1"/>
  <c r="BF1230" i="2"/>
  <c r="BJ1230" i="2" s="1"/>
  <c r="BL1230" i="2" s="1"/>
  <c r="BG1217" i="2"/>
  <c r="BH1217" i="2" s="1"/>
  <c r="BG1211" i="2"/>
  <c r="BH1211" i="2" s="1"/>
  <c r="BG1205" i="2"/>
  <c r="BH1205" i="2" s="1"/>
  <c r="BG1199" i="2"/>
  <c r="BH1199" i="2" s="1"/>
  <c r="BG1193" i="2"/>
  <c r="BH1193" i="2" s="1"/>
  <c r="BG1186" i="2"/>
  <c r="BH1186" i="2" s="1"/>
  <c r="BF1185" i="2"/>
  <c r="BJ1185" i="2" s="1"/>
  <c r="BL1185" i="2" s="1"/>
  <c r="BG1258" i="2"/>
  <c r="BH1258" i="2" s="1"/>
  <c r="BG1253" i="2"/>
  <c r="BH1253" i="2" s="1"/>
  <c r="BF1245" i="2"/>
  <c r="BJ1245" i="2" s="1"/>
  <c r="BL1245" i="2" s="1"/>
  <c r="BF1240" i="2"/>
  <c r="BJ1240" i="2" s="1"/>
  <c r="BL1240" i="2" s="1"/>
  <c r="BG1237" i="2"/>
  <c r="BH1237" i="2" s="1"/>
  <c r="BG1227" i="2"/>
  <c r="BH1227" i="2" s="1"/>
  <c r="BG1223" i="2"/>
  <c r="BH1223" i="2" s="1"/>
  <c r="BF1217" i="2"/>
  <c r="BJ1217" i="2" s="1"/>
  <c r="BL1217" i="2" s="1"/>
  <c r="BF1211" i="2"/>
  <c r="BJ1211" i="2" s="1"/>
  <c r="BL1211" i="2" s="1"/>
  <c r="BF1205" i="2"/>
  <c r="BJ1205" i="2" s="1"/>
  <c r="BL1205" i="2" s="1"/>
  <c r="BF1199" i="2"/>
  <c r="BJ1199" i="2" s="1"/>
  <c r="BL1199" i="2" s="1"/>
  <c r="BF1193" i="2"/>
  <c r="BJ1193" i="2" s="1"/>
  <c r="BL1193" i="2" s="1"/>
  <c r="BG1187" i="2"/>
  <c r="BH1187" i="2" s="1"/>
  <c r="BF1186" i="2"/>
  <c r="BJ1186" i="2" s="1"/>
  <c r="BL1186" i="2" s="1"/>
  <c r="BF1302" i="2"/>
  <c r="BJ1302" i="2" s="1"/>
  <c r="BL1302" i="2" s="1"/>
  <c r="BF1253" i="2"/>
  <c r="BJ1253" i="2" s="1"/>
  <c r="BL1253" i="2" s="1"/>
  <c r="BF1248" i="2"/>
  <c r="BJ1248" i="2" s="1"/>
  <c r="BL1248" i="2" s="1"/>
  <c r="BG1234" i="2"/>
  <c r="BH1234" i="2" s="1"/>
  <c r="BF1227" i="2"/>
  <c r="BJ1227" i="2" s="1"/>
  <c r="BL1227" i="2" s="1"/>
  <c r="BF1223" i="2"/>
  <c r="BJ1223" i="2" s="1"/>
  <c r="BL1223" i="2" s="1"/>
  <c r="BG1218" i="2"/>
  <c r="BH1218" i="2" s="1"/>
  <c r="BG1212" i="2"/>
  <c r="BH1212" i="2" s="1"/>
  <c r="BG1206" i="2"/>
  <c r="BH1206" i="2" s="1"/>
  <c r="BG1200" i="2"/>
  <c r="BH1200" i="2" s="1"/>
  <c r="BG1194" i="2"/>
  <c r="BH1194" i="2" s="1"/>
  <c r="BG1188" i="2"/>
  <c r="BH1188" i="2" s="1"/>
  <c r="BF1187" i="2"/>
  <c r="BJ1187" i="2" s="1"/>
  <c r="BL1187" i="2" s="1"/>
  <c r="BG1285" i="2"/>
  <c r="BH1285" i="2" s="1"/>
  <c r="BG1266" i="2"/>
  <c r="BH1266" i="2" s="1"/>
  <c r="BG1251" i="2"/>
  <c r="BH1251" i="2" s="1"/>
  <c r="BG1243" i="2"/>
  <c r="BH1243" i="2" s="1"/>
  <c r="BF1234" i="2"/>
  <c r="BJ1234" i="2" s="1"/>
  <c r="BL1234" i="2" s="1"/>
  <c r="BG1231" i="2"/>
  <c r="BH1231" i="2" s="1"/>
  <c r="BF1218" i="2"/>
  <c r="BJ1218" i="2" s="1"/>
  <c r="BL1218" i="2" s="1"/>
  <c r="BF1212" i="2"/>
  <c r="BJ1212" i="2" s="1"/>
  <c r="BL1212" i="2" s="1"/>
  <c r="BF1206" i="2"/>
  <c r="BJ1206" i="2" s="1"/>
  <c r="BL1206" i="2" s="1"/>
  <c r="BF1200" i="2"/>
  <c r="BJ1200" i="2" s="1"/>
  <c r="BL1200" i="2" s="1"/>
  <c r="BF1194" i="2"/>
  <c r="BJ1194" i="2" s="1"/>
  <c r="BL1194" i="2" s="1"/>
  <c r="BF1188" i="2"/>
  <c r="BJ1188" i="2" s="1"/>
  <c r="BL1188" i="2" s="1"/>
  <c r="BG1335" i="2"/>
  <c r="BH1335" i="2" s="1"/>
  <c r="BG1270" i="2"/>
  <c r="BH1270" i="2" s="1"/>
  <c r="BF1266" i="2"/>
  <c r="BJ1266" i="2" s="1"/>
  <c r="BL1266" i="2" s="1"/>
  <c r="BG1256" i="2"/>
  <c r="BH1256" i="2" s="1"/>
  <c r="BF1251" i="2"/>
  <c r="BJ1251" i="2" s="1"/>
  <c r="BL1251" i="2" s="1"/>
  <c r="BF1243" i="2"/>
  <c r="BJ1243" i="2" s="1"/>
  <c r="BL1243" i="2" s="1"/>
  <c r="BF1231" i="2"/>
  <c r="BJ1231" i="2" s="1"/>
  <c r="BL1231" i="2" s="1"/>
  <c r="BG1228" i="2"/>
  <c r="BH1228" i="2" s="1"/>
  <c r="BG1224" i="2"/>
  <c r="BH1224" i="2" s="1"/>
  <c r="BG1219" i="2"/>
  <c r="BH1219" i="2" s="1"/>
  <c r="BG1213" i="2"/>
  <c r="BH1213" i="2" s="1"/>
  <c r="BG1207" i="2"/>
  <c r="BH1207" i="2" s="1"/>
  <c r="BG1201" i="2"/>
  <c r="BH1201" i="2" s="1"/>
  <c r="BG1195" i="2"/>
  <c r="BH1195" i="2" s="1"/>
  <c r="BG1189" i="2"/>
  <c r="BH1189" i="2" s="1"/>
  <c r="BF1314" i="2"/>
  <c r="BJ1314" i="2" s="1"/>
  <c r="BL1314" i="2" s="1"/>
  <c r="BG1261" i="2"/>
  <c r="BH1261" i="2" s="1"/>
  <c r="BG1246" i="2"/>
  <c r="BH1246" i="2" s="1"/>
  <c r="BG1241" i="2"/>
  <c r="BH1241" i="2" s="1"/>
  <c r="BF1238" i="2"/>
  <c r="BJ1238" i="2" s="1"/>
  <c r="BL1238" i="2" s="1"/>
  <c r="BF1228" i="2"/>
  <c r="BJ1228" i="2" s="1"/>
  <c r="BL1228" i="2" s="1"/>
  <c r="BF1224" i="2"/>
  <c r="BJ1224" i="2" s="1"/>
  <c r="BL1224" i="2" s="1"/>
  <c r="BF1219" i="2"/>
  <c r="BJ1219" i="2" s="1"/>
  <c r="BL1219" i="2" s="1"/>
  <c r="BF1213" i="2"/>
  <c r="BJ1213" i="2" s="1"/>
  <c r="BL1213" i="2" s="1"/>
  <c r="BF1207" i="2"/>
  <c r="BJ1207" i="2" s="1"/>
  <c r="BL1207" i="2" s="1"/>
  <c r="BF1201" i="2"/>
  <c r="BJ1201" i="2" s="1"/>
  <c r="BL1201" i="2" s="1"/>
  <c r="BF1195" i="2"/>
  <c r="BJ1195" i="2" s="1"/>
  <c r="BL1195" i="2" s="1"/>
  <c r="BF1189" i="2"/>
  <c r="BJ1189" i="2" s="1"/>
  <c r="BL1189" i="2" s="1"/>
  <c r="BG1281" i="2"/>
  <c r="BH1281" i="2" s="1"/>
  <c r="BF1269" i="2"/>
  <c r="BJ1269" i="2" s="1"/>
  <c r="BL1269" i="2" s="1"/>
  <c r="BG1254" i="2"/>
  <c r="BH1254" i="2" s="1"/>
  <c r="BG1249" i="2"/>
  <c r="BH1249" i="2" s="1"/>
  <c r="BF1241" i="2"/>
  <c r="BJ1241" i="2" s="1"/>
  <c r="BL1241" i="2" s="1"/>
  <c r="BG1235" i="2"/>
  <c r="BH1235" i="2" s="1"/>
  <c r="BG1220" i="2"/>
  <c r="BH1220" i="2" s="1"/>
  <c r="BG1214" i="2"/>
  <c r="BH1214" i="2" s="1"/>
  <c r="BG1208" i="2"/>
  <c r="BH1208" i="2" s="1"/>
  <c r="BG1202" i="2"/>
  <c r="BH1202" i="2" s="1"/>
  <c r="BG1196" i="2"/>
  <c r="BH1196" i="2" s="1"/>
  <c r="BG1190" i="2"/>
  <c r="BH1190" i="2" s="1"/>
  <c r="BG1180" i="2"/>
  <c r="BH1180" i="2" s="1"/>
  <c r="BF1179" i="2"/>
  <c r="BJ1179" i="2" s="1"/>
  <c r="BL1179" i="2" s="1"/>
  <c r="BG1168" i="2"/>
  <c r="BH1168" i="2" s="1"/>
  <c r="BF1167" i="2"/>
  <c r="BJ1167" i="2" s="1"/>
  <c r="BL1167" i="2" s="1"/>
  <c r="BG1156" i="2"/>
  <c r="BH1156" i="2" s="1"/>
  <c r="BF1155" i="2"/>
  <c r="BJ1155" i="2" s="1"/>
  <c r="BL1155" i="2" s="1"/>
  <c r="BG1144" i="2"/>
  <c r="BH1144" i="2" s="1"/>
  <c r="BF1143" i="2"/>
  <c r="BJ1143" i="2" s="1"/>
  <c r="BL1143" i="2" s="1"/>
  <c r="BG1132" i="2"/>
  <c r="BH1132" i="2" s="1"/>
  <c r="BF1131" i="2"/>
  <c r="BJ1131" i="2" s="1"/>
  <c r="BL1131" i="2" s="1"/>
  <c r="BF1177" i="2"/>
  <c r="BJ1177" i="2" s="1"/>
  <c r="BL1177" i="2" s="1"/>
  <c r="BF1175" i="2"/>
  <c r="BJ1175" i="2" s="1"/>
  <c r="BL1175" i="2" s="1"/>
  <c r="BF1173" i="2"/>
  <c r="BJ1173" i="2" s="1"/>
  <c r="BL1173" i="2" s="1"/>
  <c r="BG1155" i="2"/>
  <c r="BH1155" i="2" s="1"/>
  <c r="BG1152" i="2"/>
  <c r="BH1152" i="2" s="1"/>
  <c r="BF1142" i="2"/>
  <c r="BJ1142" i="2" s="1"/>
  <c r="BL1142" i="2" s="1"/>
  <c r="BF1139" i="2"/>
  <c r="BJ1139" i="2" s="1"/>
  <c r="BL1139" i="2" s="1"/>
  <c r="BG1136" i="2"/>
  <c r="BH1136" i="2" s="1"/>
  <c r="BF1129" i="2"/>
  <c r="BJ1129" i="2" s="1"/>
  <c r="BL1129" i="2" s="1"/>
  <c r="BF1125" i="2"/>
  <c r="BJ1125" i="2" s="1"/>
  <c r="BL1125" i="2" s="1"/>
  <c r="BG1120" i="2"/>
  <c r="BH1120" i="2" s="1"/>
  <c r="BF1119" i="2"/>
  <c r="BJ1119" i="2" s="1"/>
  <c r="BL1119" i="2" s="1"/>
  <c r="BG1232" i="2"/>
  <c r="BH1232" i="2" s="1"/>
  <c r="BF1202" i="2"/>
  <c r="BJ1202" i="2" s="1"/>
  <c r="BL1202" i="2" s="1"/>
  <c r="BG1162" i="2"/>
  <c r="BH1162" i="2" s="1"/>
  <c r="BF1152" i="2"/>
  <c r="BJ1152" i="2" s="1"/>
  <c r="BL1152" i="2" s="1"/>
  <c r="BF1149" i="2"/>
  <c r="BJ1149" i="2" s="1"/>
  <c r="BL1149" i="2" s="1"/>
  <c r="BG1133" i="2"/>
  <c r="BH1133" i="2" s="1"/>
  <c r="BF1120" i="2"/>
  <c r="BJ1120" i="2" s="1"/>
  <c r="BL1120" i="2" s="1"/>
  <c r="BF1162" i="2"/>
  <c r="BJ1162" i="2" s="1"/>
  <c r="BL1162" i="2" s="1"/>
  <c r="BG1146" i="2"/>
  <c r="BH1146" i="2" s="1"/>
  <c r="BF1133" i="2"/>
  <c r="BJ1133" i="2" s="1"/>
  <c r="BL1133" i="2" s="1"/>
  <c r="BG1130" i="2"/>
  <c r="BH1130" i="2" s="1"/>
  <c r="BG1121" i="2"/>
  <c r="BH1121" i="2" s="1"/>
  <c r="BG1110" i="2"/>
  <c r="BH1110" i="2" s="1"/>
  <c r="BG1109" i="2"/>
  <c r="BH1109" i="2" s="1"/>
  <c r="BG1108" i="2"/>
  <c r="BH1108" i="2" s="1"/>
  <c r="BG1107" i="2"/>
  <c r="BH1107" i="2" s="1"/>
  <c r="BG1106" i="2"/>
  <c r="BH1106" i="2" s="1"/>
  <c r="BG1105" i="2"/>
  <c r="BH1105" i="2" s="1"/>
  <c r="BG1104" i="2"/>
  <c r="BH1104" i="2" s="1"/>
  <c r="BG1103" i="2"/>
  <c r="BH1103" i="2" s="1"/>
  <c r="BG1102" i="2"/>
  <c r="BH1102" i="2" s="1"/>
  <c r="BG1229" i="2"/>
  <c r="BH1229" i="2" s="1"/>
  <c r="BF1214" i="2"/>
  <c r="BJ1214" i="2" s="1"/>
  <c r="BL1214" i="2" s="1"/>
  <c r="BG1169" i="2"/>
  <c r="BH1169" i="2" s="1"/>
  <c r="BF1159" i="2"/>
  <c r="BJ1159" i="2" s="1"/>
  <c r="BL1159" i="2" s="1"/>
  <c r="BG1143" i="2"/>
  <c r="BH1143" i="2" s="1"/>
  <c r="BG1140" i="2"/>
  <c r="BH1140" i="2" s="1"/>
  <c r="BF1130" i="2"/>
  <c r="BJ1130" i="2" s="1"/>
  <c r="BL1130" i="2" s="1"/>
  <c r="BF1121" i="2"/>
  <c r="BJ1121" i="2" s="1"/>
  <c r="BL1121" i="2" s="1"/>
  <c r="BG1167" i="2"/>
  <c r="BH1167" i="2" s="1"/>
  <c r="BG1165" i="2"/>
  <c r="BH1165" i="2" s="1"/>
  <c r="BF1156" i="2"/>
  <c r="BJ1156" i="2" s="1"/>
  <c r="BL1156" i="2" s="1"/>
  <c r="BG1153" i="2"/>
  <c r="BH1153" i="2" s="1"/>
  <c r="BG1150" i="2"/>
  <c r="BH1150" i="2" s="1"/>
  <c r="BF1140" i="2"/>
  <c r="BJ1140" i="2" s="1"/>
  <c r="BL1140" i="2" s="1"/>
  <c r="BF1137" i="2"/>
  <c r="BJ1137" i="2" s="1"/>
  <c r="BL1137" i="2" s="1"/>
  <c r="BG1122" i="2"/>
  <c r="BH1122" i="2" s="1"/>
  <c r="BF1180" i="2"/>
  <c r="BJ1180" i="2" s="1"/>
  <c r="BL1180" i="2" s="1"/>
  <c r="BG1178" i="2"/>
  <c r="BH1178" i="2" s="1"/>
  <c r="BG1176" i="2"/>
  <c r="BH1176" i="2" s="1"/>
  <c r="BG1174" i="2"/>
  <c r="BH1174" i="2" s="1"/>
  <c r="BF1165" i="2"/>
  <c r="BJ1165" i="2" s="1"/>
  <c r="BL1165" i="2" s="1"/>
  <c r="BG1163" i="2"/>
  <c r="BH1163" i="2" s="1"/>
  <c r="BF1153" i="2"/>
  <c r="BJ1153" i="2" s="1"/>
  <c r="BL1153" i="2" s="1"/>
  <c r="BF1150" i="2"/>
  <c r="BJ1150" i="2" s="1"/>
  <c r="BL1150" i="2" s="1"/>
  <c r="BG1134" i="2"/>
  <c r="BH1134" i="2" s="1"/>
  <c r="BG1127" i="2"/>
  <c r="BH1127" i="2" s="1"/>
  <c r="BF1122" i="2"/>
  <c r="BJ1122" i="2" s="1"/>
  <c r="BL1122" i="2" s="1"/>
  <c r="BG1113" i="2"/>
  <c r="BH1113" i="2" s="1"/>
  <c r="BF1112" i="2"/>
  <c r="BJ1112" i="2" s="1"/>
  <c r="BL1112" i="2" s="1"/>
  <c r="BG1225" i="2"/>
  <c r="BH1225" i="2" s="1"/>
  <c r="BF1196" i="2"/>
  <c r="BJ1196" i="2" s="1"/>
  <c r="BL1196" i="2" s="1"/>
  <c r="BF1178" i="2"/>
  <c r="BJ1178" i="2" s="1"/>
  <c r="BL1178" i="2" s="1"/>
  <c r="BF1176" i="2"/>
  <c r="BJ1176" i="2" s="1"/>
  <c r="BL1176" i="2" s="1"/>
  <c r="BF1174" i="2"/>
  <c r="BJ1174" i="2" s="1"/>
  <c r="BL1174" i="2" s="1"/>
  <c r="BF1163" i="2"/>
  <c r="BJ1163" i="2" s="1"/>
  <c r="BL1163" i="2" s="1"/>
  <c r="BG1160" i="2"/>
  <c r="BH1160" i="2" s="1"/>
  <c r="BF1147" i="2"/>
  <c r="BJ1147" i="2" s="1"/>
  <c r="BL1147" i="2" s="1"/>
  <c r="BG1131" i="2"/>
  <c r="BH1131" i="2" s="1"/>
  <c r="BF1127" i="2"/>
  <c r="BJ1127" i="2" s="1"/>
  <c r="BL1127" i="2" s="1"/>
  <c r="BG1157" i="2"/>
  <c r="BH1157" i="2" s="1"/>
  <c r="BF1144" i="2"/>
  <c r="BJ1144" i="2" s="1"/>
  <c r="BL1144" i="2" s="1"/>
  <c r="BG1141" i="2"/>
  <c r="BH1141" i="2" s="1"/>
  <c r="BG1138" i="2"/>
  <c r="BH1138" i="2" s="1"/>
  <c r="BF1123" i="2"/>
  <c r="BJ1123" i="2" s="1"/>
  <c r="BL1123" i="2" s="1"/>
  <c r="BG1115" i="2"/>
  <c r="BH1115" i="2" s="1"/>
  <c r="BF1114" i="2"/>
  <c r="BJ1114" i="2" s="1"/>
  <c r="BL1114" i="2" s="1"/>
  <c r="BF1208" i="2"/>
  <c r="BJ1208" i="2" s="1"/>
  <c r="BL1208" i="2" s="1"/>
  <c r="BF1157" i="2"/>
  <c r="BJ1157" i="2" s="1"/>
  <c r="BL1157" i="2" s="1"/>
  <c r="BG1154" i="2"/>
  <c r="BH1154" i="2" s="1"/>
  <c r="BG1151" i="2"/>
  <c r="BH1151" i="2" s="1"/>
  <c r="BF1141" i="2"/>
  <c r="BJ1141" i="2" s="1"/>
  <c r="BL1141" i="2" s="1"/>
  <c r="BF1138" i="2"/>
  <c r="BJ1138" i="2" s="1"/>
  <c r="BL1138" i="2" s="1"/>
  <c r="BG1128" i="2"/>
  <c r="BH1128" i="2" s="1"/>
  <c r="BG1116" i="2"/>
  <c r="BH1116" i="2" s="1"/>
  <c r="BF1115" i="2"/>
  <c r="BJ1115" i="2" s="1"/>
  <c r="BL1115" i="2" s="1"/>
  <c r="BF1154" i="2"/>
  <c r="BJ1154" i="2" s="1"/>
  <c r="BL1154" i="2" s="1"/>
  <c r="BF1151" i="2"/>
  <c r="BJ1151" i="2" s="1"/>
  <c r="BL1151" i="2" s="1"/>
  <c r="BG1148" i="2"/>
  <c r="BH1148" i="2" s="1"/>
  <c r="BF1135" i="2"/>
  <c r="BJ1135" i="2" s="1"/>
  <c r="BL1135" i="2" s="1"/>
  <c r="BF1128" i="2"/>
  <c r="BJ1128" i="2" s="1"/>
  <c r="BL1128" i="2" s="1"/>
  <c r="BG1124" i="2"/>
  <c r="BH1124" i="2" s="1"/>
  <c r="BG1117" i="2"/>
  <c r="BH1117" i="2" s="1"/>
  <c r="BF1116" i="2"/>
  <c r="BJ1116" i="2" s="1"/>
  <c r="BL1116" i="2" s="1"/>
  <c r="BG1181" i="2"/>
  <c r="BH1181" i="2" s="1"/>
  <c r="BF1109" i="2"/>
  <c r="BJ1109" i="2" s="1"/>
  <c r="BL1109" i="2" s="1"/>
  <c r="BF1106" i="2"/>
  <c r="BJ1106" i="2" s="1"/>
  <c r="BL1106" i="2" s="1"/>
  <c r="BF1103" i="2"/>
  <c r="BJ1103" i="2" s="1"/>
  <c r="BL1103" i="2" s="1"/>
  <c r="BF1078" i="2"/>
  <c r="BJ1078" i="2" s="1"/>
  <c r="BL1078" i="2" s="1"/>
  <c r="BG1067" i="2"/>
  <c r="BH1067" i="2" s="1"/>
  <c r="BF1066" i="2"/>
  <c r="BJ1066" i="2" s="1"/>
  <c r="BL1066" i="2" s="1"/>
  <c r="BG1055" i="2"/>
  <c r="BH1055" i="2" s="1"/>
  <c r="BF1054" i="2"/>
  <c r="BJ1054" i="2" s="1"/>
  <c r="BL1054" i="2" s="1"/>
  <c r="BG1043" i="2"/>
  <c r="BH1043" i="2" s="1"/>
  <c r="BF1042" i="2"/>
  <c r="BJ1042" i="2" s="1"/>
  <c r="BL1042" i="2" s="1"/>
  <c r="BG1031" i="2"/>
  <c r="BH1031" i="2" s="1"/>
  <c r="BF1030" i="2"/>
  <c r="BJ1030" i="2" s="1"/>
  <c r="BL1030" i="2" s="1"/>
  <c r="BG1019" i="2"/>
  <c r="BH1019" i="2" s="1"/>
  <c r="BF1018" i="2"/>
  <c r="BJ1018" i="2" s="1"/>
  <c r="BL1018" i="2" s="1"/>
  <c r="BF1254" i="2"/>
  <c r="BJ1254" i="2" s="1"/>
  <c r="BL1254" i="2" s="1"/>
  <c r="BG1142" i="2"/>
  <c r="BH1142" i="2" s="1"/>
  <c r="BG1118" i="2"/>
  <c r="BH1118" i="2" s="1"/>
  <c r="BG1100" i="2"/>
  <c r="BH1100" i="2" s="1"/>
  <c r="BG1096" i="2"/>
  <c r="BH1096" i="2" s="1"/>
  <c r="BG1092" i="2"/>
  <c r="BH1092" i="2" s="1"/>
  <c r="BG1088" i="2"/>
  <c r="BH1088" i="2" s="1"/>
  <c r="BG1084" i="2"/>
  <c r="BH1084" i="2" s="1"/>
  <c r="BG1079" i="2"/>
  <c r="BH1079" i="2" s="1"/>
  <c r="BG1068" i="2"/>
  <c r="BH1068" i="2" s="1"/>
  <c r="BF1067" i="2"/>
  <c r="BJ1067" i="2" s="1"/>
  <c r="BL1067" i="2" s="1"/>
  <c r="BG1056" i="2"/>
  <c r="BH1056" i="2" s="1"/>
  <c r="BF1055" i="2"/>
  <c r="BJ1055" i="2" s="1"/>
  <c r="BL1055" i="2" s="1"/>
  <c r="BG1044" i="2"/>
  <c r="BH1044" i="2" s="1"/>
  <c r="BF1043" i="2"/>
  <c r="BJ1043" i="2" s="1"/>
  <c r="BL1043" i="2" s="1"/>
  <c r="BG1032" i="2"/>
  <c r="BH1032" i="2" s="1"/>
  <c r="BF1031" i="2"/>
  <c r="BJ1031" i="2" s="1"/>
  <c r="BL1031" i="2" s="1"/>
  <c r="BG1020" i="2"/>
  <c r="BH1020" i="2" s="1"/>
  <c r="BF1019" i="2"/>
  <c r="BJ1019" i="2" s="1"/>
  <c r="BL1019" i="2" s="1"/>
  <c r="BG1008" i="2"/>
  <c r="BH1008" i="2" s="1"/>
  <c r="BF1007" i="2"/>
  <c r="BJ1007" i="2" s="1"/>
  <c r="BL1007" i="2" s="1"/>
  <c r="BF1168" i="2"/>
  <c r="BJ1168" i="2" s="1"/>
  <c r="BL1168" i="2" s="1"/>
  <c r="BF1132" i="2"/>
  <c r="BJ1132" i="2" s="1"/>
  <c r="BL1132" i="2" s="1"/>
  <c r="BF1118" i="2"/>
  <c r="BJ1118" i="2" s="1"/>
  <c r="BL1118" i="2" s="1"/>
  <c r="BG1112" i="2"/>
  <c r="BH1112" i="2" s="1"/>
  <c r="BF1100" i="2"/>
  <c r="BJ1100" i="2" s="1"/>
  <c r="BL1100" i="2" s="1"/>
  <c r="BF1096" i="2"/>
  <c r="BJ1096" i="2" s="1"/>
  <c r="BL1096" i="2" s="1"/>
  <c r="BF1092" i="2"/>
  <c r="BJ1092" i="2" s="1"/>
  <c r="BL1092" i="2" s="1"/>
  <c r="BF1088" i="2"/>
  <c r="BJ1088" i="2" s="1"/>
  <c r="BL1088" i="2" s="1"/>
  <c r="BF1084" i="2"/>
  <c r="BJ1084" i="2" s="1"/>
  <c r="BL1084" i="2" s="1"/>
  <c r="BF1079" i="2"/>
  <c r="BJ1079" i="2" s="1"/>
  <c r="BL1079" i="2" s="1"/>
  <c r="BG1069" i="2"/>
  <c r="BH1069" i="2" s="1"/>
  <c r="BF1068" i="2"/>
  <c r="BJ1068" i="2" s="1"/>
  <c r="BL1068" i="2" s="1"/>
  <c r="BG1057" i="2"/>
  <c r="BH1057" i="2" s="1"/>
  <c r="BF1056" i="2"/>
  <c r="BJ1056" i="2" s="1"/>
  <c r="BL1056" i="2" s="1"/>
  <c r="BG1045" i="2"/>
  <c r="BH1045" i="2" s="1"/>
  <c r="BF1044" i="2"/>
  <c r="BJ1044" i="2" s="1"/>
  <c r="BL1044" i="2" s="1"/>
  <c r="BG1033" i="2"/>
  <c r="BH1033" i="2" s="1"/>
  <c r="BF1032" i="2"/>
  <c r="BJ1032" i="2" s="1"/>
  <c r="BL1032" i="2" s="1"/>
  <c r="BG1179" i="2"/>
  <c r="BH1179" i="2" s="1"/>
  <c r="BG1158" i="2"/>
  <c r="BH1158" i="2" s="1"/>
  <c r="BG1114" i="2"/>
  <c r="BH1114" i="2" s="1"/>
  <c r="BG1080" i="2"/>
  <c r="BH1080" i="2" s="1"/>
  <c r="BG1070" i="2"/>
  <c r="BH1070" i="2" s="1"/>
  <c r="BF1069" i="2"/>
  <c r="BJ1069" i="2" s="1"/>
  <c r="BL1069" i="2" s="1"/>
  <c r="BG1058" i="2"/>
  <c r="BH1058" i="2" s="1"/>
  <c r="BF1057" i="2"/>
  <c r="BJ1057" i="2" s="1"/>
  <c r="BL1057" i="2" s="1"/>
  <c r="BG1046" i="2"/>
  <c r="BH1046" i="2" s="1"/>
  <c r="BF1045" i="2"/>
  <c r="BJ1045" i="2" s="1"/>
  <c r="BL1045" i="2" s="1"/>
  <c r="BG1034" i="2"/>
  <c r="BH1034" i="2" s="1"/>
  <c r="BF1033" i="2"/>
  <c r="BJ1033" i="2" s="1"/>
  <c r="BL1033" i="2" s="1"/>
  <c r="BG1022" i="2"/>
  <c r="BH1022" i="2" s="1"/>
  <c r="BF1021" i="2"/>
  <c r="BJ1021" i="2" s="1"/>
  <c r="BL1021" i="2" s="1"/>
  <c r="BG1010" i="2"/>
  <c r="BH1010" i="2" s="1"/>
  <c r="BF1009" i="2"/>
  <c r="BJ1009" i="2" s="1"/>
  <c r="BL1009" i="2" s="1"/>
  <c r="BF997" i="2"/>
  <c r="BJ997" i="2" s="1"/>
  <c r="BL997" i="2" s="1"/>
  <c r="BF996" i="2"/>
  <c r="BJ996" i="2" s="1"/>
  <c r="BL996" i="2" s="1"/>
  <c r="BF995" i="2"/>
  <c r="BJ995" i="2" s="1"/>
  <c r="BL995" i="2" s="1"/>
  <c r="BF994" i="2"/>
  <c r="BJ994" i="2" s="1"/>
  <c r="BL994" i="2" s="1"/>
  <c r="BF993" i="2"/>
  <c r="BJ993" i="2" s="1"/>
  <c r="BL993" i="2" s="1"/>
  <c r="BF992" i="2"/>
  <c r="BJ992" i="2" s="1"/>
  <c r="BL992" i="2" s="1"/>
  <c r="BF991" i="2"/>
  <c r="BJ991" i="2" s="1"/>
  <c r="BL991" i="2" s="1"/>
  <c r="BF990" i="2"/>
  <c r="BJ990" i="2" s="1"/>
  <c r="BL990" i="2" s="1"/>
  <c r="BF989" i="2"/>
  <c r="BJ989" i="2" s="1"/>
  <c r="BL989" i="2" s="1"/>
  <c r="BF988" i="2"/>
  <c r="BJ988" i="2" s="1"/>
  <c r="BL988" i="2" s="1"/>
  <c r="BF987" i="2"/>
  <c r="BJ987" i="2" s="1"/>
  <c r="BL987" i="2" s="1"/>
  <c r="BF986" i="2"/>
  <c r="BJ986" i="2" s="1"/>
  <c r="BL986" i="2" s="1"/>
  <c r="BF985" i="2"/>
  <c r="BJ985" i="2" s="1"/>
  <c r="BL985" i="2" s="1"/>
  <c r="BF984" i="2"/>
  <c r="BJ984" i="2" s="1"/>
  <c r="BL984" i="2" s="1"/>
  <c r="BF983" i="2"/>
  <c r="BJ983" i="2" s="1"/>
  <c r="BL983" i="2" s="1"/>
  <c r="BF982" i="2"/>
  <c r="BJ982" i="2" s="1"/>
  <c r="BL982" i="2" s="1"/>
  <c r="BF981" i="2"/>
  <c r="BJ981" i="2" s="1"/>
  <c r="BL981" i="2" s="1"/>
  <c r="BF980" i="2"/>
  <c r="BJ980" i="2" s="1"/>
  <c r="BL980" i="2" s="1"/>
  <c r="BF979" i="2"/>
  <c r="BJ979" i="2" s="1"/>
  <c r="BL979" i="2" s="1"/>
  <c r="BF978" i="2"/>
  <c r="BJ978" i="2" s="1"/>
  <c r="BL978" i="2" s="1"/>
  <c r="BF977" i="2"/>
  <c r="BJ977" i="2" s="1"/>
  <c r="BL977" i="2" s="1"/>
  <c r="BF976" i="2"/>
  <c r="BJ976" i="2" s="1"/>
  <c r="BL976" i="2" s="1"/>
  <c r="BF975" i="2"/>
  <c r="BJ975" i="2" s="1"/>
  <c r="BL975" i="2" s="1"/>
  <c r="BF974" i="2"/>
  <c r="BJ974" i="2" s="1"/>
  <c r="BL974" i="2" s="1"/>
  <c r="BF1220" i="2"/>
  <c r="BJ1220" i="2" s="1"/>
  <c r="BL1220" i="2" s="1"/>
  <c r="BG1166" i="2"/>
  <c r="BH1166" i="2" s="1"/>
  <c r="BF1117" i="2"/>
  <c r="BJ1117" i="2" s="1"/>
  <c r="BL1117" i="2" s="1"/>
  <c r="BF1110" i="2"/>
  <c r="BJ1110" i="2" s="1"/>
  <c r="BL1110" i="2" s="1"/>
  <c r="BF1107" i="2"/>
  <c r="BJ1107" i="2" s="1"/>
  <c r="BL1107" i="2" s="1"/>
  <c r="BF1104" i="2"/>
  <c r="BJ1104" i="2" s="1"/>
  <c r="BL1104" i="2" s="1"/>
  <c r="BG1101" i="2"/>
  <c r="BH1101" i="2" s="1"/>
  <c r="BG1097" i="2"/>
  <c r="BH1097" i="2" s="1"/>
  <c r="BG1093" i="2"/>
  <c r="BH1093" i="2" s="1"/>
  <c r="BG1089" i="2"/>
  <c r="BH1089" i="2" s="1"/>
  <c r="BG1085" i="2"/>
  <c r="BH1085" i="2" s="1"/>
  <c r="BF1080" i="2"/>
  <c r="BJ1080" i="2" s="1"/>
  <c r="BL1080" i="2" s="1"/>
  <c r="BG1071" i="2"/>
  <c r="BH1071" i="2" s="1"/>
  <c r="BF1070" i="2"/>
  <c r="BJ1070" i="2" s="1"/>
  <c r="BL1070" i="2" s="1"/>
  <c r="BG1059" i="2"/>
  <c r="BH1059" i="2" s="1"/>
  <c r="BF1058" i="2"/>
  <c r="BJ1058" i="2" s="1"/>
  <c r="BL1058" i="2" s="1"/>
  <c r="BF1046" i="2"/>
  <c r="BJ1046" i="2" s="1"/>
  <c r="BL1046" i="2" s="1"/>
  <c r="BG1177" i="2"/>
  <c r="BH1177" i="2" s="1"/>
  <c r="BF1166" i="2"/>
  <c r="BJ1166" i="2" s="1"/>
  <c r="BL1166" i="2" s="1"/>
  <c r="BG1139" i="2"/>
  <c r="BH1139" i="2" s="1"/>
  <c r="BF1101" i="2"/>
  <c r="BJ1101" i="2" s="1"/>
  <c r="BL1101" i="2" s="1"/>
  <c r="BF1097" i="2"/>
  <c r="BJ1097" i="2" s="1"/>
  <c r="BL1097" i="2" s="1"/>
  <c r="BF1093" i="2"/>
  <c r="BJ1093" i="2" s="1"/>
  <c r="BL1093" i="2" s="1"/>
  <c r="BF1089" i="2"/>
  <c r="BJ1089" i="2" s="1"/>
  <c r="BL1089" i="2" s="1"/>
  <c r="BF1085" i="2"/>
  <c r="BJ1085" i="2" s="1"/>
  <c r="BL1085" i="2" s="1"/>
  <c r="BG1081" i="2"/>
  <c r="BH1081" i="2" s="1"/>
  <c r="BG1072" i="2"/>
  <c r="BH1072" i="2" s="1"/>
  <c r="BF1071" i="2"/>
  <c r="BJ1071" i="2" s="1"/>
  <c r="BL1071" i="2" s="1"/>
  <c r="BG1060" i="2"/>
  <c r="BH1060" i="2" s="1"/>
  <c r="BF1059" i="2"/>
  <c r="BJ1059" i="2" s="1"/>
  <c r="BL1059" i="2" s="1"/>
  <c r="BG1048" i="2"/>
  <c r="BH1048" i="2" s="1"/>
  <c r="BG1036" i="2"/>
  <c r="BH1036" i="2" s="1"/>
  <c r="BG1164" i="2"/>
  <c r="BH1164" i="2" s="1"/>
  <c r="BF1081" i="2"/>
  <c r="BJ1081" i="2" s="1"/>
  <c r="BL1081" i="2" s="1"/>
  <c r="BG1073" i="2"/>
  <c r="BH1073" i="2" s="1"/>
  <c r="BF1072" i="2"/>
  <c r="BJ1072" i="2" s="1"/>
  <c r="BL1072" i="2" s="1"/>
  <c r="BG1061" i="2"/>
  <c r="BH1061" i="2" s="1"/>
  <c r="BF1060" i="2"/>
  <c r="BJ1060" i="2" s="1"/>
  <c r="BL1060" i="2" s="1"/>
  <c r="BG1049" i="2"/>
  <c r="BH1049" i="2" s="1"/>
  <c r="BF1048" i="2"/>
  <c r="BJ1048" i="2" s="1"/>
  <c r="BL1048" i="2" s="1"/>
  <c r="BG1037" i="2"/>
  <c r="BH1037" i="2" s="1"/>
  <c r="BF1036" i="2"/>
  <c r="BJ1036" i="2" s="1"/>
  <c r="BL1036" i="2" s="1"/>
  <c r="BG1175" i="2"/>
  <c r="BH1175" i="2" s="1"/>
  <c r="BF1164" i="2"/>
  <c r="BJ1164" i="2" s="1"/>
  <c r="BL1164" i="2" s="1"/>
  <c r="BG1129" i="2"/>
  <c r="BH1129" i="2" s="1"/>
  <c r="BG1098" i="2"/>
  <c r="BH1098" i="2" s="1"/>
  <c r="BG1094" i="2"/>
  <c r="BH1094" i="2" s="1"/>
  <c r="BG1090" i="2"/>
  <c r="BH1090" i="2" s="1"/>
  <c r="BG1086" i="2"/>
  <c r="BH1086" i="2" s="1"/>
  <c r="BG1082" i="2"/>
  <c r="BH1082" i="2" s="1"/>
  <c r="BG1074" i="2"/>
  <c r="BH1074" i="2" s="1"/>
  <c r="BF1073" i="2"/>
  <c r="BJ1073" i="2" s="1"/>
  <c r="BL1073" i="2" s="1"/>
  <c r="BG1062" i="2"/>
  <c r="BH1062" i="2" s="1"/>
  <c r="BF1061" i="2"/>
  <c r="BJ1061" i="2" s="1"/>
  <c r="BL1061" i="2" s="1"/>
  <c r="BG1050" i="2"/>
  <c r="BH1050" i="2" s="1"/>
  <c r="BF1049" i="2"/>
  <c r="BJ1049" i="2" s="1"/>
  <c r="BL1049" i="2" s="1"/>
  <c r="BG1038" i="2"/>
  <c r="BH1038" i="2" s="1"/>
  <c r="BF1037" i="2"/>
  <c r="BJ1037" i="2" s="1"/>
  <c r="BL1037" i="2" s="1"/>
  <c r="BG1145" i="2"/>
  <c r="BH1145" i="2" s="1"/>
  <c r="BF1113" i="2"/>
  <c r="BJ1113" i="2" s="1"/>
  <c r="BL1113" i="2" s="1"/>
  <c r="BG1111" i="2"/>
  <c r="BH1111" i="2" s="1"/>
  <c r="BF1108" i="2"/>
  <c r="BJ1108" i="2" s="1"/>
  <c r="BL1108" i="2" s="1"/>
  <c r="BF1105" i="2"/>
  <c r="BJ1105" i="2" s="1"/>
  <c r="BL1105" i="2" s="1"/>
  <c r="BF1102" i="2"/>
  <c r="BJ1102" i="2" s="1"/>
  <c r="BL1102" i="2" s="1"/>
  <c r="BF1098" i="2"/>
  <c r="BJ1098" i="2" s="1"/>
  <c r="BL1098" i="2" s="1"/>
  <c r="BF1094" i="2"/>
  <c r="BJ1094" i="2" s="1"/>
  <c r="BL1094" i="2" s="1"/>
  <c r="BF1090" i="2"/>
  <c r="BJ1090" i="2" s="1"/>
  <c r="BL1090" i="2" s="1"/>
  <c r="BF1086" i="2"/>
  <c r="BJ1086" i="2" s="1"/>
  <c r="BL1086" i="2" s="1"/>
  <c r="BF1082" i="2"/>
  <c r="BJ1082" i="2" s="1"/>
  <c r="BL1082" i="2" s="1"/>
  <c r="BG1075" i="2"/>
  <c r="BH1075" i="2" s="1"/>
  <c r="BF1074" i="2"/>
  <c r="BJ1074" i="2" s="1"/>
  <c r="BL1074" i="2" s="1"/>
  <c r="BG1063" i="2"/>
  <c r="BH1063" i="2" s="1"/>
  <c r="BF1062" i="2"/>
  <c r="BJ1062" i="2" s="1"/>
  <c r="BL1062" i="2" s="1"/>
  <c r="BG1051" i="2"/>
  <c r="BH1051" i="2" s="1"/>
  <c r="BF1050" i="2"/>
  <c r="BJ1050" i="2" s="1"/>
  <c r="BL1050" i="2" s="1"/>
  <c r="BF1190" i="2"/>
  <c r="BJ1190" i="2" s="1"/>
  <c r="BL1190" i="2" s="1"/>
  <c r="BF1145" i="2"/>
  <c r="BJ1145" i="2" s="1"/>
  <c r="BL1145" i="2" s="1"/>
  <c r="BF1111" i="2"/>
  <c r="BJ1111" i="2" s="1"/>
  <c r="BL1111" i="2" s="1"/>
  <c r="BG1076" i="2"/>
  <c r="BH1076" i="2" s="1"/>
  <c r="BF1075" i="2"/>
  <c r="BJ1075" i="2" s="1"/>
  <c r="BL1075" i="2" s="1"/>
  <c r="BG1064" i="2"/>
  <c r="BH1064" i="2" s="1"/>
  <c r="BF1063" i="2"/>
  <c r="BJ1063" i="2" s="1"/>
  <c r="BL1063" i="2" s="1"/>
  <c r="BG1052" i="2"/>
  <c r="BH1052" i="2" s="1"/>
  <c r="BF1051" i="2"/>
  <c r="BJ1051" i="2" s="1"/>
  <c r="BL1051" i="2" s="1"/>
  <c r="BG1040" i="2"/>
  <c r="BH1040" i="2" s="1"/>
  <c r="BF1039" i="2"/>
  <c r="BJ1039" i="2" s="1"/>
  <c r="BL1039" i="2" s="1"/>
  <c r="BF1161" i="2"/>
  <c r="BJ1161" i="2" s="1"/>
  <c r="BL1161" i="2" s="1"/>
  <c r="BG1099" i="2"/>
  <c r="BH1099" i="2" s="1"/>
  <c r="BG1095" i="2"/>
  <c r="BH1095" i="2" s="1"/>
  <c r="BG1091" i="2"/>
  <c r="BH1091" i="2" s="1"/>
  <c r="BG1087" i="2"/>
  <c r="BH1087" i="2" s="1"/>
  <c r="BG1083" i="2"/>
  <c r="BH1083" i="2" s="1"/>
  <c r="BG1077" i="2"/>
  <c r="BH1077" i="2" s="1"/>
  <c r="BF1076" i="2"/>
  <c r="BJ1076" i="2" s="1"/>
  <c r="BL1076" i="2" s="1"/>
  <c r="BG1065" i="2"/>
  <c r="BH1065" i="2" s="1"/>
  <c r="BF1064" i="2"/>
  <c r="BJ1064" i="2" s="1"/>
  <c r="BL1064" i="2" s="1"/>
  <c r="BG1053" i="2"/>
  <c r="BH1053" i="2" s="1"/>
  <c r="BF1052" i="2"/>
  <c r="BJ1052" i="2" s="1"/>
  <c r="BL1052" i="2" s="1"/>
  <c r="BG1041" i="2"/>
  <c r="BH1041" i="2" s="1"/>
  <c r="BF1040" i="2"/>
  <c r="BJ1040" i="2" s="1"/>
  <c r="BL1040" i="2" s="1"/>
  <c r="BG1029" i="2"/>
  <c r="BH1029" i="2" s="1"/>
  <c r="BF1028" i="2"/>
  <c r="BJ1028" i="2" s="1"/>
  <c r="BL1028" i="2" s="1"/>
  <c r="BG1017" i="2"/>
  <c r="BH1017" i="2" s="1"/>
  <c r="BF1016" i="2"/>
  <c r="BJ1016" i="2" s="1"/>
  <c r="BL1016" i="2" s="1"/>
  <c r="BG1005" i="2"/>
  <c r="BH1005" i="2" s="1"/>
  <c r="BF1004" i="2"/>
  <c r="BJ1004" i="2" s="1"/>
  <c r="BL1004" i="2" s="1"/>
  <c r="BF1091" i="2"/>
  <c r="BJ1091" i="2" s="1"/>
  <c r="BL1091" i="2" s="1"/>
  <c r="BF1029" i="2"/>
  <c r="BJ1029" i="2" s="1"/>
  <c r="BL1029" i="2" s="1"/>
  <c r="BF1013" i="2"/>
  <c r="BJ1013" i="2" s="1"/>
  <c r="BL1013" i="2" s="1"/>
  <c r="BF1010" i="2"/>
  <c r="BJ1010" i="2" s="1"/>
  <c r="BL1010" i="2" s="1"/>
  <c r="BF973" i="2"/>
  <c r="BJ973" i="2" s="1"/>
  <c r="BL973" i="2" s="1"/>
  <c r="BF967" i="2"/>
  <c r="BJ967" i="2" s="1"/>
  <c r="BL967" i="2" s="1"/>
  <c r="BF961" i="2"/>
  <c r="BJ961" i="2" s="1"/>
  <c r="BL961" i="2" s="1"/>
  <c r="BF955" i="2"/>
  <c r="BJ955" i="2" s="1"/>
  <c r="BL955" i="2" s="1"/>
  <c r="BF949" i="2"/>
  <c r="BJ949" i="2" s="1"/>
  <c r="BL949" i="2" s="1"/>
  <c r="BF943" i="2"/>
  <c r="BJ943" i="2" s="1"/>
  <c r="BL943" i="2" s="1"/>
  <c r="BF937" i="2"/>
  <c r="BJ937" i="2" s="1"/>
  <c r="BL937" i="2" s="1"/>
  <c r="BF1038" i="2"/>
  <c r="BJ1038" i="2" s="1"/>
  <c r="BL1038" i="2" s="1"/>
  <c r="BG1035" i="2"/>
  <c r="BH1035" i="2" s="1"/>
  <c r="BG1027" i="2"/>
  <c r="BH1027" i="2" s="1"/>
  <c r="BF1022" i="2"/>
  <c r="BJ1022" i="2" s="1"/>
  <c r="BL1022" i="2" s="1"/>
  <c r="BG1007" i="2"/>
  <c r="BH1007" i="2" s="1"/>
  <c r="BG968" i="2"/>
  <c r="BH968" i="2" s="1"/>
  <c r="BG962" i="2"/>
  <c r="BH962" i="2" s="1"/>
  <c r="BG956" i="2"/>
  <c r="BH956" i="2" s="1"/>
  <c r="BG950" i="2"/>
  <c r="BH950" i="2" s="1"/>
  <c r="BG944" i="2"/>
  <c r="BH944" i="2" s="1"/>
  <c r="BG938" i="2"/>
  <c r="BH938" i="2" s="1"/>
  <c r="BG1042" i="2"/>
  <c r="BH1042" i="2" s="1"/>
  <c r="BF1035" i="2"/>
  <c r="BJ1035" i="2" s="1"/>
  <c r="BL1035" i="2" s="1"/>
  <c r="BF1027" i="2"/>
  <c r="BJ1027" i="2" s="1"/>
  <c r="BL1027" i="2" s="1"/>
  <c r="BG1004" i="2"/>
  <c r="BH1004" i="2" s="1"/>
  <c r="BG1001" i="2"/>
  <c r="BH1001" i="2" s="1"/>
  <c r="BG994" i="2"/>
  <c r="BH994" i="2" s="1"/>
  <c r="BG990" i="2"/>
  <c r="BH990" i="2" s="1"/>
  <c r="BG986" i="2"/>
  <c r="BH986" i="2" s="1"/>
  <c r="BG982" i="2"/>
  <c r="BH982" i="2" s="1"/>
  <c r="BG978" i="2"/>
  <c r="BH978" i="2" s="1"/>
  <c r="BG974" i="2"/>
  <c r="BH974" i="2" s="1"/>
  <c r="BF968" i="2"/>
  <c r="BJ968" i="2" s="1"/>
  <c r="BL968" i="2" s="1"/>
  <c r="BF962" i="2"/>
  <c r="BJ962" i="2" s="1"/>
  <c r="BL962" i="2" s="1"/>
  <c r="BF1087" i="2"/>
  <c r="BJ1087" i="2" s="1"/>
  <c r="BL1087" i="2" s="1"/>
  <c r="BG1025" i="2"/>
  <c r="BH1025" i="2" s="1"/>
  <c r="BF1017" i="2"/>
  <c r="BJ1017" i="2" s="1"/>
  <c r="BL1017" i="2" s="1"/>
  <c r="BG1014" i="2"/>
  <c r="BH1014" i="2" s="1"/>
  <c r="BG1011" i="2"/>
  <c r="BH1011" i="2" s="1"/>
  <c r="BF1001" i="2"/>
  <c r="BJ1001" i="2" s="1"/>
  <c r="BL1001" i="2" s="1"/>
  <c r="BG969" i="2"/>
  <c r="BH969" i="2" s="1"/>
  <c r="BG963" i="2"/>
  <c r="BH963" i="2" s="1"/>
  <c r="BG957" i="2"/>
  <c r="BH957" i="2" s="1"/>
  <c r="BG951" i="2"/>
  <c r="BH951" i="2" s="1"/>
  <c r="BG945" i="2"/>
  <c r="BH945" i="2" s="1"/>
  <c r="BG939" i="2"/>
  <c r="BH939" i="2" s="1"/>
  <c r="BF1025" i="2"/>
  <c r="BJ1025" i="2" s="1"/>
  <c r="BL1025" i="2" s="1"/>
  <c r="BF1020" i="2"/>
  <c r="BJ1020" i="2" s="1"/>
  <c r="BL1020" i="2" s="1"/>
  <c r="BF1014" i="2"/>
  <c r="BJ1014" i="2" s="1"/>
  <c r="BL1014" i="2" s="1"/>
  <c r="BF1011" i="2"/>
  <c r="BJ1011" i="2" s="1"/>
  <c r="BL1011" i="2" s="1"/>
  <c r="BF969" i="2"/>
  <c r="BJ969" i="2" s="1"/>
  <c r="BL969" i="2" s="1"/>
  <c r="BF963" i="2"/>
  <c r="BJ963" i="2" s="1"/>
  <c r="BL963" i="2" s="1"/>
  <c r="BF957" i="2"/>
  <c r="BJ957" i="2" s="1"/>
  <c r="BL957" i="2" s="1"/>
  <c r="BF951" i="2"/>
  <c r="BJ951" i="2" s="1"/>
  <c r="BL951" i="2" s="1"/>
  <c r="BF945" i="2"/>
  <c r="BJ945" i="2" s="1"/>
  <c r="BL945" i="2" s="1"/>
  <c r="BF939" i="2"/>
  <c r="BJ939" i="2" s="1"/>
  <c r="BL939" i="2" s="1"/>
  <c r="BF1041" i="2"/>
  <c r="BJ1041" i="2" s="1"/>
  <c r="BL1041" i="2" s="1"/>
  <c r="BG1023" i="2"/>
  <c r="BH1023" i="2" s="1"/>
  <c r="BF1008" i="2"/>
  <c r="BJ1008" i="2" s="1"/>
  <c r="BL1008" i="2" s="1"/>
  <c r="BG995" i="2"/>
  <c r="BH995" i="2" s="1"/>
  <c r="BG991" i="2"/>
  <c r="BH991" i="2" s="1"/>
  <c r="BG987" i="2"/>
  <c r="BH987" i="2" s="1"/>
  <c r="BG983" i="2"/>
  <c r="BH983" i="2" s="1"/>
  <c r="BG979" i="2"/>
  <c r="BH979" i="2" s="1"/>
  <c r="BG975" i="2"/>
  <c r="BH975" i="2" s="1"/>
  <c r="BG970" i="2"/>
  <c r="BH970" i="2" s="1"/>
  <c r="BG964" i="2"/>
  <c r="BH964" i="2" s="1"/>
  <c r="BG958" i="2"/>
  <c r="BH958" i="2" s="1"/>
  <c r="BG952" i="2"/>
  <c r="BH952" i="2" s="1"/>
  <c r="BF1099" i="2"/>
  <c r="BJ1099" i="2" s="1"/>
  <c r="BL1099" i="2" s="1"/>
  <c r="BF1083" i="2"/>
  <c r="BJ1083" i="2" s="1"/>
  <c r="BL1083" i="2" s="1"/>
  <c r="BG1030" i="2"/>
  <c r="BH1030" i="2" s="1"/>
  <c r="BG1028" i="2"/>
  <c r="BH1028" i="2" s="1"/>
  <c r="BF1023" i="2"/>
  <c r="BJ1023" i="2" s="1"/>
  <c r="BL1023" i="2" s="1"/>
  <c r="BF1005" i="2"/>
  <c r="BJ1005" i="2" s="1"/>
  <c r="BL1005" i="2" s="1"/>
  <c r="BG1002" i="2"/>
  <c r="BH1002" i="2" s="1"/>
  <c r="BG999" i="2"/>
  <c r="BH999" i="2" s="1"/>
  <c r="BF970" i="2"/>
  <c r="BJ970" i="2" s="1"/>
  <c r="BL970" i="2" s="1"/>
  <c r="BF964" i="2"/>
  <c r="BJ964" i="2" s="1"/>
  <c r="BL964" i="2" s="1"/>
  <c r="BF958" i="2"/>
  <c r="BJ958" i="2" s="1"/>
  <c r="BL958" i="2" s="1"/>
  <c r="BF952" i="2"/>
  <c r="BJ952" i="2" s="1"/>
  <c r="BL952" i="2" s="1"/>
  <c r="BG1119" i="2"/>
  <c r="BH1119" i="2" s="1"/>
  <c r="BF1034" i="2"/>
  <c r="BJ1034" i="2" s="1"/>
  <c r="BL1034" i="2" s="1"/>
  <c r="BG1018" i="2"/>
  <c r="BH1018" i="2" s="1"/>
  <c r="BG1015" i="2"/>
  <c r="BH1015" i="2" s="1"/>
  <c r="BG1012" i="2"/>
  <c r="BH1012" i="2" s="1"/>
  <c r="BF1002" i="2"/>
  <c r="BJ1002" i="2" s="1"/>
  <c r="BL1002" i="2" s="1"/>
  <c r="BF999" i="2"/>
  <c r="BJ999" i="2" s="1"/>
  <c r="BL999" i="2" s="1"/>
  <c r="BG971" i="2"/>
  <c r="BH971" i="2" s="1"/>
  <c r="BG965" i="2"/>
  <c r="BH965" i="2" s="1"/>
  <c r="BG959" i="2"/>
  <c r="BH959" i="2" s="1"/>
  <c r="BG953" i="2"/>
  <c r="BH953" i="2" s="1"/>
  <c r="BG947" i="2"/>
  <c r="BH947" i="2" s="1"/>
  <c r="BG1054" i="2"/>
  <c r="BH1054" i="2" s="1"/>
  <c r="BG1026" i="2"/>
  <c r="BH1026" i="2" s="1"/>
  <c r="BG1021" i="2"/>
  <c r="BH1021" i="2" s="1"/>
  <c r="BF1015" i="2"/>
  <c r="BJ1015" i="2" s="1"/>
  <c r="BL1015" i="2" s="1"/>
  <c r="BF1012" i="2"/>
  <c r="BJ1012" i="2" s="1"/>
  <c r="BL1012" i="2" s="1"/>
  <c r="BG1009" i="2"/>
  <c r="BH1009" i="2" s="1"/>
  <c r="BG996" i="2"/>
  <c r="BH996" i="2" s="1"/>
  <c r="BG992" i="2"/>
  <c r="BH992" i="2" s="1"/>
  <c r="BG988" i="2"/>
  <c r="BH988" i="2" s="1"/>
  <c r="BG984" i="2"/>
  <c r="BH984" i="2" s="1"/>
  <c r="BG980" i="2"/>
  <c r="BH980" i="2" s="1"/>
  <c r="BG976" i="2"/>
  <c r="BH976" i="2" s="1"/>
  <c r="BF971" i="2"/>
  <c r="BJ971" i="2" s="1"/>
  <c r="BL971" i="2" s="1"/>
  <c r="BF965" i="2"/>
  <c r="BJ965" i="2" s="1"/>
  <c r="BL965" i="2" s="1"/>
  <c r="BF959" i="2"/>
  <c r="BJ959" i="2" s="1"/>
  <c r="BL959" i="2" s="1"/>
  <c r="BF1095" i="2"/>
  <c r="BJ1095" i="2" s="1"/>
  <c r="BL1095" i="2" s="1"/>
  <c r="BG1066" i="2"/>
  <c r="BH1066" i="2" s="1"/>
  <c r="BF1053" i="2"/>
  <c r="BJ1053" i="2" s="1"/>
  <c r="BL1053" i="2" s="1"/>
  <c r="BF1026" i="2"/>
  <c r="BJ1026" i="2" s="1"/>
  <c r="BL1026" i="2" s="1"/>
  <c r="BG1006" i="2"/>
  <c r="BH1006" i="2" s="1"/>
  <c r="BG972" i="2"/>
  <c r="BH972" i="2" s="1"/>
  <c r="BG966" i="2"/>
  <c r="BH966" i="2" s="1"/>
  <c r="BG960" i="2"/>
  <c r="BH960" i="2" s="1"/>
  <c r="BG954" i="2"/>
  <c r="BH954" i="2" s="1"/>
  <c r="BG948" i="2"/>
  <c r="BH948" i="2" s="1"/>
  <c r="BG1078" i="2"/>
  <c r="BH1078" i="2" s="1"/>
  <c r="BF1065" i="2"/>
  <c r="BJ1065" i="2" s="1"/>
  <c r="BL1065" i="2" s="1"/>
  <c r="BG1039" i="2"/>
  <c r="BH1039" i="2" s="1"/>
  <c r="BG1024" i="2"/>
  <c r="BH1024" i="2" s="1"/>
  <c r="BF1006" i="2"/>
  <c r="BJ1006" i="2" s="1"/>
  <c r="BL1006" i="2" s="1"/>
  <c r="BG1003" i="2"/>
  <c r="BH1003" i="2" s="1"/>
  <c r="BG1000" i="2"/>
  <c r="BH1000" i="2" s="1"/>
  <c r="BF972" i="2"/>
  <c r="BJ972" i="2" s="1"/>
  <c r="BL972" i="2" s="1"/>
  <c r="BF966" i="2"/>
  <c r="BJ966" i="2" s="1"/>
  <c r="BL966" i="2" s="1"/>
  <c r="BF960" i="2"/>
  <c r="BJ960" i="2" s="1"/>
  <c r="BL960" i="2" s="1"/>
  <c r="BF954" i="2"/>
  <c r="BJ954" i="2" s="1"/>
  <c r="BL954" i="2" s="1"/>
  <c r="BF948" i="2"/>
  <c r="BJ948" i="2" s="1"/>
  <c r="BL948" i="2" s="1"/>
  <c r="BF942" i="2"/>
  <c r="BJ942" i="2" s="1"/>
  <c r="BL942" i="2" s="1"/>
  <c r="BF936" i="2"/>
  <c r="BJ936" i="2" s="1"/>
  <c r="BL936" i="2" s="1"/>
  <c r="BG883" i="2"/>
  <c r="BH883" i="2" s="1"/>
  <c r="BG877" i="2"/>
  <c r="BH877" i="2" s="1"/>
  <c r="BG871" i="2"/>
  <c r="BH871" i="2" s="1"/>
  <c r="BG865" i="2"/>
  <c r="BH865" i="2" s="1"/>
  <c r="BG859" i="2"/>
  <c r="BH859" i="2" s="1"/>
  <c r="BG853" i="2"/>
  <c r="BH853" i="2" s="1"/>
  <c r="BG847" i="2"/>
  <c r="BH847" i="2" s="1"/>
  <c r="BG841" i="2"/>
  <c r="BH841" i="2" s="1"/>
  <c r="BG835" i="2"/>
  <c r="BH835" i="2" s="1"/>
  <c r="BG829" i="2"/>
  <c r="BH829" i="2" s="1"/>
  <c r="BG823" i="2"/>
  <c r="BH823" i="2" s="1"/>
  <c r="BG817" i="2"/>
  <c r="BH817" i="2" s="1"/>
  <c r="BG811" i="2"/>
  <c r="BH811" i="2" s="1"/>
  <c r="BF1024" i="2"/>
  <c r="BJ1024" i="2" s="1"/>
  <c r="BL1024" i="2" s="1"/>
  <c r="BG989" i="2"/>
  <c r="BH989" i="2" s="1"/>
  <c r="BG973" i="2"/>
  <c r="BH973" i="2" s="1"/>
  <c r="BF953" i="2"/>
  <c r="BJ953" i="2" s="1"/>
  <c r="BL953" i="2" s="1"/>
  <c r="BG905" i="2"/>
  <c r="BH905" i="2" s="1"/>
  <c r="BG901" i="2"/>
  <c r="BH901" i="2" s="1"/>
  <c r="BG897" i="2"/>
  <c r="BH897" i="2" s="1"/>
  <c r="BG893" i="2"/>
  <c r="BH893" i="2" s="1"/>
  <c r="BG889" i="2"/>
  <c r="BH889" i="2" s="1"/>
  <c r="BF883" i="2"/>
  <c r="BJ883" i="2" s="1"/>
  <c r="BL883" i="2" s="1"/>
  <c r="BF877" i="2"/>
  <c r="BJ877" i="2" s="1"/>
  <c r="BL877" i="2" s="1"/>
  <c r="BF871" i="2"/>
  <c r="BJ871" i="2" s="1"/>
  <c r="BL871" i="2" s="1"/>
  <c r="BF865" i="2"/>
  <c r="BJ865" i="2" s="1"/>
  <c r="BL865" i="2" s="1"/>
  <c r="BF859" i="2"/>
  <c r="BJ859" i="2" s="1"/>
  <c r="BL859" i="2" s="1"/>
  <c r="BF853" i="2"/>
  <c r="BJ853" i="2" s="1"/>
  <c r="BL853" i="2" s="1"/>
  <c r="BF847" i="2"/>
  <c r="BJ847" i="2" s="1"/>
  <c r="BL847" i="2" s="1"/>
  <c r="BF841" i="2"/>
  <c r="BJ841" i="2" s="1"/>
  <c r="BL841" i="2" s="1"/>
  <c r="BF835" i="2"/>
  <c r="BJ835" i="2" s="1"/>
  <c r="BL835" i="2" s="1"/>
  <c r="BF829" i="2"/>
  <c r="BJ829" i="2" s="1"/>
  <c r="BL829" i="2" s="1"/>
  <c r="BF823" i="2"/>
  <c r="BJ823" i="2" s="1"/>
  <c r="BL823" i="2" s="1"/>
  <c r="BF817" i="2"/>
  <c r="BJ817" i="2" s="1"/>
  <c r="BL817" i="2" s="1"/>
  <c r="BF811" i="2"/>
  <c r="BJ811" i="2" s="1"/>
  <c r="BL811" i="2" s="1"/>
  <c r="BF805" i="2"/>
  <c r="BJ805" i="2" s="1"/>
  <c r="BL805" i="2" s="1"/>
  <c r="BF799" i="2"/>
  <c r="BJ799" i="2" s="1"/>
  <c r="BL799" i="2" s="1"/>
  <c r="BG789" i="2"/>
  <c r="BH789" i="2" s="1"/>
  <c r="BF788" i="2"/>
  <c r="BJ788" i="2" s="1"/>
  <c r="BL788" i="2" s="1"/>
  <c r="BF1077" i="2"/>
  <c r="BJ1077" i="2" s="1"/>
  <c r="BL1077" i="2" s="1"/>
  <c r="BG930" i="2"/>
  <c r="BH930" i="2" s="1"/>
  <c r="BG927" i="2"/>
  <c r="BH927" i="2" s="1"/>
  <c r="BG924" i="2"/>
  <c r="BH924" i="2" s="1"/>
  <c r="BG921" i="2"/>
  <c r="BH921" i="2" s="1"/>
  <c r="BG918" i="2"/>
  <c r="BH918" i="2" s="1"/>
  <c r="BG915" i="2"/>
  <c r="BH915" i="2" s="1"/>
  <c r="BG912" i="2"/>
  <c r="BH912" i="2" s="1"/>
  <c r="BG909" i="2"/>
  <c r="BH909" i="2" s="1"/>
  <c r="BF905" i="2"/>
  <c r="BJ905" i="2" s="1"/>
  <c r="BL905" i="2" s="1"/>
  <c r="BF901" i="2"/>
  <c r="BJ901" i="2" s="1"/>
  <c r="BL901" i="2" s="1"/>
  <c r="BF897" i="2"/>
  <c r="BJ897" i="2" s="1"/>
  <c r="BL897" i="2" s="1"/>
  <c r="BF893" i="2"/>
  <c r="BJ893" i="2" s="1"/>
  <c r="BL893" i="2" s="1"/>
  <c r="BF889" i="2"/>
  <c r="BJ889" i="2" s="1"/>
  <c r="BL889" i="2" s="1"/>
  <c r="BG884" i="2"/>
  <c r="BH884" i="2" s="1"/>
  <c r="BG878" i="2"/>
  <c r="BH878" i="2" s="1"/>
  <c r="BG872" i="2"/>
  <c r="BH872" i="2" s="1"/>
  <c r="BG866" i="2"/>
  <c r="BH866" i="2" s="1"/>
  <c r="BF1003" i="2"/>
  <c r="BJ1003" i="2" s="1"/>
  <c r="BL1003" i="2" s="1"/>
  <c r="BG941" i="2"/>
  <c r="BH941" i="2" s="1"/>
  <c r="BG937" i="2"/>
  <c r="BH937" i="2" s="1"/>
  <c r="BG935" i="2"/>
  <c r="BH935" i="2" s="1"/>
  <c r="BG933" i="2"/>
  <c r="BH933" i="2" s="1"/>
  <c r="BF930" i="2"/>
  <c r="BJ930" i="2" s="1"/>
  <c r="BL930" i="2" s="1"/>
  <c r="BF927" i="2"/>
  <c r="BJ927" i="2" s="1"/>
  <c r="BL927" i="2" s="1"/>
  <c r="BF924" i="2"/>
  <c r="BJ924" i="2" s="1"/>
  <c r="BL924" i="2" s="1"/>
  <c r="BF921" i="2"/>
  <c r="BJ921" i="2" s="1"/>
  <c r="BL921" i="2" s="1"/>
  <c r="BF918" i="2"/>
  <c r="BJ918" i="2" s="1"/>
  <c r="BL918" i="2" s="1"/>
  <c r="BF915" i="2"/>
  <c r="BJ915" i="2" s="1"/>
  <c r="BL915" i="2" s="1"/>
  <c r="BF912" i="2"/>
  <c r="BJ912" i="2" s="1"/>
  <c r="BL912" i="2" s="1"/>
  <c r="BF909" i="2"/>
  <c r="BJ909" i="2" s="1"/>
  <c r="BL909" i="2" s="1"/>
  <c r="BF884" i="2"/>
  <c r="BJ884" i="2" s="1"/>
  <c r="BL884" i="2" s="1"/>
  <c r="BF878" i="2"/>
  <c r="BJ878" i="2" s="1"/>
  <c r="BL878" i="2" s="1"/>
  <c r="BF872" i="2"/>
  <c r="BJ872" i="2" s="1"/>
  <c r="BL872" i="2" s="1"/>
  <c r="BF866" i="2"/>
  <c r="BJ866" i="2" s="1"/>
  <c r="BL866" i="2" s="1"/>
  <c r="BF860" i="2"/>
  <c r="BJ860" i="2" s="1"/>
  <c r="BL860" i="2" s="1"/>
  <c r="BF854" i="2"/>
  <c r="BJ854" i="2" s="1"/>
  <c r="BL854" i="2" s="1"/>
  <c r="BF848" i="2"/>
  <c r="BJ848" i="2" s="1"/>
  <c r="BL848" i="2" s="1"/>
  <c r="BF842" i="2"/>
  <c r="BJ842" i="2" s="1"/>
  <c r="BL842" i="2" s="1"/>
  <c r="BF836" i="2"/>
  <c r="BJ836" i="2" s="1"/>
  <c r="BL836" i="2" s="1"/>
  <c r="BF830" i="2"/>
  <c r="BJ830" i="2" s="1"/>
  <c r="BL830" i="2" s="1"/>
  <c r="BF824" i="2"/>
  <c r="BJ824" i="2" s="1"/>
  <c r="BL824" i="2" s="1"/>
  <c r="BF818" i="2"/>
  <c r="BJ818" i="2" s="1"/>
  <c r="BL818" i="2" s="1"/>
  <c r="BF812" i="2"/>
  <c r="BJ812" i="2" s="1"/>
  <c r="BL812" i="2" s="1"/>
  <c r="BF806" i="2"/>
  <c r="BJ806" i="2" s="1"/>
  <c r="BL806" i="2" s="1"/>
  <c r="BF800" i="2"/>
  <c r="BJ800" i="2" s="1"/>
  <c r="BL800" i="2" s="1"/>
  <c r="BG791" i="2"/>
  <c r="BH791" i="2" s="1"/>
  <c r="BF790" i="2"/>
  <c r="BJ790" i="2" s="1"/>
  <c r="BL790" i="2" s="1"/>
  <c r="BG985" i="2"/>
  <c r="BH985" i="2" s="1"/>
  <c r="BG943" i="2"/>
  <c r="BH943" i="2" s="1"/>
  <c r="BF941" i="2"/>
  <c r="BJ941" i="2" s="1"/>
  <c r="BL941" i="2" s="1"/>
  <c r="BF935" i="2"/>
  <c r="BJ935" i="2" s="1"/>
  <c r="BL935" i="2" s="1"/>
  <c r="BF933" i="2"/>
  <c r="BJ933" i="2" s="1"/>
  <c r="BL933" i="2" s="1"/>
  <c r="BG906" i="2"/>
  <c r="BH906" i="2" s="1"/>
  <c r="BG902" i="2"/>
  <c r="BH902" i="2" s="1"/>
  <c r="BG898" i="2"/>
  <c r="BH898" i="2" s="1"/>
  <c r="BG894" i="2"/>
  <c r="BH894" i="2" s="1"/>
  <c r="BG890" i="2"/>
  <c r="BH890" i="2" s="1"/>
  <c r="BG885" i="2"/>
  <c r="BH885" i="2" s="1"/>
  <c r="BG879" i="2"/>
  <c r="BH879" i="2" s="1"/>
  <c r="BG873" i="2"/>
  <c r="BH873" i="2" s="1"/>
  <c r="BG867" i="2"/>
  <c r="BH867" i="2" s="1"/>
  <c r="BG861" i="2"/>
  <c r="BH861" i="2" s="1"/>
  <c r="BG855" i="2"/>
  <c r="BH855" i="2" s="1"/>
  <c r="BG849" i="2"/>
  <c r="BH849" i="2" s="1"/>
  <c r="BG843" i="2"/>
  <c r="BH843" i="2" s="1"/>
  <c r="BF1000" i="2"/>
  <c r="BJ1000" i="2" s="1"/>
  <c r="BL1000" i="2" s="1"/>
  <c r="BF906" i="2"/>
  <c r="BJ906" i="2" s="1"/>
  <c r="BL906" i="2" s="1"/>
  <c r="BF902" i="2"/>
  <c r="BJ902" i="2" s="1"/>
  <c r="BL902" i="2" s="1"/>
  <c r="BF898" i="2"/>
  <c r="BJ898" i="2" s="1"/>
  <c r="BL898" i="2" s="1"/>
  <c r="BF894" i="2"/>
  <c r="BJ894" i="2" s="1"/>
  <c r="BL894" i="2" s="1"/>
  <c r="BF890" i="2"/>
  <c r="BJ890" i="2" s="1"/>
  <c r="BL890" i="2" s="1"/>
  <c r="BF885" i="2"/>
  <c r="BJ885" i="2" s="1"/>
  <c r="BL885" i="2" s="1"/>
  <c r="BF879" i="2"/>
  <c r="BJ879" i="2" s="1"/>
  <c r="BL879" i="2" s="1"/>
  <c r="BF873" i="2"/>
  <c r="BJ873" i="2" s="1"/>
  <c r="BL873" i="2" s="1"/>
  <c r="BF867" i="2"/>
  <c r="BJ867" i="2" s="1"/>
  <c r="BL867" i="2" s="1"/>
  <c r="BF861" i="2"/>
  <c r="BJ861" i="2" s="1"/>
  <c r="BL861" i="2" s="1"/>
  <c r="BF855" i="2"/>
  <c r="BJ855" i="2" s="1"/>
  <c r="BL855" i="2" s="1"/>
  <c r="BF849" i="2"/>
  <c r="BJ849" i="2" s="1"/>
  <c r="BL849" i="2" s="1"/>
  <c r="BF843" i="2"/>
  <c r="BJ843" i="2" s="1"/>
  <c r="BL843" i="2" s="1"/>
  <c r="BG1016" i="2"/>
  <c r="BH1016" i="2" s="1"/>
  <c r="BG967" i="2"/>
  <c r="BH967" i="2" s="1"/>
  <c r="BF956" i="2"/>
  <c r="BJ956" i="2" s="1"/>
  <c r="BL956" i="2" s="1"/>
  <c r="BF947" i="2"/>
  <c r="BJ947" i="2" s="1"/>
  <c r="BL947" i="2" s="1"/>
  <c r="BG931" i="2"/>
  <c r="BH931" i="2" s="1"/>
  <c r="BG928" i="2"/>
  <c r="BH928" i="2" s="1"/>
  <c r="BG925" i="2"/>
  <c r="BH925" i="2" s="1"/>
  <c r="BG922" i="2"/>
  <c r="BH922" i="2" s="1"/>
  <c r="BG919" i="2"/>
  <c r="BH919" i="2" s="1"/>
  <c r="BG916" i="2"/>
  <c r="BH916" i="2" s="1"/>
  <c r="BG913" i="2"/>
  <c r="BH913" i="2" s="1"/>
  <c r="BG910" i="2"/>
  <c r="BH910" i="2" s="1"/>
  <c r="BG886" i="2"/>
  <c r="BH886" i="2" s="1"/>
  <c r="BG880" i="2"/>
  <c r="BH880" i="2" s="1"/>
  <c r="BG874" i="2"/>
  <c r="BH874" i="2" s="1"/>
  <c r="BG997" i="2"/>
  <c r="BH997" i="2" s="1"/>
  <c r="BG981" i="2"/>
  <c r="BH981" i="2" s="1"/>
  <c r="BF931" i="2"/>
  <c r="BJ931" i="2" s="1"/>
  <c r="BL931" i="2" s="1"/>
  <c r="BF928" i="2"/>
  <c r="BJ928" i="2" s="1"/>
  <c r="BL928" i="2" s="1"/>
  <c r="BF925" i="2"/>
  <c r="BJ925" i="2" s="1"/>
  <c r="BL925" i="2" s="1"/>
  <c r="BF922" i="2"/>
  <c r="BJ922" i="2" s="1"/>
  <c r="BL922" i="2" s="1"/>
  <c r="BF919" i="2"/>
  <c r="BJ919" i="2" s="1"/>
  <c r="BL919" i="2" s="1"/>
  <c r="BF916" i="2"/>
  <c r="BJ916" i="2" s="1"/>
  <c r="BL916" i="2" s="1"/>
  <c r="BF913" i="2"/>
  <c r="BJ913" i="2" s="1"/>
  <c r="BL913" i="2" s="1"/>
  <c r="BF910" i="2"/>
  <c r="BJ910" i="2" s="1"/>
  <c r="BL910" i="2" s="1"/>
  <c r="BG907" i="2"/>
  <c r="BH907" i="2" s="1"/>
  <c r="BG903" i="2"/>
  <c r="BH903" i="2" s="1"/>
  <c r="BG899" i="2"/>
  <c r="BH899" i="2" s="1"/>
  <c r="BG895" i="2"/>
  <c r="BH895" i="2" s="1"/>
  <c r="BG891" i="2"/>
  <c r="BH891" i="2" s="1"/>
  <c r="BF886" i="2"/>
  <c r="BJ886" i="2" s="1"/>
  <c r="BL886" i="2" s="1"/>
  <c r="BF880" i="2"/>
  <c r="BJ880" i="2" s="1"/>
  <c r="BL880" i="2" s="1"/>
  <c r="BF874" i="2"/>
  <c r="BJ874" i="2" s="1"/>
  <c r="BL874" i="2" s="1"/>
  <c r="BF868" i="2"/>
  <c r="BJ868" i="2" s="1"/>
  <c r="BL868" i="2" s="1"/>
  <c r="BF862" i="2"/>
  <c r="BJ862" i="2" s="1"/>
  <c r="BL862" i="2" s="1"/>
  <c r="BF856" i="2"/>
  <c r="BJ856" i="2" s="1"/>
  <c r="BL856" i="2" s="1"/>
  <c r="BG1013" i="2"/>
  <c r="BH1013" i="2" s="1"/>
  <c r="BG955" i="2"/>
  <c r="BH955" i="2" s="1"/>
  <c r="BG940" i="2"/>
  <c r="BH940" i="2" s="1"/>
  <c r="BF907" i="2"/>
  <c r="BJ907" i="2" s="1"/>
  <c r="BL907" i="2" s="1"/>
  <c r="BF903" i="2"/>
  <c r="BJ903" i="2" s="1"/>
  <c r="BL903" i="2" s="1"/>
  <c r="BF899" i="2"/>
  <c r="BJ899" i="2" s="1"/>
  <c r="BL899" i="2" s="1"/>
  <c r="BF895" i="2"/>
  <c r="BJ895" i="2" s="1"/>
  <c r="BL895" i="2" s="1"/>
  <c r="BF891" i="2"/>
  <c r="BJ891" i="2" s="1"/>
  <c r="BL891" i="2" s="1"/>
  <c r="BG887" i="2"/>
  <c r="BH887" i="2" s="1"/>
  <c r="BG881" i="2"/>
  <c r="BH881" i="2" s="1"/>
  <c r="BG875" i="2"/>
  <c r="BH875" i="2" s="1"/>
  <c r="BG869" i="2"/>
  <c r="BH869" i="2" s="1"/>
  <c r="BG863" i="2"/>
  <c r="BH863" i="2" s="1"/>
  <c r="BG857" i="2"/>
  <c r="BH857" i="2" s="1"/>
  <c r="BG851" i="2"/>
  <c r="BH851" i="2" s="1"/>
  <c r="BF950" i="2"/>
  <c r="BJ950" i="2" s="1"/>
  <c r="BL950" i="2" s="1"/>
  <c r="BG946" i="2"/>
  <c r="BH946" i="2" s="1"/>
  <c r="BF940" i="2"/>
  <c r="BJ940" i="2" s="1"/>
  <c r="BL940" i="2" s="1"/>
  <c r="BF938" i="2"/>
  <c r="BJ938" i="2" s="1"/>
  <c r="BL938" i="2" s="1"/>
  <c r="BG936" i="2"/>
  <c r="BH936" i="2" s="1"/>
  <c r="BG934" i="2"/>
  <c r="BH934" i="2" s="1"/>
  <c r="BF887" i="2"/>
  <c r="BJ887" i="2" s="1"/>
  <c r="BL887" i="2" s="1"/>
  <c r="BF881" i="2"/>
  <c r="BJ881" i="2" s="1"/>
  <c r="BL881" i="2" s="1"/>
  <c r="BF875" i="2"/>
  <c r="BJ875" i="2" s="1"/>
  <c r="BL875" i="2" s="1"/>
  <c r="BF869" i="2"/>
  <c r="BJ869" i="2" s="1"/>
  <c r="BL869" i="2" s="1"/>
  <c r="BF863" i="2"/>
  <c r="BJ863" i="2" s="1"/>
  <c r="BL863" i="2" s="1"/>
  <c r="BF857" i="2"/>
  <c r="BJ857" i="2" s="1"/>
  <c r="BL857" i="2" s="1"/>
  <c r="BF851" i="2"/>
  <c r="BJ851" i="2" s="1"/>
  <c r="BL851" i="2" s="1"/>
  <c r="BF845" i="2"/>
  <c r="BJ845" i="2" s="1"/>
  <c r="BL845" i="2" s="1"/>
  <c r="BG993" i="2"/>
  <c r="BH993" i="2" s="1"/>
  <c r="BG977" i="2"/>
  <c r="BH977" i="2" s="1"/>
  <c r="BF946" i="2"/>
  <c r="BJ946" i="2" s="1"/>
  <c r="BL946" i="2" s="1"/>
  <c r="BF944" i="2"/>
  <c r="BJ944" i="2" s="1"/>
  <c r="BL944" i="2" s="1"/>
  <c r="BG942" i="2"/>
  <c r="BH942" i="2" s="1"/>
  <c r="BF934" i="2"/>
  <c r="BJ934" i="2" s="1"/>
  <c r="BL934" i="2" s="1"/>
  <c r="BG932" i="2"/>
  <c r="BH932" i="2" s="1"/>
  <c r="BG929" i="2"/>
  <c r="BH929" i="2" s="1"/>
  <c r="BG926" i="2"/>
  <c r="BH926" i="2" s="1"/>
  <c r="BG923" i="2"/>
  <c r="BH923" i="2" s="1"/>
  <c r="BG920" i="2"/>
  <c r="BH920" i="2" s="1"/>
  <c r="BG917" i="2"/>
  <c r="BH917" i="2" s="1"/>
  <c r="BG914" i="2"/>
  <c r="BH914" i="2" s="1"/>
  <c r="BG911" i="2"/>
  <c r="BH911" i="2" s="1"/>
  <c r="BG908" i="2"/>
  <c r="BH908" i="2" s="1"/>
  <c r="BG904" i="2"/>
  <c r="BH904" i="2" s="1"/>
  <c r="BG900" i="2"/>
  <c r="BH900" i="2" s="1"/>
  <c r="BG896" i="2"/>
  <c r="BH896" i="2" s="1"/>
  <c r="BG892" i="2"/>
  <c r="BH892" i="2" s="1"/>
  <c r="BG888" i="2"/>
  <c r="BH888" i="2" s="1"/>
  <c r="BG882" i="2"/>
  <c r="BH882" i="2" s="1"/>
  <c r="BG876" i="2"/>
  <c r="BH876" i="2" s="1"/>
  <c r="BG870" i="2"/>
  <c r="BH870" i="2" s="1"/>
  <c r="BG864" i="2"/>
  <c r="BH864" i="2" s="1"/>
  <c r="BG858" i="2"/>
  <c r="BH858" i="2" s="1"/>
  <c r="BG852" i="2"/>
  <c r="BH852" i="2" s="1"/>
  <c r="BG846" i="2"/>
  <c r="BH846" i="2" s="1"/>
  <c r="BG840" i="2"/>
  <c r="BH840" i="2" s="1"/>
  <c r="BG834" i="2"/>
  <c r="BH834" i="2" s="1"/>
  <c r="BG828" i="2"/>
  <c r="BH828" i="2" s="1"/>
  <c r="BG822" i="2"/>
  <c r="BH822" i="2" s="1"/>
  <c r="BF917" i="2"/>
  <c r="BJ917" i="2" s="1"/>
  <c r="BL917" i="2" s="1"/>
  <c r="BF900" i="2"/>
  <c r="BJ900" i="2" s="1"/>
  <c r="BL900" i="2" s="1"/>
  <c r="BF826" i="2"/>
  <c r="BJ826" i="2" s="1"/>
  <c r="BL826" i="2" s="1"/>
  <c r="BG824" i="2"/>
  <c r="BH824" i="2" s="1"/>
  <c r="BF819" i="2"/>
  <c r="BJ819" i="2" s="1"/>
  <c r="BL819" i="2" s="1"/>
  <c r="BF816" i="2"/>
  <c r="BJ816" i="2" s="1"/>
  <c r="BL816" i="2" s="1"/>
  <c r="BG808" i="2"/>
  <c r="BH808" i="2" s="1"/>
  <c r="BG798" i="2"/>
  <c r="BH798" i="2" s="1"/>
  <c r="BG794" i="2"/>
  <c r="BH794" i="2" s="1"/>
  <c r="BF785" i="2"/>
  <c r="BJ785" i="2" s="1"/>
  <c r="BL785" i="2" s="1"/>
  <c r="BG779" i="2"/>
  <c r="BH779" i="2" s="1"/>
  <c r="BF778" i="2"/>
  <c r="BJ778" i="2" s="1"/>
  <c r="BL778" i="2" s="1"/>
  <c r="BG767" i="2"/>
  <c r="BH767" i="2" s="1"/>
  <c r="BF766" i="2"/>
  <c r="BJ766" i="2" s="1"/>
  <c r="BL766" i="2" s="1"/>
  <c r="BG755" i="2"/>
  <c r="BH755" i="2" s="1"/>
  <c r="BF754" i="2"/>
  <c r="BJ754" i="2" s="1"/>
  <c r="BL754" i="2" s="1"/>
  <c r="BG743" i="2"/>
  <c r="BH743" i="2" s="1"/>
  <c r="BF742" i="2"/>
  <c r="BJ742" i="2" s="1"/>
  <c r="BL742" i="2" s="1"/>
  <c r="BG731" i="2"/>
  <c r="BH731" i="2" s="1"/>
  <c r="BF730" i="2"/>
  <c r="BJ730" i="2" s="1"/>
  <c r="BL730" i="2" s="1"/>
  <c r="BF870" i="2"/>
  <c r="BJ870" i="2" s="1"/>
  <c r="BL870" i="2" s="1"/>
  <c r="BG854" i="2"/>
  <c r="BH854" i="2" s="1"/>
  <c r="BG842" i="2"/>
  <c r="BH842" i="2" s="1"/>
  <c r="BG833" i="2"/>
  <c r="BH833" i="2" s="1"/>
  <c r="BG831" i="2"/>
  <c r="BH831" i="2" s="1"/>
  <c r="BG814" i="2"/>
  <c r="BH814" i="2" s="1"/>
  <c r="BF808" i="2"/>
  <c r="BJ808" i="2" s="1"/>
  <c r="BL808" i="2" s="1"/>
  <c r="BF798" i="2"/>
  <c r="BJ798" i="2" s="1"/>
  <c r="BL798" i="2" s="1"/>
  <c r="BF794" i="2"/>
  <c r="BJ794" i="2" s="1"/>
  <c r="BL794" i="2" s="1"/>
  <c r="BG790" i="2"/>
  <c r="BH790" i="2" s="1"/>
  <c r="BG780" i="2"/>
  <c r="BH780" i="2" s="1"/>
  <c r="BF779" i="2"/>
  <c r="BJ779" i="2" s="1"/>
  <c r="BL779" i="2" s="1"/>
  <c r="BG768" i="2"/>
  <c r="BH768" i="2" s="1"/>
  <c r="BF767" i="2"/>
  <c r="BJ767" i="2" s="1"/>
  <c r="BL767" i="2" s="1"/>
  <c r="BG756" i="2"/>
  <c r="BH756" i="2" s="1"/>
  <c r="BF755" i="2"/>
  <c r="BJ755" i="2" s="1"/>
  <c r="BL755" i="2" s="1"/>
  <c r="BG744" i="2"/>
  <c r="BH744" i="2" s="1"/>
  <c r="BF743" i="2"/>
  <c r="BJ743" i="2" s="1"/>
  <c r="BL743" i="2" s="1"/>
  <c r="BG732" i="2"/>
  <c r="BH732" i="2" s="1"/>
  <c r="BF731" i="2"/>
  <c r="BJ731" i="2" s="1"/>
  <c r="BL731" i="2" s="1"/>
  <c r="BF932" i="2"/>
  <c r="BJ932" i="2" s="1"/>
  <c r="BL932" i="2" s="1"/>
  <c r="BF914" i="2"/>
  <c r="BJ914" i="2" s="1"/>
  <c r="BL914" i="2" s="1"/>
  <c r="BF882" i="2"/>
  <c r="BJ882" i="2" s="1"/>
  <c r="BL882" i="2" s="1"/>
  <c r="BF858" i="2"/>
  <c r="BJ858" i="2" s="1"/>
  <c r="BL858" i="2" s="1"/>
  <c r="BG850" i="2"/>
  <c r="BH850" i="2" s="1"/>
  <c r="BG844" i="2"/>
  <c r="BH844" i="2" s="1"/>
  <c r="BF833" i="2"/>
  <c r="BJ833" i="2" s="1"/>
  <c r="BL833" i="2" s="1"/>
  <c r="BF831" i="2"/>
  <c r="BJ831" i="2" s="1"/>
  <c r="BL831" i="2" s="1"/>
  <c r="BF814" i="2"/>
  <c r="BJ814" i="2" s="1"/>
  <c r="BL814" i="2" s="1"/>
  <c r="BG805" i="2"/>
  <c r="BH805" i="2" s="1"/>
  <c r="BG802" i="2"/>
  <c r="BH802" i="2" s="1"/>
  <c r="BG786" i="2"/>
  <c r="BH786" i="2" s="1"/>
  <c r="BG781" i="2"/>
  <c r="BH781" i="2" s="1"/>
  <c r="BF780" i="2"/>
  <c r="BJ780" i="2" s="1"/>
  <c r="BL780" i="2" s="1"/>
  <c r="BG769" i="2"/>
  <c r="BH769" i="2" s="1"/>
  <c r="BF768" i="2"/>
  <c r="BJ768" i="2" s="1"/>
  <c r="BL768" i="2" s="1"/>
  <c r="BG757" i="2"/>
  <c r="BH757" i="2" s="1"/>
  <c r="BF756" i="2"/>
  <c r="BJ756" i="2" s="1"/>
  <c r="BL756" i="2" s="1"/>
  <c r="BG745" i="2"/>
  <c r="BH745" i="2" s="1"/>
  <c r="BF744" i="2"/>
  <c r="BJ744" i="2" s="1"/>
  <c r="BL744" i="2" s="1"/>
  <c r="BF896" i="2"/>
  <c r="BJ896" i="2" s="1"/>
  <c r="BL896" i="2" s="1"/>
  <c r="BF850" i="2"/>
  <c r="BJ850" i="2" s="1"/>
  <c r="BL850" i="2" s="1"/>
  <c r="BF844" i="2"/>
  <c r="BJ844" i="2" s="1"/>
  <c r="BL844" i="2" s="1"/>
  <c r="BF840" i="2"/>
  <c r="BJ840" i="2" s="1"/>
  <c r="BL840" i="2" s="1"/>
  <c r="BG838" i="2"/>
  <c r="BH838" i="2" s="1"/>
  <c r="BF822" i="2"/>
  <c r="BJ822" i="2" s="1"/>
  <c r="BL822" i="2" s="1"/>
  <c r="BF802" i="2"/>
  <c r="BJ802" i="2" s="1"/>
  <c r="BL802" i="2" s="1"/>
  <c r="BG795" i="2"/>
  <c r="BH795" i="2" s="1"/>
  <c r="BF786" i="2"/>
  <c r="BJ786" i="2" s="1"/>
  <c r="BL786" i="2" s="1"/>
  <c r="BF781" i="2"/>
  <c r="BJ781" i="2" s="1"/>
  <c r="BL781" i="2" s="1"/>
  <c r="BG770" i="2"/>
  <c r="BH770" i="2" s="1"/>
  <c r="BF769" i="2"/>
  <c r="BJ769" i="2" s="1"/>
  <c r="BL769" i="2" s="1"/>
  <c r="BG758" i="2"/>
  <c r="BH758" i="2" s="1"/>
  <c r="BF757" i="2"/>
  <c r="BJ757" i="2" s="1"/>
  <c r="BL757" i="2" s="1"/>
  <c r="BG746" i="2"/>
  <c r="BH746" i="2" s="1"/>
  <c r="BF745" i="2"/>
  <c r="BJ745" i="2" s="1"/>
  <c r="BL745" i="2" s="1"/>
  <c r="BG734" i="2"/>
  <c r="BH734" i="2" s="1"/>
  <c r="BF733" i="2"/>
  <c r="BJ733" i="2" s="1"/>
  <c r="BL733" i="2" s="1"/>
  <c r="BG722" i="2"/>
  <c r="BH722" i="2" s="1"/>
  <c r="BF721" i="2"/>
  <c r="BJ721" i="2" s="1"/>
  <c r="BL721" i="2" s="1"/>
  <c r="BF720" i="2"/>
  <c r="BJ720" i="2" s="1"/>
  <c r="BL720" i="2" s="1"/>
  <c r="BF719" i="2"/>
  <c r="BJ719" i="2" s="1"/>
  <c r="BL719" i="2" s="1"/>
  <c r="BF718" i="2"/>
  <c r="BJ718" i="2" s="1"/>
  <c r="BL718" i="2" s="1"/>
  <c r="BF717" i="2"/>
  <c r="BJ717" i="2" s="1"/>
  <c r="BL717" i="2" s="1"/>
  <c r="BF716" i="2"/>
  <c r="BJ716" i="2" s="1"/>
  <c r="BL716" i="2" s="1"/>
  <c r="BF715" i="2"/>
  <c r="BJ715" i="2" s="1"/>
  <c r="BL715" i="2" s="1"/>
  <c r="BF714" i="2"/>
  <c r="BJ714" i="2" s="1"/>
  <c r="BL714" i="2" s="1"/>
  <c r="BF713" i="2"/>
  <c r="BJ713" i="2" s="1"/>
  <c r="BL713" i="2" s="1"/>
  <c r="BF712" i="2"/>
  <c r="BJ712" i="2" s="1"/>
  <c r="BL712" i="2" s="1"/>
  <c r="BF711" i="2"/>
  <c r="BJ711" i="2" s="1"/>
  <c r="BL711" i="2" s="1"/>
  <c r="BF710" i="2"/>
  <c r="BJ710" i="2" s="1"/>
  <c r="BL710" i="2" s="1"/>
  <c r="BF709" i="2"/>
  <c r="BJ709" i="2" s="1"/>
  <c r="BL709" i="2" s="1"/>
  <c r="BF708" i="2"/>
  <c r="BJ708" i="2" s="1"/>
  <c r="BL708" i="2" s="1"/>
  <c r="BF707" i="2"/>
  <c r="BJ707" i="2" s="1"/>
  <c r="BL707" i="2" s="1"/>
  <c r="BF706" i="2"/>
  <c r="BJ706" i="2" s="1"/>
  <c r="BL706" i="2" s="1"/>
  <c r="BF705" i="2"/>
  <c r="BJ705" i="2" s="1"/>
  <c r="BL705" i="2" s="1"/>
  <c r="BF704" i="2"/>
  <c r="BJ704" i="2" s="1"/>
  <c r="BL704" i="2" s="1"/>
  <c r="BF703" i="2"/>
  <c r="BJ703" i="2" s="1"/>
  <c r="BL703" i="2" s="1"/>
  <c r="BF702" i="2"/>
  <c r="BJ702" i="2" s="1"/>
  <c r="BL702" i="2" s="1"/>
  <c r="BF701" i="2"/>
  <c r="BJ701" i="2" s="1"/>
  <c r="BL701" i="2" s="1"/>
  <c r="BF700" i="2"/>
  <c r="BJ700" i="2" s="1"/>
  <c r="BL700" i="2" s="1"/>
  <c r="BF699" i="2"/>
  <c r="BJ699" i="2" s="1"/>
  <c r="BL699" i="2" s="1"/>
  <c r="BF698" i="2"/>
  <c r="BJ698" i="2" s="1"/>
  <c r="BL698" i="2" s="1"/>
  <c r="BF697" i="2"/>
  <c r="BJ697" i="2" s="1"/>
  <c r="BL697" i="2" s="1"/>
  <c r="BF696" i="2"/>
  <c r="BJ696" i="2" s="1"/>
  <c r="BL696" i="2" s="1"/>
  <c r="BF695" i="2"/>
  <c r="BJ695" i="2" s="1"/>
  <c r="BL695" i="2" s="1"/>
  <c r="BF694" i="2"/>
  <c r="BJ694" i="2" s="1"/>
  <c r="BL694" i="2" s="1"/>
  <c r="BF693" i="2"/>
  <c r="BJ693" i="2" s="1"/>
  <c r="BL693" i="2" s="1"/>
  <c r="BF692" i="2"/>
  <c r="BJ692" i="2" s="1"/>
  <c r="BL692" i="2" s="1"/>
  <c r="BF691" i="2"/>
  <c r="BJ691" i="2" s="1"/>
  <c r="BL691" i="2" s="1"/>
  <c r="BF690" i="2"/>
  <c r="BJ690" i="2" s="1"/>
  <c r="BL690" i="2" s="1"/>
  <c r="BF689" i="2"/>
  <c r="BJ689" i="2" s="1"/>
  <c r="BL689" i="2" s="1"/>
  <c r="BF688" i="2"/>
  <c r="BJ688" i="2" s="1"/>
  <c r="BL688" i="2" s="1"/>
  <c r="BF687" i="2"/>
  <c r="BJ687" i="2" s="1"/>
  <c r="BL687" i="2" s="1"/>
  <c r="BF686" i="2"/>
  <c r="BJ686" i="2" s="1"/>
  <c r="BL686" i="2" s="1"/>
  <c r="BF685" i="2"/>
  <c r="BJ685" i="2" s="1"/>
  <c r="BL685" i="2" s="1"/>
  <c r="BF684" i="2"/>
  <c r="BJ684" i="2" s="1"/>
  <c r="BL684" i="2" s="1"/>
  <c r="BF683" i="2"/>
  <c r="BJ683" i="2" s="1"/>
  <c r="BL683" i="2" s="1"/>
  <c r="BF682" i="2"/>
  <c r="BJ682" i="2" s="1"/>
  <c r="BL682" i="2" s="1"/>
  <c r="BF681" i="2"/>
  <c r="BJ681" i="2" s="1"/>
  <c r="BL681" i="2" s="1"/>
  <c r="BF680" i="2"/>
  <c r="BJ680" i="2" s="1"/>
  <c r="BL680" i="2" s="1"/>
  <c r="BG961" i="2"/>
  <c r="BH961" i="2" s="1"/>
  <c r="BF929" i="2"/>
  <c r="BJ929" i="2" s="1"/>
  <c r="BL929" i="2" s="1"/>
  <c r="BF911" i="2"/>
  <c r="BJ911" i="2" s="1"/>
  <c r="BL911" i="2" s="1"/>
  <c r="BG868" i="2"/>
  <c r="BH868" i="2" s="1"/>
  <c r="BG862" i="2"/>
  <c r="BH862" i="2" s="1"/>
  <c r="BF838" i="2"/>
  <c r="BJ838" i="2" s="1"/>
  <c r="BL838" i="2" s="1"/>
  <c r="BG836" i="2"/>
  <c r="BH836" i="2" s="1"/>
  <c r="BG820" i="2"/>
  <c r="BH820" i="2" s="1"/>
  <c r="BG812" i="2"/>
  <c r="BH812" i="2" s="1"/>
  <c r="BG809" i="2"/>
  <c r="BH809" i="2" s="1"/>
  <c r="BG799" i="2"/>
  <c r="BH799" i="2" s="1"/>
  <c r="BF795" i="2"/>
  <c r="BJ795" i="2" s="1"/>
  <c r="BL795" i="2" s="1"/>
  <c r="BF791" i="2"/>
  <c r="BJ791" i="2" s="1"/>
  <c r="BL791" i="2" s="1"/>
  <c r="BG782" i="2"/>
  <c r="BH782" i="2" s="1"/>
  <c r="BG771" i="2"/>
  <c r="BH771" i="2" s="1"/>
  <c r="BF770" i="2"/>
  <c r="BJ770" i="2" s="1"/>
  <c r="BL770" i="2" s="1"/>
  <c r="BG759" i="2"/>
  <c r="BH759" i="2" s="1"/>
  <c r="BF758" i="2"/>
  <c r="BJ758" i="2" s="1"/>
  <c r="BL758" i="2" s="1"/>
  <c r="BG827" i="2"/>
  <c r="BH827" i="2" s="1"/>
  <c r="BG825" i="2"/>
  <c r="BH825" i="2" s="1"/>
  <c r="BF820" i="2"/>
  <c r="BJ820" i="2" s="1"/>
  <c r="BL820" i="2" s="1"/>
  <c r="BF809" i="2"/>
  <c r="BJ809" i="2" s="1"/>
  <c r="BL809" i="2" s="1"/>
  <c r="BG806" i="2"/>
  <c r="BH806" i="2" s="1"/>
  <c r="BG787" i="2"/>
  <c r="BH787" i="2" s="1"/>
  <c r="BF782" i="2"/>
  <c r="BJ782" i="2" s="1"/>
  <c r="BL782" i="2" s="1"/>
  <c r="BG772" i="2"/>
  <c r="BH772" i="2" s="1"/>
  <c r="BF771" i="2"/>
  <c r="BJ771" i="2" s="1"/>
  <c r="BL771" i="2" s="1"/>
  <c r="BG760" i="2"/>
  <c r="BH760" i="2" s="1"/>
  <c r="BF759" i="2"/>
  <c r="BJ759" i="2" s="1"/>
  <c r="BL759" i="2" s="1"/>
  <c r="BG748" i="2"/>
  <c r="BH748" i="2" s="1"/>
  <c r="BF747" i="2"/>
  <c r="BJ747" i="2" s="1"/>
  <c r="BL747" i="2" s="1"/>
  <c r="BG949" i="2"/>
  <c r="BH949" i="2" s="1"/>
  <c r="BF926" i="2"/>
  <c r="BJ926" i="2" s="1"/>
  <c r="BL926" i="2" s="1"/>
  <c r="BF908" i="2"/>
  <c r="BJ908" i="2" s="1"/>
  <c r="BL908" i="2" s="1"/>
  <c r="BF892" i="2"/>
  <c r="BJ892" i="2" s="1"/>
  <c r="BL892" i="2" s="1"/>
  <c r="BF827" i="2"/>
  <c r="BJ827" i="2" s="1"/>
  <c r="BL827" i="2" s="1"/>
  <c r="BF825" i="2"/>
  <c r="BJ825" i="2" s="1"/>
  <c r="BL825" i="2" s="1"/>
  <c r="BG815" i="2"/>
  <c r="BH815" i="2" s="1"/>
  <c r="BG803" i="2"/>
  <c r="BH803" i="2" s="1"/>
  <c r="BG796" i="2"/>
  <c r="BH796" i="2" s="1"/>
  <c r="BG792" i="2"/>
  <c r="BH792" i="2" s="1"/>
  <c r="BF787" i="2"/>
  <c r="BJ787" i="2" s="1"/>
  <c r="BL787" i="2" s="1"/>
  <c r="BG783" i="2"/>
  <c r="BH783" i="2" s="1"/>
  <c r="BG773" i="2"/>
  <c r="BH773" i="2" s="1"/>
  <c r="BF772" i="2"/>
  <c r="BJ772" i="2" s="1"/>
  <c r="BL772" i="2" s="1"/>
  <c r="BG761" i="2"/>
  <c r="BH761" i="2" s="1"/>
  <c r="BF760" i="2"/>
  <c r="BJ760" i="2" s="1"/>
  <c r="BL760" i="2" s="1"/>
  <c r="BG749" i="2"/>
  <c r="BH749" i="2" s="1"/>
  <c r="BF748" i="2"/>
  <c r="BJ748" i="2" s="1"/>
  <c r="BL748" i="2" s="1"/>
  <c r="BF876" i="2"/>
  <c r="BJ876" i="2" s="1"/>
  <c r="BL876" i="2" s="1"/>
  <c r="BG856" i="2"/>
  <c r="BH856" i="2" s="1"/>
  <c r="BF846" i="2"/>
  <c r="BJ846" i="2" s="1"/>
  <c r="BL846" i="2" s="1"/>
  <c r="BF834" i="2"/>
  <c r="BJ834" i="2" s="1"/>
  <c r="BL834" i="2" s="1"/>
  <c r="BG832" i="2"/>
  <c r="BH832" i="2" s="1"/>
  <c r="BG818" i="2"/>
  <c r="BH818" i="2" s="1"/>
  <c r="BF815" i="2"/>
  <c r="BJ815" i="2" s="1"/>
  <c r="BL815" i="2" s="1"/>
  <c r="BF803" i="2"/>
  <c r="BJ803" i="2" s="1"/>
  <c r="BL803" i="2" s="1"/>
  <c r="BG800" i="2"/>
  <c r="BH800" i="2" s="1"/>
  <c r="BF796" i="2"/>
  <c r="BJ796" i="2" s="1"/>
  <c r="BL796" i="2" s="1"/>
  <c r="BF792" i="2"/>
  <c r="BJ792" i="2" s="1"/>
  <c r="BL792" i="2" s="1"/>
  <c r="BF783" i="2"/>
  <c r="BJ783" i="2" s="1"/>
  <c r="BL783" i="2" s="1"/>
  <c r="BG774" i="2"/>
  <c r="BH774" i="2" s="1"/>
  <c r="BF773" i="2"/>
  <c r="BJ773" i="2" s="1"/>
  <c r="BL773" i="2" s="1"/>
  <c r="BG762" i="2"/>
  <c r="BH762" i="2" s="1"/>
  <c r="BF761" i="2"/>
  <c r="BJ761" i="2" s="1"/>
  <c r="BL761" i="2" s="1"/>
  <c r="BG750" i="2"/>
  <c r="BH750" i="2" s="1"/>
  <c r="BF749" i="2"/>
  <c r="BJ749" i="2" s="1"/>
  <c r="BL749" i="2" s="1"/>
  <c r="BF923" i="2"/>
  <c r="BJ923" i="2" s="1"/>
  <c r="BL923" i="2" s="1"/>
  <c r="BF852" i="2"/>
  <c r="BJ852" i="2" s="1"/>
  <c r="BL852" i="2" s="1"/>
  <c r="BF832" i="2"/>
  <c r="BJ832" i="2" s="1"/>
  <c r="BL832" i="2" s="1"/>
  <c r="BG830" i="2"/>
  <c r="BH830" i="2" s="1"/>
  <c r="BG813" i="2"/>
  <c r="BH813" i="2" s="1"/>
  <c r="BG810" i="2"/>
  <c r="BH810" i="2" s="1"/>
  <c r="BG807" i="2"/>
  <c r="BH807" i="2" s="1"/>
  <c r="BG788" i="2"/>
  <c r="BH788" i="2" s="1"/>
  <c r="BG784" i="2"/>
  <c r="BH784" i="2" s="1"/>
  <c r="BG775" i="2"/>
  <c r="BH775" i="2" s="1"/>
  <c r="BF774" i="2"/>
  <c r="BJ774" i="2" s="1"/>
  <c r="BL774" i="2" s="1"/>
  <c r="BG763" i="2"/>
  <c r="BH763" i="2" s="1"/>
  <c r="BF762" i="2"/>
  <c r="BJ762" i="2" s="1"/>
  <c r="BL762" i="2" s="1"/>
  <c r="BG751" i="2"/>
  <c r="BH751" i="2" s="1"/>
  <c r="BF750" i="2"/>
  <c r="BJ750" i="2" s="1"/>
  <c r="BL750" i="2" s="1"/>
  <c r="BF904" i="2"/>
  <c r="BJ904" i="2" s="1"/>
  <c r="BL904" i="2" s="1"/>
  <c r="BF888" i="2"/>
  <c r="BJ888" i="2" s="1"/>
  <c r="BL888" i="2" s="1"/>
  <c r="BG860" i="2"/>
  <c r="BH860" i="2" s="1"/>
  <c r="BG839" i="2"/>
  <c r="BH839" i="2" s="1"/>
  <c r="BG837" i="2"/>
  <c r="BH837" i="2" s="1"/>
  <c r="BG821" i="2"/>
  <c r="BH821" i="2" s="1"/>
  <c r="BF813" i="2"/>
  <c r="BJ813" i="2" s="1"/>
  <c r="BL813" i="2" s="1"/>
  <c r="BF810" i="2"/>
  <c r="BJ810" i="2" s="1"/>
  <c r="BL810" i="2" s="1"/>
  <c r="BF807" i="2"/>
  <c r="BJ807" i="2" s="1"/>
  <c r="BL807" i="2" s="1"/>
  <c r="BG797" i="2"/>
  <c r="BH797" i="2" s="1"/>
  <c r="BG793" i="2"/>
  <c r="BH793" i="2" s="1"/>
  <c r="BF784" i="2"/>
  <c r="BJ784" i="2" s="1"/>
  <c r="BL784" i="2" s="1"/>
  <c r="BG776" i="2"/>
  <c r="BH776" i="2" s="1"/>
  <c r="BF775" i="2"/>
  <c r="BJ775" i="2" s="1"/>
  <c r="BL775" i="2" s="1"/>
  <c r="BG764" i="2"/>
  <c r="BH764" i="2" s="1"/>
  <c r="BF763" i="2"/>
  <c r="BJ763" i="2" s="1"/>
  <c r="BL763" i="2" s="1"/>
  <c r="BG752" i="2"/>
  <c r="BH752" i="2" s="1"/>
  <c r="BF751" i="2"/>
  <c r="BJ751" i="2" s="1"/>
  <c r="BL751" i="2" s="1"/>
  <c r="BF920" i="2"/>
  <c r="BJ920" i="2" s="1"/>
  <c r="BL920" i="2" s="1"/>
  <c r="BG848" i="2"/>
  <c r="BH848" i="2" s="1"/>
  <c r="BF839" i="2"/>
  <c r="BJ839" i="2" s="1"/>
  <c r="BL839" i="2" s="1"/>
  <c r="BF837" i="2"/>
  <c r="BJ837" i="2" s="1"/>
  <c r="BL837" i="2" s="1"/>
  <c r="BF821" i="2"/>
  <c r="BJ821" i="2" s="1"/>
  <c r="BL821" i="2" s="1"/>
  <c r="BG804" i="2"/>
  <c r="BH804" i="2" s="1"/>
  <c r="BG801" i="2"/>
  <c r="BH801" i="2" s="1"/>
  <c r="BF797" i="2"/>
  <c r="BJ797" i="2" s="1"/>
  <c r="BL797" i="2" s="1"/>
  <c r="BF793" i="2"/>
  <c r="BJ793" i="2" s="1"/>
  <c r="BL793" i="2" s="1"/>
  <c r="BG777" i="2"/>
  <c r="BH777" i="2" s="1"/>
  <c r="BF776" i="2"/>
  <c r="BJ776" i="2" s="1"/>
  <c r="BL776" i="2" s="1"/>
  <c r="BG765" i="2"/>
  <c r="BH765" i="2" s="1"/>
  <c r="BF764" i="2"/>
  <c r="BJ764" i="2" s="1"/>
  <c r="BL764" i="2" s="1"/>
  <c r="BG753" i="2"/>
  <c r="BH753" i="2" s="1"/>
  <c r="BF752" i="2"/>
  <c r="BJ752" i="2" s="1"/>
  <c r="BL752" i="2" s="1"/>
  <c r="BG741" i="2"/>
  <c r="BH741" i="2" s="1"/>
  <c r="BF740" i="2"/>
  <c r="BJ740" i="2" s="1"/>
  <c r="BL740" i="2" s="1"/>
  <c r="BG729" i="2"/>
  <c r="BH729" i="2" s="1"/>
  <c r="BF728" i="2"/>
  <c r="BJ728" i="2" s="1"/>
  <c r="BL728" i="2" s="1"/>
  <c r="BG819" i="2"/>
  <c r="BH819" i="2" s="1"/>
  <c r="BF801" i="2"/>
  <c r="BJ801" i="2" s="1"/>
  <c r="BL801" i="2" s="1"/>
  <c r="BG785" i="2"/>
  <c r="BH785" i="2" s="1"/>
  <c r="BG735" i="2"/>
  <c r="BH735" i="2" s="1"/>
  <c r="BG727" i="2"/>
  <c r="BH727" i="2" s="1"/>
  <c r="BF722" i="2"/>
  <c r="BJ722" i="2" s="1"/>
  <c r="BL722" i="2" s="1"/>
  <c r="BF679" i="2"/>
  <c r="BJ679" i="2" s="1"/>
  <c r="BL679" i="2" s="1"/>
  <c r="BF673" i="2"/>
  <c r="BJ673" i="2" s="1"/>
  <c r="BL673" i="2" s="1"/>
  <c r="BF667" i="2"/>
  <c r="BJ667" i="2" s="1"/>
  <c r="BL667" i="2" s="1"/>
  <c r="BF661" i="2"/>
  <c r="BJ661" i="2" s="1"/>
  <c r="BL661" i="2" s="1"/>
  <c r="BF655" i="2"/>
  <c r="BJ655" i="2" s="1"/>
  <c r="BL655" i="2" s="1"/>
  <c r="BF649" i="2"/>
  <c r="BJ649" i="2" s="1"/>
  <c r="BL649" i="2" s="1"/>
  <c r="BF643" i="2"/>
  <c r="BJ643" i="2" s="1"/>
  <c r="BL643" i="2" s="1"/>
  <c r="BF637" i="2"/>
  <c r="BJ637" i="2" s="1"/>
  <c r="BL637" i="2" s="1"/>
  <c r="BF631" i="2"/>
  <c r="BJ631" i="2" s="1"/>
  <c r="BL631" i="2" s="1"/>
  <c r="BF625" i="2"/>
  <c r="BJ625" i="2" s="1"/>
  <c r="BL625" i="2" s="1"/>
  <c r="BG615" i="2"/>
  <c r="BH615" i="2" s="1"/>
  <c r="BF614" i="2"/>
  <c r="BJ614" i="2" s="1"/>
  <c r="BL614" i="2" s="1"/>
  <c r="BF613" i="2"/>
  <c r="BJ613" i="2" s="1"/>
  <c r="BL613" i="2" s="1"/>
  <c r="BF612" i="2"/>
  <c r="BJ612" i="2" s="1"/>
  <c r="BL612" i="2" s="1"/>
  <c r="BF611" i="2"/>
  <c r="BJ611" i="2" s="1"/>
  <c r="BL611" i="2" s="1"/>
  <c r="BF610" i="2"/>
  <c r="BJ610" i="2" s="1"/>
  <c r="BL610" i="2" s="1"/>
  <c r="BF609" i="2"/>
  <c r="BJ609" i="2" s="1"/>
  <c r="BL609" i="2" s="1"/>
  <c r="BF608" i="2"/>
  <c r="BJ608" i="2" s="1"/>
  <c r="BL608" i="2" s="1"/>
  <c r="BF607" i="2"/>
  <c r="BJ607" i="2" s="1"/>
  <c r="BL607" i="2" s="1"/>
  <c r="BF606" i="2"/>
  <c r="BJ606" i="2" s="1"/>
  <c r="BL606" i="2" s="1"/>
  <c r="BF605" i="2"/>
  <c r="BJ605" i="2" s="1"/>
  <c r="BL605" i="2" s="1"/>
  <c r="BF604" i="2"/>
  <c r="BJ604" i="2" s="1"/>
  <c r="BL604" i="2" s="1"/>
  <c r="BF603" i="2"/>
  <c r="BJ603" i="2" s="1"/>
  <c r="BL603" i="2" s="1"/>
  <c r="BF602" i="2"/>
  <c r="BJ602" i="2" s="1"/>
  <c r="BL602" i="2" s="1"/>
  <c r="BF601" i="2"/>
  <c r="BJ601" i="2" s="1"/>
  <c r="BL601" i="2" s="1"/>
  <c r="BF600" i="2"/>
  <c r="BJ600" i="2" s="1"/>
  <c r="BL600" i="2" s="1"/>
  <c r="BF599" i="2"/>
  <c r="BJ599" i="2" s="1"/>
  <c r="BL599" i="2" s="1"/>
  <c r="BF598" i="2"/>
  <c r="BJ598" i="2" s="1"/>
  <c r="BL598" i="2" s="1"/>
  <c r="BF597" i="2"/>
  <c r="BJ597" i="2" s="1"/>
  <c r="BL597" i="2" s="1"/>
  <c r="BF596" i="2"/>
  <c r="BJ596" i="2" s="1"/>
  <c r="BL596" i="2" s="1"/>
  <c r="BF595" i="2"/>
  <c r="BJ595" i="2" s="1"/>
  <c r="BL595" i="2" s="1"/>
  <c r="BF594" i="2"/>
  <c r="BJ594" i="2" s="1"/>
  <c r="BL594" i="2" s="1"/>
  <c r="BG740" i="2"/>
  <c r="BH740" i="2" s="1"/>
  <c r="BF735" i="2"/>
  <c r="BJ735" i="2" s="1"/>
  <c r="BL735" i="2" s="1"/>
  <c r="BF727" i="2"/>
  <c r="BJ727" i="2" s="1"/>
  <c r="BL727" i="2" s="1"/>
  <c r="BG674" i="2"/>
  <c r="BH674" i="2" s="1"/>
  <c r="BG668" i="2"/>
  <c r="BH668" i="2" s="1"/>
  <c r="BG662" i="2"/>
  <c r="BH662" i="2" s="1"/>
  <c r="BG656" i="2"/>
  <c r="BH656" i="2" s="1"/>
  <c r="BG650" i="2"/>
  <c r="BH650" i="2" s="1"/>
  <c r="BG644" i="2"/>
  <c r="BH644" i="2" s="1"/>
  <c r="BG638" i="2"/>
  <c r="BH638" i="2" s="1"/>
  <c r="BG632" i="2"/>
  <c r="BH632" i="2" s="1"/>
  <c r="BG626" i="2"/>
  <c r="BH626" i="2" s="1"/>
  <c r="BG616" i="2"/>
  <c r="BH616" i="2" s="1"/>
  <c r="BF615" i="2"/>
  <c r="BJ615" i="2" s="1"/>
  <c r="BL615" i="2" s="1"/>
  <c r="BG816" i="2"/>
  <c r="BH816" i="2" s="1"/>
  <c r="BG747" i="2"/>
  <c r="BH747" i="2" s="1"/>
  <c r="BG730" i="2"/>
  <c r="BH730" i="2" s="1"/>
  <c r="BG725" i="2"/>
  <c r="BH725" i="2" s="1"/>
  <c r="BG692" i="2"/>
  <c r="BH692" i="2" s="1"/>
  <c r="BG688" i="2"/>
  <c r="BH688" i="2" s="1"/>
  <c r="BG684" i="2"/>
  <c r="BH684" i="2" s="1"/>
  <c r="BG680" i="2"/>
  <c r="BH680" i="2" s="1"/>
  <c r="BF674" i="2"/>
  <c r="BJ674" i="2" s="1"/>
  <c r="BL674" i="2" s="1"/>
  <c r="BF668" i="2"/>
  <c r="BJ668" i="2" s="1"/>
  <c r="BL668" i="2" s="1"/>
  <c r="BF662" i="2"/>
  <c r="BJ662" i="2" s="1"/>
  <c r="BL662" i="2" s="1"/>
  <c r="BF656" i="2"/>
  <c r="BJ656" i="2" s="1"/>
  <c r="BL656" i="2" s="1"/>
  <c r="BF650" i="2"/>
  <c r="BJ650" i="2" s="1"/>
  <c r="BL650" i="2" s="1"/>
  <c r="BF644" i="2"/>
  <c r="BJ644" i="2" s="1"/>
  <c r="BL644" i="2" s="1"/>
  <c r="BF638" i="2"/>
  <c r="BJ638" i="2" s="1"/>
  <c r="BL638" i="2" s="1"/>
  <c r="BF632" i="2"/>
  <c r="BJ632" i="2" s="1"/>
  <c r="BL632" i="2" s="1"/>
  <c r="BF626" i="2"/>
  <c r="BJ626" i="2" s="1"/>
  <c r="BL626" i="2" s="1"/>
  <c r="BG617" i="2"/>
  <c r="BH617" i="2" s="1"/>
  <c r="BF616" i="2"/>
  <c r="BJ616" i="2" s="1"/>
  <c r="BL616" i="2" s="1"/>
  <c r="BG738" i="2"/>
  <c r="BH738" i="2" s="1"/>
  <c r="BG733" i="2"/>
  <c r="BH733" i="2" s="1"/>
  <c r="BF725" i="2"/>
  <c r="BJ725" i="2" s="1"/>
  <c r="BL725" i="2" s="1"/>
  <c r="BG720" i="2"/>
  <c r="BH720" i="2" s="1"/>
  <c r="BG717" i="2"/>
  <c r="BH717" i="2" s="1"/>
  <c r="BG714" i="2"/>
  <c r="BH714" i="2" s="1"/>
  <c r="BG711" i="2"/>
  <c r="BH711" i="2" s="1"/>
  <c r="BG708" i="2"/>
  <c r="BH708" i="2" s="1"/>
  <c r="BG705" i="2"/>
  <c r="BH705" i="2" s="1"/>
  <c r="BG702" i="2"/>
  <c r="BH702" i="2" s="1"/>
  <c r="BG699" i="2"/>
  <c r="BH699" i="2" s="1"/>
  <c r="BG696" i="2"/>
  <c r="BH696" i="2" s="1"/>
  <c r="BG675" i="2"/>
  <c r="BH675" i="2" s="1"/>
  <c r="BG669" i="2"/>
  <c r="BH669" i="2" s="1"/>
  <c r="BG663" i="2"/>
  <c r="BH663" i="2" s="1"/>
  <c r="BG657" i="2"/>
  <c r="BH657" i="2" s="1"/>
  <c r="BG651" i="2"/>
  <c r="BH651" i="2" s="1"/>
  <c r="BG645" i="2"/>
  <c r="BH645" i="2" s="1"/>
  <c r="BG639" i="2"/>
  <c r="BH639" i="2" s="1"/>
  <c r="BG633" i="2"/>
  <c r="BH633" i="2" s="1"/>
  <c r="BG627" i="2"/>
  <c r="BH627" i="2" s="1"/>
  <c r="BG618" i="2"/>
  <c r="BH618" i="2" s="1"/>
  <c r="BF617" i="2"/>
  <c r="BJ617" i="2" s="1"/>
  <c r="BL617" i="2" s="1"/>
  <c r="BG754" i="2"/>
  <c r="BH754" i="2" s="1"/>
  <c r="BF746" i="2"/>
  <c r="BJ746" i="2" s="1"/>
  <c r="BL746" i="2" s="1"/>
  <c r="BF738" i="2"/>
  <c r="BJ738" i="2" s="1"/>
  <c r="BL738" i="2" s="1"/>
  <c r="BG723" i="2"/>
  <c r="BH723" i="2" s="1"/>
  <c r="BF675" i="2"/>
  <c r="BJ675" i="2" s="1"/>
  <c r="BL675" i="2" s="1"/>
  <c r="BF669" i="2"/>
  <c r="BJ669" i="2" s="1"/>
  <c r="BL669" i="2" s="1"/>
  <c r="BF663" i="2"/>
  <c r="BJ663" i="2" s="1"/>
  <c r="BL663" i="2" s="1"/>
  <c r="BF657" i="2"/>
  <c r="BJ657" i="2" s="1"/>
  <c r="BL657" i="2" s="1"/>
  <c r="BF651" i="2"/>
  <c r="BJ651" i="2" s="1"/>
  <c r="BL651" i="2" s="1"/>
  <c r="BF645" i="2"/>
  <c r="BJ645" i="2" s="1"/>
  <c r="BL645" i="2" s="1"/>
  <c r="BF639" i="2"/>
  <c r="BJ639" i="2" s="1"/>
  <c r="BL639" i="2" s="1"/>
  <c r="BF633" i="2"/>
  <c r="BJ633" i="2" s="1"/>
  <c r="BL633" i="2" s="1"/>
  <c r="BF627" i="2"/>
  <c r="BJ627" i="2" s="1"/>
  <c r="BL627" i="2" s="1"/>
  <c r="BG619" i="2"/>
  <c r="BH619" i="2" s="1"/>
  <c r="BF618" i="2"/>
  <c r="BJ618" i="2" s="1"/>
  <c r="BL618" i="2" s="1"/>
  <c r="BF864" i="2"/>
  <c r="BJ864" i="2" s="1"/>
  <c r="BL864" i="2" s="1"/>
  <c r="BG766" i="2"/>
  <c r="BH766" i="2" s="1"/>
  <c r="BF753" i="2"/>
  <c r="BJ753" i="2" s="1"/>
  <c r="BL753" i="2" s="1"/>
  <c r="BG736" i="2"/>
  <c r="BH736" i="2" s="1"/>
  <c r="BG728" i="2"/>
  <c r="BH728" i="2" s="1"/>
  <c r="BF723" i="2"/>
  <c r="BJ723" i="2" s="1"/>
  <c r="BL723" i="2" s="1"/>
  <c r="BG693" i="2"/>
  <c r="BH693" i="2" s="1"/>
  <c r="BG689" i="2"/>
  <c r="BH689" i="2" s="1"/>
  <c r="BG685" i="2"/>
  <c r="BH685" i="2" s="1"/>
  <c r="BG681" i="2"/>
  <c r="BH681" i="2" s="1"/>
  <c r="BG676" i="2"/>
  <c r="BH676" i="2" s="1"/>
  <c r="BG670" i="2"/>
  <c r="BH670" i="2" s="1"/>
  <c r="BG664" i="2"/>
  <c r="BH664" i="2" s="1"/>
  <c r="BG658" i="2"/>
  <c r="BH658" i="2" s="1"/>
  <c r="BG652" i="2"/>
  <c r="BH652" i="2" s="1"/>
  <c r="BG646" i="2"/>
  <c r="BH646" i="2" s="1"/>
  <c r="BG640" i="2"/>
  <c r="BH640" i="2" s="1"/>
  <c r="BG634" i="2"/>
  <c r="BH634" i="2" s="1"/>
  <c r="BG628" i="2"/>
  <c r="BH628" i="2" s="1"/>
  <c r="BG620" i="2"/>
  <c r="BH620" i="2" s="1"/>
  <c r="BF619" i="2"/>
  <c r="BJ619" i="2" s="1"/>
  <c r="BL619" i="2" s="1"/>
  <c r="BG778" i="2"/>
  <c r="BH778" i="2" s="1"/>
  <c r="BF765" i="2"/>
  <c r="BJ765" i="2" s="1"/>
  <c r="BL765" i="2" s="1"/>
  <c r="BF741" i="2"/>
  <c r="BJ741" i="2" s="1"/>
  <c r="BL741" i="2" s="1"/>
  <c r="BF736" i="2"/>
  <c r="BJ736" i="2" s="1"/>
  <c r="BL736" i="2" s="1"/>
  <c r="BF676" i="2"/>
  <c r="BJ676" i="2" s="1"/>
  <c r="BL676" i="2" s="1"/>
  <c r="BF670" i="2"/>
  <c r="BJ670" i="2" s="1"/>
  <c r="BL670" i="2" s="1"/>
  <c r="BF664" i="2"/>
  <c r="BJ664" i="2" s="1"/>
  <c r="BL664" i="2" s="1"/>
  <c r="BF658" i="2"/>
  <c r="BJ658" i="2" s="1"/>
  <c r="BL658" i="2" s="1"/>
  <c r="BF652" i="2"/>
  <c r="BJ652" i="2" s="1"/>
  <c r="BL652" i="2" s="1"/>
  <c r="BF646" i="2"/>
  <c r="BJ646" i="2" s="1"/>
  <c r="BL646" i="2" s="1"/>
  <c r="BF640" i="2"/>
  <c r="BJ640" i="2" s="1"/>
  <c r="BL640" i="2" s="1"/>
  <c r="BF634" i="2"/>
  <c r="BJ634" i="2" s="1"/>
  <c r="BL634" i="2" s="1"/>
  <c r="BF628" i="2"/>
  <c r="BJ628" i="2" s="1"/>
  <c r="BL628" i="2" s="1"/>
  <c r="BG621" i="2"/>
  <c r="BH621" i="2" s="1"/>
  <c r="BF620" i="2"/>
  <c r="BJ620" i="2" s="1"/>
  <c r="BL620" i="2" s="1"/>
  <c r="BF828" i="2"/>
  <c r="BJ828" i="2" s="1"/>
  <c r="BL828" i="2" s="1"/>
  <c r="BF777" i="2"/>
  <c r="BJ777" i="2" s="1"/>
  <c r="BL777" i="2" s="1"/>
  <c r="BG726" i="2"/>
  <c r="BH726" i="2" s="1"/>
  <c r="BG721" i="2"/>
  <c r="BH721" i="2" s="1"/>
  <c r="BG718" i="2"/>
  <c r="BH718" i="2" s="1"/>
  <c r="BG715" i="2"/>
  <c r="BH715" i="2" s="1"/>
  <c r="BG712" i="2"/>
  <c r="BH712" i="2" s="1"/>
  <c r="BG709" i="2"/>
  <c r="BH709" i="2" s="1"/>
  <c r="BG706" i="2"/>
  <c r="BH706" i="2" s="1"/>
  <c r="BG703" i="2"/>
  <c r="BH703" i="2" s="1"/>
  <c r="BG700" i="2"/>
  <c r="BH700" i="2" s="1"/>
  <c r="BG697" i="2"/>
  <c r="BH697" i="2" s="1"/>
  <c r="BG677" i="2"/>
  <c r="BH677" i="2" s="1"/>
  <c r="BG671" i="2"/>
  <c r="BH671" i="2" s="1"/>
  <c r="BG665" i="2"/>
  <c r="BH665" i="2" s="1"/>
  <c r="BG659" i="2"/>
  <c r="BH659" i="2" s="1"/>
  <c r="BG653" i="2"/>
  <c r="BH653" i="2" s="1"/>
  <c r="BG647" i="2"/>
  <c r="BH647" i="2" s="1"/>
  <c r="BG641" i="2"/>
  <c r="BH641" i="2" s="1"/>
  <c r="BG635" i="2"/>
  <c r="BH635" i="2" s="1"/>
  <c r="BG629" i="2"/>
  <c r="BH629" i="2" s="1"/>
  <c r="BG622" i="2"/>
  <c r="BH622" i="2" s="1"/>
  <c r="BF621" i="2"/>
  <c r="BJ621" i="2" s="1"/>
  <c r="BL621" i="2" s="1"/>
  <c r="BG826" i="2"/>
  <c r="BH826" i="2" s="1"/>
  <c r="BG739" i="2"/>
  <c r="BH739" i="2" s="1"/>
  <c r="BF734" i="2"/>
  <c r="BJ734" i="2" s="1"/>
  <c r="BL734" i="2" s="1"/>
  <c r="BF726" i="2"/>
  <c r="BJ726" i="2" s="1"/>
  <c r="BL726" i="2" s="1"/>
  <c r="BG694" i="2"/>
  <c r="BH694" i="2" s="1"/>
  <c r="BG690" i="2"/>
  <c r="BH690" i="2" s="1"/>
  <c r="BG686" i="2"/>
  <c r="BH686" i="2" s="1"/>
  <c r="BG682" i="2"/>
  <c r="BH682" i="2" s="1"/>
  <c r="BF677" i="2"/>
  <c r="BJ677" i="2" s="1"/>
  <c r="BL677" i="2" s="1"/>
  <c r="BF671" i="2"/>
  <c r="BJ671" i="2" s="1"/>
  <c r="BL671" i="2" s="1"/>
  <c r="BF665" i="2"/>
  <c r="BJ665" i="2" s="1"/>
  <c r="BL665" i="2" s="1"/>
  <c r="BF659" i="2"/>
  <c r="BJ659" i="2" s="1"/>
  <c r="BL659" i="2" s="1"/>
  <c r="BF653" i="2"/>
  <c r="BJ653" i="2" s="1"/>
  <c r="BL653" i="2" s="1"/>
  <c r="BF647" i="2"/>
  <c r="BJ647" i="2" s="1"/>
  <c r="BL647" i="2" s="1"/>
  <c r="BF641" i="2"/>
  <c r="BJ641" i="2" s="1"/>
  <c r="BL641" i="2" s="1"/>
  <c r="BF635" i="2"/>
  <c r="BJ635" i="2" s="1"/>
  <c r="BL635" i="2" s="1"/>
  <c r="BF629" i="2"/>
  <c r="BJ629" i="2" s="1"/>
  <c r="BL629" i="2" s="1"/>
  <c r="BG623" i="2"/>
  <c r="BH623" i="2" s="1"/>
  <c r="BF622" i="2"/>
  <c r="BJ622" i="2" s="1"/>
  <c r="BL622" i="2" s="1"/>
  <c r="BF789" i="2"/>
  <c r="BJ789" i="2" s="1"/>
  <c r="BL789" i="2" s="1"/>
  <c r="BF739" i="2"/>
  <c r="BJ739" i="2" s="1"/>
  <c r="BL739" i="2" s="1"/>
  <c r="BG724" i="2"/>
  <c r="BH724" i="2" s="1"/>
  <c r="BG678" i="2"/>
  <c r="BH678" i="2" s="1"/>
  <c r="BG672" i="2"/>
  <c r="BH672" i="2" s="1"/>
  <c r="BG666" i="2"/>
  <c r="BH666" i="2" s="1"/>
  <c r="BG660" i="2"/>
  <c r="BH660" i="2" s="1"/>
  <c r="BG654" i="2"/>
  <c r="BH654" i="2" s="1"/>
  <c r="BG648" i="2"/>
  <c r="BH648" i="2" s="1"/>
  <c r="BG642" i="2"/>
  <c r="BH642" i="2" s="1"/>
  <c r="BG636" i="2"/>
  <c r="BH636" i="2" s="1"/>
  <c r="BG630" i="2"/>
  <c r="BH630" i="2" s="1"/>
  <c r="BG624" i="2"/>
  <c r="BH624" i="2" s="1"/>
  <c r="BF623" i="2"/>
  <c r="BJ623" i="2" s="1"/>
  <c r="BL623" i="2" s="1"/>
  <c r="BG845" i="2"/>
  <c r="BH845" i="2" s="1"/>
  <c r="BF804" i="2"/>
  <c r="BJ804" i="2" s="1"/>
  <c r="BL804" i="2" s="1"/>
  <c r="BG742" i="2"/>
  <c r="BH742" i="2" s="1"/>
  <c r="BG737" i="2"/>
  <c r="BH737" i="2" s="1"/>
  <c r="BF729" i="2"/>
  <c r="BJ729" i="2" s="1"/>
  <c r="BL729" i="2" s="1"/>
  <c r="BF724" i="2"/>
  <c r="BJ724" i="2" s="1"/>
  <c r="BL724" i="2" s="1"/>
  <c r="BF678" i="2"/>
  <c r="BJ678" i="2" s="1"/>
  <c r="BL678" i="2" s="1"/>
  <c r="BF672" i="2"/>
  <c r="BJ672" i="2" s="1"/>
  <c r="BL672" i="2" s="1"/>
  <c r="BF666" i="2"/>
  <c r="BJ666" i="2" s="1"/>
  <c r="BL666" i="2" s="1"/>
  <c r="BF660" i="2"/>
  <c r="BJ660" i="2" s="1"/>
  <c r="BL660" i="2" s="1"/>
  <c r="BF654" i="2"/>
  <c r="BJ654" i="2" s="1"/>
  <c r="BL654" i="2" s="1"/>
  <c r="BF648" i="2"/>
  <c r="BJ648" i="2" s="1"/>
  <c r="BL648" i="2" s="1"/>
  <c r="BF642" i="2"/>
  <c r="BJ642" i="2" s="1"/>
  <c r="BL642" i="2" s="1"/>
  <c r="BF636" i="2"/>
  <c r="BJ636" i="2" s="1"/>
  <c r="BL636" i="2" s="1"/>
  <c r="BF630" i="2"/>
  <c r="BJ630" i="2" s="1"/>
  <c r="BL630" i="2" s="1"/>
  <c r="BF624" i="2"/>
  <c r="BJ624" i="2" s="1"/>
  <c r="BL624" i="2" s="1"/>
  <c r="BG716" i="2"/>
  <c r="BH716" i="2" s="1"/>
  <c r="BG698" i="2"/>
  <c r="BH698" i="2" s="1"/>
  <c r="BG667" i="2"/>
  <c r="BH667" i="2" s="1"/>
  <c r="BG611" i="2"/>
  <c r="BH611" i="2" s="1"/>
  <c r="BG589" i="2"/>
  <c r="BH589" i="2" s="1"/>
  <c r="BG586" i="2"/>
  <c r="BH586" i="2" s="1"/>
  <c r="BG583" i="2"/>
  <c r="BH583" i="2" s="1"/>
  <c r="BG580" i="2"/>
  <c r="BH580" i="2" s="1"/>
  <c r="BG577" i="2"/>
  <c r="BH577" i="2" s="1"/>
  <c r="BG574" i="2"/>
  <c r="BH574" i="2" s="1"/>
  <c r="BG571" i="2"/>
  <c r="BH571" i="2" s="1"/>
  <c r="BG568" i="2"/>
  <c r="BH568" i="2" s="1"/>
  <c r="BG565" i="2"/>
  <c r="BH565" i="2" s="1"/>
  <c r="BG562" i="2"/>
  <c r="BH562" i="2" s="1"/>
  <c r="BG559" i="2"/>
  <c r="BH559" i="2" s="1"/>
  <c r="BG556" i="2"/>
  <c r="BH556" i="2" s="1"/>
  <c r="BG550" i="2"/>
  <c r="BH550" i="2" s="1"/>
  <c r="BG544" i="2"/>
  <c r="BH544" i="2" s="1"/>
  <c r="BG538" i="2"/>
  <c r="BH538" i="2" s="1"/>
  <c r="BG532" i="2"/>
  <c r="BH532" i="2" s="1"/>
  <c r="BG526" i="2"/>
  <c r="BH526" i="2" s="1"/>
  <c r="BG520" i="2"/>
  <c r="BH520" i="2" s="1"/>
  <c r="BG514" i="2"/>
  <c r="BH514" i="2" s="1"/>
  <c r="BG508" i="2"/>
  <c r="BH508" i="2" s="1"/>
  <c r="BG502" i="2"/>
  <c r="BH502" i="2" s="1"/>
  <c r="BG496" i="2"/>
  <c r="BH496" i="2" s="1"/>
  <c r="BG490" i="2"/>
  <c r="BH490" i="2" s="1"/>
  <c r="BG484" i="2"/>
  <c r="BH484" i="2" s="1"/>
  <c r="BG478" i="2"/>
  <c r="BH478" i="2" s="1"/>
  <c r="BG472" i="2"/>
  <c r="BH472" i="2" s="1"/>
  <c r="BG466" i="2"/>
  <c r="BH466" i="2" s="1"/>
  <c r="BG460" i="2"/>
  <c r="BH460" i="2" s="1"/>
  <c r="BG454" i="2"/>
  <c r="BH454" i="2" s="1"/>
  <c r="BG448" i="2"/>
  <c r="BH448" i="2" s="1"/>
  <c r="BG442" i="2"/>
  <c r="BH442" i="2" s="1"/>
  <c r="BG436" i="2"/>
  <c r="BH436" i="2" s="1"/>
  <c r="BG430" i="2"/>
  <c r="BH430" i="2" s="1"/>
  <c r="BG424" i="2"/>
  <c r="BH424" i="2" s="1"/>
  <c r="BG637" i="2"/>
  <c r="BH637" i="2" s="1"/>
  <c r="BG610" i="2"/>
  <c r="BH610" i="2" s="1"/>
  <c r="BF589" i="2"/>
  <c r="BJ589" i="2" s="1"/>
  <c r="BL589" i="2" s="1"/>
  <c r="BF586" i="2"/>
  <c r="BJ586" i="2" s="1"/>
  <c r="BL586" i="2" s="1"/>
  <c r="BF583" i="2"/>
  <c r="BJ583" i="2" s="1"/>
  <c r="BL583" i="2" s="1"/>
  <c r="BF580" i="2"/>
  <c r="BJ580" i="2" s="1"/>
  <c r="BL580" i="2" s="1"/>
  <c r="BF577" i="2"/>
  <c r="BJ577" i="2" s="1"/>
  <c r="BL577" i="2" s="1"/>
  <c r="BF574" i="2"/>
  <c r="BJ574" i="2" s="1"/>
  <c r="BL574" i="2" s="1"/>
  <c r="BF571" i="2"/>
  <c r="BJ571" i="2" s="1"/>
  <c r="BL571" i="2" s="1"/>
  <c r="BF568" i="2"/>
  <c r="BJ568" i="2" s="1"/>
  <c r="BL568" i="2" s="1"/>
  <c r="BF565" i="2"/>
  <c r="BJ565" i="2" s="1"/>
  <c r="BL565" i="2" s="1"/>
  <c r="BF562" i="2"/>
  <c r="BJ562" i="2" s="1"/>
  <c r="BL562" i="2" s="1"/>
  <c r="BF559" i="2"/>
  <c r="BJ559" i="2" s="1"/>
  <c r="BL559" i="2" s="1"/>
  <c r="BF556" i="2"/>
  <c r="BJ556" i="2" s="1"/>
  <c r="BL556" i="2" s="1"/>
  <c r="BF550" i="2"/>
  <c r="BJ550" i="2" s="1"/>
  <c r="BL550" i="2" s="1"/>
  <c r="BF544" i="2"/>
  <c r="BJ544" i="2" s="1"/>
  <c r="BL544" i="2" s="1"/>
  <c r="BF538" i="2"/>
  <c r="BJ538" i="2" s="1"/>
  <c r="BL538" i="2" s="1"/>
  <c r="BF532" i="2"/>
  <c r="BJ532" i="2" s="1"/>
  <c r="BL532" i="2" s="1"/>
  <c r="BF526" i="2"/>
  <c r="BJ526" i="2" s="1"/>
  <c r="BL526" i="2" s="1"/>
  <c r="BF520" i="2"/>
  <c r="BJ520" i="2" s="1"/>
  <c r="BL520" i="2" s="1"/>
  <c r="BF514" i="2"/>
  <c r="BJ514" i="2" s="1"/>
  <c r="BL514" i="2" s="1"/>
  <c r="BF508" i="2"/>
  <c r="BJ508" i="2" s="1"/>
  <c r="BL508" i="2" s="1"/>
  <c r="BF502" i="2"/>
  <c r="BJ502" i="2" s="1"/>
  <c r="BL502" i="2" s="1"/>
  <c r="BF496" i="2"/>
  <c r="BJ496" i="2" s="1"/>
  <c r="BL496" i="2" s="1"/>
  <c r="BF490" i="2"/>
  <c r="BJ490" i="2" s="1"/>
  <c r="BL490" i="2" s="1"/>
  <c r="BF484" i="2"/>
  <c r="BJ484" i="2" s="1"/>
  <c r="BL484" i="2" s="1"/>
  <c r="BF478" i="2"/>
  <c r="BJ478" i="2" s="1"/>
  <c r="BL478" i="2" s="1"/>
  <c r="BF472" i="2"/>
  <c r="BJ472" i="2" s="1"/>
  <c r="BL472" i="2" s="1"/>
  <c r="BF466" i="2"/>
  <c r="BJ466" i="2" s="1"/>
  <c r="BL466" i="2" s="1"/>
  <c r="BF460" i="2"/>
  <c r="BJ460" i="2" s="1"/>
  <c r="BL460" i="2" s="1"/>
  <c r="BF454" i="2"/>
  <c r="BJ454" i="2" s="1"/>
  <c r="BL454" i="2" s="1"/>
  <c r="BF448" i="2"/>
  <c r="BJ448" i="2" s="1"/>
  <c r="BL448" i="2" s="1"/>
  <c r="BF442" i="2"/>
  <c r="BJ442" i="2" s="1"/>
  <c r="BL442" i="2" s="1"/>
  <c r="BF436" i="2"/>
  <c r="BJ436" i="2" s="1"/>
  <c r="BL436" i="2" s="1"/>
  <c r="BF430" i="2"/>
  <c r="BJ430" i="2" s="1"/>
  <c r="BL430" i="2" s="1"/>
  <c r="BF424" i="2"/>
  <c r="BJ424" i="2" s="1"/>
  <c r="BL424" i="2" s="1"/>
  <c r="BF418" i="2"/>
  <c r="BJ418" i="2" s="1"/>
  <c r="BL418" i="2" s="1"/>
  <c r="BF412" i="2"/>
  <c r="BJ412" i="2" s="1"/>
  <c r="BL412" i="2" s="1"/>
  <c r="BF406" i="2"/>
  <c r="BJ406" i="2" s="1"/>
  <c r="BL406" i="2" s="1"/>
  <c r="BF400" i="2"/>
  <c r="BJ400" i="2" s="1"/>
  <c r="BL400" i="2" s="1"/>
  <c r="BF394" i="2"/>
  <c r="BJ394" i="2" s="1"/>
  <c r="BL394" i="2" s="1"/>
  <c r="BF388" i="2"/>
  <c r="BJ388" i="2" s="1"/>
  <c r="BL388" i="2" s="1"/>
  <c r="BF732" i="2"/>
  <c r="BJ732" i="2" s="1"/>
  <c r="BL732" i="2" s="1"/>
  <c r="BG713" i="2"/>
  <c r="BH713" i="2" s="1"/>
  <c r="BG695" i="2"/>
  <c r="BH695" i="2" s="1"/>
  <c r="BG679" i="2"/>
  <c r="BH679" i="2" s="1"/>
  <c r="BG609" i="2"/>
  <c r="BH609" i="2" s="1"/>
  <c r="BG602" i="2"/>
  <c r="BH602" i="2" s="1"/>
  <c r="BG598" i="2"/>
  <c r="BH598" i="2" s="1"/>
  <c r="BG592" i="2"/>
  <c r="BH592" i="2" s="1"/>
  <c r="BG551" i="2"/>
  <c r="BH551" i="2" s="1"/>
  <c r="BG545" i="2"/>
  <c r="BH545" i="2" s="1"/>
  <c r="BG539" i="2"/>
  <c r="BH539" i="2" s="1"/>
  <c r="BG533" i="2"/>
  <c r="BH533" i="2" s="1"/>
  <c r="BG527" i="2"/>
  <c r="BH527" i="2" s="1"/>
  <c r="BG521" i="2"/>
  <c r="BH521" i="2" s="1"/>
  <c r="BG515" i="2"/>
  <c r="BH515" i="2" s="1"/>
  <c r="BG509" i="2"/>
  <c r="BH509" i="2" s="1"/>
  <c r="BG503" i="2"/>
  <c r="BH503" i="2" s="1"/>
  <c r="BG497" i="2"/>
  <c r="BH497" i="2" s="1"/>
  <c r="BG491" i="2"/>
  <c r="BH491" i="2" s="1"/>
  <c r="BG485" i="2"/>
  <c r="BH485" i="2" s="1"/>
  <c r="BG479" i="2"/>
  <c r="BH479" i="2" s="1"/>
  <c r="BG473" i="2"/>
  <c r="BH473" i="2" s="1"/>
  <c r="BG467" i="2"/>
  <c r="BH467" i="2" s="1"/>
  <c r="BG461" i="2"/>
  <c r="BH461" i="2" s="1"/>
  <c r="BG455" i="2"/>
  <c r="BH455" i="2" s="1"/>
  <c r="BG449" i="2"/>
  <c r="BH449" i="2" s="1"/>
  <c r="BG443" i="2"/>
  <c r="BH443" i="2" s="1"/>
  <c r="BG437" i="2"/>
  <c r="BH437" i="2" s="1"/>
  <c r="BG431" i="2"/>
  <c r="BH431" i="2" s="1"/>
  <c r="BG425" i="2"/>
  <c r="BH425" i="2" s="1"/>
  <c r="BG649" i="2"/>
  <c r="BH649" i="2" s="1"/>
  <c r="BG608" i="2"/>
  <c r="BH608" i="2" s="1"/>
  <c r="BG594" i="2"/>
  <c r="BH594" i="2" s="1"/>
  <c r="BF592" i="2"/>
  <c r="BJ592" i="2" s="1"/>
  <c r="BL592" i="2" s="1"/>
  <c r="BF551" i="2"/>
  <c r="BJ551" i="2" s="1"/>
  <c r="BL551" i="2" s="1"/>
  <c r="BF545" i="2"/>
  <c r="BJ545" i="2" s="1"/>
  <c r="BL545" i="2" s="1"/>
  <c r="BF539" i="2"/>
  <c r="BJ539" i="2" s="1"/>
  <c r="BL539" i="2" s="1"/>
  <c r="BF533" i="2"/>
  <c r="BJ533" i="2" s="1"/>
  <c r="BL533" i="2" s="1"/>
  <c r="BF527" i="2"/>
  <c r="BJ527" i="2" s="1"/>
  <c r="BL527" i="2" s="1"/>
  <c r="BF521" i="2"/>
  <c r="BJ521" i="2" s="1"/>
  <c r="BL521" i="2" s="1"/>
  <c r="BF515" i="2"/>
  <c r="BJ515" i="2" s="1"/>
  <c r="BL515" i="2" s="1"/>
  <c r="BF509" i="2"/>
  <c r="BJ509" i="2" s="1"/>
  <c r="BL509" i="2" s="1"/>
  <c r="BF503" i="2"/>
  <c r="BJ503" i="2" s="1"/>
  <c r="BL503" i="2" s="1"/>
  <c r="BF497" i="2"/>
  <c r="BJ497" i="2" s="1"/>
  <c r="BL497" i="2" s="1"/>
  <c r="BF491" i="2"/>
  <c r="BJ491" i="2" s="1"/>
  <c r="BL491" i="2" s="1"/>
  <c r="BF485" i="2"/>
  <c r="BJ485" i="2" s="1"/>
  <c r="BL485" i="2" s="1"/>
  <c r="BF479" i="2"/>
  <c r="BJ479" i="2" s="1"/>
  <c r="BL479" i="2" s="1"/>
  <c r="BF473" i="2"/>
  <c r="BJ473" i="2" s="1"/>
  <c r="BL473" i="2" s="1"/>
  <c r="BF467" i="2"/>
  <c r="BJ467" i="2" s="1"/>
  <c r="BL467" i="2" s="1"/>
  <c r="BF461" i="2"/>
  <c r="BJ461" i="2" s="1"/>
  <c r="BL461" i="2" s="1"/>
  <c r="BF455" i="2"/>
  <c r="BJ455" i="2" s="1"/>
  <c r="BL455" i="2" s="1"/>
  <c r="BF449" i="2"/>
  <c r="BJ449" i="2" s="1"/>
  <c r="BL449" i="2" s="1"/>
  <c r="BF443" i="2"/>
  <c r="BJ443" i="2" s="1"/>
  <c r="BL443" i="2" s="1"/>
  <c r="BF437" i="2"/>
  <c r="BJ437" i="2" s="1"/>
  <c r="BL437" i="2" s="1"/>
  <c r="BF431" i="2"/>
  <c r="BJ431" i="2" s="1"/>
  <c r="BL431" i="2" s="1"/>
  <c r="BF425" i="2"/>
  <c r="BJ425" i="2" s="1"/>
  <c r="BL425" i="2" s="1"/>
  <c r="BF419" i="2"/>
  <c r="BJ419" i="2" s="1"/>
  <c r="BL419" i="2" s="1"/>
  <c r="BF413" i="2"/>
  <c r="BJ413" i="2" s="1"/>
  <c r="BL413" i="2" s="1"/>
  <c r="BF407" i="2"/>
  <c r="BJ407" i="2" s="1"/>
  <c r="BL407" i="2" s="1"/>
  <c r="BF401" i="2"/>
  <c r="BJ401" i="2" s="1"/>
  <c r="BL401" i="2" s="1"/>
  <c r="BF395" i="2"/>
  <c r="BJ395" i="2" s="1"/>
  <c r="BL395" i="2" s="1"/>
  <c r="BF389" i="2"/>
  <c r="BJ389" i="2" s="1"/>
  <c r="BL389" i="2" s="1"/>
  <c r="BG380" i="2"/>
  <c r="BH380" i="2" s="1"/>
  <c r="BF379" i="2"/>
  <c r="BJ379" i="2" s="1"/>
  <c r="BL379" i="2" s="1"/>
  <c r="BF378" i="2"/>
  <c r="BJ378" i="2" s="1"/>
  <c r="BL378" i="2" s="1"/>
  <c r="BF377" i="2"/>
  <c r="BJ377" i="2" s="1"/>
  <c r="BL377" i="2" s="1"/>
  <c r="BF376" i="2"/>
  <c r="BJ376" i="2" s="1"/>
  <c r="BL376" i="2" s="1"/>
  <c r="BF375" i="2"/>
  <c r="BJ375" i="2" s="1"/>
  <c r="BL375" i="2" s="1"/>
  <c r="BF374" i="2"/>
  <c r="BJ374" i="2" s="1"/>
  <c r="BL374" i="2" s="1"/>
  <c r="BF373" i="2"/>
  <c r="BJ373" i="2" s="1"/>
  <c r="BL373" i="2" s="1"/>
  <c r="BF372" i="2"/>
  <c r="BJ372" i="2" s="1"/>
  <c r="BL372" i="2" s="1"/>
  <c r="BF371" i="2"/>
  <c r="BJ371" i="2" s="1"/>
  <c r="BL371" i="2" s="1"/>
  <c r="BF370" i="2"/>
  <c r="BJ370" i="2" s="1"/>
  <c r="BL370" i="2" s="1"/>
  <c r="BF369" i="2"/>
  <c r="BJ369" i="2" s="1"/>
  <c r="BL369" i="2" s="1"/>
  <c r="BF368" i="2"/>
  <c r="BJ368" i="2" s="1"/>
  <c r="BL368" i="2" s="1"/>
  <c r="BF367" i="2"/>
  <c r="BJ367" i="2" s="1"/>
  <c r="BL367" i="2" s="1"/>
  <c r="BF366" i="2"/>
  <c r="BJ366" i="2" s="1"/>
  <c r="BL366" i="2" s="1"/>
  <c r="BF365" i="2"/>
  <c r="BJ365" i="2" s="1"/>
  <c r="BL365" i="2" s="1"/>
  <c r="BF364" i="2"/>
  <c r="BJ364" i="2" s="1"/>
  <c r="BL364" i="2" s="1"/>
  <c r="BF363" i="2"/>
  <c r="BJ363" i="2" s="1"/>
  <c r="BL363" i="2" s="1"/>
  <c r="BF362" i="2"/>
  <c r="BJ362" i="2" s="1"/>
  <c r="BL362" i="2" s="1"/>
  <c r="BF361" i="2"/>
  <c r="BJ361" i="2" s="1"/>
  <c r="BL361" i="2" s="1"/>
  <c r="BF360" i="2"/>
  <c r="BJ360" i="2" s="1"/>
  <c r="BL360" i="2" s="1"/>
  <c r="BF359" i="2"/>
  <c r="BJ359" i="2" s="1"/>
  <c r="BL359" i="2" s="1"/>
  <c r="BF358" i="2"/>
  <c r="BJ358" i="2" s="1"/>
  <c r="BL358" i="2" s="1"/>
  <c r="BF357" i="2"/>
  <c r="BJ357" i="2" s="1"/>
  <c r="BL357" i="2" s="1"/>
  <c r="BF356" i="2"/>
  <c r="BJ356" i="2" s="1"/>
  <c r="BL356" i="2" s="1"/>
  <c r="BF355" i="2"/>
  <c r="BJ355" i="2" s="1"/>
  <c r="BL355" i="2" s="1"/>
  <c r="BF354" i="2"/>
  <c r="BJ354" i="2" s="1"/>
  <c r="BL354" i="2" s="1"/>
  <c r="BF353" i="2"/>
  <c r="BJ353" i="2" s="1"/>
  <c r="BL353" i="2" s="1"/>
  <c r="BF352" i="2"/>
  <c r="BJ352" i="2" s="1"/>
  <c r="BL352" i="2" s="1"/>
  <c r="BF351" i="2"/>
  <c r="BJ351" i="2" s="1"/>
  <c r="BL351" i="2" s="1"/>
  <c r="BF350" i="2"/>
  <c r="BJ350" i="2" s="1"/>
  <c r="BL350" i="2" s="1"/>
  <c r="BF349" i="2"/>
  <c r="BJ349" i="2" s="1"/>
  <c r="BL349" i="2" s="1"/>
  <c r="BF348" i="2"/>
  <c r="BJ348" i="2" s="1"/>
  <c r="BL348" i="2" s="1"/>
  <c r="BF347" i="2"/>
  <c r="BJ347" i="2" s="1"/>
  <c r="BL347" i="2" s="1"/>
  <c r="BF346" i="2"/>
  <c r="BJ346" i="2" s="1"/>
  <c r="BL346" i="2" s="1"/>
  <c r="BF345" i="2"/>
  <c r="BJ345" i="2" s="1"/>
  <c r="BL345" i="2" s="1"/>
  <c r="BF344" i="2"/>
  <c r="BJ344" i="2" s="1"/>
  <c r="BL344" i="2" s="1"/>
  <c r="BF343" i="2"/>
  <c r="BJ343" i="2" s="1"/>
  <c r="BL343" i="2" s="1"/>
  <c r="BF342" i="2"/>
  <c r="BJ342" i="2" s="1"/>
  <c r="BL342" i="2" s="1"/>
  <c r="BF341" i="2"/>
  <c r="BJ341" i="2" s="1"/>
  <c r="BL341" i="2" s="1"/>
  <c r="BF340" i="2"/>
  <c r="BJ340" i="2" s="1"/>
  <c r="BL340" i="2" s="1"/>
  <c r="BF339" i="2"/>
  <c r="BJ339" i="2" s="1"/>
  <c r="BL339" i="2" s="1"/>
  <c r="BF338" i="2"/>
  <c r="BJ338" i="2" s="1"/>
  <c r="BL338" i="2" s="1"/>
  <c r="BF337" i="2"/>
  <c r="BJ337" i="2" s="1"/>
  <c r="BL337" i="2" s="1"/>
  <c r="BF336" i="2"/>
  <c r="BJ336" i="2" s="1"/>
  <c r="BL336" i="2" s="1"/>
  <c r="BF335" i="2"/>
  <c r="BJ335" i="2" s="1"/>
  <c r="BL335" i="2" s="1"/>
  <c r="BF334" i="2"/>
  <c r="BJ334" i="2" s="1"/>
  <c r="BL334" i="2" s="1"/>
  <c r="BF333" i="2"/>
  <c r="BJ333" i="2" s="1"/>
  <c r="BL333" i="2" s="1"/>
  <c r="BF332" i="2"/>
  <c r="BJ332" i="2" s="1"/>
  <c r="BL332" i="2" s="1"/>
  <c r="BF331" i="2"/>
  <c r="BJ331" i="2" s="1"/>
  <c r="BL331" i="2" s="1"/>
  <c r="BF330" i="2"/>
  <c r="BJ330" i="2" s="1"/>
  <c r="BL330" i="2" s="1"/>
  <c r="BF329" i="2"/>
  <c r="BJ329" i="2" s="1"/>
  <c r="BL329" i="2" s="1"/>
  <c r="BF328" i="2"/>
  <c r="BJ328" i="2" s="1"/>
  <c r="BL328" i="2" s="1"/>
  <c r="BF327" i="2"/>
  <c r="BJ327" i="2" s="1"/>
  <c r="BL327" i="2" s="1"/>
  <c r="BF326" i="2"/>
  <c r="BJ326" i="2" s="1"/>
  <c r="BL326" i="2" s="1"/>
  <c r="BF325" i="2"/>
  <c r="BJ325" i="2" s="1"/>
  <c r="BL325" i="2" s="1"/>
  <c r="BF324" i="2"/>
  <c r="BJ324" i="2" s="1"/>
  <c r="BL324" i="2" s="1"/>
  <c r="BF323" i="2"/>
  <c r="BJ323" i="2" s="1"/>
  <c r="BL323" i="2" s="1"/>
  <c r="BG710" i="2"/>
  <c r="BH710" i="2" s="1"/>
  <c r="BG607" i="2"/>
  <c r="BH607" i="2" s="1"/>
  <c r="BG590" i="2"/>
  <c r="BH590" i="2" s="1"/>
  <c r="BG587" i="2"/>
  <c r="BH587" i="2" s="1"/>
  <c r="BG584" i="2"/>
  <c r="BH584" i="2" s="1"/>
  <c r="BG581" i="2"/>
  <c r="BH581" i="2" s="1"/>
  <c r="BG578" i="2"/>
  <c r="BH578" i="2" s="1"/>
  <c r="BG575" i="2"/>
  <c r="BH575" i="2" s="1"/>
  <c r="BG572" i="2"/>
  <c r="BH572" i="2" s="1"/>
  <c r="BG569" i="2"/>
  <c r="BH569" i="2" s="1"/>
  <c r="BG566" i="2"/>
  <c r="BH566" i="2" s="1"/>
  <c r="BG563" i="2"/>
  <c r="BH563" i="2" s="1"/>
  <c r="BG560" i="2"/>
  <c r="BH560" i="2" s="1"/>
  <c r="BG557" i="2"/>
  <c r="BH557" i="2" s="1"/>
  <c r="BG552" i="2"/>
  <c r="BH552" i="2" s="1"/>
  <c r="BG546" i="2"/>
  <c r="BH546" i="2" s="1"/>
  <c r="BG540" i="2"/>
  <c r="BH540" i="2" s="1"/>
  <c r="BG534" i="2"/>
  <c r="BH534" i="2" s="1"/>
  <c r="BG528" i="2"/>
  <c r="BH528" i="2" s="1"/>
  <c r="BG522" i="2"/>
  <c r="BH522" i="2" s="1"/>
  <c r="BG516" i="2"/>
  <c r="BH516" i="2" s="1"/>
  <c r="BG510" i="2"/>
  <c r="BH510" i="2" s="1"/>
  <c r="BG504" i="2"/>
  <c r="BH504" i="2" s="1"/>
  <c r="BG498" i="2"/>
  <c r="BH498" i="2" s="1"/>
  <c r="BG492" i="2"/>
  <c r="BH492" i="2" s="1"/>
  <c r="BG486" i="2"/>
  <c r="BH486" i="2" s="1"/>
  <c r="BG480" i="2"/>
  <c r="BH480" i="2" s="1"/>
  <c r="BG474" i="2"/>
  <c r="BH474" i="2" s="1"/>
  <c r="BG468" i="2"/>
  <c r="BH468" i="2" s="1"/>
  <c r="BG462" i="2"/>
  <c r="BH462" i="2" s="1"/>
  <c r="BG456" i="2"/>
  <c r="BH456" i="2" s="1"/>
  <c r="BG450" i="2"/>
  <c r="BH450" i="2" s="1"/>
  <c r="BG444" i="2"/>
  <c r="BH444" i="2" s="1"/>
  <c r="BG438" i="2"/>
  <c r="BH438" i="2" s="1"/>
  <c r="BG691" i="2"/>
  <c r="BH691" i="2" s="1"/>
  <c r="BG661" i="2"/>
  <c r="BH661" i="2" s="1"/>
  <c r="BG606" i="2"/>
  <c r="BH606" i="2" s="1"/>
  <c r="BG601" i="2"/>
  <c r="BH601" i="2" s="1"/>
  <c r="BG597" i="2"/>
  <c r="BH597" i="2" s="1"/>
  <c r="BF590" i="2"/>
  <c r="BJ590" i="2" s="1"/>
  <c r="BL590" i="2" s="1"/>
  <c r="BF587" i="2"/>
  <c r="BJ587" i="2" s="1"/>
  <c r="BL587" i="2" s="1"/>
  <c r="BF584" i="2"/>
  <c r="BJ584" i="2" s="1"/>
  <c r="BL584" i="2" s="1"/>
  <c r="BF581" i="2"/>
  <c r="BJ581" i="2" s="1"/>
  <c r="BL581" i="2" s="1"/>
  <c r="BF578" i="2"/>
  <c r="BJ578" i="2" s="1"/>
  <c r="BL578" i="2" s="1"/>
  <c r="BF575" i="2"/>
  <c r="BJ575" i="2" s="1"/>
  <c r="BL575" i="2" s="1"/>
  <c r="BF572" i="2"/>
  <c r="BJ572" i="2" s="1"/>
  <c r="BL572" i="2" s="1"/>
  <c r="BF569" i="2"/>
  <c r="BJ569" i="2" s="1"/>
  <c r="BL569" i="2" s="1"/>
  <c r="BF566" i="2"/>
  <c r="BJ566" i="2" s="1"/>
  <c r="BL566" i="2" s="1"/>
  <c r="BF563" i="2"/>
  <c r="BJ563" i="2" s="1"/>
  <c r="BL563" i="2" s="1"/>
  <c r="BF560" i="2"/>
  <c r="BJ560" i="2" s="1"/>
  <c r="BL560" i="2" s="1"/>
  <c r="BF557" i="2"/>
  <c r="BJ557" i="2" s="1"/>
  <c r="BL557" i="2" s="1"/>
  <c r="BF552" i="2"/>
  <c r="BJ552" i="2" s="1"/>
  <c r="BL552" i="2" s="1"/>
  <c r="BF546" i="2"/>
  <c r="BJ546" i="2" s="1"/>
  <c r="BL546" i="2" s="1"/>
  <c r="BF540" i="2"/>
  <c r="BJ540" i="2" s="1"/>
  <c r="BL540" i="2" s="1"/>
  <c r="BF534" i="2"/>
  <c r="BJ534" i="2" s="1"/>
  <c r="BL534" i="2" s="1"/>
  <c r="BF528" i="2"/>
  <c r="BJ528" i="2" s="1"/>
  <c r="BL528" i="2" s="1"/>
  <c r="BF522" i="2"/>
  <c r="BJ522" i="2" s="1"/>
  <c r="BL522" i="2" s="1"/>
  <c r="BF516" i="2"/>
  <c r="BJ516" i="2" s="1"/>
  <c r="BL516" i="2" s="1"/>
  <c r="BF510" i="2"/>
  <c r="BJ510" i="2" s="1"/>
  <c r="BL510" i="2" s="1"/>
  <c r="BF504" i="2"/>
  <c r="BJ504" i="2" s="1"/>
  <c r="BL504" i="2" s="1"/>
  <c r="BF498" i="2"/>
  <c r="BJ498" i="2" s="1"/>
  <c r="BL498" i="2" s="1"/>
  <c r="BF492" i="2"/>
  <c r="BJ492" i="2" s="1"/>
  <c r="BL492" i="2" s="1"/>
  <c r="BF486" i="2"/>
  <c r="BJ486" i="2" s="1"/>
  <c r="BL486" i="2" s="1"/>
  <c r="BF480" i="2"/>
  <c r="BJ480" i="2" s="1"/>
  <c r="BL480" i="2" s="1"/>
  <c r="BF474" i="2"/>
  <c r="BJ474" i="2" s="1"/>
  <c r="BL474" i="2" s="1"/>
  <c r="BF468" i="2"/>
  <c r="BJ468" i="2" s="1"/>
  <c r="BL468" i="2" s="1"/>
  <c r="BF462" i="2"/>
  <c r="BJ462" i="2" s="1"/>
  <c r="BL462" i="2" s="1"/>
  <c r="BF456" i="2"/>
  <c r="BJ456" i="2" s="1"/>
  <c r="BL456" i="2" s="1"/>
  <c r="BF450" i="2"/>
  <c r="BJ450" i="2" s="1"/>
  <c r="BL450" i="2" s="1"/>
  <c r="BF444" i="2"/>
  <c r="BJ444" i="2" s="1"/>
  <c r="BL444" i="2" s="1"/>
  <c r="BF438" i="2"/>
  <c r="BJ438" i="2" s="1"/>
  <c r="BL438" i="2" s="1"/>
  <c r="BG707" i="2"/>
  <c r="BH707" i="2" s="1"/>
  <c r="BG631" i="2"/>
  <c r="BH631" i="2" s="1"/>
  <c r="BG605" i="2"/>
  <c r="BH605" i="2" s="1"/>
  <c r="BG553" i="2"/>
  <c r="BH553" i="2" s="1"/>
  <c r="BG547" i="2"/>
  <c r="BH547" i="2" s="1"/>
  <c r="BG541" i="2"/>
  <c r="BH541" i="2" s="1"/>
  <c r="BG535" i="2"/>
  <c r="BH535" i="2" s="1"/>
  <c r="BG529" i="2"/>
  <c r="BH529" i="2" s="1"/>
  <c r="BG523" i="2"/>
  <c r="BH523" i="2" s="1"/>
  <c r="BG517" i="2"/>
  <c r="BH517" i="2" s="1"/>
  <c r="BG511" i="2"/>
  <c r="BH511" i="2" s="1"/>
  <c r="BG505" i="2"/>
  <c r="BH505" i="2" s="1"/>
  <c r="BG499" i="2"/>
  <c r="BH499" i="2" s="1"/>
  <c r="BG493" i="2"/>
  <c r="BH493" i="2" s="1"/>
  <c r="BG487" i="2"/>
  <c r="BH487" i="2" s="1"/>
  <c r="BG481" i="2"/>
  <c r="BH481" i="2" s="1"/>
  <c r="BG475" i="2"/>
  <c r="BH475" i="2" s="1"/>
  <c r="BG469" i="2"/>
  <c r="BH469" i="2" s="1"/>
  <c r="BG463" i="2"/>
  <c r="BH463" i="2" s="1"/>
  <c r="BG457" i="2"/>
  <c r="BH457" i="2" s="1"/>
  <c r="BG451" i="2"/>
  <c r="BH451" i="2" s="1"/>
  <c r="BG445" i="2"/>
  <c r="BH445" i="2" s="1"/>
  <c r="BG439" i="2"/>
  <c r="BH439" i="2" s="1"/>
  <c r="BG673" i="2"/>
  <c r="BH673" i="2" s="1"/>
  <c r="BF553" i="2"/>
  <c r="BJ553" i="2" s="1"/>
  <c r="BL553" i="2" s="1"/>
  <c r="BF547" i="2"/>
  <c r="BJ547" i="2" s="1"/>
  <c r="BL547" i="2" s="1"/>
  <c r="BF541" i="2"/>
  <c r="BJ541" i="2" s="1"/>
  <c r="BL541" i="2" s="1"/>
  <c r="BF535" i="2"/>
  <c r="BJ535" i="2" s="1"/>
  <c r="BL535" i="2" s="1"/>
  <c r="BF529" i="2"/>
  <c r="BJ529" i="2" s="1"/>
  <c r="BL529" i="2" s="1"/>
  <c r="BF523" i="2"/>
  <c r="BJ523" i="2" s="1"/>
  <c r="BL523" i="2" s="1"/>
  <c r="BF517" i="2"/>
  <c r="BJ517" i="2" s="1"/>
  <c r="BL517" i="2" s="1"/>
  <c r="BF511" i="2"/>
  <c r="BJ511" i="2" s="1"/>
  <c r="BL511" i="2" s="1"/>
  <c r="BF505" i="2"/>
  <c r="BJ505" i="2" s="1"/>
  <c r="BL505" i="2" s="1"/>
  <c r="BF499" i="2"/>
  <c r="BJ499" i="2" s="1"/>
  <c r="BL499" i="2" s="1"/>
  <c r="BF493" i="2"/>
  <c r="BJ493" i="2" s="1"/>
  <c r="BL493" i="2" s="1"/>
  <c r="BF487" i="2"/>
  <c r="BJ487" i="2" s="1"/>
  <c r="BL487" i="2" s="1"/>
  <c r="BF481" i="2"/>
  <c r="BJ481" i="2" s="1"/>
  <c r="BL481" i="2" s="1"/>
  <c r="BF475" i="2"/>
  <c r="BJ475" i="2" s="1"/>
  <c r="BL475" i="2" s="1"/>
  <c r="BF469" i="2"/>
  <c r="BJ469" i="2" s="1"/>
  <c r="BL469" i="2" s="1"/>
  <c r="BF463" i="2"/>
  <c r="BJ463" i="2" s="1"/>
  <c r="BL463" i="2" s="1"/>
  <c r="BF457" i="2"/>
  <c r="BJ457" i="2" s="1"/>
  <c r="BL457" i="2" s="1"/>
  <c r="BF451" i="2"/>
  <c r="BJ451" i="2" s="1"/>
  <c r="BL451" i="2" s="1"/>
  <c r="BF445" i="2"/>
  <c r="BJ445" i="2" s="1"/>
  <c r="BL445" i="2" s="1"/>
  <c r="BF439" i="2"/>
  <c r="BJ439" i="2" s="1"/>
  <c r="BL439" i="2" s="1"/>
  <c r="BF433" i="2"/>
  <c r="BJ433" i="2" s="1"/>
  <c r="BL433" i="2" s="1"/>
  <c r="BF427" i="2"/>
  <c r="BJ427" i="2" s="1"/>
  <c r="BL427" i="2" s="1"/>
  <c r="BF421" i="2"/>
  <c r="BJ421" i="2" s="1"/>
  <c r="BL421" i="2" s="1"/>
  <c r="BF415" i="2"/>
  <c r="BJ415" i="2" s="1"/>
  <c r="BL415" i="2" s="1"/>
  <c r="BF409" i="2"/>
  <c r="BJ409" i="2" s="1"/>
  <c r="BL409" i="2" s="1"/>
  <c r="BG704" i="2"/>
  <c r="BH704" i="2" s="1"/>
  <c r="BG687" i="2"/>
  <c r="BH687" i="2" s="1"/>
  <c r="BG643" i="2"/>
  <c r="BH643" i="2" s="1"/>
  <c r="BG604" i="2"/>
  <c r="BH604" i="2" s="1"/>
  <c r="BG600" i="2"/>
  <c r="BH600" i="2" s="1"/>
  <c r="BG596" i="2"/>
  <c r="BH596" i="2" s="1"/>
  <c r="BG593" i="2"/>
  <c r="BH593" i="2" s="1"/>
  <c r="BG591" i="2"/>
  <c r="BH591" i="2" s="1"/>
  <c r="BG588" i="2"/>
  <c r="BH588" i="2" s="1"/>
  <c r="BG585" i="2"/>
  <c r="BH585" i="2" s="1"/>
  <c r="BG582" i="2"/>
  <c r="BH582" i="2" s="1"/>
  <c r="BG579" i="2"/>
  <c r="BH579" i="2" s="1"/>
  <c r="BG576" i="2"/>
  <c r="BH576" i="2" s="1"/>
  <c r="BG573" i="2"/>
  <c r="BH573" i="2" s="1"/>
  <c r="BG570" i="2"/>
  <c r="BH570" i="2" s="1"/>
  <c r="BG567" i="2"/>
  <c r="BH567" i="2" s="1"/>
  <c r="BG564" i="2"/>
  <c r="BH564" i="2" s="1"/>
  <c r="BG561" i="2"/>
  <c r="BH561" i="2" s="1"/>
  <c r="BG558" i="2"/>
  <c r="BH558" i="2" s="1"/>
  <c r="BG554" i="2"/>
  <c r="BH554" i="2" s="1"/>
  <c r="BG548" i="2"/>
  <c r="BH548" i="2" s="1"/>
  <c r="BG542" i="2"/>
  <c r="BH542" i="2" s="1"/>
  <c r="BG536" i="2"/>
  <c r="BH536" i="2" s="1"/>
  <c r="BG530" i="2"/>
  <c r="BH530" i="2" s="1"/>
  <c r="BG524" i="2"/>
  <c r="BH524" i="2" s="1"/>
  <c r="BG518" i="2"/>
  <c r="BH518" i="2" s="1"/>
  <c r="BG512" i="2"/>
  <c r="BH512" i="2" s="1"/>
  <c r="BG506" i="2"/>
  <c r="BH506" i="2" s="1"/>
  <c r="BG500" i="2"/>
  <c r="BH500" i="2" s="1"/>
  <c r="BG494" i="2"/>
  <c r="BH494" i="2" s="1"/>
  <c r="BG488" i="2"/>
  <c r="BH488" i="2" s="1"/>
  <c r="BG482" i="2"/>
  <c r="BH482" i="2" s="1"/>
  <c r="BG476" i="2"/>
  <c r="BH476" i="2" s="1"/>
  <c r="BG470" i="2"/>
  <c r="BH470" i="2" s="1"/>
  <c r="BG464" i="2"/>
  <c r="BH464" i="2" s="1"/>
  <c r="BG458" i="2"/>
  <c r="BH458" i="2" s="1"/>
  <c r="BG452" i="2"/>
  <c r="BH452" i="2" s="1"/>
  <c r="BG446" i="2"/>
  <c r="BH446" i="2" s="1"/>
  <c r="BG440" i="2"/>
  <c r="BH440" i="2" s="1"/>
  <c r="BG614" i="2"/>
  <c r="BH614" i="2" s="1"/>
  <c r="BF593" i="2"/>
  <c r="BJ593" i="2" s="1"/>
  <c r="BL593" i="2" s="1"/>
  <c r="BF591" i="2"/>
  <c r="BJ591" i="2" s="1"/>
  <c r="BL591" i="2" s="1"/>
  <c r="BF588" i="2"/>
  <c r="BJ588" i="2" s="1"/>
  <c r="BL588" i="2" s="1"/>
  <c r="BF585" i="2"/>
  <c r="BJ585" i="2" s="1"/>
  <c r="BL585" i="2" s="1"/>
  <c r="BF582" i="2"/>
  <c r="BJ582" i="2" s="1"/>
  <c r="BL582" i="2" s="1"/>
  <c r="BF579" i="2"/>
  <c r="BJ579" i="2" s="1"/>
  <c r="BL579" i="2" s="1"/>
  <c r="BF576" i="2"/>
  <c r="BJ576" i="2" s="1"/>
  <c r="BL576" i="2" s="1"/>
  <c r="BF573" i="2"/>
  <c r="BJ573" i="2" s="1"/>
  <c r="BL573" i="2" s="1"/>
  <c r="BF570" i="2"/>
  <c r="BJ570" i="2" s="1"/>
  <c r="BL570" i="2" s="1"/>
  <c r="BF567" i="2"/>
  <c r="BJ567" i="2" s="1"/>
  <c r="BL567" i="2" s="1"/>
  <c r="BF564" i="2"/>
  <c r="BJ564" i="2" s="1"/>
  <c r="BL564" i="2" s="1"/>
  <c r="BF561" i="2"/>
  <c r="BJ561" i="2" s="1"/>
  <c r="BL561" i="2" s="1"/>
  <c r="BF558" i="2"/>
  <c r="BJ558" i="2" s="1"/>
  <c r="BL558" i="2" s="1"/>
  <c r="BF554" i="2"/>
  <c r="BJ554" i="2" s="1"/>
  <c r="BL554" i="2" s="1"/>
  <c r="BF548" i="2"/>
  <c r="BJ548" i="2" s="1"/>
  <c r="BL548" i="2" s="1"/>
  <c r="BF542" i="2"/>
  <c r="BJ542" i="2" s="1"/>
  <c r="BL542" i="2" s="1"/>
  <c r="BF536" i="2"/>
  <c r="BJ536" i="2" s="1"/>
  <c r="BL536" i="2" s="1"/>
  <c r="BF530" i="2"/>
  <c r="BJ530" i="2" s="1"/>
  <c r="BL530" i="2" s="1"/>
  <c r="BF524" i="2"/>
  <c r="BJ524" i="2" s="1"/>
  <c r="BL524" i="2" s="1"/>
  <c r="BF518" i="2"/>
  <c r="BJ518" i="2" s="1"/>
  <c r="BL518" i="2" s="1"/>
  <c r="BF512" i="2"/>
  <c r="BJ512" i="2" s="1"/>
  <c r="BL512" i="2" s="1"/>
  <c r="BF506" i="2"/>
  <c r="BJ506" i="2" s="1"/>
  <c r="BL506" i="2" s="1"/>
  <c r="BF500" i="2"/>
  <c r="BJ500" i="2" s="1"/>
  <c r="BL500" i="2" s="1"/>
  <c r="BF494" i="2"/>
  <c r="BJ494" i="2" s="1"/>
  <c r="BL494" i="2" s="1"/>
  <c r="BF488" i="2"/>
  <c r="BJ488" i="2" s="1"/>
  <c r="BL488" i="2" s="1"/>
  <c r="BF482" i="2"/>
  <c r="BJ482" i="2" s="1"/>
  <c r="BL482" i="2" s="1"/>
  <c r="BF476" i="2"/>
  <c r="BJ476" i="2" s="1"/>
  <c r="BL476" i="2" s="1"/>
  <c r="BF470" i="2"/>
  <c r="BJ470" i="2" s="1"/>
  <c r="BL470" i="2" s="1"/>
  <c r="BF464" i="2"/>
  <c r="BJ464" i="2" s="1"/>
  <c r="BL464" i="2" s="1"/>
  <c r="BF458" i="2"/>
  <c r="BJ458" i="2" s="1"/>
  <c r="BL458" i="2" s="1"/>
  <c r="BF452" i="2"/>
  <c r="BJ452" i="2" s="1"/>
  <c r="BL452" i="2" s="1"/>
  <c r="BF446" i="2"/>
  <c r="BJ446" i="2" s="1"/>
  <c r="BL446" i="2" s="1"/>
  <c r="BF440" i="2"/>
  <c r="BJ440" i="2" s="1"/>
  <c r="BL440" i="2" s="1"/>
  <c r="BG719" i="2"/>
  <c r="BH719" i="2" s="1"/>
  <c r="BG701" i="2"/>
  <c r="BH701" i="2" s="1"/>
  <c r="BG655" i="2"/>
  <c r="BH655" i="2" s="1"/>
  <c r="BG613" i="2"/>
  <c r="BH613" i="2" s="1"/>
  <c r="BG555" i="2"/>
  <c r="BH555" i="2" s="1"/>
  <c r="BG549" i="2"/>
  <c r="BH549" i="2" s="1"/>
  <c r="BG543" i="2"/>
  <c r="BH543" i="2" s="1"/>
  <c r="BG537" i="2"/>
  <c r="BH537" i="2" s="1"/>
  <c r="BG531" i="2"/>
  <c r="BH531" i="2" s="1"/>
  <c r="BG525" i="2"/>
  <c r="BH525" i="2" s="1"/>
  <c r="BG519" i="2"/>
  <c r="BH519" i="2" s="1"/>
  <c r="BG513" i="2"/>
  <c r="BH513" i="2" s="1"/>
  <c r="BG507" i="2"/>
  <c r="BH507" i="2" s="1"/>
  <c r="BG501" i="2"/>
  <c r="BH501" i="2" s="1"/>
  <c r="BG495" i="2"/>
  <c r="BH495" i="2" s="1"/>
  <c r="BG489" i="2"/>
  <c r="BH489" i="2" s="1"/>
  <c r="BG483" i="2"/>
  <c r="BH483" i="2" s="1"/>
  <c r="BG477" i="2"/>
  <c r="BH477" i="2" s="1"/>
  <c r="BG471" i="2"/>
  <c r="BH471" i="2" s="1"/>
  <c r="BG465" i="2"/>
  <c r="BH465" i="2" s="1"/>
  <c r="BG459" i="2"/>
  <c r="BH459" i="2" s="1"/>
  <c r="BG453" i="2"/>
  <c r="BH453" i="2" s="1"/>
  <c r="BG447" i="2"/>
  <c r="BH447" i="2" s="1"/>
  <c r="BG441" i="2"/>
  <c r="BH441" i="2" s="1"/>
  <c r="BG435" i="2"/>
  <c r="BH435" i="2" s="1"/>
  <c r="BG429" i="2"/>
  <c r="BH429" i="2" s="1"/>
  <c r="BG423" i="2"/>
  <c r="BH423" i="2" s="1"/>
  <c r="BG417" i="2"/>
  <c r="BH417" i="2" s="1"/>
  <c r="BG411" i="2"/>
  <c r="BH411" i="2" s="1"/>
  <c r="BG405" i="2"/>
  <c r="BH405" i="2" s="1"/>
  <c r="BG399" i="2"/>
  <c r="BH399" i="2" s="1"/>
  <c r="BG393" i="2"/>
  <c r="BH393" i="2" s="1"/>
  <c r="BG387" i="2"/>
  <c r="BH387" i="2" s="1"/>
  <c r="BF386" i="2"/>
  <c r="BJ386" i="2" s="1"/>
  <c r="BL386" i="2" s="1"/>
  <c r="BF737" i="2"/>
  <c r="BJ737" i="2" s="1"/>
  <c r="BL737" i="2" s="1"/>
  <c r="BF513" i="2"/>
  <c r="BJ513" i="2" s="1"/>
  <c r="BL513" i="2" s="1"/>
  <c r="BF441" i="2"/>
  <c r="BJ441" i="2" s="1"/>
  <c r="BL441" i="2" s="1"/>
  <c r="BF434" i="2"/>
  <c r="BJ434" i="2" s="1"/>
  <c r="BL434" i="2" s="1"/>
  <c r="BF422" i="2"/>
  <c r="BJ422" i="2" s="1"/>
  <c r="BL422" i="2" s="1"/>
  <c r="BF420" i="2"/>
  <c r="BJ420" i="2" s="1"/>
  <c r="BL420" i="2" s="1"/>
  <c r="BF411" i="2"/>
  <c r="BJ411" i="2" s="1"/>
  <c r="BL411" i="2" s="1"/>
  <c r="BF404" i="2"/>
  <c r="BJ404" i="2" s="1"/>
  <c r="BL404" i="2" s="1"/>
  <c r="BG391" i="2"/>
  <c r="BH391" i="2" s="1"/>
  <c r="BF385" i="2"/>
  <c r="BJ385" i="2" s="1"/>
  <c r="BL385" i="2" s="1"/>
  <c r="BF382" i="2"/>
  <c r="BJ382" i="2" s="1"/>
  <c r="BL382" i="2" s="1"/>
  <c r="BG379" i="2"/>
  <c r="BH379" i="2" s="1"/>
  <c r="BG375" i="2"/>
  <c r="BH375" i="2" s="1"/>
  <c r="BG371" i="2"/>
  <c r="BH371" i="2" s="1"/>
  <c r="BG367" i="2"/>
  <c r="BH367" i="2" s="1"/>
  <c r="BG363" i="2"/>
  <c r="BH363" i="2" s="1"/>
  <c r="BG359" i="2"/>
  <c r="BH359" i="2" s="1"/>
  <c r="BG355" i="2"/>
  <c r="BH355" i="2" s="1"/>
  <c r="BG351" i="2"/>
  <c r="BH351" i="2" s="1"/>
  <c r="BG347" i="2"/>
  <c r="BH347" i="2" s="1"/>
  <c r="BG343" i="2"/>
  <c r="BH343" i="2" s="1"/>
  <c r="BG339" i="2"/>
  <c r="BH339" i="2" s="1"/>
  <c r="BG335" i="2"/>
  <c r="BH335" i="2" s="1"/>
  <c r="BG331" i="2"/>
  <c r="BH331" i="2" s="1"/>
  <c r="BG327" i="2"/>
  <c r="BH327" i="2" s="1"/>
  <c r="BG323" i="2"/>
  <c r="BH323" i="2" s="1"/>
  <c r="BG317" i="2"/>
  <c r="BH317" i="2" s="1"/>
  <c r="BF316" i="2"/>
  <c r="BJ316" i="2" s="1"/>
  <c r="BL316" i="2" s="1"/>
  <c r="BG305" i="2"/>
  <c r="BH305" i="2" s="1"/>
  <c r="BF304" i="2"/>
  <c r="BJ304" i="2" s="1"/>
  <c r="BL304" i="2" s="1"/>
  <c r="BG293" i="2"/>
  <c r="BH293" i="2" s="1"/>
  <c r="BF292" i="2"/>
  <c r="BJ292" i="2" s="1"/>
  <c r="BL292" i="2" s="1"/>
  <c r="BF555" i="2"/>
  <c r="BJ555" i="2" s="1"/>
  <c r="BL555" i="2" s="1"/>
  <c r="BF483" i="2"/>
  <c r="BJ483" i="2" s="1"/>
  <c r="BL483" i="2" s="1"/>
  <c r="BF429" i="2"/>
  <c r="BJ429" i="2" s="1"/>
  <c r="BL429" i="2" s="1"/>
  <c r="BG418" i="2"/>
  <c r="BH418" i="2" s="1"/>
  <c r="BG409" i="2"/>
  <c r="BH409" i="2" s="1"/>
  <c r="BG402" i="2"/>
  <c r="BH402" i="2" s="1"/>
  <c r="BF399" i="2"/>
  <c r="BJ399" i="2" s="1"/>
  <c r="BL399" i="2" s="1"/>
  <c r="BF391" i="2"/>
  <c r="BJ391" i="2" s="1"/>
  <c r="BL391" i="2" s="1"/>
  <c r="BG318" i="2"/>
  <c r="BH318" i="2" s="1"/>
  <c r="BF317" i="2"/>
  <c r="BJ317" i="2" s="1"/>
  <c r="BG306" i="2"/>
  <c r="BH306" i="2" s="1"/>
  <c r="BF305" i="2"/>
  <c r="BJ305" i="2" s="1"/>
  <c r="BL305" i="2" s="1"/>
  <c r="BG294" i="2"/>
  <c r="BH294" i="2" s="1"/>
  <c r="BF293" i="2"/>
  <c r="BJ293" i="2" s="1"/>
  <c r="BL293" i="2" s="1"/>
  <c r="BG282" i="2"/>
  <c r="BH282" i="2" s="1"/>
  <c r="BF281" i="2"/>
  <c r="BJ281" i="2" s="1"/>
  <c r="BL281" i="2" s="1"/>
  <c r="BG270" i="2"/>
  <c r="BH270" i="2" s="1"/>
  <c r="BF269" i="2"/>
  <c r="BJ269" i="2" s="1"/>
  <c r="BL269" i="2" s="1"/>
  <c r="BG258" i="2"/>
  <c r="BH258" i="2" s="1"/>
  <c r="BF257" i="2"/>
  <c r="BJ257" i="2" s="1"/>
  <c r="BL257" i="2" s="1"/>
  <c r="BG246" i="2"/>
  <c r="BH246" i="2" s="1"/>
  <c r="BF245" i="2"/>
  <c r="BJ245" i="2" s="1"/>
  <c r="BL245" i="2" s="1"/>
  <c r="BG234" i="2"/>
  <c r="BH234" i="2" s="1"/>
  <c r="BF233" i="2"/>
  <c r="BJ233" i="2" s="1"/>
  <c r="BL233" i="2" s="1"/>
  <c r="BF525" i="2"/>
  <c r="BJ525" i="2" s="1"/>
  <c r="BL525" i="2" s="1"/>
  <c r="BF453" i="2"/>
  <c r="BJ453" i="2" s="1"/>
  <c r="BL453" i="2" s="1"/>
  <c r="BG426" i="2"/>
  <c r="BH426" i="2" s="1"/>
  <c r="BG416" i="2"/>
  <c r="BH416" i="2" s="1"/>
  <c r="BG407" i="2"/>
  <c r="BH407" i="2" s="1"/>
  <c r="BF402" i="2"/>
  <c r="BJ402" i="2" s="1"/>
  <c r="BL402" i="2" s="1"/>
  <c r="BG394" i="2"/>
  <c r="BH394" i="2" s="1"/>
  <c r="BF318" i="2"/>
  <c r="BJ318" i="2" s="1"/>
  <c r="BL318" i="2" s="1"/>
  <c r="BG307" i="2"/>
  <c r="BH307" i="2" s="1"/>
  <c r="BF306" i="2"/>
  <c r="BJ306" i="2" s="1"/>
  <c r="BL306" i="2" s="1"/>
  <c r="BG295" i="2"/>
  <c r="BH295" i="2" s="1"/>
  <c r="BF294" i="2"/>
  <c r="BJ294" i="2" s="1"/>
  <c r="BL294" i="2" s="1"/>
  <c r="BG283" i="2"/>
  <c r="BH283" i="2" s="1"/>
  <c r="BF282" i="2"/>
  <c r="BJ282" i="2" s="1"/>
  <c r="BL282" i="2" s="1"/>
  <c r="BG271" i="2"/>
  <c r="BH271" i="2" s="1"/>
  <c r="BF270" i="2"/>
  <c r="BJ270" i="2" s="1"/>
  <c r="BL270" i="2" s="1"/>
  <c r="BG259" i="2"/>
  <c r="BH259" i="2" s="1"/>
  <c r="BF258" i="2"/>
  <c r="BJ258" i="2" s="1"/>
  <c r="BL258" i="2" s="1"/>
  <c r="BG683" i="2"/>
  <c r="BH683" i="2" s="1"/>
  <c r="BF495" i="2"/>
  <c r="BJ495" i="2" s="1"/>
  <c r="BL495" i="2" s="1"/>
  <c r="BF426" i="2"/>
  <c r="BJ426" i="2" s="1"/>
  <c r="BL426" i="2" s="1"/>
  <c r="BF416" i="2"/>
  <c r="BJ416" i="2" s="1"/>
  <c r="BL416" i="2" s="1"/>
  <c r="BG414" i="2"/>
  <c r="BH414" i="2" s="1"/>
  <c r="BG397" i="2"/>
  <c r="BH397" i="2" s="1"/>
  <c r="BG389" i="2"/>
  <c r="BH389" i="2" s="1"/>
  <c r="BG386" i="2"/>
  <c r="BH386" i="2" s="1"/>
  <c r="BG383" i="2"/>
  <c r="BH383" i="2" s="1"/>
  <c r="BG376" i="2"/>
  <c r="BH376" i="2" s="1"/>
  <c r="BG372" i="2"/>
  <c r="BH372" i="2" s="1"/>
  <c r="BG368" i="2"/>
  <c r="BH368" i="2" s="1"/>
  <c r="BG364" i="2"/>
  <c r="BH364" i="2" s="1"/>
  <c r="BG360" i="2"/>
  <c r="BH360" i="2" s="1"/>
  <c r="BG356" i="2"/>
  <c r="BH356" i="2" s="1"/>
  <c r="BG352" i="2"/>
  <c r="BH352" i="2" s="1"/>
  <c r="BG348" i="2"/>
  <c r="BH348" i="2" s="1"/>
  <c r="BG344" i="2"/>
  <c r="BH344" i="2" s="1"/>
  <c r="BG340" i="2"/>
  <c r="BH340" i="2" s="1"/>
  <c r="BG336" i="2"/>
  <c r="BH336" i="2" s="1"/>
  <c r="BG332" i="2"/>
  <c r="BH332" i="2" s="1"/>
  <c r="BG328" i="2"/>
  <c r="BH328" i="2" s="1"/>
  <c r="BG324" i="2"/>
  <c r="BH324" i="2" s="1"/>
  <c r="BG319" i="2"/>
  <c r="BH319" i="2" s="1"/>
  <c r="BG308" i="2"/>
  <c r="BH308" i="2" s="1"/>
  <c r="BF537" i="2"/>
  <c r="BJ537" i="2" s="1"/>
  <c r="BL537" i="2" s="1"/>
  <c r="BF465" i="2"/>
  <c r="BJ465" i="2" s="1"/>
  <c r="BL465" i="2" s="1"/>
  <c r="BG433" i="2"/>
  <c r="BH433" i="2" s="1"/>
  <c r="BF414" i="2"/>
  <c r="BJ414" i="2" s="1"/>
  <c r="BL414" i="2" s="1"/>
  <c r="BF405" i="2"/>
  <c r="BJ405" i="2" s="1"/>
  <c r="BL405" i="2" s="1"/>
  <c r="BF397" i="2"/>
  <c r="BJ397" i="2" s="1"/>
  <c r="BL397" i="2" s="1"/>
  <c r="BF383" i="2"/>
  <c r="BJ383" i="2" s="1"/>
  <c r="BL383" i="2" s="1"/>
  <c r="BF380" i="2"/>
  <c r="BJ380" i="2" s="1"/>
  <c r="BL380" i="2" s="1"/>
  <c r="BF319" i="2"/>
  <c r="BJ319" i="2" s="1"/>
  <c r="BL319" i="2" s="1"/>
  <c r="BG309" i="2"/>
  <c r="BH309" i="2" s="1"/>
  <c r="BF308" i="2"/>
  <c r="BJ308" i="2" s="1"/>
  <c r="BL308" i="2" s="1"/>
  <c r="BG297" i="2"/>
  <c r="BH297" i="2" s="1"/>
  <c r="BF296" i="2"/>
  <c r="BJ296" i="2" s="1"/>
  <c r="BL296" i="2" s="1"/>
  <c r="BG285" i="2"/>
  <c r="BH285" i="2" s="1"/>
  <c r="BF284" i="2"/>
  <c r="BJ284" i="2" s="1"/>
  <c r="BL284" i="2" s="1"/>
  <c r="BF507" i="2"/>
  <c r="BJ507" i="2" s="1"/>
  <c r="BL507" i="2" s="1"/>
  <c r="BG428" i="2"/>
  <c r="BH428" i="2" s="1"/>
  <c r="BG421" i="2"/>
  <c r="BH421" i="2" s="1"/>
  <c r="BG412" i="2"/>
  <c r="BH412" i="2" s="1"/>
  <c r="BG400" i="2"/>
  <c r="BH400" i="2" s="1"/>
  <c r="BG392" i="2"/>
  <c r="BH392" i="2" s="1"/>
  <c r="BG320" i="2"/>
  <c r="BH320" i="2" s="1"/>
  <c r="BG310" i="2"/>
  <c r="BH310" i="2" s="1"/>
  <c r="BF309" i="2"/>
  <c r="BJ309" i="2" s="1"/>
  <c r="BL309" i="2" s="1"/>
  <c r="BG298" i="2"/>
  <c r="BH298" i="2" s="1"/>
  <c r="BF297" i="2"/>
  <c r="BJ297" i="2" s="1"/>
  <c r="BL297" i="2" s="1"/>
  <c r="BG286" i="2"/>
  <c r="BH286" i="2" s="1"/>
  <c r="BF285" i="2"/>
  <c r="BJ285" i="2" s="1"/>
  <c r="BL285" i="2" s="1"/>
  <c r="BG274" i="2"/>
  <c r="BH274" i="2" s="1"/>
  <c r="BF273" i="2"/>
  <c r="BJ273" i="2" s="1"/>
  <c r="BL273" i="2" s="1"/>
  <c r="BG262" i="2"/>
  <c r="BH262" i="2" s="1"/>
  <c r="BF261" i="2"/>
  <c r="BJ261" i="2" s="1"/>
  <c r="BL261" i="2" s="1"/>
  <c r="BF549" i="2"/>
  <c r="BJ549" i="2" s="1"/>
  <c r="BL549" i="2" s="1"/>
  <c r="BF477" i="2"/>
  <c r="BJ477" i="2" s="1"/>
  <c r="BL477" i="2" s="1"/>
  <c r="BF428" i="2"/>
  <c r="BJ428" i="2" s="1"/>
  <c r="BL428" i="2" s="1"/>
  <c r="BG419" i="2"/>
  <c r="BH419" i="2" s="1"/>
  <c r="BG410" i="2"/>
  <c r="BH410" i="2" s="1"/>
  <c r="BG403" i="2"/>
  <c r="BH403" i="2" s="1"/>
  <c r="BG395" i="2"/>
  <c r="BH395" i="2" s="1"/>
  <c r="BF392" i="2"/>
  <c r="BJ392" i="2" s="1"/>
  <c r="BL392" i="2" s="1"/>
  <c r="BG377" i="2"/>
  <c r="BH377" i="2" s="1"/>
  <c r="BG373" i="2"/>
  <c r="BH373" i="2" s="1"/>
  <c r="BG369" i="2"/>
  <c r="BH369" i="2" s="1"/>
  <c r="BG365" i="2"/>
  <c r="BH365" i="2" s="1"/>
  <c r="BG361" i="2"/>
  <c r="BH361" i="2" s="1"/>
  <c r="BG357" i="2"/>
  <c r="BH357" i="2" s="1"/>
  <c r="BG353" i="2"/>
  <c r="BH353" i="2" s="1"/>
  <c r="BG349" i="2"/>
  <c r="BH349" i="2" s="1"/>
  <c r="BG345" i="2"/>
  <c r="BH345" i="2" s="1"/>
  <c r="BG341" i="2"/>
  <c r="BH341" i="2" s="1"/>
  <c r="BG337" i="2"/>
  <c r="BH337" i="2" s="1"/>
  <c r="BG333" i="2"/>
  <c r="BH333" i="2" s="1"/>
  <c r="BG329" i="2"/>
  <c r="BH329" i="2" s="1"/>
  <c r="BG325" i="2"/>
  <c r="BH325" i="2" s="1"/>
  <c r="BF320" i="2"/>
  <c r="BJ320" i="2" s="1"/>
  <c r="BL320" i="2" s="1"/>
  <c r="BG311" i="2"/>
  <c r="BH311" i="2" s="1"/>
  <c r="BF310" i="2"/>
  <c r="BJ310" i="2" s="1"/>
  <c r="BL310" i="2" s="1"/>
  <c r="BG299" i="2"/>
  <c r="BH299" i="2" s="1"/>
  <c r="BF298" i="2"/>
  <c r="BJ298" i="2" s="1"/>
  <c r="BL298" i="2" s="1"/>
  <c r="BG625" i="2"/>
  <c r="BH625" i="2" s="1"/>
  <c r="BF519" i="2"/>
  <c r="BJ519" i="2" s="1"/>
  <c r="BL519" i="2" s="1"/>
  <c r="BF447" i="2"/>
  <c r="BJ447" i="2" s="1"/>
  <c r="BL447" i="2" s="1"/>
  <c r="BF435" i="2"/>
  <c r="BJ435" i="2" s="1"/>
  <c r="BL435" i="2" s="1"/>
  <c r="BF423" i="2"/>
  <c r="BJ423" i="2" s="1"/>
  <c r="BL423" i="2" s="1"/>
  <c r="BF410" i="2"/>
  <c r="BJ410" i="2" s="1"/>
  <c r="BL410" i="2" s="1"/>
  <c r="BG408" i="2"/>
  <c r="BH408" i="2" s="1"/>
  <c r="BF403" i="2"/>
  <c r="BJ403" i="2" s="1"/>
  <c r="BL403" i="2" s="1"/>
  <c r="BG390" i="2"/>
  <c r="BH390" i="2" s="1"/>
  <c r="BF387" i="2"/>
  <c r="BJ387" i="2" s="1"/>
  <c r="BL387" i="2" s="1"/>
  <c r="BG384" i="2"/>
  <c r="BH384" i="2" s="1"/>
  <c r="BG381" i="2"/>
  <c r="BH381" i="2" s="1"/>
  <c r="BG321" i="2"/>
  <c r="BH321" i="2" s="1"/>
  <c r="BG312" i="2"/>
  <c r="BH312" i="2" s="1"/>
  <c r="BF311" i="2"/>
  <c r="BJ311" i="2" s="1"/>
  <c r="BL311" i="2" s="1"/>
  <c r="BG300" i="2"/>
  <c r="BH300" i="2" s="1"/>
  <c r="BF299" i="2"/>
  <c r="BJ299" i="2" s="1"/>
  <c r="BL299" i="2" s="1"/>
  <c r="BG288" i="2"/>
  <c r="BH288" i="2" s="1"/>
  <c r="BF287" i="2"/>
  <c r="BJ287" i="2" s="1"/>
  <c r="BL287" i="2" s="1"/>
  <c r="BG612" i="2"/>
  <c r="BH612" i="2" s="1"/>
  <c r="BF489" i="2"/>
  <c r="BJ489" i="2" s="1"/>
  <c r="BL489" i="2" s="1"/>
  <c r="BG432" i="2"/>
  <c r="BH432" i="2" s="1"/>
  <c r="BF417" i="2"/>
  <c r="BJ417" i="2" s="1"/>
  <c r="BL417" i="2" s="1"/>
  <c r="BF408" i="2"/>
  <c r="BJ408" i="2" s="1"/>
  <c r="BL408" i="2" s="1"/>
  <c r="BG398" i="2"/>
  <c r="BH398" i="2" s="1"/>
  <c r="BF390" i="2"/>
  <c r="BJ390" i="2" s="1"/>
  <c r="BL390" i="2" s="1"/>
  <c r="BF384" i="2"/>
  <c r="BJ384" i="2" s="1"/>
  <c r="BL384" i="2" s="1"/>
  <c r="BF381" i="2"/>
  <c r="BJ381" i="2" s="1"/>
  <c r="BL381" i="2" s="1"/>
  <c r="BF321" i="2"/>
  <c r="BJ321" i="2" s="1"/>
  <c r="BL321" i="2" s="1"/>
  <c r="BG313" i="2"/>
  <c r="BH313" i="2" s="1"/>
  <c r="BF312" i="2"/>
  <c r="BJ312" i="2" s="1"/>
  <c r="BL312" i="2" s="1"/>
  <c r="BG301" i="2"/>
  <c r="BH301" i="2" s="1"/>
  <c r="BF300" i="2"/>
  <c r="BJ300" i="2" s="1"/>
  <c r="BL300" i="2" s="1"/>
  <c r="BG289" i="2"/>
  <c r="BH289" i="2" s="1"/>
  <c r="BF288" i="2"/>
  <c r="BJ288" i="2" s="1"/>
  <c r="BL288" i="2" s="1"/>
  <c r="BG277" i="2"/>
  <c r="BH277" i="2" s="1"/>
  <c r="BF276" i="2"/>
  <c r="BJ276" i="2" s="1"/>
  <c r="BL276" i="2" s="1"/>
  <c r="BG265" i="2"/>
  <c r="BH265" i="2" s="1"/>
  <c r="BF264" i="2"/>
  <c r="BJ264" i="2" s="1"/>
  <c r="BL264" i="2" s="1"/>
  <c r="BG603" i="2"/>
  <c r="BH603" i="2" s="1"/>
  <c r="BF531" i="2"/>
  <c r="BJ531" i="2" s="1"/>
  <c r="BL531" i="2" s="1"/>
  <c r="BF459" i="2"/>
  <c r="BJ459" i="2" s="1"/>
  <c r="BL459" i="2" s="1"/>
  <c r="BF432" i="2"/>
  <c r="BJ432" i="2" s="1"/>
  <c r="BL432" i="2" s="1"/>
  <c r="BG415" i="2"/>
  <c r="BH415" i="2" s="1"/>
  <c r="BG406" i="2"/>
  <c r="BH406" i="2" s="1"/>
  <c r="BG401" i="2"/>
  <c r="BH401" i="2" s="1"/>
  <c r="BF398" i="2"/>
  <c r="BJ398" i="2" s="1"/>
  <c r="BL398" i="2" s="1"/>
  <c r="BG378" i="2"/>
  <c r="BH378" i="2" s="1"/>
  <c r="BG374" i="2"/>
  <c r="BH374" i="2" s="1"/>
  <c r="BG370" i="2"/>
  <c r="BH370" i="2" s="1"/>
  <c r="BG366" i="2"/>
  <c r="BH366" i="2" s="1"/>
  <c r="BG362" i="2"/>
  <c r="BH362" i="2" s="1"/>
  <c r="BG358" i="2"/>
  <c r="BH358" i="2" s="1"/>
  <c r="BG354" i="2"/>
  <c r="BH354" i="2" s="1"/>
  <c r="BG350" i="2"/>
  <c r="BH350" i="2" s="1"/>
  <c r="BG346" i="2"/>
  <c r="BH346" i="2" s="1"/>
  <c r="BG342" i="2"/>
  <c r="BH342" i="2" s="1"/>
  <c r="BG338" i="2"/>
  <c r="BH338" i="2" s="1"/>
  <c r="BG334" i="2"/>
  <c r="BH334" i="2" s="1"/>
  <c r="BG330" i="2"/>
  <c r="BH330" i="2" s="1"/>
  <c r="BG326" i="2"/>
  <c r="BH326" i="2" s="1"/>
  <c r="BG322" i="2"/>
  <c r="BH322" i="2" s="1"/>
  <c r="BG314" i="2"/>
  <c r="BH314" i="2" s="1"/>
  <c r="BF313" i="2"/>
  <c r="BJ313" i="2" s="1"/>
  <c r="BL313" i="2" s="1"/>
  <c r="BG302" i="2"/>
  <c r="BH302" i="2" s="1"/>
  <c r="BF301" i="2"/>
  <c r="BJ301" i="2" s="1"/>
  <c r="BL301" i="2" s="1"/>
  <c r="BG290" i="2"/>
  <c r="BH290" i="2" s="1"/>
  <c r="BF289" i="2"/>
  <c r="BJ289" i="2" s="1"/>
  <c r="BL289" i="2" s="1"/>
  <c r="BG278" i="2"/>
  <c r="BH278" i="2" s="1"/>
  <c r="BF277" i="2"/>
  <c r="BJ277" i="2" s="1"/>
  <c r="BL277" i="2" s="1"/>
  <c r="BG266" i="2"/>
  <c r="BH266" i="2" s="1"/>
  <c r="BF265" i="2"/>
  <c r="BJ265" i="2" s="1"/>
  <c r="BL265" i="2" s="1"/>
  <c r="BG254" i="2"/>
  <c r="BH254" i="2" s="1"/>
  <c r="BF253" i="2"/>
  <c r="BJ253" i="2" s="1"/>
  <c r="BL253" i="2" s="1"/>
  <c r="BG242" i="2"/>
  <c r="BH242" i="2" s="1"/>
  <c r="BF241" i="2"/>
  <c r="BJ241" i="2" s="1"/>
  <c r="BL241" i="2" s="1"/>
  <c r="BG599" i="2"/>
  <c r="BH599" i="2" s="1"/>
  <c r="BF501" i="2"/>
  <c r="BJ501" i="2" s="1"/>
  <c r="BL501" i="2" s="1"/>
  <c r="BG427" i="2"/>
  <c r="BH427" i="2" s="1"/>
  <c r="BG413" i="2"/>
  <c r="BH413" i="2" s="1"/>
  <c r="BG396" i="2"/>
  <c r="BH396" i="2" s="1"/>
  <c r="BF393" i="2"/>
  <c r="BJ393" i="2" s="1"/>
  <c r="BL393" i="2" s="1"/>
  <c r="BF322" i="2"/>
  <c r="BJ322" i="2" s="1"/>
  <c r="BL322" i="2" s="1"/>
  <c r="BG315" i="2"/>
  <c r="BH315" i="2" s="1"/>
  <c r="BF314" i="2"/>
  <c r="BJ314" i="2" s="1"/>
  <c r="BL314" i="2" s="1"/>
  <c r="BG303" i="2"/>
  <c r="BH303" i="2" s="1"/>
  <c r="BF302" i="2"/>
  <c r="BJ302" i="2" s="1"/>
  <c r="BL302" i="2" s="1"/>
  <c r="BG291" i="2"/>
  <c r="BH291" i="2" s="1"/>
  <c r="BF290" i="2"/>
  <c r="BJ290" i="2" s="1"/>
  <c r="BL290" i="2" s="1"/>
  <c r="BG279" i="2"/>
  <c r="BH279" i="2" s="1"/>
  <c r="BF278" i="2"/>
  <c r="BJ278" i="2" s="1"/>
  <c r="BL278" i="2" s="1"/>
  <c r="BG267" i="2"/>
  <c r="BH267" i="2" s="1"/>
  <c r="BF266" i="2"/>
  <c r="BJ266" i="2" s="1"/>
  <c r="BL266" i="2" s="1"/>
  <c r="BG255" i="2"/>
  <c r="BH255" i="2" s="1"/>
  <c r="BF254" i="2"/>
  <c r="BJ254" i="2" s="1"/>
  <c r="BL254" i="2" s="1"/>
  <c r="BG243" i="2"/>
  <c r="BH243" i="2" s="1"/>
  <c r="BF242" i="2"/>
  <c r="BJ242" i="2" s="1"/>
  <c r="BL242" i="2" s="1"/>
  <c r="BG231" i="2"/>
  <c r="BH231" i="2" s="1"/>
  <c r="BG595" i="2"/>
  <c r="BH595" i="2" s="1"/>
  <c r="BG434" i="2"/>
  <c r="BH434" i="2" s="1"/>
  <c r="BG292" i="2"/>
  <c r="BH292" i="2" s="1"/>
  <c r="BG276" i="2"/>
  <c r="BH276" i="2" s="1"/>
  <c r="BF263" i="2"/>
  <c r="BJ263" i="2" s="1"/>
  <c r="BL263" i="2" s="1"/>
  <c r="BF255" i="2"/>
  <c r="BJ255" i="2" s="1"/>
  <c r="BL255" i="2" s="1"/>
  <c r="BG250" i="2"/>
  <c r="BH250" i="2" s="1"/>
  <c r="BG247" i="2"/>
  <c r="BH247" i="2" s="1"/>
  <c r="BF240" i="2"/>
  <c r="BJ240" i="2" s="1"/>
  <c r="BL240" i="2" s="1"/>
  <c r="BF237" i="2"/>
  <c r="BJ237" i="2" s="1"/>
  <c r="BL237" i="2" s="1"/>
  <c r="BF234" i="2"/>
  <c r="BJ234" i="2" s="1"/>
  <c r="BL234" i="2" s="1"/>
  <c r="BG225" i="2"/>
  <c r="BH225" i="2" s="1"/>
  <c r="BG388" i="2"/>
  <c r="BH388" i="2" s="1"/>
  <c r="BG296" i="2"/>
  <c r="BH296" i="2" s="1"/>
  <c r="BG280" i="2"/>
  <c r="BH280" i="2" s="1"/>
  <c r="BF267" i="2"/>
  <c r="BJ267" i="2" s="1"/>
  <c r="BL267" i="2" s="1"/>
  <c r="BF250" i="2"/>
  <c r="BJ250" i="2" s="1"/>
  <c r="BL250" i="2" s="1"/>
  <c r="BF247" i="2"/>
  <c r="BJ247" i="2" s="1"/>
  <c r="BL247" i="2" s="1"/>
  <c r="BG244" i="2"/>
  <c r="BH244" i="2" s="1"/>
  <c r="BF231" i="2"/>
  <c r="BJ231" i="2" s="1"/>
  <c r="BL231" i="2" s="1"/>
  <c r="BF225" i="2"/>
  <c r="BJ225" i="2" s="1"/>
  <c r="BL225" i="2" s="1"/>
  <c r="BF280" i="2"/>
  <c r="BJ280" i="2" s="1"/>
  <c r="BL280" i="2" s="1"/>
  <c r="BG269" i="2"/>
  <c r="BH269" i="2" s="1"/>
  <c r="BG253" i="2"/>
  <c r="BH253" i="2" s="1"/>
  <c r="BF244" i="2"/>
  <c r="BJ244" i="2" s="1"/>
  <c r="BL244" i="2" s="1"/>
  <c r="BG226" i="2"/>
  <c r="BH226" i="2" s="1"/>
  <c r="BF543" i="2"/>
  <c r="BJ543" i="2" s="1"/>
  <c r="BL543" i="2" s="1"/>
  <c r="BG404" i="2"/>
  <c r="BH404" i="2" s="1"/>
  <c r="BG385" i="2"/>
  <c r="BH385" i="2" s="1"/>
  <c r="BF291" i="2"/>
  <c r="BJ291" i="2" s="1"/>
  <c r="BL291" i="2" s="1"/>
  <c r="BF271" i="2"/>
  <c r="BJ271" i="2" s="1"/>
  <c r="BL271" i="2" s="1"/>
  <c r="BG260" i="2"/>
  <c r="BH260" i="2" s="1"/>
  <c r="BG241" i="2"/>
  <c r="BH241" i="2" s="1"/>
  <c r="BG238" i="2"/>
  <c r="BH238" i="2" s="1"/>
  <c r="BG235" i="2"/>
  <c r="BH235" i="2" s="1"/>
  <c r="BF226" i="2"/>
  <c r="BJ226" i="2" s="1"/>
  <c r="BL226" i="2" s="1"/>
  <c r="BF307" i="2"/>
  <c r="BJ307" i="2" s="1"/>
  <c r="BL307" i="2" s="1"/>
  <c r="BF295" i="2"/>
  <c r="BJ295" i="2" s="1"/>
  <c r="BL295" i="2" s="1"/>
  <c r="BG273" i="2"/>
  <c r="BH273" i="2" s="1"/>
  <c r="BF260" i="2"/>
  <c r="BJ260" i="2" s="1"/>
  <c r="BL260" i="2" s="1"/>
  <c r="BG251" i="2"/>
  <c r="BH251" i="2" s="1"/>
  <c r="BG248" i="2"/>
  <c r="BH248" i="2" s="1"/>
  <c r="BF238" i="2"/>
  <c r="BJ238" i="2" s="1"/>
  <c r="BL238" i="2" s="1"/>
  <c r="BF235" i="2"/>
  <c r="BJ235" i="2" s="1"/>
  <c r="BL235" i="2" s="1"/>
  <c r="BG232" i="2"/>
  <c r="BH232" i="2" s="1"/>
  <c r="BG227" i="2"/>
  <c r="BH227" i="2" s="1"/>
  <c r="BG422" i="2"/>
  <c r="BH422" i="2" s="1"/>
  <c r="BG382" i="2"/>
  <c r="BH382" i="2" s="1"/>
  <c r="BG284" i="2"/>
  <c r="BH284" i="2" s="1"/>
  <c r="BG275" i="2"/>
  <c r="BH275" i="2" s="1"/>
  <c r="BF262" i="2"/>
  <c r="BJ262" i="2" s="1"/>
  <c r="BL262" i="2" s="1"/>
  <c r="BG256" i="2"/>
  <c r="BH256" i="2" s="1"/>
  <c r="BF251" i="2"/>
  <c r="BJ251" i="2" s="1"/>
  <c r="BL251" i="2" s="1"/>
  <c r="BF248" i="2"/>
  <c r="BJ248" i="2" s="1"/>
  <c r="BL248" i="2" s="1"/>
  <c r="BG245" i="2"/>
  <c r="BH245" i="2" s="1"/>
  <c r="BF232" i="2"/>
  <c r="BJ232" i="2" s="1"/>
  <c r="BL232" i="2" s="1"/>
  <c r="BF227" i="2"/>
  <c r="BJ227" i="2" s="1"/>
  <c r="BL227" i="2" s="1"/>
  <c r="BG420" i="2"/>
  <c r="BH420" i="2" s="1"/>
  <c r="BG287" i="2"/>
  <c r="BH287" i="2" s="1"/>
  <c r="BF275" i="2"/>
  <c r="BJ275" i="2" s="1"/>
  <c r="BL275" i="2" s="1"/>
  <c r="BG264" i="2"/>
  <c r="BH264" i="2" s="1"/>
  <c r="BF256" i="2"/>
  <c r="BJ256" i="2" s="1"/>
  <c r="BL256" i="2" s="1"/>
  <c r="BG228" i="2"/>
  <c r="BH228" i="2" s="1"/>
  <c r="BG316" i="2"/>
  <c r="BH316" i="2" s="1"/>
  <c r="BF279" i="2"/>
  <c r="BJ279" i="2" s="1"/>
  <c r="BL279" i="2" s="1"/>
  <c r="BG268" i="2"/>
  <c r="BH268" i="2" s="1"/>
  <c r="BG239" i="2"/>
  <c r="BH239" i="2" s="1"/>
  <c r="BG236" i="2"/>
  <c r="BH236" i="2" s="1"/>
  <c r="BF228" i="2"/>
  <c r="BJ228" i="2" s="1"/>
  <c r="BL228" i="2" s="1"/>
  <c r="BG222" i="2"/>
  <c r="BH222" i="2" s="1"/>
  <c r="BG221" i="2"/>
  <c r="BH221" i="2" s="1"/>
  <c r="BG220" i="2"/>
  <c r="BH220" i="2" s="1"/>
  <c r="BG219" i="2"/>
  <c r="BH219" i="2" s="1"/>
  <c r="BG218" i="2"/>
  <c r="BH218" i="2" s="1"/>
  <c r="BG217" i="2"/>
  <c r="BH217" i="2" s="1"/>
  <c r="BG216" i="2"/>
  <c r="BH216" i="2" s="1"/>
  <c r="BG215" i="2"/>
  <c r="BH215" i="2" s="1"/>
  <c r="BG214" i="2"/>
  <c r="BH214" i="2" s="1"/>
  <c r="BF471" i="2"/>
  <c r="BJ471" i="2" s="1"/>
  <c r="BL471" i="2" s="1"/>
  <c r="BF396" i="2"/>
  <c r="BJ396" i="2" s="1"/>
  <c r="BL396" i="2" s="1"/>
  <c r="BF315" i="2"/>
  <c r="BJ315" i="2" s="1"/>
  <c r="BL315" i="2" s="1"/>
  <c r="BG281" i="2"/>
  <c r="BH281" i="2" s="1"/>
  <c r="BF268" i="2"/>
  <c r="BJ268" i="2" s="1"/>
  <c r="BL268" i="2" s="1"/>
  <c r="BG249" i="2"/>
  <c r="BH249" i="2" s="1"/>
  <c r="BF239" i="2"/>
  <c r="BJ239" i="2" s="1"/>
  <c r="BL239" i="2" s="1"/>
  <c r="BF236" i="2"/>
  <c r="BJ236" i="2" s="1"/>
  <c r="BL236" i="2" s="1"/>
  <c r="BG233" i="2"/>
  <c r="BH233" i="2" s="1"/>
  <c r="BG229" i="2"/>
  <c r="BH229" i="2" s="1"/>
  <c r="BG223" i="2"/>
  <c r="BH223" i="2" s="1"/>
  <c r="BF222" i="2"/>
  <c r="BJ222" i="2" s="1"/>
  <c r="BL222" i="2" s="1"/>
  <c r="BF221" i="2"/>
  <c r="BJ221" i="2" s="1"/>
  <c r="BL221" i="2" s="1"/>
  <c r="BF220" i="2"/>
  <c r="BJ220" i="2" s="1"/>
  <c r="BL220" i="2" s="1"/>
  <c r="BF219" i="2"/>
  <c r="BJ219" i="2" s="1"/>
  <c r="BL219" i="2" s="1"/>
  <c r="BF218" i="2"/>
  <c r="BJ218" i="2" s="1"/>
  <c r="BL218" i="2" s="1"/>
  <c r="BF217" i="2"/>
  <c r="BJ217" i="2" s="1"/>
  <c r="BL217" i="2" s="1"/>
  <c r="BF216" i="2"/>
  <c r="BJ216" i="2" s="1"/>
  <c r="BL216" i="2" s="1"/>
  <c r="BG304" i="2"/>
  <c r="BH304" i="2" s="1"/>
  <c r="BF283" i="2"/>
  <c r="BJ283" i="2" s="1"/>
  <c r="BL283" i="2" s="1"/>
  <c r="BG272" i="2"/>
  <c r="BH272" i="2" s="1"/>
  <c r="BG252" i="2"/>
  <c r="BH252" i="2" s="1"/>
  <c r="BF249" i="2"/>
  <c r="BJ249" i="2" s="1"/>
  <c r="BL249" i="2" s="1"/>
  <c r="BF246" i="2"/>
  <c r="BJ246" i="2" s="1"/>
  <c r="BL246" i="2" s="1"/>
  <c r="BF229" i="2"/>
  <c r="BJ229" i="2" s="1"/>
  <c r="BL229" i="2" s="1"/>
  <c r="BF223" i="2"/>
  <c r="BJ223" i="2" s="1"/>
  <c r="BL223" i="2" s="1"/>
  <c r="BF286" i="2"/>
  <c r="BJ286" i="2" s="1"/>
  <c r="BL286" i="2" s="1"/>
  <c r="BF272" i="2"/>
  <c r="BJ272" i="2" s="1"/>
  <c r="BL272" i="2" s="1"/>
  <c r="BG261" i="2"/>
  <c r="BH261" i="2" s="1"/>
  <c r="BF259" i="2"/>
  <c r="BJ259" i="2" s="1"/>
  <c r="BL259" i="2" s="1"/>
  <c r="BF252" i="2"/>
  <c r="BJ252" i="2" s="1"/>
  <c r="BL252" i="2" s="1"/>
  <c r="BF243" i="2"/>
  <c r="BJ243" i="2" s="1"/>
  <c r="BL243" i="2" s="1"/>
  <c r="BG230" i="2"/>
  <c r="BH230" i="2" s="1"/>
  <c r="BG224" i="2"/>
  <c r="BH224" i="2" s="1"/>
  <c r="BG240" i="2"/>
  <c r="BH240" i="2" s="1"/>
  <c r="BF224" i="2"/>
  <c r="BJ224" i="2" s="1"/>
  <c r="BL224" i="2" s="1"/>
  <c r="BF210" i="2"/>
  <c r="BJ210" i="2" s="1"/>
  <c r="BL210" i="2" s="1"/>
  <c r="BF207" i="2"/>
  <c r="BJ207" i="2" s="1"/>
  <c r="BL207" i="2" s="1"/>
  <c r="BF204" i="2"/>
  <c r="BJ204" i="2" s="1"/>
  <c r="BL204" i="2" s="1"/>
  <c r="BF201" i="2"/>
  <c r="BJ201" i="2" s="1"/>
  <c r="BL201" i="2" s="1"/>
  <c r="BF198" i="2"/>
  <c r="BJ198" i="2" s="1"/>
  <c r="BL198" i="2" s="1"/>
  <c r="BF195" i="2"/>
  <c r="BJ195" i="2" s="1"/>
  <c r="BL195" i="2" s="1"/>
  <c r="BF192" i="2"/>
  <c r="BJ192" i="2" s="1"/>
  <c r="BL192" i="2" s="1"/>
  <c r="BG189" i="2"/>
  <c r="BH189" i="2" s="1"/>
  <c r="BF182" i="2"/>
  <c r="BJ182" i="2" s="1"/>
  <c r="BL182" i="2" s="1"/>
  <c r="BG180" i="2"/>
  <c r="BH180" i="2" s="1"/>
  <c r="BF175" i="2"/>
  <c r="BJ175" i="2" s="1"/>
  <c r="BL175" i="2" s="1"/>
  <c r="BG168" i="2"/>
  <c r="BH168" i="2" s="1"/>
  <c r="BF163" i="2"/>
  <c r="BJ163" i="2" s="1"/>
  <c r="BL163" i="2" s="1"/>
  <c r="BG156" i="2"/>
  <c r="BH156" i="2" s="1"/>
  <c r="BF151" i="2"/>
  <c r="BJ151" i="2" s="1"/>
  <c r="BL151" i="2" s="1"/>
  <c r="BG144" i="2"/>
  <c r="BH144" i="2" s="1"/>
  <c r="BF139" i="2"/>
  <c r="BJ139" i="2" s="1"/>
  <c r="BL139" i="2" s="1"/>
  <c r="BF136" i="2"/>
  <c r="BJ136" i="2" s="1"/>
  <c r="BL136" i="2" s="1"/>
  <c r="BF133" i="2"/>
  <c r="BJ133" i="2" s="1"/>
  <c r="BL133" i="2" s="1"/>
  <c r="BF130" i="2"/>
  <c r="BJ130" i="2" s="1"/>
  <c r="BL130" i="2" s="1"/>
  <c r="BF127" i="2"/>
  <c r="BJ127" i="2" s="1"/>
  <c r="BL127" i="2" s="1"/>
  <c r="BF124" i="2"/>
  <c r="BJ124" i="2" s="1"/>
  <c r="BL124" i="2" s="1"/>
  <c r="BF121" i="2"/>
  <c r="BJ121" i="2" s="1"/>
  <c r="BL121" i="2" s="1"/>
  <c r="BF118" i="2"/>
  <c r="BJ118" i="2" s="1"/>
  <c r="BL118" i="2" s="1"/>
  <c r="BF115" i="2"/>
  <c r="BJ115" i="2" s="1"/>
  <c r="BL115" i="2" s="1"/>
  <c r="BF112" i="2"/>
  <c r="BJ112" i="2" s="1"/>
  <c r="BL112" i="2" s="1"/>
  <c r="BF109" i="2"/>
  <c r="BJ109" i="2" s="1"/>
  <c r="BL109" i="2" s="1"/>
  <c r="BF106" i="2"/>
  <c r="BJ106" i="2" s="1"/>
  <c r="BL106" i="2" s="1"/>
  <c r="BF103" i="2"/>
  <c r="BJ103" i="2" s="1"/>
  <c r="BL103" i="2" s="1"/>
  <c r="BF99" i="2"/>
  <c r="BJ99" i="2" s="1"/>
  <c r="BL99" i="2" s="1"/>
  <c r="BF95" i="2"/>
  <c r="BJ95" i="2" s="1"/>
  <c r="BL95" i="2" s="1"/>
  <c r="BG91" i="2"/>
  <c r="BH91" i="2" s="1"/>
  <c r="BG84" i="2"/>
  <c r="BH84" i="2" s="1"/>
  <c r="BF83" i="2"/>
  <c r="BJ83" i="2" s="1"/>
  <c r="BL83" i="2" s="1"/>
  <c r="BG72" i="2"/>
  <c r="BH72" i="2" s="1"/>
  <c r="BF71" i="2"/>
  <c r="BJ71" i="2" s="1"/>
  <c r="BL71" i="2" s="1"/>
  <c r="BG60" i="2"/>
  <c r="BH60" i="2" s="1"/>
  <c r="BF59" i="2"/>
  <c r="BJ59" i="2" s="1"/>
  <c r="BL59" i="2" s="1"/>
  <c r="BF55" i="2"/>
  <c r="BJ55" i="2" s="1"/>
  <c r="BL55" i="2" s="1"/>
  <c r="BF49" i="2"/>
  <c r="BJ49" i="2" s="1"/>
  <c r="BL49" i="2" s="1"/>
  <c r="BF39" i="2"/>
  <c r="BJ39" i="2" s="1"/>
  <c r="BL39" i="2" s="1"/>
  <c r="BF33" i="2"/>
  <c r="BJ33" i="2" s="1"/>
  <c r="BL33" i="2" s="1"/>
  <c r="BG257" i="2"/>
  <c r="BH257" i="2" s="1"/>
  <c r="BG213" i="2"/>
  <c r="BH213" i="2" s="1"/>
  <c r="BF189" i="2"/>
  <c r="BJ189" i="2" s="1"/>
  <c r="BL189" i="2" s="1"/>
  <c r="BG184" i="2"/>
  <c r="BH184" i="2" s="1"/>
  <c r="BF180" i="2"/>
  <c r="BJ180" i="2" s="1"/>
  <c r="BL180" i="2" s="1"/>
  <c r="BG173" i="2"/>
  <c r="BH173" i="2" s="1"/>
  <c r="BF168" i="2"/>
  <c r="BJ168" i="2" s="1"/>
  <c r="BL168" i="2" s="1"/>
  <c r="BG161" i="2"/>
  <c r="BH161" i="2" s="1"/>
  <c r="BF156" i="2"/>
  <c r="BJ156" i="2" s="1"/>
  <c r="BL156" i="2" s="1"/>
  <c r="BG149" i="2"/>
  <c r="BH149" i="2" s="1"/>
  <c r="BF144" i="2"/>
  <c r="BJ144" i="2" s="1"/>
  <c r="BL144" i="2" s="1"/>
  <c r="BF91" i="2"/>
  <c r="BJ91" i="2" s="1"/>
  <c r="BL91" i="2" s="1"/>
  <c r="BG85" i="2"/>
  <c r="BH85" i="2" s="1"/>
  <c r="BF84" i="2"/>
  <c r="BJ84" i="2" s="1"/>
  <c r="BL84" i="2" s="1"/>
  <c r="BG73" i="2"/>
  <c r="BH73" i="2" s="1"/>
  <c r="BF72" i="2"/>
  <c r="BJ72" i="2" s="1"/>
  <c r="BL72" i="2" s="1"/>
  <c r="BG61" i="2"/>
  <c r="BH61" i="2" s="1"/>
  <c r="BF60" i="2"/>
  <c r="BJ60" i="2" s="1"/>
  <c r="BL60" i="2" s="1"/>
  <c r="BG54" i="2"/>
  <c r="BH54" i="2" s="1"/>
  <c r="BG48" i="2"/>
  <c r="BH48" i="2" s="1"/>
  <c r="BG47" i="2"/>
  <c r="BH47" i="2" s="1"/>
  <c r="BG46" i="2"/>
  <c r="BH46" i="2" s="1"/>
  <c r="BG45" i="2"/>
  <c r="BH45" i="2" s="1"/>
  <c r="BG44" i="2"/>
  <c r="BH44" i="2" s="1"/>
  <c r="BG40" i="2"/>
  <c r="BH40" i="2" s="1"/>
  <c r="BG34" i="2"/>
  <c r="BH34" i="2" s="1"/>
  <c r="BG28" i="2"/>
  <c r="BH28" i="2" s="1"/>
  <c r="BG237" i="2"/>
  <c r="BH237" i="2" s="1"/>
  <c r="BF213" i="2"/>
  <c r="BJ213" i="2" s="1"/>
  <c r="BL213" i="2" s="1"/>
  <c r="BF184" i="2"/>
  <c r="BJ184" i="2" s="1"/>
  <c r="BL184" i="2" s="1"/>
  <c r="BG178" i="2"/>
  <c r="BH178" i="2" s="1"/>
  <c r="BF173" i="2"/>
  <c r="BJ173" i="2" s="1"/>
  <c r="BL173" i="2" s="1"/>
  <c r="BG166" i="2"/>
  <c r="BH166" i="2" s="1"/>
  <c r="BF161" i="2"/>
  <c r="BJ161" i="2" s="1"/>
  <c r="BL161" i="2" s="1"/>
  <c r="BG154" i="2"/>
  <c r="BH154" i="2" s="1"/>
  <c r="BF149" i="2"/>
  <c r="BJ149" i="2" s="1"/>
  <c r="BL149" i="2" s="1"/>
  <c r="BG142" i="2"/>
  <c r="BH142" i="2" s="1"/>
  <c r="BG100" i="2"/>
  <c r="BH100" i="2" s="1"/>
  <c r="BG96" i="2"/>
  <c r="BH96" i="2" s="1"/>
  <c r="BG92" i="2"/>
  <c r="BH92" i="2" s="1"/>
  <c r="BG86" i="2"/>
  <c r="BH86" i="2" s="1"/>
  <c r="BF85" i="2"/>
  <c r="BJ85" i="2" s="1"/>
  <c r="BL85" i="2" s="1"/>
  <c r="BG74" i="2"/>
  <c r="BH74" i="2" s="1"/>
  <c r="BF73" i="2"/>
  <c r="BJ73" i="2" s="1"/>
  <c r="BL73" i="2" s="1"/>
  <c r="BG62" i="2"/>
  <c r="BH62" i="2" s="1"/>
  <c r="BF61" i="2"/>
  <c r="BJ61" i="2" s="1"/>
  <c r="BL61" i="2" s="1"/>
  <c r="BF54" i="2"/>
  <c r="BJ54" i="2" s="1"/>
  <c r="BL54" i="2" s="1"/>
  <c r="BF48" i="2"/>
  <c r="BJ48" i="2" s="1"/>
  <c r="BL48" i="2" s="1"/>
  <c r="BF47" i="2"/>
  <c r="BJ47" i="2" s="1"/>
  <c r="BL47" i="2" s="1"/>
  <c r="BF46" i="2"/>
  <c r="BJ46" i="2" s="1"/>
  <c r="BL46" i="2" s="1"/>
  <c r="BF45" i="2"/>
  <c r="BJ45" i="2" s="1"/>
  <c r="BL45" i="2" s="1"/>
  <c r="BF44" i="2"/>
  <c r="BJ44" i="2" s="1"/>
  <c r="BL44" i="2" s="1"/>
  <c r="BF40" i="2"/>
  <c r="BJ40" i="2" s="1"/>
  <c r="BL40" i="2" s="1"/>
  <c r="BF34" i="2"/>
  <c r="BJ34" i="2" s="1"/>
  <c r="BL34" i="2" s="1"/>
  <c r="BF28" i="2"/>
  <c r="BJ28" i="2" s="1"/>
  <c r="BL28" i="2" s="1"/>
  <c r="BG20" i="2"/>
  <c r="BH20" i="2" s="1"/>
  <c r="BG18" i="2"/>
  <c r="BH18" i="2" s="1"/>
  <c r="BG16" i="2"/>
  <c r="BH16" i="2" s="1"/>
  <c r="BG209" i="2"/>
  <c r="BH209" i="2" s="1"/>
  <c r="BG206" i="2"/>
  <c r="BH206" i="2" s="1"/>
  <c r="BG203" i="2"/>
  <c r="BH203" i="2" s="1"/>
  <c r="BG200" i="2"/>
  <c r="BH200" i="2" s="1"/>
  <c r="BG197" i="2"/>
  <c r="BH197" i="2" s="1"/>
  <c r="BG194" i="2"/>
  <c r="BH194" i="2" s="1"/>
  <c r="BG191" i="2"/>
  <c r="BH191" i="2" s="1"/>
  <c r="BG186" i="2"/>
  <c r="BH186" i="2" s="1"/>
  <c r="BF178" i="2"/>
  <c r="BJ178" i="2" s="1"/>
  <c r="BL178" i="2" s="1"/>
  <c r="BG171" i="2"/>
  <c r="BH171" i="2" s="1"/>
  <c r="BF166" i="2"/>
  <c r="BJ166" i="2" s="1"/>
  <c r="BL166" i="2" s="1"/>
  <c r="BG159" i="2"/>
  <c r="BH159" i="2" s="1"/>
  <c r="BF154" i="2"/>
  <c r="BJ154" i="2" s="1"/>
  <c r="BL154" i="2" s="1"/>
  <c r="BG147" i="2"/>
  <c r="BH147" i="2" s="1"/>
  <c r="BF142" i="2"/>
  <c r="BJ142" i="2" s="1"/>
  <c r="BL142" i="2" s="1"/>
  <c r="BG137" i="2"/>
  <c r="BH137" i="2" s="1"/>
  <c r="BG134" i="2"/>
  <c r="BH134" i="2" s="1"/>
  <c r="BG131" i="2"/>
  <c r="BH131" i="2" s="1"/>
  <c r="BG128" i="2"/>
  <c r="BH128" i="2" s="1"/>
  <c r="BG125" i="2"/>
  <c r="BH125" i="2" s="1"/>
  <c r="BG122" i="2"/>
  <c r="BH122" i="2" s="1"/>
  <c r="BG119" i="2"/>
  <c r="BH119" i="2" s="1"/>
  <c r="BG116" i="2"/>
  <c r="BH116" i="2" s="1"/>
  <c r="BG113" i="2"/>
  <c r="BH113" i="2" s="1"/>
  <c r="BG110" i="2"/>
  <c r="BH110" i="2" s="1"/>
  <c r="BG107" i="2"/>
  <c r="BH107" i="2" s="1"/>
  <c r="BG104" i="2"/>
  <c r="BH104" i="2" s="1"/>
  <c r="BF100" i="2"/>
  <c r="BJ100" i="2" s="1"/>
  <c r="BL100" i="2" s="1"/>
  <c r="BF96" i="2"/>
  <c r="BJ96" i="2" s="1"/>
  <c r="BL96" i="2" s="1"/>
  <c r="BF92" i="2"/>
  <c r="BJ92" i="2" s="1"/>
  <c r="BL92" i="2" s="1"/>
  <c r="BF86" i="2"/>
  <c r="BJ86" i="2" s="1"/>
  <c r="BL86" i="2" s="1"/>
  <c r="BG75" i="2"/>
  <c r="BH75" i="2" s="1"/>
  <c r="BF74" i="2"/>
  <c r="BJ74" i="2" s="1"/>
  <c r="BL74" i="2" s="1"/>
  <c r="BG63" i="2"/>
  <c r="BH63" i="2" s="1"/>
  <c r="BF62" i="2"/>
  <c r="BJ62" i="2" s="1"/>
  <c r="BL62" i="2" s="1"/>
  <c r="BG53" i="2"/>
  <c r="BH53" i="2" s="1"/>
  <c r="BG41" i="2"/>
  <c r="BH41" i="2" s="1"/>
  <c r="BG35" i="2"/>
  <c r="BH35" i="2" s="1"/>
  <c r="BG29" i="2"/>
  <c r="BH29" i="2" s="1"/>
  <c r="BF20" i="2"/>
  <c r="BJ20" i="2" s="1"/>
  <c r="BL20" i="2" s="1"/>
  <c r="BF18" i="2"/>
  <c r="BJ18" i="2" s="1"/>
  <c r="BL18" i="2" s="1"/>
  <c r="BF16" i="2"/>
  <c r="BJ16" i="2" s="1"/>
  <c r="BL16" i="2" s="1"/>
  <c r="BF12" i="2"/>
  <c r="BJ12" i="2" s="1"/>
  <c r="BL12" i="2" s="1"/>
  <c r="BG212" i="2"/>
  <c r="BH212" i="2" s="1"/>
  <c r="BF209" i="2"/>
  <c r="BJ209" i="2" s="1"/>
  <c r="BL209" i="2" s="1"/>
  <c r="BF206" i="2"/>
  <c r="BJ206" i="2" s="1"/>
  <c r="BL206" i="2" s="1"/>
  <c r="BF203" i="2"/>
  <c r="BJ203" i="2" s="1"/>
  <c r="BL203" i="2" s="1"/>
  <c r="BF200" i="2"/>
  <c r="BJ200" i="2" s="1"/>
  <c r="BL200" i="2" s="1"/>
  <c r="BF197" i="2"/>
  <c r="BJ197" i="2" s="1"/>
  <c r="BL197" i="2" s="1"/>
  <c r="BF194" i="2"/>
  <c r="BJ194" i="2" s="1"/>
  <c r="BL194" i="2" s="1"/>
  <c r="BF191" i="2"/>
  <c r="BJ191" i="2" s="1"/>
  <c r="BL191" i="2" s="1"/>
  <c r="BF186" i="2"/>
  <c r="BJ186" i="2" s="1"/>
  <c r="BL186" i="2" s="1"/>
  <c r="BG176" i="2"/>
  <c r="BH176" i="2" s="1"/>
  <c r="BF171" i="2"/>
  <c r="BJ171" i="2" s="1"/>
  <c r="BL171" i="2" s="1"/>
  <c r="BG164" i="2"/>
  <c r="BH164" i="2" s="1"/>
  <c r="BF159" i="2"/>
  <c r="BJ159" i="2" s="1"/>
  <c r="BL159" i="2" s="1"/>
  <c r="BG152" i="2"/>
  <c r="BH152" i="2" s="1"/>
  <c r="BF147" i="2"/>
  <c r="BJ147" i="2" s="1"/>
  <c r="BL147" i="2" s="1"/>
  <c r="BG140" i="2"/>
  <c r="BH140" i="2" s="1"/>
  <c r="BF137" i="2"/>
  <c r="BJ137" i="2" s="1"/>
  <c r="BL137" i="2" s="1"/>
  <c r="BF134" i="2"/>
  <c r="BJ134" i="2" s="1"/>
  <c r="BL134" i="2" s="1"/>
  <c r="BF131" i="2"/>
  <c r="BJ131" i="2" s="1"/>
  <c r="BL131" i="2" s="1"/>
  <c r="BF128" i="2"/>
  <c r="BJ128" i="2" s="1"/>
  <c r="BL128" i="2" s="1"/>
  <c r="BF125" i="2"/>
  <c r="BJ125" i="2" s="1"/>
  <c r="BL125" i="2" s="1"/>
  <c r="BF122" i="2"/>
  <c r="BJ122" i="2" s="1"/>
  <c r="BL122" i="2" s="1"/>
  <c r="BF119" i="2"/>
  <c r="BJ119" i="2" s="1"/>
  <c r="BL119" i="2" s="1"/>
  <c r="BF116" i="2"/>
  <c r="BJ116" i="2" s="1"/>
  <c r="BL116" i="2" s="1"/>
  <c r="BF113" i="2"/>
  <c r="BJ113" i="2" s="1"/>
  <c r="BL113" i="2" s="1"/>
  <c r="BF110" i="2"/>
  <c r="BJ110" i="2" s="1"/>
  <c r="BL110" i="2" s="1"/>
  <c r="BF107" i="2"/>
  <c r="BJ107" i="2" s="1"/>
  <c r="BL107" i="2" s="1"/>
  <c r="BF104" i="2"/>
  <c r="BJ104" i="2" s="1"/>
  <c r="BL104" i="2" s="1"/>
  <c r="BG87" i="2"/>
  <c r="BH87" i="2" s="1"/>
  <c r="BG76" i="2"/>
  <c r="BH76" i="2" s="1"/>
  <c r="BF75" i="2"/>
  <c r="BJ75" i="2" s="1"/>
  <c r="BL75" i="2" s="1"/>
  <c r="BG64" i="2"/>
  <c r="BH64" i="2" s="1"/>
  <c r="BF63" i="2"/>
  <c r="BJ63" i="2" s="1"/>
  <c r="BL63" i="2" s="1"/>
  <c r="BF53" i="2"/>
  <c r="BJ53" i="2" s="1"/>
  <c r="BL53" i="2" s="1"/>
  <c r="BF41" i="2"/>
  <c r="BJ41" i="2" s="1"/>
  <c r="BL41" i="2" s="1"/>
  <c r="BF35" i="2"/>
  <c r="BJ35" i="2" s="1"/>
  <c r="BL35" i="2" s="1"/>
  <c r="BF29" i="2"/>
  <c r="BJ29" i="2" s="1"/>
  <c r="BL29" i="2" s="1"/>
  <c r="BG24" i="2"/>
  <c r="BH24" i="2" s="1"/>
  <c r="BG23" i="2"/>
  <c r="BH23" i="2" s="1"/>
  <c r="BF274" i="2"/>
  <c r="BJ274" i="2" s="1"/>
  <c r="BL274" i="2" s="1"/>
  <c r="BF212" i="2"/>
  <c r="BJ212" i="2" s="1"/>
  <c r="BL212" i="2" s="1"/>
  <c r="BG188" i="2"/>
  <c r="BH188" i="2" s="1"/>
  <c r="BG181" i="2"/>
  <c r="BH181" i="2" s="1"/>
  <c r="BF176" i="2"/>
  <c r="BJ176" i="2" s="1"/>
  <c r="BL176" i="2" s="1"/>
  <c r="BG169" i="2"/>
  <c r="BH169" i="2" s="1"/>
  <c r="BF164" i="2"/>
  <c r="BJ164" i="2" s="1"/>
  <c r="BL164" i="2" s="1"/>
  <c r="BG157" i="2"/>
  <c r="BH157" i="2" s="1"/>
  <c r="BF152" i="2"/>
  <c r="BJ152" i="2" s="1"/>
  <c r="BL152" i="2" s="1"/>
  <c r="BG145" i="2"/>
  <c r="BH145" i="2" s="1"/>
  <c r="BF140" i="2"/>
  <c r="BJ140" i="2" s="1"/>
  <c r="BL140" i="2" s="1"/>
  <c r="BG101" i="2"/>
  <c r="BH101" i="2" s="1"/>
  <c r="BG97" i="2"/>
  <c r="BH97" i="2" s="1"/>
  <c r="BG93" i="2"/>
  <c r="BH93" i="2" s="1"/>
  <c r="BF87" i="2"/>
  <c r="BJ87" i="2" s="1"/>
  <c r="BL87" i="2" s="1"/>
  <c r="BG77" i="2"/>
  <c r="BH77" i="2" s="1"/>
  <c r="BF76" i="2"/>
  <c r="BJ76" i="2" s="1"/>
  <c r="BL76" i="2" s="1"/>
  <c r="BG65" i="2"/>
  <c r="BH65" i="2" s="1"/>
  <c r="BF64" i="2"/>
  <c r="BJ64" i="2" s="1"/>
  <c r="BL64" i="2" s="1"/>
  <c r="BG52" i="2"/>
  <c r="BH52" i="2" s="1"/>
  <c r="BG42" i="2"/>
  <c r="BH42" i="2" s="1"/>
  <c r="BG36" i="2"/>
  <c r="BH36" i="2" s="1"/>
  <c r="BG30" i="2"/>
  <c r="BH30" i="2" s="1"/>
  <c r="BF24" i="2"/>
  <c r="BJ24" i="2" s="1"/>
  <c r="BL24" i="2" s="1"/>
  <c r="BF23" i="2"/>
  <c r="BJ23" i="2" s="1"/>
  <c r="BL23" i="2" s="1"/>
  <c r="BF188" i="2"/>
  <c r="BJ188" i="2" s="1"/>
  <c r="BL188" i="2" s="1"/>
  <c r="BG183" i="2"/>
  <c r="BH183" i="2" s="1"/>
  <c r="BF181" i="2"/>
  <c r="BJ181" i="2" s="1"/>
  <c r="BL181" i="2" s="1"/>
  <c r="BG174" i="2"/>
  <c r="BH174" i="2" s="1"/>
  <c r="BF169" i="2"/>
  <c r="BJ169" i="2" s="1"/>
  <c r="BL169" i="2" s="1"/>
  <c r="BG162" i="2"/>
  <c r="BH162" i="2" s="1"/>
  <c r="BF157" i="2"/>
  <c r="BJ157" i="2" s="1"/>
  <c r="BL157" i="2" s="1"/>
  <c r="BG150" i="2"/>
  <c r="BH150" i="2" s="1"/>
  <c r="BF145" i="2"/>
  <c r="BJ145" i="2" s="1"/>
  <c r="BL145" i="2" s="1"/>
  <c r="BF101" i="2"/>
  <c r="BJ101" i="2" s="1"/>
  <c r="BL101" i="2" s="1"/>
  <c r="BF97" i="2"/>
  <c r="BJ97" i="2" s="1"/>
  <c r="BL97" i="2" s="1"/>
  <c r="BF93" i="2"/>
  <c r="BJ93" i="2" s="1"/>
  <c r="BL93" i="2" s="1"/>
  <c r="BG88" i="2"/>
  <c r="BH88" i="2" s="1"/>
  <c r="BG78" i="2"/>
  <c r="BH78" i="2" s="1"/>
  <c r="BF77" i="2"/>
  <c r="BJ77" i="2" s="1"/>
  <c r="BL77" i="2" s="1"/>
  <c r="BG66" i="2"/>
  <c r="BH66" i="2" s="1"/>
  <c r="BF65" i="2"/>
  <c r="BJ65" i="2" s="1"/>
  <c r="BL65" i="2" s="1"/>
  <c r="BF52" i="2"/>
  <c r="BJ52" i="2" s="1"/>
  <c r="BL52" i="2" s="1"/>
  <c r="BF42" i="2"/>
  <c r="BJ42" i="2" s="1"/>
  <c r="BL42" i="2" s="1"/>
  <c r="BF36" i="2"/>
  <c r="BJ36" i="2" s="1"/>
  <c r="BL36" i="2" s="1"/>
  <c r="BF30" i="2"/>
  <c r="BJ30" i="2" s="1"/>
  <c r="BL30" i="2" s="1"/>
  <c r="BG25" i="2"/>
  <c r="BH25" i="2" s="1"/>
  <c r="BF230" i="2"/>
  <c r="BJ230" i="2" s="1"/>
  <c r="BL230" i="2" s="1"/>
  <c r="BG211" i="2"/>
  <c r="BH211" i="2" s="1"/>
  <c r="BG208" i="2"/>
  <c r="BH208" i="2" s="1"/>
  <c r="BG205" i="2"/>
  <c r="BH205" i="2" s="1"/>
  <c r="BG202" i="2"/>
  <c r="BH202" i="2" s="1"/>
  <c r="BG199" i="2"/>
  <c r="BH199" i="2" s="1"/>
  <c r="BG196" i="2"/>
  <c r="BH196" i="2" s="1"/>
  <c r="BG193" i="2"/>
  <c r="BH193" i="2" s="1"/>
  <c r="BG190" i="2"/>
  <c r="BH190" i="2" s="1"/>
  <c r="BF183" i="2"/>
  <c r="BJ183" i="2" s="1"/>
  <c r="BL183" i="2" s="1"/>
  <c r="BG179" i="2"/>
  <c r="BH179" i="2" s="1"/>
  <c r="BF174" i="2"/>
  <c r="BJ174" i="2" s="1"/>
  <c r="BL174" i="2" s="1"/>
  <c r="BG167" i="2"/>
  <c r="BH167" i="2" s="1"/>
  <c r="BF162" i="2"/>
  <c r="BJ162" i="2" s="1"/>
  <c r="BL162" i="2" s="1"/>
  <c r="BG155" i="2"/>
  <c r="BH155" i="2" s="1"/>
  <c r="BF150" i="2"/>
  <c r="BJ150" i="2" s="1"/>
  <c r="BL150" i="2" s="1"/>
  <c r="BG143" i="2"/>
  <c r="BH143" i="2" s="1"/>
  <c r="BG138" i="2"/>
  <c r="BH138" i="2" s="1"/>
  <c r="BG135" i="2"/>
  <c r="BH135" i="2" s="1"/>
  <c r="BG132" i="2"/>
  <c r="BH132" i="2" s="1"/>
  <c r="BG129" i="2"/>
  <c r="BH129" i="2" s="1"/>
  <c r="BG126" i="2"/>
  <c r="BH126" i="2" s="1"/>
  <c r="BG123" i="2"/>
  <c r="BH123" i="2" s="1"/>
  <c r="BG120" i="2"/>
  <c r="BH120" i="2" s="1"/>
  <c r="BG117" i="2"/>
  <c r="BH117" i="2" s="1"/>
  <c r="BG114" i="2"/>
  <c r="BH114" i="2" s="1"/>
  <c r="BG111" i="2"/>
  <c r="BH111" i="2" s="1"/>
  <c r="BG108" i="2"/>
  <c r="BH108" i="2" s="1"/>
  <c r="BG105" i="2"/>
  <c r="BH105" i="2" s="1"/>
  <c r="BF88" i="2"/>
  <c r="BJ88" i="2" s="1"/>
  <c r="BL88" i="2" s="1"/>
  <c r="BG79" i="2"/>
  <c r="BH79" i="2" s="1"/>
  <c r="BF78" i="2"/>
  <c r="BJ78" i="2" s="1"/>
  <c r="BL78" i="2" s="1"/>
  <c r="BG67" i="2"/>
  <c r="BH67" i="2" s="1"/>
  <c r="BF66" i="2"/>
  <c r="BJ66" i="2" s="1"/>
  <c r="BL66" i="2" s="1"/>
  <c r="BG51" i="2"/>
  <c r="BH51" i="2" s="1"/>
  <c r="BG37" i="2"/>
  <c r="BH37" i="2" s="1"/>
  <c r="BG31" i="2"/>
  <c r="BH31" i="2" s="1"/>
  <c r="BG26" i="2"/>
  <c r="BH26" i="2" s="1"/>
  <c r="BF25" i="2"/>
  <c r="BJ25" i="2" s="1"/>
  <c r="BL25" i="2" s="1"/>
  <c r="BF303" i="2"/>
  <c r="BJ303" i="2" s="1"/>
  <c r="BL303" i="2" s="1"/>
  <c r="BF211" i="2"/>
  <c r="BJ211" i="2" s="1"/>
  <c r="BL211" i="2" s="1"/>
  <c r="BF208" i="2"/>
  <c r="BJ208" i="2" s="1"/>
  <c r="BL208" i="2" s="1"/>
  <c r="BF205" i="2"/>
  <c r="BJ205" i="2" s="1"/>
  <c r="BL205" i="2" s="1"/>
  <c r="BF202" i="2"/>
  <c r="BJ202" i="2" s="1"/>
  <c r="BL202" i="2" s="1"/>
  <c r="BF199" i="2"/>
  <c r="BJ199" i="2" s="1"/>
  <c r="BL199" i="2" s="1"/>
  <c r="BF196" i="2"/>
  <c r="BJ196" i="2" s="1"/>
  <c r="BL196" i="2" s="1"/>
  <c r="BF193" i="2"/>
  <c r="BJ193" i="2" s="1"/>
  <c r="BL193" i="2" s="1"/>
  <c r="BF190" i="2"/>
  <c r="BJ190" i="2" s="1"/>
  <c r="BL190" i="2" s="1"/>
  <c r="BG185" i="2"/>
  <c r="BH185" i="2" s="1"/>
  <c r="BF179" i="2"/>
  <c r="BJ179" i="2" s="1"/>
  <c r="BL179" i="2" s="1"/>
  <c r="BG172" i="2"/>
  <c r="BH172" i="2" s="1"/>
  <c r="BF167" i="2"/>
  <c r="BJ167" i="2" s="1"/>
  <c r="BL167" i="2" s="1"/>
  <c r="BG160" i="2"/>
  <c r="BH160" i="2" s="1"/>
  <c r="BF155" i="2"/>
  <c r="BJ155" i="2" s="1"/>
  <c r="BL155" i="2" s="1"/>
  <c r="BG148" i="2"/>
  <c r="BH148" i="2" s="1"/>
  <c r="BF143" i="2"/>
  <c r="BJ143" i="2" s="1"/>
  <c r="BL143" i="2" s="1"/>
  <c r="BF138" i="2"/>
  <c r="BJ138" i="2" s="1"/>
  <c r="BL138" i="2" s="1"/>
  <c r="BF135" i="2"/>
  <c r="BJ135" i="2" s="1"/>
  <c r="BL135" i="2" s="1"/>
  <c r="BF132" i="2"/>
  <c r="BJ132" i="2" s="1"/>
  <c r="BL132" i="2" s="1"/>
  <c r="BF129" i="2"/>
  <c r="BJ129" i="2" s="1"/>
  <c r="BL129" i="2" s="1"/>
  <c r="BF126" i="2"/>
  <c r="BJ126" i="2" s="1"/>
  <c r="BL126" i="2" s="1"/>
  <c r="BF123" i="2"/>
  <c r="BJ123" i="2" s="1"/>
  <c r="BL123" i="2" s="1"/>
  <c r="BF120" i="2"/>
  <c r="BJ120" i="2" s="1"/>
  <c r="BL120" i="2" s="1"/>
  <c r="BF117" i="2"/>
  <c r="BJ117" i="2" s="1"/>
  <c r="BL117" i="2" s="1"/>
  <c r="BF114" i="2"/>
  <c r="BJ114" i="2" s="1"/>
  <c r="BL114" i="2" s="1"/>
  <c r="BF111" i="2"/>
  <c r="BJ111" i="2" s="1"/>
  <c r="BL111" i="2" s="1"/>
  <c r="BF108" i="2"/>
  <c r="BJ108" i="2" s="1"/>
  <c r="BL108" i="2" s="1"/>
  <c r="BF105" i="2"/>
  <c r="BJ105" i="2" s="1"/>
  <c r="BL105" i="2" s="1"/>
  <c r="BG102" i="2"/>
  <c r="BH102" i="2" s="1"/>
  <c r="BG98" i="2"/>
  <c r="BH98" i="2" s="1"/>
  <c r="BG94" i="2"/>
  <c r="BH94" i="2" s="1"/>
  <c r="BG89" i="2"/>
  <c r="BH89" i="2" s="1"/>
  <c r="BG80" i="2"/>
  <c r="BH80" i="2" s="1"/>
  <c r="BF79" i="2"/>
  <c r="BJ79" i="2" s="1"/>
  <c r="BL79" i="2" s="1"/>
  <c r="BG68" i="2"/>
  <c r="BH68" i="2" s="1"/>
  <c r="BF67" i="2"/>
  <c r="BJ67" i="2" s="1"/>
  <c r="BL67" i="2" s="1"/>
  <c r="BF51" i="2"/>
  <c r="BJ51" i="2" s="1"/>
  <c r="BL51" i="2" s="1"/>
  <c r="BF37" i="2"/>
  <c r="BJ37" i="2" s="1"/>
  <c r="BL37" i="2" s="1"/>
  <c r="BF31" i="2"/>
  <c r="BJ31" i="2" s="1"/>
  <c r="BL31" i="2" s="1"/>
  <c r="BF26" i="2"/>
  <c r="BJ26" i="2" s="1"/>
  <c r="BL26" i="2" s="1"/>
  <c r="BF215" i="2"/>
  <c r="BJ215" i="2" s="1"/>
  <c r="BL215" i="2" s="1"/>
  <c r="BF185" i="2"/>
  <c r="BJ185" i="2" s="1"/>
  <c r="BL185" i="2" s="1"/>
  <c r="BG177" i="2"/>
  <c r="BH177" i="2" s="1"/>
  <c r="BF172" i="2"/>
  <c r="BJ172" i="2" s="1"/>
  <c r="BL172" i="2" s="1"/>
  <c r="BG165" i="2"/>
  <c r="BH165" i="2" s="1"/>
  <c r="BF160" i="2"/>
  <c r="BJ160" i="2" s="1"/>
  <c r="BL160" i="2" s="1"/>
  <c r="BG153" i="2"/>
  <c r="BH153" i="2" s="1"/>
  <c r="BF148" i="2"/>
  <c r="BJ148" i="2" s="1"/>
  <c r="BL148" i="2" s="1"/>
  <c r="BG141" i="2"/>
  <c r="BH141" i="2" s="1"/>
  <c r="BF102" i="2"/>
  <c r="BJ102" i="2" s="1"/>
  <c r="BL102" i="2" s="1"/>
  <c r="BF98" i="2"/>
  <c r="BJ98" i="2" s="1"/>
  <c r="BL98" i="2" s="1"/>
  <c r="BF94" i="2"/>
  <c r="BJ94" i="2" s="1"/>
  <c r="BL94" i="2" s="1"/>
  <c r="BF89" i="2"/>
  <c r="BJ89" i="2" s="1"/>
  <c r="BL89" i="2" s="1"/>
  <c r="BG81" i="2"/>
  <c r="BH81" i="2" s="1"/>
  <c r="BF80" i="2"/>
  <c r="BJ80" i="2" s="1"/>
  <c r="BL80" i="2" s="1"/>
  <c r="BG69" i="2"/>
  <c r="BH69" i="2" s="1"/>
  <c r="BF68" i="2"/>
  <c r="BJ68" i="2" s="1"/>
  <c r="BL68" i="2" s="1"/>
  <c r="BG57" i="2"/>
  <c r="BH57" i="2" s="1"/>
  <c r="BG50" i="2"/>
  <c r="BH50" i="2" s="1"/>
  <c r="BG43" i="2"/>
  <c r="BH43" i="2" s="1"/>
  <c r="BG38" i="2"/>
  <c r="BH38" i="2" s="1"/>
  <c r="BG32" i="2"/>
  <c r="BH32" i="2" s="1"/>
  <c r="BG27" i="2"/>
  <c r="BH27" i="2" s="1"/>
  <c r="BF19" i="2"/>
  <c r="BJ19" i="2" s="1"/>
  <c r="BL19" i="2" s="1"/>
  <c r="BG263" i="2"/>
  <c r="BH263" i="2" s="1"/>
  <c r="BG187" i="2"/>
  <c r="BH187" i="2" s="1"/>
  <c r="BF177" i="2"/>
  <c r="BJ177" i="2" s="1"/>
  <c r="BL177" i="2" s="1"/>
  <c r="BG170" i="2"/>
  <c r="BH170" i="2" s="1"/>
  <c r="BF165" i="2"/>
  <c r="BJ165" i="2" s="1"/>
  <c r="BL165" i="2" s="1"/>
  <c r="BG158" i="2"/>
  <c r="BH158" i="2" s="1"/>
  <c r="BF153" i="2"/>
  <c r="BJ153" i="2" s="1"/>
  <c r="BL153" i="2" s="1"/>
  <c r="BG146" i="2"/>
  <c r="BH146" i="2" s="1"/>
  <c r="BF141" i="2"/>
  <c r="BJ141" i="2" s="1"/>
  <c r="BL141" i="2" s="1"/>
  <c r="BG90" i="2"/>
  <c r="BH90" i="2" s="1"/>
  <c r="BG82" i="2"/>
  <c r="BH82" i="2" s="1"/>
  <c r="BF81" i="2"/>
  <c r="BJ81" i="2" s="1"/>
  <c r="BL81" i="2" s="1"/>
  <c r="BG70" i="2"/>
  <c r="BH70" i="2" s="1"/>
  <c r="BF69" i="2"/>
  <c r="BJ69" i="2" s="1"/>
  <c r="BL69" i="2" s="1"/>
  <c r="BG58" i="2"/>
  <c r="BH58" i="2" s="1"/>
  <c r="BF57" i="2"/>
  <c r="BJ57" i="2" s="1"/>
  <c r="BL57" i="2" s="1"/>
  <c r="BG56" i="2"/>
  <c r="BH56" i="2" s="1"/>
  <c r="BF50" i="2"/>
  <c r="BJ50" i="2" s="1"/>
  <c r="BL50" i="2" s="1"/>
  <c r="BF43" i="2"/>
  <c r="BJ43" i="2" s="1"/>
  <c r="BL43" i="2" s="1"/>
  <c r="BF38" i="2"/>
  <c r="BJ38" i="2" s="1"/>
  <c r="BL38" i="2" s="1"/>
  <c r="BF32" i="2"/>
  <c r="BJ32" i="2" s="1"/>
  <c r="BL32" i="2" s="1"/>
  <c r="BF27" i="2"/>
  <c r="BJ27" i="2" s="1"/>
  <c r="BL27" i="2" s="1"/>
  <c r="BG22" i="2"/>
  <c r="BH22" i="2" s="1"/>
  <c r="BG21" i="2"/>
  <c r="BH21" i="2" s="1"/>
  <c r="BF146" i="2"/>
  <c r="BJ146" i="2" s="1"/>
  <c r="BL146" i="2" s="1"/>
  <c r="BG127" i="2"/>
  <c r="BH127" i="2" s="1"/>
  <c r="BG109" i="2"/>
  <c r="BH109" i="2" s="1"/>
  <c r="BF22" i="2"/>
  <c r="BJ22" i="2" s="1"/>
  <c r="BL22" i="2" s="1"/>
  <c r="BF21" i="2"/>
  <c r="BJ21" i="2" s="1"/>
  <c r="BL21" i="2" s="1"/>
  <c r="BG13" i="2"/>
  <c r="BH13" i="2" s="1"/>
  <c r="BF187" i="2"/>
  <c r="BJ187" i="2" s="1"/>
  <c r="BL187" i="2" s="1"/>
  <c r="BG163" i="2"/>
  <c r="BH163" i="2" s="1"/>
  <c r="BG124" i="2"/>
  <c r="BH124" i="2" s="1"/>
  <c r="BG106" i="2"/>
  <c r="BH106" i="2" s="1"/>
  <c r="BF90" i="2"/>
  <c r="BJ90" i="2" s="1"/>
  <c r="BL90" i="2" s="1"/>
  <c r="BG33" i="2"/>
  <c r="BH33" i="2" s="1"/>
  <c r="BG6" i="2"/>
  <c r="BH6" i="2" s="1"/>
  <c r="BG182" i="2"/>
  <c r="BH182" i="2" s="1"/>
  <c r="BF214" i="2"/>
  <c r="BJ214" i="2" s="1"/>
  <c r="BL214" i="2" s="1"/>
  <c r="BG139" i="2"/>
  <c r="BH139" i="2" s="1"/>
  <c r="BG121" i="2"/>
  <c r="BH121" i="2" s="1"/>
  <c r="BG103" i="2"/>
  <c r="BH103" i="2" s="1"/>
  <c r="BG210" i="2"/>
  <c r="BH210" i="2" s="1"/>
  <c r="BF158" i="2"/>
  <c r="BJ158" i="2" s="1"/>
  <c r="BL158" i="2" s="1"/>
  <c r="BG49" i="2"/>
  <c r="BH49" i="2" s="1"/>
  <c r="BG14" i="2"/>
  <c r="BH14" i="2" s="1"/>
  <c r="BF13" i="2"/>
  <c r="BJ13" i="2" s="1"/>
  <c r="BL13" i="2" s="1"/>
  <c r="BG7" i="2"/>
  <c r="BH7" i="2" s="1"/>
  <c r="BG207" i="2"/>
  <c r="BH207" i="2" s="1"/>
  <c r="BG136" i="2"/>
  <c r="BH136" i="2" s="1"/>
  <c r="BG118" i="2"/>
  <c r="BH118" i="2" s="1"/>
  <c r="BG59" i="2"/>
  <c r="BH59" i="2" s="1"/>
  <c r="BF14" i="2"/>
  <c r="BJ14" i="2" s="1"/>
  <c r="BL14" i="2" s="1"/>
  <c r="BG204" i="2"/>
  <c r="BH204" i="2" s="1"/>
  <c r="BG175" i="2"/>
  <c r="BH175" i="2" s="1"/>
  <c r="BG99" i="2"/>
  <c r="BH99" i="2" s="1"/>
  <c r="BG71" i="2"/>
  <c r="BH71" i="2" s="1"/>
  <c r="BF58" i="2"/>
  <c r="BJ58" i="2" s="1"/>
  <c r="BL58" i="2" s="1"/>
  <c r="BG39" i="2"/>
  <c r="BH39" i="2" s="1"/>
  <c r="BG201" i="2"/>
  <c r="BH201" i="2" s="1"/>
  <c r="BG133" i="2"/>
  <c r="BH133" i="2" s="1"/>
  <c r="BG115" i="2"/>
  <c r="BH115" i="2" s="1"/>
  <c r="BG83" i="2"/>
  <c r="BH83" i="2" s="1"/>
  <c r="BF70" i="2"/>
  <c r="BJ70" i="2" s="1"/>
  <c r="BL70" i="2" s="1"/>
  <c r="BG17" i="2"/>
  <c r="BH17" i="2" s="1"/>
  <c r="BG8" i="2"/>
  <c r="BH8" i="2" s="1"/>
  <c r="BG198" i="2"/>
  <c r="BH198" i="2" s="1"/>
  <c r="BG151" i="2"/>
  <c r="BH151" i="2" s="1"/>
  <c r="BF82" i="2"/>
  <c r="BJ82" i="2" s="1"/>
  <c r="BL82" i="2" s="1"/>
  <c r="BF56" i="2"/>
  <c r="BJ56" i="2" s="1"/>
  <c r="BL56" i="2" s="1"/>
  <c r="BG19" i="2"/>
  <c r="BH19" i="2" s="1"/>
  <c r="BF17" i="2"/>
  <c r="BJ17" i="2" s="1"/>
  <c r="BL17" i="2" s="1"/>
  <c r="BG195" i="2"/>
  <c r="BH195" i="2" s="1"/>
  <c r="BF170" i="2"/>
  <c r="BJ170" i="2" s="1"/>
  <c r="BL170" i="2" s="1"/>
  <c r="BG130" i="2"/>
  <c r="BH130" i="2" s="1"/>
  <c r="BG112" i="2"/>
  <c r="BH112" i="2" s="1"/>
  <c r="BG95" i="2"/>
  <c r="BH95" i="2" s="1"/>
  <c r="BG55" i="2"/>
  <c r="BH55" i="2" s="1"/>
  <c r="BG11" i="2"/>
  <c r="BH11" i="2" s="1"/>
  <c r="BG9" i="2"/>
  <c r="BH9" i="2" s="1"/>
  <c r="BF11" i="2"/>
  <c r="BJ11" i="2" s="1"/>
  <c r="BL11" i="2" s="1"/>
  <c r="BF9" i="2"/>
  <c r="BJ9" i="2" s="1"/>
  <c r="BL9" i="2" s="1"/>
  <c r="BG15" i="2"/>
  <c r="BH15" i="2" s="1"/>
  <c r="BF15" i="2"/>
  <c r="BJ15" i="2" s="1"/>
  <c r="BL15" i="2" s="1"/>
  <c r="BG10" i="2"/>
  <c r="BH10" i="2" s="1"/>
  <c r="BF10" i="2"/>
  <c r="BJ10" i="2" s="1"/>
  <c r="BL10" i="2" s="1"/>
  <c r="BG5" i="2"/>
  <c r="BH5" i="2" s="1"/>
  <c r="BF6" i="2"/>
  <c r="BJ6" i="2" s="1"/>
  <c r="BL6" i="2" s="1"/>
  <c r="BF5" i="2"/>
  <c r="BJ5" i="2" s="1"/>
  <c r="BL5" i="2" s="1"/>
  <c r="BF7" i="2"/>
  <c r="BJ7" i="2" s="1"/>
  <c r="BL7" i="2" s="1"/>
  <c r="BG4" i="2"/>
  <c r="BH4" i="2" s="1"/>
  <c r="BF4" i="2"/>
  <c r="BJ4" i="2" s="1"/>
  <c r="BL4" i="2" s="1"/>
  <c r="BG3" i="2"/>
  <c r="BH3" i="2" s="1"/>
  <c r="BF8" i="2"/>
  <c r="BJ8" i="2" s="1"/>
  <c r="BL8" i="2" s="1"/>
  <c r="BF3" i="2"/>
  <c r="BJ3" i="2" s="1"/>
  <c r="BG192" i="2"/>
  <c r="BH192" i="2" s="1"/>
  <c r="BG12" i="2"/>
  <c r="BH12" i="2" s="1"/>
  <c r="BE1496" i="2"/>
  <c r="CQ38" i="2"/>
  <c r="BW4" i="2" l="1"/>
  <c r="CF4" i="2" s="1"/>
  <c r="CG4" i="2" s="1"/>
  <c r="BB129" i="2"/>
  <c r="BC36" i="2"/>
  <c r="BD36" i="2" s="1"/>
  <c r="BE36" i="2" s="1"/>
  <c r="BC107" i="2"/>
  <c r="BD107" i="2" s="1"/>
  <c r="BE107" i="2" s="1"/>
  <c r="BC13" i="2"/>
  <c r="BD13" i="2" s="1"/>
  <c r="BE13" i="2" s="1"/>
  <c r="BC43" i="2"/>
  <c r="BD43" i="2" s="1"/>
  <c r="BE43" i="2" s="1"/>
  <c r="BC231" i="2"/>
  <c r="BD231" i="2" s="1"/>
  <c r="BE231" i="2" s="1"/>
  <c r="BB425" i="2"/>
  <c r="BC348" i="2"/>
  <c r="BD348" i="2" s="1"/>
  <c r="BE348" i="2" s="1"/>
  <c r="BC313" i="2"/>
  <c r="BD313" i="2" s="1"/>
  <c r="BE313" i="2" s="1"/>
  <c r="BC473" i="2"/>
  <c r="BD473" i="2" s="1"/>
  <c r="BE473" i="2" s="1"/>
  <c r="BB652" i="2"/>
  <c r="BB732" i="2"/>
  <c r="BB774" i="2"/>
  <c r="BC937" i="2"/>
  <c r="BD937" i="2" s="1"/>
  <c r="BE937" i="2" s="1"/>
  <c r="BC147" i="2"/>
  <c r="BD147" i="2" s="1"/>
  <c r="BE147" i="2" s="1"/>
  <c r="BB82" i="2"/>
  <c r="BC15" i="2"/>
  <c r="BD15" i="2" s="1"/>
  <c r="BE15" i="2" s="1"/>
  <c r="BB276" i="2"/>
  <c r="BB285" i="2"/>
  <c r="BC306" i="2"/>
  <c r="BD306" i="2" s="1"/>
  <c r="BE306" i="2" s="1"/>
  <c r="BB391" i="2"/>
  <c r="BB490" i="2"/>
  <c r="BB708" i="2"/>
  <c r="BB686" i="2"/>
  <c r="BB861" i="2"/>
  <c r="BB1061" i="2"/>
  <c r="CP10" i="2"/>
  <c r="BV8" i="2"/>
  <c r="CE8" i="2" s="1"/>
  <c r="BB12" i="2"/>
  <c r="BB75" i="2"/>
  <c r="BB154" i="2"/>
  <c r="BB121" i="2"/>
  <c r="BC89" i="2"/>
  <c r="BD89" i="2" s="1"/>
  <c r="BE89" i="2" s="1"/>
  <c r="BB406" i="2"/>
  <c r="BC341" i="2"/>
  <c r="BD341" i="2" s="1"/>
  <c r="BE341" i="2" s="1"/>
  <c r="BC536" i="2"/>
  <c r="BD536" i="2" s="1"/>
  <c r="BE536" i="2" s="1"/>
  <c r="BB463" i="2"/>
  <c r="BB592" i="2"/>
  <c r="BB650" i="2"/>
  <c r="BC773" i="2"/>
  <c r="BD773" i="2" s="1"/>
  <c r="BE773" i="2" s="1"/>
  <c r="BC885" i="2"/>
  <c r="BD885" i="2" s="1"/>
  <c r="BE885" i="2" s="1"/>
  <c r="BB941" i="2"/>
  <c r="CP21" i="2"/>
  <c r="BT8" i="2"/>
  <c r="CC8" i="2" s="1"/>
  <c r="BB88" i="2"/>
  <c r="BC76" i="2"/>
  <c r="BD76" i="2" s="1"/>
  <c r="BE76" i="2" s="1"/>
  <c r="BB206" i="2"/>
  <c r="BB175" i="2"/>
  <c r="BB94" i="2"/>
  <c r="BB212" i="2"/>
  <c r="BC403" i="2"/>
  <c r="BD403" i="2" s="1"/>
  <c r="BE403" i="2" s="1"/>
  <c r="BB292" i="2"/>
  <c r="BB535" i="2"/>
  <c r="BC502" i="2"/>
  <c r="BD502" i="2" s="1"/>
  <c r="BE502" i="2" s="1"/>
  <c r="BC711" i="2"/>
  <c r="BD711" i="2" s="1"/>
  <c r="BE711" i="2" s="1"/>
  <c r="BB747" i="2"/>
  <c r="BB896" i="2"/>
  <c r="BT10" i="2"/>
  <c r="CC10" i="2" s="1"/>
  <c r="BT9" i="2"/>
  <c r="CC9" i="2" s="1"/>
  <c r="BC3" i="2"/>
  <c r="BD3" i="2" s="1"/>
  <c r="BE3" i="2" s="1"/>
  <c r="BB176" i="2"/>
  <c r="BB209" i="2"/>
  <c r="BB50" i="2"/>
  <c r="BC214" i="2"/>
  <c r="BD214" i="2" s="1"/>
  <c r="BE214" i="2" s="1"/>
  <c r="BB213" i="2"/>
  <c r="BB308" i="2"/>
  <c r="BB343" i="2"/>
  <c r="BB582" i="2"/>
  <c r="BB543" i="2"/>
  <c r="BC644" i="2"/>
  <c r="BD644" i="2" s="1"/>
  <c r="BE644" i="2" s="1"/>
  <c r="BB758" i="2"/>
  <c r="BB914" i="2"/>
  <c r="BK1634" i="2"/>
  <c r="BI1634" i="2"/>
  <c r="BX13" i="2" s="1"/>
  <c r="BV9" i="2"/>
  <c r="CE9" i="2" s="1"/>
  <c r="BB1594" i="2"/>
  <c r="BC66" i="2"/>
  <c r="BD66" i="2" s="1"/>
  <c r="BE66" i="2" s="1"/>
  <c r="BC181" i="2"/>
  <c r="BD181" i="2" s="1"/>
  <c r="BE181" i="2" s="1"/>
  <c r="BC54" i="2"/>
  <c r="BD54" i="2" s="1"/>
  <c r="BE54" i="2" s="1"/>
  <c r="BC103" i="2"/>
  <c r="BD103" i="2" s="1"/>
  <c r="BE103" i="2" s="1"/>
  <c r="BC228" i="2"/>
  <c r="BD228" i="2" s="1"/>
  <c r="BE228" i="2" s="1"/>
  <c r="BC229" i="2"/>
  <c r="BD229" i="2" s="1"/>
  <c r="BE229" i="2" s="1"/>
  <c r="BB295" i="2"/>
  <c r="BB347" i="2"/>
  <c r="BC475" i="2"/>
  <c r="BD475" i="2" s="1"/>
  <c r="BE475" i="2" s="1"/>
  <c r="BB586" i="2"/>
  <c r="BB605" i="2"/>
  <c r="BC846" i="2"/>
  <c r="BD846" i="2" s="1"/>
  <c r="BE846" i="2" s="1"/>
  <c r="BB815" i="2"/>
  <c r="BB1067" i="2"/>
  <c r="BB77" i="2"/>
  <c r="BB74" i="2"/>
  <c r="BC154" i="2"/>
  <c r="BD154" i="2" s="1"/>
  <c r="BE154" i="2" s="1"/>
  <c r="BC106" i="2"/>
  <c r="BD106" i="2" s="1"/>
  <c r="BE106" i="2" s="1"/>
  <c r="BB279" i="2"/>
  <c r="BB311" i="2"/>
  <c r="BC296" i="2"/>
  <c r="BD296" i="2" s="1"/>
  <c r="BE296" i="2" s="1"/>
  <c r="BC407" i="2"/>
  <c r="BD407" i="2" s="1"/>
  <c r="BE407" i="2" s="1"/>
  <c r="BB462" i="2"/>
  <c r="BC429" i="2"/>
  <c r="BD429" i="2" s="1"/>
  <c r="BE429" i="2" s="1"/>
  <c r="BB649" i="2"/>
  <c r="BB814" i="2"/>
  <c r="BC815" i="2"/>
  <c r="BD815" i="2" s="1"/>
  <c r="BE815" i="2" s="1"/>
  <c r="BB1064" i="2"/>
  <c r="BV5" i="2"/>
  <c r="CE5" i="2" s="1"/>
  <c r="CP20" i="2"/>
  <c r="BC129" i="2"/>
  <c r="BD129" i="2" s="1"/>
  <c r="BE129" i="2" s="1"/>
  <c r="BC75" i="2"/>
  <c r="BD75" i="2" s="1"/>
  <c r="BE75" i="2" s="1"/>
  <c r="BC219" i="2"/>
  <c r="BD219" i="2" s="1"/>
  <c r="BE219" i="2" s="1"/>
  <c r="BC139" i="2"/>
  <c r="BD139" i="2" s="1"/>
  <c r="BE139" i="2" s="1"/>
  <c r="BC415" i="2"/>
  <c r="BD415" i="2" s="1"/>
  <c r="BE415" i="2" s="1"/>
  <c r="BC299" i="2"/>
  <c r="BD299" i="2" s="1"/>
  <c r="BE299" i="2" s="1"/>
  <c r="BB352" i="2"/>
  <c r="BC347" i="2"/>
  <c r="BD347" i="2" s="1"/>
  <c r="BE347" i="2" s="1"/>
  <c r="BC522" i="2"/>
  <c r="BD522" i="2" s="1"/>
  <c r="BE522" i="2" s="1"/>
  <c r="BC501" i="2"/>
  <c r="BD501" i="2" s="1"/>
  <c r="BE501" i="2" s="1"/>
  <c r="BC562" i="2"/>
  <c r="BD562" i="2" s="1"/>
  <c r="BE562" i="2" s="1"/>
  <c r="BC730" i="2"/>
  <c r="BD730" i="2" s="1"/>
  <c r="BE730" i="2" s="1"/>
  <c r="BB903" i="2"/>
  <c r="BC1363" i="2"/>
  <c r="BD1363" i="2" s="1"/>
  <c r="BE1363" i="2" s="1"/>
  <c r="CP15" i="2"/>
  <c r="CP24" i="2"/>
  <c r="BV14" i="2"/>
  <c r="BC132" i="2"/>
  <c r="BD132" i="2" s="1"/>
  <c r="BE132" i="2" s="1"/>
  <c r="BB128" i="2"/>
  <c r="BC84" i="2"/>
  <c r="BD84" i="2" s="1"/>
  <c r="BE84" i="2" s="1"/>
  <c r="BB146" i="2"/>
  <c r="BC232" i="2"/>
  <c r="BD232" i="2" s="1"/>
  <c r="BE232" i="2" s="1"/>
  <c r="BB353" i="2"/>
  <c r="BB356" i="2"/>
  <c r="BC409" i="2"/>
  <c r="BD409" i="2" s="1"/>
  <c r="BE409" i="2" s="1"/>
  <c r="BB467" i="2"/>
  <c r="BC734" i="2"/>
  <c r="BD734" i="2" s="1"/>
  <c r="BE734" i="2" s="1"/>
  <c r="BC576" i="2"/>
  <c r="BD576" i="2" s="1"/>
  <c r="BE576" i="2" s="1"/>
  <c r="BB826" i="2"/>
  <c r="BC918" i="2"/>
  <c r="BD918" i="2" s="1"/>
  <c r="BE918" i="2" s="1"/>
  <c r="BB1506" i="2"/>
  <c r="BB3" i="2"/>
  <c r="BV10" i="2"/>
  <c r="CE10" i="2" s="1"/>
  <c r="BT18" i="2"/>
  <c r="BL1379" i="2"/>
  <c r="BX6" i="2"/>
  <c r="CK13" i="2" s="1"/>
  <c r="BB924" i="2"/>
  <c r="BB1020" i="2"/>
  <c r="BB1151" i="2"/>
  <c r="BL1620" i="2"/>
  <c r="BV18" i="2"/>
  <c r="BC160" i="2"/>
  <c r="BD160" i="2" s="1"/>
  <c r="BE160" i="2" s="1"/>
  <c r="BB157" i="2"/>
  <c r="BB270" i="2"/>
  <c r="BB161" i="2"/>
  <c r="BC180" i="2"/>
  <c r="BD180" i="2" s="1"/>
  <c r="BE180" i="2" s="1"/>
  <c r="BC170" i="2"/>
  <c r="BD170" i="2" s="1"/>
  <c r="BE170" i="2" s="1"/>
  <c r="BB271" i="2"/>
  <c r="BB390" i="2"/>
  <c r="BB410" i="2"/>
  <c r="BB414" i="2"/>
  <c r="BB277" i="2"/>
  <c r="BB534" i="2"/>
  <c r="BB621" i="2"/>
  <c r="BB639" i="2"/>
  <c r="BC649" i="2"/>
  <c r="BD649" i="2" s="1"/>
  <c r="BE649" i="2" s="1"/>
  <c r="BB794" i="2"/>
  <c r="BC897" i="2"/>
  <c r="BD897" i="2" s="1"/>
  <c r="BE897" i="2" s="1"/>
  <c r="BB994" i="2"/>
  <c r="BB1215" i="2"/>
  <c r="BL1631" i="2"/>
  <c r="BX12" i="2"/>
  <c r="BC11" i="2"/>
  <c r="BD11" i="2" s="1"/>
  <c r="BE11" i="2" s="1"/>
  <c r="BC205" i="2"/>
  <c r="BD205" i="2" s="1"/>
  <c r="BE205" i="2" s="1"/>
  <c r="BB48" i="2"/>
  <c r="BC209" i="2"/>
  <c r="BD209" i="2" s="1"/>
  <c r="BE209" i="2" s="1"/>
  <c r="BB43" i="2"/>
  <c r="BC283" i="2"/>
  <c r="BD283" i="2" s="1"/>
  <c r="BE283" i="2" s="1"/>
  <c r="BC300" i="2"/>
  <c r="BD300" i="2" s="1"/>
  <c r="BE300" i="2" s="1"/>
  <c r="BB298" i="2"/>
  <c r="BC297" i="2"/>
  <c r="BD297" i="2" s="1"/>
  <c r="BE297" i="2" s="1"/>
  <c r="BB305" i="2"/>
  <c r="BB338" i="2"/>
  <c r="BC450" i="2"/>
  <c r="BD450" i="2" s="1"/>
  <c r="BE450" i="2" s="1"/>
  <c r="BB471" i="2"/>
  <c r="BB617" i="2"/>
  <c r="BB713" i="2"/>
  <c r="BC779" i="2"/>
  <c r="BD779" i="2" s="1"/>
  <c r="BE779" i="2" s="1"/>
  <c r="BB810" i="2"/>
  <c r="BB1035" i="2"/>
  <c r="BC1265" i="2"/>
  <c r="BD1265" i="2" s="1"/>
  <c r="BE1265" i="2" s="1"/>
  <c r="BK1620" i="2"/>
  <c r="BM1620" i="2" s="1"/>
  <c r="BI1620" i="2"/>
  <c r="BX19" i="2" s="1"/>
  <c r="BT5" i="2"/>
  <c r="CC5" i="2" s="1"/>
  <c r="BI1047" i="2"/>
  <c r="BX15" i="2" s="1"/>
  <c r="BK1047" i="2"/>
  <c r="BM1047" i="2" s="1"/>
  <c r="BL1616" i="2"/>
  <c r="BX11" i="2"/>
  <c r="BK1635" i="2"/>
  <c r="BM1635" i="2" s="1"/>
  <c r="BI1635" i="2"/>
  <c r="BL1635" i="2"/>
  <c r="BX17" i="2"/>
  <c r="BC26" i="2"/>
  <c r="BD26" i="2" s="1"/>
  <c r="BE26" i="2" s="1"/>
  <c r="BC42" i="2"/>
  <c r="BD42" i="2" s="1"/>
  <c r="BE42" i="2" s="1"/>
  <c r="BB131" i="2"/>
  <c r="BB60" i="2"/>
  <c r="BB124" i="2"/>
  <c r="BC50" i="2"/>
  <c r="BD50" i="2" s="1"/>
  <c r="BE50" i="2" s="1"/>
  <c r="BC235" i="2"/>
  <c r="BD235" i="2" s="1"/>
  <c r="BE235" i="2" s="1"/>
  <c r="BB233" i="2"/>
  <c r="BC345" i="2"/>
  <c r="BD345" i="2" s="1"/>
  <c r="BE345" i="2" s="1"/>
  <c r="BC352" i="2"/>
  <c r="BD352" i="2" s="1"/>
  <c r="BE352" i="2" s="1"/>
  <c r="BB302" i="2"/>
  <c r="BC547" i="2"/>
  <c r="BD547" i="2" s="1"/>
  <c r="BE547" i="2" s="1"/>
  <c r="BC430" i="2"/>
  <c r="BD430" i="2" s="1"/>
  <c r="BE430" i="2" s="1"/>
  <c r="BB761" i="2"/>
  <c r="BC590" i="2"/>
  <c r="BD590" i="2" s="1"/>
  <c r="BE590" i="2" s="1"/>
  <c r="BC812" i="2"/>
  <c r="BD812" i="2" s="1"/>
  <c r="BE812" i="2" s="1"/>
  <c r="BB951" i="2"/>
  <c r="BC987" i="2"/>
  <c r="BD987" i="2" s="1"/>
  <c r="BE987" i="2" s="1"/>
  <c r="BC1122" i="2"/>
  <c r="BD1122" i="2" s="1"/>
  <c r="BE1122" i="2" s="1"/>
  <c r="BL1047" i="2"/>
  <c r="BK6" i="2"/>
  <c r="BM6" i="2" s="1"/>
  <c r="BI6" i="2"/>
  <c r="BK237" i="2"/>
  <c r="BM237" i="2" s="1"/>
  <c r="BI237" i="2"/>
  <c r="BK252" i="2"/>
  <c r="BM252" i="2" s="1"/>
  <c r="BI252" i="2"/>
  <c r="BK354" i="2"/>
  <c r="BM354" i="2" s="1"/>
  <c r="BI354" i="2"/>
  <c r="BK274" i="2"/>
  <c r="BM274" i="2" s="1"/>
  <c r="BI274" i="2"/>
  <c r="BK477" i="2"/>
  <c r="BM477" i="2" s="1"/>
  <c r="BI477" i="2"/>
  <c r="BK558" i="2"/>
  <c r="BM558" i="2" s="1"/>
  <c r="BI558" i="2"/>
  <c r="BI491" i="2"/>
  <c r="BK491" i="2"/>
  <c r="BM491" i="2" s="1"/>
  <c r="BK667" i="2"/>
  <c r="BM667" i="2" s="1"/>
  <c r="BI667" i="2"/>
  <c r="BK192" i="2"/>
  <c r="BM192" i="2" s="1"/>
  <c r="BI192" i="2"/>
  <c r="BK193" i="2"/>
  <c r="BM193" i="2" s="1"/>
  <c r="BI193" i="2"/>
  <c r="BK197" i="2"/>
  <c r="BM197" i="2" s="1"/>
  <c r="BI197" i="2"/>
  <c r="BK96" i="2"/>
  <c r="BM96" i="2" s="1"/>
  <c r="BI96" i="2"/>
  <c r="BK73" i="2"/>
  <c r="BM73" i="2" s="1"/>
  <c r="BI73" i="2"/>
  <c r="BK84" i="2"/>
  <c r="BM84" i="2" s="1"/>
  <c r="BI84" i="2"/>
  <c r="BK272" i="2"/>
  <c r="BM272" i="2" s="1"/>
  <c r="BI272" i="2"/>
  <c r="BK217" i="2"/>
  <c r="BM217" i="2" s="1"/>
  <c r="BI217" i="2"/>
  <c r="BK302" i="2"/>
  <c r="BM302" i="2" s="1"/>
  <c r="BI302" i="2"/>
  <c r="BK333" i="2"/>
  <c r="BM333" i="2" s="1"/>
  <c r="BI333" i="2"/>
  <c r="BK348" i="2"/>
  <c r="BM348" i="2" s="1"/>
  <c r="BI348" i="2"/>
  <c r="BK295" i="2"/>
  <c r="BM295" i="2" s="1"/>
  <c r="BI295" i="2"/>
  <c r="BK306" i="2"/>
  <c r="BM306" i="2" s="1"/>
  <c r="BI306" i="2"/>
  <c r="BK351" i="2"/>
  <c r="BM351" i="2" s="1"/>
  <c r="BI351" i="2"/>
  <c r="BK411" i="2"/>
  <c r="BM411" i="2" s="1"/>
  <c r="BI411" i="2"/>
  <c r="BK555" i="2"/>
  <c r="BM555" i="2" s="1"/>
  <c r="BI555" i="2"/>
  <c r="BK494" i="2"/>
  <c r="BM494" i="2" s="1"/>
  <c r="BI494" i="2"/>
  <c r="BI596" i="2"/>
  <c r="BK596" i="2"/>
  <c r="BM596" i="2" s="1"/>
  <c r="BK534" i="2"/>
  <c r="BM534" i="2" s="1"/>
  <c r="BI534" i="2"/>
  <c r="BI425" i="2"/>
  <c r="BK425" i="2"/>
  <c r="BM425" i="2" s="1"/>
  <c r="BI602" i="2"/>
  <c r="BK602" i="2"/>
  <c r="BM602" i="2" s="1"/>
  <c r="BK424" i="2"/>
  <c r="BM424" i="2" s="1"/>
  <c r="BI424" i="2"/>
  <c r="BI720" i="2"/>
  <c r="BK720" i="2"/>
  <c r="BM720" i="2" s="1"/>
  <c r="BK616" i="2"/>
  <c r="BM616" i="2" s="1"/>
  <c r="BI616" i="2"/>
  <c r="BK777" i="2"/>
  <c r="BM777" i="2" s="1"/>
  <c r="BI777" i="2"/>
  <c r="BK839" i="2"/>
  <c r="BM839" i="2" s="1"/>
  <c r="BI839" i="2"/>
  <c r="BK774" i="2"/>
  <c r="BM774" i="2" s="1"/>
  <c r="BI774" i="2"/>
  <c r="BK815" i="2"/>
  <c r="BM815" i="2" s="1"/>
  <c r="BI815" i="2"/>
  <c r="BK782" i="2"/>
  <c r="BM782" i="2" s="1"/>
  <c r="BI782" i="2"/>
  <c r="BK987" i="2"/>
  <c r="BM987" i="2" s="1"/>
  <c r="BI987" i="2"/>
  <c r="BK1014" i="2"/>
  <c r="BM1014" i="2" s="1"/>
  <c r="BI1014" i="2"/>
  <c r="BK1040" i="2"/>
  <c r="BM1040" i="2" s="1"/>
  <c r="BI1040" i="2"/>
  <c r="BI1111" i="2"/>
  <c r="BK1111" i="2"/>
  <c r="BM1111" i="2" s="1"/>
  <c r="BK1061" i="2"/>
  <c r="BM1061" i="2" s="1"/>
  <c r="BI1061" i="2"/>
  <c r="BK1071" i="2"/>
  <c r="BM1071" i="2" s="1"/>
  <c r="BI1071" i="2"/>
  <c r="BI1069" i="2"/>
  <c r="BK1069" i="2"/>
  <c r="BM1069" i="2" s="1"/>
  <c r="BI1084" i="2"/>
  <c r="BK1084" i="2"/>
  <c r="BM1084" i="2" s="1"/>
  <c r="BK1117" i="2"/>
  <c r="BM1117" i="2" s="1"/>
  <c r="BI1117" i="2"/>
  <c r="BK1131" i="2"/>
  <c r="BM1131" i="2" s="1"/>
  <c r="BI1131" i="2"/>
  <c r="BK1120" i="2"/>
  <c r="BM1120" i="2" s="1"/>
  <c r="BI1120" i="2"/>
  <c r="BK1208" i="2"/>
  <c r="BM1208" i="2" s="1"/>
  <c r="BI1208" i="2"/>
  <c r="BK1201" i="2"/>
  <c r="BM1201" i="2" s="1"/>
  <c r="BI1201" i="2"/>
  <c r="BK1240" i="2"/>
  <c r="BM1240" i="2" s="1"/>
  <c r="BI1240" i="2"/>
  <c r="BI1233" i="2"/>
  <c r="BK1233" i="2"/>
  <c r="BM1233" i="2" s="1"/>
  <c r="BK1329" i="2"/>
  <c r="BM1329" i="2" s="1"/>
  <c r="BI1329" i="2"/>
  <c r="BK1296" i="2"/>
  <c r="BM1296" i="2" s="1"/>
  <c r="BI1296" i="2"/>
  <c r="BI1396" i="2"/>
  <c r="BK1396" i="2"/>
  <c r="BM1396" i="2" s="1"/>
  <c r="BK1375" i="2"/>
  <c r="BM1375" i="2" s="1"/>
  <c r="BI1375" i="2"/>
  <c r="BK120" i="2"/>
  <c r="BM120" i="2" s="1"/>
  <c r="BI120" i="2"/>
  <c r="BK207" i="2"/>
  <c r="BM207" i="2" s="1"/>
  <c r="BI207" i="2"/>
  <c r="BK180" i="2"/>
  <c r="BM180" i="2" s="1"/>
  <c r="BI180" i="2"/>
  <c r="BI428" i="2"/>
  <c r="BK428" i="2"/>
  <c r="BM428" i="2" s="1"/>
  <c r="BI593" i="2"/>
  <c r="BK593" i="2"/>
  <c r="BM593" i="2" s="1"/>
  <c r="BK456" i="2"/>
  <c r="BM456" i="2" s="1"/>
  <c r="BI456" i="2"/>
  <c r="BK559" i="2"/>
  <c r="BM559" i="2" s="1"/>
  <c r="BI559" i="2"/>
  <c r="BK176" i="2"/>
  <c r="BM176" i="2" s="1"/>
  <c r="BI176" i="2"/>
  <c r="BK134" i="2"/>
  <c r="BM134" i="2" s="1"/>
  <c r="BI134" i="2"/>
  <c r="BK28" i="2"/>
  <c r="BM28" i="2" s="1"/>
  <c r="BI28" i="2"/>
  <c r="BK230" i="2"/>
  <c r="BM230" i="2" s="1"/>
  <c r="BI230" i="2"/>
  <c r="BK233" i="2"/>
  <c r="BM233" i="2" s="1"/>
  <c r="BI233" i="2"/>
  <c r="BK228" i="2"/>
  <c r="BM228" i="2" s="1"/>
  <c r="BI228" i="2"/>
  <c r="BK273" i="2"/>
  <c r="BM273" i="2" s="1"/>
  <c r="BI273" i="2"/>
  <c r="BK280" i="2"/>
  <c r="BM280" i="2" s="1"/>
  <c r="BI280" i="2"/>
  <c r="BK292" i="2"/>
  <c r="BM292" i="2" s="1"/>
  <c r="BI292" i="2"/>
  <c r="BI599" i="2"/>
  <c r="BK599" i="2"/>
  <c r="BM599" i="2" s="1"/>
  <c r="BK358" i="2"/>
  <c r="BM358" i="2" s="1"/>
  <c r="BI358" i="2"/>
  <c r="BK414" i="2"/>
  <c r="BM414" i="2" s="1"/>
  <c r="BI414" i="2"/>
  <c r="BK234" i="2"/>
  <c r="BM234" i="2" s="1"/>
  <c r="BI234" i="2"/>
  <c r="BK293" i="2"/>
  <c r="BM293" i="2" s="1"/>
  <c r="BI293" i="2"/>
  <c r="BK483" i="2"/>
  <c r="BM483" i="2" s="1"/>
  <c r="BI483" i="2"/>
  <c r="BK561" i="2"/>
  <c r="BM561" i="2" s="1"/>
  <c r="BI561" i="2"/>
  <c r="BK463" i="2"/>
  <c r="BM463" i="2" s="1"/>
  <c r="BI463" i="2"/>
  <c r="BK535" i="2"/>
  <c r="BM535" i="2" s="1"/>
  <c r="BI535" i="2"/>
  <c r="BK462" i="2"/>
  <c r="BM462" i="2" s="1"/>
  <c r="BI462" i="2"/>
  <c r="BK581" i="2"/>
  <c r="BM581" i="2" s="1"/>
  <c r="BI581" i="2"/>
  <c r="BI497" i="2"/>
  <c r="BK497" i="2"/>
  <c r="BM497" i="2" s="1"/>
  <c r="BK496" i="2"/>
  <c r="BM496" i="2" s="1"/>
  <c r="BI496" i="2"/>
  <c r="BK562" i="2"/>
  <c r="BM562" i="2" s="1"/>
  <c r="BI562" i="2"/>
  <c r="BI698" i="2"/>
  <c r="BK698" i="2"/>
  <c r="BM698" i="2" s="1"/>
  <c r="BK654" i="2"/>
  <c r="BM654" i="2" s="1"/>
  <c r="BI654" i="2"/>
  <c r="BK671" i="2"/>
  <c r="BM671" i="2" s="1"/>
  <c r="BI671" i="2"/>
  <c r="BK658" i="2"/>
  <c r="BM658" i="2" s="1"/>
  <c r="BI658" i="2"/>
  <c r="BK766" i="2"/>
  <c r="BM766" i="2" s="1"/>
  <c r="BI766" i="2"/>
  <c r="BK657" i="2"/>
  <c r="BM657" i="2" s="1"/>
  <c r="BI657" i="2"/>
  <c r="BK740" i="2"/>
  <c r="BM740" i="2" s="1"/>
  <c r="BI740" i="2"/>
  <c r="BK785" i="2"/>
  <c r="BM785" i="2" s="1"/>
  <c r="BI785" i="2"/>
  <c r="BK807" i="2"/>
  <c r="BM807" i="2" s="1"/>
  <c r="BI807" i="2"/>
  <c r="BK772" i="2"/>
  <c r="BM772" i="2" s="1"/>
  <c r="BI772" i="2"/>
  <c r="BI746" i="2"/>
  <c r="BK746" i="2"/>
  <c r="BM746" i="2" s="1"/>
  <c r="BK802" i="2"/>
  <c r="BM802" i="2" s="1"/>
  <c r="BI802" i="2"/>
  <c r="BK732" i="2"/>
  <c r="BM732" i="2" s="1"/>
  <c r="BI732" i="2"/>
  <c r="BK755" i="2"/>
  <c r="BM755" i="2" s="1"/>
  <c r="BI755" i="2"/>
  <c r="BK876" i="2"/>
  <c r="BM876" i="2" s="1"/>
  <c r="BI876" i="2"/>
  <c r="BK923" i="2"/>
  <c r="BM923" i="2" s="1"/>
  <c r="BI923" i="2"/>
  <c r="BK851" i="2"/>
  <c r="BM851" i="2" s="1"/>
  <c r="BI851" i="2"/>
  <c r="BK940" i="2"/>
  <c r="BM940" i="2" s="1"/>
  <c r="BI940" i="2"/>
  <c r="BK903" i="2"/>
  <c r="BM903" i="2" s="1"/>
  <c r="BI903" i="2"/>
  <c r="BK874" i="2"/>
  <c r="BM874" i="2" s="1"/>
  <c r="BI874" i="2"/>
  <c r="BK885" i="2"/>
  <c r="BM885" i="2" s="1"/>
  <c r="BI885" i="2"/>
  <c r="BI791" i="2"/>
  <c r="BK791" i="2"/>
  <c r="BM791" i="2" s="1"/>
  <c r="BK933" i="2"/>
  <c r="BM933" i="2" s="1"/>
  <c r="BI933" i="2"/>
  <c r="BK789" i="2"/>
  <c r="BM789" i="2" s="1"/>
  <c r="BI789" i="2"/>
  <c r="BK877" i="2"/>
  <c r="BM877" i="2" s="1"/>
  <c r="BI877" i="2"/>
  <c r="BK1024" i="2"/>
  <c r="BM1024" i="2" s="1"/>
  <c r="BI1024" i="2"/>
  <c r="BK1066" i="2"/>
  <c r="BM1066" i="2" s="1"/>
  <c r="BI1066" i="2"/>
  <c r="BK1012" i="2"/>
  <c r="BM1012" i="2" s="1"/>
  <c r="CQ20" i="2" s="1"/>
  <c r="BI1012" i="2"/>
  <c r="BK1001" i="2"/>
  <c r="BM1001" i="2" s="1"/>
  <c r="BI1001" i="2"/>
  <c r="BK1053" i="2"/>
  <c r="BM1053" i="2" s="1"/>
  <c r="BI1053" i="2"/>
  <c r="BI1086" i="2"/>
  <c r="BK1086" i="2"/>
  <c r="BM1086" i="2" s="1"/>
  <c r="BK1070" i="2"/>
  <c r="BM1070" i="2" s="1"/>
  <c r="BI1070" i="2"/>
  <c r="BK1008" i="2"/>
  <c r="BM1008" i="2" s="1"/>
  <c r="BI1008" i="2"/>
  <c r="BI1151" i="2"/>
  <c r="BK1151" i="2"/>
  <c r="BM1151" i="2" s="1"/>
  <c r="BI1127" i="2"/>
  <c r="BK1127" i="2"/>
  <c r="BM1127" i="2" s="1"/>
  <c r="BI1130" i="2"/>
  <c r="BK1130" i="2"/>
  <c r="BM1130" i="2" s="1"/>
  <c r="BK1132" i="2"/>
  <c r="BM1132" i="2" s="1"/>
  <c r="BI1132" i="2"/>
  <c r="BI1335" i="2"/>
  <c r="BK1335" i="2"/>
  <c r="BM1335" i="2" s="1"/>
  <c r="CQ19" i="2" s="1"/>
  <c r="BK1285" i="2"/>
  <c r="BM1285" i="2" s="1"/>
  <c r="BI1285" i="2"/>
  <c r="BI1184" i="2"/>
  <c r="BK1184" i="2"/>
  <c r="BM1184" i="2" s="1"/>
  <c r="BK1135" i="2"/>
  <c r="BM1135" i="2" s="1"/>
  <c r="CQ22" i="2" s="1"/>
  <c r="BI1135" i="2"/>
  <c r="BK1197" i="2"/>
  <c r="BM1197" i="2" s="1"/>
  <c r="BI1197" i="2"/>
  <c r="BK1297" i="2"/>
  <c r="BM1297" i="2" s="1"/>
  <c r="BI1297" i="2"/>
  <c r="BK1309" i="2"/>
  <c r="BM1309" i="2" s="1"/>
  <c r="BI1309" i="2"/>
  <c r="BK1318" i="2"/>
  <c r="BM1318" i="2" s="1"/>
  <c r="BI1318" i="2"/>
  <c r="BI1315" i="2"/>
  <c r="BK1315" i="2"/>
  <c r="BM1315" i="2" s="1"/>
  <c r="BI1405" i="2"/>
  <c r="BK1405" i="2"/>
  <c r="BM1405" i="2" s="1"/>
  <c r="BK1352" i="2"/>
  <c r="BM1352" i="2" s="1"/>
  <c r="CQ23" i="2" s="1"/>
  <c r="BI1352" i="2"/>
  <c r="BK1393" i="2"/>
  <c r="BM1393" i="2" s="1"/>
  <c r="BI1393" i="2"/>
  <c r="BK1395" i="2"/>
  <c r="BM1395" i="2" s="1"/>
  <c r="BI1395" i="2"/>
  <c r="BI1324" i="2"/>
  <c r="BK1324" i="2"/>
  <c r="BM1324" i="2" s="1"/>
  <c r="BI1286" i="2"/>
  <c r="BK1286" i="2"/>
  <c r="BM1286" i="2" s="1"/>
  <c r="BK1358" i="2"/>
  <c r="BM1358" i="2" s="1"/>
  <c r="BI1358" i="2"/>
  <c r="BK1345" i="2"/>
  <c r="BM1345" i="2" s="1"/>
  <c r="BI1345" i="2"/>
  <c r="BI1439" i="2"/>
  <c r="BK1439" i="2"/>
  <c r="BM1439" i="2" s="1"/>
  <c r="BK1430" i="2"/>
  <c r="BM1430" i="2" s="1"/>
  <c r="BI1430" i="2"/>
  <c r="BK1483" i="2"/>
  <c r="BM1483" i="2" s="1"/>
  <c r="BI1483" i="2"/>
  <c r="BI1505" i="2"/>
  <c r="BK1505" i="2"/>
  <c r="BM1505" i="2" s="1"/>
  <c r="BK1449" i="2"/>
  <c r="BM1449" i="2" s="1"/>
  <c r="BI1449" i="2"/>
  <c r="BK1512" i="2"/>
  <c r="BM1512" i="2" s="1"/>
  <c r="BI1512" i="2"/>
  <c r="BI1544" i="2"/>
  <c r="BK1544" i="2"/>
  <c r="BM1544" i="2" s="1"/>
  <c r="BI1524" i="2"/>
  <c r="BK1524" i="2"/>
  <c r="BM1524" i="2" s="1"/>
  <c r="BK1510" i="2"/>
  <c r="BM1510" i="2" s="1"/>
  <c r="BI1510" i="2"/>
  <c r="BI1576" i="2"/>
  <c r="BK1576" i="2"/>
  <c r="BM1576" i="2" s="1"/>
  <c r="BI1563" i="2"/>
  <c r="BK1563" i="2"/>
  <c r="BM1563" i="2" s="1"/>
  <c r="BI1552" i="2"/>
  <c r="BK1552" i="2"/>
  <c r="BM1552" i="2" s="1"/>
  <c r="BK1522" i="2"/>
  <c r="BM1522" i="2" s="1"/>
  <c r="BI1522" i="2"/>
  <c r="BK1624" i="2"/>
  <c r="BM1624" i="2" s="1"/>
  <c r="BI1624" i="2"/>
  <c r="BK1617" i="2"/>
  <c r="BM1617" i="2" s="1"/>
  <c r="BI1617" i="2"/>
  <c r="BK1628" i="2"/>
  <c r="BM1628" i="2" s="1"/>
  <c r="BI1628" i="2"/>
  <c r="BK1627" i="2"/>
  <c r="BM1627" i="2" s="1"/>
  <c r="BI1627" i="2"/>
  <c r="BK1613" i="2"/>
  <c r="BM1613" i="2" s="1"/>
  <c r="BI1613" i="2"/>
  <c r="BW8" i="2"/>
  <c r="CF8" i="2" s="1"/>
  <c r="CG8" i="2" s="1"/>
  <c r="BU8" i="2"/>
  <c r="CD8" i="2" s="1"/>
  <c r="BL3" i="2"/>
  <c r="BK15" i="2"/>
  <c r="BM15" i="2" s="1"/>
  <c r="BI15" i="2"/>
  <c r="BI19" i="2"/>
  <c r="BK19" i="2"/>
  <c r="BM19" i="2" s="1"/>
  <c r="BK39" i="2"/>
  <c r="BM39" i="2" s="1"/>
  <c r="BI39" i="2"/>
  <c r="BK22" i="2"/>
  <c r="BM22" i="2" s="1"/>
  <c r="BI22" i="2"/>
  <c r="BK82" i="2"/>
  <c r="BM82" i="2" s="1"/>
  <c r="BI82" i="2"/>
  <c r="BK27" i="2"/>
  <c r="BM27" i="2" s="1"/>
  <c r="BI27" i="2"/>
  <c r="BK148" i="2"/>
  <c r="BM148" i="2" s="1"/>
  <c r="BI148" i="2"/>
  <c r="BK79" i="2"/>
  <c r="BM79" i="2" s="1"/>
  <c r="BI79" i="2"/>
  <c r="BK135" i="2"/>
  <c r="BM135" i="2" s="1"/>
  <c r="BI135" i="2"/>
  <c r="BK196" i="2"/>
  <c r="BM196" i="2" s="1"/>
  <c r="BI196" i="2"/>
  <c r="BK65" i="2"/>
  <c r="BM65" i="2" s="1"/>
  <c r="BI65" i="2"/>
  <c r="BK169" i="2"/>
  <c r="BM169" i="2" s="1"/>
  <c r="BI169" i="2"/>
  <c r="BK137" i="2"/>
  <c r="BM137" i="2" s="1"/>
  <c r="BI137" i="2"/>
  <c r="BK200" i="2"/>
  <c r="BM200" i="2" s="1"/>
  <c r="BI200" i="2"/>
  <c r="BK100" i="2"/>
  <c r="BM100" i="2" s="1"/>
  <c r="BI100" i="2"/>
  <c r="BK34" i="2"/>
  <c r="BM34" i="2" s="1"/>
  <c r="BI34" i="2"/>
  <c r="BK213" i="2"/>
  <c r="BM213" i="2" s="1"/>
  <c r="BI213" i="2"/>
  <c r="BK91" i="2"/>
  <c r="BM91" i="2" s="1"/>
  <c r="BI91" i="2"/>
  <c r="BK189" i="2"/>
  <c r="BM189" i="2" s="1"/>
  <c r="BI189" i="2"/>
  <c r="BK218" i="2"/>
  <c r="BM218" i="2" s="1"/>
  <c r="BI218" i="2"/>
  <c r="BK275" i="2"/>
  <c r="BM275" i="2" s="1"/>
  <c r="BI275" i="2"/>
  <c r="BK226" i="2"/>
  <c r="BM226" i="2" s="1"/>
  <c r="BI226" i="2"/>
  <c r="BK296" i="2"/>
  <c r="BM296" i="2" s="1"/>
  <c r="BI296" i="2"/>
  <c r="BI434" i="2"/>
  <c r="BK434" i="2"/>
  <c r="BM434" i="2" s="1"/>
  <c r="BK291" i="2"/>
  <c r="BM291" i="2" s="1"/>
  <c r="BI291" i="2"/>
  <c r="BK362" i="2"/>
  <c r="BM362" i="2" s="1"/>
  <c r="BI362" i="2"/>
  <c r="BI603" i="2"/>
  <c r="BK603" i="2"/>
  <c r="BM603" i="2" s="1"/>
  <c r="BK300" i="2"/>
  <c r="BM300" i="2" s="1"/>
  <c r="BI300" i="2"/>
  <c r="BK337" i="2"/>
  <c r="BM337" i="2" s="1"/>
  <c r="BI337" i="2"/>
  <c r="BI395" i="2"/>
  <c r="BK395" i="2"/>
  <c r="BM395" i="2" s="1"/>
  <c r="BK286" i="2"/>
  <c r="BM286" i="2" s="1"/>
  <c r="BI286" i="2"/>
  <c r="BK433" i="2"/>
  <c r="BM433" i="2" s="1"/>
  <c r="BI433" i="2"/>
  <c r="BK352" i="2"/>
  <c r="BM352" i="2" s="1"/>
  <c r="BI352" i="2"/>
  <c r="BL317" i="2"/>
  <c r="BK355" i="2"/>
  <c r="BM355" i="2" s="1"/>
  <c r="BI355" i="2"/>
  <c r="BK417" i="2"/>
  <c r="BM417" i="2" s="1"/>
  <c r="BI417" i="2"/>
  <c r="BK489" i="2"/>
  <c r="BM489" i="2" s="1"/>
  <c r="BI489" i="2"/>
  <c r="BK613" i="2"/>
  <c r="BM613" i="2" s="1"/>
  <c r="BI613" i="2"/>
  <c r="BK500" i="2"/>
  <c r="BM500" i="2" s="1"/>
  <c r="BI500" i="2"/>
  <c r="BK564" i="2"/>
  <c r="BM564" i="2" s="1"/>
  <c r="BI564" i="2"/>
  <c r="BI600" i="2"/>
  <c r="BK600" i="2"/>
  <c r="BM600" i="2" s="1"/>
  <c r="BK469" i="2"/>
  <c r="BM469" i="2" s="1"/>
  <c r="BI469" i="2"/>
  <c r="BK541" i="2"/>
  <c r="BM541" i="2" s="1"/>
  <c r="BI541" i="2"/>
  <c r="BK468" i="2"/>
  <c r="BM468" i="2" s="1"/>
  <c r="BI468" i="2"/>
  <c r="BK540" i="2"/>
  <c r="BM540" i="2" s="1"/>
  <c r="BI540" i="2"/>
  <c r="BK584" i="2"/>
  <c r="BM584" i="2" s="1"/>
  <c r="BI584" i="2"/>
  <c r="BI431" i="2"/>
  <c r="BK431" i="2"/>
  <c r="BM431" i="2" s="1"/>
  <c r="BI503" i="2"/>
  <c r="BK503" i="2"/>
  <c r="BM503" i="2" s="1"/>
  <c r="BK609" i="2"/>
  <c r="BM609" i="2" s="1"/>
  <c r="BI609" i="2"/>
  <c r="BK430" i="2"/>
  <c r="BM430" i="2" s="1"/>
  <c r="BI430" i="2"/>
  <c r="BK502" i="2"/>
  <c r="BM502" i="2" s="1"/>
  <c r="BI502" i="2"/>
  <c r="BK565" i="2"/>
  <c r="BM565" i="2" s="1"/>
  <c r="BI565" i="2"/>
  <c r="BI716" i="2"/>
  <c r="BK716" i="2"/>
  <c r="BM716" i="2" s="1"/>
  <c r="BK660" i="2"/>
  <c r="BM660" i="2" s="1"/>
  <c r="BI660" i="2"/>
  <c r="BK739" i="2"/>
  <c r="BM739" i="2" s="1"/>
  <c r="BI739" i="2"/>
  <c r="BK677" i="2"/>
  <c r="BM677" i="2" s="1"/>
  <c r="BI677" i="2"/>
  <c r="BK664" i="2"/>
  <c r="BM664" i="2" s="1"/>
  <c r="BI664" i="2"/>
  <c r="BK723" i="2"/>
  <c r="BM723" i="2" s="1"/>
  <c r="BI723" i="2"/>
  <c r="BK663" i="2"/>
  <c r="BM663" i="2" s="1"/>
  <c r="BI663" i="2"/>
  <c r="BK626" i="2"/>
  <c r="BM626" i="2" s="1"/>
  <c r="BI626" i="2"/>
  <c r="BK764" i="2"/>
  <c r="BM764" i="2" s="1"/>
  <c r="BI764" i="2"/>
  <c r="BI860" i="2"/>
  <c r="BK860" i="2"/>
  <c r="BM860" i="2" s="1"/>
  <c r="BK810" i="2"/>
  <c r="BM810" i="2" s="1"/>
  <c r="BI810" i="2"/>
  <c r="BK961" i="2"/>
  <c r="BM961" i="2" s="1"/>
  <c r="BI961" i="2"/>
  <c r="BI805" i="2"/>
  <c r="BK805" i="2"/>
  <c r="BM805" i="2" s="1"/>
  <c r="BK814" i="2"/>
  <c r="BM814" i="2" s="1"/>
  <c r="BI814" i="2"/>
  <c r="BK882" i="2"/>
  <c r="BM882" i="2" s="1"/>
  <c r="BI882" i="2"/>
  <c r="BK926" i="2"/>
  <c r="BM926" i="2" s="1"/>
  <c r="BI926" i="2"/>
  <c r="BK857" i="2"/>
  <c r="BM857" i="2" s="1"/>
  <c r="BI857" i="2"/>
  <c r="BK955" i="2"/>
  <c r="BM955" i="2" s="1"/>
  <c r="BI955" i="2"/>
  <c r="BK907" i="2"/>
  <c r="BM907" i="2" s="1"/>
  <c r="BI907" i="2"/>
  <c r="BK880" i="2"/>
  <c r="BM880" i="2" s="1"/>
  <c r="BI880" i="2"/>
  <c r="BK967" i="2"/>
  <c r="BM967" i="2" s="1"/>
  <c r="BI967" i="2"/>
  <c r="BK890" i="2"/>
  <c r="BM890" i="2" s="1"/>
  <c r="BI890" i="2"/>
  <c r="BK935" i="2"/>
  <c r="BM935" i="2" s="1"/>
  <c r="BI935" i="2"/>
  <c r="BK811" i="2"/>
  <c r="BM811" i="2" s="1"/>
  <c r="BI811" i="2"/>
  <c r="BK883" i="2"/>
  <c r="BM883" i="2" s="1"/>
  <c r="BI883" i="2"/>
  <c r="BK1039" i="2"/>
  <c r="BM1039" i="2" s="1"/>
  <c r="BI1039" i="2"/>
  <c r="BK1015" i="2"/>
  <c r="BM1015" i="2" s="1"/>
  <c r="BI1015" i="2"/>
  <c r="BK1028" i="2"/>
  <c r="BM1028" i="2" s="1"/>
  <c r="BI1028" i="2"/>
  <c r="BK991" i="2"/>
  <c r="BM991" i="2" s="1"/>
  <c r="BI991" i="2"/>
  <c r="BI1004" i="2"/>
  <c r="BK1004" i="2"/>
  <c r="BM1004" i="2" s="1"/>
  <c r="BI1027" i="2"/>
  <c r="BK1027" i="2"/>
  <c r="BM1027" i="2" s="1"/>
  <c r="BK1063" i="2"/>
  <c r="BM1063" i="2" s="1"/>
  <c r="BI1063" i="2"/>
  <c r="BI1090" i="2"/>
  <c r="BK1090" i="2"/>
  <c r="BM1090" i="2" s="1"/>
  <c r="BI1080" i="2"/>
  <c r="BK1080" i="2"/>
  <c r="BM1080" i="2" s="1"/>
  <c r="BI1088" i="2"/>
  <c r="BK1088" i="2"/>
  <c r="BM1088" i="2" s="1"/>
  <c r="BK1043" i="2"/>
  <c r="BM1043" i="2" s="1"/>
  <c r="BI1043" i="2"/>
  <c r="BK1124" i="2"/>
  <c r="BM1124" i="2" s="1"/>
  <c r="BI1124" i="2"/>
  <c r="BK1154" i="2"/>
  <c r="BM1154" i="2" s="1"/>
  <c r="BI1154" i="2"/>
  <c r="BI1134" i="2"/>
  <c r="BK1134" i="2"/>
  <c r="BM1134" i="2" s="1"/>
  <c r="BK1150" i="2"/>
  <c r="BM1150" i="2" s="1"/>
  <c r="BI1150" i="2"/>
  <c r="BK1229" i="2"/>
  <c r="BM1229" i="2" s="1"/>
  <c r="BI1229" i="2"/>
  <c r="BK1214" i="2"/>
  <c r="BM1214" i="2" s="1"/>
  <c r="BI1214" i="2"/>
  <c r="BK1207" i="2"/>
  <c r="BM1207" i="2" s="1"/>
  <c r="BI1207" i="2"/>
  <c r="BI1161" i="2"/>
  <c r="BK1161" i="2"/>
  <c r="BM1161" i="2" s="1"/>
  <c r="BK1230" i="2"/>
  <c r="BM1230" i="2" s="1"/>
  <c r="BI1230" i="2"/>
  <c r="BI1192" i="2"/>
  <c r="BK1192" i="2"/>
  <c r="BM1192" i="2" s="1"/>
  <c r="BK1203" i="2"/>
  <c r="BM1203" i="2" s="1"/>
  <c r="BI1203" i="2"/>
  <c r="BK1314" i="2"/>
  <c r="BM1314" i="2" s="1"/>
  <c r="BI1314" i="2"/>
  <c r="BE1071" i="2"/>
  <c r="CQ48" i="2"/>
  <c r="BK170" i="2"/>
  <c r="BM170" i="2" s="1"/>
  <c r="BI170" i="2"/>
  <c r="BK52" i="2"/>
  <c r="BM52" i="2" s="1"/>
  <c r="BI52" i="2"/>
  <c r="BK184" i="2"/>
  <c r="BM184" i="2" s="1"/>
  <c r="BI184" i="2"/>
  <c r="BK404" i="2"/>
  <c r="BM404" i="2" s="1"/>
  <c r="BI404" i="2"/>
  <c r="BK377" i="2"/>
  <c r="BM377" i="2" s="1"/>
  <c r="BI377" i="2"/>
  <c r="BK347" i="2"/>
  <c r="BM347" i="2" s="1"/>
  <c r="BI347" i="2"/>
  <c r="BK457" i="2"/>
  <c r="BM457" i="2" s="1"/>
  <c r="BI457" i="2"/>
  <c r="BK637" i="2"/>
  <c r="BM637" i="2" s="1"/>
  <c r="BI637" i="2"/>
  <c r="BK201" i="2"/>
  <c r="BM201" i="2" s="1"/>
  <c r="BI201" i="2"/>
  <c r="BK106" i="2"/>
  <c r="BM106" i="2" s="1"/>
  <c r="BI106" i="2"/>
  <c r="BK104" i="2"/>
  <c r="BM104" i="2" s="1"/>
  <c r="BI104" i="2"/>
  <c r="BK305" i="2"/>
  <c r="BM305" i="2" s="1"/>
  <c r="BI305" i="2"/>
  <c r="BK506" i="2"/>
  <c r="BM506" i="2" s="1"/>
  <c r="BI506" i="2"/>
  <c r="BK436" i="2"/>
  <c r="BM436" i="2" s="1"/>
  <c r="BI436" i="2"/>
  <c r="BK508" i="2"/>
  <c r="BM508" i="2" s="1"/>
  <c r="BI508" i="2"/>
  <c r="BK568" i="2"/>
  <c r="BM568" i="2" s="1"/>
  <c r="BI568" i="2"/>
  <c r="BK670" i="2"/>
  <c r="BM670" i="2" s="1"/>
  <c r="BI670" i="2"/>
  <c r="BK669" i="2"/>
  <c r="BM669" i="2" s="1"/>
  <c r="BI669" i="2"/>
  <c r="BI733" i="2"/>
  <c r="BK733" i="2"/>
  <c r="BM733" i="2" s="1"/>
  <c r="BK632" i="2"/>
  <c r="BM632" i="2" s="1"/>
  <c r="BI632" i="2"/>
  <c r="BK819" i="2"/>
  <c r="BM819" i="2" s="1"/>
  <c r="BI819" i="2"/>
  <c r="BK813" i="2"/>
  <c r="BM813" i="2" s="1"/>
  <c r="BI813" i="2"/>
  <c r="BK749" i="2"/>
  <c r="BM749" i="2" s="1"/>
  <c r="BI749" i="2"/>
  <c r="BK787" i="2"/>
  <c r="BM787" i="2" s="1"/>
  <c r="BI787" i="2"/>
  <c r="BI758" i="2"/>
  <c r="BK758" i="2"/>
  <c r="BM758" i="2" s="1"/>
  <c r="BK744" i="2"/>
  <c r="BM744" i="2" s="1"/>
  <c r="BI744" i="2"/>
  <c r="BK831" i="2"/>
  <c r="BM831" i="2" s="1"/>
  <c r="BI831" i="2"/>
  <c r="BK767" i="2"/>
  <c r="BM767" i="2" s="1"/>
  <c r="BI767" i="2"/>
  <c r="BK888" i="2"/>
  <c r="BM888" i="2" s="1"/>
  <c r="BI888" i="2"/>
  <c r="BK929" i="2"/>
  <c r="BM929" i="2" s="1"/>
  <c r="BI929" i="2"/>
  <c r="BK863" i="2"/>
  <c r="BM863" i="2" s="1"/>
  <c r="BI863" i="2"/>
  <c r="BK1013" i="2"/>
  <c r="BM1013" i="2" s="1"/>
  <c r="BI1013" i="2"/>
  <c r="BK886" i="2"/>
  <c r="BM886" i="2" s="1"/>
  <c r="BI886" i="2"/>
  <c r="BK1016" i="2"/>
  <c r="BM1016" i="2" s="1"/>
  <c r="BI1016" i="2"/>
  <c r="BK894" i="2"/>
  <c r="BM894" i="2" s="1"/>
  <c r="BI894" i="2"/>
  <c r="BK937" i="2"/>
  <c r="BM937" i="2" s="1"/>
  <c r="BI937" i="2"/>
  <c r="BI909" i="2"/>
  <c r="BK909" i="2"/>
  <c r="BM909" i="2" s="1"/>
  <c r="BK817" i="2"/>
  <c r="BM817" i="2" s="1"/>
  <c r="BI817" i="2"/>
  <c r="BI1021" i="2"/>
  <c r="BK1021" i="2"/>
  <c r="BM1021" i="2" s="1"/>
  <c r="BI1018" i="2"/>
  <c r="BK1018" i="2"/>
  <c r="BM1018" i="2" s="1"/>
  <c r="BI1030" i="2"/>
  <c r="BK1030" i="2"/>
  <c r="BM1030" i="2" s="1"/>
  <c r="BK995" i="2"/>
  <c r="BM995" i="2" s="1"/>
  <c r="BI995" i="2"/>
  <c r="BK1025" i="2"/>
  <c r="BM1025" i="2" s="1"/>
  <c r="BI1025" i="2"/>
  <c r="BK1035" i="2"/>
  <c r="BM1035" i="2" s="1"/>
  <c r="BI1035" i="2"/>
  <c r="BK1065" i="2"/>
  <c r="BM1065" i="2" s="1"/>
  <c r="BI1065" i="2"/>
  <c r="BK1052" i="2"/>
  <c r="BM1052" i="2" s="1"/>
  <c r="BI1052" i="2"/>
  <c r="BK1145" i="2"/>
  <c r="BM1145" i="2" s="1"/>
  <c r="BI1145" i="2"/>
  <c r="BI1094" i="2"/>
  <c r="BK1094" i="2"/>
  <c r="BM1094" i="2" s="1"/>
  <c r="BK1073" i="2"/>
  <c r="BM1073" i="2" s="1"/>
  <c r="BI1073" i="2"/>
  <c r="BI1085" i="2"/>
  <c r="BK1085" i="2"/>
  <c r="BM1085" i="2" s="1"/>
  <c r="BK1010" i="2"/>
  <c r="BM1010" i="2" s="1"/>
  <c r="BI1010" i="2"/>
  <c r="BK1114" i="2"/>
  <c r="BM1114" i="2" s="1"/>
  <c r="BI1114" i="2"/>
  <c r="BI1020" i="2"/>
  <c r="BK1020" i="2"/>
  <c r="BM1020" i="2" s="1"/>
  <c r="BI1092" i="2"/>
  <c r="BK1092" i="2"/>
  <c r="BM1092" i="2" s="1"/>
  <c r="BK1160" i="2"/>
  <c r="BM1160" i="2" s="1"/>
  <c r="BI1160" i="2"/>
  <c r="BK1153" i="2"/>
  <c r="BM1153" i="2" s="1"/>
  <c r="BI1153" i="2"/>
  <c r="BI1102" i="2"/>
  <c r="BK1102" i="2"/>
  <c r="BM1102" i="2" s="1"/>
  <c r="BI1146" i="2"/>
  <c r="BK1146" i="2"/>
  <c r="BM1146" i="2" s="1"/>
  <c r="BK1144" i="2"/>
  <c r="BM1144" i="2" s="1"/>
  <c r="BI1144" i="2"/>
  <c r="BK1220" i="2"/>
  <c r="BM1220" i="2" s="1"/>
  <c r="BI1220" i="2"/>
  <c r="BK1213" i="2"/>
  <c r="BM1213" i="2" s="1"/>
  <c r="BI1213" i="2"/>
  <c r="BK1188" i="2"/>
  <c r="BM1188" i="2" s="1"/>
  <c r="BI1188" i="2"/>
  <c r="BK1253" i="2"/>
  <c r="BM1253" i="2" s="1"/>
  <c r="BI1253" i="2"/>
  <c r="BI1198" i="2"/>
  <c r="BK1198" i="2"/>
  <c r="BM1198" i="2" s="1"/>
  <c r="BK1147" i="2"/>
  <c r="BM1147" i="2" s="1"/>
  <c r="BI1147" i="2"/>
  <c r="BK1209" i="2"/>
  <c r="BM1209" i="2" s="1"/>
  <c r="BI1209" i="2"/>
  <c r="BK1245" i="2"/>
  <c r="BM1245" i="2" s="1"/>
  <c r="BI1245" i="2"/>
  <c r="BK1344" i="2"/>
  <c r="BM1344" i="2" s="1"/>
  <c r="BI1344" i="2"/>
  <c r="BK1316" i="2"/>
  <c r="BM1316" i="2" s="1"/>
  <c r="BI1316" i="2"/>
  <c r="BK1417" i="2"/>
  <c r="BM1417" i="2" s="1"/>
  <c r="BI1417" i="2"/>
  <c r="BI1238" i="2"/>
  <c r="BK1238" i="2"/>
  <c r="BM1238" i="2" s="1"/>
  <c r="BI1323" i="2"/>
  <c r="BK1323" i="2"/>
  <c r="BM1323" i="2" s="1"/>
  <c r="BK1303" i="2"/>
  <c r="BM1303" i="2" s="1"/>
  <c r="BI1303" i="2"/>
  <c r="BK1364" i="2"/>
  <c r="BM1364" i="2" s="1"/>
  <c r="BI1364" i="2"/>
  <c r="BK1387" i="2"/>
  <c r="BM1387" i="2" s="1"/>
  <c r="BI1387" i="2"/>
  <c r="BI1336" i="2"/>
  <c r="BK1336" i="2"/>
  <c r="BM1336" i="2" s="1"/>
  <c r="BK1298" i="2"/>
  <c r="BM1298" i="2" s="1"/>
  <c r="BI1298" i="2"/>
  <c r="BK1370" i="2"/>
  <c r="BM1370" i="2" s="1"/>
  <c r="BI1370" i="2"/>
  <c r="BK1357" i="2"/>
  <c r="BM1357" i="2" s="1"/>
  <c r="BI1357" i="2"/>
  <c r="BK1394" i="2"/>
  <c r="BM1394" i="2" s="1"/>
  <c r="BI1394" i="2"/>
  <c r="BK1402" i="2"/>
  <c r="BM1402" i="2" s="1"/>
  <c r="BI1402" i="2"/>
  <c r="BI1438" i="2"/>
  <c r="BK1438" i="2"/>
  <c r="BM1438" i="2" s="1"/>
  <c r="BI1467" i="2"/>
  <c r="BK1467" i="2"/>
  <c r="BM1467" i="2" s="1"/>
  <c r="BI1536" i="2"/>
  <c r="BK1536" i="2"/>
  <c r="BM1536" i="2" s="1"/>
  <c r="BI1450" i="2"/>
  <c r="BK1450" i="2"/>
  <c r="BM1450" i="2" s="1"/>
  <c r="BK1484" i="2"/>
  <c r="BM1484" i="2" s="1"/>
  <c r="BI1484" i="2"/>
  <c r="BK1453" i="2"/>
  <c r="BM1453" i="2" s="1"/>
  <c r="BI1453" i="2"/>
  <c r="BK1461" i="2"/>
  <c r="BM1461" i="2" s="1"/>
  <c r="BI1461" i="2"/>
  <c r="BK1507" i="2"/>
  <c r="BM1507" i="2" s="1"/>
  <c r="BI1507" i="2"/>
  <c r="BK1571" i="2"/>
  <c r="BM1571" i="2" s="1"/>
  <c r="BI1571" i="2"/>
  <c r="BK1585" i="2"/>
  <c r="BM1585" i="2" s="1"/>
  <c r="BI1585" i="2"/>
  <c r="BK1570" i="2"/>
  <c r="BM1570" i="2" s="1"/>
  <c r="BI1570" i="2"/>
  <c r="BK1534" i="2"/>
  <c r="BM1534" i="2" s="1"/>
  <c r="BI1534" i="2"/>
  <c r="BI1633" i="2"/>
  <c r="BK1633" i="2"/>
  <c r="BM1633" i="2" s="1"/>
  <c r="BI1562" i="2"/>
  <c r="BK1562" i="2"/>
  <c r="BM1562" i="2" s="1"/>
  <c r="BK1629" i="2"/>
  <c r="BM1629" i="2" s="1"/>
  <c r="BI1629" i="2"/>
  <c r="BK1553" i="2"/>
  <c r="BM1553" i="2" s="1"/>
  <c r="BI1553" i="2"/>
  <c r="BK1625" i="2"/>
  <c r="BM1625" i="2" s="1"/>
  <c r="BI1625" i="2"/>
  <c r="BW5" i="2"/>
  <c r="CF5" i="2" s="1"/>
  <c r="CG5" i="2" s="1"/>
  <c r="BU5" i="2"/>
  <c r="CD5" i="2" s="1"/>
  <c r="BK195" i="2"/>
  <c r="BM195" i="2" s="1"/>
  <c r="BI195" i="2"/>
  <c r="BK129" i="2"/>
  <c r="BM129" i="2" s="1"/>
  <c r="BI129" i="2"/>
  <c r="BK131" i="2"/>
  <c r="BM131" i="2" s="1"/>
  <c r="BI131" i="2"/>
  <c r="BK316" i="2"/>
  <c r="BM316" i="2" s="1"/>
  <c r="BI316" i="2"/>
  <c r="BK313" i="2"/>
  <c r="BM313" i="2" s="1"/>
  <c r="BI313" i="2"/>
  <c r="BK199" i="2"/>
  <c r="BM199" i="2" s="1"/>
  <c r="BI199" i="2"/>
  <c r="BK85" i="2"/>
  <c r="BM85" i="2" s="1"/>
  <c r="BI85" i="2"/>
  <c r="BK219" i="2"/>
  <c r="BM219" i="2" s="1"/>
  <c r="BI219" i="2"/>
  <c r="BK242" i="2"/>
  <c r="BM242" i="2" s="1"/>
  <c r="BI242" i="2"/>
  <c r="BK341" i="2"/>
  <c r="BM341" i="2" s="1"/>
  <c r="BI341" i="2"/>
  <c r="BK246" i="2"/>
  <c r="BM246" i="2" s="1"/>
  <c r="BI246" i="2"/>
  <c r="BK475" i="2"/>
  <c r="BM475" i="2" s="1"/>
  <c r="BI475" i="2"/>
  <c r="BI437" i="2"/>
  <c r="BK437" i="2"/>
  <c r="BM437" i="2" s="1"/>
  <c r="BK737" i="2"/>
  <c r="BM737" i="2" s="1"/>
  <c r="BI737" i="2"/>
  <c r="BK71" i="2"/>
  <c r="BM71" i="2" s="1"/>
  <c r="BI71" i="2"/>
  <c r="BK141" i="2"/>
  <c r="BM141" i="2" s="1"/>
  <c r="BI141" i="2"/>
  <c r="BK160" i="2"/>
  <c r="BM160" i="2" s="1"/>
  <c r="BI160" i="2"/>
  <c r="BK143" i="2"/>
  <c r="BM143" i="2" s="1"/>
  <c r="BI143" i="2"/>
  <c r="BK181" i="2"/>
  <c r="BM181" i="2" s="1"/>
  <c r="BI181" i="2"/>
  <c r="BI35" i="2"/>
  <c r="BK35" i="2"/>
  <c r="BM35" i="2" s="1"/>
  <c r="BK107" i="2"/>
  <c r="BM107" i="2" s="1"/>
  <c r="BI107" i="2"/>
  <c r="BK147" i="2"/>
  <c r="BM147" i="2" s="1"/>
  <c r="BI147" i="2"/>
  <c r="BK206" i="2"/>
  <c r="BM206" i="2" s="1"/>
  <c r="BI206" i="2"/>
  <c r="BK44" i="2"/>
  <c r="BM44" i="2" s="1"/>
  <c r="BI44" i="2"/>
  <c r="BK249" i="2"/>
  <c r="BM249" i="2" s="1"/>
  <c r="BI249" i="2"/>
  <c r="BK220" i="2"/>
  <c r="BM220" i="2" s="1"/>
  <c r="BI220" i="2"/>
  <c r="BK382" i="2"/>
  <c r="BM382" i="2" s="1"/>
  <c r="BI382" i="2"/>
  <c r="BK253" i="2"/>
  <c r="BM253" i="2" s="1"/>
  <c r="BI253" i="2"/>
  <c r="BK225" i="2"/>
  <c r="BM225" i="2" s="1"/>
  <c r="BI225" i="2"/>
  <c r="BK231" i="2"/>
  <c r="BM231" i="2" s="1"/>
  <c r="BI231" i="2"/>
  <c r="BK303" i="2"/>
  <c r="BM303" i="2" s="1"/>
  <c r="BI303" i="2"/>
  <c r="BK322" i="2"/>
  <c r="BM322" i="2" s="1"/>
  <c r="BI322" i="2"/>
  <c r="BK370" i="2"/>
  <c r="BM370" i="2" s="1"/>
  <c r="BI370" i="2"/>
  <c r="BK265" i="2"/>
  <c r="BM265" i="2" s="1"/>
  <c r="BI265" i="2"/>
  <c r="BK312" i="2"/>
  <c r="BM312" i="2" s="1"/>
  <c r="BI312" i="2"/>
  <c r="BK345" i="2"/>
  <c r="BM345" i="2" s="1"/>
  <c r="BI345" i="2"/>
  <c r="BI410" i="2"/>
  <c r="BK410" i="2"/>
  <c r="BM410" i="2" s="1"/>
  <c r="BK298" i="2"/>
  <c r="BM298" i="2" s="1"/>
  <c r="BI298" i="2"/>
  <c r="BK360" i="2"/>
  <c r="BM360" i="2" s="1"/>
  <c r="BI360" i="2"/>
  <c r="BK363" i="2"/>
  <c r="BM363" i="2" s="1"/>
  <c r="BI363" i="2"/>
  <c r="BK429" i="2"/>
  <c r="BM429" i="2" s="1"/>
  <c r="BI429" i="2"/>
  <c r="BK501" i="2"/>
  <c r="BM501" i="2" s="1"/>
  <c r="BI501" i="2"/>
  <c r="BI701" i="2"/>
  <c r="BK701" i="2"/>
  <c r="BM701" i="2" s="1"/>
  <c r="BK440" i="2"/>
  <c r="BM440" i="2" s="1"/>
  <c r="BI440" i="2"/>
  <c r="BK512" i="2"/>
  <c r="BM512" i="2" s="1"/>
  <c r="BI512" i="2"/>
  <c r="BK570" i="2"/>
  <c r="BM570" i="2" s="1"/>
  <c r="BI570" i="2"/>
  <c r="BK643" i="2"/>
  <c r="BM643" i="2" s="1"/>
  <c r="BI643" i="2"/>
  <c r="BK481" i="2"/>
  <c r="BM481" i="2" s="1"/>
  <c r="BI481" i="2"/>
  <c r="BK553" i="2"/>
  <c r="BM553" i="2" s="1"/>
  <c r="BI553" i="2"/>
  <c r="BI597" i="2"/>
  <c r="BK597" i="2"/>
  <c r="BM597" i="2" s="1"/>
  <c r="BK480" i="2"/>
  <c r="BM480" i="2" s="1"/>
  <c r="BI480" i="2"/>
  <c r="BK552" i="2"/>
  <c r="BM552" i="2" s="1"/>
  <c r="BI552" i="2"/>
  <c r="BK590" i="2"/>
  <c r="BM590" i="2" s="1"/>
  <c r="BI590" i="2"/>
  <c r="BI380" i="2"/>
  <c r="BK380" i="2"/>
  <c r="BM380" i="2" s="1"/>
  <c r="BI443" i="2"/>
  <c r="BK443" i="2"/>
  <c r="BM443" i="2" s="1"/>
  <c r="BI515" i="2"/>
  <c r="BK515" i="2"/>
  <c r="BM515" i="2" s="1"/>
  <c r="BI695" i="2"/>
  <c r="BK695" i="2"/>
  <c r="BM695" i="2" s="1"/>
  <c r="BK442" i="2"/>
  <c r="BM442" i="2" s="1"/>
  <c r="BI442" i="2"/>
  <c r="BK514" i="2"/>
  <c r="BM514" i="2" s="1"/>
  <c r="BI514" i="2"/>
  <c r="BK571" i="2"/>
  <c r="BM571" i="2" s="1"/>
  <c r="BI571" i="2"/>
  <c r="BK742" i="2"/>
  <c r="BM742" i="2" s="1"/>
  <c r="BI742" i="2"/>
  <c r="BK672" i="2"/>
  <c r="BM672" i="2" s="1"/>
  <c r="BI672" i="2"/>
  <c r="BI700" i="2"/>
  <c r="BK700" i="2"/>
  <c r="BM700" i="2" s="1"/>
  <c r="BK621" i="2"/>
  <c r="BM621" i="2" s="1"/>
  <c r="BI621" i="2"/>
  <c r="BK676" i="2"/>
  <c r="BM676" i="2" s="1"/>
  <c r="BI676" i="2"/>
  <c r="BK619" i="2"/>
  <c r="BM619" i="2" s="1"/>
  <c r="BI619" i="2"/>
  <c r="BK675" i="2"/>
  <c r="BM675" i="2" s="1"/>
  <c r="CQ25" i="2" s="1"/>
  <c r="BI675" i="2"/>
  <c r="BK738" i="2"/>
  <c r="BM738" i="2" s="1"/>
  <c r="BI738" i="2"/>
  <c r="BK680" i="2"/>
  <c r="BM680" i="2" s="1"/>
  <c r="BI680" i="2"/>
  <c r="BK638" i="2"/>
  <c r="BM638" i="2" s="1"/>
  <c r="BI638" i="2"/>
  <c r="BK801" i="2"/>
  <c r="BM801" i="2" s="1"/>
  <c r="BI801" i="2"/>
  <c r="BK776" i="2"/>
  <c r="BM776" i="2" s="1"/>
  <c r="BI776" i="2"/>
  <c r="BI830" i="2"/>
  <c r="BK830" i="2"/>
  <c r="BM830" i="2" s="1"/>
  <c r="BK806" i="2"/>
  <c r="BM806" i="2" s="1"/>
  <c r="BI806" i="2"/>
  <c r="BK799" i="2"/>
  <c r="BM799" i="2" s="1"/>
  <c r="BI799" i="2"/>
  <c r="BK833" i="2"/>
  <c r="BM833" i="2" s="1"/>
  <c r="BI833" i="2"/>
  <c r="BK822" i="2"/>
  <c r="BM822" i="2" s="1"/>
  <c r="BI822" i="2"/>
  <c r="BK892" i="2"/>
  <c r="BM892" i="2" s="1"/>
  <c r="BI892" i="2"/>
  <c r="BI932" i="2"/>
  <c r="BK932" i="2"/>
  <c r="BM932" i="2" s="1"/>
  <c r="BK869" i="2"/>
  <c r="BM869" i="2" s="1"/>
  <c r="BI869" i="2"/>
  <c r="BK910" i="2"/>
  <c r="BM910" i="2" s="1"/>
  <c r="BI910" i="2"/>
  <c r="BK898" i="2"/>
  <c r="BM898" i="2" s="1"/>
  <c r="BI898" i="2"/>
  <c r="BK941" i="2"/>
  <c r="BM941" i="2" s="1"/>
  <c r="BI941" i="2"/>
  <c r="BI912" i="2"/>
  <c r="BK912" i="2"/>
  <c r="BM912" i="2" s="1"/>
  <c r="BI823" i="2"/>
  <c r="BK823" i="2"/>
  <c r="BM823" i="2" s="1"/>
  <c r="BI1078" i="2"/>
  <c r="BK1078" i="2"/>
  <c r="BM1078" i="2" s="1"/>
  <c r="BK1026" i="2"/>
  <c r="BM1026" i="2" s="1"/>
  <c r="BI1026" i="2"/>
  <c r="BU16" i="2"/>
  <c r="BW16" i="2"/>
  <c r="BK112" i="2"/>
  <c r="BM112" i="2" s="1"/>
  <c r="BI112" i="2"/>
  <c r="BK12" i="2"/>
  <c r="BM12" i="2" s="1"/>
  <c r="BI12" i="2"/>
  <c r="BK70" i="2"/>
  <c r="BM70" i="2" s="1"/>
  <c r="BI70" i="2"/>
  <c r="BK67" i="2"/>
  <c r="BM67" i="2" s="1"/>
  <c r="BI67" i="2"/>
  <c r="BK229" i="2"/>
  <c r="BM229" i="2" s="1"/>
  <c r="BI229" i="2"/>
  <c r="BK276" i="2"/>
  <c r="BM276" i="2" s="1"/>
  <c r="BI276" i="2"/>
  <c r="BK288" i="2"/>
  <c r="BM288" i="2" s="1"/>
  <c r="BI288" i="2"/>
  <c r="BK397" i="2"/>
  <c r="BM397" i="2" s="1"/>
  <c r="BI397" i="2"/>
  <c r="BK528" i="2"/>
  <c r="BM528" i="2" s="1"/>
  <c r="BI528" i="2"/>
  <c r="BK649" i="2"/>
  <c r="BM649" i="2" s="1"/>
  <c r="BI649" i="2"/>
  <c r="BK162" i="2"/>
  <c r="BM162" i="2" s="1"/>
  <c r="BI162" i="2"/>
  <c r="BK14" i="2"/>
  <c r="BM14" i="2" s="1"/>
  <c r="BI14" i="2"/>
  <c r="BK32" i="2"/>
  <c r="BM32" i="2" s="1"/>
  <c r="BI32" i="2"/>
  <c r="BK174" i="2"/>
  <c r="BM174" i="2" s="1"/>
  <c r="BI174" i="2"/>
  <c r="BK64" i="2"/>
  <c r="BM64" i="2" s="1"/>
  <c r="BI64" i="2"/>
  <c r="BK203" i="2"/>
  <c r="BM203" i="2" s="1"/>
  <c r="BI203" i="2"/>
  <c r="BK40" i="2"/>
  <c r="BM40" i="2" s="1"/>
  <c r="BI40" i="2"/>
  <c r="BK304" i="2"/>
  <c r="BM304" i="2" s="1"/>
  <c r="BI304" i="2"/>
  <c r="BK284" i="2"/>
  <c r="BM284" i="2" s="1"/>
  <c r="BI284" i="2"/>
  <c r="BI604" i="2"/>
  <c r="BK604" i="2"/>
  <c r="BM604" i="2" s="1"/>
  <c r="BK587" i="2"/>
  <c r="BM587" i="2" s="1"/>
  <c r="BI587" i="2"/>
  <c r="BI697" i="2"/>
  <c r="BK697" i="2"/>
  <c r="BM697" i="2" s="1"/>
  <c r="BK3" i="2"/>
  <c r="BM3" i="2" s="1"/>
  <c r="BI3" i="2"/>
  <c r="BK49" i="2"/>
  <c r="BM49" i="2" s="1"/>
  <c r="BI49" i="2"/>
  <c r="BK124" i="2"/>
  <c r="BM124" i="2" s="1"/>
  <c r="BI124" i="2"/>
  <c r="BK38" i="2"/>
  <c r="BM38" i="2" s="1"/>
  <c r="BI38" i="2"/>
  <c r="BK105" i="2"/>
  <c r="BM105" i="2" s="1"/>
  <c r="BI105" i="2"/>
  <c r="BK202" i="2"/>
  <c r="BM202" i="2" s="1"/>
  <c r="BI202" i="2"/>
  <c r="BK77" i="2"/>
  <c r="BM77" i="2" s="1"/>
  <c r="BI77" i="2"/>
  <c r="BK9" i="2"/>
  <c r="BM9" i="2" s="1"/>
  <c r="BI9" i="2"/>
  <c r="BK151" i="2"/>
  <c r="BM151" i="2" s="1"/>
  <c r="BI151" i="2"/>
  <c r="BK99" i="2"/>
  <c r="BM99" i="2" s="1"/>
  <c r="BI99" i="2"/>
  <c r="BK163" i="2"/>
  <c r="BM163" i="2" s="1"/>
  <c r="BI163" i="2"/>
  <c r="BK146" i="2"/>
  <c r="BM146" i="2" s="1"/>
  <c r="BI146" i="2"/>
  <c r="BK43" i="2"/>
  <c r="BM43" i="2" s="1"/>
  <c r="BI43" i="2"/>
  <c r="BK108" i="2"/>
  <c r="BM108" i="2" s="1"/>
  <c r="BI108" i="2"/>
  <c r="BK205" i="2"/>
  <c r="BM205" i="2" s="1"/>
  <c r="BI205" i="2"/>
  <c r="BK78" i="2"/>
  <c r="BM78" i="2" s="1"/>
  <c r="BI78" i="2"/>
  <c r="BK183" i="2"/>
  <c r="BM183" i="2" s="1"/>
  <c r="BI183" i="2"/>
  <c r="BK188" i="2"/>
  <c r="BM188" i="2" s="1"/>
  <c r="BI188" i="2"/>
  <c r="BK76" i="2"/>
  <c r="BM76" i="2" s="1"/>
  <c r="BI76" i="2"/>
  <c r="BI41" i="2"/>
  <c r="BK41" i="2"/>
  <c r="BM41" i="2" s="1"/>
  <c r="BK110" i="2"/>
  <c r="BM110" i="2" s="1"/>
  <c r="BI110" i="2"/>
  <c r="BK209" i="2"/>
  <c r="BM209" i="2" s="1"/>
  <c r="BI209" i="2"/>
  <c r="BK154" i="2"/>
  <c r="BM154" i="2" s="1"/>
  <c r="BI154" i="2"/>
  <c r="BK45" i="2"/>
  <c r="BM45" i="2" s="1"/>
  <c r="BI45" i="2"/>
  <c r="BK261" i="2"/>
  <c r="BM261" i="2" s="1"/>
  <c r="BI261" i="2"/>
  <c r="BK221" i="2"/>
  <c r="BM221" i="2" s="1"/>
  <c r="BI221" i="2"/>
  <c r="BK287" i="2"/>
  <c r="BM287" i="2" s="1"/>
  <c r="BI287" i="2"/>
  <c r="BI422" i="2"/>
  <c r="BK422" i="2"/>
  <c r="BM422" i="2" s="1"/>
  <c r="BK235" i="2"/>
  <c r="BM235" i="2" s="1"/>
  <c r="BI235" i="2"/>
  <c r="BK269" i="2"/>
  <c r="BM269" i="2" s="1"/>
  <c r="BI269" i="2"/>
  <c r="BK254" i="2"/>
  <c r="BM254" i="2" s="1"/>
  <c r="BI254" i="2"/>
  <c r="BK326" i="2"/>
  <c r="BM326" i="2" s="1"/>
  <c r="BI326" i="2"/>
  <c r="BK374" i="2"/>
  <c r="BM374" i="2" s="1"/>
  <c r="BI374" i="2"/>
  <c r="BK398" i="2"/>
  <c r="BM398" i="2" s="1"/>
  <c r="BI398" i="2"/>
  <c r="BK321" i="2"/>
  <c r="BM321" i="2" s="1"/>
  <c r="BI321" i="2"/>
  <c r="BK625" i="2"/>
  <c r="BM625" i="2" s="1"/>
  <c r="BI625" i="2"/>
  <c r="BK349" i="2"/>
  <c r="BM349" i="2" s="1"/>
  <c r="BI349" i="2"/>
  <c r="BI419" i="2"/>
  <c r="BK419" i="2"/>
  <c r="BM419" i="2" s="1"/>
  <c r="BK297" i="2"/>
  <c r="BM297" i="2" s="1"/>
  <c r="BI297" i="2"/>
  <c r="BK308" i="2"/>
  <c r="BM308" i="2" s="1"/>
  <c r="BI308" i="2"/>
  <c r="BK364" i="2"/>
  <c r="BM364" i="2" s="1"/>
  <c r="BI364" i="2"/>
  <c r="BK683" i="2"/>
  <c r="BM683" i="2" s="1"/>
  <c r="BI683" i="2"/>
  <c r="BK394" i="2"/>
  <c r="BM394" i="2" s="1"/>
  <c r="BI394" i="2"/>
  <c r="BK258" i="2"/>
  <c r="BM258" i="2" s="1"/>
  <c r="BI258" i="2"/>
  <c r="BK317" i="2"/>
  <c r="BM317" i="2" s="1"/>
  <c r="BI317" i="2"/>
  <c r="BX20" i="2" s="1"/>
  <c r="BK367" i="2"/>
  <c r="BM367" i="2" s="1"/>
  <c r="BI367" i="2"/>
  <c r="BK435" i="2"/>
  <c r="BM435" i="2" s="1"/>
  <c r="BI435" i="2"/>
  <c r="BK507" i="2"/>
  <c r="BM507" i="2" s="1"/>
  <c r="BI507" i="2"/>
  <c r="BI719" i="2"/>
  <c r="BK719" i="2"/>
  <c r="BM719" i="2" s="1"/>
  <c r="BK446" i="2"/>
  <c r="BM446" i="2" s="1"/>
  <c r="BI446" i="2"/>
  <c r="BK518" i="2"/>
  <c r="BM518" i="2" s="1"/>
  <c r="BI518" i="2"/>
  <c r="BK573" i="2"/>
  <c r="BM573" i="2" s="1"/>
  <c r="BI573" i="2"/>
  <c r="BK687" i="2"/>
  <c r="BM687" i="2" s="1"/>
  <c r="BI687" i="2"/>
  <c r="BK487" i="2"/>
  <c r="BM487" i="2" s="1"/>
  <c r="BI487" i="2"/>
  <c r="BK605" i="2"/>
  <c r="BM605" i="2" s="1"/>
  <c r="BI605" i="2"/>
  <c r="BI601" i="2"/>
  <c r="BK601" i="2"/>
  <c r="BM601" i="2" s="1"/>
  <c r="BK486" i="2"/>
  <c r="BM486" i="2" s="1"/>
  <c r="BI486" i="2"/>
  <c r="BK557" i="2"/>
  <c r="BM557" i="2" s="1"/>
  <c r="BI557" i="2"/>
  <c r="BK607" i="2"/>
  <c r="BM607" i="2" s="1"/>
  <c r="BI607" i="2"/>
  <c r="BI449" i="2"/>
  <c r="BK449" i="2"/>
  <c r="BM449" i="2" s="1"/>
  <c r="BI521" i="2"/>
  <c r="BK521" i="2"/>
  <c r="BM521" i="2" s="1"/>
  <c r="BI713" i="2"/>
  <c r="BK713" i="2"/>
  <c r="BM713" i="2" s="1"/>
  <c r="BK448" i="2"/>
  <c r="BM448" i="2" s="1"/>
  <c r="BI448" i="2"/>
  <c r="BK520" i="2"/>
  <c r="BM520" i="2" s="1"/>
  <c r="BI520" i="2"/>
  <c r="BK574" i="2"/>
  <c r="BM574" i="2" s="1"/>
  <c r="BI574" i="2"/>
  <c r="BK678" i="2"/>
  <c r="BM678" i="2" s="1"/>
  <c r="BI678" i="2"/>
  <c r="BK622" i="2"/>
  <c r="BM622" i="2" s="1"/>
  <c r="BI622" i="2"/>
  <c r="BI703" i="2"/>
  <c r="BK703" i="2"/>
  <c r="BM703" i="2" s="1"/>
  <c r="BK778" i="2"/>
  <c r="BM778" i="2" s="1"/>
  <c r="BI778" i="2"/>
  <c r="BK681" i="2"/>
  <c r="BM681" i="2" s="1"/>
  <c r="BI681" i="2"/>
  <c r="BK754" i="2"/>
  <c r="BM754" i="2" s="1"/>
  <c r="BI754" i="2"/>
  <c r="BI696" i="2"/>
  <c r="BK696" i="2"/>
  <c r="BM696" i="2" s="1"/>
  <c r="BK684" i="2"/>
  <c r="BM684" i="2" s="1"/>
  <c r="BI684" i="2"/>
  <c r="BK644" i="2"/>
  <c r="BM644" i="2" s="1"/>
  <c r="BI644" i="2"/>
  <c r="BK729" i="2"/>
  <c r="BM729" i="2" s="1"/>
  <c r="BI729" i="2"/>
  <c r="BK804" i="2"/>
  <c r="BM804" i="2" s="1"/>
  <c r="BI804" i="2"/>
  <c r="BK800" i="2"/>
  <c r="BM800" i="2" s="1"/>
  <c r="BI800" i="2"/>
  <c r="BK761" i="2"/>
  <c r="BM761" i="2" s="1"/>
  <c r="BI761" i="2"/>
  <c r="BK809" i="2"/>
  <c r="BM809" i="2" s="1"/>
  <c r="BI809" i="2"/>
  <c r="BI770" i="2"/>
  <c r="BK770" i="2"/>
  <c r="BM770" i="2" s="1"/>
  <c r="BI745" i="2"/>
  <c r="BK745" i="2"/>
  <c r="BM745" i="2" s="1"/>
  <c r="BK756" i="2"/>
  <c r="BM756" i="2" s="1"/>
  <c r="BI756" i="2"/>
  <c r="BI842" i="2"/>
  <c r="BK842" i="2"/>
  <c r="BM842" i="2" s="1"/>
  <c r="BK779" i="2"/>
  <c r="BM779" i="2" s="1"/>
  <c r="BI779" i="2"/>
  <c r="BK828" i="2"/>
  <c r="BM828" i="2" s="1"/>
  <c r="BI828" i="2"/>
  <c r="BK896" i="2"/>
  <c r="BM896" i="2" s="1"/>
  <c r="BI896" i="2"/>
  <c r="BK875" i="2"/>
  <c r="BM875" i="2" s="1"/>
  <c r="BI875" i="2"/>
  <c r="BK913" i="2"/>
  <c r="BM913" i="2" s="1"/>
  <c r="BI913" i="2"/>
  <c r="BK902" i="2"/>
  <c r="BM902" i="2" s="1"/>
  <c r="BI902" i="2"/>
  <c r="BI915" i="2"/>
  <c r="BK915" i="2"/>
  <c r="BM915" i="2" s="1"/>
  <c r="BK889" i="2"/>
  <c r="BM889" i="2" s="1"/>
  <c r="BI889" i="2"/>
  <c r="BI829" i="2"/>
  <c r="BK829" i="2"/>
  <c r="BM829" i="2" s="1"/>
  <c r="BK948" i="2"/>
  <c r="BM948" i="2" s="1"/>
  <c r="BI948" i="2"/>
  <c r="BK1054" i="2"/>
  <c r="BM1054" i="2" s="1"/>
  <c r="BI1054" i="2"/>
  <c r="BK1119" i="2"/>
  <c r="BM1119" i="2" s="1"/>
  <c r="BI1119" i="2"/>
  <c r="BK1023" i="2"/>
  <c r="BM1023" i="2" s="1"/>
  <c r="BI1023" i="2"/>
  <c r="BK939" i="2"/>
  <c r="BM939" i="2" s="1"/>
  <c r="BI939" i="2"/>
  <c r="BI1042" i="2"/>
  <c r="BK1042" i="2"/>
  <c r="BM1042" i="2" s="1"/>
  <c r="BK1005" i="2"/>
  <c r="BM1005" i="2" s="1"/>
  <c r="BI1005" i="2"/>
  <c r="BK1077" i="2"/>
  <c r="BM1077" i="2" s="1"/>
  <c r="BI1077" i="2"/>
  <c r="BK1064" i="2"/>
  <c r="BM1064" i="2" s="1"/>
  <c r="BI1064" i="2"/>
  <c r="BI1038" i="2"/>
  <c r="BK1038" i="2"/>
  <c r="BM1038" i="2" s="1"/>
  <c r="BK1129" i="2"/>
  <c r="BM1129" i="2" s="1"/>
  <c r="BI1129" i="2"/>
  <c r="BK1164" i="2"/>
  <c r="BM1164" i="2" s="1"/>
  <c r="BI1164" i="2"/>
  <c r="BI1093" i="2"/>
  <c r="BK1093" i="2"/>
  <c r="BM1093" i="2" s="1"/>
  <c r="BK1022" i="2"/>
  <c r="BM1022" i="2" s="1"/>
  <c r="BI1022" i="2"/>
  <c r="BK1179" i="2"/>
  <c r="BM1179" i="2" s="1"/>
  <c r="BI1179" i="2"/>
  <c r="BI1032" i="2"/>
  <c r="BK1032" i="2"/>
  <c r="BM1032" i="2" s="1"/>
  <c r="BI1100" i="2"/>
  <c r="BK1100" i="2"/>
  <c r="BM1100" i="2" s="1"/>
  <c r="BK1148" i="2"/>
  <c r="BM1148" i="2" s="1"/>
  <c r="BI1148" i="2"/>
  <c r="BK1163" i="2"/>
  <c r="BM1163" i="2" s="1"/>
  <c r="BI1163" i="2"/>
  <c r="BK1165" i="2"/>
  <c r="BM1165" i="2" s="1"/>
  <c r="BI1165" i="2"/>
  <c r="BI1104" i="2"/>
  <c r="BK1104" i="2"/>
  <c r="BM1104" i="2" s="1"/>
  <c r="BK1156" i="2"/>
  <c r="BM1156" i="2" s="1"/>
  <c r="BI1156" i="2"/>
  <c r="BK1224" i="2"/>
  <c r="BM1224" i="2" s="1"/>
  <c r="BI1224" i="2"/>
  <c r="BK1200" i="2"/>
  <c r="BM1200" i="2" s="1"/>
  <c r="BI1200" i="2"/>
  <c r="BI1210" i="2"/>
  <c r="BK1210" i="2"/>
  <c r="BM1210" i="2" s="1"/>
  <c r="BK1159" i="2"/>
  <c r="BM1159" i="2" s="1"/>
  <c r="BI1159" i="2"/>
  <c r="BK1221" i="2"/>
  <c r="BM1221" i="2" s="1"/>
  <c r="BI1221" i="2"/>
  <c r="BK1257" i="2"/>
  <c r="BM1257" i="2" s="1"/>
  <c r="BI1257" i="2"/>
  <c r="BK1332" i="2"/>
  <c r="BM1332" i="2" s="1"/>
  <c r="BI1332" i="2"/>
  <c r="BK1368" i="2"/>
  <c r="BM1368" i="2" s="1"/>
  <c r="BI1368" i="2"/>
  <c r="BK1339" i="2"/>
  <c r="BM1339" i="2" s="1"/>
  <c r="BI1339" i="2"/>
  <c r="BI1250" i="2"/>
  <c r="BK1250" i="2"/>
  <c r="BM1250" i="2" s="1"/>
  <c r="BK1389" i="2"/>
  <c r="BM1389" i="2" s="1"/>
  <c r="BI1389" i="2"/>
  <c r="BI1445" i="2"/>
  <c r="BK1445" i="2"/>
  <c r="BM1445" i="2" s="1"/>
  <c r="BI1348" i="2"/>
  <c r="BK1348" i="2"/>
  <c r="BM1348" i="2" s="1"/>
  <c r="BK1310" i="2"/>
  <c r="BM1310" i="2" s="1"/>
  <c r="BI1310" i="2"/>
  <c r="BK1369" i="2"/>
  <c r="BM1369" i="2" s="1"/>
  <c r="BI1369" i="2"/>
  <c r="BK1406" i="2"/>
  <c r="BM1406" i="2" s="1"/>
  <c r="BI1406" i="2"/>
  <c r="BI1447" i="2"/>
  <c r="BK1447" i="2"/>
  <c r="BM1447" i="2" s="1"/>
  <c r="BK1403" i="2"/>
  <c r="BM1403" i="2" s="1"/>
  <c r="BI1403" i="2"/>
  <c r="BK1414" i="2"/>
  <c r="BM1414" i="2" s="1"/>
  <c r="BI1414" i="2"/>
  <c r="BI1446" i="2"/>
  <c r="BK1446" i="2"/>
  <c r="BM1446" i="2" s="1"/>
  <c r="CQ11" i="2" s="1"/>
  <c r="BK1397" i="2"/>
  <c r="BM1397" i="2" s="1"/>
  <c r="BI1397" i="2"/>
  <c r="BK1504" i="2"/>
  <c r="BM1504" i="2" s="1"/>
  <c r="BI1504" i="2"/>
  <c r="BK1470" i="2"/>
  <c r="BM1470" i="2" s="1"/>
  <c r="BI1470" i="2"/>
  <c r="BI1493" i="2"/>
  <c r="BK1493" i="2"/>
  <c r="BM1493" i="2" s="1"/>
  <c r="BK37" i="2"/>
  <c r="BM37" i="2" s="1"/>
  <c r="BI37" i="2"/>
  <c r="BK263" i="2"/>
  <c r="BM263" i="2" s="1"/>
  <c r="BI263" i="2"/>
  <c r="BK157" i="2"/>
  <c r="BM157" i="2" s="1"/>
  <c r="BI157" i="2"/>
  <c r="BK92" i="2"/>
  <c r="BM92" i="2" s="1"/>
  <c r="BI92" i="2"/>
  <c r="BK216" i="2"/>
  <c r="BM216" i="2" s="1"/>
  <c r="BI216" i="2"/>
  <c r="BK344" i="2"/>
  <c r="BM344" i="2" s="1"/>
  <c r="BI344" i="2"/>
  <c r="BK33" i="2"/>
  <c r="BM33" i="2" s="1"/>
  <c r="BI33" i="2"/>
  <c r="BI595" i="2"/>
  <c r="BK595" i="2"/>
  <c r="BM595" i="2" s="1"/>
  <c r="BK359" i="2"/>
  <c r="BM359" i="2" s="1"/>
  <c r="BI359" i="2"/>
  <c r="BK655" i="2"/>
  <c r="BM655" i="2" s="1"/>
  <c r="BI655" i="2"/>
  <c r="BK474" i="2"/>
  <c r="BM474" i="2" s="1"/>
  <c r="BI474" i="2"/>
  <c r="BK679" i="2"/>
  <c r="BM679" i="2" s="1"/>
  <c r="BI679" i="2"/>
  <c r="BK666" i="2"/>
  <c r="BM666" i="2" s="1"/>
  <c r="BI666" i="2"/>
  <c r="BK4" i="2"/>
  <c r="BM4" i="2" s="1"/>
  <c r="BI4" i="2"/>
  <c r="BK175" i="2"/>
  <c r="BM175" i="2" s="1"/>
  <c r="BI175" i="2"/>
  <c r="BK153" i="2"/>
  <c r="BM153" i="2" s="1"/>
  <c r="BI153" i="2"/>
  <c r="BK208" i="2"/>
  <c r="BM208" i="2" s="1"/>
  <c r="BI208" i="2"/>
  <c r="BI53" i="2"/>
  <c r="BK53" i="2"/>
  <c r="BM53" i="2" s="1"/>
  <c r="BK420" i="2"/>
  <c r="BM420" i="2" s="1"/>
  <c r="BI420" i="2"/>
  <c r="BK330" i="2"/>
  <c r="BM330" i="2" s="1"/>
  <c r="BI330" i="2"/>
  <c r="BK381" i="2"/>
  <c r="BM381" i="2" s="1"/>
  <c r="BI381" i="2"/>
  <c r="BK310" i="2"/>
  <c r="BM310" i="2" s="1"/>
  <c r="BI310" i="2"/>
  <c r="BK368" i="2"/>
  <c r="BM368" i="2" s="1"/>
  <c r="BI368" i="2"/>
  <c r="BK402" i="2"/>
  <c r="BM402" i="2" s="1"/>
  <c r="CQ21" i="2" s="1"/>
  <c r="BI402" i="2"/>
  <c r="BK513" i="2"/>
  <c r="BM513" i="2" s="1"/>
  <c r="BI513" i="2"/>
  <c r="BK452" i="2"/>
  <c r="BM452" i="2" s="1"/>
  <c r="BI452" i="2"/>
  <c r="BK524" i="2"/>
  <c r="BM524" i="2" s="1"/>
  <c r="BI524" i="2"/>
  <c r="BK576" i="2"/>
  <c r="BM576" i="2" s="1"/>
  <c r="BI576" i="2"/>
  <c r="BI704" i="2"/>
  <c r="BK704" i="2"/>
  <c r="BM704" i="2" s="1"/>
  <c r="BK631" i="2"/>
  <c r="BM631" i="2" s="1"/>
  <c r="BI631" i="2"/>
  <c r="BK606" i="2"/>
  <c r="BM606" i="2" s="1"/>
  <c r="BI606" i="2"/>
  <c r="BK492" i="2"/>
  <c r="BM492" i="2" s="1"/>
  <c r="BI492" i="2"/>
  <c r="BK560" i="2"/>
  <c r="BM560" i="2" s="1"/>
  <c r="BI560" i="2"/>
  <c r="BI710" i="2"/>
  <c r="BK710" i="2"/>
  <c r="BM710" i="2" s="1"/>
  <c r="BI455" i="2"/>
  <c r="BK455" i="2"/>
  <c r="BM455" i="2" s="1"/>
  <c r="BI527" i="2"/>
  <c r="BK527" i="2"/>
  <c r="BM527" i="2" s="1"/>
  <c r="BK454" i="2"/>
  <c r="BM454" i="2" s="1"/>
  <c r="BI454" i="2"/>
  <c r="BK526" i="2"/>
  <c r="BM526" i="2" s="1"/>
  <c r="BI526" i="2"/>
  <c r="BK577" i="2"/>
  <c r="BM577" i="2" s="1"/>
  <c r="BI577" i="2"/>
  <c r="BK845" i="2"/>
  <c r="BM845" i="2" s="1"/>
  <c r="BI845" i="2"/>
  <c r="BK724" i="2"/>
  <c r="BM724" i="2" s="1"/>
  <c r="BI724" i="2"/>
  <c r="BK629" i="2"/>
  <c r="BM629" i="2" s="1"/>
  <c r="BI629" i="2"/>
  <c r="BI706" i="2"/>
  <c r="BK706" i="2"/>
  <c r="BM706" i="2" s="1"/>
  <c r="BK685" i="2"/>
  <c r="BM685" i="2" s="1"/>
  <c r="BI685" i="2"/>
  <c r="BI699" i="2"/>
  <c r="BK699" i="2"/>
  <c r="BM699" i="2" s="1"/>
  <c r="BK617" i="2"/>
  <c r="BM617" i="2" s="1"/>
  <c r="BI617" i="2"/>
  <c r="BK688" i="2"/>
  <c r="BM688" i="2" s="1"/>
  <c r="BI688" i="2"/>
  <c r="BK650" i="2"/>
  <c r="BM650" i="2" s="1"/>
  <c r="BI650" i="2"/>
  <c r="BI793" i="2"/>
  <c r="BK793" i="2"/>
  <c r="BM793" i="2" s="1"/>
  <c r="BK751" i="2"/>
  <c r="BM751" i="2" s="1"/>
  <c r="BI751" i="2"/>
  <c r="BI812" i="2"/>
  <c r="BK812" i="2"/>
  <c r="BM812" i="2" s="1"/>
  <c r="BK844" i="2"/>
  <c r="BM844" i="2" s="1"/>
  <c r="BI844" i="2"/>
  <c r="BI854" i="2"/>
  <c r="BK854" i="2"/>
  <c r="BM854" i="2" s="1"/>
  <c r="BK834" i="2"/>
  <c r="BM834" i="2" s="1"/>
  <c r="BI834" i="2"/>
  <c r="BK900" i="2"/>
  <c r="BM900" i="2" s="1"/>
  <c r="BI900" i="2"/>
  <c r="BK942" i="2"/>
  <c r="BM942" i="2" s="1"/>
  <c r="BI942" i="2"/>
  <c r="BK881" i="2"/>
  <c r="BM881" i="2" s="1"/>
  <c r="BI881" i="2"/>
  <c r="BK916" i="2"/>
  <c r="BM916" i="2" s="1"/>
  <c r="BI916" i="2"/>
  <c r="BK843" i="2"/>
  <c r="BM843" i="2" s="1"/>
  <c r="BI843" i="2"/>
  <c r="BK906" i="2"/>
  <c r="BM906" i="2" s="1"/>
  <c r="BI906" i="2"/>
  <c r="BI866" i="2"/>
  <c r="BK866" i="2"/>
  <c r="BM866" i="2" s="1"/>
  <c r="BI918" i="2"/>
  <c r="BK918" i="2"/>
  <c r="BM918" i="2" s="1"/>
  <c r="BK893" i="2"/>
  <c r="BM893" i="2" s="1"/>
  <c r="BI893" i="2"/>
  <c r="BI835" i="2"/>
  <c r="BK835" i="2"/>
  <c r="BM835" i="2" s="1"/>
  <c r="BK954" i="2"/>
  <c r="BM954" i="2" s="1"/>
  <c r="BI954" i="2"/>
  <c r="BK976" i="2"/>
  <c r="BM976" i="2" s="1"/>
  <c r="BI976" i="2"/>
  <c r="BK947" i="2"/>
  <c r="BM947" i="2" s="1"/>
  <c r="BI947" i="2"/>
  <c r="BK952" i="2"/>
  <c r="BM952" i="2" s="1"/>
  <c r="BI952" i="2"/>
  <c r="BK945" i="2"/>
  <c r="BM945" i="2" s="1"/>
  <c r="BI945" i="2"/>
  <c r="BK938" i="2"/>
  <c r="BM938" i="2" s="1"/>
  <c r="BI938" i="2"/>
  <c r="BI1083" i="2"/>
  <c r="BK1083" i="2"/>
  <c r="BM1083" i="2" s="1"/>
  <c r="BK1036" i="2"/>
  <c r="BM1036" i="2" s="1"/>
  <c r="BI1036" i="2"/>
  <c r="BI1139" i="2"/>
  <c r="BK1139" i="2"/>
  <c r="BM1139" i="2" s="1"/>
  <c r="BI1097" i="2"/>
  <c r="BK1097" i="2"/>
  <c r="BM1097" i="2" s="1"/>
  <c r="BK1118" i="2"/>
  <c r="BM1118" i="2" s="1"/>
  <c r="BI1118" i="2"/>
  <c r="BK1067" i="2"/>
  <c r="BM1067" i="2" s="1"/>
  <c r="BI1067" i="2"/>
  <c r="BK1115" i="2"/>
  <c r="BM1115" i="2" s="1"/>
  <c r="BI1115" i="2"/>
  <c r="BK1167" i="2"/>
  <c r="BM1167" i="2" s="1"/>
  <c r="BI1167" i="2"/>
  <c r="BI1105" i="2"/>
  <c r="BK1105" i="2"/>
  <c r="BM1105" i="2" s="1"/>
  <c r="BI1133" i="2"/>
  <c r="BK1133" i="2"/>
  <c r="BM1133" i="2" s="1"/>
  <c r="BI1249" i="2"/>
  <c r="BK1249" i="2"/>
  <c r="BM1249" i="2" s="1"/>
  <c r="BK1228" i="2"/>
  <c r="BM1228" i="2" s="1"/>
  <c r="BI1228" i="2"/>
  <c r="BK1206" i="2"/>
  <c r="BM1206" i="2" s="1"/>
  <c r="BI1206" i="2"/>
  <c r="BK1186" i="2"/>
  <c r="BM1186" i="2" s="1"/>
  <c r="BI1186" i="2"/>
  <c r="BK1185" i="2"/>
  <c r="BM1185" i="2" s="1"/>
  <c r="BI1185" i="2"/>
  <c r="BI1255" i="2"/>
  <c r="BK1255" i="2"/>
  <c r="BM1255" i="2" s="1"/>
  <c r="BI1216" i="2"/>
  <c r="BK1216" i="2"/>
  <c r="BM1216" i="2" s="1"/>
  <c r="BK1264" i="2"/>
  <c r="BM1264" i="2" s="1"/>
  <c r="BI1264" i="2"/>
  <c r="BK1275" i="2"/>
  <c r="BM1275" i="2" s="1"/>
  <c r="BI1275" i="2"/>
  <c r="BI1236" i="2"/>
  <c r="BK1236" i="2"/>
  <c r="BM1236" i="2" s="1"/>
  <c r="BK1290" i="2"/>
  <c r="BM1290" i="2" s="1"/>
  <c r="BI1290" i="2"/>
  <c r="BK1343" i="2"/>
  <c r="BM1343" i="2" s="1"/>
  <c r="BI1343" i="2"/>
  <c r="BK1354" i="2"/>
  <c r="BM1354" i="2" s="1"/>
  <c r="BI1354" i="2"/>
  <c r="BK1365" i="2"/>
  <c r="BM1365" i="2" s="1"/>
  <c r="BI1365" i="2"/>
  <c r="BK1350" i="2"/>
  <c r="BM1350" i="2" s="1"/>
  <c r="BI1350" i="2"/>
  <c r="BK1349" i="2"/>
  <c r="BM1349" i="2" s="1"/>
  <c r="BI1349" i="2"/>
  <c r="BI1371" i="2"/>
  <c r="BK1371" i="2"/>
  <c r="BM1371" i="2" s="1"/>
  <c r="BK1378" i="2"/>
  <c r="BM1378" i="2" s="1"/>
  <c r="BI1378" i="2"/>
  <c r="BK1416" i="2"/>
  <c r="BM1416" i="2" s="1"/>
  <c r="BI1416" i="2"/>
  <c r="BK1455" i="2"/>
  <c r="BM1455" i="2" s="1"/>
  <c r="BI1455" i="2"/>
  <c r="BK1420" i="2"/>
  <c r="BM1420" i="2" s="1"/>
  <c r="BI1420" i="2"/>
  <c r="BI1458" i="2"/>
  <c r="BK1458" i="2"/>
  <c r="BM1458" i="2" s="1"/>
  <c r="BK1398" i="2"/>
  <c r="BM1398" i="2" s="1"/>
  <c r="BI1398" i="2"/>
  <c r="BK1509" i="2"/>
  <c r="BM1509" i="2" s="1"/>
  <c r="BI1509" i="2"/>
  <c r="BK1502" i="2"/>
  <c r="BM1502" i="2" s="1"/>
  <c r="BI1502" i="2"/>
  <c r="BK1474" i="2"/>
  <c r="BM1474" i="2" s="1"/>
  <c r="BI1474" i="2"/>
  <c r="BK1469" i="2"/>
  <c r="BM1469" i="2" s="1"/>
  <c r="BI1469" i="2"/>
  <c r="BI1548" i="2"/>
  <c r="BK1548" i="2"/>
  <c r="BM1548" i="2" s="1"/>
  <c r="BK1569" i="2"/>
  <c r="BM1569" i="2" s="1"/>
  <c r="BI1569" i="2"/>
  <c r="BI1530" i="2"/>
  <c r="BK1530" i="2"/>
  <c r="BM1530" i="2" s="1"/>
  <c r="BK1612" i="2"/>
  <c r="BM1612" i="2" s="1"/>
  <c r="BI1612" i="2"/>
  <c r="BI1568" i="2"/>
  <c r="BK1568" i="2"/>
  <c r="BM1568" i="2" s="1"/>
  <c r="BI1630" i="2"/>
  <c r="BK1630" i="2"/>
  <c r="BM1630" i="2" s="1"/>
  <c r="BK1573" i="2"/>
  <c r="BM1573" i="2" s="1"/>
  <c r="CQ8" i="2" s="1"/>
  <c r="BI1573" i="2"/>
  <c r="BI1602" i="2"/>
  <c r="BK1602" i="2"/>
  <c r="BM1602" i="2" s="1"/>
  <c r="BU18" i="2"/>
  <c r="CQ15" i="2"/>
  <c r="BW18" i="2"/>
  <c r="BK89" i="2"/>
  <c r="BM89" i="2" s="1"/>
  <c r="BI89" i="2"/>
  <c r="BK10" i="2"/>
  <c r="BM10" i="2" s="1"/>
  <c r="BI10" i="2"/>
  <c r="BK224" i="2"/>
  <c r="BM224" i="2" s="1"/>
  <c r="BI224" i="2"/>
  <c r="BK279" i="2"/>
  <c r="BM279" i="2" s="1"/>
  <c r="BI279" i="2"/>
  <c r="BK549" i="2"/>
  <c r="BM549" i="2" s="1"/>
  <c r="BI549" i="2"/>
  <c r="BK490" i="2"/>
  <c r="BM490" i="2" s="1"/>
  <c r="BI490" i="2"/>
  <c r="BK21" i="2"/>
  <c r="BM21" i="2" s="1"/>
  <c r="BI21" i="2"/>
  <c r="BK132" i="2"/>
  <c r="BM132" i="2" s="1"/>
  <c r="BI132" i="2"/>
  <c r="BK138" i="2"/>
  <c r="BM138" i="2" s="1"/>
  <c r="BI138" i="2"/>
  <c r="BK142" i="2"/>
  <c r="BM142" i="2" s="1"/>
  <c r="BI142" i="2"/>
  <c r="BK366" i="2"/>
  <c r="BM366" i="2" s="1"/>
  <c r="BI366" i="2"/>
  <c r="BK403" i="2"/>
  <c r="BM403" i="2" s="1"/>
  <c r="BI403" i="2"/>
  <c r="BK307" i="2"/>
  <c r="BM307" i="2" s="1"/>
  <c r="BI307" i="2"/>
  <c r="BK423" i="2"/>
  <c r="BM423" i="2" s="1"/>
  <c r="BI423" i="2"/>
  <c r="BK567" i="2"/>
  <c r="BM567" i="2" s="1"/>
  <c r="BI567" i="2"/>
  <c r="BI509" i="2"/>
  <c r="BK509" i="2"/>
  <c r="BM509" i="2" s="1"/>
  <c r="BI11" i="2"/>
  <c r="BK11" i="2"/>
  <c r="BM11" i="2" s="1"/>
  <c r="BK210" i="2"/>
  <c r="BM210" i="2" s="1"/>
  <c r="BI210" i="2"/>
  <c r="BK111" i="2"/>
  <c r="BM111" i="2" s="1"/>
  <c r="BI111" i="2"/>
  <c r="BK87" i="2"/>
  <c r="BM87" i="2" s="1"/>
  <c r="BI87" i="2"/>
  <c r="BK113" i="2"/>
  <c r="BM113" i="2" s="1"/>
  <c r="BI113" i="2"/>
  <c r="BK149" i="2"/>
  <c r="BM149" i="2" s="1"/>
  <c r="BI149" i="2"/>
  <c r="BK222" i="2"/>
  <c r="BM222" i="2" s="1"/>
  <c r="BI222" i="2"/>
  <c r="BK371" i="2"/>
  <c r="BM371" i="2" s="1"/>
  <c r="BI371" i="2"/>
  <c r="BK441" i="2"/>
  <c r="BM441" i="2" s="1"/>
  <c r="BI441" i="2"/>
  <c r="BK55" i="2"/>
  <c r="BM55" i="2" s="1"/>
  <c r="BI55" i="2"/>
  <c r="BK13" i="2"/>
  <c r="BM13" i="2" s="1"/>
  <c r="BI13" i="2"/>
  <c r="BK211" i="2"/>
  <c r="BM211" i="2" s="1"/>
  <c r="BI211" i="2"/>
  <c r="BI18" i="2"/>
  <c r="BK18" i="2"/>
  <c r="BM18" i="2" s="1"/>
  <c r="BK232" i="2"/>
  <c r="BM232" i="2" s="1"/>
  <c r="BI232" i="2"/>
  <c r="BK266" i="2"/>
  <c r="BM266" i="2" s="1"/>
  <c r="BI266" i="2"/>
  <c r="BK357" i="2"/>
  <c r="BM357" i="2" s="1"/>
  <c r="BI357" i="2"/>
  <c r="BK309" i="2"/>
  <c r="BM309" i="2" s="1"/>
  <c r="BI309" i="2"/>
  <c r="BK372" i="2"/>
  <c r="BM372" i="2" s="1"/>
  <c r="BI372" i="2"/>
  <c r="BK270" i="2"/>
  <c r="BM270" i="2" s="1"/>
  <c r="BI270" i="2"/>
  <c r="BK327" i="2"/>
  <c r="BM327" i="2" s="1"/>
  <c r="BI327" i="2"/>
  <c r="BK447" i="2"/>
  <c r="BM447" i="2" s="1"/>
  <c r="BI447" i="2"/>
  <c r="BK458" i="2"/>
  <c r="BM458" i="2" s="1"/>
  <c r="BI458" i="2"/>
  <c r="BK579" i="2"/>
  <c r="BM579" i="2" s="1"/>
  <c r="BI579" i="2"/>
  <c r="BK661" i="2"/>
  <c r="BM661" i="2" s="1"/>
  <c r="BI661" i="2"/>
  <c r="BI461" i="2"/>
  <c r="BK461" i="2"/>
  <c r="BM461" i="2" s="1"/>
  <c r="BK460" i="2"/>
  <c r="BM460" i="2" s="1"/>
  <c r="BI460" i="2"/>
  <c r="BK949" i="2"/>
  <c r="BM949" i="2" s="1"/>
  <c r="BI949" i="2"/>
  <c r="BK904" i="2"/>
  <c r="BM904" i="2" s="1"/>
  <c r="BI904" i="2"/>
  <c r="BK887" i="2"/>
  <c r="BM887" i="2" s="1"/>
  <c r="BI887" i="2"/>
  <c r="BI921" i="2"/>
  <c r="BK921" i="2"/>
  <c r="BM921" i="2" s="1"/>
  <c r="BI841" i="2"/>
  <c r="BK841" i="2"/>
  <c r="BM841" i="2" s="1"/>
  <c r="BK980" i="2"/>
  <c r="BM980" i="2" s="1"/>
  <c r="BI980" i="2"/>
  <c r="BK958" i="2"/>
  <c r="BM958" i="2" s="1"/>
  <c r="BI958" i="2"/>
  <c r="BK974" i="2"/>
  <c r="BM974" i="2" s="1"/>
  <c r="BI974" i="2"/>
  <c r="BK1017" i="2"/>
  <c r="BM1017" i="2" s="1"/>
  <c r="BI1017" i="2"/>
  <c r="BI1087" i="2"/>
  <c r="BK1087" i="2"/>
  <c r="BM1087" i="2" s="1"/>
  <c r="BK1076" i="2"/>
  <c r="BM1076" i="2" s="1"/>
  <c r="BI1076" i="2"/>
  <c r="BK1050" i="2"/>
  <c r="BM1050" i="2" s="1"/>
  <c r="BI1050" i="2"/>
  <c r="BK1175" i="2"/>
  <c r="BM1175" i="2" s="1"/>
  <c r="BI1175" i="2"/>
  <c r="BK1048" i="2"/>
  <c r="BM1048" i="2" s="1"/>
  <c r="BI1048" i="2"/>
  <c r="BI1101" i="2"/>
  <c r="BK1101" i="2"/>
  <c r="BM1101" i="2" s="1"/>
  <c r="BK1034" i="2"/>
  <c r="BM1034" i="2" s="1"/>
  <c r="BI1034" i="2"/>
  <c r="BI1033" i="2"/>
  <c r="BK1033" i="2"/>
  <c r="BM1033" i="2" s="1"/>
  <c r="BI1044" i="2"/>
  <c r="BK1044" i="2"/>
  <c r="BM1044" i="2" s="1"/>
  <c r="BK1142" i="2"/>
  <c r="BM1142" i="2" s="1"/>
  <c r="BI1142" i="2"/>
  <c r="BK1174" i="2"/>
  <c r="BM1174" i="2" s="1"/>
  <c r="BI1174" i="2"/>
  <c r="BI1106" i="2"/>
  <c r="BK1106" i="2"/>
  <c r="BM1106" i="2" s="1"/>
  <c r="BK1152" i="2"/>
  <c r="BM1152" i="2" s="1"/>
  <c r="BI1152" i="2"/>
  <c r="BK1168" i="2"/>
  <c r="BM1168" i="2" s="1"/>
  <c r="BI1168" i="2"/>
  <c r="BK1254" i="2"/>
  <c r="BM1254" i="2" s="1"/>
  <c r="BI1254" i="2"/>
  <c r="BK1241" i="2"/>
  <c r="BM1241" i="2" s="1"/>
  <c r="BI1241" i="2"/>
  <c r="BK1212" i="2"/>
  <c r="BM1212" i="2" s="1"/>
  <c r="BI1212" i="2"/>
  <c r="BK1193" i="2"/>
  <c r="BM1193" i="2" s="1"/>
  <c r="BI1193" i="2"/>
  <c r="BI1222" i="2"/>
  <c r="BK1222" i="2"/>
  <c r="BM1222" i="2" s="1"/>
  <c r="BK1171" i="2"/>
  <c r="BM1171" i="2" s="1"/>
  <c r="BI1171" i="2"/>
  <c r="BK1269" i="2"/>
  <c r="BM1269" i="2" s="1"/>
  <c r="BI1269" i="2"/>
  <c r="BK1268" i="2"/>
  <c r="BM1268" i="2" s="1"/>
  <c r="BI1268" i="2"/>
  <c r="BK1279" i="2"/>
  <c r="BM1279" i="2" s="1"/>
  <c r="BI1279" i="2"/>
  <c r="BK1278" i="2"/>
  <c r="BM1278" i="2" s="1"/>
  <c r="BI1278" i="2"/>
  <c r="BK1287" i="2"/>
  <c r="BM1287" i="2" s="1"/>
  <c r="BI1287" i="2"/>
  <c r="BI1262" i="2"/>
  <c r="BK1262" i="2"/>
  <c r="BM1262" i="2" s="1"/>
  <c r="BI1273" i="2"/>
  <c r="BK1273" i="2"/>
  <c r="BM1273" i="2" s="1"/>
  <c r="BK1330" i="2"/>
  <c r="BM1330" i="2" s="1"/>
  <c r="BI1330" i="2"/>
  <c r="BK1294" i="2"/>
  <c r="BM1294" i="2" s="1"/>
  <c r="BI1294" i="2"/>
  <c r="BK1376" i="2"/>
  <c r="BM1376" i="2" s="1"/>
  <c r="BI1376" i="2"/>
  <c r="BK1391" i="2"/>
  <c r="BM1391" i="2" s="1"/>
  <c r="BI1391" i="2"/>
  <c r="BI1288" i="2"/>
  <c r="BK1288" i="2"/>
  <c r="BM1288" i="2" s="1"/>
  <c r="BI1360" i="2"/>
  <c r="BK1360" i="2"/>
  <c r="BM1360" i="2" s="1"/>
  <c r="BI1385" i="2"/>
  <c r="BK1385" i="2"/>
  <c r="BM1385" i="2" s="1"/>
  <c r="BK1322" i="2"/>
  <c r="BM1322" i="2" s="1"/>
  <c r="BI1322" i="2"/>
  <c r="BK1423" i="2"/>
  <c r="BM1423" i="2" s="1"/>
  <c r="BI1423" i="2"/>
  <c r="BK1384" i="2"/>
  <c r="BM1384" i="2" s="1"/>
  <c r="BI1384" i="2"/>
  <c r="BK1422" i="2"/>
  <c r="BM1422" i="2" s="1"/>
  <c r="BI1422" i="2"/>
  <c r="BK1404" i="2"/>
  <c r="BM1404" i="2" s="1"/>
  <c r="BI1404" i="2"/>
  <c r="BK1426" i="2"/>
  <c r="BM1426" i="2" s="1"/>
  <c r="BI1426" i="2"/>
  <c r="BK1463" i="2"/>
  <c r="BM1463" i="2" s="1"/>
  <c r="BI1463" i="2"/>
  <c r="BK1409" i="2"/>
  <c r="BM1409" i="2" s="1"/>
  <c r="BI1409" i="2"/>
  <c r="BK1537" i="2"/>
  <c r="BM1537" i="2" s="1"/>
  <c r="BI1537" i="2"/>
  <c r="BK1513" i="2"/>
  <c r="BM1513" i="2" s="1"/>
  <c r="BI1513" i="2"/>
  <c r="BI1499" i="2"/>
  <c r="BK1499" i="2"/>
  <c r="BM1499" i="2" s="1"/>
  <c r="BK1485" i="2"/>
  <c r="BM1485" i="2" s="1"/>
  <c r="BI1485" i="2"/>
  <c r="BK1460" i="2"/>
  <c r="BM1460" i="2" s="1"/>
  <c r="BI1460" i="2"/>
  <c r="BK1525" i="2"/>
  <c r="BM1525" i="2" s="1"/>
  <c r="BI1525" i="2"/>
  <c r="BI1465" i="2"/>
  <c r="BK1465" i="2"/>
  <c r="BM1465" i="2" s="1"/>
  <c r="BK1579" i="2"/>
  <c r="BM1579" i="2" s="1"/>
  <c r="BI1579" i="2"/>
  <c r="BK1486" i="2"/>
  <c r="BM1486" i="2" s="1"/>
  <c r="BI1486" i="2"/>
  <c r="BI1556" i="2"/>
  <c r="BK1556" i="2"/>
  <c r="BM1556" i="2" s="1"/>
  <c r="BK1503" i="2"/>
  <c r="BM1503" i="2" s="1"/>
  <c r="BI1503" i="2"/>
  <c r="BK1559" i="2"/>
  <c r="BM1559" i="2" s="1"/>
  <c r="BI1559" i="2"/>
  <c r="BK1581" i="2"/>
  <c r="BM1581" i="2" s="1"/>
  <c r="BI1581" i="2"/>
  <c r="BI1614" i="2"/>
  <c r="BK1614" i="2"/>
  <c r="BM1614" i="2" s="1"/>
  <c r="BK1577" i="2"/>
  <c r="BM1577" i="2" s="1"/>
  <c r="BI1577" i="2"/>
  <c r="BU7" i="2"/>
  <c r="CD7" i="2" s="1"/>
  <c r="BW7" i="2"/>
  <c r="CF7" i="2" s="1"/>
  <c r="CG7" i="2" s="1"/>
  <c r="BW10" i="2"/>
  <c r="CF10" i="2" s="1"/>
  <c r="CG10" i="2" s="1"/>
  <c r="BU10" i="2"/>
  <c r="CD10" i="2" s="1"/>
  <c r="BK59" i="2"/>
  <c r="BM59" i="2" s="1"/>
  <c r="BI59" i="2"/>
  <c r="BK133" i="2"/>
  <c r="BM133" i="2" s="1"/>
  <c r="BI133" i="2"/>
  <c r="BK190" i="2"/>
  <c r="BM190" i="2" s="1"/>
  <c r="BI190" i="2"/>
  <c r="BK194" i="2"/>
  <c r="BM194" i="2" s="1"/>
  <c r="BI194" i="2"/>
  <c r="BK256" i="2"/>
  <c r="BM256" i="2" s="1"/>
  <c r="BI256" i="2"/>
  <c r="BK329" i="2"/>
  <c r="BM329" i="2" s="1"/>
  <c r="BI329" i="2"/>
  <c r="BK405" i="2"/>
  <c r="BM405" i="2" s="1"/>
  <c r="BI405" i="2"/>
  <c r="BK488" i="2"/>
  <c r="BM488" i="2" s="1"/>
  <c r="BI488" i="2"/>
  <c r="BK529" i="2"/>
  <c r="BM529" i="2" s="1"/>
  <c r="BI529" i="2"/>
  <c r="BK648" i="2"/>
  <c r="BM648" i="2" s="1"/>
  <c r="BI648" i="2"/>
  <c r="BK7" i="2"/>
  <c r="BM7" i="2" s="1"/>
  <c r="BI7" i="2"/>
  <c r="BK90" i="2"/>
  <c r="BM90" i="2" s="1"/>
  <c r="BI90" i="2"/>
  <c r="BK66" i="2"/>
  <c r="BM66" i="2" s="1"/>
  <c r="BI66" i="2"/>
  <c r="BI29" i="2"/>
  <c r="BK29" i="2"/>
  <c r="BM29" i="2" s="1"/>
  <c r="BK257" i="2"/>
  <c r="BM257" i="2" s="1"/>
  <c r="BI257" i="2"/>
  <c r="BK264" i="2"/>
  <c r="BM264" i="2" s="1"/>
  <c r="BI264" i="2"/>
  <c r="BK388" i="2"/>
  <c r="BM388" i="2" s="1"/>
  <c r="BI388" i="2"/>
  <c r="BK314" i="2"/>
  <c r="BM314" i="2" s="1"/>
  <c r="BI314" i="2"/>
  <c r="BK285" i="2"/>
  <c r="BM285" i="2" s="1"/>
  <c r="BI285" i="2"/>
  <c r="BK356" i="2"/>
  <c r="BM356" i="2" s="1"/>
  <c r="BI356" i="2"/>
  <c r="BK318" i="2"/>
  <c r="BM318" i="2" s="1"/>
  <c r="BI318" i="2"/>
  <c r="BK495" i="2"/>
  <c r="BM495" i="2" s="1"/>
  <c r="BI495" i="2"/>
  <c r="BK614" i="2"/>
  <c r="BM614" i="2" s="1"/>
  <c r="BI614" i="2"/>
  <c r="BK547" i="2"/>
  <c r="BM547" i="2" s="1"/>
  <c r="BI547" i="2"/>
  <c r="BK546" i="2"/>
  <c r="BM546" i="2" s="1"/>
  <c r="BI546" i="2"/>
  <c r="BK826" i="2"/>
  <c r="BM826" i="2" s="1"/>
  <c r="BI826" i="2"/>
  <c r="BK198" i="2"/>
  <c r="BM198" i="2" s="1"/>
  <c r="BI198" i="2"/>
  <c r="BK50" i="2"/>
  <c r="BM50" i="2" s="1"/>
  <c r="BI50" i="2"/>
  <c r="BK68" i="2"/>
  <c r="BM68" i="2" s="1"/>
  <c r="BI68" i="2"/>
  <c r="BK172" i="2"/>
  <c r="BM172" i="2" s="1"/>
  <c r="BI172" i="2"/>
  <c r="BK155" i="2"/>
  <c r="BM155" i="2" s="1"/>
  <c r="BI155" i="2"/>
  <c r="BK88" i="2"/>
  <c r="BM88" i="2" s="1"/>
  <c r="BI88" i="2"/>
  <c r="BK93" i="2"/>
  <c r="BM93" i="2" s="1"/>
  <c r="BI93" i="2"/>
  <c r="BK159" i="2"/>
  <c r="BM159" i="2" s="1"/>
  <c r="BI159" i="2"/>
  <c r="BI16" i="2"/>
  <c r="BK16" i="2"/>
  <c r="BM16" i="2" s="1"/>
  <c r="BK46" i="2"/>
  <c r="BM46" i="2" s="1"/>
  <c r="BI46" i="2"/>
  <c r="BK144" i="2"/>
  <c r="BM144" i="2" s="1"/>
  <c r="BI144" i="2"/>
  <c r="BK281" i="2"/>
  <c r="BM281" i="2" s="1"/>
  <c r="BI281" i="2"/>
  <c r="BK227" i="2"/>
  <c r="BM227" i="2" s="1"/>
  <c r="BI227" i="2"/>
  <c r="BK238" i="2"/>
  <c r="BM238" i="2" s="1"/>
  <c r="BI238" i="2"/>
  <c r="BK243" i="2"/>
  <c r="BM243" i="2" s="1"/>
  <c r="BI243" i="2"/>
  <c r="BK315" i="2"/>
  <c r="BM315" i="2" s="1"/>
  <c r="BI315" i="2"/>
  <c r="BK378" i="2"/>
  <c r="BM378" i="2" s="1"/>
  <c r="BI378" i="2"/>
  <c r="BK277" i="2"/>
  <c r="BM277" i="2" s="1"/>
  <c r="BI277" i="2"/>
  <c r="BK353" i="2"/>
  <c r="BM353" i="2" s="1"/>
  <c r="BI353" i="2"/>
  <c r="BK319" i="2"/>
  <c r="BM319" i="2" s="1"/>
  <c r="BI319" i="2"/>
  <c r="BK323" i="2"/>
  <c r="BM323" i="2" s="1"/>
  <c r="BI323" i="2"/>
  <c r="BK493" i="2"/>
  <c r="BM493" i="2" s="1"/>
  <c r="BI493" i="2"/>
  <c r="BK8" i="2"/>
  <c r="BM8" i="2" s="1"/>
  <c r="BI8" i="2"/>
  <c r="BK204" i="2"/>
  <c r="BM204" i="2" s="1"/>
  <c r="BI204" i="2"/>
  <c r="BK103" i="2"/>
  <c r="BM103" i="2" s="1"/>
  <c r="BI103" i="2"/>
  <c r="BK158" i="2"/>
  <c r="BM158" i="2" s="1"/>
  <c r="BI158" i="2"/>
  <c r="BK57" i="2"/>
  <c r="BM57" i="2" s="1"/>
  <c r="BI57" i="2"/>
  <c r="BK26" i="2"/>
  <c r="BM26" i="2" s="1"/>
  <c r="BI26" i="2"/>
  <c r="BK114" i="2"/>
  <c r="BM114" i="2" s="1"/>
  <c r="BI114" i="2"/>
  <c r="BK97" i="2"/>
  <c r="BM97" i="2" s="1"/>
  <c r="BI97" i="2"/>
  <c r="BK140" i="2"/>
  <c r="BM140" i="2" s="1"/>
  <c r="BI140" i="2"/>
  <c r="BK116" i="2"/>
  <c r="BM116" i="2" s="1"/>
  <c r="BI116" i="2"/>
  <c r="BK62" i="2"/>
  <c r="BM62" i="2" s="1"/>
  <c r="BI62" i="2"/>
  <c r="BK166" i="2"/>
  <c r="BM166" i="2" s="1"/>
  <c r="BI166" i="2"/>
  <c r="BK47" i="2"/>
  <c r="BM47" i="2" s="1"/>
  <c r="BI47" i="2"/>
  <c r="BK241" i="2"/>
  <c r="BM241" i="2" s="1"/>
  <c r="BI241" i="2"/>
  <c r="BK334" i="2"/>
  <c r="BM334" i="2" s="1"/>
  <c r="BI334" i="2"/>
  <c r="BK384" i="2"/>
  <c r="BM384" i="2" s="1"/>
  <c r="BI384" i="2"/>
  <c r="BK299" i="2"/>
  <c r="BM299" i="2" s="1"/>
  <c r="BI299" i="2"/>
  <c r="BK320" i="2"/>
  <c r="BM320" i="2" s="1"/>
  <c r="BI320" i="2"/>
  <c r="BK324" i="2"/>
  <c r="BM324" i="2" s="1"/>
  <c r="BI324" i="2"/>
  <c r="BK259" i="2"/>
  <c r="BM259" i="2" s="1"/>
  <c r="BI259" i="2"/>
  <c r="BI407" i="2"/>
  <c r="BK407" i="2"/>
  <c r="BM407" i="2" s="1"/>
  <c r="BK409" i="2"/>
  <c r="BM409" i="2" s="1"/>
  <c r="BI409" i="2"/>
  <c r="BK375" i="2"/>
  <c r="BM375" i="2" s="1"/>
  <c r="BI375" i="2"/>
  <c r="BK519" i="2"/>
  <c r="BM519" i="2" s="1"/>
  <c r="BI519" i="2"/>
  <c r="BK530" i="2"/>
  <c r="BM530" i="2" s="1"/>
  <c r="BI530" i="2"/>
  <c r="BK499" i="2"/>
  <c r="BM499" i="2" s="1"/>
  <c r="BI499" i="2"/>
  <c r="BI707" i="2"/>
  <c r="BK707" i="2"/>
  <c r="BM707" i="2" s="1"/>
  <c r="BK498" i="2"/>
  <c r="BM498" i="2" s="1"/>
  <c r="BI498" i="2"/>
  <c r="BK563" i="2"/>
  <c r="BM563" i="2" s="1"/>
  <c r="CQ12" i="2" s="1"/>
  <c r="BI563" i="2"/>
  <c r="BI533" i="2"/>
  <c r="BK533" i="2"/>
  <c r="BM533" i="2" s="1"/>
  <c r="BK532" i="2"/>
  <c r="BM532" i="2" s="1"/>
  <c r="BI532" i="2"/>
  <c r="BK580" i="2"/>
  <c r="BM580" i="2" s="1"/>
  <c r="BI580" i="2"/>
  <c r="BK635" i="2"/>
  <c r="BM635" i="2" s="1"/>
  <c r="BI635" i="2"/>
  <c r="BI709" i="2"/>
  <c r="BK709" i="2"/>
  <c r="BM709" i="2" s="1"/>
  <c r="BK620" i="2"/>
  <c r="BM620" i="2" s="1"/>
  <c r="BI620" i="2"/>
  <c r="BK689" i="2"/>
  <c r="BM689" i="2" s="1"/>
  <c r="BI689" i="2"/>
  <c r="BK618" i="2"/>
  <c r="BM618" i="2" s="1"/>
  <c r="BI618" i="2"/>
  <c r="BI702" i="2"/>
  <c r="BK702" i="2"/>
  <c r="BM702" i="2" s="1"/>
  <c r="BK692" i="2"/>
  <c r="BM692" i="2" s="1"/>
  <c r="BI692" i="2"/>
  <c r="BK656" i="2"/>
  <c r="BM656" i="2" s="1"/>
  <c r="BI656" i="2"/>
  <c r="BK741" i="2"/>
  <c r="BM741" i="2" s="1"/>
  <c r="BI741" i="2"/>
  <c r="BK797" i="2"/>
  <c r="BM797" i="2" s="1"/>
  <c r="BI797" i="2"/>
  <c r="BK773" i="2"/>
  <c r="BM773" i="2" s="1"/>
  <c r="BI773" i="2"/>
  <c r="BK825" i="2"/>
  <c r="BM825" i="2" s="1"/>
  <c r="BI825" i="2"/>
  <c r="BK820" i="2"/>
  <c r="BM820" i="2" s="1"/>
  <c r="BI820" i="2"/>
  <c r="BI757" i="2"/>
  <c r="BK757" i="2"/>
  <c r="BM757" i="2" s="1"/>
  <c r="BK850" i="2"/>
  <c r="BM850" i="2" s="1"/>
  <c r="BI850" i="2"/>
  <c r="BK768" i="2"/>
  <c r="BM768" i="2" s="1"/>
  <c r="BI768" i="2"/>
  <c r="BK794" i="2"/>
  <c r="BM794" i="2" s="1"/>
  <c r="BI794" i="2"/>
  <c r="BK840" i="2"/>
  <c r="BM840" i="2" s="1"/>
  <c r="BI840" i="2"/>
  <c r="BK934" i="2"/>
  <c r="BM934" i="2" s="1"/>
  <c r="BI934" i="2"/>
  <c r="BK919" i="2"/>
  <c r="BM919" i="2" s="1"/>
  <c r="BI919" i="2"/>
  <c r="BK849" i="2"/>
  <c r="BM849" i="2" s="1"/>
  <c r="BI849" i="2"/>
  <c r="BI872" i="2"/>
  <c r="BK872" i="2"/>
  <c r="BM872" i="2" s="1"/>
  <c r="BK897" i="2"/>
  <c r="BM897" i="2" s="1"/>
  <c r="BI897" i="2"/>
  <c r="BK960" i="2"/>
  <c r="BM960" i="2" s="1"/>
  <c r="BI960" i="2"/>
  <c r="BK953" i="2"/>
  <c r="BM953" i="2" s="1"/>
  <c r="BI953" i="2"/>
  <c r="BK951" i="2"/>
  <c r="BM951" i="2" s="1"/>
  <c r="BI951" i="2"/>
  <c r="BK944" i="2"/>
  <c r="BM944" i="2" s="1"/>
  <c r="BI944" i="2"/>
  <c r="BK95" i="2"/>
  <c r="BM95" i="2" s="1"/>
  <c r="BI95" i="2"/>
  <c r="BK17" i="2"/>
  <c r="BM17" i="2" s="1"/>
  <c r="BI17" i="2"/>
  <c r="BK121" i="2"/>
  <c r="BM121" i="2" s="1"/>
  <c r="BI121" i="2"/>
  <c r="BK56" i="2"/>
  <c r="BM56" i="2" s="1"/>
  <c r="BI56" i="2"/>
  <c r="BK165" i="2"/>
  <c r="BM165" i="2" s="1"/>
  <c r="BI165" i="2"/>
  <c r="BK80" i="2"/>
  <c r="BM80" i="2" s="1"/>
  <c r="BI80" i="2"/>
  <c r="BK185" i="2"/>
  <c r="BM185" i="2" s="1"/>
  <c r="BI185" i="2"/>
  <c r="BK31" i="2"/>
  <c r="BM31" i="2" s="1"/>
  <c r="BI31" i="2"/>
  <c r="BK117" i="2"/>
  <c r="BM117" i="2" s="1"/>
  <c r="BI117" i="2"/>
  <c r="BK167" i="2"/>
  <c r="BM167" i="2" s="1"/>
  <c r="BI167" i="2"/>
  <c r="BK101" i="2"/>
  <c r="BM101" i="2" s="1"/>
  <c r="BI101" i="2"/>
  <c r="BK23" i="2"/>
  <c r="BM23" i="2" s="1"/>
  <c r="BI23" i="2"/>
  <c r="BK63" i="2"/>
  <c r="BM63" i="2" s="1"/>
  <c r="BI63" i="2"/>
  <c r="BK119" i="2"/>
  <c r="BM119" i="2" s="1"/>
  <c r="BI119" i="2"/>
  <c r="BK171" i="2"/>
  <c r="BM171" i="2" s="1"/>
  <c r="BI171" i="2"/>
  <c r="BI20" i="2"/>
  <c r="BK20" i="2"/>
  <c r="BM20" i="2" s="1"/>
  <c r="BK48" i="2"/>
  <c r="BM48" i="2" s="1"/>
  <c r="BI48" i="2"/>
  <c r="BK161" i="2"/>
  <c r="BM161" i="2" s="1"/>
  <c r="BI161" i="2"/>
  <c r="BK156" i="2"/>
  <c r="BM156" i="2" s="1"/>
  <c r="BI156" i="2"/>
  <c r="BK236" i="2"/>
  <c r="BM236" i="2" s="1"/>
  <c r="BI236" i="2"/>
  <c r="BK260" i="2"/>
  <c r="BM260" i="2" s="1"/>
  <c r="BI260" i="2"/>
  <c r="BK247" i="2"/>
  <c r="BM247" i="2" s="1"/>
  <c r="BI247" i="2"/>
  <c r="BK255" i="2"/>
  <c r="BM255" i="2" s="1"/>
  <c r="BI255" i="2"/>
  <c r="BK338" i="2"/>
  <c r="BM338" i="2" s="1"/>
  <c r="BI338" i="2"/>
  <c r="BI401" i="2"/>
  <c r="BK401" i="2"/>
  <c r="BM401" i="2" s="1"/>
  <c r="BK289" i="2"/>
  <c r="BM289" i="2" s="1"/>
  <c r="BI289" i="2"/>
  <c r="BK432" i="2"/>
  <c r="BM432" i="2" s="1"/>
  <c r="BI432" i="2"/>
  <c r="BK361" i="2"/>
  <c r="BM361" i="2" s="1"/>
  <c r="BI361" i="2"/>
  <c r="BK392" i="2"/>
  <c r="BM392" i="2" s="1"/>
  <c r="BI392" i="2"/>
  <c r="BK328" i="2"/>
  <c r="BM328" i="2" s="1"/>
  <c r="BI328" i="2"/>
  <c r="BK376" i="2"/>
  <c r="BM376" i="2" s="1"/>
  <c r="BI376" i="2"/>
  <c r="BI416" i="2"/>
  <c r="BK416" i="2"/>
  <c r="BM416" i="2" s="1"/>
  <c r="BI418" i="2"/>
  <c r="BK418" i="2"/>
  <c r="BM418" i="2" s="1"/>
  <c r="BK331" i="2"/>
  <c r="BM331" i="2" s="1"/>
  <c r="BI331" i="2"/>
  <c r="BK379" i="2"/>
  <c r="BM379" i="2" s="1"/>
  <c r="BI379" i="2"/>
  <c r="BK453" i="2"/>
  <c r="BM453" i="2" s="1"/>
  <c r="BI453" i="2"/>
  <c r="BK525" i="2"/>
  <c r="BM525" i="2" s="1"/>
  <c r="BI525" i="2"/>
  <c r="BK464" i="2"/>
  <c r="BM464" i="2" s="1"/>
  <c r="BI464" i="2"/>
  <c r="BK536" i="2"/>
  <c r="BM536" i="2" s="1"/>
  <c r="BI536" i="2"/>
  <c r="BK582" i="2"/>
  <c r="BM582" i="2" s="1"/>
  <c r="BI582" i="2"/>
  <c r="BK673" i="2"/>
  <c r="BM673" i="2" s="1"/>
  <c r="BI673" i="2"/>
  <c r="BK505" i="2"/>
  <c r="BM505" i="2" s="1"/>
  <c r="BI505" i="2"/>
  <c r="BK691" i="2"/>
  <c r="BM691" i="2" s="1"/>
  <c r="BI691" i="2"/>
  <c r="BK504" i="2"/>
  <c r="BM504" i="2" s="1"/>
  <c r="BI504" i="2"/>
  <c r="BK566" i="2"/>
  <c r="BM566" i="2" s="1"/>
  <c r="BI566" i="2"/>
  <c r="BI467" i="2"/>
  <c r="BK467" i="2"/>
  <c r="BM467" i="2" s="1"/>
  <c r="BI539" i="2"/>
  <c r="BK539" i="2"/>
  <c r="BM539" i="2" s="1"/>
  <c r="BK466" i="2"/>
  <c r="BM466" i="2" s="1"/>
  <c r="BI466" i="2"/>
  <c r="BK538" i="2"/>
  <c r="BM538" i="2" s="1"/>
  <c r="BI538" i="2"/>
  <c r="BK583" i="2"/>
  <c r="BM583" i="2" s="1"/>
  <c r="BI583" i="2"/>
  <c r="BK624" i="2"/>
  <c r="BM624" i="2" s="1"/>
  <c r="BI624" i="2"/>
  <c r="BK682" i="2"/>
  <c r="BM682" i="2" s="1"/>
  <c r="BI682" i="2"/>
  <c r="BK641" i="2"/>
  <c r="BM641" i="2" s="1"/>
  <c r="BI641" i="2"/>
  <c r="BI712" i="2"/>
  <c r="BK712" i="2"/>
  <c r="BM712" i="2" s="1"/>
  <c r="BK628" i="2"/>
  <c r="BM628" i="2" s="1"/>
  <c r="BI628" i="2"/>
  <c r="BK693" i="2"/>
  <c r="BM693" i="2" s="1"/>
  <c r="BI693" i="2"/>
  <c r="BK627" i="2"/>
  <c r="BM627" i="2" s="1"/>
  <c r="BI627" i="2"/>
  <c r="BI705" i="2"/>
  <c r="BK705" i="2"/>
  <c r="BM705" i="2" s="1"/>
  <c r="BI725" i="2"/>
  <c r="BK725" i="2"/>
  <c r="BM725" i="2" s="1"/>
  <c r="BK662" i="2"/>
  <c r="BM662" i="2" s="1"/>
  <c r="BI662" i="2"/>
  <c r="BK763" i="2"/>
  <c r="BM763" i="2" s="1"/>
  <c r="BI763" i="2"/>
  <c r="BI818" i="2"/>
  <c r="BK818" i="2"/>
  <c r="BM818" i="2" s="1"/>
  <c r="BK783" i="2"/>
  <c r="BM783" i="2" s="1"/>
  <c r="BI783" i="2"/>
  <c r="BK827" i="2"/>
  <c r="BM827" i="2" s="1"/>
  <c r="BI827" i="2"/>
  <c r="BI836" i="2"/>
  <c r="BK836" i="2"/>
  <c r="BM836" i="2" s="1"/>
  <c r="BK795" i="2"/>
  <c r="BM795" i="2" s="1"/>
  <c r="BI795" i="2"/>
  <c r="BK798" i="2"/>
  <c r="BM798" i="2" s="1"/>
  <c r="BI798" i="2"/>
  <c r="BK846" i="2"/>
  <c r="BM846" i="2" s="1"/>
  <c r="BI846" i="2"/>
  <c r="BK908" i="2"/>
  <c r="BM908" i="2" s="1"/>
  <c r="BI908" i="2"/>
  <c r="BK936" i="2"/>
  <c r="BM936" i="2" s="1"/>
  <c r="BI936" i="2"/>
  <c r="BK922" i="2"/>
  <c r="BM922" i="2" s="1"/>
  <c r="BI922" i="2"/>
  <c r="BK855" i="2"/>
  <c r="BM855" i="2" s="1"/>
  <c r="BI855" i="2"/>
  <c r="BI878" i="2"/>
  <c r="BK878" i="2"/>
  <c r="BM878" i="2" s="1"/>
  <c r="BI924" i="2"/>
  <c r="BK924" i="2"/>
  <c r="BM924" i="2" s="1"/>
  <c r="BK901" i="2"/>
  <c r="BM901" i="2" s="1"/>
  <c r="BI901" i="2"/>
  <c r="BK847" i="2"/>
  <c r="BM847" i="2" s="1"/>
  <c r="BI847" i="2"/>
  <c r="BK966" i="2"/>
  <c r="BM966" i="2" s="1"/>
  <c r="BI966" i="2"/>
  <c r="BK984" i="2"/>
  <c r="BM984" i="2" s="1"/>
  <c r="BI984" i="2"/>
  <c r="BK959" i="2"/>
  <c r="BM959" i="2" s="1"/>
  <c r="BI959" i="2"/>
  <c r="BK964" i="2"/>
  <c r="BM964" i="2" s="1"/>
  <c r="BI964" i="2"/>
  <c r="BK957" i="2"/>
  <c r="BM957" i="2" s="1"/>
  <c r="BI957" i="2"/>
  <c r="BK978" i="2"/>
  <c r="BM978" i="2" s="1"/>
  <c r="BI978" i="2"/>
  <c r="BK950" i="2"/>
  <c r="BM950" i="2" s="1"/>
  <c r="BI950" i="2"/>
  <c r="BK139" i="2"/>
  <c r="BM139" i="2" s="1"/>
  <c r="BI139" i="2"/>
  <c r="BK30" i="2"/>
  <c r="BM30" i="2" s="1"/>
  <c r="BI30" i="2"/>
  <c r="BK152" i="2"/>
  <c r="BM152" i="2" s="1"/>
  <c r="BI152" i="2"/>
  <c r="BK245" i="2"/>
  <c r="BM245" i="2" s="1"/>
  <c r="BI245" i="2"/>
  <c r="BK250" i="2"/>
  <c r="BM250" i="2" s="1"/>
  <c r="BI250" i="2"/>
  <c r="BK342" i="2"/>
  <c r="BM342" i="2" s="1"/>
  <c r="BI342" i="2"/>
  <c r="BK390" i="2"/>
  <c r="BM390" i="2" s="1"/>
  <c r="BI390" i="2"/>
  <c r="BK459" i="2"/>
  <c r="BM459" i="2" s="1"/>
  <c r="BI459" i="2"/>
  <c r="BK585" i="2"/>
  <c r="BM585" i="2" s="1"/>
  <c r="BI585" i="2"/>
  <c r="BK569" i="2"/>
  <c r="BM569" i="2" s="1"/>
  <c r="BI569" i="2"/>
  <c r="BK647" i="2"/>
  <c r="BM647" i="2" s="1"/>
  <c r="BI647" i="2"/>
  <c r="BK633" i="2"/>
  <c r="BM633" i="2" s="1"/>
  <c r="BI633" i="2"/>
  <c r="BK668" i="2"/>
  <c r="BM668" i="2" s="1"/>
  <c r="BI668" i="2"/>
  <c r="BK753" i="2"/>
  <c r="BM753" i="2" s="1"/>
  <c r="BI753" i="2"/>
  <c r="BI848" i="2"/>
  <c r="BK848" i="2"/>
  <c r="BM848" i="2" s="1"/>
  <c r="BK750" i="2"/>
  <c r="BM750" i="2" s="1"/>
  <c r="BI750" i="2"/>
  <c r="BK832" i="2"/>
  <c r="BM832" i="2" s="1"/>
  <c r="BI832" i="2"/>
  <c r="BK748" i="2"/>
  <c r="BM748" i="2" s="1"/>
  <c r="BI748" i="2"/>
  <c r="BI722" i="2"/>
  <c r="BK722" i="2"/>
  <c r="BM722" i="2" s="1"/>
  <c r="BI769" i="2"/>
  <c r="BK769" i="2"/>
  <c r="BM769" i="2" s="1"/>
  <c r="BK780" i="2"/>
  <c r="BM780" i="2" s="1"/>
  <c r="BI780" i="2"/>
  <c r="BI731" i="2"/>
  <c r="BK731" i="2"/>
  <c r="BM731" i="2" s="1"/>
  <c r="BK808" i="2"/>
  <c r="BM808" i="2" s="1"/>
  <c r="BI808" i="2"/>
  <c r="BI852" i="2"/>
  <c r="BK852" i="2"/>
  <c r="BM852" i="2" s="1"/>
  <c r="BK911" i="2"/>
  <c r="BM911" i="2" s="1"/>
  <c r="BI911" i="2"/>
  <c r="BK977" i="2"/>
  <c r="BM977" i="2" s="1"/>
  <c r="BI977" i="2"/>
  <c r="BK925" i="2"/>
  <c r="BM925" i="2" s="1"/>
  <c r="BI925" i="2"/>
  <c r="BK861" i="2"/>
  <c r="BM861" i="2" s="1"/>
  <c r="BI861" i="2"/>
  <c r="BI884" i="2"/>
  <c r="BK884" i="2"/>
  <c r="BM884" i="2" s="1"/>
  <c r="BI927" i="2"/>
  <c r="BK927" i="2"/>
  <c r="BM927" i="2" s="1"/>
  <c r="BK905" i="2"/>
  <c r="BM905" i="2" s="1"/>
  <c r="BI905" i="2"/>
  <c r="BK853" i="2"/>
  <c r="BM853" i="2" s="1"/>
  <c r="BI853" i="2"/>
  <c r="BK972" i="2"/>
  <c r="BM972" i="2" s="1"/>
  <c r="BI972" i="2"/>
  <c r="BK988" i="2"/>
  <c r="BM988" i="2" s="1"/>
  <c r="BI988" i="2"/>
  <c r="BK965" i="2"/>
  <c r="BM965" i="2" s="1"/>
  <c r="BI965" i="2"/>
  <c r="BK970" i="2"/>
  <c r="BM970" i="2" s="1"/>
  <c r="BI970" i="2"/>
  <c r="BK963" i="2"/>
  <c r="BM963" i="2" s="1"/>
  <c r="BI963" i="2"/>
  <c r="BK982" i="2"/>
  <c r="BM982" i="2" s="1"/>
  <c r="BI982" i="2"/>
  <c r="BK956" i="2"/>
  <c r="BM956" i="2" s="1"/>
  <c r="BI956" i="2"/>
  <c r="BK1029" i="2"/>
  <c r="BM1029" i="2" s="1"/>
  <c r="BI1029" i="2"/>
  <c r="BI1095" i="2"/>
  <c r="BK1095" i="2"/>
  <c r="BM1095" i="2" s="1"/>
  <c r="BK1062" i="2"/>
  <c r="BM1062" i="2" s="1"/>
  <c r="BI1062" i="2"/>
  <c r="BK1037" i="2"/>
  <c r="BM1037" i="2" s="1"/>
  <c r="CQ26" i="2" s="1"/>
  <c r="BI1037" i="2"/>
  <c r="BK1060" i="2"/>
  <c r="BM1060" i="2" s="1"/>
  <c r="BI1060" i="2"/>
  <c r="BK1046" i="2"/>
  <c r="BM1046" i="2" s="1"/>
  <c r="BI1046" i="2"/>
  <c r="BI1045" i="2"/>
  <c r="BK1045" i="2"/>
  <c r="BM1045" i="2" s="1"/>
  <c r="BI1056" i="2"/>
  <c r="BK1056" i="2"/>
  <c r="BM1056" i="2" s="1"/>
  <c r="BI1116" i="2"/>
  <c r="BK1116" i="2"/>
  <c r="BM1116" i="2" s="1"/>
  <c r="BK1141" i="2"/>
  <c r="BM1141" i="2" s="1"/>
  <c r="BI1141" i="2"/>
  <c r="BK1225" i="2"/>
  <c r="BM1225" i="2" s="1"/>
  <c r="BI1225" i="2"/>
  <c r="BK1178" i="2"/>
  <c r="BM1178" i="2" s="1"/>
  <c r="BI1178" i="2"/>
  <c r="BK1140" i="2"/>
  <c r="BM1140" i="2" s="1"/>
  <c r="BI1140" i="2"/>
  <c r="BI1108" i="2"/>
  <c r="BK1108" i="2"/>
  <c r="BM1108" i="2" s="1"/>
  <c r="BK1162" i="2"/>
  <c r="BM1162" i="2" s="1"/>
  <c r="BI1162" i="2"/>
  <c r="BK1180" i="2"/>
  <c r="BM1180" i="2" s="1"/>
  <c r="BI1180" i="2"/>
  <c r="BK1281" i="2"/>
  <c r="BM1281" i="2" s="1"/>
  <c r="BI1281" i="2"/>
  <c r="BI1261" i="2"/>
  <c r="BK1261" i="2"/>
  <c r="BM1261" i="2" s="1"/>
  <c r="BK1205" i="2"/>
  <c r="BM1205" i="2" s="1"/>
  <c r="BI1205" i="2"/>
  <c r="BK1183" i="2"/>
  <c r="BM1183" i="2" s="1"/>
  <c r="BI1183" i="2"/>
  <c r="BI1170" i="2"/>
  <c r="BK1170" i="2"/>
  <c r="BM1170" i="2" s="1"/>
  <c r="BK1244" i="2"/>
  <c r="BM1244" i="2" s="1"/>
  <c r="BI1244" i="2"/>
  <c r="BK1280" i="2"/>
  <c r="BM1280" i="2" s="1"/>
  <c r="BI1280" i="2"/>
  <c r="BK1283" i="2"/>
  <c r="BM1283" i="2" s="1"/>
  <c r="BI1283" i="2"/>
  <c r="BI1274" i="2"/>
  <c r="BK1274" i="2"/>
  <c r="BM1274" i="2" s="1"/>
  <c r="BK1311" i="2"/>
  <c r="BM1311" i="2" s="1"/>
  <c r="BI1311" i="2"/>
  <c r="BK1388" i="2"/>
  <c r="BM1388" i="2" s="1"/>
  <c r="BI1388" i="2"/>
  <c r="BK1351" i="2"/>
  <c r="BM1351" i="2" s="1"/>
  <c r="BI1351" i="2"/>
  <c r="BI1300" i="2"/>
  <c r="BK1300" i="2"/>
  <c r="BM1300" i="2" s="1"/>
  <c r="BI1372" i="2"/>
  <c r="BK1372" i="2"/>
  <c r="BM1372" i="2" s="1"/>
  <c r="BK1334" i="2"/>
  <c r="BM1334" i="2" s="1"/>
  <c r="BI1334" i="2"/>
  <c r="BI1321" i="2"/>
  <c r="BK1321" i="2"/>
  <c r="BM1321" i="2" s="1"/>
  <c r="BK1432" i="2"/>
  <c r="BM1432" i="2" s="1"/>
  <c r="BI1432" i="2"/>
  <c r="BK1421" i="2"/>
  <c r="BM1421" i="2" s="1"/>
  <c r="BI1421" i="2"/>
  <c r="BK1431" i="2"/>
  <c r="BM1431" i="2" s="1"/>
  <c r="BI1431" i="2"/>
  <c r="BI1399" i="2"/>
  <c r="BK1399" i="2"/>
  <c r="BM1399" i="2" s="1"/>
  <c r="BK1418" i="2"/>
  <c r="BM1418" i="2" s="1"/>
  <c r="BI1418" i="2"/>
  <c r="BK1456" i="2"/>
  <c r="BM1456" i="2" s="1"/>
  <c r="BI1456" i="2"/>
  <c r="BI1532" i="2"/>
  <c r="BK1532" i="2"/>
  <c r="BM1532" i="2" s="1"/>
  <c r="BI1482" i="2"/>
  <c r="BK1482" i="2"/>
  <c r="BM1482" i="2" s="1"/>
  <c r="BI1508" i="2"/>
  <c r="BK1508" i="2"/>
  <c r="BM1508" i="2" s="1"/>
  <c r="BK1531" i="2"/>
  <c r="BM1531" i="2" s="1"/>
  <c r="BI1531" i="2"/>
  <c r="BI1477" i="2"/>
  <c r="BK1477" i="2"/>
  <c r="BM1477" i="2" s="1"/>
  <c r="BK1495" i="2"/>
  <c r="BM1495" i="2" s="1"/>
  <c r="BI1495" i="2"/>
  <c r="BK1475" i="2"/>
  <c r="BM1475" i="2" s="1"/>
  <c r="BI1475" i="2"/>
  <c r="BI1517" i="2"/>
  <c r="BK1517" i="2"/>
  <c r="BM1517" i="2" s="1"/>
  <c r="BI1547" i="2"/>
  <c r="BK1547" i="2"/>
  <c r="BM1547" i="2" s="1"/>
  <c r="BK1515" i="2"/>
  <c r="BM1515" i="2" s="1"/>
  <c r="BI1515" i="2"/>
  <c r="BE1631" i="2"/>
  <c r="CQ36" i="2"/>
  <c r="BK24" i="2"/>
  <c r="BM24" i="2" s="1"/>
  <c r="BI24" i="2"/>
  <c r="BK122" i="2"/>
  <c r="BM122" i="2" s="1"/>
  <c r="BI122" i="2"/>
  <c r="BK178" i="2"/>
  <c r="BM178" i="2" s="1"/>
  <c r="BI178" i="2"/>
  <c r="BK244" i="2"/>
  <c r="BM244" i="2" s="1"/>
  <c r="BI244" i="2"/>
  <c r="BK278" i="2"/>
  <c r="BM278" i="2" s="1"/>
  <c r="BI278" i="2"/>
  <c r="BK332" i="2"/>
  <c r="BM332" i="2" s="1"/>
  <c r="CQ5" i="2" s="1"/>
  <c r="BI332" i="2"/>
  <c r="BK426" i="2"/>
  <c r="BM426" i="2" s="1"/>
  <c r="BI426" i="2"/>
  <c r="BK470" i="2"/>
  <c r="BM470" i="2" s="1"/>
  <c r="BI470" i="2"/>
  <c r="BK510" i="2"/>
  <c r="BM510" i="2" s="1"/>
  <c r="BI510" i="2"/>
  <c r="BI473" i="2"/>
  <c r="BK473" i="2"/>
  <c r="BM473" i="2" s="1"/>
  <c r="BK544" i="2"/>
  <c r="BM544" i="2" s="1"/>
  <c r="BI544" i="2"/>
  <c r="BI715" i="2"/>
  <c r="BK715" i="2"/>
  <c r="BM715" i="2" s="1"/>
  <c r="BI708" i="2"/>
  <c r="BK708" i="2"/>
  <c r="BM708" i="2" s="1"/>
  <c r="BK83" i="2"/>
  <c r="BM83" i="2" s="1"/>
  <c r="BI83" i="2"/>
  <c r="BK109" i="2"/>
  <c r="BM109" i="2" s="1"/>
  <c r="BI109" i="2"/>
  <c r="BK94" i="2"/>
  <c r="BM94" i="2" s="1"/>
  <c r="BI94" i="2"/>
  <c r="BK51" i="2"/>
  <c r="BM51" i="2" s="1"/>
  <c r="BI51" i="2"/>
  <c r="BK145" i="2"/>
  <c r="BM145" i="2" s="1"/>
  <c r="BI145" i="2"/>
  <c r="BK75" i="2"/>
  <c r="BM75" i="2" s="1"/>
  <c r="BI75" i="2"/>
  <c r="BK186" i="2"/>
  <c r="BM186" i="2" s="1"/>
  <c r="BI186" i="2"/>
  <c r="BK168" i="2"/>
  <c r="BM168" i="2" s="1"/>
  <c r="BI168" i="2"/>
  <c r="BI413" i="2"/>
  <c r="BK413" i="2"/>
  <c r="BM413" i="2" s="1"/>
  <c r="BK415" i="2"/>
  <c r="BM415" i="2" s="1"/>
  <c r="BI415" i="2"/>
  <c r="BK369" i="2"/>
  <c r="BM369" i="2" s="1"/>
  <c r="BI369" i="2"/>
  <c r="BK393" i="2"/>
  <c r="BM393" i="2" s="1"/>
  <c r="BI393" i="2"/>
  <c r="BK476" i="2"/>
  <c r="BM476" i="2" s="1"/>
  <c r="BI476" i="2"/>
  <c r="BK445" i="2"/>
  <c r="BM445" i="2" s="1"/>
  <c r="BI445" i="2"/>
  <c r="BK516" i="2"/>
  <c r="BM516" i="2" s="1"/>
  <c r="BI516" i="2"/>
  <c r="BI594" i="2"/>
  <c r="BK594" i="2"/>
  <c r="BM594" i="2" s="1"/>
  <c r="BI551" i="2"/>
  <c r="BK551" i="2"/>
  <c r="BM551" i="2" s="1"/>
  <c r="BK550" i="2"/>
  <c r="BM550" i="2" s="1"/>
  <c r="BI550" i="2"/>
  <c r="BK636" i="2"/>
  <c r="BM636" i="2" s="1"/>
  <c r="BI636" i="2"/>
  <c r="BK653" i="2"/>
  <c r="BM653" i="2" s="1"/>
  <c r="BI653" i="2"/>
  <c r="BK640" i="2"/>
  <c r="BM640" i="2" s="1"/>
  <c r="BI640" i="2"/>
  <c r="BK639" i="2"/>
  <c r="BM639" i="2" s="1"/>
  <c r="BI639" i="2"/>
  <c r="BI711" i="2"/>
  <c r="BK711" i="2"/>
  <c r="BM711" i="2" s="1"/>
  <c r="BK747" i="2"/>
  <c r="BM747" i="2" s="1"/>
  <c r="BI747" i="2"/>
  <c r="BK674" i="2"/>
  <c r="BM674" i="2" s="1"/>
  <c r="BI674" i="2"/>
  <c r="BK775" i="2"/>
  <c r="BM775" i="2" s="1"/>
  <c r="BI775" i="2"/>
  <c r="BK792" i="2"/>
  <c r="BM792" i="2" s="1"/>
  <c r="BI792" i="2"/>
  <c r="BK759" i="2"/>
  <c r="BM759" i="2" s="1"/>
  <c r="BI759" i="2"/>
  <c r="BK862" i="2"/>
  <c r="BM862" i="2" s="1"/>
  <c r="BI862" i="2"/>
  <c r="BI790" i="2"/>
  <c r="BK790" i="2"/>
  <c r="BM790" i="2" s="1"/>
  <c r="BK858" i="2"/>
  <c r="BM858" i="2" s="1"/>
  <c r="BI858" i="2"/>
  <c r="BK914" i="2"/>
  <c r="BM914" i="2" s="1"/>
  <c r="BI914" i="2"/>
  <c r="BK993" i="2"/>
  <c r="BM993" i="2" s="1"/>
  <c r="BI993" i="2"/>
  <c r="BK891" i="2"/>
  <c r="BM891" i="2" s="1"/>
  <c r="BI891" i="2"/>
  <c r="BK928" i="2"/>
  <c r="BM928" i="2" s="1"/>
  <c r="BI928" i="2"/>
  <c r="BK867" i="2"/>
  <c r="BM867" i="2" s="1"/>
  <c r="BI867" i="2"/>
  <c r="BK943" i="2"/>
  <c r="BM943" i="2" s="1"/>
  <c r="BI943" i="2"/>
  <c r="BI930" i="2"/>
  <c r="BK930" i="2"/>
  <c r="BM930" i="2" s="1"/>
  <c r="BK859" i="2"/>
  <c r="BM859" i="2" s="1"/>
  <c r="BI859" i="2"/>
  <c r="BK1000" i="2"/>
  <c r="BM1000" i="2" s="1"/>
  <c r="BI1000" i="2"/>
  <c r="BI1006" i="2"/>
  <c r="BK1006" i="2"/>
  <c r="BM1006" i="2" s="1"/>
  <c r="BK992" i="2"/>
  <c r="BM992" i="2" s="1"/>
  <c r="BI992" i="2"/>
  <c r="BK971" i="2"/>
  <c r="BM971" i="2" s="1"/>
  <c r="BI971" i="2"/>
  <c r="BK999" i="2"/>
  <c r="BM999" i="2" s="1"/>
  <c r="BI999" i="2"/>
  <c r="BK975" i="2"/>
  <c r="BM975" i="2" s="1"/>
  <c r="BI975" i="2"/>
  <c r="BK969" i="2"/>
  <c r="BM969" i="2" s="1"/>
  <c r="BI969" i="2"/>
  <c r="BK986" i="2"/>
  <c r="BM986" i="2" s="1"/>
  <c r="BI986" i="2"/>
  <c r="BK962" i="2"/>
  <c r="BM962" i="2" s="1"/>
  <c r="BI962" i="2"/>
  <c r="BI1099" i="2"/>
  <c r="BK1099" i="2"/>
  <c r="BM1099" i="2" s="1"/>
  <c r="BK1019" i="2"/>
  <c r="BM1019" i="2" s="1"/>
  <c r="BI1019" i="2"/>
  <c r="BK1128" i="2"/>
  <c r="BM1128" i="2" s="1"/>
  <c r="BI1128" i="2"/>
  <c r="BK1143" i="2"/>
  <c r="BM1143" i="2" s="1"/>
  <c r="BI1143" i="2"/>
  <c r="BI1109" i="2"/>
  <c r="BK1109" i="2"/>
  <c r="BM1109" i="2" s="1"/>
  <c r="BK1190" i="2"/>
  <c r="BM1190" i="2" s="1"/>
  <c r="BI1190" i="2"/>
  <c r="BK1256" i="2"/>
  <c r="BM1256" i="2" s="1"/>
  <c r="BI1256" i="2"/>
  <c r="BK1243" i="2"/>
  <c r="BM1243" i="2" s="1"/>
  <c r="BI1243" i="2"/>
  <c r="BK1223" i="2"/>
  <c r="BM1223" i="2" s="1"/>
  <c r="BI1223" i="2"/>
  <c r="BK1211" i="2"/>
  <c r="BM1211" i="2" s="1"/>
  <c r="BI1211" i="2"/>
  <c r="BI1137" i="2"/>
  <c r="BK1137" i="2"/>
  <c r="BM1137" i="2" s="1"/>
  <c r="BK1242" i="2"/>
  <c r="BM1242" i="2" s="1"/>
  <c r="BI1242" i="2"/>
  <c r="BK1252" i="2"/>
  <c r="BM1252" i="2" s="1"/>
  <c r="BI1252" i="2"/>
  <c r="BK1277" i="2"/>
  <c r="BM1277" i="2" s="1"/>
  <c r="BI1277" i="2"/>
  <c r="BK1304" i="2"/>
  <c r="BM1304" i="2" s="1"/>
  <c r="BI1304" i="2"/>
  <c r="BI1299" i="2"/>
  <c r="BK1299" i="2"/>
  <c r="BM1299" i="2" s="1"/>
  <c r="BK1260" i="2"/>
  <c r="BM1260" i="2" s="1"/>
  <c r="BI1260" i="2"/>
  <c r="BK1317" i="2"/>
  <c r="BM1317" i="2" s="1"/>
  <c r="BI1317" i="2"/>
  <c r="BK1367" i="2"/>
  <c r="BM1367" i="2" s="1"/>
  <c r="BI1367" i="2"/>
  <c r="BK1374" i="2"/>
  <c r="BM1374" i="2" s="1"/>
  <c r="BI1374" i="2"/>
  <c r="BK1373" i="2"/>
  <c r="BM1373" i="2" s="1"/>
  <c r="BI1373" i="2"/>
  <c r="BI1459" i="2"/>
  <c r="BK1459" i="2"/>
  <c r="BM1459" i="2" s="1"/>
  <c r="BK1436" i="2"/>
  <c r="BM1436" i="2" s="1"/>
  <c r="BI1436" i="2"/>
  <c r="BK1427" i="2"/>
  <c r="BM1427" i="2" s="1"/>
  <c r="BI1427" i="2"/>
  <c r="BK1435" i="2"/>
  <c r="BM1435" i="2" s="1"/>
  <c r="BI1435" i="2"/>
  <c r="BI1412" i="2"/>
  <c r="BK1412" i="2"/>
  <c r="BM1412" i="2" s="1"/>
  <c r="BK1424" i="2"/>
  <c r="BM1424" i="2" s="1"/>
  <c r="BI1424" i="2"/>
  <c r="BK1429" i="2"/>
  <c r="BM1429" i="2" s="1"/>
  <c r="BI1429" i="2"/>
  <c r="BK1464" i="2"/>
  <c r="BM1464" i="2" s="1"/>
  <c r="BI1464" i="2"/>
  <c r="BK1481" i="2"/>
  <c r="BM1481" i="2" s="1"/>
  <c r="BI1481" i="2"/>
  <c r="BI1539" i="2"/>
  <c r="BK1539" i="2"/>
  <c r="BM1539" i="2" s="1"/>
  <c r="BJ1536" i="2"/>
  <c r="BL1536" i="2" s="1"/>
  <c r="CK8" i="2"/>
  <c r="BI1501" i="2"/>
  <c r="BK1501" i="2"/>
  <c r="BM1501" i="2" s="1"/>
  <c r="BI1550" i="2"/>
  <c r="BK1550" i="2"/>
  <c r="BM1550" i="2" s="1"/>
  <c r="BI1578" i="2"/>
  <c r="BK1578" i="2"/>
  <c r="BM1578" i="2" s="1"/>
  <c r="BI1575" i="2"/>
  <c r="BK1575" i="2"/>
  <c r="BM1575" i="2" s="1"/>
  <c r="BK1586" i="2"/>
  <c r="BM1586" i="2" s="1"/>
  <c r="BI1586" i="2"/>
  <c r="BK1599" i="2"/>
  <c r="BM1599" i="2" s="1"/>
  <c r="BI1599" i="2"/>
  <c r="BK1604" i="2"/>
  <c r="BM1604" i="2" s="1"/>
  <c r="BI1604" i="2"/>
  <c r="BK1609" i="2"/>
  <c r="BM1609" i="2" s="1"/>
  <c r="BI1609" i="2"/>
  <c r="BK1554" i="2"/>
  <c r="BM1554" i="2" s="1"/>
  <c r="BI1554" i="2"/>
  <c r="BK1595" i="2"/>
  <c r="BM1595" i="2" s="1"/>
  <c r="BI1595" i="2"/>
  <c r="BK69" i="2"/>
  <c r="BM69" i="2" s="1"/>
  <c r="BI69" i="2"/>
  <c r="BK25" i="2"/>
  <c r="BM25" i="2" s="1"/>
  <c r="BI25" i="2"/>
  <c r="BK74" i="2"/>
  <c r="BM74" i="2" s="1"/>
  <c r="BI74" i="2"/>
  <c r="BK54" i="2"/>
  <c r="BM54" i="2" s="1"/>
  <c r="BI54" i="2"/>
  <c r="BK60" i="2"/>
  <c r="BM60" i="2" s="1"/>
  <c r="BI60" i="2"/>
  <c r="BK239" i="2"/>
  <c r="BM239" i="2" s="1"/>
  <c r="BI239" i="2"/>
  <c r="BK396" i="2"/>
  <c r="BM396" i="2" s="1"/>
  <c r="BI396" i="2"/>
  <c r="BK406" i="2"/>
  <c r="BM406" i="2" s="1"/>
  <c r="BI406" i="2"/>
  <c r="BK311" i="2"/>
  <c r="BM311" i="2" s="1"/>
  <c r="BI311" i="2"/>
  <c r="BK365" i="2"/>
  <c r="BM365" i="2" s="1"/>
  <c r="BI365" i="2"/>
  <c r="BK400" i="2"/>
  <c r="BM400" i="2" s="1"/>
  <c r="BI400" i="2"/>
  <c r="BK383" i="2"/>
  <c r="BM383" i="2" s="1"/>
  <c r="BI383" i="2"/>
  <c r="BK271" i="2"/>
  <c r="BM271" i="2" s="1"/>
  <c r="BI271" i="2"/>
  <c r="BK282" i="2"/>
  <c r="BM282" i="2" s="1"/>
  <c r="BI282" i="2"/>
  <c r="BK335" i="2"/>
  <c r="BM335" i="2" s="1"/>
  <c r="BI335" i="2"/>
  <c r="BK387" i="2"/>
  <c r="BM387" i="2" s="1"/>
  <c r="BI387" i="2"/>
  <c r="BK531" i="2"/>
  <c r="BM531" i="2" s="1"/>
  <c r="BI531" i="2"/>
  <c r="BK542" i="2"/>
  <c r="BM542" i="2" s="1"/>
  <c r="BI542" i="2"/>
  <c r="BK439" i="2"/>
  <c r="BM439" i="2" s="1"/>
  <c r="BI439" i="2"/>
  <c r="BK511" i="2"/>
  <c r="BM511" i="2" s="1"/>
  <c r="BI511" i="2"/>
  <c r="BK438" i="2"/>
  <c r="BM438" i="2" s="1"/>
  <c r="BI438" i="2"/>
  <c r="BI545" i="2"/>
  <c r="BK545" i="2"/>
  <c r="BM545" i="2" s="1"/>
  <c r="BK472" i="2"/>
  <c r="BM472" i="2" s="1"/>
  <c r="BI472" i="2"/>
  <c r="BK586" i="2"/>
  <c r="BM586" i="2" s="1"/>
  <c r="BI586" i="2"/>
  <c r="BK630" i="2"/>
  <c r="BM630" i="2" s="1"/>
  <c r="BI630" i="2"/>
  <c r="BK686" i="2"/>
  <c r="BM686" i="2" s="1"/>
  <c r="BI686" i="2"/>
  <c r="BK634" i="2"/>
  <c r="BM634" i="2" s="1"/>
  <c r="BI634" i="2"/>
  <c r="BI730" i="2"/>
  <c r="BK730" i="2"/>
  <c r="BM730" i="2" s="1"/>
  <c r="BK5" i="2"/>
  <c r="BM5" i="2" s="1"/>
  <c r="BI5" i="2"/>
  <c r="BK130" i="2"/>
  <c r="BM130" i="2" s="1"/>
  <c r="BI130" i="2"/>
  <c r="BK118" i="2"/>
  <c r="BM118" i="2" s="1"/>
  <c r="BI118" i="2"/>
  <c r="BK58" i="2"/>
  <c r="BM58" i="2" s="1"/>
  <c r="BI58" i="2"/>
  <c r="BK177" i="2"/>
  <c r="BM177" i="2" s="1"/>
  <c r="BI177" i="2"/>
  <c r="BK123" i="2"/>
  <c r="BM123" i="2" s="1"/>
  <c r="BI123" i="2"/>
  <c r="BK179" i="2"/>
  <c r="BM179" i="2" s="1"/>
  <c r="BI179" i="2"/>
  <c r="BK36" i="2"/>
  <c r="BM36" i="2" s="1"/>
  <c r="BI36" i="2"/>
  <c r="BK212" i="2"/>
  <c r="BM212" i="2" s="1"/>
  <c r="BI212" i="2"/>
  <c r="BK125" i="2"/>
  <c r="BM125" i="2" s="1"/>
  <c r="BI125" i="2"/>
  <c r="BK173" i="2"/>
  <c r="BM173" i="2" s="1"/>
  <c r="BI173" i="2"/>
  <c r="BK214" i="2"/>
  <c r="BM214" i="2" s="1"/>
  <c r="BI214" i="2"/>
  <c r="BK268" i="2"/>
  <c r="BM268" i="2" s="1"/>
  <c r="BI268" i="2"/>
  <c r="BK248" i="2"/>
  <c r="BM248" i="2" s="1"/>
  <c r="BI248" i="2"/>
  <c r="BK267" i="2"/>
  <c r="BM267" i="2" s="1"/>
  <c r="BI267" i="2"/>
  <c r="BK346" i="2"/>
  <c r="BM346" i="2" s="1"/>
  <c r="BI346" i="2"/>
  <c r="BK301" i="2"/>
  <c r="BM301" i="2" s="1"/>
  <c r="BI301" i="2"/>
  <c r="BK612" i="2"/>
  <c r="BM612" i="2" s="1"/>
  <c r="BI612" i="2"/>
  <c r="BK262" i="2"/>
  <c r="BM262" i="2" s="1"/>
  <c r="BI262" i="2"/>
  <c r="BK412" i="2"/>
  <c r="BM412" i="2" s="1"/>
  <c r="BI412" i="2"/>
  <c r="BK336" i="2"/>
  <c r="BM336" i="2" s="1"/>
  <c r="BI336" i="2"/>
  <c r="BI386" i="2"/>
  <c r="BK386" i="2"/>
  <c r="BM386" i="2" s="1"/>
  <c r="BK339" i="2"/>
  <c r="BM339" i="2" s="1"/>
  <c r="BI339" i="2"/>
  <c r="BK465" i="2"/>
  <c r="BM465" i="2" s="1"/>
  <c r="BI465" i="2"/>
  <c r="BK537" i="2"/>
  <c r="BM537" i="2" s="1"/>
  <c r="BI537" i="2"/>
  <c r="BK548" i="2"/>
  <c r="BM548" i="2" s="1"/>
  <c r="BI548" i="2"/>
  <c r="BK588" i="2"/>
  <c r="BM588" i="2" s="1"/>
  <c r="BI588" i="2"/>
  <c r="BK517" i="2"/>
  <c r="BM517" i="2" s="1"/>
  <c r="BI517" i="2"/>
  <c r="BK444" i="2"/>
  <c r="BM444" i="2" s="1"/>
  <c r="BI444" i="2"/>
  <c r="BK572" i="2"/>
  <c r="BM572" i="2" s="1"/>
  <c r="BI572" i="2"/>
  <c r="BI479" i="2"/>
  <c r="BK479" i="2"/>
  <c r="BM479" i="2" s="1"/>
  <c r="BK478" i="2"/>
  <c r="BM478" i="2" s="1"/>
  <c r="BI478" i="2"/>
  <c r="BK589" i="2"/>
  <c r="BM589" i="2" s="1"/>
  <c r="BI589" i="2"/>
  <c r="BK623" i="2"/>
  <c r="BM623" i="2" s="1"/>
  <c r="BI623" i="2"/>
  <c r="BK690" i="2"/>
  <c r="BM690" i="2" s="1"/>
  <c r="BI690" i="2"/>
  <c r="BI718" i="2"/>
  <c r="BK718" i="2"/>
  <c r="BM718" i="2" s="1"/>
  <c r="BK728" i="2"/>
  <c r="BM728" i="2" s="1"/>
  <c r="BI728" i="2"/>
  <c r="BK115" i="2"/>
  <c r="BM115" i="2" s="1"/>
  <c r="BI115" i="2"/>
  <c r="BK136" i="2"/>
  <c r="BM136" i="2" s="1"/>
  <c r="BI136" i="2"/>
  <c r="BK182" i="2"/>
  <c r="BM182" i="2" s="1"/>
  <c r="BI182" i="2"/>
  <c r="BK127" i="2"/>
  <c r="BM127" i="2" s="1"/>
  <c r="BI127" i="2"/>
  <c r="BK187" i="2"/>
  <c r="BM187" i="2" s="1"/>
  <c r="CQ13" i="2" s="1"/>
  <c r="BI187" i="2"/>
  <c r="BK81" i="2"/>
  <c r="BM81" i="2" s="1"/>
  <c r="BI81" i="2"/>
  <c r="BK98" i="2"/>
  <c r="BM98" i="2" s="1"/>
  <c r="BI98" i="2"/>
  <c r="BK126" i="2"/>
  <c r="BM126" i="2" s="1"/>
  <c r="BI126" i="2"/>
  <c r="BK150" i="2"/>
  <c r="BM150" i="2" s="1"/>
  <c r="BI150" i="2"/>
  <c r="BK42" i="2"/>
  <c r="BM42" i="2" s="1"/>
  <c r="BI42" i="2"/>
  <c r="BK164" i="2"/>
  <c r="BM164" i="2" s="1"/>
  <c r="BI164" i="2"/>
  <c r="BK128" i="2"/>
  <c r="BM128" i="2" s="1"/>
  <c r="BI128" i="2"/>
  <c r="BK191" i="2"/>
  <c r="BM191" i="2" s="1"/>
  <c r="BI191" i="2"/>
  <c r="BK86" i="2"/>
  <c r="BM86" i="2" s="1"/>
  <c r="BI86" i="2"/>
  <c r="BK61" i="2"/>
  <c r="BM61" i="2" s="1"/>
  <c r="BI61" i="2"/>
  <c r="BK72" i="2"/>
  <c r="BM72" i="2" s="1"/>
  <c r="BI72" i="2"/>
  <c r="BK240" i="2"/>
  <c r="BM240" i="2" s="1"/>
  <c r="BI240" i="2"/>
  <c r="BK223" i="2"/>
  <c r="BM223" i="2" s="1"/>
  <c r="BI223" i="2"/>
  <c r="BK215" i="2"/>
  <c r="BM215" i="2" s="1"/>
  <c r="BI215" i="2"/>
  <c r="BK251" i="2"/>
  <c r="BM251" i="2" s="1"/>
  <c r="BI251" i="2"/>
  <c r="BK385" i="2"/>
  <c r="BM385" i="2" s="1"/>
  <c r="BI385" i="2"/>
  <c r="BK427" i="2"/>
  <c r="BM427" i="2" s="1"/>
  <c r="BI427" i="2"/>
  <c r="BK290" i="2"/>
  <c r="BM290" i="2" s="1"/>
  <c r="BI290" i="2"/>
  <c r="BK350" i="2"/>
  <c r="BM350" i="2" s="1"/>
  <c r="BI350" i="2"/>
  <c r="BK408" i="2"/>
  <c r="BM408" i="2" s="1"/>
  <c r="BI408" i="2"/>
  <c r="BK325" i="2"/>
  <c r="BM325" i="2" s="1"/>
  <c r="BI325" i="2"/>
  <c r="BK373" i="2"/>
  <c r="BM373" i="2" s="1"/>
  <c r="BI373" i="2"/>
  <c r="BK421" i="2"/>
  <c r="BM421" i="2" s="1"/>
  <c r="BI421" i="2"/>
  <c r="BK340" i="2"/>
  <c r="BM340" i="2" s="1"/>
  <c r="BI340" i="2"/>
  <c r="BI389" i="2"/>
  <c r="BK389" i="2"/>
  <c r="BM389" i="2" s="1"/>
  <c r="BK283" i="2"/>
  <c r="BM283" i="2" s="1"/>
  <c r="BI283" i="2"/>
  <c r="BK294" i="2"/>
  <c r="BM294" i="2" s="1"/>
  <c r="BI294" i="2"/>
  <c r="BK343" i="2"/>
  <c r="BM343" i="2" s="1"/>
  <c r="BI343" i="2"/>
  <c r="BK391" i="2"/>
  <c r="BM391" i="2" s="1"/>
  <c r="BI391" i="2"/>
  <c r="BI399" i="2"/>
  <c r="BK399" i="2"/>
  <c r="BM399" i="2" s="1"/>
  <c r="BK471" i="2"/>
  <c r="BM471" i="2" s="1"/>
  <c r="BI471" i="2"/>
  <c r="BK543" i="2"/>
  <c r="BM543" i="2" s="1"/>
  <c r="BI543" i="2"/>
  <c r="BK482" i="2"/>
  <c r="BM482" i="2" s="1"/>
  <c r="BI482" i="2"/>
  <c r="BK554" i="2"/>
  <c r="BM554" i="2" s="1"/>
  <c r="BI554" i="2"/>
  <c r="BI591" i="2"/>
  <c r="BK591" i="2"/>
  <c r="BM591" i="2" s="1"/>
  <c r="BK451" i="2"/>
  <c r="BM451" i="2" s="1"/>
  <c r="BI451" i="2"/>
  <c r="BK523" i="2"/>
  <c r="BM523" i="2" s="1"/>
  <c r="BI523" i="2"/>
  <c r="BK450" i="2"/>
  <c r="BM450" i="2" s="1"/>
  <c r="BI450" i="2"/>
  <c r="BK522" i="2"/>
  <c r="BM522" i="2" s="1"/>
  <c r="BI522" i="2"/>
  <c r="BK575" i="2"/>
  <c r="BM575" i="2" s="1"/>
  <c r="BI575" i="2"/>
  <c r="BK608" i="2"/>
  <c r="BM608" i="2" s="1"/>
  <c r="BI608" i="2"/>
  <c r="BI485" i="2"/>
  <c r="BK485" i="2"/>
  <c r="BM485" i="2" s="1"/>
  <c r="BI592" i="2"/>
  <c r="BK592" i="2"/>
  <c r="BM592" i="2" s="1"/>
  <c r="BK610" i="2"/>
  <c r="BM610" i="2" s="1"/>
  <c r="BI610" i="2"/>
  <c r="BK484" i="2"/>
  <c r="BM484" i="2" s="1"/>
  <c r="BI484" i="2"/>
  <c r="BK556" i="2"/>
  <c r="BM556" i="2" s="1"/>
  <c r="BI556" i="2"/>
  <c r="BK611" i="2"/>
  <c r="BM611" i="2" s="1"/>
  <c r="BI611" i="2"/>
  <c r="BK642" i="2"/>
  <c r="BM642" i="2" s="1"/>
  <c r="BI642" i="2"/>
  <c r="BK694" i="2"/>
  <c r="BM694" i="2" s="1"/>
  <c r="BI694" i="2"/>
  <c r="BK659" i="2"/>
  <c r="BM659" i="2" s="1"/>
  <c r="BI659" i="2"/>
  <c r="BI721" i="2"/>
  <c r="BK721" i="2"/>
  <c r="BM721" i="2" s="1"/>
  <c r="BK646" i="2"/>
  <c r="BM646" i="2" s="1"/>
  <c r="CQ10" i="2" s="1"/>
  <c r="BI646" i="2"/>
  <c r="BK736" i="2"/>
  <c r="BM736" i="2" s="1"/>
  <c r="BI736" i="2"/>
  <c r="BK645" i="2"/>
  <c r="BM645" i="2" s="1"/>
  <c r="BI645" i="2"/>
  <c r="BI714" i="2"/>
  <c r="BK714" i="2"/>
  <c r="BM714" i="2" s="1"/>
  <c r="BK816" i="2"/>
  <c r="BM816" i="2" s="1"/>
  <c r="BI816" i="2"/>
  <c r="BK615" i="2"/>
  <c r="BM615" i="2" s="1"/>
  <c r="BI615" i="2"/>
  <c r="BK727" i="2"/>
  <c r="BM727" i="2" s="1"/>
  <c r="BI727" i="2"/>
  <c r="BK765" i="2"/>
  <c r="BM765" i="2" s="1"/>
  <c r="BI765" i="2"/>
  <c r="BK821" i="2"/>
  <c r="BM821" i="2" s="1"/>
  <c r="BI821" i="2"/>
  <c r="BK784" i="2"/>
  <c r="BM784" i="2" s="1"/>
  <c r="BI784" i="2"/>
  <c r="BK762" i="2"/>
  <c r="BM762" i="2" s="1"/>
  <c r="BI762" i="2"/>
  <c r="BK796" i="2"/>
  <c r="BM796" i="2" s="1"/>
  <c r="BI796" i="2"/>
  <c r="BK760" i="2"/>
  <c r="BM760" i="2" s="1"/>
  <c r="BI760" i="2"/>
  <c r="BK868" i="2"/>
  <c r="BM868" i="2" s="1"/>
  <c r="BI868" i="2"/>
  <c r="BI734" i="2"/>
  <c r="BK734" i="2"/>
  <c r="BM734" i="2" s="1"/>
  <c r="BK838" i="2"/>
  <c r="BM838" i="2" s="1"/>
  <c r="BI838" i="2"/>
  <c r="BI781" i="2"/>
  <c r="BK781" i="2"/>
  <c r="BM781" i="2" s="1"/>
  <c r="BI743" i="2"/>
  <c r="BK743" i="2"/>
  <c r="BM743" i="2" s="1"/>
  <c r="BK864" i="2"/>
  <c r="BM864" i="2" s="1"/>
  <c r="BI864" i="2"/>
  <c r="BK917" i="2"/>
  <c r="BM917" i="2" s="1"/>
  <c r="BI917" i="2"/>
  <c r="BK946" i="2"/>
  <c r="BM946" i="2" s="1"/>
  <c r="BI946" i="2"/>
  <c r="BK895" i="2"/>
  <c r="BM895" i="2" s="1"/>
  <c r="BI895" i="2"/>
  <c r="BK981" i="2"/>
  <c r="BM981" i="2" s="1"/>
  <c r="BI981" i="2"/>
  <c r="BK931" i="2"/>
  <c r="BM931" i="2" s="1"/>
  <c r="BI931" i="2"/>
  <c r="BK873" i="2"/>
  <c r="BM873" i="2" s="1"/>
  <c r="BI873" i="2"/>
  <c r="BK985" i="2"/>
  <c r="BM985" i="2" s="1"/>
  <c r="BI985" i="2"/>
  <c r="BK973" i="2"/>
  <c r="BM973" i="2" s="1"/>
  <c r="BI973" i="2"/>
  <c r="BK865" i="2"/>
  <c r="BM865" i="2" s="1"/>
  <c r="BI865" i="2"/>
  <c r="BK1003" i="2"/>
  <c r="BM1003" i="2" s="1"/>
  <c r="BI1003" i="2"/>
  <c r="BK996" i="2"/>
  <c r="BM996" i="2" s="1"/>
  <c r="BI996" i="2"/>
  <c r="BK1002" i="2"/>
  <c r="BM1002" i="2" s="1"/>
  <c r="BI1002" i="2"/>
  <c r="BK979" i="2"/>
  <c r="BM979" i="2" s="1"/>
  <c r="BI979" i="2"/>
  <c r="BK990" i="2"/>
  <c r="BM990" i="2" s="1"/>
  <c r="BI990" i="2"/>
  <c r="BK968" i="2"/>
  <c r="BM968" i="2" s="1"/>
  <c r="BI968" i="2"/>
  <c r="BK1041" i="2"/>
  <c r="BM1041" i="2" s="1"/>
  <c r="BI1041" i="2"/>
  <c r="BK1074" i="2"/>
  <c r="BM1074" i="2" s="1"/>
  <c r="BI1074" i="2"/>
  <c r="BK1049" i="2"/>
  <c r="BM1049" i="2" s="1"/>
  <c r="BI1049" i="2"/>
  <c r="BK1072" i="2"/>
  <c r="BM1072" i="2" s="1"/>
  <c r="BI1072" i="2"/>
  <c r="BK1059" i="2"/>
  <c r="BM1059" i="2" s="1"/>
  <c r="BI1059" i="2"/>
  <c r="BK1058" i="2"/>
  <c r="BM1058" i="2" s="1"/>
  <c r="BI1058" i="2"/>
  <c r="BI1057" i="2"/>
  <c r="BK1057" i="2"/>
  <c r="BM1057" i="2" s="1"/>
  <c r="BI1068" i="2"/>
  <c r="BK1068" i="2"/>
  <c r="BM1068" i="2" s="1"/>
  <c r="BK1181" i="2"/>
  <c r="BM1181" i="2" s="1"/>
  <c r="BI1181" i="2"/>
  <c r="BK1157" i="2"/>
  <c r="BM1157" i="2" s="1"/>
  <c r="BI1157" i="2"/>
  <c r="BK1113" i="2"/>
  <c r="BM1113" i="2" s="1"/>
  <c r="BI1113" i="2"/>
  <c r="BK1122" i="2"/>
  <c r="BM1122" i="2" s="1"/>
  <c r="BI1122" i="2"/>
  <c r="BI1110" i="2"/>
  <c r="BK1110" i="2"/>
  <c r="BM1110" i="2" s="1"/>
  <c r="BK1232" i="2"/>
  <c r="BM1232" i="2" s="1"/>
  <c r="BI1232" i="2"/>
  <c r="BK1196" i="2"/>
  <c r="BM1196" i="2" s="1"/>
  <c r="BI1196" i="2"/>
  <c r="BK1189" i="2"/>
  <c r="BM1189" i="2" s="1"/>
  <c r="BI1189" i="2"/>
  <c r="BK1251" i="2"/>
  <c r="BM1251" i="2" s="1"/>
  <c r="BI1251" i="2"/>
  <c r="BK1234" i="2"/>
  <c r="BM1234" i="2" s="1"/>
  <c r="BI1234" i="2"/>
  <c r="BK1227" i="2"/>
  <c r="BM1227" i="2" s="1"/>
  <c r="BI1227" i="2"/>
  <c r="BK1217" i="2"/>
  <c r="BM1217" i="2" s="1"/>
  <c r="BI1217" i="2"/>
  <c r="BI1172" i="2"/>
  <c r="BK1172" i="2"/>
  <c r="BM1172" i="2" s="1"/>
  <c r="BK1123" i="2"/>
  <c r="BM1123" i="2" s="1"/>
  <c r="BI1123" i="2"/>
  <c r="BI1182" i="2"/>
  <c r="BK1182" i="2"/>
  <c r="BM1182" i="2" s="1"/>
  <c r="BK1302" i="2"/>
  <c r="BM1302" i="2" s="1"/>
  <c r="BI1302" i="2"/>
  <c r="BK1289" i="2"/>
  <c r="BM1289" i="2" s="1"/>
  <c r="BI1289" i="2"/>
  <c r="BK1301" i="2"/>
  <c r="BM1301" i="2" s="1"/>
  <c r="BI1301" i="2"/>
  <c r="BK1308" i="2"/>
  <c r="BM1308" i="2" s="1"/>
  <c r="BI1308" i="2"/>
  <c r="BK1291" i="2"/>
  <c r="BM1291" i="2" s="1"/>
  <c r="BI1291" i="2"/>
  <c r="BK1325" i="2"/>
  <c r="BM1325" i="2" s="1"/>
  <c r="BI1325" i="2"/>
  <c r="BK1377" i="2"/>
  <c r="BM1377" i="2" s="1"/>
  <c r="BI1377" i="2"/>
  <c r="BK1340" i="2"/>
  <c r="BM1340" i="2" s="1"/>
  <c r="BI1340" i="2"/>
  <c r="BK1363" i="2"/>
  <c r="BM1363" i="2" s="1"/>
  <c r="BI1363" i="2"/>
  <c r="BK1380" i="2"/>
  <c r="BM1380" i="2" s="1"/>
  <c r="BI1380" i="2"/>
  <c r="BI1312" i="2"/>
  <c r="BK1312" i="2"/>
  <c r="BM1312" i="2" s="1"/>
  <c r="BK1401" i="2"/>
  <c r="BM1401" i="2" s="1"/>
  <c r="BI1401" i="2"/>
  <c r="BK1490" i="2"/>
  <c r="BM1490" i="2" s="1"/>
  <c r="BI1490" i="2"/>
  <c r="BK1346" i="2"/>
  <c r="BM1346" i="2" s="1"/>
  <c r="BI1346" i="2"/>
  <c r="BI1333" i="2"/>
  <c r="BK1333" i="2"/>
  <c r="BM1333" i="2" s="1"/>
  <c r="BK1413" i="2"/>
  <c r="BM1413" i="2" s="1"/>
  <c r="BI1413" i="2"/>
  <c r="BK1419" i="2"/>
  <c r="BM1419" i="2" s="1"/>
  <c r="BI1419" i="2"/>
  <c r="BI1411" i="2"/>
  <c r="BK1411" i="2"/>
  <c r="BM1411" i="2" s="1"/>
  <c r="BK1433" i="2"/>
  <c r="BM1433" i="2" s="1"/>
  <c r="BI1433" i="2"/>
  <c r="BK1457" i="2"/>
  <c r="BM1457" i="2" s="1"/>
  <c r="BI1457" i="2"/>
  <c r="BK1471" i="2"/>
  <c r="BM1471" i="2" s="1"/>
  <c r="BI1471" i="2"/>
  <c r="BK1528" i="2"/>
  <c r="BM1528" i="2" s="1"/>
  <c r="BI1528" i="2"/>
  <c r="BI1488" i="2"/>
  <c r="BK1488" i="2"/>
  <c r="BM1488" i="2" s="1"/>
  <c r="BI1489" i="2"/>
  <c r="BK1489" i="2"/>
  <c r="BM1489" i="2" s="1"/>
  <c r="BK1487" i="2"/>
  <c r="BM1487" i="2" s="1"/>
  <c r="BI1487" i="2"/>
  <c r="BI1535" i="2"/>
  <c r="BK1535" i="2"/>
  <c r="BM1535" i="2" s="1"/>
  <c r="BK1558" i="2"/>
  <c r="BM1558" i="2" s="1"/>
  <c r="BI1558" i="2"/>
  <c r="BI1527" i="2"/>
  <c r="BK1527" i="2"/>
  <c r="BM1527" i="2" s="1"/>
  <c r="BI1594" i="2"/>
  <c r="BK1594" i="2"/>
  <c r="BM1594" i="2" s="1"/>
  <c r="BK1605" i="2"/>
  <c r="BM1605" i="2" s="1"/>
  <c r="BI1605" i="2"/>
  <c r="BK1610" i="2"/>
  <c r="BM1610" i="2" s="1"/>
  <c r="BI1610" i="2"/>
  <c r="BK1615" i="2"/>
  <c r="BM1615" i="2" s="1"/>
  <c r="BI1615" i="2"/>
  <c r="BK1601" i="2"/>
  <c r="BM1601" i="2" s="1"/>
  <c r="BI1601" i="2"/>
  <c r="BK102" i="2"/>
  <c r="BM102" i="2" s="1"/>
  <c r="BI102" i="2"/>
  <c r="BK578" i="2"/>
  <c r="BM578" i="2" s="1"/>
  <c r="BI578" i="2"/>
  <c r="BI598" i="2"/>
  <c r="BK598" i="2"/>
  <c r="BM598" i="2" s="1"/>
  <c r="BK665" i="2"/>
  <c r="BM665" i="2" s="1"/>
  <c r="BI665" i="2"/>
  <c r="BK726" i="2"/>
  <c r="BM726" i="2" s="1"/>
  <c r="BI726" i="2"/>
  <c r="BK652" i="2"/>
  <c r="BM652" i="2" s="1"/>
  <c r="BI652" i="2"/>
  <c r="BK651" i="2"/>
  <c r="BM651" i="2" s="1"/>
  <c r="BI651" i="2"/>
  <c r="BI717" i="2"/>
  <c r="BK717" i="2"/>
  <c r="BM717" i="2" s="1"/>
  <c r="BK735" i="2"/>
  <c r="BM735" i="2" s="1"/>
  <c r="BI735" i="2"/>
  <c r="BK752" i="2"/>
  <c r="BM752" i="2" s="1"/>
  <c r="BI752" i="2"/>
  <c r="BK837" i="2"/>
  <c r="BM837" i="2" s="1"/>
  <c r="BI837" i="2"/>
  <c r="BK788" i="2"/>
  <c r="BM788" i="2" s="1"/>
  <c r="BI788" i="2"/>
  <c r="BK856" i="2"/>
  <c r="BM856" i="2" s="1"/>
  <c r="BI856" i="2"/>
  <c r="BK803" i="2"/>
  <c r="BM803" i="2" s="1"/>
  <c r="BI803" i="2"/>
  <c r="BK771" i="2"/>
  <c r="BM771" i="2" s="1"/>
  <c r="BI771" i="2"/>
  <c r="BI786" i="2"/>
  <c r="BK786" i="2"/>
  <c r="BM786" i="2" s="1"/>
  <c r="BI824" i="2"/>
  <c r="BK824" i="2"/>
  <c r="BM824" i="2" s="1"/>
  <c r="BK870" i="2"/>
  <c r="BM870" i="2" s="1"/>
  <c r="BI870" i="2"/>
  <c r="BK920" i="2"/>
  <c r="BM920" i="2" s="1"/>
  <c r="BI920" i="2"/>
  <c r="BK899" i="2"/>
  <c r="BM899" i="2" s="1"/>
  <c r="BI899" i="2"/>
  <c r="BI997" i="2"/>
  <c r="BK997" i="2"/>
  <c r="BM997" i="2" s="1"/>
  <c r="BK879" i="2"/>
  <c r="BM879" i="2" s="1"/>
  <c r="BI879" i="2"/>
  <c r="BK989" i="2"/>
  <c r="BM989" i="2" s="1"/>
  <c r="BI989" i="2"/>
  <c r="BK871" i="2"/>
  <c r="BM871" i="2" s="1"/>
  <c r="BI871" i="2"/>
  <c r="BI1009" i="2"/>
  <c r="BK1009" i="2"/>
  <c r="BM1009" i="2" s="1"/>
  <c r="BK983" i="2"/>
  <c r="BM983" i="2" s="1"/>
  <c r="BI983" i="2"/>
  <c r="BK1011" i="2"/>
  <c r="BM1011" i="2" s="1"/>
  <c r="BI1011" i="2"/>
  <c r="BK994" i="2"/>
  <c r="BM994" i="2" s="1"/>
  <c r="BI994" i="2"/>
  <c r="BI1007" i="2"/>
  <c r="BK1007" i="2"/>
  <c r="BM1007" i="2" s="1"/>
  <c r="BK1051" i="2"/>
  <c r="BM1051" i="2" s="1"/>
  <c r="BI1051" i="2"/>
  <c r="BI1082" i="2"/>
  <c r="BK1082" i="2"/>
  <c r="BM1082" i="2" s="1"/>
  <c r="BI1081" i="2"/>
  <c r="BK1081" i="2"/>
  <c r="BM1081" i="2" s="1"/>
  <c r="BK1166" i="2"/>
  <c r="BM1166" i="2" s="1"/>
  <c r="BI1166" i="2"/>
  <c r="BI1079" i="2"/>
  <c r="BK1079" i="2"/>
  <c r="BM1079" i="2" s="1"/>
  <c r="BI1031" i="2"/>
  <c r="BK1031" i="2"/>
  <c r="BM1031" i="2" s="1"/>
  <c r="BK1169" i="2"/>
  <c r="BM1169" i="2" s="1"/>
  <c r="BI1169" i="2"/>
  <c r="BI1121" i="2"/>
  <c r="BK1121" i="2"/>
  <c r="BM1121" i="2" s="1"/>
  <c r="BK1202" i="2"/>
  <c r="BM1202" i="2" s="1"/>
  <c r="BI1202" i="2"/>
  <c r="BK1195" i="2"/>
  <c r="BM1195" i="2" s="1"/>
  <c r="BI1195" i="2"/>
  <c r="BK1270" i="2"/>
  <c r="BM1270" i="2" s="1"/>
  <c r="BI1270" i="2"/>
  <c r="BK1266" i="2"/>
  <c r="BM1266" i="2" s="1"/>
  <c r="BI1266" i="2"/>
  <c r="BK1237" i="2"/>
  <c r="BM1237" i="2" s="1"/>
  <c r="BI1237" i="2"/>
  <c r="BI1149" i="2"/>
  <c r="BK1149" i="2"/>
  <c r="BM1149" i="2" s="1"/>
  <c r="BK1191" i="2"/>
  <c r="BM1191" i="2" s="1"/>
  <c r="BI1191" i="2"/>
  <c r="BK1306" i="2"/>
  <c r="BM1306" i="2" s="1"/>
  <c r="BI1306" i="2"/>
  <c r="BK1293" i="2"/>
  <c r="BM1293" i="2" s="1"/>
  <c r="BI1293" i="2"/>
  <c r="BK1305" i="2"/>
  <c r="BM1305" i="2" s="1"/>
  <c r="BI1305" i="2"/>
  <c r="BK1292" i="2"/>
  <c r="BM1292" i="2" s="1"/>
  <c r="BI1292" i="2"/>
  <c r="BI1295" i="2"/>
  <c r="BK1295" i="2"/>
  <c r="BM1295" i="2" s="1"/>
  <c r="BK1272" i="2"/>
  <c r="BM1272" i="2" s="1"/>
  <c r="BI1272" i="2"/>
  <c r="BI1247" i="2"/>
  <c r="BK1247" i="2"/>
  <c r="BM1247" i="2" s="1"/>
  <c r="BK1383" i="2"/>
  <c r="BM1383" i="2" s="1"/>
  <c r="BI1383" i="2"/>
  <c r="BK1386" i="2"/>
  <c r="BM1386" i="2" s="1"/>
  <c r="BI1386" i="2"/>
  <c r="BK1408" i="2"/>
  <c r="BM1408" i="2" s="1"/>
  <c r="BI1408" i="2"/>
  <c r="BK1476" i="2"/>
  <c r="BM1476" i="2" s="1"/>
  <c r="BI1476" i="2"/>
  <c r="BK1425" i="2"/>
  <c r="BM1425" i="2" s="1"/>
  <c r="BI1425" i="2"/>
  <c r="BK1437" i="2"/>
  <c r="BM1437" i="2" s="1"/>
  <c r="BI1437" i="2"/>
  <c r="BK1466" i="2"/>
  <c r="BM1466" i="2" s="1"/>
  <c r="BI1466" i="2"/>
  <c r="BK1479" i="2"/>
  <c r="BM1479" i="2" s="1"/>
  <c r="BI1479" i="2"/>
  <c r="BK1523" i="2"/>
  <c r="BM1523" i="2" s="1"/>
  <c r="BI1523" i="2"/>
  <c r="BL1448" i="2"/>
  <c r="BI1520" i="2"/>
  <c r="BK1520" i="2"/>
  <c r="BM1520" i="2" s="1"/>
  <c r="BK1592" i="2"/>
  <c r="BM1592" i="2" s="1"/>
  <c r="BI1592" i="2"/>
  <c r="BK1600" i="2"/>
  <c r="BM1600" i="2" s="1"/>
  <c r="BI1600" i="2"/>
  <c r="BK1618" i="2"/>
  <c r="BM1618" i="2" s="1"/>
  <c r="BI1618" i="2"/>
  <c r="BK1611" i="2"/>
  <c r="BM1611" i="2" s="1"/>
  <c r="BI1611" i="2"/>
  <c r="BK1622" i="2"/>
  <c r="BM1622" i="2" s="1"/>
  <c r="BI1622" i="2"/>
  <c r="BK1621" i="2"/>
  <c r="BM1621" i="2" s="1"/>
  <c r="BI1621" i="2"/>
  <c r="BK1566" i="2"/>
  <c r="BM1566" i="2" s="1"/>
  <c r="BI1566" i="2"/>
  <c r="BK1607" i="2"/>
  <c r="BM1607" i="2" s="1"/>
  <c r="BI1607" i="2"/>
  <c r="BC416" i="2"/>
  <c r="BD416" i="2" s="1"/>
  <c r="BE416" i="2" s="1"/>
  <c r="BC351" i="2"/>
  <c r="BD351" i="2" s="1"/>
  <c r="BE351" i="2" s="1"/>
  <c r="BB418" i="2"/>
  <c r="BC303" i="2"/>
  <c r="BD303" i="2" s="1"/>
  <c r="BE303" i="2" s="1"/>
  <c r="BC482" i="2"/>
  <c r="BD482" i="2" s="1"/>
  <c r="BE482" i="2" s="1"/>
  <c r="BC278" i="2"/>
  <c r="BD278" i="2" s="1"/>
  <c r="BE278" i="2" s="1"/>
  <c r="BB342" i="2"/>
  <c r="BC396" i="2"/>
  <c r="BD396" i="2" s="1"/>
  <c r="BE396" i="2" s="1"/>
  <c r="BB321" i="2"/>
  <c r="BC370" i="2"/>
  <c r="BD370" i="2" s="1"/>
  <c r="BE370" i="2" s="1"/>
  <c r="BB397" i="2"/>
  <c r="BB469" i="2"/>
  <c r="BB541" i="2"/>
  <c r="BB585" i="2"/>
  <c r="BC481" i="2"/>
  <c r="BD481" i="2" s="1"/>
  <c r="BE481" i="2" s="1"/>
  <c r="BC553" i="2"/>
  <c r="BD553" i="2" s="1"/>
  <c r="BE553" i="2" s="1"/>
  <c r="BB468" i="2"/>
  <c r="BB540" i="2"/>
  <c r="BC456" i="2"/>
  <c r="BD456" i="2" s="1"/>
  <c r="BE456" i="2" s="1"/>
  <c r="BC528" i="2"/>
  <c r="BD528" i="2" s="1"/>
  <c r="BE528" i="2" s="1"/>
  <c r="BB473" i="2"/>
  <c r="BB545" i="2"/>
  <c r="BB587" i="2"/>
  <c r="BC479" i="2"/>
  <c r="BD479" i="2" s="1"/>
  <c r="BE479" i="2" s="1"/>
  <c r="BC551" i="2"/>
  <c r="BD551" i="2" s="1"/>
  <c r="BE551" i="2" s="1"/>
  <c r="BB496" i="2"/>
  <c r="BB594" i="2"/>
  <c r="BC436" i="2"/>
  <c r="BD436" i="2" s="1"/>
  <c r="BE436" i="2" s="1"/>
  <c r="BC508" i="2"/>
  <c r="BD508" i="2" s="1"/>
  <c r="BE508" i="2" s="1"/>
  <c r="BC635" i="2"/>
  <c r="BD635" i="2" s="1"/>
  <c r="BE635" i="2" s="1"/>
  <c r="BB477" i="2"/>
  <c r="BB549" i="2"/>
  <c r="BB589" i="2"/>
  <c r="BC435" i="2"/>
  <c r="BD435" i="2" s="1"/>
  <c r="BE435" i="2" s="1"/>
  <c r="BC507" i="2"/>
  <c r="BD507" i="2" s="1"/>
  <c r="BE507" i="2" s="1"/>
  <c r="BB422" i="2"/>
  <c r="BB494" i="2"/>
  <c r="BB599" i="2"/>
  <c r="BB664" i="2"/>
  <c r="BC774" i="2"/>
  <c r="BD774" i="2" s="1"/>
  <c r="BE774" i="2" s="1"/>
  <c r="BB685" i="2"/>
  <c r="BB645" i="2"/>
  <c r="BC627" i="2"/>
  <c r="BD627" i="2" s="1"/>
  <c r="BE627" i="2" s="1"/>
  <c r="BB714" i="2"/>
  <c r="BB656" i="2"/>
  <c r="BC714" i="2"/>
  <c r="BD714" i="2" s="1"/>
  <c r="BE714" i="2" s="1"/>
  <c r="BC650" i="2"/>
  <c r="BD650" i="2" s="1"/>
  <c r="BE650" i="2" s="1"/>
  <c r="BB607" i="2"/>
  <c r="BB661" i="2"/>
  <c r="BC563" i="2"/>
  <c r="BD563" i="2" s="1"/>
  <c r="BE563" i="2" s="1"/>
  <c r="BC577" i="2"/>
  <c r="BD577" i="2" s="1"/>
  <c r="BE577" i="2" s="1"/>
  <c r="BC591" i="2"/>
  <c r="BD591" i="2" s="1"/>
  <c r="BE591" i="2" s="1"/>
  <c r="BC606" i="2"/>
  <c r="BD606" i="2" s="1"/>
  <c r="BE606" i="2" s="1"/>
  <c r="BC661" i="2"/>
  <c r="BD661" i="2" s="1"/>
  <c r="BE661" i="2" s="1"/>
  <c r="BB716" i="2"/>
  <c r="BB678" i="2"/>
  <c r="BB737" i="2"/>
  <c r="BB818" i="2"/>
  <c r="BB694" i="2"/>
  <c r="BC783" i="2"/>
  <c r="BD783" i="2" s="1"/>
  <c r="BE783" i="2" s="1"/>
  <c r="BC748" i="2"/>
  <c r="BD748" i="2" s="1"/>
  <c r="BE748" i="2" s="1"/>
  <c r="BC759" i="2"/>
  <c r="BD759" i="2" s="1"/>
  <c r="BE759" i="2" s="1"/>
  <c r="BB856" i="2"/>
  <c r="BB838" i="2"/>
  <c r="BB817" i="2"/>
  <c r="BB805" i="2"/>
  <c r="BC790" i="2"/>
  <c r="BD790" i="2" s="1"/>
  <c r="BE790" i="2" s="1"/>
  <c r="BC742" i="2"/>
  <c r="BD742" i="2" s="1"/>
  <c r="BB854" i="2"/>
  <c r="BC992" i="2"/>
  <c r="BD992" i="2" s="1"/>
  <c r="BE992" i="2" s="1"/>
  <c r="BB807" i="2"/>
  <c r="BC784" i="2"/>
  <c r="BD784" i="2" s="1"/>
  <c r="BE784" i="2" s="1"/>
  <c r="BC874" i="2"/>
  <c r="BD874" i="2" s="1"/>
  <c r="BE874" i="2" s="1"/>
  <c r="BB867" i="2"/>
  <c r="BC894" i="2"/>
  <c r="BD894" i="2" s="1"/>
  <c r="BE894" i="2" s="1"/>
  <c r="BC1036" i="2"/>
  <c r="BD1036" i="2" s="1"/>
  <c r="BE1036" i="2" s="1"/>
  <c r="BB927" i="2"/>
  <c r="BC905" i="2"/>
  <c r="BD905" i="2" s="1"/>
  <c r="BE905" i="2" s="1"/>
  <c r="BB816" i="2"/>
  <c r="BB900" i="2"/>
  <c r="CP41" i="2" s="1"/>
  <c r="BB920" i="2"/>
  <c r="BB821" i="2"/>
  <c r="BC821" i="2"/>
  <c r="BD821" i="2" s="1"/>
  <c r="BE821" i="2" s="1"/>
  <c r="BC934" i="2"/>
  <c r="BD934" i="2" s="1"/>
  <c r="BE934" i="2" s="1"/>
  <c r="BC919" i="2"/>
  <c r="BD919" i="2" s="1"/>
  <c r="BE919" i="2" s="1"/>
  <c r="BB940" i="2"/>
  <c r="BB979" i="2"/>
  <c r="BC991" i="2"/>
  <c r="BD991" i="2" s="1"/>
  <c r="BE991" i="2" s="1"/>
  <c r="BB1025" i="2"/>
  <c r="BC1014" i="2"/>
  <c r="BD1014" i="2" s="1"/>
  <c r="BE1014" i="2" s="1"/>
  <c r="BC1135" i="2"/>
  <c r="BD1135" i="2" s="1"/>
  <c r="BE1135" i="2" s="1"/>
  <c r="BC943" i="2"/>
  <c r="BD943" i="2" s="1"/>
  <c r="BE943" i="2" s="1"/>
  <c r="BB1073" i="2"/>
  <c r="BC1074" i="2"/>
  <c r="BD1074" i="2" s="1"/>
  <c r="BE1074" i="2" s="1"/>
  <c r="BB947" i="2"/>
  <c r="BC1037" i="2"/>
  <c r="BD1037" i="2" s="1"/>
  <c r="BE1037" i="2" s="1"/>
  <c r="BC1097" i="2"/>
  <c r="BD1097" i="2" s="1"/>
  <c r="BE1097" i="2" s="1"/>
  <c r="BC1084" i="2"/>
  <c r="BD1084" i="2" s="1"/>
  <c r="BE1084" i="2" s="1"/>
  <c r="BC1077" i="2"/>
  <c r="BD1077" i="2" s="1"/>
  <c r="BE1077" i="2" s="1"/>
  <c r="BC1130" i="2"/>
  <c r="BD1130" i="2" s="1"/>
  <c r="BE1130" i="2" s="1"/>
  <c r="BC1194" i="2"/>
  <c r="BD1194" i="2" s="1"/>
  <c r="BE1194" i="2" s="1"/>
  <c r="BC1191" i="2"/>
  <c r="BD1191" i="2" s="1"/>
  <c r="BE1191" i="2" s="1"/>
  <c r="BC1276" i="2"/>
  <c r="BD1276" i="2" s="1"/>
  <c r="BE1276" i="2" s="1"/>
  <c r="BB1373" i="2"/>
  <c r="BB1438" i="2"/>
  <c r="BC1441" i="2"/>
  <c r="BD1441" i="2" s="1"/>
  <c r="BE1441" i="2" s="1"/>
  <c r="BB1575" i="2"/>
  <c r="BI1091" i="2"/>
  <c r="BK1091" i="2"/>
  <c r="BM1091" i="2" s="1"/>
  <c r="BK1177" i="2"/>
  <c r="BM1177" i="2" s="1"/>
  <c r="BI1177" i="2"/>
  <c r="BK1112" i="2"/>
  <c r="BM1112" i="2" s="1"/>
  <c r="BI1112" i="2"/>
  <c r="BK1138" i="2"/>
  <c r="BM1138" i="2" s="1"/>
  <c r="BI1138" i="2"/>
  <c r="BK1176" i="2"/>
  <c r="BM1176" i="2" s="1"/>
  <c r="BI1176" i="2"/>
  <c r="BI1107" i="2"/>
  <c r="BK1107" i="2"/>
  <c r="BM1107" i="2" s="1"/>
  <c r="BK1155" i="2"/>
  <c r="BM1155" i="2" s="1"/>
  <c r="BI1155" i="2"/>
  <c r="BK1246" i="2"/>
  <c r="BM1246" i="2" s="1"/>
  <c r="BI1246" i="2"/>
  <c r="BK1231" i="2"/>
  <c r="BM1231" i="2" s="1"/>
  <c r="BI1231" i="2"/>
  <c r="BK1218" i="2"/>
  <c r="BM1218" i="2" s="1"/>
  <c r="BI1218" i="2"/>
  <c r="BK1199" i="2"/>
  <c r="BM1199" i="2" s="1"/>
  <c r="BI1199" i="2"/>
  <c r="BI1125" i="2"/>
  <c r="BK1125" i="2"/>
  <c r="BM1125" i="2" s="1"/>
  <c r="BK1267" i="2"/>
  <c r="BM1267" i="2" s="1"/>
  <c r="BI1267" i="2"/>
  <c r="BI1226" i="2"/>
  <c r="BK1226" i="2"/>
  <c r="BM1226" i="2" s="1"/>
  <c r="BK1239" i="2"/>
  <c r="BM1239" i="2" s="1"/>
  <c r="BI1239" i="2"/>
  <c r="BK1284" i="2"/>
  <c r="BM1284" i="2" s="1"/>
  <c r="BI1284" i="2"/>
  <c r="BI1265" i="2"/>
  <c r="BK1265" i="2"/>
  <c r="BM1265" i="2" s="1"/>
  <c r="BK1276" i="2"/>
  <c r="BM1276" i="2" s="1"/>
  <c r="BI1276" i="2"/>
  <c r="BI1282" i="2"/>
  <c r="BK1282" i="2"/>
  <c r="BM1282" i="2" s="1"/>
  <c r="BK1248" i="2"/>
  <c r="BM1248" i="2" s="1"/>
  <c r="BI1248" i="2"/>
  <c r="BK1338" i="2"/>
  <c r="BM1338" i="2" s="1"/>
  <c r="BI1338" i="2"/>
  <c r="BK1355" i="2"/>
  <c r="BM1355" i="2" s="1"/>
  <c r="BI1355" i="2"/>
  <c r="BK1366" i="2"/>
  <c r="BM1366" i="2" s="1"/>
  <c r="BI1366" i="2"/>
  <c r="BK1382" i="2"/>
  <c r="BM1382" i="2" s="1"/>
  <c r="BI1382" i="2"/>
  <c r="BK1362" i="2"/>
  <c r="BM1362" i="2" s="1"/>
  <c r="BI1362" i="2"/>
  <c r="BK1361" i="2"/>
  <c r="BM1361" i="2" s="1"/>
  <c r="BI1361" i="2"/>
  <c r="BI1390" i="2"/>
  <c r="BK1390" i="2"/>
  <c r="BM1390" i="2" s="1"/>
  <c r="BK1392" i="2"/>
  <c r="BM1392" i="2" s="1"/>
  <c r="BI1392" i="2"/>
  <c r="BK1428" i="2"/>
  <c r="BM1428" i="2" s="1"/>
  <c r="BI1428" i="2"/>
  <c r="BK1415" i="2"/>
  <c r="BM1415" i="2" s="1"/>
  <c r="BI1415" i="2"/>
  <c r="BI1444" i="2"/>
  <c r="BK1444" i="2"/>
  <c r="BM1444" i="2" s="1"/>
  <c r="BI1400" i="2"/>
  <c r="BK1400" i="2"/>
  <c r="BM1400" i="2" s="1"/>
  <c r="BK1410" i="2"/>
  <c r="BM1410" i="2" s="1"/>
  <c r="BI1410" i="2"/>
  <c r="BI1516" i="2"/>
  <c r="BK1516" i="2"/>
  <c r="BM1516" i="2" s="1"/>
  <c r="BK1526" i="2"/>
  <c r="BM1526" i="2" s="1"/>
  <c r="BI1526" i="2"/>
  <c r="BK1478" i="2"/>
  <c r="BM1478" i="2" s="1"/>
  <c r="BI1478" i="2"/>
  <c r="BK1497" i="2"/>
  <c r="BM1497" i="2" s="1"/>
  <c r="BI1497" i="2"/>
  <c r="BI1564" i="2"/>
  <c r="BK1564" i="2"/>
  <c r="BM1564" i="2" s="1"/>
  <c r="BK1500" i="2"/>
  <c r="BM1500" i="2" s="1"/>
  <c r="BI1500" i="2"/>
  <c r="BI1543" i="2"/>
  <c r="BK1543" i="2"/>
  <c r="BM1543" i="2" s="1"/>
  <c r="BI1555" i="2"/>
  <c r="BK1555" i="2"/>
  <c r="BM1555" i="2" s="1"/>
  <c r="BK1557" i="2"/>
  <c r="BM1557" i="2" s="1"/>
  <c r="BI1557" i="2"/>
  <c r="BK1572" i="2"/>
  <c r="BM1572" i="2" s="1"/>
  <c r="BI1572" i="2"/>
  <c r="BI1567" i="2"/>
  <c r="BK1567" i="2"/>
  <c r="BM1567" i="2" s="1"/>
  <c r="BK1587" i="2"/>
  <c r="BM1587" i="2" s="1"/>
  <c r="BI1587" i="2"/>
  <c r="BI1632" i="2"/>
  <c r="BK1632" i="2"/>
  <c r="BM1632" i="2" s="1"/>
  <c r="BK1597" i="2"/>
  <c r="BM1597" i="2" s="1"/>
  <c r="BI1597" i="2"/>
  <c r="BI1626" i="2"/>
  <c r="BK1626" i="2"/>
  <c r="BM1626" i="2" s="1"/>
  <c r="BK1583" i="2"/>
  <c r="BM1583" i="2" s="1"/>
  <c r="BI1583" i="2"/>
  <c r="BI1379" i="2"/>
  <c r="BK1379" i="2"/>
  <c r="BM1379" i="2" s="1"/>
  <c r="BC148" i="2"/>
  <c r="BD148" i="2" s="1"/>
  <c r="BE148" i="2" s="1"/>
  <c r="BC8" i="2"/>
  <c r="BD8" i="2" s="1"/>
  <c r="BE8" i="2" s="1"/>
  <c r="BB117" i="2"/>
  <c r="BC51" i="2"/>
  <c r="BD51" i="2" s="1"/>
  <c r="BE51" i="2" s="1"/>
  <c r="BB66" i="2"/>
  <c r="BC78" i="2"/>
  <c r="BD78" i="2" s="1"/>
  <c r="BE78" i="2" s="1"/>
  <c r="BC135" i="2"/>
  <c r="BD135" i="2" s="1"/>
  <c r="BE135" i="2" s="1"/>
  <c r="BB196" i="2"/>
  <c r="BC52" i="2"/>
  <c r="BD52" i="2" s="1"/>
  <c r="BE52" i="2" s="1"/>
  <c r="BC162" i="2"/>
  <c r="BD162" i="2" s="1"/>
  <c r="BE162" i="2" s="1"/>
  <c r="BC211" i="2"/>
  <c r="BD211" i="2" s="1"/>
  <c r="BE211" i="2" s="1"/>
  <c r="BC87" i="2"/>
  <c r="BD87" i="2" s="1"/>
  <c r="BE87" i="2" s="1"/>
  <c r="BC183" i="2"/>
  <c r="BD183" i="2" s="1"/>
  <c r="BE183" i="2" s="1"/>
  <c r="BB86" i="2"/>
  <c r="BB134" i="2"/>
  <c r="BC312" i="2"/>
  <c r="BD312" i="2" s="1"/>
  <c r="BE312" i="2" s="1"/>
  <c r="BB61" i="2"/>
  <c r="BC113" i="2"/>
  <c r="BD113" i="2" s="1"/>
  <c r="BE113" i="2" s="1"/>
  <c r="BC159" i="2"/>
  <c r="BD159" i="2" s="1"/>
  <c r="BE159" i="2" s="1"/>
  <c r="BC212" i="2"/>
  <c r="BD212" i="2" s="1"/>
  <c r="BE212" i="2" s="1"/>
  <c r="BC61" i="2"/>
  <c r="BD61" i="2" s="1"/>
  <c r="BE61" i="2" s="1"/>
  <c r="BC166" i="2"/>
  <c r="BD166" i="2" s="1"/>
  <c r="BE166" i="2" s="1"/>
  <c r="BC233" i="2"/>
  <c r="BD233" i="2" s="1"/>
  <c r="BE233" i="2" s="1"/>
  <c r="BB144" i="2"/>
  <c r="BB21" i="2"/>
  <c r="BC83" i="2"/>
  <c r="BD83" i="2" s="1"/>
  <c r="BE83" i="2" s="1"/>
  <c r="BB127" i="2"/>
  <c r="BC184" i="2"/>
  <c r="BD184" i="2" s="1"/>
  <c r="BE184" i="2" s="1"/>
  <c r="BC56" i="2"/>
  <c r="BD56" i="2" s="1"/>
  <c r="BE56" i="2" s="1"/>
  <c r="BC109" i="2"/>
  <c r="BD109" i="2" s="1"/>
  <c r="BE109" i="2" s="1"/>
  <c r="BC151" i="2"/>
  <c r="BD151" i="2" s="1"/>
  <c r="BE151" i="2" s="1"/>
  <c r="BB207" i="2"/>
  <c r="BC57" i="2"/>
  <c r="BD57" i="2" s="1"/>
  <c r="BE57" i="2" s="1"/>
  <c r="BB177" i="2"/>
  <c r="BC17" i="2"/>
  <c r="BD17" i="2" s="1"/>
  <c r="BE17" i="2" s="1"/>
  <c r="BB98" i="2"/>
  <c r="BB239" i="2"/>
  <c r="BC227" i="2"/>
  <c r="BD227" i="2" s="1"/>
  <c r="BE227" i="2" s="1"/>
  <c r="BB251" i="2"/>
  <c r="BB381" i="2"/>
  <c r="BC225" i="2"/>
  <c r="BD225" i="2" s="1"/>
  <c r="BE225" i="2" s="1"/>
  <c r="BC237" i="2"/>
  <c r="BD237" i="2" s="1"/>
  <c r="BE237" i="2" s="1"/>
  <c r="BB223" i="2"/>
  <c r="BB214" i="2"/>
  <c r="BB236" i="2"/>
  <c r="BB238" i="2"/>
  <c r="BB310" i="2"/>
  <c r="BB361" i="2"/>
  <c r="BB437" i="2"/>
  <c r="BC286" i="2"/>
  <c r="BD286" i="2" s="1"/>
  <c r="BE286" i="2" s="1"/>
  <c r="BC349" i="2"/>
  <c r="BD349" i="2" s="1"/>
  <c r="BE349" i="2" s="1"/>
  <c r="BB419" i="2"/>
  <c r="BC309" i="2"/>
  <c r="BD309" i="2" s="1"/>
  <c r="BE309" i="2" s="1"/>
  <c r="BB307" i="2"/>
  <c r="BB360" i="2"/>
  <c r="BC548" i="2"/>
  <c r="BD548" i="2" s="1"/>
  <c r="BE548" i="2" s="1"/>
  <c r="BC356" i="2"/>
  <c r="BD356" i="2" s="1"/>
  <c r="BE356" i="2" s="1"/>
  <c r="BC433" i="2"/>
  <c r="BD433" i="2" s="1"/>
  <c r="BE433" i="2" s="1"/>
  <c r="BB317" i="2"/>
  <c r="BC293" i="2"/>
  <c r="BD293" i="2" s="1"/>
  <c r="BE293" i="2" s="1"/>
  <c r="BB351" i="2"/>
  <c r="BB431" i="2"/>
  <c r="BC355" i="2"/>
  <c r="BD355" i="2" s="1"/>
  <c r="BE355" i="2" s="1"/>
  <c r="BC431" i="2"/>
  <c r="BD431" i="2" s="1"/>
  <c r="BE431" i="2" s="1"/>
  <c r="BB314" i="2"/>
  <c r="BC554" i="2"/>
  <c r="BD554" i="2" s="1"/>
  <c r="BE554" i="2" s="1"/>
  <c r="BB289" i="2"/>
  <c r="BB346" i="2"/>
  <c r="BC404" i="2"/>
  <c r="BD404" i="2" s="1"/>
  <c r="BE404" i="2" s="1"/>
  <c r="BC326" i="2"/>
  <c r="BD326" i="2" s="1"/>
  <c r="BE326" i="2" s="1"/>
  <c r="BC374" i="2"/>
  <c r="BD374" i="2" s="1"/>
  <c r="BE374" i="2" s="1"/>
  <c r="BB403" i="2"/>
  <c r="BB475" i="2"/>
  <c r="BB547" i="2"/>
  <c r="BB588" i="2"/>
  <c r="BC487" i="2"/>
  <c r="BD487" i="2" s="1"/>
  <c r="BE487" i="2" s="1"/>
  <c r="BB596" i="2"/>
  <c r="BB474" i="2"/>
  <c r="BB546" i="2"/>
  <c r="BC462" i="2"/>
  <c r="BD462" i="2" s="1"/>
  <c r="BE462" i="2" s="1"/>
  <c r="BC534" i="2"/>
  <c r="BD534" i="2" s="1"/>
  <c r="BE534" i="2" s="1"/>
  <c r="BB479" i="2"/>
  <c r="BB551" i="2"/>
  <c r="BB590" i="2"/>
  <c r="BC485" i="2"/>
  <c r="BD485" i="2" s="1"/>
  <c r="BE485" i="2" s="1"/>
  <c r="BC647" i="2"/>
  <c r="BD647" i="2" s="1"/>
  <c r="BE647" i="2" s="1"/>
  <c r="BB502" i="2"/>
  <c r="BC677" i="2"/>
  <c r="BD677" i="2" s="1"/>
  <c r="BE677" i="2" s="1"/>
  <c r="BC442" i="2"/>
  <c r="BD442" i="2" s="1"/>
  <c r="BE442" i="2" s="1"/>
  <c r="BC514" i="2"/>
  <c r="BD514" i="2" s="1"/>
  <c r="BE514" i="2" s="1"/>
  <c r="BC694" i="2"/>
  <c r="BD694" i="2" s="1"/>
  <c r="BE694" i="2" s="1"/>
  <c r="BB483" i="2"/>
  <c r="BB555" i="2"/>
  <c r="BC622" i="2"/>
  <c r="BD622" i="2" s="1"/>
  <c r="BE622" i="2" s="1"/>
  <c r="BC441" i="2"/>
  <c r="BD441" i="2" s="1"/>
  <c r="BE441" i="2" s="1"/>
  <c r="BC513" i="2"/>
  <c r="BD513" i="2" s="1"/>
  <c r="BE513" i="2" s="1"/>
  <c r="BB428" i="2"/>
  <c r="BB500" i="2"/>
  <c r="BB603" i="2"/>
  <c r="BB670" i="2"/>
  <c r="BB788" i="2"/>
  <c r="BB689" i="2"/>
  <c r="BB651" i="2"/>
  <c r="BC633" i="2"/>
  <c r="BD633" i="2" s="1"/>
  <c r="BE633" i="2" s="1"/>
  <c r="BB717" i="2"/>
  <c r="BB662" i="2"/>
  <c r="BC717" i="2"/>
  <c r="BD717" i="2" s="1"/>
  <c r="BE717" i="2" s="1"/>
  <c r="BC656" i="2"/>
  <c r="BD656" i="2" s="1"/>
  <c r="BE656" i="2" s="1"/>
  <c r="BB608" i="2"/>
  <c r="BB667" i="2"/>
  <c r="BC564" i="2"/>
  <c r="BD564" i="2" s="1"/>
  <c r="BE564" i="2" s="1"/>
  <c r="BC578" i="2"/>
  <c r="BD578" i="2" s="1"/>
  <c r="BE578" i="2" s="1"/>
  <c r="BC592" i="2"/>
  <c r="BD592" i="2" s="1"/>
  <c r="BE592" i="2" s="1"/>
  <c r="BC607" i="2"/>
  <c r="BD607" i="2" s="1"/>
  <c r="BE607" i="2" s="1"/>
  <c r="BC667" i="2"/>
  <c r="BD667" i="2" s="1"/>
  <c r="BE667" i="2" s="1"/>
  <c r="BB719" i="2"/>
  <c r="BC683" i="2"/>
  <c r="BD683" i="2" s="1"/>
  <c r="BE683" i="2" s="1"/>
  <c r="BB623" i="2"/>
  <c r="BB622" i="2"/>
  <c r="BB734" i="2"/>
  <c r="BC788" i="2"/>
  <c r="BD788" i="2" s="1"/>
  <c r="BE788" i="2" s="1"/>
  <c r="BB759" i="2"/>
  <c r="BB770" i="2"/>
  <c r="BC866" i="2"/>
  <c r="BD866" i="2" s="1"/>
  <c r="BE866" i="2" s="1"/>
  <c r="BC891" i="2"/>
  <c r="BD891" i="2" s="1"/>
  <c r="BE891" i="2" s="1"/>
  <c r="BB829" i="2"/>
  <c r="BB808" i="2"/>
  <c r="BC794" i="2"/>
  <c r="BD794" i="2" s="1"/>
  <c r="BE794" i="2" s="1"/>
  <c r="BB753" i="2"/>
  <c r="BC858" i="2"/>
  <c r="BD858" i="2" s="1"/>
  <c r="BE858" i="2" s="1"/>
  <c r="BB727" i="2"/>
  <c r="BC816" i="2"/>
  <c r="BD816" i="2" s="1"/>
  <c r="BE816" i="2" s="1"/>
  <c r="BC807" i="2"/>
  <c r="BD807" i="2" s="1"/>
  <c r="BE807" i="2" s="1"/>
  <c r="BC880" i="2"/>
  <c r="BD880" i="2" s="1"/>
  <c r="BE880" i="2" s="1"/>
  <c r="BB879" i="2"/>
  <c r="BC898" i="2"/>
  <c r="BD898" i="2" s="1"/>
  <c r="BE898" i="2" s="1"/>
  <c r="BC872" i="2"/>
  <c r="BD872" i="2" s="1"/>
  <c r="BE872" i="2" s="1"/>
  <c r="BB939" i="2"/>
  <c r="BC939" i="2"/>
  <c r="BD939" i="2" s="1"/>
  <c r="BE939" i="2" s="1"/>
  <c r="BB822" i="2"/>
  <c r="BB908" i="2"/>
  <c r="BB923" i="2"/>
  <c r="BB827" i="2"/>
  <c r="BC833" i="2"/>
  <c r="BD833" i="2" s="1"/>
  <c r="BE833" i="2" s="1"/>
  <c r="BC940" i="2"/>
  <c r="BD940" i="2" s="1"/>
  <c r="BE940" i="2" s="1"/>
  <c r="BC920" i="2"/>
  <c r="BD920" i="2" s="1"/>
  <c r="BE920" i="2" s="1"/>
  <c r="BB952" i="2"/>
  <c r="BB983" i="2"/>
  <c r="BC995" i="2"/>
  <c r="BD995" i="2" s="1"/>
  <c r="BE995" i="2" s="1"/>
  <c r="BB1037" i="2"/>
  <c r="BC1020" i="2"/>
  <c r="BD1020" i="2" s="1"/>
  <c r="BE1020" i="2" s="1"/>
  <c r="BB937" i="2"/>
  <c r="BC955" i="2"/>
  <c r="BD955" i="2" s="1"/>
  <c r="BE955" i="2" s="1"/>
  <c r="BB966" i="2"/>
  <c r="BC936" i="2"/>
  <c r="BD936" i="2" s="1"/>
  <c r="BE936" i="2" s="1"/>
  <c r="BB959" i="2"/>
  <c r="BB1048" i="2"/>
  <c r="BB1107" i="2"/>
  <c r="BC1100" i="2"/>
  <c r="BD1100" i="2" s="1"/>
  <c r="BE1100" i="2" s="1"/>
  <c r="BC1095" i="2"/>
  <c r="BD1095" i="2" s="1"/>
  <c r="BE1095" i="2" s="1"/>
  <c r="BB1162" i="2"/>
  <c r="BC1218" i="2"/>
  <c r="BD1218" i="2" s="1"/>
  <c r="BE1218" i="2" s="1"/>
  <c r="BC1215" i="2"/>
  <c r="BD1215" i="2" s="1"/>
  <c r="BE1215" i="2" s="1"/>
  <c r="BB1287" i="2"/>
  <c r="BB1347" i="2"/>
  <c r="BC1471" i="2"/>
  <c r="BD1471" i="2" s="1"/>
  <c r="BE1471" i="2" s="1"/>
  <c r="BC1481" i="2"/>
  <c r="BD1481" i="2" s="1"/>
  <c r="BE1481" i="2" s="1"/>
  <c r="BC1572" i="2"/>
  <c r="BD1572" i="2" s="1"/>
  <c r="BE1572" i="2" s="1"/>
  <c r="BI1584" i="2"/>
  <c r="BK1584" i="2"/>
  <c r="BM1584" i="2" s="1"/>
  <c r="BK1593" i="2"/>
  <c r="BM1593" i="2" s="1"/>
  <c r="BI1593" i="2"/>
  <c r="BK1598" i="2"/>
  <c r="BM1598" i="2" s="1"/>
  <c r="BI1598" i="2"/>
  <c r="BK1603" i="2"/>
  <c r="BM1603" i="2" s="1"/>
  <c r="BI1603" i="2"/>
  <c r="BK1589" i="2"/>
  <c r="BM1589" i="2" s="1"/>
  <c r="BI1589" i="2"/>
  <c r="BW14" i="2"/>
  <c r="BU14" i="2"/>
  <c r="BB5" i="2"/>
  <c r="BC4" i="2"/>
  <c r="BD4" i="2" s="1"/>
  <c r="BE4" i="2" s="1"/>
  <c r="BB135" i="2"/>
  <c r="BB105" i="2"/>
  <c r="BC79" i="2"/>
  <c r="BD79" i="2" s="1"/>
  <c r="BE79" i="2" s="1"/>
  <c r="BC88" i="2"/>
  <c r="BD88" i="2" s="1"/>
  <c r="BE88" i="2" s="1"/>
  <c r="BC138" i="2"/>
  <c r="BD138" i="2" s="1"/>
  <c r="BE138" i="2" s="1"/>
  <c r="BB199" i="2"/>
  <c r="BB64" i="2"/>
  <c r="BB169" i="2"/>
  <c r="BB228" i="2"/>
  <c r="BC93" i="2"/>
  <c r="BD93" i="2" s="1"/>
  <c r="BE93" i="2" s="1"/>
  <c r="BB188" i="2"/>
  <c r="BB92" i="2"/>
  <c r="BB137" i="2"/>
  <c r="BC18" i="2"/>
  <c r="BD18" i="2" s="1"/>
  <c r="BE18" i="2" s="1"/>
  <c r="BC62" i="2"/>
  <c r="BD62" i="2" s="1"/>
  <c r="BE62" i="2" s="1"/>
  <c r="BC116" i="2"/>
  <c r="BD116" i="2" s="1"/>
  <c r="BE116" i="2" s="1"/>
  <c r="BB166" i="2"/>
  <c r="BC218" i="2"/>
  <c r="BD218" i="2" s="1"/>
  <c r="BE218" i="2" s="1"/>
  <c r="BB72" i="2"/>
  <c r="BB173" i="2"/>
  <c r="BB33" i="2"/>
  <c r="BC149" i="2"/>
  <c r="BD149" i="2" s="1"/>
  <c r="BE149" i="2" s="1"/>
  <c r="BB22" i="2"/>
  <c r="BB90" i="2"/>
  <c r="BB130" i="2"/>
  <c r="BB189" i="2"/>
  <c r="BB57" i="2"/>
  <c r="BC112" i="2"/>
  <c r="BD112" i="2" s="1"/>
  <c r="BE112" i="2" s="1"/>
  <c r="BB158" i="2"/>
  <c r="BB210" i="2"/>
  <c r="BB68" i="2"/>
  <c r="BC182" i="2"/>
  <c r="BD182" i="2" s="1"/>
  <c r="BE182" i="2" s="1"/>
  <c r="BC19" i="2"/>
  <c r="BD19" i="2" s="1"/>
  <c r="BE19" i="2" s="1"/>
  <c r="BB102" i="2"/>
  <c r="BB268" i="2"/>
  <c r="BB232" i="2"/>
  <c r="BC256" i="2"/>
  <c r="BD256" i="2" s="1"/>
  <c r="BE256" i="2" s="1"/>
  <c r="BC500" i="2"/>
  <c r="BD500" i="2" s="1"/>
  <c r="BE500" i="2" s="1"/>
  <c r="BB231" i="2"/>
  <c r="BB267" i="2"/>
  <c r="BC240" i="2"/>
  <c r="BD240" i="2" s="1"/>
  <c r="BE240" i="2" s="1"/>
  <c r="BB215" i="2"/>
  <c r="BC243" i="2"/>
  <c r="BD243" i="2" s="1"/>
  <c r="BE243" i="2" s="1"/>
  <c r="BC239" i="2"/>
  <c r="BD239" i="2" s="1"/>
  <c r="BE239" i="2" s="1"/>
  <c r="BC311" i="2"/>
  <c r="BD311" i="2" s="1"/>
  <c r="BE311" i="2" s="1"/>
  <c r="BB365" i="2"/>
  <c r="BC458" i="2"/>
  <c r="BD458" i="2" s="1"/>
  <c r="BE458" i="2" s="1"/>
  <c r="BB297" i="2"/>
  <c r="BC353" i="2"/>
  <c r="BD353" i="2" s="1"/>
  <c r="BE353" i="2" s="1"/>
  <c r="BC425" i="2"/>
  <c r="BD425" i="2" s="1"/>
  <c r="BE425" i="2" s="1"/>
  <c r="BB319" i="2"/>
  <c r="BC308" i="2"/>
  <c r="BD308" i="2" s="1"/>
  <c r="BE308" i="2" s="1"/>
  <c r="BB364" i="2"/>
  <c r="BB306" i="2"/>
  <c r="BC360" i="2"/>
  <c r="BD360" i="2" s="1"/>
  <c r="BE360" i="2" s="1"/>
  <c r="BC506" i="2"/>
  <c r="BD506" i="2" s="1"/>
  <c r="BE506" i="2" s="1"/>
  <c r="BC318" i="2"/>
  <c r="BD318" i="2" s="1"/>
  <c r="BE318" i="2" s="1"/>
  <c r="BB304" i="2"/>
  <c r="BB355" i="2"/>
  <c r="BC494" i="2"/>
  <c r="BD494" i="2" s="1"/>
  <c r="BE494" i="2" s="1"/>
  <c r="BC359" i="2"/>
  <c r="BD359" i="2" s="1"/>
  <c r="BE359" i="2" s="1"/>
  <c r="BC452" i="2"/>
  <c r="BD452" i="2" s="1"/>
  <c r="BE452" i="2" s="1"/>
  <c r="BC315" i="2"/>
  <c r="BD315" i="2" s="1"/>
  <c r="BE315" i="2" s="1"/>
  <c r="BB700" i="2"/>
  <c r="BC290" i="2"/>
  <c r="BD290" i="2" s="1"/>
  <c r="BE290" i="2" s="1"/>
  <c r="BB350" i="2"/>
  <c r="BB413" i="2"/>
  <c r="BC330" i="2"/>
  <c r="BD330" i="2" s="1"/>
  <c r="BE330" i="2" s="1"/>
  <c r="BC378" i="2"/>
  <c r="BD378" i="2" s="1"/>
  <c r="BE378" i="2" s="1"/>
  <c r="BB409" i="2"/>
  <c r="BB481" i="2"/>
  <c r="BB553" i="2"/>
  <c r="BB591" i="2"/>
  <c r="BC493" i="2"/>
  <c r="BD493" i="2" s="1"/>
  <c r="BE493" i="2" s="1"/>
  <c r="BB600" i="2"/>
  <c r="BB480" i="2"/>
  <c r="BB552" i="2"/>
  <c r="BC468" i="2"/>
  <c r="BD468" i="2" s="1"/>
  <c r="BE468" i="2" s="1"/>
  <c r="BC540" i="2"/>
  <c r="BD540" i="2" s="1"/>
  <c r="BE540" i="2" s="1"/>
  <c r="BB485" i="2"/>
  <c r="BB557" i="2"/>
  <c r="BB597" i="2"/>
  <c r="BC491" i="2"/>
  <c r="BD491" i="2" s="1"/>
  <c r="BE491" i="2" s="1"/>
  <c r="BB709" i="2"/>
  <c r="BB508" i="2"/>
  <c r="BC729" i="2"/>
  <c r="BD729" i="2" s="1"/>
  <c r="BE729" i="2" s="1"/>
  <c r="BC448" i="2"/>
  <c r="BD448" i="2" s="1"/>
  <c r="BE448" i="2" s="1"/>
  <c r="BC520" i="2"/>
  <c r="BD520" i="2" s="1"/>
  <c r="BE520" i="2" s="1"/>
  <c r="BB712" i="2"/>
  <c r="BB489" i="2"/>
  <c r="BB559" i="2"/>
  <c r="BC665" i="2"/>
  <c r="BD665" i="2" s="1"/>
  <c r="BE665" i="2" s="1"/>
  <c r="BC447" i="2"/>
  <c r="BD447" i="2" s="1"/>
  <c r="BE447" i="2" s="1"/>
  <c r="BC519" i="2"/>
  <c r="BD519" i="2" s="1"/>
  <c r="BE519" i="2" s="1"/>
  <c r="BB434" i="2"/>
  <c r="BB506" i="2"/>
  <c r="BC653" i="2"/>
  <c r="BD653" i="2" s="1"/>
  <c r="BE653" i="2" s="1"/>
  <c r="BB676" i="2"/>
  <c r="BB619" i="2"/>
  <c r="BB693" i="2"/>
  <c r="BB663" i="2"/>
  <c r="BC645" i="2"/>
  <c r="BD645" i="2" s="1"/>
  <c r="BE645" i="2" s="1"/>
  <c r="BB720" i="2"/>
  <c r="BB668" i="2"/>
  <c r="BC720" i="2"/>
  <c r="BD720" i="2" s="1"/>
  <c r="BE720" i="2" s="1"/>
  <c r="BC668" i="2"/>
  <c r="BD668" i="2" s="1"/>
  <c r="BE668" i="2" s="1"/>
  <c r="BB610" i="2"/>
  <c r="BB673" i="2"/>
  <c r="BC565" i="2"/>
  <c r="BD565" i="2" s="1"/>
  <c r="BE565" i="2" s="1"/>
  <c r="BC579" i="2"/>
  <c r="BD579" i="2" s="1"/>
  <c r="BE579" i="2" s="1"/>
  <c r="BC594" i="2"/>
  <c r="BD594" i="2" s="1"/>
  <c r="BE594" i="2" s="1"/>
  <c r="BC609" i="2"/>
  <c r="BD609" i="2" s="1"/>
  <c r="BE609" i="2" s="1"/>
  <c r="BC673" i="2"/>
  <c r="BD673" i="2" s="1"/>
  <c r="BE673" i="2" s="1"/>
  <c r="BC722" i="2"/>
  <c r="BD722" i="2" s="1"/>
  <c r="BE722" i="2" s="1"/>
  <c r="BC687" i="2"/>
  <c r="BD687" i="2" s="1"/>
  <c r="BE687" i="2" s="1"/>
  <c r="BC630" i="2"/>
  <c r="BD630" i="2" s="1"/>
  <c r="BE630" i="2" s="1"/>
  <c r="BB629" i="2"/>
  <c r="BB742" i="2"/>
  <c r="CP51" i="2" s="1"/>
  <c r="BC792" i="2"/>
  <c r="BD792" i="2" s="1"/>
  <c r="BE792" i="2" s="1"/>
  <c r="BC760" i="2"/>
  <c r="BD760" i="2" s="1"/>
  <c r="BE760" i="2" s="1"/>
  <c r="BC782" i="2"/>
  <c r="BD782" i="2" s="1"/>
  <c r="BE782" i="2" s="1"/>
  <c r="BC746" i="2"/>
  <c r="BD746" i="2" s="1"/>
  <c r="BE746" i="2" s="1"/>
  <c r="BC907" i="2"/>
  <c r="BD907" i="2" s="1"/>
  <c r="BE907" i="2" s="1"/>
  <c r="BB831" i="2"/>
  <c r="BC814" i="2"/>
  <c r="BD814" i="2" s="1"/>
  <c r="BE814" i="2" s="1"/>
  <c r="BC808" i="2"/>
  <c r="BD808" i="2" s="1"/>
  <c r="BE808" i="2" s="1"/>
  <c r="BB765" i="2"/>
  <c r="BB752" i="2"/>
  <c r="BC728" i="2"/>
  <c r="BD728" i="2" s="1"/>
  <c r="BE728" i="2" s="1"/>
  <c r="BC835" i="2"/>
  <c r="BD835" i="2" s="1"/>
  <c r="BE835" i="2" s="1"/>
  <c r="BC828" i="2"/>
  <c r="BD828" i="2" s="1"/>
  <c r="BE828" i="2" s="1"/>
  <c r="BC886" i="2"/>
  <c r="BD886" i="2" s="1"/>
  <c r="BE886" i="2" s="1"/>
  <c r="BB885" i="2"/>
  <c r="BC906" i="2"/>
  <c r="BD906" i="2" s="1"/>
  <c r="BE906" i="2" s="1"/>
  <c r="BC878" i="2"/>
  <c r="BD878" i="2" s="1"/>
  <c r="BE878" i="2" s="1"/>
  <c r="BC941" i="2"/>
  <c r="BD941" i="2" s="1"/>
  <c r="BE941" i="2" s="1"/>
  <c r="BC847" i="2"/>
  <c r="BD847" i="2" s="1"/>
  <c r="BE847" i="2" s="1"/>
  <c r="BB828" i="2"/>
  <c r="BC971" i="2"/>
  <c r="BD971" i="2" s="1"/>
  <c r="BE971" i="2" s="1"/>
  <c r="BB929" i="2"/>
  <c r="BB833" i="2"/>
  <c r="BC839" i="2"/>
  <c r="BD839" i="2" s="1"/>
  <c r="BE839" i="2" s="1"/>
  <c r="BB944" i="2"/>
  <c r="BC921" i="2"/>
  <c r="BD921" i="2" s="1"/>
  <c r="BE921" i="2" s="1"/>
  <c r="BB958" i="2"/>
  <c r="BB991" i="2"/>
  <c r="BC1005" i="2"/>
  <c r="BD1005" i="2" s="1"/>
  <c r="BE1005" i="2" s="1"/>
  <c r="BB1046" i="2"/>
  <c r="BC956" i="2"/>
  <c r="BD956" i="2" s="1"/>
  <c r="BE956" i="2" s="1"/>
  <c r="BB943" i="2"/>
  <c r="BC961" i="2"/>
  <c r="BD961" i="2" s="1"/>
  <c r="BE961" i="2" s="1"/>
  <c r="BB972" i="2"/>
  <c r="BC942" i="2"/>
  <c r="BD942" i="2" s="1"/>
  <c r="BE942" i="2" s="1"/>
  <c r="BB965" i="2"/>
  <c r="BC1073" i="2"/>
  <c r="BD1073" i="2" s="1"/>
  <c r="BE1073" i="2" s="1"/>
  <c r="BB1110" i="2"/>
  <c r="BB1066" i="2"/>
  <c r="BC1028" i="2"/>
  <c r="BD1028" i="2" s="1"/>
  <c r="BE1028" i="2" s="1"/>
  <c r="BB1212" i="2"/>
  <c r="BB1205" i="2"/>
  <c r="BB1112" i="2"/>
  <c r="BB1318" i="2"/>
  <c r="BB1370" i="2"/>
  <c r="BB1417" i="2"/>
  <c r="BC1488" i="2"/>
  <c r="BD1488" i="2" s="1"/>
  <c r="BE1488" i="2" s="1"/>
  <c r="BC1629" i="2"/>
  <c r="BD1629" i="2" s="1"/>
  <c r="BE1629" i="2" s="1"/>
  <c r="BB1560" i="2"/>
  <c r="BC1562" i="2"/>
  <c r="BD1562" i="2" s="1"/>
  <c r="BE1562" i="2" s="1"/>
  <c r="BB1624" i="2"/>
  <c r="BB1613" i="2"/>
  <c r="BC1609" i="2"/>
  <c r="BD1609" i="2" s="1"/>
  <c r="BE1609" i="2" s="1"/>
  <c r="BB1615" i="2"/>
  <c r="BC1628" i="2"/>
  <c r="BD1628" i="2" s="1"/>
  <c r="BE1628" i="2" s="1"/>
  <c r="BC1556" i="2"/>
  <c r="BD1556" i="2" s="1"/>
  <c r="BE1556" i="2" s="1"/>
  <c r="BC1586" i="2"/>
  <c r="BD1586" i="2" s="1"/>
  <c r="BE1586" i="2" s="1"/>
  <c r="BB1559" i="2"/>
  <c r="BB1567" i="2"/>
  <c r="BC1524" i="2"/>
  <c r="BD1524" i="2" s="1"/>
  <c r="BE1524" i="2" s="1"/>
  <c r="BC1555" i="2"/>
  <c r="BD1555" i="2" s="1"/>
  <c r="BE1555" i="2" s="1"/>
  <c r="BB1514" i="2"/>
  <c r="BB1532" i="2"/>
  <c r="BB1520" i="2"/>
  <c r="BB1473" i="2"/>
  <c r="BC1528" i="2"/>
  <c r="BD1528" i="2" s="1"/>
  <c r="BE1528" i="2" s="1"/>
  <c r="BC1543" i="2"/>
  <c r="BD1543" i="2" s="1"/>
  <c r="BE1543" i="2" s="1"/>
  <c r="BB1490" i="2"/>
  <c r="BC1485" i="2"/>
  <c r="BD1485" i="2" s="1"/>
  <c r="BE1485" i="2" s="1"/>
  <c r="BC1477" i="2"/>
  <c r="BD1477" i="2" s="1"/>
  <c r="BE1477" i="2" s="1"/>
  <c r="BC1440" i="2"/>
  <c r="BD1440" i="2" s="1"/>
  <c r="BE1440" i="2" s="1"/>
  <c r="BB1541" i="2"/>
  <c r="BC1462" i="2"/>
  <c r="BD1462" i="2" s="1"/>
  <c r="BE1462" i="2" s="1"/>
  <c r="BC1489" i="2"/>
  <c r="BD1489" i="2" s="1"/>
  <c r="BE1489" i="2" s="1"/>
  <c r="BB1553" i="2"/>
  <c r="BC1525" i="2"/>
  <c r="BD1525" i="2" s="1"/>
  <c r="BE1525" i="2" s="1"/>
  <c r="BC1392" i="2"/>
  <c r="BD1392" i="2" s="1"/>
  <c r="BE1392" i="2" s="1"/>
  <c r="BB1391" i="2"/>
  <c r="BB1378" i="2"/>
  <c r="BC1408" i="2"/>
  <c r="BD1408" i="2" s="1"/>
  <c r="BE1408" i="2" s="1"/>
  <c r="BC1409" i="2"/>
  <c r="BD1409" i="2" s="1"/>
  <c r="BE1409" i="2" s="1"/>
  <c r="BB1463" i="2"/>
  <c r="CP52" i="2" s="1"/>
  <c r="BB1434" i="2"/>
  <c r="BB1475" i="2"/>
  <c r="BC1455" i="2"/>
  <c r="BD1455" i="2" s="1"/>
  <c r="BE1455" i="2" s="1"/>
  <c r="BC1402" i="2"/>
  <c r="BD1402" i="2" s="1"/>
  <c r="BE1402" i="2" s="1"/>
  <c r="BC1317" i="2"/>
  <c r="BD1317" i="2" s="1"/>
  <c r="BE1317" i="2" s="1"/>
  <c r="BC1306" i="2"/>
  <c r="BD1306" i="2" s="1"/>
  <c r="BE1306" i="2" s="1"/>
  <c r="BC1367" i="2"/>
  <c r="BD1367" i="2" s="1"/>
  <c r="BE1367" i="2" s="1"/>
  <c r="BB1343" i="2"/>
  <c r="BB1399" i="2"/>
  <c r="BC1370" i="2"/>
  <c r="BD1370" i="2" s="1"/>
  <c r="BE1370" i="2" s="1"/>
  <c r="BC1359" i="2"/>
  <c r="BD1359" i="2" s="1"/>
  <c r="BE1359" i="2" s="1"/>
  <c r="BB1442" i="2"/>
  <c r="BC1362" i="2"/>
  <c r="BD1362" i="2" s="1"/>
  <c r="BE1362" i="2" s="1"/>
  <c r="BB1362" i="2"/>
  <c r="BB1332" i="2"/>
  <c r="BB1242" i="2"/>
  <c r="BB1267" i="2"/>
  <c r="BB1306" i="2"/>
  <c r="BB1302" i="2"/>
  <c r="BC1333" i="2"/>
  <c r="BD1333" i="2" s="1"/>
  <c r="BE1333" i="2" s="1"/>
  <c r="BB1325" i="2"/>
  <c r="BC1312" i="2"/>
  <c r="BD1312" i="2" s="1"/>
  <c r="BE1312" i="2" s="1"/>
  <c r="BB1312" i="2"/>
  <c r="BC1283" i="2"/>
  <c r="BD1283" i="2" s="1"/>
  <c r="BE1283" i="2" s="1"/>
  <c r="BB1275" i="2"/>
  <c r="BB1264" i="2"/>
  <c r="BB1263" i="2"/>
  <c r="BC1195" i="2"/>
  <c r="BD1195" i="2" s="1"/>
  <c r="BE1195" i="2" s="1"/>
  <c r="BB1235" i="2"/>
  <c r="BB1154" i="2"/>
  <c r="BC1214" i="2"/>
  <c r="BD1214" i="2" s="1"/>
  <c r="BE1214" i="2" s="1"/>
  <c r="BB1229" i="2"/>
  <c r="BC1157" i="2"/>
  <c r="BD1157" i="2" s="1"/>
  <c r="BE1157" i="2" s="1"/>
  <c r="BB1115" i="2"/>
  <c r="BC1209" i="2"/>
  <c r="BD1209" i="2" s="1"/>
  <c r="BE1209" i="2" s="1"/>
  <c r="BB1209" i="2"/>
  <c r="BC1222" i="2"/>
  <c r="BD1222" i="2" s="1"/>
  <c r="BE1222" i="2" s="1"/>
  <c r="BB1222" i="2"/>
  <c r="BC1217" i="2"/>
  <c r="BD1217" i="2" s="1"/>
  <c r="BE1217" i="2" s="1"/>
  <c r="BB1223" i="2"/>
  <c r="BC1212" i="2"/>
  <c r="BD1212" i="2" s="1"/>
  <c r="BE1212" i="2" s="1"/>
  <c r="BC1140" i="2"/>
  <c r="BD1140" i="2" s="1"/>
  <c r="BE1140" i="2" s="1"/>
  <c r="BC1251" i="2"/>
  <c r="BD1251" i="2" s="1"/>
  <c r="BE1251" i="2" s="1"/>
  <c r="BB1158" i="2"/>
  <c r="BC1125" i="2"/>
  <c r="BD1125" i="2" s="1"/>
  <c r="BE1125" i="2" s="1"/>
  <c r="BB1129" i="2"/>
  <c r="BB1159" i="2"/>
  <c r="BB1194" i="2"/>
  <c r="BC1160" i="2"/>
  <c r="BD1160" i="2" s="1"/>
  <c r="BE1160" i="2" s="1"/>
  <c r="BB1108" i="2"/>
  <c r="BC1051" i="2"/>
  <c r="BD1051" i="2" s="1"/>
  <c r="BE1051" i="2" s="1"/>
  <c r="BB1051" i="2"/>
  <c r="BC1091" i="2"/>
  <c r="BD1091" i="2" s="1"/>
  <c r="BE1091" i="2" s="1"/>
  <c r="BC1109" i="2"/>
  <c r="BD1109" i="2" s="1"/>
  <c r="BE1109" i="2" s="1"/>
  <c r="BC1054" i="2"/>
  <c r="BD1054" i="2" s="1"/>
  <c r="BE1054" i="2" s="1"/>
  <c r="BC1114" i="2"/>
  <c r="BD1114" i="2" s="1"/>
  <c r="BE1114" i="2" s="1"/>
  <c r="BC1096" i="2"/>
  <c r="BD1096" i="2" s="1"/>
  <c r="BE1096" i="2" s="1"/>
  <c r="BB1100" i="2"/>
  <c r="BC1033" i="2"/>
  <c r="BD1033" i="2" s="1"/>
  <c r="BE1033" i="2" s="1"/>
  <c r="BC1623" i="2"/>
  <c r="BD1623" i="2" s="1"/>
  <c r="BE1623" i="2" s="1"/>
  <c r="BB1629" i="2"/>
  <c r="BB1561" i="2"/>
  <c r="BB1618" i="2"/>
  <c r="BB1607" i="2"/>
  <c r="BC1603" i="2"/>
  <c r="BD1603" i="2" s="1"/>
  <c r="BE1603" i="2" s="1"/>
  <c r="BB1609" i="2"/>
  <c r="BC1622" i="2"/>
  <c r="BD1622" i="2" s="1"/>
  <c r="BE1622" i="2" s="1"/>
  <c r="BC1551" i="2"/>
  <c r="BD1551" i="2" s="1"/>
  <c r="BE1551" i="2" s="1"/>
  <c r="BC1577" i="2"/>
  <c r="BD1577" i="2" s="1"/>
  <c r="BE1577" i="2" s="1"/>
  <c r="BC1554" i="2"/>
  <c r="BD1554" i="2" s="1"/>
  <c r="BE1554" i="2" s="1"/>
  <c r="BC1552" i="2"/>
  <c r="BD1552" i="2" s="1"/>
  <c r="BE1552" i="2" s="1"/>
  <c r="BB1523" i="2"/>
  <c r="BC1598" i="2"/>
  <c r="BD1598" i="2" s="1"/>
  <c r="BE1598" i="2" s="1"/>
  <c r="BB1622" i="2"/>
  <c r="BC1523" i="2"/>
  <c r="BD1523" i="2" s="1"/>
  <c r="BE1523" i="2" s="1"/>
  <c r="BC1517" i="2"/>
  <c r="BD1517" i="2" s="1"/>
  <c r="BE1517" i="2" s="1"/>
  <c r="BB1558" i="2"/>
  <c r="BB1515" i="2"/>
  <c r="BB1516" i="2"/>
  <c r="BB1480" i="2"/>
  <c r="BB1472" i="2"/>
  <c r="BB1467" i="2"/>
  <c r="BC1439" i="2"/>
  <c r="BD1439" i="2" s="1"/>
  <c r="BB1534" i="2"/>
  <c r="BB1461" i="2"/>
  <c r="BB1482" i="2"/>
  <c r="BC1521" i="2"/>
  <c r="BD1521" i="2" s="1"/>
  <c r="BE1521" i="2" s="1"/>
  <c r="BC1504" i="2"/>
  <c r="BD1504" i="2" s="1"/>
  <c r="BE1504" i="2" s="1"/>
  <c r="BC1391" i="2"/>
  <c r="BD1391" i="2" s="1"/>
  <c r="BE1391" i="2" s="1"/>
  <c r="BB1390" i="2"/>
  <c r="BB1377" i="2"/>
  <c r="BB1407" i="2"/>
  <c r="BB1408" i="2"/>
  <c r="BB1458" i="2"/>
  <c r="BB1430" i="2"/>
  <c r="BC1451" i="2"/>
  <c r="BD1451" i="2" s="1"/>
  <c r="BE1451" i="2" s="1"/>
  <c r="BB1451" i="2"/>
  <c r="BC1388" i="2"/>
  <c r="BD1388" i="2" s="1"/>
  <c r="BE1388" i="2" s="1"/>
  <c r="BB1316" i="2"/>
  <c r="BB1305" i="2"/>
  <c r="BB1366" i="2"/>
  <c r="BC1332" i="2"/>
  <c r="BD1332" i="2" s="1"/>
  <c r="BE1332" i="2" s="1"/>
  <c r="BB1397" i="2"/>
  <c r="BB1369" i="2"/>
  <c r="BB1358" i="2"/>
  <c r="BC1386" i="2"/>
  <c r="BD1386" i="2" s="1"/>
  <c r="BE1386" i="2" s="1"/>
  <c r="BB1361" i="2"/>
  <c r="BC1351" i="2"/>
  <c r="BD1351" i="2" s="1"/>
  <c r="BE1351" i="2" s="1"/>
  <c r="BB1324" i="2"/>
  <c r="BC1364" i="2"/>
  <c r="BD1364" i="2" s="1"/>
  <c r="BE1364" i="2" s="1"/>
  <c r="BC1256" i="2"/>
  <c r="BD1256" i="2" s="1"/>
  <c r="BE1256" i="2" s="1"/>
  <c r="BC1302" i="2"/>
  <c r="BD1302" i="2" s="1"/>
  <c r="BE1302" i="2" s="1"/>
  <c r="BB1298" i="2"/>
  <c r="BC1325" i="2"/>
  <c r="BD1325" i="2" s="1"/>
  <c r="BE1325" i="2" s="1"/>
  <c r="BC1303" i="2"/>
  <c r="BD1303" i="2" s="1"/>
  <c r="BE1303" i="2" s="1"/>
  <c r="BB1303" i="2"/>
  <c r="BB1308" i="2"/>
  <c r="BC1275" i="2"/>
  <c r="BD1275" i="2" s="1"/>
  <c r="BE1275" i="2" s="1"/>
  <c r="BB1344" i="2"/>
  <c r="BC1253" i="2"/>
  <c r="BD1253" i="2" s="1"/>
  <c r="BE1253" i="2" s="1"/>
  <c r="BB1261" i="2"/>
  <c r="BC1189" i="2"/>
  <c r="BD1189" i="2" s="1"/>
  <c r="BE1189" i="2" s="1"/>
  <c r="BB1219" i="2"/>
  <c r="BC1143" i="2"/>
  <c r="BD1143" i="2" s="1"/>
  <c r="BE1143" i="2" s="1"/>
  <c r="BC1208" i="2"/>
  <c r="BD1208" i="2" s="1"/>
  <c r="BE1208" i="2" s="1"/>
  <c r="BB1225" i="2"/>
  <c r="BB1156" i="2"/>
  <c r="BB1114" i="2"/>
  <c r="BC1203" i="2"/>
  <c r="BD1203" i="2" s="1"/>
  <c r="BE1203" i="2" s="1"/>
  <c r="BB1203" i="2"/>
  <c r="BC1216" i="2"/>
  <c r="BD1216" i="2" s="1"/>
  <c r="BE1216" i="2" s="1"/>
  <c r="BB1216" i="2"/>
  <c r="BC1211" i="2"/>
  <c r="BD1211" i="2" s="1"/>
  <c r="BE1211" i="2" s="1"/>
  <c r="BB1217" i="2"/>
  <c r="BC1206" i="2"/>
  <c r="BD1206" i="2" s="1"/>
  <c r="BE1206" i="2" s="1"/>
  <c r="BB1139" i="2"/>
  <c r="BC1161" i="2"/>
  <c r="BD1161" i="2" s="1"/>
  <c r="BE1161" i="2" s="1"/>
  <c r="BC1142" i="2"/>
  <c r="BD1142" i="2" s="1"/>
  <c r="BE1142" i="2" s="1"/>
  <c r="BC1119" i="2"/>
  <c r="BD1119" i="2" s="1"/>
  <c r="BE1119" i="2" s="1"/>
  <c r="BB1125" i="2"/>
  <c r="BC1156" i="2"/>
  <c r="BD1156" i="2" s="1"/>
  <c r="BE1156" i="2" s="1"/>
  <c r="BB1153" i="2"/>
  <c r="BB1150" i="2"/>
  <c r="BB1105" i="2"/>
  <c r="BB1050" i="2"/>
  <c r="BC1040" i="2"/>
  <c r="BD1040" i="2" s="1"/>
  <c r="BE1040" i="2" s="1"/>
  <c r="BC1087" i="2"/>
  <c r="BD1087" i="2" s="1"/>
  <c r="BE1087" i="2" s="1"/>
  <c r="BC1106" i="2"/>
  <c r="BD1106" i="2" s="1"/>
  <c r="BE1106" i="2" s="1"/>
  <c r="BB1053" i="2"/>
  <c r="BB1109" i="2"/>
  <c r="BC1092" i="2"/>
  <c r="BD1092" i="2" s="1"/>
  <c r="BE1092" i="2" s="1"/>
  <c r="BB1096" i="2"/>
  <c r="BB1032" i="2"/>
  <c r="BB1174" i="2"/>
  <c r="BC1059" i="2"/>
  <c r="BD1059" i="2" s="1"/>
  <c r="BE1059" i="2" s="1"/>
  <c r="BB1059" i="2"/>
  <c r="BB1036" i="2"/>
  <c r="BB996" i="2"/>
  <c r="BC935" i="2"/>
  <c r="BD935" i="2" s="1"/>
  <c r="BE935" i="2" s="1"/>
  <c r="BC948" i="2"/>
  <c r="BD948" i="2" s="1"/>
  <c r="BE948" i="2" s="1"/>
  <c r="BC1000" i="2"/>
  <c r="BD1000" i="2" s="1"/>
  <c r="BE1000" i="2" s="1"/>
  <c r="BC1038" i="2"/>
  <c r="BD1038" i="2" s="1"/>
  <c r="BE1038" i="2" s="1"/>
  <c r="BC967" i="2"/>
  <c r="BD967" i="2" s="1"/>
  <c r="BE967" i="2" s="1"/>
  <c r="BB973" i="2"/>
  <c r="BC994" i="2"/>
  <c r="BD994" i="2" s="1"/>
  <c r="BE994" i="2" s="1"/>
  <c r="BB1001" i="2"/>
  <c r="BC1082" i="2"/>
  <c r="BD1082" i="2" s="1"/>
  <c r="BE1082" i="2" s="1"/>
  <c r="BC951" i="2"/>
  <c r="BD951" i="2" s="1"/>
  <c r="BE951" i="2" s="1"/>
  <c r="BB969" i="2"/>
  <c r="BB975" i="2"/>
  <c r="BB964" i="2"/>
  <c r="BC926" i="2"/>
  <c r="BD926" i="2" s="1"/>
  <c r="BE926" i="2" s="1"/>
  <c r="BC914" i="2"/>
  <c r="BD914" i="2" s="1"/>
  <c r="BE914" i="2" s="1"/>
  <c r="BB907" i="2"/>
  <c r="BC845" i="2"/>
  <c r="BD845" i="2" s="1"/>
  <c r="BE845" i="2" s="1"/>
  <c r="BB863" i="2"/>
  <c r="BB796" i="2"/>
  <c r="BB917" i="2"/>
  <c r="BC1021" i="2"/>
  <c r="BD1021" i="2" s="1"/>
  <c r="BB858" i="2"/>
  <c r="BB786" i="2"/>
  <c r="BC901" i="2"/>
  <c r="BD901" i="2" s="1"/>
  <c r="BE901" i="2" s="1"/>
  <c r="BC945" i="2"/>
  <c r="BD945" i="2" s="1"/>
  <c r="BE945" i="2" s="1"/>
  <c r="BB901" i="2"/>
  <c r="BB884" i="2"/>
  <c r="BC890" i="2"/>
  <c r="BD890" i="2" s="1"/>
  <c r="BE890" i="2" s="1"/>
  <c r="BB890" i="2"/>
  <c r="BB922" i="2"/>
  <c r="BC844" i="2"/>
  <c r="BD844" i="2" s="1"/>
  <c r="BE844" i="2" s="1"/>
  <c r="BC775" i="2"/>
  <c r="BD775" i="2" s="1"/>
  <c r="BE775" i="2" s="1"/>
  <c r="BC837" i="2"/>
  <c r="BD837" i="2" s="1"/>
  <c r="BE837" i="2" s="1"/>
  <c r="BB763" i="2"/>
  <c r="BC801" i="2"/>
  <c r="BD801" i="2" s="1"/>
  <c r="BE801" i="2" s="1"/>
  <c r="BC842" i="2"/>
  <c r="BD842" i="2" s="1"/>
  <c r="BE842" i="2" s="1"/>
  <c r="BC754" i="2"/>
  <c r="BD754" i="2" s="1"/>
  <c r="BE754" i="2" s="1"/>
  <c r="BC822" i="2"/>
  <c r="BD822" i="2" s="1"/>
  <c r="BE822" i="2" s="1"/>
  <c r="BB868" i="2"/>
  <c r="BB779" i="2"/>
  <c r="BC799" i="2"/>
  <c r="BD799" i="2" s="1"/>
  <c r="BE799" i="2" s="1"/>
  <c r="BC836" i="2"/>
  <c r="BD836" i="2" s="1"/>
  <c r="BE836" i="2" s="1"/>
  <c r="BC944" i="2"/>
  <c r="BD944" i="2" s="1"/>
  <c r="BE944" i="2" s="1"/>
  <c r="BB791" i="2"/>
  <c r="BC823" i="2"/>
  <c r="BD823" i="2" s="1"/>
  <c r="BE823" i="2" s="1"/>
  <c r="BB841" i="2"/>
  <c r="BC761" i="2"/>
  <c r="BD761" i="2" s="1"/>
  <c r="BE761" i="2" s="1"/>
  <c r="BB690" i="2"/>
  <c r="BC623" i="2"/>
  <c r="BD623" i="2" s="1"/>
  <c r="BE623" i="2" s="1"/>
  <c r="BC642" i="2"/>
  <c r="BD642" i="2" s="1"/>
  <c r="BE642" i="2" s="1"/>
  <c r="BC704" i="2"/>
  <c r="BD704" i="2" s="1"/>
  <c r="BE704" i="2" s="1"/>
  <c r="BB648" i="2"/>
  <c r="BB707" i="2"/>
  <c r="BC655" i="2"/>
  <c r="BD655" i="2" s="1"/>
  <c r="BE655" i="2" s="1"/>
  <c r="BC608" i="2"/>
  <c r="BD608" i="2" s="1"/>
  <c r="BE608" i="2" s="1"/>
  <c r="BC596" i="2"/>
  <c r="BD596" i="2" s="1"/>
  <c r="BE596" i="2" s="1"/>
  <c r="BC584" i="2"/>
  <c r="BD584" i="2" s="1"/>
  <c r="BE584" i="2" s="1"/>
  <c r="BC572" i="2"/>
  <c r="BD572" i="2" s="1"/>
  <c r="BE572" i="2" s="1"/>
  <c r="BC560" i="2"/>
  <c r="BD560" i="2" s="1"/>
  <c r="BE560" i="2" s="1"/>
  <c r="BB655" i="2"/>
  <c r="BB609" i="2"/>
  <c r="BC680" i="2"/>
  <c r="BD680" i="2" s="1"/>
  <c r="BE680" i="2" s="1"/>
  <c r="BC830" i="2"/>
  <c r="BD830" i="2" s="1"/>
  <c r="BE830" i="2" s="1"/>
  <c r="BC699" i="2"/>
  <c r="BD699" i="2" s="1"/>
  <c r="BE699" i="2" s="1"/>
  <c r="BB638" i="2"/>
  <c r="BB711" i="2"/>
  <c r="BC639" i="2"/>
  <c r="BD639" i="2" s="1"/>
  <c r="BE639" i="2" s="1"/>
  <c r="BB675" i="2"/>
  <c r="BC762" i="2"/>
  <c r="BD762" i="2" s="1"/>
  <c r="BE762" i="2" s="1"/>
  <c r="BC658" i="2"/>
  <c r="BD658" i="2" s="1"/>
  <c r="BE658" i="2" s="1"/>
  <c r="BC721" i="2"/>
  <c r="BD721" i="2" s="1"/>
  <c r="BE721" i="2" s="1"/>
  <c r="BB658" i="2"/>
  <c r="BC1617" i="2"/>
  <c r="BD1617" i="2" s="1"/>
  <c r="BE1617" i="2" s="1"/>
  <c r="BB1623" i="2"/>
  <c r="BC1633" i="2"/>
  <c r="BD1633" i="2" s="1"/>
  <c r="BE1633" i="2" s="1"/>
  <c r="BB1612" i="2"/>
  <c r="BB1601" i="2"/>
  <c r="BC1597" i="2"/>
  <c r="BD1597" i="2" s="1"/>
  <c r="BE1597" i="2" s="1"/>
  <c r="BB1603" i="2"/>
  <c r="BC1610" i="2"/>
  <c r="BD1610" i="2" s="1"/>
  <c r="BE1610" i="2" s="1"/>
  <c r="BC1548" i="2"/>
  <c r="BD1548" i="2" s="1"/>
  <c r="BE1548" i="2" s="1"/>
  <c r="BB1564" i="2"/>
  <c r="BC1584" i="2"/>
  <c r="BD1584" i="2" s="1"/>
  <c r="BE1584" i="2" s="1"/>
  <c r="BC1549" i="2"/>
  <c r="BD1549" i="2" s="1"/>
  <c r="BE1549" i="2" s="1"/>
  <c r="BC1512" i="2"/>
  <c r="BD1512" i="2" s="1"/>
  <c r="BE1512" i="2" s="1"/>
  <c r="BB1578" i="2"/>
  <c r="BC1571" i="2"/>
  <c r="BD1571" i="2" s="1"/>
  <c r="BE1571" i="2" s="1"/>
  <c r="BC1520" i="2"/>
  <c r="BD1520" i="2" s="1"/>
  <c r="BE1520" i="2" s="1"/>
  <c r="BB1509" i="2"/>
  <c r="BC1542" i="2"/>
  <c r="BD1542" i="2" s="1"/>
  <c r="BE1542" i="2" s="1"/>
  <c r="BB1598" i="2"/>
  <c r="BC1490" i="2"/>
  <c r="BD1490" i="2" s="1"/>
  <c r="BE1490" i="2" s="1"/>
  <c r="BB1476" i="2"/>
  <c r="BC1467" i="2"/>
  <c r="BD1467" i="2" s="1"/>
  <c r="BE1467" i="2" s="1"/>
  <c r="BC1460" i="2"/>
  <c r="BD1460" i="2" s="1"/>
  <c r="BE1460" i="2" s="1"/>
  <c r="BC1438" i="2"/>
  <c r="BD1438" i="2" s="1"/>
  <c r="BE1438" i="2" s="1"/>
  <c r="BB1508" i="2"/>
  <c r="BC1539" i="2"/>
  <c r="BD1539" i="2" s="1"/>
  <c r="BE1539" i="2" s="1"/>
  <c r="BB1478" i="2"/>
  <c r="BC1502" i="2"/>
  <c r="BD1502" i="2" s="1"/>
  <c r="BE1502" i="2" s="1"/>
  <c r="BB1445" i="2"/>
  <c r="BC1461" i="2"/>
  <c r="BD1461" i="2" s="1"/>
  <c r="BE1461" i="2" s="1"/>
  <c r="BB1389" i="2"/>
  <c r="BB1376" i="2"/>
  <c r="BC1396" i="2"/>
  <c r="BD1396" i="2" s="1"/>
  <c r="BE1396" i="2" s="1"/>
  <c r="BC1397" i="2"/>
  <c r="BD1397" i="2" s="1"/>
  <c r="BE1397" i="2" s="1"/>
  <c r="BB1446" i="2"/>
  <c r="BC1425" i="2"/>
  <c r="BD1425" i="2" s="1"/>
  <c r="BC1449" i="2"/>
  <c r="BD1449" i="2" s="1"/>
  <c r="BE1449" i="2" s="1"/>
  <c r="BB1449" i="2"/>
  <c r="BC1382" i="2"/>
  <c r="BD1382" i="2" s="1"/>
  <c r="BE1382" i="2" s="1"/>
  <c r="BC1366" i="2"/>
  <c r="BD1366" i="2" s="1"/>
  <c r="BE1366" i="2" s="1"/>
  <c r="BC1294" i="2"/>
  <c r="BD1294" i="2" s="1"/>
  <c r="BE1294" i="2" s="1"/>
  <c r="BC1355" i="2"/>
  <c r="BD1355" i="2" s="1"/>
  <c r="BE1355" i="2" s="1"/>
  <c r="BB1331" i="2"/>
  <c r="BC1384" i="2"/>
  <c r="BD1384" i="2" s="1"/>
  <c r="BE1384" i="2" s="1"/>
  <c r="BC1358" i="2"/>
  <c r="BD1358" i="2" s="1"/>
  <c r="BE1358" i="2" s="1"/>
  <c r="BC1347" i="2"/>
  <c r="BD1347" i="2" s="1"/>
  <c r="BE1347" i="2" s="1"/>
  <c r="BC1380" i="2"/>
  <c r="BD1380" i="2" s="1"/>
  <c r="BE1380" i="2" s="1"/>
  <c r="BC1350" i="2"/>
  <c r="BD1350" i="2" s="1"/>
  <c r="BE1350" i="2" s="1"/>
  <c r="BB1350" i="2"/>
  <c r="BC1310" i="2"/>
  <c r="BD1310" i="2" s="1"/>
  <c r="BE1310" i="2" s="1"/>
  <c r="BB1351" i="2"/>
  <c r="BB1255" i="2"/>
  <c r="BC1298" i="2"/>
  <c r="BD1298" i="2" s="1"/>
  <c r="BE1298" i="2" s="1"/>
  <c r="BC1281" i="2"/>
  <c r="BD1281" i="2" s="1"/>
  <c r="BE1281" i="2" s="1"/>
  <c r="BB1320" i="2"/>
  <c r="BC1299" i="2"/>
  <c r="BD1299" i="2" s="1"/>
  <c r="BE1299" i="2" s="1"/>
  <c r="BB1299" i="2"/>
  <c r="BC1291" i="2"/>
  <c r="BD1291" i="2" s="1"/>
  <c r="BE1291" i="2" s="1"/>
  <c r="BB1274" i="2"/>
  <c r="BB1339" i="2"/>
  <c r="BB1252" i="2"/>
  <c r="BC1259" i="2"/>
  <c r="BD1259" i="2" s="1"/>
  <c r="BE1259" i="2" s="1"/>
  <c r="BC1178" i="2"/>
  <c r="BD1178" i="2" s="1"/>
  <c r="BE1178" i="2" s="1"/>
  <c r="BB1213" i="2"/>
  <c r="BB1142" i="2"/>
  <c r="BC1202" i="2"/>
  <c r="BD1202" i="2" s="1"/>
  <c r="BE1202" i="2" s="1"/>
  <c r="BB1220" i="2"/>
  <c r="BC1145" i="2"/>
  <c r="BD1145" i="2" s="1"/>
  <c r="BE1145" i="2" s="1"/>
  <c r="BB1113" i="2"/>
  <c r="BC1197" i="2"/>
  <c r="BD1197" i="2" s="1"/>
  <c r="BE1197" i="2" s="1"/>
  <c r="BB1197" i="2"/>
  <c r="BC1210" i="2"/>
  <c r="BD1210" i="2" s="1"/>
  <c r="BE1210" i="2" s="1"/>
  <c r="BB1210" i="2"/>
  <c r="BC1205" i="2"/>
  <c r="BD1205" i="2" s="1"/>
  <c r="BE1205" i="2" s="1"/>
  <c r="BB1211" i="2"/>
  <c r="BC1200" i="2"/>
  <c r="BD1200" i="2" s="1"/>
  <c r="BE1200" i="2" s="1"/>
  <c r="BB1218" i="2"/>
  <c r="BC1158" i="2"/>
  <c r="BD1158" i="2" s="1"/>
  <c r="BE1158" i="2" s="1"/>
  <c r="BC1118" i="2"/>
  <c r="BD1118" i="2" s="1"/>
  <c r="BE1118" i="2" s="1"/>
  <c r="BB1246" i="2"/>
  <c r="BC1120" i="2"/>
  <c r="BD1120" i="2" s="1"/>
  <c r="BE1120" i="2" s="1"/>
  <c r="BB1143" i="2"/>
  <c r="BC1150" i="2"/>
  <c r="BD1150" i="2" s="1"/>
  <c r="BE1150" i="2" s="1"/>
  <c r="BB1147" i="2"/>
  <c r="BB1102" i="2"/>
  <c r="BC1039" i="2"/>
  <c r="BD1039" i="2" s="1"/>
  <c r="BE1039" i="2" s="1"/>
  <c r="BB1039" i="2"/>
  <c r="BC1083" i="2"/>
  <c r="BD1083" i="2" s="1"/>
  <c r="BE1083" i="2" s="1"/>
  <c r="BC1103" i="2"/>
  <c r="BD1103" i="2" s="1"/>
  <c r="BE1103" i="2" s="1"/>
  <c r="BC1042" i="2"/>
  <c r="BD1042" i="2" s="1"/>
  <c r="BE1042" i="2" s="1"/>
  <c r="BB1106" i="2"/>
  <c r="BC1088" i="2"/>
  <c r="BD1088" i="2" s="1"/>
  <c r="BE1088" i="2" s="1"/>
  <c r="BB1092" i="2"/>
  <c r="BC1138" i="2"/>
  <c r="BD1138" i="2" s="1"/>
  <c r="BE1138" i="2" s="1"/>
  <c r="BC1611" i="2"/>
  <c r="BD1611" i="2" s="1"/>
  <c r="BE1611" i="2" s="1"/>
  <c r="BB1617" i="2"/>
  <c r="BC1630" i="2"/>
  <c r="BD1630" i="2" s="1"/>
  <c r="BE1630" i="2" s="1"/>
  <c r="BB1606" i="2"/>
  <c r="BB1595" i="2"/>
  <c r="BC1591" i="2"/>
  <c r="BD1591" i="2" s="1"/>
  <c r="BE1591" i="2" s="1"/>
  <c r="BB1597" i="2"/>
  <c r="BC1592" i="2"/>
  <c r="BD1592" i="2" s="1"/>
  <c r="BE1592" i="2" s="1"/>
  <c r="BC1544" i="2"/>
  <c r="BD1544" i="2" s="1"/>
  <c r="BE1544" i="2" s="1"/>
  <c r="BC1559" i="2"/>
  <c r="BD1559" i="2" s="1"/>
  <c r="BE1559" i="2" s="1"/>
  <c r="BC1575" i="2"/>
  <c r="BD1575" i="2" s="1"/>
  <c r="BE1575" i="2" s="1"/>
  <c r="BB1545" i="2"/>
  <c r="BB1511" i="2"/>
  <c r="BC1576" i="2"/>
  <c r="BD1576" i="2" s="1"/>
  <c r="BE1576" i="2" s="1"/>
  <c r="BC1537" i="2"/>
  <c r="BD1537" i="2" s="1"/>
  <c r="BE1537" i="2" s="1"/>
  <c r="BB1513" i="2"/>
  <c r="BB1505" i="2"/>
  <c r="BB1540" i="2"/>
  <c r="BB1536" i="2"/>
  <c r="BB1484" i="2"/>
  <c r="BB1466" i="2"/>
  <c r="BB1583" i="2"/>
  <c r="BB1459" i="2"/>
  <c r="BC1437" i="2"/>
  <c r="BD1437" i="2" s="1"/>
  <c r="BE1437" i="2" s="1"/>
  <c r="BC1503" i="2"/>
  <c r="BD1503" i="2" s="1"/>
  <c r="BE1503" i="2" s="1"/>
  <c r="BB1510" i="2"/>
  <c r="BB1474" i="2"/>
  <c r="BC1487" i="2"/>
  <c r="BD1487" i="2" s="1"/>
  <c r="BE1487" i="2" s="1"/>
  <c r="BB1436" i="2"/>
  <c r="BB1428" i="2"/>
  <c r="BB1388" i="2"/>
  <c r="BC1498" i="2"/>
  <c r="BD1498" i="2" s="1"/>
  <c r="BE1498" i="2" s="1"/>
  <c r="BB1395" i="2"/>
  <c r="BB1396" i="2"/>
  <c r="BB1424" i="2"/>
  <c r="BC1419" i="2"/>
  <c r="BD1419" i="2" s="1"/>
  <c r="BE1419" i="2" s="1"/>
  <c r="BC1426" i="2"/>
  <c r="BD1426" i="2" s="1"/>
  <c r="BE1426" i="2" s="1"/>
  <c r="BB1435" i="2"/>
  <c r="BC1376" i="2"/>
  <c r="BD1376" i="2" s="1"/>
  <c r="BE1376" i="2" s="1"/>
  <c r="BB1365" i="2"/>
  <c r="BB1293" i="2"/>
  <c r="BB1354" i="2"/>
  <c r="BC1320" i="2"/>
  <c r="BD1320" i="2" s="1"/>
  <c r="BE1320" i="2" s="1"/>
  <c r="BC1378" i="2"/>
  <c r="BD1378" i="2" s="1"/>
  <c r="BE1378" i="2" s="1"/>
  <c r="BB1357" i="2"/>
  <c r="BB1346" i="2"/>
  <c r="BC1373" i="2"/>
  <c r="BD1373" i="2" s="1"/>
  <c r="BE1373" i="2" s="1"/>
  <c r="BB1349" i="2"/>
  <c r="BC1339" i="2"/>
  <c r="BD1339" i="2" s="1"/>
  <c r="BE1339" i="2" s="1"/>
  <c r="BB1301" i="2"/>
  <c r="BB1337" i="2"/>
  <c r="BC1244" i="2"/>
  <c r="BD1244" i="2" s="1"/>
  <c r="BE1244" i="2" s="1"/>
  <c r="BB1289" i="2"/>
  <c r="BC1270" i="2"/>
  <c r="BD1270" i="2" s="1"/>
  <c r="BE1270" i="2" s="1"/>
  <c r="BB1311" i="2"/>
  <c r="BB1290" i="2"/>
  <c r="BC1295" i="2"/>
  <c r="BD1295" i="2" s="1"/>
  <c r="BE1295" i="2" s="1"/>
  <c r="BC1287" i="2"/>
  <c r="BD1287" i="2" s="1"/>
  <c r="BE1287" i="2" s="1"/>
  <c r="BB1400" i="2"/>
  <c r="BB1334" i="2"/>
  <c r="BC1241" i="2"/>
  <c r="BD1241" i="2" s="1"/>
  <c r="BE1241" i="2" s="1"/>
  <c r="BB1251" i="2"/>
  <c r="BB1177" i="2"/>
  <c r="BB1207" i="2"/>
  <c r="BC1131" i="2"/>
  <c r="BD1131" i="2" s="1"/>
  <c r="BE1131" i="2" s="1"/>
  <c r="BC1196" i="2"/>
  <c r="BD1196" i="2" s="1"/>
  <c r="BE1196" i="2" s="1"/>
  <c r="BB1214" i="2"/>
  <c r="BB1144" i="2"/>
  <c r="BC1605" i="2"/>
  <c r="BD1605" i="2" s="1"/>
  <c r="BE1605" i="2" s="1"/>
  <c r="BB1611" i="2"/>
  <c r="BC1624" i="2"/>
  <c r="BD1624" i="2" s="1"/>
  <c r="BE1624" i="2" s="1"/>
  <c r="BC1625" i="2"/>
  <c r="BD1625" i="2" s="1"/>
  <c r="BE1625" i="2" s="1"/>
  <c r="BC1626" i="2"/>
  <c r="BD1626" i="2" s="1"/>
  <c r="BE1626" i="2" s="1"/>
  <c r="BC1585" i="2"/>
  <c r="BD1585" i="2" s="1"/>
  <c r="BE1585" i="2" s="1"/>
  <c r="BB1591" i="2"/>
  <c r="BC1590" i="2"/>
  <c r="BD1590" i="2" s="1"/>
  <c r="BE1590" i="2" s="1"/>
  <c r="BC1540" i="2"/>
  <c r="BD1540" i="2" s="1"/>
  <c r="BE1540" i="2" s="1"/>
  <c r="BB1551" i="2"/>
  <c r="BC1567" i="2"/>
  <c r="BD1567" i="2" s="1"/>
  <c r="BE1567" i="2" s="1"/>
  <c r="BB1596" i="2"/>
  <c r="BC1500" i="2"/>
  <c r="BD1500" i="2" s="1"/>
  <c r="BE1500" i="2" s="1"/>
  <c r="BC1568" i="2"/>
  <c r="BD1568" i="2" s="1"/>
  <c r="BE1568" i="2" s="1"/>
  <c r="BC1532" i="2"/>
  <c r="BD1532" i="2" s="1"/>
  <c r="BE1532" i="2" s="1"/>
  <c r="BC1509" i="2"/>
  <c r="BD1509" i="2" s="1"/>
  <c r="BE1509" i="2" s="1"/>
  <c r="BB1550" i="2"/>
  <c r="BB1527" i="2"/>
  <c r="BB1531" i="2"/>
  <c r="BC1480" i="2"/>
  <c r="BD1480" i="2" s="1"/>
  <c r="BE1480" i="2" s="1"/>
  <c r="BC1458" i="2"/>
  <c r="BD1458" i="2" s="1"/>
  <c r="BE1458" i="2" s="1"/>
  <c r="BC1541" i="2"/>
  <c r="BD1541" i="2" s="1"/>
  <c r="BE1541" i="2" s="1"/>
  <c r="BC1448" i="2"/>
  <c r="BD1448" i="2" s="1"/>
  <c r="BE1448" i="2" s="1"/>
  <c r="BC1436" i="2"/>
  <c r="BD1436" i="2" s="1"/>
  <c r="BE1436" i="2" s="1"/>
  <c r="BB1497" i="2"/>
  <c r="BB1491" i="2"/>
  <c r="BC1553" i="2"/>
  <c r="BD1553" i="2" s="1"/>
  <c r="BE1553" i="2" s="1"/>
  <c r="BC1483" i="2"/>
  <c r="BD1483" i="2" s="1"/>
  <c r="BE1483" i="2" s="1"/>
  <c r="BB1432" i="2"/>
  <c r="BB1422" i="2"/>
  <c r="BB1387" i="2"/>
  <c r="BB1487" i="2"/>
  <c r="BB1454" i="2"/>
  <c r="BC1463" i="2"/>
  <c r="BD1463" i="2" s="1"/>
  <c r="BB1418" i="2"/>
  <c r="BC1412" i="2"/>
  <c r="BD1412" i="2" s="1"/>
  <c r="BE1412" i="2" s="1"/>
  <c r="BC1420" i="2"/>
  <c r="BD1420" i="2" s="1"/>
  <c r="BE1420" i="2" s="1"/>
  <c r="BB1431" i="2"/>
  <c r="BC1365" i="2"/>
  <c r="BD1365" i="2" s="1"/>
  <c r="BE1365" i="2" s="1"/>
  <c r="BC1354" i="2"/>
  <c r="BD1354" i="2" s="1"/>
  <c r="BE1354" i="2" s="1"/>
  <c r="BC1282" i="2"/>
  <c r="BD1282" i="2" s="1"/>
  <c r="BE1282" i="2" s="1"/>
  <c r="BC1459" i="2"/>
  <c r="BD1459" i="2" s="1"/>
  <c r="BE1459" i="2" s="1"/>
  <c r="BB1319" i="2"/>
  <c r="BC1369" i="2"/>
  <c r="BD1369" i="2" s="1"/>
  <c r="BE1369" i="2" s="1"/>
  <c r="BC1346" i="2"/>
  <c r="BD1346" i="2" s="1"/>
  <c r="BE1346" i="2" s="1"/>
  <c r="BB1427" i="2"/>
  <c r="BB1372" i="2"/>
  <c r="BB1465" i="2"/>
  <c r="BB1338" i="2"/>
  <c r="BB1297" i="2"/>
  <c r="BC1322" i="2"/>
  <c r="BD1322" i="2" s="1"/>
  <c r="BE1322" i="2" s="1"/>
  <c r="BB1243" i="2"/>
  <c r="BB1285" i="2"/>
  <c r="BB1269" i="2"/>
  <c r="BC1307" i="2"/>
  <c r="BD1307" i="2" s="1"/>
  <c r="BE1307" i="2" s="1"/>
  <c r="BB1286" i="2"/>
  <c r="BB1282" i="2"/>
  <c r="BC1274" i="2"/>
  <c r="BD1274" i="2" s="1"/>
  <c r="BE1274" i="2" s="1"/>
  <c r="BC1334" i="2"/>
  <c r="BD1334" i="2" s="1"/>
  <c r="BE1334" i="2" s="1"/>
  <c r="BC1316" i="2"/>
  <c r="BD1316" i="2" s="1"/>
  <c r="BE1316" i="2" s="1"/>
  <c r="BB1240" i="2"/>
  <c r="BC1238" i="2"/>
  <c r="BD1238" i="2" s="1"/>
  <c r="BE1238" i="2" s="1"/>
  <c r="BC1166" i="2"/>
  <c r="BD1166" i="2" s="1"/>
  <c r="BE1166" i="2" s="1"/>
  <c r="BB1201" i="2"/>
  <c r="BB1130" i="2"/>
  <c r="BC1190" i="2"/>
  <c r="BD1190" i="2" s="1"/>
  <c r="BE1190" i="2" s="1"/>
  <c r="BB1208" i="2"/>
  <c r="BC1133" i="2"/>
  <c r="BD1133" i="2" s="1"/>
  <c r="BE1133" i="2" s="1"/>
  <c r="BB1111" i="2"/>
  <c r="BB1288" i="2"/>
  <c r="BC1183" i="2"/>
  <c r="BD1183" i="2" s="1"/>
  <c r="BE1183" i="2" s="1"/>
  <c r="BC1198" i="2"/>
  <c r="BD1198" i="2" s="1"/>
  <c r="BE1198" i="2" s="1"/>
  <c r="BB1198" i="2"/>
  <c r="BC1193" i="2"/>
  <c r="BD1193" i="2" s="1"/>
  <c r="BE1193" i="2" s="1"/>
  <c r="BB1199" i="2"/>
  <c r="BC1188" i="2"/>
  <c r="BD1188" i="2" s="1"/>
  <c r="BE1188" i="2" s="1"/>
  <c r="BC1151" i="2"/>
  <c r="BD1151" i="2" s="1"/>
  <c r="BE1151" i="2" s="1"/>
  <c r="BB1145" i="2"/>
  <c r="BC1187" i="2"/>
  <c r="BD1187" i="2" s="1"/>
  <c r="BE1187" i="2" s="1"/>
  <c r="BB1173" i="2"/>
  <c r="BB1186" i="2"/>
  <c r="BB1121" i="2"/>
  <c r="BB1137" i="2"/>
  <c r="BB1131" i="2"/>
  <c r="BB1094" i="2"/>
  <c r="BC1027" i="2"/>
  <c r="BD1027" i="2" s="1"/>
  <c r="BE1027" i="2" s="1"/>
  <c r="BB1027" i="2"/>
  <c r="BB1076" i="2"/>
  <c r="BB1095" i="2"/>
  <c r="BC1030" i="2"/>
  <c r="BD1030" i="2" s="1"/>
  <c r="BE1030" i="2" s="1"/>
  <c r="BB1078" i="2"/>
  <c r="BC1079" i="2"/>
  <c r="BD1079" i="2" s="1"/>
  <c r="BE1079" i="2" s="1"/>
  <c r="BB1084" i="2"/>
  <c r="BC1107" i="2"/>
  <c r="BD1107" i="2" s="1"/>
  <c r="BE1107" i="2" s="1"/>
  <c r="BB1104" i="2"/>
  <c r="BB1101" i="2"/>
  <c r="BB1127" i="2"/>
  <c r="BC1013" i="2"/>
  <c r="BD1013" i="2" s="1"/>
  <c r="BE1013" i="2" s="1"/>
  <c r="BB984" i="2"/>
  <c r="BC1062" i="2"/>
  <c r="BD1062" i="2" s="1"/>
  <c r="BE1062" i="2" s="1"/>
  <c r="BB935" i="2"/>
  <c r="BC989" i="2"/>
  <c r="BD989" i="2" s="1"/>
  <c r="BE989" i="2" s="1"/>
  <c r="BC1010" i="2"/>
  <c r="BD1010" i="2" s="1"/>
  <c r="BE1010" i="2" s="1"/>
  <c r="BC949" i="2"/>
  <c r="BD949" i="2" s="1"/>
  <c r="BE949" i="2" s="1"/>
  <c r="BB955" i="2"/>
  <c r="BC982" i="2"/>
  <c r="BD982" i="2" s="1"/>
  <c r="BE982" i="2" s="1"/>
  <c r="BB986" i="2"/>
  <c r="BB1030" i="2"/>
  <c r="BB1011" i="2"/>
  <c r="BC1034" i="2"/>
  <c r="BD1034" i="2" s="1"/>
  <c r="BE1034" i="2" s="1"/>
  <c r="BC958" i="2"/>
  <c r="BD958" i="2" s="1"/>
  <c r="BE958" i="2" s="1"/>
  <c r="BB946" i="2"/>
  <c r="BC923" i="2"/>
  <c r="BD923" i="2" s="1"/>
  <c r="BE923" i="2" s="1"/>
  <c r="BC911" i="2"/>
  <c r="BD911" i="2" s="1"/>
  <c r="BE911" i="2" s="1"/>
  <c r="BB895" i="2"/>
  <c r="BC827" i="2"/>
  <c r="BD827" i="2" s="1"/>
  <c r="BE827" i="2" s="1"/>
  <c r="BB845" i="2"/>
  <c r="BB783" i="2"/>
  <c r="BC908" i="2"/>
  <c r="BD908" i="2" s="1"/>
  <c r="BE908" i="2" s="1"/>
  <c r="BB904" i="2"/>
  <c r="BB840" i="2"/>
  <c r="BC877" i="2"/>
  <c r="BD877" i="2" s="1"/>
  <c r="BE877" i="2" s="1"/>
  <c r="BC889" i="2"/>
  <c r="BD889" i="2" s="1"/>
  <c r="BE889" i="2" s="1"/>
  <c r="BB930" i="2"/>
  <c r="BB889" i="2"/>
  <c r="BB866" i="2"/>
  <c r="BC873" i="2"/>
  <c r="BD873" i="2" s="1"/>
  <c r="BE873" i="2" s="1"/>
  <c r="BB873" i="2"/>
  <c r="BB913" i="2"/>
  <c r="BC826" i="2"/>
  <c r="BD826" i="2" s="1"/>
  <c r="BE826" i="2" s="1"/>
  <c r="BB762" i="2"/>
  <c r="BB813" i="2"/>
  <c r="BC740" i="2"/>
  <c r="BD740" i="2" s="1"/>
  <c r="BE740" i="2" s="1"/>
  <c r="BC777" i="2"/>
  <c r="BD777" i="2" s="1"/>
  <c r="BE777" i="2" s="1"/>
  <c r="BC819" i="2"/>
  <c r="BD819" i="2" s="1"/>
  <c r="BE819" i="2" s="1"/>
  <c r="BB741" i="2"/>
  <c r="BC805" i="2"/>
  <c r="BD805" i="2" s="1"/>
  <c r="BE805" i="2" s="1"/>
  <c r="BC829" i="2"/>
  <c r="BD829" i="2" s="1"/>
  <c r="BE829" i="2" s="1"/>
  <c r="BC756" i="2"/>
  <c r="BD756" i="2" s="1"/>
  <c r="BE756" i="2" s="1"/>
  <c r="BC769" i="2"/>
  <c r="BD769" i="2" s="1"/>
  <c r="BE769" i="2" s="1"/>
  <c r="BB799" i="2"/>
  <c r="BC849" i="2"/>
  <c r="BD849" i="2" s="1"/>
  <c r="BE849" i="2" s="1"/>
  <c r="BC771" i="2"/>
  <c r="BD771" i="2" s="1"/>
  <c r="BE771" i="2" s="1"/>
  <c r="BC772" i="2"/>
  <c r="BD772" i="2" s="1"/>
  <c r="BE772" i="2" s="1"/>
  <c r="BC818" i="2"/>
  <c r="BD818" i="2" s="1"/>
  <c r="BE818" i="2" s="1"/>
  <c r="BB748" i="2"/>
  <c r="BB677" i="2"/>
  <c r="BB800" i="2"/>
  <c r="BC624" i="2"/>
  <c r="BD624" i="2" s="1"/>
  <c r="BE624" i="2" s="1"/>
  <c r="BC695" i="2"/>
  <c r="BD695" i="2" s="1"/>
  <c r="BE695" i="2" s="1"/>
  <c r="BB630" i="2"/>
  <c r="BB698" i="2"/>
  <c r="BC637" i="2"/>
  <c r="BD637" i="2" s="1"/>
  <c r="BE637" i="2" s="1"/>
  <c r="BC605" i="2"/>
  <c r="BD605" i="2" s="1"/>
  <c r="BE605" i="2" s="1"/>
  <c r="BC593" i="2"/>
  <c r="BD593" i="2" s="1"/>
  <c r="BE593" i="2" s="1"/>
  <c r="BC581" i="2"/>
  <c r="BD581" i="2" s="1"/>
  <c r="BE581" i="2" s="1"/>
  <c r="BC569" i="2"/>
  <c r="BD569" i="2" s="1"/>
  <c r="BE569" i="2" s="1"/>
  <c r="BC557" i="2"/>
  <c r="BD557" i="2" s="1"/>
  <c r="BE557" i="2" s="1"/>
  <c r="BB637" i="2"/>
  <c r="BB606" i="2"/>
  <c r="BC662" i="2"/>
  <c r="BD662" i="2" s="1"/>
  <c r="BE662" i="2" s="1"/>
  <c r="BC733" i="2"/>
  <c r="BD733" i="2" s="1"/>
  <c r="BE733" i="2" s="1"/>
  <c r="BB688" i="2"/>
  <c r="BC617" i="2"/>
  <c r="BD617" i="2" s="1"/>
  <c r="BE617" i="2" s="1"/>
  <c r="BB702" i="2"/>
  <c r="BC618" i="2"/>
  <c r="BD618" i="2" s="1"/>
  <c r="BE618" i="2" s="1"/>
  <c r="BB657" i="2"/>
  <c r="BB731" i="2"/>
  <c r="BC640" i="2"/>
  <c r="BD640" i="2" s="1"/>
  <c r="BE640" i="2" s="1"/>
  <c r="BC712" i="2"/>
  <c r="BD712" i="2" s="1"/>
  <c r="BE712" i="2" s="1"/>
  <c r="BC1599" i="2"/>
  <c r="BD1599" i="2" s="1"/>
  <c r="BE1599" i="2" s="1"/>
  <c r="BB1605" i="2"/>
  <c r="BC1618" i="2"/>
  <c r="BD1618" i="2" s="1"/>
  <c r="BE1618" i="2" s="1"/>
  <c r="BC1619" i="2"/>
  <c r="BD1619" i="2" s="1"/>
  <c r="BE1619" i="2" s="1"/>
  <c r="BC1614" i="2"/>
  <c r="BD1614" i="2" s="1"/>
  <c r="BE1614" i="2" s="1"/>
  <c r="BC1579" i="2"/>
  <c r="BD1579" i="2" s="1"/>
  <c r="BE1579" i="2" s="1"/>
  <c r="BB1585" i="2"/>
  <c r="BB1574" i="2"/>
  <c r="BC1531" i="2"/>
  <c r="BD1531" i="2" s="1"/>
  <c r="BE1531" i="2" s="1"/>
  <c r="BB1548" i="2"/>
  <c r="BB1562" i="2"/>
  <c r="BC1589" i="2"/>
  <c r="BD1589" i="2" s="1"/>
  <c r="BE1589" i="2" s="1"/>
  <c r="BB1499" i="2"/>
  <c r="BB1563" i="2"/>
  <c r="BB1529" i="2"/>
  <c r="BC1505" i="2"/>
  <c r="BD1505" i="2" s="1"/>
  <c r="BE1505" i="2" s="1"/>
  <c r="BC1535" i="2"/>
  <c r="BD1535" i="2" s="1"/>
  <c r="BE1535" i="2" s="1"/>
  <c r="BC1510" i="2"/>
  <c r="BD1510" i="2" s="1"/>
  <c r="BE1510" i="2" s="1"/>
  <c r="BB1528" i="2"/>
  <c r="BC1476" i="2"/>
  <c r="BD1476" i="2" s="1"/>
  <c r="BE1476" i="2" s="1"/>
  <c r="BB1457" i="2"/>
  <c r="BC1534" i="2"/>
  <c r="BD1534" i="2" s="1"/>
  <c r="BE1534" i="2" s="1"/>
  <c r="BC1447" i="2"/>
  <c r="BD1447" i="2" s="1"/>
  <c r="BE1447" i="2" s="1"/>
  <c r="BC1435" i="2"/>
  <c r="BD1435" i="2" s="1"/>
  <c r="BE1435" i="2" s="1"/>
  <c r="BB1493" i="2"/>
  <c r="BB1486" i="2"/>
  <c r="BC1538" i="2"/>
  <c r="BD1538" i="2" s="1"/>
  <c r="BE1538" i="2" s="1"/>
  <c r="BC1479" i="2"/>
  <c r="BD1479" i="2" s="1"/>
  <c r="BE1479" i="2" s="1"/>
  <c r="BC1428" i="2"/>
  <c r="BD1428" i="2" s="1"/>
  <c r="BE1428" i="2" s="1"/>
  <c r="BB1416" i="2"/>
  <c r="BB1386" i="2"/>
  <c r="BB1479" i="2"/>
  <c r="BB1450" i="2"/>
  <c r="CP49" i="2" s="1"/>
  <c r="BC1456" i="2"/>
  <c r="BD1456" i="2" s="1"/>
  <c r="BE1456" i="2" s="1"/>
  <c r="BC1411" i="2"/>
  <c r="BD1411" i="2" s="1"/>
  <c r="BE1411" i="2" s="1"/>
  <c r="BB1411" i="2"/>
  <c r="BC1414" i="2"/>
  <c r="BD1414" i="2" s="1"/>
  <c r="BE1414" i="2" s="1"/>
  <c r="BB1426" i="2"/>
  <c r="BB1364" i="2"/>
  <c r="BB1353" i="2"/>
  <c r="BB1281" i="2"/>
  <c r="BB1415" i="2"/>
  <c r="BC1308" i="2"/>
  <c r="BD1308" i="2" s="1"/>
  <c r="BE1308" i="2" s="1"/>
  <c r="BB1368" i="2"/>
  <c r="BB1345" i="2"/>
  <c r="BB1403" i="2"/>
  <c r="BC1361" i="2"/>
  <c r="BD1361" i="2" s="1"/>
  <c r="BE1361" i="2" s="1"/>
  <c r="BC1400" i="2"/>
  <c r="BD1400" i="2" s="1"/>
  <c r="BE1400" i="2" s="1"/>
  <c r="BC1327" i="2"/>
  <c r="BD1327" i="2" s="1"/>
  <c r="BE1327" i="2" s="1"/>
  <c r="BC1279" i="2"/>
  <c r="BD1279" i="2" s="1"/>
  <c r="BE1279" i="2" s="1"/>
  <c r="BB1310" i="2"/>
  <c r="BC1232" i="2"/>
  <c r="BD1232" i="2" s="1"/>
  <c r="BE1232" i="2" s="1"/>
  <c r="BB1280" i="2"/>
  <c r="BC1258" i="2"/>
  <c r="BD1258" i="2" s="1"/>
  <c r="BE1258" i="2" s="1"/>
  <c r="BB1294" i="2"/>
  <c r="BC1272" i="2"/>
  <c r="BD1272" i="2" s="1"/>
  <c r="BE1272" i="2" s="1"/>
  <c r="BC1273" i="2"/>
  <c r="BD1273" i="2" s="1"/>
  <c r="BB1273" i="2"/>
  <c r="CP55" i="2" s="1"/>
  <c r="BC1326" i="2"/>
  <c r="BD1326" i="2" s="1"/>
  <c r="BE1326" i="2" s="1"/>
  <c r="BC1313" i="2"/>
  <c r="BD1313" i="2" s="1"/>
  <c r="BE1313" i="2" s="1"/>
  <c r="BC1229" i="2"/>
  <c r="BD1229" i="2" s="1"/>
  <c r="BE1229" i="2" s="1"/>
  <c r="BC1235" i="2"/>
  <c r="BD1235" i="2" s="1"/>
  <c r="BE1235" i="2" s="1"/>
  <c r="BB1165" i="2"/>
  <c r="BB1195" i="2"/>
  <c r="BB1292" i="2"/>
  <c r="BC1180" i="2"/>
  <c r="BD1180" i="2" s="1"/>
  <c r="BE1180" i="2" s="1"/>
  <c r="BB1202" i="2"/>
  <c r="BB1132" i="2"/>
  <c r="BC1305" i="2"/>
  <c r="BD1305" i="2" s="1"/>
  <c r="BE1305" i="2" s="1"/>
  <c r="BC1262" i="2"/>
  <c r="BD1262" i="2" s="1"/>
  <c r="BE1262" i="2" s="1"/>
  <c r="BC1319" i="2"/>
  <c r="BD1319" i="2" s="1"/>
  <c r="BE1319" i="2" s="1"/>
  <c r="BC1192" i="2"/>
  <c r="BD1192" i="2" s="1"/>
  <c r="BE1192" i="2" s="1"/>
  <c r="BB1192" i="2"/>
  <c r="BC1186" i="2"/>
  <c r="BD1186" i="2" s="1"/>
  <c r="BE1186" i="2" s="1"/>
  <c r="BB1193" i="2"/>
  <c r="BB1187" i="2"/>
  <c r="BC1148" i="2"/>
  <c r="BD1148" i="2" s="1"/>
  <c r="BE1148" i="2" s="1"/>
  <c r="BB1128" i="2"/>
  <c r="BC1175" i="2"/>
  <c r="BD1175" i="2" s="1"/>
  <c r="BE1175" i="2" s="1"/>
  <c r="BB1171" i="2"/>
  <c r="BB1182" i="2"/>
  <c r="BC1261" i="2"/>
  <c r="BD1261" i="2" s="1"/>
  <c r="BE1261" i="2" s="1"/>
  <c r="BB1134" i="2"/>
  <c r="BC1127" i="2"/>
  <c r="BD1127" i="2" s="1"/>
  <c r="BE1127" i="2" s="1"/>
  <c r="BB1090" i="2"/>
  <c r="BB1026" i="2"/>
  <c r="BC1016" i="2"/>
  <c r="BD1016" i="2" s="1"/>
  <c r="BE1016" i="2" s="1"/>
  <c r="BC1065" i="2"/>
  <c r="BD1065" i="2" s="1"/>
  <c r="BE1065" i="2" s="1"/>
  <c r="BB1091" i="2"/>
  <c r="BB1029" i="2"/>
  <c r="BC1067" i="2"/>
  <c r="BD1067" i="2" s="1"/>
  <c r="BE1067" i="2" s="1"/>
  <c r="BC1068" i="2"/>
  <c r="BD1068" i="2" s="1"/>
  <c r="BE1068" i="2" s="1"/>
  <c r="BB1079" i="2"/>
  <c r="BC1104" i="2"/>
  <c r="BD1104" i="2" s="1"/>
  <c r="BE1104" i="2" s="1"/>
  <c r="BC1101" i="2"/>
  <c r="BD1101" i="2" s="1"/>
  <c r="BE1101" i="2" s="1"/>
  <c r="BB1097" i="2"/>
  <c r="BB1081" i="2"/>
  <c r="BB1012" i="2"/>
  <c r="BB980" i="2"/>
  <c r="BC1031" i="2"/>
  <c r="BD1031" i="2" s="1"/>
  <c r="BE1031" i="2" s="1"/>
  <c r="BC1105" i="2"/>
  <c r="BD1105" i="2" s="1"/>
  <c r="BE1105" i="2" s="1"/>
  <c r="BC985" i="2"/>
  <c r="BD985" i="2" s="1"/>
  <c r="BE985" i="2" s="1"/>
  <c r="BC1007" i="2"/>
  <c r="BD1007" i="2" s="1"/>
  <c r="BE1007" i="2" s="1"/>
  <c r="BC1593" i="2"/>
  <c r="BD1593" i="2" s="1"/>
  <c r="BE1593" i="2" s="1"/>
  <c r="BB1599" i="2"/>
  <c r="BC1612" i="2"/>
  <c r="BD1612" i="2" s="1"/>
  <c r="BE1612" i="2" s="1"/>
  <c r="BC1613" i="2"/>
  <c r="BD1613" i="2" s="1"/>
  <c r="BE1613" i="2" s="1"/>
  <c r="BC1602" i="2"/>
  <c r="BD1602" i="2" s="1"/>
  <c r="BE1602" i="2" s="1"/>
  <c r="BC1569" i="2"/>
  <c r="BD1569" i="2" s="1"/>
  <c r="BE1569" i="2" s="1"/>
  <c r="BB1579" i="2"/>
  <c r="BB1566" i="2"/>
  <c r="BB1530" i="2"/>
  <c r="BB1544" i="2"/>
  <c r="BB1554" i="2"/>
  <c r="BB1570" i="2"/>
  <c r="BB1589" i="2"/>
  <c r="BB1555" i="2"/>
  <c r="BC1526" i="2"/>
  <c r="BD1526" i="2" s="1"/>
  <c r="BE1526" i="2" s="1"/>
  <c r="BC1499" i="2"/>
  <c r="BD1499" i="2" s="1"/>
  <c r="BE1499" i="2" s="1"/>
  <c r="BB1517" i="2"/>
  <c r="BC1506" i="2"/>
  <c r="BD1506" i="2" s="1"/>
  <c r="BE1506" i="2" s="1"/>
  <c r="BC1547" i="2"/>
  <c r="BD1547" i="2" s="1"/>
  <c r="BE1547" i="2" s="1"/>
  <c r="BC1466" i="2"/>
  <c r="BD1466" i="2" s="1"/>
  <c r="BE1466" i="2" s="1"/>
  <c r="BC1583" i="2"/>
  <c r="BD1583" i="2" s="1"/>
  <c r="BE1583" i="2" s="1"/>
  <c r="BB1519" i="2"/>
  <c r="BC1446" i="2"/>
  <c r="BD1446" i="2" s="1"/>
  <c r="BE1446" i="2" s="1"/>
  <c r="BC1434" i="2"/>
  <c r="BD1434" i="2" s="1"/>
  <c r="BE1434" i="2" s="1"/>
  <c r="BB1481" i="2"/>
  <c r="BC1482" i="2"/>
  <c r="BD1482" i="2" s="1"/>
  <c r="BE1482" i="2" s="1"/>
  <c r="BB1507" i="2"/>
  <c r="BC1475" i="2"/>
  <c r="BD1475" i="2" s="1"/>
  <c r="BE1475" i="2" s="1"/>
  <c r="BC1422" i="2"/>
  <c r="BD1422" i="2" s="1"/>
  <c r="BE1422" i="2" s="1"/>
  <c r="BC1407" i="2"/>
  <c r="BD1407" i="2" s="1"/>
  <c r="BE1407" i="2" s="1"/>
  <c r="BB1385" i="2"/>
  <c r="BC1452" i="2"/>
  <c r="BD1452" i="2" s="1"/>
  <c r="BE1452" i="2" s="1"/>
  <c r="BB1448" i="2"/>
  <c r="BC1424" i="2"/>
  <c r="BD1424" i="2" s="1"/>
  <c r="BE1424" i="2" s="1"/>
  <c r="BB1410" i="2"/>
  <c r="BB1444" i="2"/>
  <c r="BB1413" i="2"/>
  <c r="BB1420" i="2"/>
  <c r="BC1353" i="2"/>
  <c r="BD1353" i="2" s="1"/>
  <c r="BE1353" i="2" s="1"/>
  <c r="BC1342" i="2"/>
  <c r="BD1342" i="2" s="1"/>
  <c r="BE1342" i="2" s="1"/>
  <c r="BB1447" i="2"/>
  <c r="BB1404" i="2"/>
  <c r="BB1307" i="2"/>
  <c r="BC1357" i="2"/>
  <c r="BD1357" i="2" s="1"/>
  <c r="BE1357" i="2" s="1"/>
  <c r="BB1455" i="2"/>
  <c r="BC1372" i="2"/>
  <c r="BD1372" i="2" s="1"/>
  <c r="BE1372" i="2" s="1"/>
  <c r="BB1360" i="2"/>
  <c r="BB1398" i="2"/>
  <c r="BB1326" i="2"/>
  <c r="BB1278" i="2"/>
  <c r="BC1293" i="2"/>
  <c r="BD1293" i="2" s="1"/>
  <c r="BE1293" i="2" s="1"/>
  <c r="BB1231" i="2"/>
  <c r="BC1269" i="2"/>
  <c r="BD1269" i="2" s="1"/>
  <c r="BE1269" i="2" s="1"/>
  <c r="BB1257" i="2"/>
  <c r="BC1290" i="2"/>
  <c r="BD1290" i="2" s="1"/>
  <c r="BE1290" i="2" s="1"/>
  <c r="BB1271" i="2"/>
  <c r="BB1272" i="2"/>
  <c r="BB1336" i="2"/>
  <c r="BB1321" i="2"/>
  <c r="BB1309" i="2"/>
  <c r="BC1228" i="2"/>
  <c r="BD1228" i="2" s="1"/>
  <c r="BE1228" i="2" s="1"/>
  <c r="BB1228" i="2"/>
  <c r="BC1278" i="2"/>
  <c r="BD1278" i="2" s="1"/>
  <c r="BE1278" i="2" s="1"/>
  <c r="BB1189" i="2"/>
  <c r="BB1277" i="2"/>
  <c r="BB1179" i="2"/>
  <c r="BB1196" i="2"/>
  <c r="BC1121" i="2"/>
  <c r="BD1121" i="2" s="1"/>
  <c r="BE1121" i="2" s="1"/>
  <c r="BC1252" i="2"/>
  <c r="BD1252" i="2" s="1"/>
  <c r="BE1252" i="2" s="1"/>
  <c r="BC1242" i="2"/>
  <c r="BD1242" i="2" s="1"/>
  <c r="BE1242" i="2" s="1"/>
  <c r="BB1262" i="2"/>
  <c r="BC1184" i="2"/>
  <c r="BD1184" i="2" s="1"/>
  <c r="BE1184" i="2" s="1"/>
  <c r="BC1185" i="2"/>
  <c r="BD1185" i="2" s="1"/>
  <c r="BE1185" i="2" s="1"/>
  <c r="BB1185" i="2"/>
  <c r="BB1313" i="2"/>
  <c r="BC1176" i="2"/>
  <c r="BD1176" i="2" s="1"/>
  <c r="BE1176" i="2" s="1"/>
  <c r="BB1138" i="2"/>
  <c r="BB1124" i="2"/>
  <c r="BC1173" i="2"/>
  <c r="BD1173" i="2" s="1"/>
  <c r="BE1173" i="2" s="1"/>
  <c r="BB1169" i="2"/>
  <c r="BC1162" i="2"/>
  <c r="BD1162" i="2" s="1"/>
  <c r="BE1162" i="2" s="1"/>
  <c r="BC1165" i="2"/>
  <c r="BD1165" i="2" s="1"/>
  <c r="BE1165" i="2" s="1"/>
  <c r="BB1122" i="2"/>
  <c r="BC1123" i="2"/>
  <c r="BD1123" i="2" s="1"/>
  <c r="BE1123" i="2" s="1"/>
  <c r="BB1086" i="2"/>
  <c r="BB1181" i="2"/>
  <c r="BB1015" i="2"/>
  <c r="BC1587" i="2"/>
  <c r="BD1587" i="2" s="1"/>
  <c r="BE1587" i="2" s="1"/>
  <c r="BB1593" i="2"/>
  <c r="BC1606" i="2"/>
  <c r="BD1606" i="2" s="1"/>
  <c r="BE1606" i="2" s="1"/>
  <c r="BC1607" i="2"/>
  <c r="BD1607" i="2" s="1"/>
  <c r="BE1607" i="2" s="1"/>
  <c r="BB1626" i="2"/>
  <c r="BB1568" i="2"/>
  <c r="BC1570" i="2"/>
  <c r="BD1570" i="2" s="1"/>
  <c r="BE1570" i="2" s="1"/>
  <c r="BC1530" i="2"/>
  <c r="BD1530" i="2" s="1"/>
  <c r="BE1530" i="2" s="1"/>
  <c r="BC1519" i="2"/>
  <c r="BD1519" i="2" s="1"/>
  <c r="BE1519" i="2" s="1"/>
  <c r="BB1604" i="2"/>
  <c r="BC1545" i="2"/>
  <c r="BD1545" i="2" s="1"/>
  <c r="BE1545" i="2" s="1"/>
  <c r="BC1565" i="2"/>
  <c r="BD1565" i="2" s="1"/>
  <c r="BE1565" i="2" s="1"/>
  <c r="BB1565" i="2"/>
  <c r="BC1550" i="2"/>
  <c r="BD1550" i="2" s="1"/>
  <c r="BE1550" i="2" s="1"/>
  <c r="BC1513" i="2"/>
  <c r="BD1513" i="2" s="1"/>
  <c r="BE1513" i="2" s="1"/>
  <c r="BC1493" i="2"/>
  <c r="BD1493" i="2" s="1"/>
  <c r="BE1493" i="2" s="1"/>
  <c r="BC1514" i="2"/>
  <c r="BD1514" i="2" s="1"/>
  <c r="BE1514" i="2" s="1"/>
  <c r="BB1576" i="2"/>
  <c r="BB1525" i="2"/>
  <c r="BC1457" i="2"/>
  <c r="BD1457" i="2" s="1"/>
  <c r="BE1457" i="2" s="1"/>
  <c r="BB1542" i="2"/>
  <c r="BC1508" i="2"/>
  <c r="BD1508" i="2" s="1"/>
  <c r="BE1508" i="2" s="1"/>
  <c r="BC1445" i="2"/>
  <c r="BD1445" i="2" s="1"/>
  <c r="BE1445" i="2" s="1"/>
  <c r="BC1433" i="2"/>
  <c r="BD1433" i="2" s="1"/>
  <c r="BE1433" i="2" s="1"/>
  <c r="BB1477" i="2"/>
  <c r="BC1478" i="2"/>
  <c r="BD1478" i="2" s="1"/>
  <c r="BE1478" i="2" s="1"/>
  <c r="BB1489" i="2"/>
  <c r="BB1470" i="2"/>
  <c r="BC1416" i="2"/>
  <c r="BD1416" i="2" s="1"/>
  <c r="BE1416" i="2" s="1"/>
  <c r="BB1406" i="2"/>
  <c r="BB1384" i="2"/>
  <c r="BC1450" i="2"/>
  <c r="BD1450" i="2" s="1"/>
  <c r="BB1437" i="2"/>
  <c r="BC1418" i="2"/>
  <c r="BD1418" i="2" s="1"/>
  <c r="BE1418" i="2" s="1"/>
  <c r="BC1399" i="2"/>
  <c r="BD1399" i="2" s="1"/>
  <c r="BE1399" i="2" s="1"/>
  <c r="BB1425" i="2"/>
  <c r="CP50" i="2" s="1"/>
  <c r="BB1504" i="2"/>
  <c r="BB1414" i="2"/>
  <c r="BB1352" i="2"/>
  <c r="BB1341" i="2"/>
  <c r="BC1415" i="2"/>
  <c r="BD1415" i="2" s="1"/>
  <c r="BE1415" i="2" s="1"/>
  <c r="BC1368" i="2"/>
  <c r="BD1368" i="2" s="1"/>
  <c r="BE1368" i="2" s="1"/>
  <c r="BC1296" i="2"/>
  <c r="BD1296" i="2" s="1"/>
  <c r="BE1296" i="2" s="1"/>
  <c r="BB1356" i="2"/>
  <c r="BC1427" i="2"/>
  <c r="BD1427" i="2" s="1"/>
  <c r="BE1427" i="2" s="1"/>
  <c r="BB1371" i="2"/>
  <c r="BC1349" i="2"/>
  <c r="BD1349" i="2" s="1"/>
  <c r="BE1349" i="2" s="1"/>
  <c r="BC1387" i="2"/>
  <c r="BD1387" i="2" s="1"/>
  <c r="BE1387" i="2" s="1"/>
  <c r="BC1315" i="2"/>
  <c r="BD1315" i="2" s="1"/>
  <c r="BE1315" i="2" s="1"/>
  <c r="BC1267" i="2"/>
  <c r="BD1267" i="2" s="1"/>
  <c r="BE1267" i="2" s="1"/>
  <c r="BC1289" i="2"/>
  <c r="BD1289" i="2" s="1"/>
  <c r="BE1289" i="2" s="1"/>
  <c r="BB1363" i="2"/>
  <c r="BB1375" i="2"/>
  <c r="BC1246" i="2"/>
  <c r="BD1246" i="2" s="1"/>
  <c r="BE1246" i="2" s="1"/>
  <c r="BC1286" i="2"/>
  <c r="BD1286" i="2" s="1"/>
  <c r="BE1286" i="2" s="1"/>
  <c r="BC1260" i="2"/>
  <c r="BD1260" i="2" s="1"/>
  <c r="BE1260" i="2" s="1"/>
  <c r="BC1405" i="2"/>
  <c r="BD1405" i="2" s="1"/>
  <c r="BE1405" i="2" s="1"/>
  <c r="BC1321" i="2"/>
  <c r="BD1321" i="2" s="1"/>
  <c r="BE1321" i="2" s="1"/>
  <c r="BC1309" i="2"/>
  <c r="BD1309" i="2" s="1"/>
  <c r="BE1309" i="2" s="1"/>
  <c r="BC1292" i="2"/>
  <c r="BD1292" i="2" s="1"/>
  <c r="BE1292" i="2" s="1"/>
  <c r="BC1227" i="2"/>
  <c r="BD1227" i="2" s="1"/>
  <c r="BE1227" i="2" s="1"/>
  <c r="BB1224" i="2"/>
  <c r="BB1268" i="2"/>
  <c r="BC1179" i="2"/>
  <c r="BD1179" i="2" s="1"/>
  <c r="BE1179" i="2" s="1"/>
  <c r="BC1257" i="2"/>
  <c r="BD1257" i="2" s="1"/>
  <c r="BE1257" i="2" s="1"/>
  <c r="BC1168" i="2"/>
  <c r="BD1168" i="2" s="1"/>
  <c r="BE1168" i="2" s="1"/>
  <c r="BB1190" i="2"/>
  <c r="BB1120" i="2"/>
  <c r="BB1247" i="2"/>
  <c r="BB1239" i="2"/>
  <c r="BB1260" i="2"/>
  <c r="BC1301" i="2"/>
  <c r="BD1301" i="2" s="1"/>
  <c r="BE1301" i="2" s="1"/>
  <c r="BB1184" i="2"/>
  <c r="BB1253" i="2"/>
  <c r="BC1297" i="2"/>
  <c r="BD1297" i="2" s="1"/>
  <c r="BE1297" i="2" s="1"/>
  <c r="BB1175" i="2"/>
  <c r="BB1135" i="2"/>
  <c r="BC1117" i="2"/>
  <c r="BD1117" i="2" s="1"/>
  <c r="BE1117" i="2" s="1"/>
  <c r="BC1171" i="2"/>
  <c r="BD1171" i="2" s="1"/>
  <c r="BE1171" i="2" s="1"/>
  <c r="BB1152" i="2"/>
  <c r="BC1159" i="2"/>
  <c r="BD1159" i="2" s="1"/>
  <c r="BE1159" i="2" s="1"/>
  <c r="BC1153" i="2"/>
  <c r="BD1153" i="2" s="1"/>
  <c r="BE1153" i="2" s="1"/>
  <c r="BB1176" i="2"/>
  <c r="BC1113" i="2"/>
  <c r="BD1113" i="2" s="1"/>
  <c r="BE1113" i="2" s="1"/>
  <c r="BB1082" i="2"/>
  <c r="BC1076" i="2"/>
  <c r="BD1076" i="2" s="1"/>
  <c r="BE1076" i="2" s="1"/>
  <c r="BC1004" i="2"/>
  <c r="BD1004" i="2" s="1"/>
  <c r="BE1004" i="2" s="1"/>
  <c r="BC1053" i="2"/>
  <c r="BD1053" i="2" s="1"/>
  <c r="BE1053" i="2" s="1"/>
  <c r="BB1083" i="2"/>
  <c r="BB1017" i="2"/>
  <c r="BC1055" i="2"/>
  <c r="BD1055" i="2" s="1"/>
  <c r="BE1055" i="2" s="1"/>
  <c r="BC1056" i="2"/>
  <c r="BD1056" i="2" s="1"/>
  <c r="BE1056" i="2" s="1"/>
  <c r="BB1068" i="2"/>
  <c r="BC1070" i="2"/>
  <c r="BD1070" i="2" s="1"/>
  <c r="BC1093" i="2"/>
  <c r="BD1093" i="2" s="1"/>
  <c r="BE1093" i="2" s="1"/>
  <c r="BB1089" i="2"/>
  <c r="BB1072" i="2"/>
  <c r="BB1000" i="2"/>
  <c r="BC1581" i="2"/>
  <c r="BD1581" i="2" s="1"/>
  <c r="BE1581" i="2" s="1"/>
  <c r="BB1587" i="2"/>
  <c r="BC1600" i="2"/>
  <c r="BD1600" i="2" s="1"/>
  <c r="BE1600" i="2" s="1"/>
  <c r="BC1601" i="2"/>
  <c r="BD1601" i="2" s="1"/>
  <c r="BE1601" i="2" s="1"/>
  <c r="BB1614" i="2"/>
  <c r="BC1557" i="2"/>
  <c r="BD1557" i="2" s="1"/>
  <c r="BE1557" i="2" s="1"/>
  <c r="BB1569" i="2"/>
  <c r="BB1610" i="2"/>
  <c r="BB1518" i="2"/>
  <c r="BB1600" i="2"/>
  <c r="BB1628" i="2"/>
  <c r="BB1552" i="2"/>
  <c r="BC1560" i="2"/>
  <c r="BD1560" i="2" s="1"/>
  <c r="BE1560" i="2" s="1"/>
  <c r="BB1538" i="2"/>
  <c r="BB1498" i="2"/>
  <c r="BC1484" i="2"/>
  <c r="BD1484" i="2" s="1"/>
  <c r="BE1484" i="2" s="1"/>
  <c r="BB1500" i="2"/>
  <c r="BB1533" i="2"/>
  <c r="BC1522" i="2"/>
  <c r="BD1522" i="2" s="1"/>
  <c r="BE1522" i="2" s="1"/>
  <c r="BB1456" i="2"/>
  <c r="BC1511" i="2"/>
  <c r="BD1511" i="2" s="1"/>
  <c r="BE1511" i="2" s="1"/>
  <c r="BB1501" i="2"/>
  <c r="BC1444" i="2"/>
  <c r="BD1444" i="2" s="1"/>
  <c r="BE1444" i="2" s="1"/>
  <c r="BC1432" i="2"/>
  <c r="BD1432" i="2" s="1"/>
  <c r="BE1432" i="2" s="1"/>
  <c r="BC1473" i="2"/>
  <c r="BD1473" i="2" s="1"/>
  <c r="BE1473" i="2" s="1"/>
  <c r="BC1469" i="2"/>
  <c r="BD1469" i="2" s="1"/>
  <c r="BE1469" i="2" s="1"/>
  <c r="BC1470" i="2"/>
  <c r="BD1470" i="2" s="1"/>
  <c r="BE1470" i="2" s="1"/>
  <c r="BB1464" i="2"/>
  <c r="BC1406" i="2"/>
  <c r="BD1406" i="2" s="1"/>
  <c r="BE1406" i="2" s="1"/>
  <c r="BC1395" i="2"/>
  <c r="BD1395" i="2" s="1"/>
  <c r="BE1395" i="2" s="1"/>
  <c r="BB1383" i="2"/>
  <c r="BB1443" i="2"/>
  <c r="BB1433" i="2"/>
  <c r="BC1410" i="2"/>
  <c r="BD1410" i="2" s="1"/>
  <c r="BE1410" i="2" s="1"/>
  <c r="BB1512" i="2"/>
  <c r="BB1419" i="2"/>
  <c r="BC1492" i="2"/>
  <c r="BD1492" i="2" s="1"/>
  <c r="BE1492" i="2" s="1"/>
  <c r="BC1403" i="2"/>
  <c r="BD1403" i="2" s="1"/>
  <c r="BE1403" i="2" s="1"/>
  <c r="BC1341" i="2"/>
  <c r="BD1341" i="2" s="1"/>
  <c r="BE1341" i="2" s="1"/>
  <c r="BC1330" i="2"/>
  <c r="BD1330" i="2" s="1"/>
  <c r="BE1330" i="2" s="1"/>
  <c r="BC1404" i="2"/>
  <c r="BD1404" i="2" s="1"/>
  <c r="BE1404" i="2" s="1"/>
  <c r="BB1367" i="2"/>
  <c r="BB1295" i="2"/>
  <c r="BC1345" i="2"/>
  <c r="BD1345" i="2" s="1"/>
  <c r="BE1345" i="2" s="1"/>
  <c r="BB1401" i="2"/>
  <c r="BC1360" i="2"/>
  <c r="BD1360" i="2" s="1"/>
  <c r="BE1360" i="2" s="1"/>
  <c r="BB1348" i="2"/>
  <c r="BC1381" i="2"/>
  <c r="BD1381" i="2" s="1"/>
  <c r="BE1381" i="2" s="1"/>
  <c r="BB1314" i="2"/>
  <c r="BB1266" i="2"/>
  <c r="BC1285" i="2"/>
  <c r="BD1285" i="2" s="1"/>
  <c r="BE1285" i="2" s="1"/>
  <c r="BC1335" i="2"/>
  <c r="BD1335" i="2" s="1"/>
  <c r="BE1335" i="2" s="1"/>
  <c r="BC1340" i="2"/>
  <c r="BD1340" i="2" s="1"/>
  <c r="BE1340" i="2" s="1"/>
  <c r="BB1245" i="2"/>
  <c r="BC1271" i="2"/>
  <c r="BD1271" i="2" s="1"/>
  <c r="BE1271" i="2" s="1"/>
  <c r="BB1259" i="2"/>
  <c r="BC1336" i="2"/>
  <c r="BD1336" i="2" s="1"/>
  <c r="BE1336" i="2" s="1"/>
  <c r="BC1304" i="2"/>
  <c r="BD1304" i="2" s="1"/>
  <c r="BE1304" i="2" s="1"/>
  <c r="BB1304" i="2"/>
  <c r="BC1288" i="2"/>
  <c r="BD1288" i="2" s="1"/>
  <c r="BE1288" i="2" s="1"/>
  <c r="BC1226" i="2"/>
  <c r="BD1226" i="2" s="1"/>
  <c r="BE1226" i="2" s="1"/>
  <c r="BC1219" i="2"/>
  <c r="BD1219" i="2" s="1"/>
  <c r="BE1219" i="2" s="1"/>
  <c r="BC1254" i="2"/>
  <c r="BD1254" i="2" s="1"/>
  <c r="BE1254" i="2" s="1"/>
  <c r="BB1178" i="2"/>
  <c r="BB1249" i="2"/>
  <c r="BB1167" i="2"/>
  <c r="BC1181" i="2"/>
  <c r="BD1181" i="2" s="1"/>
  <c r="BE1181" i="2" s="1"/>
  <c r="BB1119" i="2"/>
  <c r="BC1239" i="2"/>
  <c r="BD1239" i="2" s="1"/>
  <c r="BE1239" i="2" s="1"/>
  <c r="BB1236" i="2"/>
  <c r="BC1250" i="2"/>
  <c r="BD1250" i="2" s="1"/>
  <c r="BE1250" i="2" s="1"/>
  <c r="BC1264" i="2"/>
  <c r="BD1264" i="2" s="1"/>
  <c r="BE1264" i="2" s="1"/>
  <c r="BB1284" i="2"/>
  <c r="BB1248" i="2"/>
  <c r="BC1266" i="2"/>
  <c r="BD1266" i="2" s="1"/>
  <c r="BE1266" i="2" s="1"/>
  <c r="BC1164" i="2"/>
  <c r="BD1164" i="2" s="1"/>
  <c r="BE1164" i="2" s="1"/>
  <c r="BC1132" i="2"/>
  <c r="BD1132" i="2" s="1"/>
  <c r="BE1132" i="2" s="1"/>
  <c r="BB1188" i="2"/>
  <c r="BB1155" i="2"/>
  <c r="BC1149" i="2"/>
  <c r="BD1149" i="2" s="1"/>
  <c r="BE1149" i="2" s="1"/>
  <c r="BB1149" i="2"/>
  <c r="BB1140" i="2"/>
  <c r="BC1174" i="2"/>
  <c r="BD1174" i="2" s="1"/>
  <c r="BE1174" i="2" s="1"/>
  <c r="BB1170" i="2"/>
  <c r="BC1075" i="2"/>
  <c r="BD1075" i="2" s="1"/>
  <c r="BE1075" i="2" s="1"/>
  <c r="BB1075" i="2"/>
  <c r="BB1003" i="2"/>
  <c r="BB1052" i="2"/>
  <c r="BC1078" i="2"/>
  <c r="BD1078" i="2" s="1"/>
  <c r="BE1078" i="2" s="1"/>
  <c r="BC1006" i="2"/>
  <c r="BD1006" i="2" s="1"/>
  <c r="BE1006" i="2" s="1"/>
  <c r="BB1054" i="2"/>
  <c r="BB1055" i="2"/>
  <c r="BC1057" i="2"/>
  <c r="BD1057" i="2" s="1"/>
  <c r="BE1057" i="2" s="1"/>
  <c r="BB1069" i="2"/>
  <c r="BC1089" i="2"/>
  <c r="BD1089" i="2" s="1"/>
  <c r="BE1089" i="2" s="1"/>
  <c r="BB1085" i="2"/>
  <c r="BC1061" i="2"/>
  <c r="BD1061" i="2" s="1"/>
  <c r="BE1061" i="2" s="1"/>
  <c r="BC1108" i="2"/>
  <c r="BD1108" i="2" s="1"/>
  <c r="BE1108" i="2" s="1"/>
  <c r="BC1573" i="2"/>
  <c r="BD1573" i="2" s="1"/>
  <c r="BE1573" i="2" s="1"/>
  <c r="BB1581" i="2"/>
  <c r="BC1594" i="2"/>
  <c r="BD1594" i="2" s="1"/>
  <c r="BE1594" i="2" s="1"/>
  <c r="BC1595" i="2"/>
  <c r="BD1595" i="2" s="1"/>
  <c r="BE1595" i="2" s="1"/>
  <c r="BC1627" i="2"/>
  <c r="BD1627" i="2" s="1"/>
  <c r="BE1627" i="2" s="1"/>
  <c r="BB1556" i="2"/>
  <c r="BC1558" i="2"/>
  <c r="BD1558" i="2" s="1"/>
  <c r="BE1558" i="2" s="1"/>
  <c r="BB1592" i="2"/>
  <c r="BB1632" i="2"/>
  <c r="BB1586" i="2"/>
  <c r="BC1596" i="2"/>
  <c r="BD1596" i="2" s="1"/>
  <c r="BE1596" i="2" s="1"/>
  <c r="BB1549" i="2"/>
  <c r="BB1602" i="2"/>
  <c r="BC1527" i="2"/>
  <c r="BD1527" i="2" s="1"/>
  <c r="BE1527" i="2" s="1"/>
  <c r="BB1492" i="2"/>
  <c r="BB1483" i="2"/>
  <c r="BC1486" i="2"/>
  <c r="BD1486" i="2" s="1"/>
  <c r="BE1486" i="2" s="1"/>
  <c r="BB1521" i="2"/>
  <c r="BB1503" i="2"/>
  <c r="BB1543" i="2"/>
  <c r="BC1501" i="2"/>
  <c r="BD1501" i="2" s="1"/>
  <c r="BE1501" i="2" s="1"/>
  <c r="BB1495" i="2"/>
  <c r="BC1443" i="2"/>
  <c r="BD1443" i="2" s="1"/>
  <c r="BE1443" i="2" s="1"/>
  <c r="BC1431" i="2"/>
  <c r="BD1431" i="2" s="1"/>
  <c r="BE1431" i="2" s="1"/>
  <c r="BC1468" i="2"/>
  <c r="BD1468" i="2" s="1"/>
  <c r="BE1468" i="2" s="1"/>
  <c r="BB1539" i="2"/>
  <c r="BC1464" i="2"/>
  <c r="BD1464" i="2" s="1"/>
  <c r="BE1464" i="2" s="1"/>
  <c r="BC1454" i="2"/>
  <c r="BD1454" i="2" s="1"/>
  <c r="BE1454" i="2" s="1"/>
  <c r="BB1405" i="2"/>
  <c r="BB1394" i="2"/>
  <c r="BB1382" i="2"/>
  <c r="BB1440" i="2"/>
  <c r="BB1429" i="2"/>
  <c r="BB1409" i="2"/>
  <c r="BB1460" i="2"/>
  <c r="BC1413" i="2"/>
  <c r="BD1413" i="2" s="1"/>
  <c r="BE1413" i="2" s="1"/>
  <c r="BB1469" i="2"/>
  <c r="BB1402" i="2"/>
  <c r="BB1340" i="2"/>
  <c r="BB1329" i="2"/>
  <c r="BC1389" i="2"/>
  <c r="BD1389" i="2" s="1"/>
  <c r="BE1389" i="2" s="1"/>
  <c r="BC1356" i="2"/>
  <c r="BD1356" i="2" s="1"/>
  <c r="BE1356" i="2" s="1"/>
  <c r="BC1284" i="2"/>
  <c r="BD1284" i="2" s="1"/>
  <c r="BE1284" i="2" s="1"/>
  <c r="BB1421" i="2"/>
  <c r="BC1385" i="2"/>
  <c r="BD1385" i="2" s="1"/>
  <c r="BE1385" i="2" s="1"/>
  <c r="BB1359" i="2"/>
  <c r="BC1398" i="2"/>
  <c r="BD1398" i="2" s="1"/>
  <c r="BE1398" i="2" s="1"/>
  <c r="BC1375" i="2"/>
  <c r="BD1375" i="2" s="1"/>
  <c r="BE1375" i="2" s="1"/>
  <c r="BC1352" i="2"/>
  <c r="BD1352" i="2" s="1"/>
  <c r="BE1352" i="2" s="1"/>
  <c r="BC1255" i="2"/>
  <c r="BD1255" i="2" s="1"/>
  <c r="BE1255" i="2" s="1"/>
  <c r="BC1280" i="2"/>
  <c r="BD1280" i="2" s="1"/>
  <c r="BE1280" i="2" s="1"/>
  <c r="BB1327" i="2"/>
  <c r="BB1335" i="2"/>
  <c r="BC1234" i="2"/>
  <c r="BD1234" i="2" s="1"/>
  <c r="BE1234" i="2" s="1"/>
  <c r="BB1270" i="2"/>
  <c r="BC1328" i="2"/>
  <c r="BD1328" i="2" s="1"/>
  <c r="BE1328" i="2" s="1"/>
  <c r="BC1331" i="2"/>
  <c r="BD1331" i="2" s="1"/>
  <c r="BE1331" i="2" s="1"/>
  <c r="BC1300" i="2"/>
  <c r="BD1300" i="2" s="1"/>
  <c r="BE1300" i="2" s="1"/>
  <c r="BB1300" i="2"/>
  <c r="BC1277" i="2"/>
  <c r="BD1277" i="2" s="1"/>
  <c r="BE1277" i="2" s="1"/>
  <c r="BC1225" i="2"/>
  <c r="BD1225" i="2" s="1"/>
  <c r="BE1225" i="2" s="1"/>
  <c r="BC1213" i="2"/>
  <c r="BD1213" i="2" s="1"/>
  <c r="BE1213" i="2" s="1"/>
  <c r="BC1249" i="2"/>
  <c r="BD1249" i="2" s="1"/>
  <c r="BE1249" i="2" s="1"/>
  <c r="BC1167" i="2"/>
  <c r="BD1167" i="2" s="1"/>
  <c r="BE1167" i="2" s="1"/>
  <c r="BB1244" i="2"/>
  <c r="BC1324" i="2"/>
  <c r="BD1324" i="2" s="1"/>
  <c r="BE1324" i="2" s="1"/>
  <c r="BB1180" i="2"/>
  <c r="BB1118" i="2"/>
  <c r="BC1236" i="2"/>
  <c r="BD1236" i="2" s="1"/>
  <c r="BE1236" i="2" s="1"/>
  <c r="BC1233" i="2"/>
  <c r="BD1233" i="2" s="1"/>
  <c r="BE1233" i="2" s="1"/>
  <c r="BC1245" i="2"/>
  <c r="BD1245" i="2" s="1"/>
  <c r="BE1245" i="2" s="1"/>
  <c r="BB1258" i="2"/>
  <c r="BC1248" i="2"/>
  <c r="BD1248" i="2" s="1"/>
  <c r="BE1248" i="2" s="1"/>
  <c r="BB1237" i="2"/>
  <c r="BB1256" i="2"/>
  <c r="BB1163" i="2"/>
  <c r="BC1128" i="2"/>
  <c r="BD1128" i="2" s="1"/>
  <c r="BE1128" i="2" s="1"/>
  <c r="BC1177" i="2"/>
  <c r="BD1177" i="2" s="1"/>
  <c r="BE1177" i="2" s="1"/>
  <c r="BC1139" i="2"/>
  <c r="BD1139" i="2" s="1"/>
  <c r="BE1139" i="2" s="1"/>
  <c r="BC1146" i="2"/>
  <c r="BD1146" i="2" s="1"/>
  <c r="BE1146" i="2" s="1"/>
  <c r="BB1146" i="2"/>
  <c r="BC1137" i="2"/>
  <c r="BD1137" i="2" s="1"/>
  <c r="BE1137" i="2" s="1"/>
  <c r="BC1172" i="2"/>
  <c r="BD1172" i="2" s="1"/>
  <c r="BE1172" i="2" s="1"/>
  <c r="BB1160" i="2"/>
  <c r="BB1074" i="2"/>
  <c r="BC1064" i="2"/>
  <c r="BD1064" i="2" s="1"/>
  <c r="BE1064" i="2" s="1"/>
  <c r="BC1141" i="2"/>
  <c r="BD1141" i="2" s="1"/>
  <c r="BE1141" i="2" s="1"/>
  <c r="BC1041" i="2"/>
  <c r="BD1041" i="2" s="1"/>
  <c r="BE1041" i="2" s="1"/>
  <c r="BB1077" i="2"/>
  <c r="BB1005" i="2"/>
  <c r="BC1043" i="2"/>
  <c r="BD1043" i="2" s="1"/>
  <c r="BE1043" i="2" s="1"/>
  <c r="BC1044" i="2"/>
  <c r="BD1044" i="2" s="1"/>
  <c r="BE1044" i="2" s="1"/>
  <c r="BB1056" i="2"/>
  <c r="BC1058" i="2"/>
  <c r="BD1058" i="2" s="1"/>
  <c r="BE1058" i="2" s="1"/>
  <c r="BC1085" i="2"/>
  <c r="BD1085" i="2" s="1"/>
  <c r="BE1085" i="2" s="1"/>
  <c r="BC1081" i="2"/>
  <c r="BD1081" i="2" s="1"/>
  <c r="BE1081" i="2" s="1"/>
  <c r="BB1060" i="2"/>
  <c r="BC1050" i="2"/>
  <c r="BD1050" i="2" s="1"/>
  <c r="BE1050" i="2" s="1"/>
  <c r="BB1572" i="2"/>
  <c r="BC1574" i="2"/>
  <c r="BD1574" i="2" s="1"/>
  <c r="BE1574" i="2" s="1"/>
  <c r="BB1633" i="2"/>
  <c r="BB1625" i="2"/>
  <c r="BC1621" i="2"/>
  <c r="BD1621" i="2" s="1"/>
  <c r="BE1621" i="2" s="1"/>
  <c r="BB1627" i="2"/>
  <c r="BB1557" i="2"/>
  <c r="BB1590" i="2"/>
  <c r="BC1604" i="2"/>
  <c r="BD1604" i="2" s="1"/>
  <c r="BE1604" i="2" s="1"/>
  <c r="BB1577" i="2"/>
  <c r="BB1584" i="2"/>
  <c r="BC1536" i="2"/>
  <c r="BD1536" i="2" s="1"/>
  <c r="BE1536" i="2" s="1"/>
  <c r="BC1578" i="2"/>
  <c r="BD1578" i="2" s="1"/>
  <c r="BE1578" i="2" s="1"/>
  <c r="BB1526" i="2"/>
  <c r="BB1571" i="2"/>
  <c r="BC1472" i="2"/>
  <c r="BD1472" i="2" s="1"/>
  <c r="BE1472" i="2" s="1"/>
  <c r="BB1485" i="2"/>
  <c r="BC1518" i="2"/>
  <c r="BD1518" i="2" s="1"/>
  <c r="BE1518" i="2" s="1"/>
  <c r="BC1497" i="2"/>
  <c r="BD1497" i="2" s="1"/>
  <c r="BE1497" i="2" s="1"/>
  <c r="BC1529" i="2"/>
  <c r="BD1529" i="2" s="1"/>
  <c r="BE1529" i="2" s="1"/>
  <c r="BC1495" i="2"/>
  <c r="BD1495" i="2" s="1"/>
  <c r="BE1495" i="2" s="1"/>
  <c r="BB1488" i="2"/>
  <c r="BC1442" i="2"/>
  <c r="BD1442" i="2" s="1"/>
  <c r="BE1442" i="2" s="1"/>
  <c r="BC1430" i="2"/>
  <c r="BD1430" i="2" s="1"/>
  <c r="BE1430" i="2" s="1"/>
  <c r="BC1533" i="2"/>
  <c r="BD1533" i="2" s="1"/>
  <c r="BE1533" i="2" s="1"/>
  <c r="BB1522" i="2"/>
  <c r="BC1453" i="2"/>
  <c r="BD1453" i="2" s="1"/>
  <c r="BE1453" i="2" s="1"/>
  <c r="BB1453" i="2"/>
  <c r="BC1394" i="2"/>
  <c r="BD1394" i="2" s="1"/>
  <c r="BE1394" i="2" s="1"/>
  <c r="BB1393" i="2"/>
  <c r="BB1381" i="2"/>
  <c r="BC1423" i="2"/>
  <c r="BD1423" i="2" s="1"/>
  <c r="BE1423" i="2" s="1"/>
  <c r="BB1423" i="2"/>
  <c r="BC1516" i="2"/>
  <c r="BD1516" i="2" s="1"/>
  <c r="BE1516" i="2" s="1"/>
  <c r="BB1441" i="2"/>
  <c r="BB1412" i="2"/>
  <c r="BC1465" i="2"/>
  <c r="BD1465" i="2" s="1"/>
  <c r="BE1465" i="2" s="1"/>
  <c r="BB1502" i="2"/>
  <c r="BC1329" i="2"/>
  <c r="BD1329" i="2" s="1"/>
  <c r="BE1329" i="2" s="1"/>
  <c r="BC1318" i="2"/>
  <c r="BD1318" i="2" s="1"/>
  <c r="BE1318" i="2" s="1"/>
  <c r="BC1383" i="2"/>
  <c r="BD1383" i="2" s="1"/>
  <c r="BE1383" i="2" s="1"/>
  <c r="BB1355" i="2"/>
  <c r="BB1283" i="2"/>
  <c r="BC1401" i="2"/>
  <c r="BD1401" i="2" s="1"/>
  <c r="BE1401" i="2" s="1"/>
  <c r="BC1371" i="2"/>
  <c r="BD1371" i="2" s="1"/>
  <c r="BE1371" i="2" s="1"/>
  <c r="BC1348" i="2"/>
  <c r="BD1348" i="2" s="1"/>
  <c r="BE1348" i="2" s="1"/>
  <c r="BC1374" i="2"/>
  <c r="BD1374" i="2" s="1"/>
  <c r="BE1374" i="2" s="1"/>
  <c r="BB1374" i="2"/>
  <c r="BC1343" i="2"/>
  <c r="BD1343" i="2" s="1"/>
  <c r="BE1343" i="2" s="1"/>
  <c r="BB1254" i="2"/>
  <c r="BB1279" i="2"/>
  <c r="BB1322" i="2"/>
  <c r="BB1330" i="2"/>
  <c r="BB1233" i="2"/>
  <c r="BC1338" i="2"/>
  <c r="BD1338" i="2" s="1"/>
  <c r="BE1338" i="2" s="1"/>
  <c r="BC1323" i="2"/>
  <c r="BD1323" i="2" s="1"/>
  <c r="BE1323" i="2" s="1"/>
  <c r="BB1323" i="2"/>
  <c r="BB1291" i="2"/>
  <c r="BB1296" i="2"/>
  <c r="BB1276" i="2"/>
  <c r="BC1224" i="2"/>
  <c r="BD1224" i="2" s="1"/>
  <c r="BE1224" i="2" s="1"/>
  <c r="BC1207" i="2"/>
  <c r="BD1207" i="2" s="1"/>
  <c r="BE1207" i="2" s="1"/>
  <c r="BB1241" i="2"/>
  <c r="BB1166" i="2"/>
  <c r="BB1232" i="2"/>
  <c r="BB1265" i="2"/>
  <c r="BC1169" i="2"/>
  <c r="BD1169" i="2" s="1"/>
  <c r="BE1169" i="2" s="1"/>
  <c r="BB1117" i="2"/>
  <c r="BC1221" i="2"/>
  <c r="BD1221" i="2" s="1"/>
  <c r="BE1221" i="2" s="1"/>
  <c r="BB1221" i="2"/>
  <c r="BC1230" i="2"/>
  <c r="BD1230" i="2" s="1"/>
  <c r="BE1230" i="2" s="1"/>
  <c r="BB1250" i="2"/>
  <c r="BC1240" i="2"/>
  <c r="BD1240" i="2" s="1"/>
  <c r="BE1240" i="2" s="1"/>
  <c r="BB1234" i="2"/>
  <c r="BC1231" i="2"/>
  <c r="BD1231" i="2" s="1"/>
  <c r="BE1231" i="2" s="1"/>
  <c r="BC1152" i="2"/>
  <c r="BD1152" i="2" s="1"/>
  <c r="BE1152" i="2" s="1"/>
  <c r="BC1124" i="2"/>
  <c r="BD1124" i="2" s="1"/>
  <c r="BE1124" i="2" s="1"/>
  <c r="BB1164" i="2"/>
  <c r="BC1136" i="2"/>
  <c r="BD1136" i="2" s="1"/>
  <c r="BE1136" i="2" s="1"/>
  <c r="BB1136" i="2"/>
  <c r="BC1263" i="2"/>
  <c r="BD1263" i="2" s="1"/>
  <c r="BE1263" i="2" s="1"/>
  <c r="BC1134" i="2"/>
  <c r="BD1134" i="2" s="1"/>
  <c r="BE1134" i="2" s="1"/>
  <c r="BC1170" i="2"/>
  <c r="BD1170" i="2" s="1"/>
  <c r="BE1170" i="2" s="1"/>
  <c r="BC1115" i="2"/>
  <c r="BD1115" i="2" s="1"/>
  <c r="BE1115" i="2" s="1"/>
  <c r="BC1063" i="2"/>
  <c r="BD1063" i="2" s="1"/>
  <c r="BE1063" i="2" s="1"/>
  <c r="BB1063" i="2"/>
  <c r="BC1099" i="2"/>
  <c r="BD1099" i="2" s="1"/>
  <c r="BE1099" i="2" s="1"/>
  <c r="BB1040" i="2"/>
  <c r="BC1066" i="2"/>
  <c r="BD1066" i="2" s="1"/>
  <c r="BE1066" i="2" s="1"/>
  <c r="BB1157" i="2"/>
  <c r="BC1112" i="2"/>
  <c r="BD1112" i="2" s="1"/>
  <c r="BE1112" i="2" s="1"/>
  <c r="BB1043" i="2"/>
  <c r="BC1045" i="2"/>
  <c r="BD1045" i="2" s="1"/>
  <c r="BE1045" i="2" s="1"/>
  <c r="BB1057" i="2"/>
  <c r="BB1080" i="2"/>
  <c r="BC1072" i="2"/>
  <c r="BD1072" i="2" s="1"/>
  <c r="BE1072" i="2" s="1"/>
  <c r="BC1049" i="2"/>
  <c r="BD1049" i="2" s="1"/>
  <c r="BE1049" i="2" s="1"/>
  <c r="BB1021" i="2"/>
  <c r="CP54" i="2" s="1"/>
  <c r="BB953" i="2"/>
  <c r="BC966" i="2"/>
  <c r="BD966" i="2" s="1"/>
  <c r="BE966" i="2" s="1"/>
  <c r="BC1024" i="2"/>
  <c r="BD1024" i="2" s="1"/>
  <c r="BE1024" i="2" s="1"/>
  <c r="BB960" i="2"/>
  <c r="BB981" i="2"/>
  <c r="BC1022" i="2"/>
  <c r="BD1022" i="2" s="1"/>
  <c r="BE1022" i="2" s="1"/>
  <c r="BB1022" i="2"/>
  <c r="BC950" i="2"/>
  <c r="BD950" i="2" s="1"/>
  <c r="BE950" i="2" s="1"/>
  <c r="BB956" i="2"/>
  <c r="BC969" i="2"/>
  <c r="BD969" i="2" s="1"/>
  <c r="BE969" i="2" s="1"/>
  <c r="BC983" i="2"/>
  <c r="BD983" i="2" s="1"/>
  <c r="BE983" i="2" s="1"/>
  <c r="BB987" i="2"/>
  <c r="BB1002" i="2"/>
  <c r="BC929" i="2"/>
  <c r="BD929" i="2" s="1"/>
  <c r="BE929" i="2" s="1"/>
  <c r="BC917" i="2"/>
  <c r="BD917" i="2" s="1"/>
  <c r="BE917" i="2" s="1"/>
  <c r="BB942" i="2"/>
  <c r="BC863" i="2"/>
  <c r="BD863" i="2" s="1"/>
  <c r="BE863" i="2" s="1"/>
  <c r="BB881" i="2"/>
  <c r="BB809" i="2"/>
  <c r="BB926" i="2"/>
  <c r="BC882" i="2"/>
  <c r="BD882" i="2" s="1"/>
  <c r="BE882" i="2" s="1"/>
  <c r="BB876" i="2"/>
  <c r="BB804" i="2"/>
  <c r="BC984" i="2"/>
  <c r="BD984" i="2" s="1"/>
  <c r="BE984" i="2" s="1"/>
  <c r="BB853" i="2"/>
  <c r="BB912" i="2"/>
  <c r="BC947" i="2"/>
  <c r="BD947" i="2" s="1"/>
  <c r="BE947" i="2" s="1"/>
  <c r="BC902" i="2"/>
  <c r="BD902" i="2" s="1"/>
  <c r="BE902" i="2" s="1"/>
  <c r="BB902" i="2"/>
  <c r="BB931" i="2"/>
  <c r="BC862" i="2"/>
  <c r="BD862" i="2" s="1"/>
  <c r="BE862" i="2" s="1"/>
  <c r="BC813" i="2"/>
  <c r="BD813" i="2" s="1"/>
  <c r="BE813" i="2" s="1"/>
  <c r="BB726" i="2"/>
  <c r="BC776" i="2"/>
  <c r="BD776" i="2" s="1"/>
  <c r="BE776" i="2" s="1"/>
  <c r="BB837" i="2"/>
  <c r="BC976" i="2"/>
  <c r="BD976" i="2" s="1"/>
  <c r="BE976" i="2" s="1"/>
  <c r="BB6" i="2"/>
  <c r="BB7" i="2"/>
  <c r="BB155" i="2"/>
  <c r="BB123" i="2"/>
  <c r="BB167" i="2"/>
  <c r="BC105" i="2"/>
  <c r="BD105" i="2" s="1"/>
  <c r="BE105" i="2" s="1"/>
  <c r="BC143" i="2"/>
  <c r="BD143" i="2" s="1"/>
  <c r="BE143" i="2" s="1"/>
  <c r="BB202" i="2"/>
  <c r="BC65" i="2"/>
  <c r="BD65" i="2" s="1"/>
  <c r="BE65" i="2" s="1"/>
  <c r="BC174" i="2"/>
  <c r="BD174" i="2" s="1"/>
  <c r="BE174" i="2" s="1"/>
  <c r="BC23" i="2"/>
  <c r="BD23" i="2" s="1"/>
  <c r="BE23" i="2" s="1"/>
  <c r="BC97" i="2"/>
  <c r="BD97" i="2" s="1"/>
  <c r="BE97" i="2" s="1"/>
  <c r="BC216" i="2"/>
  <c r="BD216" i="2" s="1"/>
  <c r="BE216" i="2" s="1"/>
  <c r="BB104" i="2"/>
  <c r="BC140" i="2"/>
  <c r="BD140" i="2" s="1"/>
  <c r="BE140" i="2" s="1"/>
  <c r="BC20" i="2"/>
  <c r="BD20" i="2" s="1"/>
  <c r="BE20" i="2" s="1"/>
  <c r="BB73" i="2"/>
  <c r="BC119" i="2"/>
  <c r="BD119" i="2" s="1"/>
  <c r="BE119" i="2" s="1"/>
  <c r="BC171" i="2"/>
  <c r="BD171" i="2" s="1"/>
  <c r="BE171" i="2" s="1"/>
  <c r="BC28" i="2"/>
  <c r="BD28" i="2" s="1"/>
  <c r="BE28" i="2" s="1"/>
  <c r="BC73" i="2"/>
  <c r="BD73" i="2" s="1"/>
  <c r="BE73" i="2" s="1"/>
  <c r="BC178" i="2"/>
  <c r="BD178" i="2" s="1"/>
  <c r="BE178" i="2" s="1"/>
  <c r="BB39" i="2"/>
  <c r="BB156" i="2"/>
  <c r="BC33" i="2"/>
  <c r="BD33" i="2" s="1"/>
  <c r="BE33" i="2" s="1"/>
  <c r="BB95" i="2"/>
  <c r="BB133" i="2"/>
  <c r="BC213" i="2"/>
  <c r="BD213" i="2" s="1"/>
  <c r="BE213" i="2" s="1"/>
  <c r="BC58" i="2"/>
  <c r="BD58" i="2" s="1"/>
  <c r="BE58" i="2" s="1"/>
  <c r="BC115" i="2"/>
  <c r="BD115" i="2" s="1"/>
  <c r="BE115" i="2" s="1"/>
  <c r="BC163" i="2"/>
  <c r="BD163" i="2" s="1"/>
  <c r="BE163" i="2" s="1"/>
  <c r="BC222" i="2"/>
  <c r="BD222" i="2" s="1"/>
  <c r="BE222" i="2" s="1"/>
  <c r="BC69" i="2"/>
  <c r="BD69" i="2" s="1"/>
  <c r="BE69" i="2" s="1"/>
  <c r="BB187" i="2"/>
  <c r="BB26" i="2"/>
  <c r="BC141" i="2"/>
  <c r="BD141" i="2" s="1"/>
  <c r="BE141" i="2" s="1"/>
  <c r="BC281" i="2"/>
  <c r="BD281" i="2" s="1"/>
  <c r="BE281" i="2" s="1"/>
  <c r="BB235" i="2"/>
  <c r="BB258" i="2"/>
  <c r="BB225" i="2"/>
  <c r="BB234" i="2"/>
  <c r="BC280" i="2"/>
  <c r="BD280" i="2" s="1"/>
  <c r="BE280" i="2" s="1"/>
  <c r="BB243" i="2"/>
  <c r="BB216" i="2"/>
  <c r="BC246" i="2"/>
  <c r="BD246" i="2" s="1"/>
  <c r="BE246" i="2" s="1"/>
  <c r="BB250" i="2"/>
  <c r="BB320" i="2"/>
  <c r="BB369" i="2"/>
  <c r="BC530" i="2"/>
  <c r="BD530" i="2" s="1"/>
  <c r="BE530" i="2" s="1"/>
  <c r="BC298" i="2"/>
  <c r="BD298" i="2" s="1"/>
  <c r="BE298" i="2" s="1"/>
  <c r="BC357" i="2"/>
  <c r="BD357" i="2" s="1"/>
  <c r="BE357" i="2" s="1"/>
  <c r="BC437" i="2"/>
  <c r="BD437" i="2" s="1"/>
  <c r="BE437" i="2" s="1"/>
  <c r="BB392" i="2"/>
  <c r="BC319" i="2"/>
  <c r="BD319" i="2" s="1"/>
  <c r="BE319" i="2" s="1"/>
  <c r="BB368" i="2"/>
  <c r="BC307" i="2"/>
  <c r="BD307" i="2" s="1"/>
  <c r="BE307" i="2" s="1"/>
  <c r="BC364" i="2"/>
  <c r="BD364" i="2" s="1"/>
  <c r="BE364" i="2" s="1"/>
  <c r="BB257" i="2"/>
  <c r="BC386" i="2"/>
  <c r="BD386" i="2" s="1"/>
  <c r="BE386" i="2" s="1"/>
  <c r="BC305" i="2"/>
  <c r="BD305" i="2" s="1"/>
  <c r="BE305" i="2" s="1"/>
  <c r="BB359" i="2"/>
  <c r="BB315" i="2"/>
  <c r="BC363" i="2"/>
  <c r="BD363" i="2" s="1"/>
  <c r="BE363" i="2" s="1"/>
  <c r="BC524" i="2"/>
  <c r="BD524" i="2" s="1"/>
  <c r="BE524" i="2" s="1"/>
  <c r="BB322" i="2"/>
  <c r="BB229" i="2"/>
  <c r="BB301" i="2"/>
  <c r="BB354" i="2"/>
  <c r="BC422" i="2"/>
  <c r="BD422" i="2" s="1"/>
  <c r="BE422" i="2" s="1"/>
  <c r="BC334" i="2"/>
  <c r="BD334" i="2" s="1"/>
  <c r="BE334" i="2" s="1"/>
  <c r="BB393" i="2"/>
  <c r="BB415" i="2"/>
  <c r="BB487" i="2"/>
  <c r="BB558" i="2"/>
  <c r="BB593" i="2"/>
  <c r="BC499" i="2"/>
  <c r="BD499" i="2" s="1"/>
  <c r="BE499" i="2" s="1"/>
  <c r="BB604" i="2"/>
  <c r="BB486" i="2"/>
  <c r="BC629" i="2"/>
  <c r="BD629" i="2" s="1"/>
  <c r="BE629" i="2" s="1"/>
  <c r="BC474" i="2"/>
  <c r="BD474" i="2" s="1"/>
  <c r="BE474" i="2" s="1"/>
  <c r="BC546" i="2"/>
  <c r="BD546" i="2" s="1"/>
  <c r="BE546" i="2" s="1"/>
  <c r="BB491" i="2"/>
  <c r="BB560" i="2"/>
  <c r="BB601" i="2"/>
  <c r="BC497" i="2"/>
  <c r="BD497" i="2" s="1"/>
  <c r="BE497" i="2" s="1"/>
  <c r="BB442" i="2"/>
  <c r="BB514" i="2"/>
  <c r="BB773" i="2"/>
  <c r="BC454" i="2"/>
  <c r="BD454" i="2" s="1"/>
  <c r="BE454" i="2" s="1"/>
  <c r="BC526" i="2"/>
  <c r="BD526" i="2" s="1"/>
  <c r="BE526" i="2" s="1"/>
  <c r="BB423" i="2"/>
  <c r="BB495" i="2"/>
  <c r="BB562" i="2"/>
  <c r="BB386" i="2"/>
  <c r="BC453" i="2"/>
  <c r="BD453" i="2" s="1"/>
  <c r="BE453" i="2" s="1"/>
  <c r="BC525" i="2"/>
  <c r="BD525" i="2" s="1"/>
  <c r="BE525" i="2" s="1"/>
  <c r="BB440" i="2"/>
  <c r="BB512" i="2"/>
  <c r="BC682" i="2"/>
  <c r="BD682" i="2" s="1"/>
  <c r="BE682" i="2" s="1"/>
  <c r="BC697" i="2"/>
  <c r="BD697" i="2" s="1"/>
  <c r="BE697" i="2" s="1"/>
  <c r="BC620" i="2"/>
  <c r="BD620" i="2" s="1"/>
  <c r="BE620" i="2" s="1"/>
  <c r="BB723" i="2"/>
  <c r="BB669" i="2"/>
  <c r="BC651" i="2"/>
  <c r="BD651" i="2" s="1"/>
  <c r="BE651" i="2" s="1"/>
  <c r="BB728" i="2"/>
  <c r="BB674" i="2"/>
  <c r="BB725" i="2"/>
  <c r="BC674" i="2"/>
  <c r="BD674" i="2" s="1"/>
  <c r="BE674" i="2" s="1"/>
  <c r="BB611" i="2"/>
  <c r="BB679" i="2"/>
  <c r="BC566" i="2"/>
  <c r="BD566" i="2" s="1"/>
  <c r="BE566" i="2" s="1"/>
  <c r="BC580" i="2"/>
  <c r="BD580" i="2" s="1"/>
  <c r="BE580" i="2" s="1"/>
  <c r="BC595" i="2"/>
  <c r="BD595" i="2" s="1"/>
  <c r="BE595" i="2" s="1"/>
  <c r="BC610" i="2"/>
  <c r="BD610" i="2" s="1"/>
  <c r="BE610" i="2" s="1"/>
  <c r="BC679" i="2"/>
  <c r="BD679" i="2" s="1"/>
  <c r="BE679" i="2" s="1"/>
  <c r="BB740" i="2"/>
  <c r="BC691" i="2"/>
  <c r="BD691" i="2" s="1"/>
  <c r="BE691" i="2" s="1"/>
  <c r="BC636" i="2"/>
  <c r="BD636" i="2" s="1"/>
  <c r="BE636" i="2" s="1"/>
  <c r="BB635" i="2"/>
  <c r="BB938" i="2"/>
  <c r="BC796" i="2"/>
  <c r="BD796" i="2" s="1"/>
  <c r="BE796" i="2" s="1"/>
  <c r="BB771" i="2"/>
  <c r="BB787" i="2"/>
  <c r="BB757" i="2"/>
  <c r="BB744" i="2"/>
  <c r="BB844" i="2"/>
  <c r="BC817" i="2"/>
  <c r="BD817" i="2" s="1"/>
  <c r="BE817" i="2" s="1"/>
  <c r="BB819" i="2"/>
  <c r="BC766" i="2"/>
  <c r="BD766" i="2" s="1"/>
  <c r="BE766" i="2" s="1"/>
  <c r="BC753" i="2"/>
  <c r="BD753" i="2" s="1"/>
  <c r="BE753" i="2" s="1"/>
  <c r="BB739" i="2"/>
  <c r="BC899" i="2"/>
  <c r="BD899" i="2" s="1"/>
  <c r="BE899" i="2" s="1"/>
  <c r="BB830" i="2"/>
  <c r="BB910" i="2"/>
  <c r="BB894" i="2"/>
  <c r="BC965" i="2"/>
  <c r="BD965" i="2" s="1"/>
  <c r="BE965" i="2" s="1"/>
  <c r="BC884" i="2"/>
  <c r="BD884" i="2" s="1"/>
  <c r="BE884" i="2" s="1"/>
  <c r="BB999" i="2"/>
  <c r="BC853" i="2"/>
  <c r="BD853" i="2" s="1"/>
  <c r="BE853" i="2" s="1"/>
  <c r="BB834" i="2"/>
  <c r="BC870" i="2"/>
  <c r="BD870" i="2" s="1"/>
  <c r="BE870" i="2" s="1"/>
  <c r="BB932" i="2"/>
  <c r="BB839" i="2"/>
  <c r="BC851" i="2"/>
  <c r="BD851" i="2" s="1"/>
  <c r="BE851" i="2" s="1"/>
  <c r="BB954" i="2"/>
  <c r="BC922" i="2"/>
  <c r="BD922" i="2" s="1"/>
  <c r="BE922" i="2" s="1"/>
  <c r="BB970" i="2"/>
  <c r="BB995" i="2"/>
  <c r="BB1008" i="2"/>
  <c r="BC1098" i="2"/>
  <c r="BD1098" i="2" s="1"/>
  <c r="BE1098" i="2" s="1"/>
  <c r="BC962" i="2"/>
  <c r="BD962" i="2" s="1"/>
  <c r="BE962" i="2" s="1"/>
  <c r="BB949" i="2"/>
  <c r="BC973" i="2"/>
  <c r="BD973" i="2" s="1"/>
  <c r="BE973" i="2" s="1"/>
  <c r="BC977" i="2"/>
  <c r="BD977" i="2" s="1"/>
  <c r="BE977" i="2" s="1"/>
  <c r="BC954" i="2"/>
  <c r="BD954" i="2" s="1"/>
  <c r="BE954" i="2" s="1"/>
  <c r="BB971" i="2"/>
  <c r="BB1172" i="2"/>
  <c r="BB1045" i="2"/>
  <c r="BB1103" i="2"/>
  <c r="BC1052" i="2"/>
  <c r="BD1052" i="2" s="1"/>
  <c r="BE1052" i="2" s="1"/>
  <c r="BB1133" i="2"/>
  <c r="BB1227" i="2"/>
  <c r="BB1116" i="2"/>
  <c r="BB1315" i="2"/>
  <c r="BC1390" i="2"/>
  <c r="BD1390" i="2" s="1"/>
  <c r="BE1390" i="2" s="1"/>
  <c r="BC1417" i="2"/>
  <c r="BD1417" i="2" s="1"/>
  <c r="BE1417" i="2" s="1"/>
  <c r="BB1524" i="2"/>
  <c r="BC1564" i="2"/>
  <c r="BD1564" i="2" s="1"/>
  <c r="BE1564" i="2" s="1"/>
  <c r="BC7" i="2"/>
  <c r="BD7" i="2" s="1"/>
  <c r="BE7" i="2" s="1"/>
  <c r="BC16" i="2"/>
  <c r="BD16" i="2" s="1"/>
  <c r="BE16" i="2" s="1"/>
  <c r="BC10" i="2"/>
  <c r="BD10" i="2" s="1"/>
  <c r="BE10" i="2" s="1"/>
  <c r="BC37" i="2"/>
  <c r="BD37" i="2" s="1"/>
  <c r="BE37" i="2" s="1"/>
  <c r="BB11" i="2"/>
  <c r="BC108" i="2"/>
  <c r="BD108" i="2" s="1"/>
  <c r="BE108" i="2" s="1"/>
  <c r="BB150" i="2"/>
  <c r="BB205" i="2"/>
  <c r="BB76" i="2"/>
  <c r="BB181" i="2"/>
  <c r="BC24" i="2"/>
  <c r="BD24" i="2" s="1"/>
  <c r="BE24" i="2" s="1"/>
  <c r="BC101" i="2"/>
  <c r="BD101" i="2" s="1"/>
  <c r="BE101" i="2" s="1"/>
  <c r="BB20" i="2"/>
  <c r="BB107" i="2"/>
  <c r="BB147" i="2"/>
  <c r="BB28" i="2"/>
  <c r="BC74" i="2"/>
  <c r="BD74" i="2" s="1"/>
  <c r="BE74" i="2" s="1"/>
  <c r="BC122" i="2"/>
  <c r="BD122" i="2" s="1"/>
  <c r="BE122" i="2" s="1"/>
  <c r="BB178" i="2"/>
  <c r="BC34" i="2"/>
  <c r="BD34" i="2" s="1"/>
  <c r="BE34" i="2" s="1"/>
  <c r="BB84" i="2"/>
  <c r="BC186" i="2"/>
  <c r="BD186" i="2" s="1"/>
  <c r="BE186" i="2" s="1"/>
  <c r="BB49" i="2"/>
  <c r="BC161" i="2"/>
  <c r="BD161" i="2" s="1"/>
  <c r="BE161" i="2" s="1"/>
  <c r="BC39" i="2"/>
  <c r="BD39" i="2" s="1"/>
  <c r="BE39" i="2" s="1"/>
  <c r="BB99" i="2"/>
  <c r="BB136" i="2"/>
  <c r="BC221" i="2"/>
  <c r="BD221" i="2" s="1"/>
  <c r="BE221" i="2" s="1"/>
  <c r="BB69" i="2"/>
  <c r="BC118" i="2"/>
  <c r="BD118" i="2" s="1"/>
  <c r="BE118" i="2" s="1"/>
  <c r="BB170" i="2"/>
  <c r="BB14" i="2"/>
  <c r="BB80" i="2"/>
  <c r="BC192" i="2"/>
  <c r="BD192" i="2" s="1"/>
  <c r="BE192" i="2" s="1"/>
  <c r="BB31" i="2"/>
  <c r="BB148" i="2"/>
  <c r="BC304" i="2"/>
  <c r="BD304" i="2" s="1"/>
  <c r="BE304" i="2" s="1"/>
  <c r="BC245" i="2"/>
  <c r="BD245" i="2" s="1"/>
  <c r="BE245" i="2" s="1"/>
  <c r="BB260" i="2"/>
  <c r="BC241" i="2"/>
  <c r="BD241" i="2" s="1"/>
  <c r="BE241" i="2" s="1"/>
  <c r="BC244" i="2"/>
  <c r="BD244" i="2" s="1"/>
  <c r="BE244" i="2" s="1"/>
  <c r="BC288" i="2"/>
  <c r="BD288" i="2" s="1"/>
  <c r="BE288" i="2" s="1"/>
  <c r="BB246" i="2"/>
  <c r="BB217" i="2"/>
  <c r="BC249" i="2"/>
  <c r="BD249" i="2" s="1"/>
  <c r="BE249" i="2" s="1"/>
  <c r="BC251" i="2"/>
  <c r="BD251" i="2" s="1"/>
  <c r="BE251" i="2" s="1"/>
  <c r="BB325" i="2"/>
  <c r="BB373" i="2"/>
  <c r="BB237" i="2"/>
  <c r="BB309" i="2"/>
  <c r="BC361" i="2"/>
  <c r="BD361" i="2" s="1"/>
  <c r="BE361" i="2" s="1"/>
  <c r="BC488" i="2"/>
  <c r="BD488" i="2" s="1"/>
  <c r="BE488" i="2" s="1"/>
  <c r="BC395" i="2"/>
  <c r="BD395" i="2" s="1"/>
  <c r="BE395" i="2" s="1"/>
  <c r="BB324" i="2"/>
  <c r="BB372" i="2"/>
  <c r="BB318" i="2"/>
  <c r="BC368" i="2"/>
  <c r="BD368" i="2" s="1"/>
  <c r="BE368" i="2" s="1"/>
  <c r="BC258" i="2"/>
  <c r="BD258" i="2" s="1"/>
  <c r="BE258" i="2" s="1"/>
  <c r="BC389" i="2"/>
  <c r="BD389" i="2" s="1"/>
  <c r="BE389" i="2" s="1"/>
  <c r="BB316" i="2"/>
  <c r="BB363" i="2"/>
  <c r="BC316" i="2"/>
  <c r="BD316" i="2" s="1"/>
  <c r="BE316" i="2" s="1"/>
  <c r="BC367" i="2"/>
  <c r="BD367" i="2" s="1"/>
  <c r="BE367" i="2" s="1"/>
  <c r="BC255" i="2"/>
  <c r="BD255" i="2" s="1"/>
  <c r="BE255" i="2" s="1"/>
  <c r="BC382" i="2"/>
  <c r="BD382" i="2" s="1"/>
  <c r="BE382" i="2" s="1"/>
  <c r="BC230" i="2"/>
  <c r="BD230" i="2" s="1"/>
  <c r="BE230" i="2" s="1"/>
  <c r="BC302" i="2"/>
  <c r="BD302" i="2" s="1"/>
  <c r="BE302" i="2" s="1"/>
  <c r="BB358" i="2"/>
  <c r="BC434" i="2"/>
  <c r="BD434" i="2" s="1"/>
  <c r="BE434" i="2" s="1"/>
  <c r="BC338" i="2"/>
  <c r="BD338" i="2" s="1"/>
  <c r="BE338" i="2" s="1"/>
  <c r="BB401" i="2"/>
  <c r="BB421" i="2"/>
  <c r="BB493" i="2"/>
  <c r="BB561" i="2"/>
  <c r="BC641" i="2"/>
  <c r="BD641" i="2" s="1"/>
  <c r="BE641" i="2" s="1"/>
  <c r="BC505" i="2"/>
  <c r="BD505" i="2" s="1"/>
  <c r="BE505" i="2" s="1"/>
  <c r="BC671" i="2"/>
  <c r="BD671" i="2" s="1"/>
  <c r="BE671" i="2" s="1"/>
  <c r="BB492" i="2"/>
  <c r="BC408" i="2"/>
  <c r="BD408" i="2" s="1"/>
  <c r="BE408" i="2" s="1"/>
  <c r="BC480" i="2"/>
  <c r="BD480" i="2" s="1"/>
  <c r="BE480" i="2" s="1"/>
  <c r="BC552" i="2"/>
  <c r="BD552" i="2" s="1"/>
  <c r="BE552" i="2" s="1"/>
  <c r="BB497" i="2"/>
  <c r="BB563" i="2"/>
  <c r="BC690" i="2"/>
  <c r="BD690" i="2" s="1"/>
  <c r="BE690" i="2" s="1"/>
  <c r="BC503" i="2"/>
  <c r="BD503" i="2" s="1"/>
  <c r="BE503" i="2" s="1"/>
  <c r="BB448" i="2"/>
  <c r="BB520" i="2"/>
  <c r="BC388" i="2"/>
  <c r="BD388" i="2" s="1"/>
  <c r="BE388" i="2" s="1"/>
  <c r="BC460" i="2"/>
  <c r="BD460" i="2" s="1"/>
  <c r="BE460" i="2" s="1"/>
  <c r="BC532" i="2"/>
  <c r="BD532" i="2" s="1"/>
  <c r="BE532" i="2" s="1"/>
  <c r="BB429" i="2"/>
  <c r="BB501" i="2"/>
  <c r="BB565" i="2"/>
  <c r="BC387" i="2"/>
  <c r="BD387" i="2" s="1"/>
  <c r="BE387" i="2" s="1"/>
  <c r="BC459" i="2"/>
  <c r="BD459" i="2" s="1"/>
  <c r="BE459" i="2" s="1"/>
  <c r="BC531" i="2"/>
  <c r="BD531" i="2" s="1"/>
  <c r="BE531" i="2" s="1"/>
  <c r="BB446" i="2"/>
  <c r="BB518" i="2"/>
  <c r="BB843" i="2"/>
  <c r="BC700" i="2"/>
  <c r="BD700" i="2" s="1"/>
  <c r="BE700" i="2" s="1"/>
  <c r="BC628" i="2"/>
  <c r="BD628" i="2" s="1"/>
  <c r="BE628" i="2" s="1"/>
  <c r="BC736" i="2"/>
  <c r="BD736" i="2" s="1"/>
  <c r="BE736" i="2" s="1"/>
  <c r="BC681" i="2"/>
  <c r="BD681" i="2" s="1"/>
  <c r="BE681" i="2" s="1"/>
  <c r="BC657" i="2"/>
  <c r="BD657" i="2" s="1"/>
  <c r="BE657" i="2" s="1"/>
  <c r="BB733" i="2"/>
  <c r="BB680" i="2"/>
  <c r="BC738" i="2"/>
  <c r="BD738" i="2" s="1"/>
  <c r="BE738" i="2" s="1"/>
  <c r="BC684" i="2"/>
  <c r="BD684" i="2" s="1"/>
  <c r="BE684" i="2" s="1"/>
  <c r="BB612" i="2"/>
  <c r="BB722" i="2"/>
  <c r="BC567" i="2"/>
  <c r="BD567" i="2" s="1"/>
  <c r="BE567" i="2" s="1"/>
  <c r="BC582" i="2"/>
  <c r="BD582" i="2" s="1"/>
  <c r="BE582" i="2" s="1"/>
  <c r="BC597" i="2"/>
  <c r="BD597" i="2" s="1"/>
  <c r="BE597" i="2" s="1"/>
  <c r="BC611" i="2"/>
  <c r="BD611" i="2" s="1"/>
  <c r="BE611" i="2" s="1"/>
  <c r="BB683" i="2"/>
  <c r="BB886" i="2"/>
  <c r="BC698" i="2"/>
  <c r="BD698" i="2" s="1"/>
  <c r="BE698" i="2" s="1"/>
  <c r="BC648" i="2"/>
  <c r="BD648" i="2" s="1"/>
  <c r="BE648" i="2" s="1"/>
  <c r="BB641" i="2"/>
  <c r="BB724" i="2"/>
  <c r="BC800" i="2"/>
  <c r="BD800" i="2" s="1"/>
  <c r="BE800" i="2" s="1"/>
  <c r="BB806" i="2"/>
  <c r="BB795" i="2"/>
  <c r="BC758" i="2"/>
  <c r="BD758" i="2" s="1"/>
  <c r="BE758" i="2" s="1"/>
  <c r="BC745" i="2"/>
  <c r="BD745" i="2" s="1"/>
  <c r="BE745" i="2" s="1"/>
  <c r="BC744" i="2"/>
  <c r="BD744" i="2" s="1"/>
  <c r="BE744" i="2" s="1"/>
  <c r="BC831" i="2"/>
  <c r="BD831" i="2" s="1"/>
  <c r="BE831" i="2" s="1"/>
  <c r="BB824" i="2"/>
  <c r="BB777" i="2"/>
  <c r="BB764" i="2"/>
  <c r="BB751" i="2"/>
  <c r="BC1009" i="2"/>
  <c r="BD1009" i="2" s="1"/>
  <c r="BE1009" i="2" s="1"/>
  <c r="BB848" i="2"/>
  <c r="BB916" i="2"/>
  <c r="BB898" i="2"/>
  <c r="BC980" i="2"/>
  <c r="BD980" i="2" s="1"/>
  <c r="BE980" i="2" s="1"/>
  <c r="BB893" i="2"/>
  <c r="BB847" i="2"/>
  <c r="BC859" i="2"/>
  <c r="BD859" i="2" s="1"/>
  <c r="BE859" i="2" s="1"/>
  <c r="BB846" i="2"/>
  <c r="BC876" i="2"/>
  <c r="BD876" i="2" s="1"/>
  <c r="BE876" i="2" s="1"/>
  <c r="BC953" i="2"/>
  <c r="BD953" i="2" s="1"/>
  <c r="BE953" i="2" s="1"/>
  <c r="BB851" i="2"/>
  <c r="BC857" i="2"/>
  <c r="BD857" i="2" s="1"/>
  <c r="BE857" i="2" s="1"/>
  <c r="BC1026" i="2"/>
  <c r="BD1026" i="2" s="1"/>
  <c r="BE1026" i="2" s="1"/>
  <c r="BC924" i="2"/>
  <c r="BD924" i="2" s="1"/>
  <c r="BE924" i="2" s="1"/>
  <c r="BC999" i="2"/>
  <c r="BD999" i="2" s="1"/>
  <c r="BE999" i="2" s="1"/>
  <c r="BC1002" i="2"/>
  <c r="BD1002" i="2" s="1"/>
  <c r="BE1002" i="2" s="1"/>
  <c r="BB1028" i="2"/>
  <c r="BB950" i="2"/>
  <c r="BC968" i="2"/>
  <c r="BD968" i="2" s="1"/>
  <c r="BE968" i="2" s="1"/>
  <c r="BB961" i="2"/>
  <c r="BB977" i="2"/>
  <c r="BC981" i="2"/>
  <c r="BD981" i="2" s="1"/>
  <c r="BE981" i="2" s="1"/>
  <c r="BC960" i="2"/>
  <c r="BD960" i="2" s="1"/>
  <c r="BE960" i="2" s="1"/>
  <c r="BB976" i="2"/>
  <c r="BC1048" i="2"/>
  <c r="BD1048" i="2" s="1"/>
  <c r="BE1048" i="2" s="1"/>
  <c r="BC1046" i="2"/>
  <c r="BD1046" i="2" s="1"/>
  <c r="BE1046" i="2" s="1"/>
  <c r="BB1123" i="2"/>
  <c r="BB1038" i="2"/>
  <c r="BC1182" i="2"/>
  <c r="BD1182" i="2" s="1"/>
  <c r="BE1182" i="2" s="1"/>
  <c r="BC1199" i="2"/>
  <c r="BD1199" i="2" s="1"/>
  <c r="BE1199" i="2" s="1"/>
  <c r="BB1168" i="2"/>
  <c r="BB1333" i="2"/>
  <c r="BC1421" i="2"/>
  <c r="BD1421" i="2" s="1"/>
  <c r="BE1421" i="2" s="1"/>
  <c r="BB1380" i="2"/>
  <c r="BC1491" i="2"/>
  <c r="BD1491" i="2" s="1"/>
  <c r="BE1491" i="2" s="1"/>
  <c r="BC1632" i="2"/>
  <c r="BD1632" i="2" s="1"/>
  <c r="BE1632" i="2" s="1"/>
  <c r="BW11" i="2"/>
  <c r="CF11" i="2" s="1"/>
  <c r="CG11" i="2" s="1"/>
  <c r="BU11" i="2"/>
  <c r="CD11" i="2" s="1"/>
  <c r="BC5" i="2"/>
  <c r="BD5" i="2" s="1"/>
  <c r="BE5" i="2" s="1"/>
  <c r="BC31" i="2"/>
  <c r="BD31" i="2" s="1"/>
  <c r="BE31" i="2" s="1"/>
  <c r="BB13" i="2"/>
  <c r="BB143" i="2"/>
  <c r="BC25" i="2"/>
  <c r="BD25" i="2" s="1"/>
  <c r="BE25" i="2" s="1"/>
  <c r="BC111" i="2"/>
  <c r="BD111" i="2" s="1"/>
  <c r="BE111" i="2" s="1"/>
  <c r="BC155" i="2"/>
  <c r="BD155" i="2" s="1"/>
  <c r="BE155" i="2" s="1"/>
  <c r="BB208" i="2"/>
  <c r="BC77" i="2"/>
  <c r="BD77" i="2" s="1"/>
  <c r="BE77" i="2" s="1"/>
  <c r="BB183" i="2"/>
  <c r="BB29" i="2"/>
  <c r="BB140" i="2"/>
  <c r="BC29" i="2"/>
  <c r="BD29" i="2" s="1"/>
  <c r="BE29" i="2" s="1"/>
  <c r="BB110" i="2"/>
  <c r="BC152" i="2"/>
  <c r="BD152" i="2" s="1"/>
  <c r="BE152" i="2" s="1"/>
  <c r="BB34" i="2"/>
  <c r="BB85" i="2"/>
  <c r="BC125" i="2"/>
  <c r="BD125" i="2" s="1"/>
  <c r="BE125" i="2" s="1"/>
  <c r="BB186" i="2"/>
  <c r="BC40" i="2"/>
  <c r="BD40" i="2" s="1"/>
  <c r="BE40" i="2" s="1"/>
  <c r="BC85" i="2"/>
  <c r="BD85" i="2" s="1"/>
  <c r="BE85" i="2" s="1"/>
  <c r="BC191" i="2"/>
  <c r="BD191" i="2" s="1"/>
  <c r="BE191" i="2" s="1"/>
  <c r="BB55" i="2"/>
  <c r="BB168" i="2"/>
  <c r="BC49" i="2"/>
  <c r="BD49" i="2" s="1"/>
  <c r="BE49" i="2" s="1"/>
  <c r="BB103" i="2"/>
  <c r="BB139" i="2"/>
  <c r="BC236" i="2"/>
  <c r="BD236" i="2" s="1"/>
  <c r="BE236" i="2" s="1"/>
  <c r="BC70" i="2"/>
  <c r="BD70" i="2" s="1"/>
  <c r="BE70" i="2" s="1"/>
  <c r="BC121" i="2"/>
  <c r="BD121" i="2" s="1"/>
  <c r="BE121" i="2" s="1"/>
  <c r="BC175" i="2"/>
  <c r="BD175" i="2" s="1"/>
  <c r="BE175" i="2" s="1"/>
  <c r="BB15" i="2"/>
  <c r="BC81" i="2"/>
  <c r="BD81" i="2" s="1"/>
  <c r="BE81" i="2" s="1"/>
  <c r="BC195" i="2"/>
  <c r="BD195" i="2" s="1"/>
  <c r="BE195" i="2" s="1"/>
  <c r="BB37" i="2"/>
  <c r="BC153" i="2"/>
  <c r="BD153" i="2" s="1"/>
  <c r="BE153" i="2" s="1"/>
  <c r="BB227" i="2"/>
  <c r="BC248" i="2"/>
  <c r="BD248" i="2" s="1"/>
  <c r="BE248" i="2" s="1"/>
  <c r="BC264" i="2"/>
  <c r="BD264" i="2" s="1"/>
  <c r="BE264" i="2" s="1"/>
  <c r="BB244" i="2"/>
  <c r="BC247" i="2"/>
  <c r="BD247" i="2" s="1"/>
  <c r="BE247" i="2" s="1"/>
  <c r="BC321" i="2"/>
  <c r="BD321" i="2" s="1"/>
  <c r="BE321" i="2" s="1"/>
  <c r="BC257" i="2"/>
  <c r="BD257" i="2" s="1"/>
  <c r="BE257" i="2" s="1"/>
  <c r="BB218" i="2"/>
  <c r="BB252" i="2"/>
  <c r="BB262" i="2"/>
  <c r="BB329" i="2"/>
  <c r="BB377" i="2"/>
  <c r="BC238" i="2"/>
  <c r="BD238" i="2" s="1"/>
  <c r="BE238" i="2" s="1"/>
  <c r="BC310" i="2"/>
  <c r="BD310" i="2" s="1"/>
  <c r="BE310" i="2" s="1"/>
  <c r="BC365" i="2"/>
  <c r="BD365" i="2" s="1"/>
  <c r="BE365" i="2" s="1"/>
  <c r="BC261" i="2"/>
  <c r="BD261" i="2" s="1"/>
  <c r="BE261" i="2" s="1"/>
  <c r="BC410" i="2"/>
  <c r="BD410" i="2" s="1"/>
  <c r="BE410" i="2" s="1"/>
  <c r="BB328" i="2"/>
  <c r="BB376" i="2"/>
  <c r="BC324" i="2"/>
  <c r="BD324" i="2" s="1"/>
  <c r="BE324" i="2" s="1"/>
  <c r="BC372" i="2"/>
  <c r="BD372" i="2" s="1"/>
  <c r="BE372" i="2" s="1"/>
  <c r="BB269" i="2"/>
  <c r="BB402" i="2"/>
  <c r="BC317" i="2"/>
  <c r="BD317" i="2" s="1"/>
  <c r="BE317" i="2" s="1"/>
  <c r="BB367" i="2"/>
  <c r="BC323" i="2"/>
  <c r="BD323" i="2" s="1"/>
  <c r="BE323" i="2" s="1"/>
  <c r="BC371" i="2"/>
  <c r="BD371" i="2" s="1"/>
  <c r="BE371" i="2" s="1"/>
  <c r="BB266" i="2"/>
  <c r="BB385" i="2"/>
  <c r="BB241" i="2"/>
  <c r="BB313" i="2"/>
  <c r="BB362" i="2"/>
  <c r="BC440" i="2"/>
  <c r="BD440" i="2" s="1"/>
  <c r="BE440" i="2" s="1"/>
  <c r="BC342" i="2"/>
  <c r="BD342" i="2" s="1"/>
  <c r="BE342" i="2" s="1"/>
  <c r="BC413" i="2"/>
  <c r="BD413" i="2" s="1"/>
  <c r="BE413" i="2" s="1"/>
  <c r="BB427" i="2"/>
  <c r="BB499" i="2"/>
  <c r="BB564" i="2"/>
  <c r="BC439" i="2"/>
  <c r="BD439" i="2" s="1"/>
  <c r="BE439" i="2" s="1"/>
  <c r="BC511" i="2"/>
  <c r="BD511" i="2" s="1"/>
  <c r="BE511" i="2" s="1"/>
  <c r="BC686" i="2"/>
  <c r="BD686" i="2" s="1"/>
  <c r="BE686" i="2" s="1"/>
  <c r="BB498" i="2"/>
  <c r="BC414" i="2"/>
  <c r="BD414" i="2" s="1"/>
  <c r="BE414" i="2" s="1"/>
  <c r="BC486" i="2"/>
  <c r="BD486" i="2" s="1"/>
  <c r="BE486" i="2" s="1"/>
  <c r="BC659" i="2"/>
  <c r="BD659" i="2" s="1"/>
  <c r="BE659" i="2" s="1"/>
  <c r="BB503" i="2"/>
  <c r="BB566" i="2"/>
  <c r="BB749" i="2"/>
  <c r="BC509" i="2"/>
  <c r="BD509" i="2" s="1"/>
  <c r="BE509" i="2" s="1"/>
  <c r="BB454" i="2"/>
  <c r="BB526" i="2"/>
  <c r="BC394" i="2"/>
  <c r="BD394" i="2" s="1"/>
  <c r="BE394" i="2" s="1"/>
  <c r="BC466" i="2"/>
  <c r="BD466" i="2" s="1"/>
  <c r="BE466" i="2" s="1"/>
  <c r="BC538" i="2"/>
  <c r="BD538" i="2" s="1"/>
  <c r="BE538" i="2" s="1"/>
  <c r="BB435" i="2"/>
  <c r="BB507" i="2"/>
  <c r="BB568" i="2"/>
  <c r="BC393" i="2"/>
  <c r="BD393" i="2" s="1"/>
  <c r="BE393" i="2" s="1"/>
  <c r="BC465" i="2"/>
  <c r="BD465" i="2" s="1"/>
  <c r="BE465" i="2" s="1"/>
  <c r="BC537" i="2"/>
  <c r="BD537" i="2" s="1"/>
  <c r="BE537" i="2" s="1"/>
  <c r="BB452" i="2"/>
  <c r="BB524" i="2"/>
  <c r="BB620" i="2"/>
  <c r="BC703" i="2"/>
  <c r="BD703" i="2" s="1"/>
  <c r="BE703" i="2" s="1"/>
  <c r="BC634" i="2"/>
  <c r="BD634" i="2" s="1"/>
  <c r="BE634" i="2" s="1"/>
  <c r="BC750" i="2"/>
  <c r="BD750" i="2" s="1"/>
  <c r="BE750" i="2" s="1"/>
  <c r="BC685" i="2"/>
  <c r="BD685" i="2" s="1"/>
  <c r="BE685" i="2" s="1"/>
  <c r="BC663" i="2"/>
  <c r="BD663" i="2" s="1"/>
  <c r="BE663" i="2" s="1"/>
  <c r="BC741" i="2"/>
  <c r="BD741" i="2" s="1"/>
  <c r="BE741" i="2" s="1"/>
  <c r="BB684" i="2"/>
  <c r="BC810" i="2"/>
  <c r="BD810" i="2" s="1"/>
  <c r="BE810" i="2" s="1"/>
  <c r="BC688" i="2"/>
  <c r="BD688" i="2" s="1"/>
  <c r="BE688" i="2" s="1"/>
  <c r="BB613" i="2"/>
  <c r="BB730" i="2"/>
  <c r="BC568" i="2"/>
  <c r="BD568" i="2" s="1"/>
  <c r="BE568" i="2" s="1"/>
  <c r="BC583" i="2"/>
  <c r="BD583" i="2" s="1"/>
  <c r="BE583" i="2" s="1"/>
  <c r="BC598" i="2"/>
  <c r="BD598" i="2" s="1"/>
  <c r="BE598" i="2" s="1"/>
  <c r="BC612" i="2"/>
  <c r="BD612" i="2" s="1"/>
  <c r="BE612" i="2" s="1"/>
  <c r="BB687" i="2"/>
  <c r="BB624" i="2"/>
  <c r="BC701" i="2"/>
  <c r="BD701" i="2" s="1"/>
  <c r="BE701" i="2" s="1"/>
  <c r="BC654" i="2"/>
  <c r="BD654" i="2" s="1"/>
  <c r="BE654" i="2" s="1"/>
  <c r="BB647" i="2"/>
  <c r="BC725" i="2"/>
  <c r="BD725" i="2" s="1"/>
  <c r="BE725" i="2" s="1"/>
  <c r="BC803" i="2"/>
  <c r="BD803" i="2" s="1"/>
  <c r="BE803" i="2" s="1"/>
  <c r="BB820" i="2"/>
  <c r="BC806" i="2"/>
  <c r="BD806" i="2" s="1"/>
  <c r="BE806" i="2" s="1"/>
  <c r="BB769" i="2"/>
  <c r="BB756" i="2"/>
  <c r="BB755" i="2"/>
  <c r="BB862" i="2"/>
  <c r="BC840" i="2"/>
  <c r="BD840" i="2" s="1"/>
  <c r="BE840" i="2" s="1"/>
  <c r="BC778" i="2"/>
  <c r="BD778" i="2" s="1"/>
  <c r="BE778" i="2" s="1"/>
  <c r="BC765" i="2"/>
  <c r="BD765" i="2" s="1"/>
  <c r="BE765" i="2" s="1"/>
  <c r="BC752" i="2"/>
  <c r="BD752" i="2" s="1"/>
  <c r="BE752" i="2" s="1"/>
  <c r="BC727" i="2"/>
  <c r="BD727" i="2" s="1"/>
  <c r="BE727" i="2" s="1"/>
  <c r="BC864" i="2"/>
  <c r="BD864" i="2" s="1"/>
  <c r="BE864" i="2" s="1"/>
  <c r="BB919" i="2"/>
  <c r="BB906" i="2"/>
  <c r="BC996" i="2"/>
  <c r="BD996" i="2" s="1"/>
  <c r="BE996" i="2" s="1"/>
  <c r="BB897" i="2"/>
  <c r="BB859" i="2"/>
  <c r="BC865" i="2"/>
  <c r="BD865" i="2" s="1"/>
  <c r="BE865" i="2" s="1"/>
  <c r="BB852" i="2"/>
  <c r="BC888" i="2"/>
  <c r="BD888" i="2" s="1"/>
  <c r="BE888" i="2" s="1"/>
  <c r="BC988" i="2"/>
  <c r="BD988" i="2" s="1"/>
  <c r="BE988" i="2" s="1"/>
  <c r="BB857" i="2"/>
  <c r="BC869" i="2"/>
  <c r="BD869" i="2" s="1"/>
  <c r="BE869" i="2" s="1"/>
  <c r="BC909" i="2"/>
  <c r="BD909" i="2" s="1"/>
  <c r="BE909" i="2" s="1"/>
  <c r="BC925" i="2"/>
  <c r="BD925" i="2" s="1"/>
  <c r="BE925" i="2" s="1"/>
  <c r="BC1015" i="2"/>
  <c r="BD1015" i="2" s="1"/>
  <c r="BE1015" i="2" s="1"/>
  <c r="BB1018" i="2"/>
  <c r="BC1032" i="2"/>
  <c r="BD1032" i="2" s="1"/>
  <c r="BE1032" i="2" s="1"/>
  <c r="BB962" i="2"/>
  <c r="BC974" i="2"/>
  <c r="BD974" i="2" s="1"/>
  <c r="BE974" i="2" s="1"/>
  <c r="BB967" i="2"/>
  <c r="BB985" i="2"/>
  <c r="BC993" i="2"/>
  <c r="BD993" i="2" s="1"/>
  <c r="BE993" i="2" s="1"/>
  <c r="BC972" i="2"/>
  <c r="BD972" i="2" s="1"/>
  <c r="BE972" i="2" s="1"/>
  <c r="BB988" i="2"/>
  <c r="BC1060" i="2"/>
  <c r="BD1060" i="2" s="1"/>
  <c r="BE1060" i="2" s="1"/>
  <c r="BC1080" i="2"/>
  <c r="BD1080" i="2" s="1"/>
  <c r="BE1080" i="2" s="1"/>
  <c r="BC1018" i="2"/>
  <c r="BD1018" i="2" s="1"/>
  <c r="BE1018" i="2" s="1"/>
  <c r="BB1062" i="2"/>
  <c r="BC1129" i="2"/>
  <c r="BD1129" i="2" s="1"/>
  <c r="BE1129" i="2" s="1"/>
  <c r="BC1237" i="2"/>
  <c r="BD1237" i="2" s="1"/>
  <c r="BE1237" i="2" s="1"/>
  <c r="BC1247" i="2"/>
  <c r="BD1247" i="2" s="1"/>
  <c r="BE1247" i="2" s="1"/>
  <c r="BB1342" i="2"/>
  <c r="BC1344" i="2"/>
  <c r="BD1344" i="2" s="1"/>
  <c r="BE1344" i="2" s="1"/>
  <c r="BB1392" i="2"/>
  <c r="BC1566" i="2"/>
  <c r="BD1566" i="2" s="1"/>
  <c r="BE1566" i="2" s="1"/>
  <c r="BB1621" i="2"/>
  <c r="BC6" i="2"/>
  <c r="BD6" i="2" s="1"/>
  <c r="BE6" i="2" s="1"/>
  <c r="BB114" i="2"/>
  <c r="BB25" i="2"/>
  <c r="BB185" i="2"/>
  <c r="BB30" i="2"/>
  <c r="BC114" i="2"/>
  <c r="BD114" i="2" s="1"/>
  <c r="BE114" i="2" s="1"/>
  <c r="BB162" i="2"/>
  <c r="BB211" i="2"/>
  <c r="BB87" i="2"/>
  <c r="BC190" i="2"/>
  <c r="BD190" i="2" s="1"/>
  <c r="BE190" i="2" s="1"/>
  <c r="BB35" i="2"/>
  <c r="BC145" i="2"/>
  <c r="BD145" i="2" s="1"/>
  <c r="BE145" i="2" s="1"/>
  <c r="BC35" i="2"/>
  <c r="BD35" i="2" s="1"/>
  <c r="BE35" i="2" s="1"/>
  <c r="BB113" i="2"/>
  <c r="BB159" i="2"/>
  <c r="BB40" i="2"/>
  <c r="BC86" i="2"/>
  <c r="BD86" i="2" s="1"/>
  <c r="BE86" i="2" s="1"/>
  <c r="BC128" i="2"/>
  <c r="BD128" i="2" s="1"/>
  <c r="BE128" i="2" s="1"/>
  <c r="BB191" i="2"/>
  <c r="BC44" i="2"/>
  <c r="BD44" i="2" s="1"/>
  <c r="BE44" i="2" s="1"/>
  <c r="BB91" i="2"/>
  <c r="BC194" i="2"/>
  <c r="BD194" i="2" s="1"/>
  <c r="BE194" i="2" s="1"/>
  <c r="BB59" i="2"/>
  <c r="BC173" i="2"/>
  <c r="BD173" i="2" s="1"/>
  <c r="BE173" i="2" s="1"/>
  <c r="BC55" i="2"/>
  <c r="BD55" i="2" s="1"/>
  <c r="BE55" i="2" s="1"/>
  <c r="BB106" i="2"/>
  <c r="BC144" i="2"/>
  <c r="BD144" i="2" s="1"/>
  <c r="BE144" i="2" s="1"/>
  <c r="BC21" i="2"/>
  <c r="BD21" i="2" s="1"/>
  <c r="BE21" i="2" s="1"/>
  <c r="BB81" i="2"/>
  <c r="BC124" i="2"/>
  <c r="BD124" i="2" s="1"/>
  <c r="BE124" i="2" s="1"/>
  <c r="BB182" i="2"/>
  <c r="BB17" i="2"/>
  <c r="BB89" i="2"/>
  <c r="BC198" i="2"/>
  <c r="BD198" i="2" s="1"/>
  <c r="BE198" i="2" s="1"/>
  <c r="BB51" i="2"/>
  <c r="BB160" i="2"/>
  <c r="BB242" i="2"/>
  <c r="BB256" i="2"/>
  <c r="BB275" i="2"/>
  <c r="BB247" i="2"/>
  <c r="BC253" i="2"/>
  <c r="BD253" i="2" s="1"/>
  <c r="BE253" i="2" s="1"/>
  <c r="BC224" i="2"/>
  <c r="BD224" i="2" s="1"/>
  <c r="BE224" i="2" s="1"/>
  <c r="BB259" i="2"/>
  <c r="BB219" i="2"/>
  <c r="BC259" i="2"/>
  <c r="BD259" i="2" s="1"/>
  <c r="BE259" i="2" s="1"/>
  <c r="BC263" i="2"/>
  <c r="BD263" i="2" s="1"/>
  <c r="BE263" i="2" s="1"/>
  <c r="BB333" i="2"/>
  <c r="BC381" i="2"/>
  <c r="BD381" i="2" s="1"/>
  <c r="BE381" i="2" s="1"/>
  <c r="BB249" i="2"/>
  <c r="BC320" i="2"/>
  <c r="BD320" i="2" s="1"/>
  <c r="BE320" i="2" s="1"/>
  <c r="BC369" i="2"/>
  <c r="BD369" i="2" s="1"/>
  <c r="BE369" i="2" s="1"/>
  <c r="BB272" i="2"/>
  <c r="BC419" i="2"/>
  <c r="BD419" i="2" s="1"/>
  <c r="BE419" i="2" s="1"/>
  <c r="BB332" i="2"/>
  <c r="BB380" i="2"/>
  <c r="BC328" i="2"/>
  <c r="BD328" i="2" s="1"/>
  <c r="BE328" i="2" s="1"/>
  <c r="BC376" i="2"/>
  <c r="BD376" i="2" s="1"/>
  <c r="BE376" i="2" s="1"/>
  <c r="BC270" i="2"/>
  <c r="BD270" i="2" s="1"/>
  <c r="BE270" i="2" s="1"/>
  <c r="BB407" i="2"/>
  <c r="BB323" i="2"/>
  <c r="BB371" i="2"/>
  <c r="BC327" i="2"/>
  <c r="BD327" i="2" s="1"/>
  <c r="BE327" i="2" s="1"/>
  <c r="BC375" i="2"/>
  <c r="BD375" i="2" s="1"/>
  <c r="BE375" i="2" s="1"/>
  <c r="BC267" i="2"/>
  <c r="BD267" i="2" s="1"/>
  <c r="BE267" i="2" s="1"/>
  <c r="BB396" i="2"/>
  <c r="BC242" i="2"/>
  <c r="BD242" i="2" s="1"/>
  <c r="BE242" i="2" s="1"/>
  <c r="BC314" i="2"/>
  <c r="BD314" i="2" s="1"/>
  <c r="BE314" i="2" s="1"/>
  <c r="BB366" i="2"/>
  <c r="BC512" i="2"/>
  <c r="BD512" i="2" s="1"/>
  <c r="BE512" i="2" s="1"/>
  <c r="BC346" i="2"/>
  <c r="BD346" i="2" s="1"/>
  <c r="BE346" i="2" s="1"/>
  <c r="BC427" i="2"/>
  <c r="BD427" i="2" s="1"/>
  <c r="BE427" i="2" s="1"/>
  <c r="BB433" i="2"/>
  <c r="BB505" i="2"/>
  <c r="BB567" i="2"/>
  <c r="BC445" i="2"/>
  <c r="BD445" i="2" s="1"/>
  <c r="BE445" i="2" s="1"/>
  <c r="BC517" i="2"/>
  <c r="BD517" i="2" s="1"/>
  <c r="BE517" i="2" s="1"/>
  <c r="BB703" i="2"/>
  <c r="BB504" i="2"/>
  <c r="BC420" i="2"/>
  <c r="BD420" i="2" s="1"/>
  <c r="BE420" i="2" s="1"/>
  <c r="BC492" i="2"/>
  <c r="BD492" i="2" s="1"/>
  <c r="BE492" i="2" s="1"/>
  <c r="BB706" i="2"/>
  <c r="BB509" i="2"/>
  <c r="BB569" i="2"/>
  <c r="BC443" i="2"/>
  <c r="BD443" i="2" s="1"/>
  <c r="BE443" i="2" s="1"/>
  <c r="BC515" i="2"/>
  <c r="BD515" i="2" s="1"/>
  <c r="BE515" i="2" s="1"/>
  <c r="BB460" i="2"/>
  <c r="BB532" i="2"/>
  <c r="BC400" i="2"/>
  <c r="BD400" i="2" s="1"/>
  <c r="BE400" i="2" s="1"/>
  <c r="BC472" i="2"/>
  <c r="BD472" i="2" s="1"/>
  <c r="BE472" i="2" s="1"/>
  <c r="BC544" i="2"/>
  <c r="BD544" i="2" s="1"/>
  <c r="BE544" i="2" s="1"/>
  <c r="BB441" i="2"/>
  <c r="BB513" i="2"/>
  <c r="BB571" i="2"/>
  <c r="BC399" i="2"/>
  <c r="BD399" i="2" s="1"/>
  <c r="BE399" i="2" s="1"/>
  <c r="BC471" i="2"/>
  <c r="BD471" i="2" s="1"/>
  <c r="BE471" i="2" s="1"/>
  <c r="BC543" i="2"/>
  <c r="BD543" i="2" s="1"/>
  <c r="BE543" i="2" s="1"/>
  <c r="BB458" i="2"/>
  <c r="BB530" i="2"/>
  <c r="BC621" i="2"/>
  <c r="BD621" i="2" s="1"/>
  <c r="BE621" i="2" s="1"/>
  <c r="BC706" i="2"/>
  <c r="BD706" i="2" s="1"/>
  <c r="BE706" i="2" s="1"/>
  <c r="BC646" i="2"/>
  <c r="BD646" i="2" s="1"/>
  <c r="BE646" i="2" s="1"/>
  <c r="BC848" i="2"/>
  <c r="BD848" i="2" s="1"/>
  <c r="BE848" i="2" s="1"/>
  <c r="BC689" i="2"/>
  <c r="BD689" i="2" s="1"/>
  <c r="BE689" i="2" s="1"/>
  <c r="BC669" i="2"/>
  <c r="BD669" i="2" s="1"/>
  <c r="BE669" i="2" s="1"/>
  <c r="BB792" i="2"/>
  <c r="BB692" i="2"/>
  <c r="BB615" i="2"/>
  <c r="BC692" i="2"/>
  <c r="BD692" i="2" s="1"/>
  <c r="BE692" i="2" s="1"/>
  <c r="BB614" i="2"/>
  <c r="BC735" i="2"/>
  <c r="BD735" i="2" s="1"/>
  <c r="BE735" i="2" s="1"/>
  <c r="BC570" i="2"/>
  <c r="BD570" i="2" s="1"/>
  <c r="BE570" i="2" s="1"/>
  <c r="BC585" i="2"/>
  <c r="BD585" i="2" s="1"/>
  <c r="BE585" i="2" s="1"/>
  <c r="BC599" i="2"/>
  <c r="BD599" i="2" s="1"/>
  <c r="BE599" i="2" s="1"/>
  <c r="BC613" i="2"/>
  <c r="BD613" i="2" s="1"/>
  <c r="BE613" i="2" s="1"/>
  <c r="BB691" i="2"/>
  <c r="BB636" i="2"/>
  <c r="BC707" i="2"/>
  <c r="BD707" i="2" s="1"/>
  <c r="BE707" i="2" s="1"/>
  <c r="BC660" i="2"/>
  <c r="BD660" i="2" s="1"/>
  <c r="BE660" i="2" s="1"/>
  <c r="BB653" i="2"/>
  <c r="BB736" i="2"/>
  <c r="BB823" i="2"/>
  <c r="BC825" i="2"/>
  <c r="BD825" i="2" s="1"/>
  <c r="BE825" i="2" s="1"/>
  <c r="BC809" i="2"/>
  <c r="BD809" i="2" s="1"/>
  <c r="BE809" i="2" s="1"/>
  <c r="BC770" i="2"/>
  <c r="BD770" i="2" s="1"/>
  <c r="BE770" i="2" s="1"/>
  <c r="BC757" i="2"/>
  <c r="BD757" i="2" s="1"/>
  <c r="BE757" i="2" s="1"/>
  <c r="BB767" i="2"/>
  <c r="BB754" i="2"/>
  <c r="BB842" i="2"/>
  <c r="BB785" i="2"/>
  <c r="BB776" i="2"/>
  <c r="BC764" i="2"/>
  <c r="BD764" i="2" s="1"/>
  <c r="BE764" i="2" s="1"/>
  <c r="BB738" i="2"/>
  <c r="BB936" i="2"/>
  <c r="BB925" i="2"/>
  <c r="BC1012" i="2"/>
  <c r="BD1012" i="2" s="1"/>
  <c r="BE1012" i="2" s="1"/>
  <c r="BB860" i="2"/>
  <c r="BB905" i="2"/>
  <c r="BB865" i="2"/>
  <c r="BC871" i="2"/>
  <c r="BD871" i="2" s="1"/>
  <c r="BE871" i="2" s="1"/>
  <c r="BB864" i="2"/>
  <c r="BC892" i="2"/>
  <c r="BD892" i="2" s="1"/>
  <c r="BE892" i="2" s="1"/>
  <c r="BB782" i="2"/>
  <c r="BB869" i="2"/>
  <c r="BC875" i="2"/>
  <c r="BD875" i="2" s="1"/>
  <c r="BE875" i="2" s="1"/>
  <c r="BC910" i="2"/>
  <c r="BD910" i="2" s="1"/>
  <c r="BE910" i="2" s="1"/>
  <c r="BC927" i="2"/>
  <c r="BD927" i="2" s="1"/>
  <c r="BE927" i="2" s="1"/>
  <c r="BB1023" i="2"/>
  <c r="BC1023" i="2"/>
  <c r="BD1023" i="2" s="1"/>
  <c r="BE1023" i="2" s="1"/>
  <c r="BC957" i="2"/>
  <c r="BD957" i="2" s="1"/>
  <c r="BE957" i="2" s="1"/>
  <c r="BB968" i="2"/>
  <c r="BC978" i="2"/>
  <c r="BD978" i="2" s="1"/>
  <c r="BE978" i="2" s="1"/>
  <c r="BB1007" i="2"/>
  <c r="BB989" i="2"/>
  <c r="BC997" i="2"/>
  <c r="BD997" i="2" s="1"/>
  <c r="BE997" i="2" s="1"/>
  <c r="BC1003" i="2"/>
  <c r="BD1003" i="2" s="1"/>
  <c r="BE1003" i="2" s="1"/>
  <c r="BB992" i="2"/>
  <c r="BB1071" i="2"/>
  <c r="CP48" i="2" s="1"/>
  <c r="BC1110" i="2"/>
  <c r="BD1110" i="2" s="1"/>
  <c r="BE1110" i="2" s="1"/>
  <c r="BB1041" i="2"/>
  <c r="BB1098" i="2"/>
  <c r="BB1200" i="2"/>
  <c r="BB1204" i="2"/>
  <c r="BC1220" i="2"/>
  <c r="BD1220" i="2" s="1"/>
  <c r="BE1220" i="2" s="1"/>
  <c r="BC1311" i="2"/>
  <c r="BD1311" i="2" s="1"/>
  <c r="BE1311" i="2" s="1"/>
  <c r="BC1377" i="2"/>
  <c r="BD1377" i="2" s="1"/>
  <c r="BE1377" i="2" s="1"/>
  <c r="BC1393" i="2"/>
  <c r="BD1393" i="2" s="1"/>
  <c r="BE1393" i="2" s="1"/>
  <c r="BC1474" i="2"/>
  <c r="BD1474" i="2" s="1"/>
  <c r="BE1474" i="2" s="1"/>
  <c r="BC1615" i="2"/>
  <c r="BD1615" i="2" s="1"/>
  <c r="BE1615" i="2" s="1"/>
  <c r="BK1337" i="2"/>
  <c r="BM1337" i="2" s="1"/>
  <c r="BI1337" i="2"/>
  <c r="BK1313" i="2"/>
  <c r="BM1313" i="2" s="1"/>
  <c r="CQ24" i="2" s="1"/>
  <c r="BI1313" i="2"/>
  <c r="BK1326" i="2"/>
  <c r="BM1326" i="2" s="1"/>
  <c r="BI1326" i="2"/>
  <c r="BI1320" i="2"/>
  <c r="BK1320" i="2"/>
  <c r="BM1320" i="2" s="1"/>
  <c r="BI1259" i="2"/>
  <c r="BK1259" i="2"/>
  <c r="BM1259" i="2" s="1"/>
  <c r="BK1319" i="2"/>
  <c r="BM1319" i="2" s="1"/>
  <c r="BI1319" i="2"/>
  <c r="BI1341" i="2"/>
  <c r="BK1341" i="2"/>
  <c r="BM1341" i="2" s="1"/>
  <c r="BK1381" i="2"/>
  <c r="BM1381" i="2" s="1"/>
  <c r="BI1381" i="2"/>
  <c r="BK1407" i="2"/>
  <c r="BM1407" i="2" s="1"/>
  <c r="CQ17" i="2" s="1"/>
  <c r="BI1407" i="2"/>
  <c r="BI1347" i="2"/>
  <c r="BK1347" i="2"/>
  <c r="BM1347" i="2" s="1"/>
  <c r="BI1442" i="2"/>
  <c r="BK1442" i="2"/>
  <c r="BM1442" i="2" s="1"/>
  <c r="BK1434" i="2"/>
  <c r="BM1434" i="2" s="1"/>
  <c r="CQ18" i="2" s="1"/>
  <c r="BI1434" i="2"/>
  <c r="BI1454" i="2"/>
  <c r="BK1454" i="2"/>
  <c r="BM1454" i="2" s="1"/>
  <c r="BI1443" i="2"/>
  <c r="BK1443" i="2"/>
  <c r="BM1443" i="2" s="1"/>
  <c r="BK1480" i="2"/>
  <c r="BM1480" i="2" s="1"/>
  <c r="BI1480" i="2"/>
  <c r="BK1498" i="2"/>
  <c r="BM1498" i="2" s="1"/>
  <c r="BI1498" i="2"/>
  <c r="BI1462" i="2"/>
  <c r="BK1462" i="2"/>
  <c r="BM1462" i="2" s="1"/>
  <c r="BK1519" i="2"/>
  <c r="BM1519" i="2" s="1"/>
  <c r="BI1519" i="2"/>
  <c r="BI1549" i="2"/>
  <c r="BK1549" i="2"/>
  <c r="BM1549" i="2" s="1"/>
  <c r="BK1521" i="2"/>
  <c r="BM1521" i="2" s="1"/>
  <c r="BI1521" i="2"/>
  <c r="BK1514" i="2"/>
  <c r="BM1514" i="2" s="1"/>
  <c r="BI1514" i="2"/>
  <c r="BI1506" i="2"/>
  <c r="BK1506" i="2"/>
  <c r="BM1506" i="2" s="1"/>
  <c r="BK1623" i="2"/>
  <c r="BM1623" i="2" s="1"/>
  <c r="BI1623" i="2"/>
  <c r="BK1619" i="2"/>
  <c r="BM1619" i="2" s="1"/>
  <c r="BI1619" i="2"/>
  <c r="BW9" i="2"/>
  <c r="CF9" i="2" s="1"/>
  <c r="CG9" i="2" s="1"/>
  <c r="BU9" i="2"/>
  <c r="CD9" i="2" s="1"/>
  <c r="BB10" i="2"/>
  <c r="BB132" i="2"/>
  <c r="BC102" i="2"/>
  <c r="BD102" i="2" s="1"/>
  <c r="BE102" i="2" s="1"/>
  <c r="BB18" i="2"/>
  <c r="BB36" i="2"/>
  <c r="BC117" i="2"/>
  <c r="BD117" i="2" s="1"/>
  <c r="BE117" i="2" s="1"/>
  <c r="BC167" i="2"/>
  <c r="BD167" i="2" s="1"/>
  <c r="BE167" i="2" s="1"/>
  <c r="BC215" i="2"/>
  <c r="BD215" i="2" s="1"/>
  <c r="BE215" i="2" s="1"/>
  <c r="BB93" i="2"/>
  <c r="BC193" i="2"/>
  <c r="BD193" i="2" s="1"/>
  <c r="BE193" i="2" s="1"/>
  <c r="BB41" i="2"/>
  <c r="BB152" i="2"/>
  <c r="BC41" i="2"/>
  <c r="BD41" i="2" s="1"/>
  <c r="BE41" i="2" s="1"/>
  <c r="BB116" i="2"/>
  <c r="BC164" i="2"/>
  <c r="BD164" i="2" s="1"/>
  <c r="BE164" i="2" s="1"/>
  <c r="BB44" i="2"/>
  <c r="BC92" i="2"/>
  <c r="BD92" i="2" s="1"/>
  <c r="BE92" i="2" s="1"/>
  <c r="BC131" i="2"/>
  <c r="BD131" i="2" s="1"/>
  <c r="BE131" i="2" s="1"/>
  <c r="BB194" i="2"/>
  <c r="BC45" i="2"/>
  <c r="BD45" i="2" s="1"/>
  <c r="BE45" i="2" s="1"/>
  <c r="BC96" i="2"/>
  <c r="BD96" i="2" s="1"/>
  <c r="BE96" i="2" s="1"/>
  <c r="BC197" i="2"/>
  <c r="BD197" i="2" s="1"/>
  <c r="BE197" i="2" s="1"/>
  <c r="BC60" i="2"/>
  <c r="BD60" i="2" s="1"/>
  <c r="BE60" i="2" s="1"/>
  <c r="BB180" i="2"/>
  <c r="BB56" i="2"/>
  <c r="BB109" i="2"/>
  <c r="BB151" i="2"/>
  <c r="BC22" i="2"/>
  <c r="BD22" i="2" s="1"/>
  <c r="BE22" i="2" s="1"/>
  <c r="BC82" i="2"/>
  <c r="BD82" i="2" s="1"/>
  <c r="BE82" i="2" s="1"/>
  <c r="BC127" i="2"/>
  <c r="BD127" i="2" s="1"/>
  <c r="BE127" i="2" s="1"/>
  <c r="BC189" i="2"/>
  <c r="BD189" i="2" s="1"/>
  <c r="BE189" i="2" s="1"/>
  <c r="BB19" i="2"/>
  <c r="BB141" i="2"/>
  <c r="BC201" i="2"/>
  <c r="BD201" i="2" s="1"/>
  <c r="BE201" i="2" s="1"/>
  <c r="BB67" i="2"/>
  <c r="BC165" i="2"/>
  <c r="BD165" i="2" s="1"/>
  <c r="BE165" i="2" s="1"/>
  <c r="BB245" i="2"/>
  <c r="BB264" i="2"/>
  <c r="BB287" i="2"/>
  <c r="BC271" i="2"/>
  <c r="BD271" i="2" s="1"/>
  <c r="BE271" i="2" s="1"/>
  <c r="BC269" i="2"/>
  <c r="BD269" i="2" s="1"/>
  <c r="BE269" i="2" s="1"/>
  <c r="BB230" i="2"/>
  <c r="BB263" i="2"/>
  <c r="BB220" i="2"/>
  <c r="BC272" i="2"/>
  <c r="BD272" i="2" s="1"/>
  <c r="BE272" i="2" s="1"/>
  <c r="BB274" i="2"/>
  <c r="BB337" i="2"/>
  <c r="BB384" i="2"/>
  <c r="BC250" i="2"/>
  <c r="BD250" i="2" s="1"/>
  <c r="BE250" i="2" s="1"/>
  <c r="BC325" i="2"/>
  <c r="BD325" i="2" s="1"/>
  <c r="BE325" i="2" s="1"/>
  <c r="BC373" i="2"/>
  <c r="BD373" i="2" s="1"/>
  <c r="BE373" i="2" s="1"/>
  <c r="BC273" i="2"/>
  <c r="BD273" i="2" s="1"/>
  <c r="BE273" i="2" s="1"/>
  <c r="BB430" i="2"/>
  <c r="BB336" i="2"/>
  <c r="BC392" i="2"/>
  <c r="BD392" i="2" s="1"/>
  <c r="BE392" i="2" s="1"/>
  <c r="BC332" i="2"/>
  <c r="BD332" i="2" s="1"/>
  <c r="BE332" i="2" s="1"/>
  <c r="BC380" i="2"/>
  <c r="BD380" i="2" s="1"/>
  <c r="BE380" i="2" s="1"/>
  <c r="BB281" i="2"/>
  <c r="BB416" i="2"/>
  <c r="BB327" i="2"/>
  <c r="BB375" i="2"/>
  <c r="BC331" i="2"/>
  <c r="BD331" i="2" s="1"/>
  <c r="BE331" i="2" s="1"/>
  <c r="BC379" i="2"/>
  <c r="BD379" i="2" s="1"/>
  <c r="BE379" i="2" s="1"/>
  <c r="BB278" i="2"/>
  <c r="BB404" i="2"/>
  <c r="BB253" i="2"/>
  <c r="BC322" i="2"/>
  <c r="BD322" i="2" s="1"/>
  <c r="BE322" i="2" s="1"/>
  <c r="BB370" i="2"/>
  <c r="BB718" i="2"/>
  <c r="BC350" i="2"/>
  <c r="BD350" i="2" s="1"/>
  <c r="BE350" i="2" s="1"/>
  <c r="BC470" i="2"/>
  <c r="BD470" i="2" s="1"/>
  <c r="BE470" i="2" s="1"/>
  <c r="BB439" i="2"/>
  <c r="BB511" i="2"/>
  <c r="BB570" i="2"/>
  <c r="BC451" i="2"/>
  <c r="BD451" i="2" s="1"/>
  <c r="BE451" i="2" s="1"/>
  <c r="BC523" i="2"/>
  <c r="BD523" i="2" s="1"/>
  <c r="BE523" i="2" s="1"/>
  <c r="BB721" i="2"/>
  <c r="BB510" i="2"/>
  <c r="BC426" i="2"/>
  <c r="BD426" i="2" s="1"/>
  <c r="BE426" i="2" s="1"/>
  <c r="BC498" i="2"/>
  <c r="BD498" i="2" s="1"/>
  <c r="BE498" i="2" s="1"/>
  <c r="BB443" i="2"/>
  <c r="BB515" i="2"/>
  <c r="BB572" i="2"/>
  <c r="BC449" i="2"/>
  <c r="BD449" i="2" s="1"/>
  <c r="BE449" i="2" s="1"/>
  <c r="BC521" i="2"/>
  <c r="BD521" i="2" s="1"/>
  <c r="BE521" i="2" s="1"/>
  <c r="BB466" i="2"/>
  <c r="BB538" i="2"/>
  <c r="BC406" i="2"/>
  <c r="BD406" i="2" s="1"/>
  <c r="BE406" i="2" s="1"/>
  <c r="BC478" i="2"/>
  <c r="BD478" i="2" s="1"/>
  <c r="BE478" i="2" s="1"/>
  <c r="BC550" i="2"/>
  <c r="BD550" i="2" s="1"/>
  <c r="BE550" i="2" s="1"/>
  <c r="BB447" i="2"/>
  <c r="BB519" i="2"/>
  <c r="BB574" i="2"/>
  <c r="BC405" i="2"/>
  <c r="BD405" i="2" s="1"/>
  <c r="BE405" i="2" s="1"/>
  <c r="BC477" i="2"/>
  <c r="BD477" i="2" s="1"/>
  <c r="BE477" i="2" s="1"/>
  <c r="BC549" i="2"/>
  <c r="BD549" i="2" s="1"/>
  <c r="BE549" i="2" s="1"/>
  <c r="BB464" i="2"/>
  <c r="BB536" i="2"/>
  <c r="BB628" i="2"/>
  <c r="BC709" i="2"/>
  <c r="BD709" i="2" s="1"/>
  <c r="BE709" i="2" s="1"/>
  <c r="BC652" i="2"/>
  <c r="BD652" i="2" s="1"/>
  <c r="BE652" i="2" s="1"/>
  <c r="BB618" i="2"/>
  <c r="BC693" i="2"/>
  <c r="BD693" i="2" s="1"/>
  <c r="BE693" i="2" s="1"/>
  <c r="BC675" i="2"/>
  <c r="BD675" i="2" s="1"/>
  <c r="BE675" i="2" s="1"/>
  <c r="BB616" i="2"/>
  <c r="BC696" i="2"/>
  <c r="BD696" i="2" s="1"/>
  <c r="BE696" i="2" s="1"/>
  <c r="BC616" i="2"/>
  <c r="BD616" i="2" s="1"/>
  <c r="BE616" i="2" s="1"/>
  <c r="BB735" i="2"/>
  <c r="BC615" i="2"/>
  <c r="BD615" i="2" s="1"/>
  <c r="BE615" i="2" s="1"/>
  <c r="BC743" i="2"/>
  <c r="BD743" i="2" s="1"/>
  <c r="BE743" i="2" s="1"/>
  <c r="BC571" i="2"/>
  <c r="BD571" i="2" s="1"/>
  <c r="BE571" i="2" s="1"/>
  <c r="BC586" i="2"/>
  <c r="BD586" i="2" s="1"/>
  <c r="BE586" i="2" s="1"/>
  <c r="BC600" i="2"/>
  <c r="BD600" i="2" s="1"/>
  <c r="BE600" i="2" s="1"/>
  <c r="BC614" i="2"/>
  <c r="BD614" i="2" s="1"/>
  <c r="BE614" i="2" s="1"/>
  <c r="BB695" i="2"/>
  <c r="BB642" i="2"/>
  <c r="BC710" i="2"/>
  <c r="BD710" i="2" s="1"/>
  <c r="BE710" i="2" s="1"/>
  <c r="BC666" i="2"/>
  <c r="BD666" i="2" s="1"/>
  <c r="BE666" i="2" s="1"/>
  <c r="BB659" i="2"/>
  <c r="BC737" i="2"/>
  <c r="BD737" i="2" s="1"/>
  <c r="BE737" i="2" s="1"/>
  <c r="BB825" i="2"/>
  <c r="BC841" i="2"/>
  <c r="BD841" i="2" s="1"/>
  <c r="BE841" i="2" s="1"/>
  <c r="BB812" i="2"/>
  <c r="BB781" i="2"/>
  <c r="BB768" i="2"/>
  <c r="BC768" i="2"/>
  <c r="BD768" i="2" s="1"/>
  <c r="BE768" i="2" s="1"/>
  <c r="BC755" i="2"/>
  <c r="BD755" i="2" s="1"/>
  <c r="BE755" i="2" s="1"/>
  <c r="BB850" i="2"/>
  <c r="BC798" i="2"/>
  <c r="BD798" i="2" s="1"/>
  <c r="BE798" i="2" s="1"/>
  <c r="BB789" i="2"/>
  <c r="BB775" i="2"/>
  <c r="BC739" i="2"/>
  <c r="BD739" i="2" s="1"/>
  <c r="BE739" i="2" s="1"/>
  <c r="BC832" i="2"/>
  <c r="BD832" i="2" s="1"/>
  <c r="BE832" i="2" s="1"/>
  <c r="BB928" i="2"/>
  <c r="BC855" i="2"/>
  <c r="BD855" i="2" s="1"/>
  <c r="BE855" i="2" s="1"/>
  <c r="BB872" i="2"/>
  <c r="BB909" i="2"/>
  <c r="BB871" i="2"/>
  <c r="BC883" i="2"/>
  <c r="BD883" i="2" s="1"/>
  <c r="BE883" i="2" s="1"/>
  <c r="BB870" i="2"/>
  <c r="BC896" i="2"/>
  <c r="BD896" i="2" s="1"/>
  <c r="BE896" i="2" s="1"/>
  <c r="BB784" i="2"/>
  <c r="BB875" i="2"/>
  <c r="BC881" i="2"/>
  <c r="BD881" i="2" s="1"/>
  <c r="BE881" i="2" s="1"/>
  <c r="BC912" i="2"/>
  <c r="BD912" i="2" s="1"/>
  <c r="BE912" i="2" s="1"/>
  <c r="BC928" i="2"/>
  <c r="BD928" i="2" s="1"/>
  <c r="BE928" i="2" s="1"/>
  <c r="BB1034" i="2"/>
  <c r="BB957" i="2"/>
  <c r="BC963" i="2"/>
  <c r="BD963" i="2" s="1"/>
  <c r="BE963" i="2" s="1"/>
  <c r="BB974" i="2"/>
  <c r="BC986" i="2"/>
  <c r="BD986" i="2" s="1"/>
  <c r="BE986" i="2" s="1"/>
  <c r="BB1010" i="2"/>
  <c r="BB993" i="2"/>
  <c r="BB1016" i="2"/>
  <c r="BC1019" i="2"/>
  <c r="BD1019" i="2" s="1"/>
  <c r="BE1019" i="2" s="1"/>
  <c r="BB1006" i="2"/>
  <c r="BB1093" i="2"/>
  <c r="BB1044" i="2"/>
  <c r="BB1065" i="2"/>
  <c r="BC1111" i="2"/>
  <c r="BD1111" i="2" s="1"/>
  <c r="BE1111" i="2" s="1"/>
  <c r="BB1161" i="2"/>
  <c r="BB1230" i="2"/>
  <c r="BC1155" i="2"/>
  <c r="BD1155" i="2" s="1"/>
  <c r="BE1155" i="2" s="1"/>
  <c r="BC1314" i="2"/>
  <c r="BD1314" i="2" s="1"/>
  <c r="BE1314" i="2" s="1"/>
  <c r="BB1317" i="2"/>
  <c r="BB1547" i="2"/>
  <c r="BB1471" i="2"/>
  <c r="BB1619" i="2"/>
  <c r="BB16" i="2"/>
  <c r="BC12" i="2"/>
  <c r="BD12" i="2" s="1"/>
  <c r="BE12" i="2" s="1"/>
  <c r="BC172" i="2"/>
  <c r="BD172" i="2" s="1"/>
  <c r="BE172" i="2" s="1"/>
  <c r="BB120" i="2"/>
  <c r="BB78" i="2"/>
  <c r="BB42" i="2"/>
  <c r="BC120" i="2"/>
  <c r="BD120" i="2" s="1"/>
  <c r="BE120" i="2" s="1"/>
  <c r="BB174" i="2"/>
  <c r="BB23" i="2"/>
  <c r="BB97" i="2"/>
  <c r="BC196" i="2"/>
  <c r="BD196" i="2" s="1"/>
  <c r="BE196" i="2" s="1"/>
  <c r="BB53" i="2"/>
  <c r="BC157" i="2"/>
  <c r="BD157" i="2" s="1"/>
  <c r="BE157" i="2" s="1"/>
  <c r="BC53" i="2"/>
  <c r="BD53" i="2" s="1"/>
  <c r="BE53" i="2" s="1"/>
  <c r="BB119" i="2"/>
  <c r="BB171" i="2"/>
  <c r="BB45" i="2"/>
  <c r="BB96" i="2"/>
  <c r="BC134" i="2"/>
  <c r="BD134" i="2" s="1"/>
  <c r="BE134" i="2" s="1"/>
  <c r="BB197" i="2"/>
  <c r="BC46" i="2"/>
  <c r="BD46" i="2" s="1"/>
  <c r="BE46" i="2" s="1"/>
  <c r="BC100" i="2"/>
  <c r="BD100" i="2" s="1"/>
  <c r="BE100" i="2" s="1"/>
  <c r="BC200" i="2"/>
  <c r="BD200" i="2" s="1"/>
  <c r="BE200" i="2" s="1"/>
  <c r="BB71" i="2"/>
  <c r="BB184" i="2"/>
  <c r="BB58" i="2"/>
  <c r="BB112" i="2"/>
  <c r="BC156" i="2"/>
  <c r="BD156" i="2" s="1"/>
  <c r="BE156" i="2" s="1"/>
  <c r="BB27" i="2"/>
  <c r="BC90" i="2"/>
  <c r="BD90" i="2" s="1"/>
  <c r="BE90" i="2" s="1"/>
  <c r="BC130" i="2"/>
  <c r="BD130" i="2" s="1"/>
  <c r="BE130" i="2" s="1"/>
  <c r="BB192" i="2"/>
  <c r="BC27" i="2"/>
  <c r="BD27" i="2" s="1"/>
  <c r="BE27" i="2" s="1"/>
  <c r="BC146" i="2"/>
  <c r="BD146" i="2" s="1"/>
  <c r="BE146" i="2" s="1"/>
  <c r="BC204" i="2"/>
  <c r="BD204" i="2" s="1"/>
  <c r="BE204" i="2" s="1"/>
  <c r="BC68" i="2"/>
  <c r="BD68" i="2" s="1"/>
  <c r="BE68" i="2" s="1"/>
  <c r="BB172" i="2"/>
  <c r="BB248" i="2"/>
  <c r="BC277" i="2"/>
  <c r="BD277" i="2" s="1"/>
  <c r="BE277" i="2" s="1"/>
  <c r="BB299" i="2"/>
  <c r="BB282" i="2"/>
  <c r="BB280" i="2"/>
  <c r="BB240" i="2"/>
  <c r="BC276" i="2"/>
  <c r="BD276" i="2" s="1"/>
  <c r="BE276" i="2" s="1"/>
  <c r="BB221" i="2"/>
  <c r="BB283" i="2"/>
  <c r="BC275" i="2"/>
  <c r="BD275" i="2" s="1"/>
  <c r="BE275" i="2" s="1"/>
  <c r="BB341" i="2"/>
  <c r="BC390" i="2"/>
  <c r="BD390" i="2" s="1"/>
  <c r="BE390" i="2" s="1"/>
  <c r="BB261" i="2"/>
  <c r="BC329" i="2"/>
  <c r="BD329" i="2" s="1"/>
  <c r="BE329" i="2" s="1"/>
  <c r="BC377" i="2"/>
  <c r="BD377" i="2" s="1"/>
  <c r="BE377" i="2" s="1"/>
  <c r="BB284" i="2"/>
  <c r="BC446" i="2"/>
  <c r="BD446" i="2" s="1"/>
  <c r="BE446" i="2" s="1"/>
  <c r="BB340" i="2"/>
  <c r="BB400" i="2"/>
  <c r="BC336" i="2"/>
  <c r="BD336" i="2" s="1"/>
  <c r="BE336" i="2" s="1"/>
  <c r="BC383" i="2"/>
  <c r="BD383" i="2" s="1"/>
  <c r="BE383" i="2" s="1"/>
  <c r="BC282" i="2"/>
  <c r="BD282" i="2" s="1"/>
  <c r="BE282" i="2" s="1"/>
  <c r="BB426" i="2"/>
  <c r="BB331" i="2"/>
  <c r="BB379" i="2"/>
  <c r="BC335" i="2"/>
  <c r="BD335" i="2" s="1"/>
  <c r="BE335" i="2" s="1"/>
  <c r="BB382" i="2"/>
  <c r="BC279" i="2"/>
  <c r="BD279" i="2" s="1"/>
  <c r="BE279" i="2" s="1"/>
  <c r="BB411" i="2"/>
  <c r="BC254" i="2"/>
  <c r="BD254" i="2" s="1"/>
  <c r="BE254" i="2" s="1"/>
  <c r="BB326" i="2"/>
  <c r="BB374" i="2"/>
  <c r="BB300" i="2"/>
  <c r="BC354" i="2"/>
  <c r="BD354" i="2" s="1"/>
  <c r="BE354" i="2" s="1"/>
  <c r="BC542" i="2"/>
  <c r="BD542" i="2" s="1"/>
  <c r="BE542" i="2" s="1"/>
  <c r="BB445" i="2"/>
  <c r="BB517" i="2"/>
  <c r="BB573" i="2"/>
  <c r="BC457" i="2"/>
  <c r="BD457" i="2" s="1"/>
  <c r="BE457" i="2" s="1"/>
  <c r="BC529" i="2"/>
  <c r="BD529" i="2" s="1"/>
  <c r="BE529" i="2" s="1"/>
  <c r="BB444" i="2"/>
  <c r="BB516" i="2"/>
  <c r="BC432" i="2"/>
  <c r="BD432" i="2" s="1"/>
  <c r="BE432" i="2" s="1"/>
  <c r="BC504" i="2"/>
  <c r="BD504" i="2" s="1"/>
  <c r="BE504" i="2" s="1"/>
  <c r="BB449" i="2"/>
  <c r="BB521" i="2"/>
  <c r="BB575" i="2"/>
  <c r="BC455" i="2"/>
  <c r="BD455" i="2" s="1"/>
  <c r="BE455" i="2" s="1"/>
  <c r="BC527" i="2"/>
  <c r="BD527" i="2" s="1"/>
  <c r="BE527" i="2" s="1"/>
  <c r="BB472" i="2"/>
  <c r="BB544" i="2"/>
  <c r="BC412" i="2"/>
  <c r="BD412" i="2" s="1"/>
  <c r="BE412" i="2" s="1"/>
  <c r="BC484" i="2"/>
  <c r="BD484" i="2" s="1"/>
  <c r="BE484" i="2" s="1"/>
  <c r="BC556" i="2"/>
  <c r="BD556" i="2" s="1"/>
  <c r="BE556" i="2" s="1"/>
  <c r="BB453" i="2"/>
  <c r="BB525" i="2"/>
  <c r="BB577" i="2"/>
  <c r="BC411" i="2"/>
  <c r="BD411" i="2" s="1"/>
  <c r="BE411" i="2" s="1"/>
  <c r="BC483" i="2"/>
  <c r="BD483" i="2" s="1"/>
  <c r="BE483" i="2" s="1"/>
  <c r="BC555" i="2"/>
  <c r="BD555" i="2" s="1"/>
  <c r="BE555" i="2" s="1"/>
  <c r="BB470" i="2"/>
  <c r="BB542" i="2"/>
  <c r="BB634" i="2"/>
  <c r="BC715" i="2"/>
  <c r="BD715" i="2" s="1"/>
  <c r="BE715" i="2" s="1"/>
  <c r="BC664" i="2"/>
  <c r="BD664" i="2" s="1"/>
  <c r="BE664" i="2" s="1"/>
  <c r="BC619" i="2"/>
  <c r="BD619" i="2" s="1"/>
  <c r="BE619" i="2" s="1"/>
  <c r="BC723" i="2"/>
  <c r="BD723" i="2" s="1"/>
  <c r="BE723" i="2" s="1"/>
  <c r="BB696" i="2"/>
  <c r="BB626" i="2"/>
  <c r="BC702" i="2"/>
  <c r="BD702" i="2" s="1"/>
  <c r="BE702" i="2" s="1"/>
  <c r="BC626" i="2"/>
  <c r="BD626" i="2" s="1"/>
  <c r="BE626" i="2" s="1"/>
  <c r="BB743" i="2"/>
  <c r="BB625" i="2"/>
  <c r="BC558" i="2"/>
  <c r="BD558" i="2" s="1"/>
  <c r="BE558" i="2" s="1"/>
  <c r="BC573" i="2"/>
  <c r="BD573" i="2" s="1"/>
  <c r="BE573" i="2" s="1"/>
  <c r="BC587" i="2"/>
  <c r="BD587" i="2" s="1"/>
  <c r="BE587" i="2" s="1"/>
  <c r="BC601" i="2"/>
  <c r="BD601" i="2" s="1"/>
  <c r="BE601" i="2" s="1"/>
  <c r="BC625" i="2"/>
  <c r="BD625" i="2" s="1"/>
  <c r="BE625" i="2" s="1"/>
  <c r="BB701" i="2"/>
  <c r="BB654" i="2"/>
  <c r="BC713" i="2"/>
  <c r="BD713" i="2" s="1"/>
  <c r="BE713" i="2" s="1"/>
  <c r="BC672" i="2"/>
  <c r="BD672" i="2" s="1"/>
  <c r="BE672" i="2" s="1"/>
  <c r="BB665" i="2"/>
  <c r="BC749" i="2"/>
  <c r="BD749" i="2" s="1"/>
  <c r="BE749" i="2" s="1"/>
  <c r="BC843" i="2"/>
  <c r="BD843" i="2" s="1"/>
  <c r="BE843" i="2" s="1"/>
  <c r="BC852" i="2"/>
  <c r="BD852" i="2" s="1"/>
  <c r="BE852" i="2" s="1"/>
  <c r="BC820" i="2"/>
  <c r="BD820" i="2" s="1"/>
  <c r="BE820" i="2" s="1"/>
  <c r="BC791" i="2"/>
  <c r="BD791" i="2" s="1"/>
  <c r="BE791" i="2" s="1"/>
  <c r="BB780" i="2"/>
  <c r="BC780" i="2"/>
  <c r="BD780" i="2" s="1"/>
  <c r="BE780" i="2" s="1"/>
  <c r="BB766" i="2"/>
  <c r="BB880" i="2"/>
  <c r="BB801" i="2"/>
  <c r="BB793" i="2"/>
  <c r="BC789" i="2"/>
  <c r="BD789" i="2" s="1"/>
  <c r="BE789" i="2" s="1"/>
  <c r="BB750" i="2"/>
  <c r="BC838" i="2"/>
  <c r="BD838" i="2" s="1"/>
  <c r="BE838" i="2" s="1"/>
  <c r="BC938" i="2"/>
  <c r="BD938" i="2" s="1"/>
  <c r="BE938" i="2" s="1"/>
  <c r="BC861" i="2"/>
  <c r="BD861" i="2" s="1"/>
  <c r="BE861" i="2" s="1"/>
  <c r="BB878" i="2"/>
  <c r="BB915" i="2"/>
  <c r="BB877" i="2"/>
  <c r="BB948" i="2"/>
  <c r="BB882" i="2"/>
  <c r="BC900" i="2"/>
  <c r="BD900" i="2" s="1"/>
  <c r="BC785" i="2"/>
  <c r="BD785" i="2" s="1"/>
  <c r="BE785" i="2" s="1"/>
  <c r="BB887" i="2"/>
  <c r="BC887" i="2"/>
  <c r="BD887" i="2" s="1"/>
  <c r="BE887" i="2" s="1"/>
  <c r="BC913" i="2"/>
  <c r="BD913" i="2" s="1"/>
  <c r="BE913" i="2" s="1"/>
  <c r="BC930" i="2"/>
  <c r="BD930" i="2" s="1"/>
  <c r="BE930" i="2" s="1"/>
  <c r="BC1094" i="2"/>
  <c r="BD1094" i="2" s="1"/>
  <c r="BE1094" i="2" s="1"/>
  <c r="BB963" i="2"/>
  <c r="BC1008" i="2"/>
  <c r="BD1008" i="2" s="1"/>
  <c r="BE1008" i="2" s="1"/>
  <c r="BB978" i="2"/>
  <c r="BC990" i="2"/>
  <c r="BD990" i="2" s="1"/>
  <c r="BE990" i="2" s="1"/>
  <c r="BC1035" i="2"/>
  <c r="BD1035" i="2" s="1"/>
  <c r="BE1035" i="2" s="1"/>
  <c r="BB997" i="2"/>
  <c r="BB1019" i="2"/>
  <c r="BC1029" i="2"/>
  <c r="BD1029" i="2" s="1"/>
  <c r="BE1029" i="2" s="1"/>
  <c r="BB1009" i="2"/>
  <c r="BC1154" i="2"/>
  <c r="BD1154" i="2" s="1"/>
  <c r="BE1154" i="2" s="1"/>
  <c r="BC1069" i="2"/>
  <c r="BD1069" i="2" s="1"/>
  <c r="BE1069" i="2" s="1"/>
  <c r="BB1087" i="2"/>
  <c r="BC1144" i="2"/>
  <c r="BD1144" i="2" s="1"/>
  <c r="BE1144" i="2" s="1"/>
  <c r="BB1148" i="2"/>
  <c r="BC1204" i="2"/>
  <c r="BD1204" i="2" s="1"/>
  <c r="BE1204" i="2" s="1"/>
  <c r="BB1238" i="2"/>
  <c r="BC1268" i="2"/>
  <c r="BD1268" i="2" s="1"/>
  <c r="BE1268" i="2" s="1"/>
  <c r="BB1328" i="2"/>
  <c r="BB1452" i="2"/>
  <c r="BB1537" i="2"/>
  <c r="BB1630" i="2"/>
  <c r="BK1075" i="2"/>
  <c r="BM1075" i="2" s="1"/>
  <c r="BI1075" i="2"/>
  <c r="BI1098" i="2"/>
  <c r="BK1098" i="2"/>
  <c r="BM1098" i="2" s="1"/>
  <c r="BI1089" i="2"/>
  <c r="BK1089" i="2"/>
  <c r="BM1089" i="2" s="1"/>
  <c r="BI1158" i="2"/>
  <c r="BK1158" i="2"/>
  <c r="BM1158" i="2" s="1"/>
  <c r="BI1096" i="2"/>
  <c r="BK1096" i="2"/>
  <c r="BM1096" i="2" s="1"/>
  <c r="BK1055" i="2"/>
  <c r="BM1055" i="2" s="1"/>
  <c r="BI1055" i="2"/>
  <c r="BI1103" i="2"/>
  <c r="BK1103" i="2"/>
  <c r="BM1103" i="2" s="1"/>
  <c r="BK1136" i="2"/>
  <c r="BM1136" i="2" s="1"/>
  <c r="BI1136" i="2"/>
  <c r="BI1235" i="2"/>
  <c r="BK1235" i="2"/>
  <c r="BM1235" i="2" s="1"/>
  <c r="BK1219" i="2"/>
  <c r="BM1219" i="2" s="1"/>
  <c r="BI1219" i="2"/>
  <c r="BK1194" i="2"/>
  <c r="BM1194" i="2" s="1"/>
  <c r="BI1194" i="2"/>
  <c r="BK1187" i="2"/>
  <c r="BM1187" i="2" s="1"/>
  <c r="BI1187" i="2"/>
  <c r="BK1258" i="2"/>
  <c r="BM1258" i="2" s="1"/>
  <c r="BI1258" i="2"/>
  <c r="BK1173" i="2"/>
  <c r="BM1173" i="2" s="1"/>
  <c r="BI1173" i="2"/>
  <c r="BI1204" i="2"/>
  <c r="BK1204" i="2"/>
  <c r="BM1204" i="2" s="1"/>
  <c r="BK1215" i="2"/>
  <c r="BM1215" i="2" s="1"/>
  <c r="BI1215" i="2"/>
  <c r="BK1327" i="2"/>
  <c r="BM1327" i="2" s="1"/>
  <c r="BI1327" i="2"/>
  <c r="BK1356" i="2"/>
  <c r="BM1356" i="2" s="1"/>
  <c r="BI1356" i="2"/>
  <c r="BK1263" i="2"/>
  <c r="BM1263" i="2" s="1"/>
  <c r="BI1263" i="2"/>
  <c r="BK1328" i="2"/>
  <c r="BM1328" i="2" s="1"/>
  <c r="BI1328" i="2"/>
  <c r="BI1440" i="2"/>
  <c r="BK1440" i="2"/>
  <c r="BM1440" i="2" s="1"/>
  <c r="BK1307" i="2"/>
  <c r="BM1307" i="2" s="1"/>
  <c r="BI1307" i="2"/>
  <c r="BK1271" i="2"/>
  <c r="BM1271" i="2" s="1"/>
  <c r="BI1271" i="2"/>
  <c r="BK1331" i="2"/>
  <c r="BM1331" i="2" s="1"/>
  <c r="BI1331" i="2"/>
  <c r="BI1342" i="2"/>
  <c r="BK1342" i="2"/>
  <c r="BM1342" i="2" s="1"/>
  <c r="BK1353" i="2"/>
  <c r="BM1353" i="2" s="1"/>
  <c r="BI1353" i="2"/>
  <c r="BI1359" i="2"/>
  <c r="BK1359" i="2"/>
  <c r="BM1359" i="2" s="1"/>
  <c r="BI1441" i="2"/>
  <c r="BK1441" i="2"/>
  <c r="BM1441" i="2" s="1"/>
  <c r="BI1472" i="2"/>
  <c r="BK1472" i="2"/>
  <c r="BM1472" i="2" s="1"/>
  <c r="BK1452" i="2"/>
  <c r="BM1452" i="2" s="1"/>
  <c r="BI1452" i="2"/>
  <c r="BK1492" i="2"/>
  <c r="BM1492" i="2" s="1"/>
  <c r="BI1492" i="2"/>
  <c r="BI1451" i="2"/>
  <c r="BK1451" i="2"/>
  <c r="BM1451" i="2" s="1"/>
  <c r="BI1473" i="2"/>
  <c r="BK1473" i="2"/>
  <c r="BM1473" i="2" s="1"/>
  <c r="BK1468" i="2"/>
  <c r="BM1468" i="2" s="1"/>
  <c r="BI1468" i="2"/>
  <c r="BK1511" i="2"/>
  <c r="BM1511" i="2" s="1"/>
  <c r="BI1511" i="2"/>
  <c r="BI1538" i="2"/>
  <c r="BK1538" i="2"/>
  <c r="BM1538" i="2" s="1"/>
  <c r="BI1540" i="2"/>
  <c r="BK1540" i="2"/>
  <c r="BM1540" i="2" s="1"/>
  <c r="BI1551" i="2"/>
  <c r="BK1551" i="2"/>
  <c r="BM1551" i="2" s="1"/>
  <c r="BK1518" i="2"/>
  <c r="BM1518" i="2" s="1"/>
  <c r="CQ9" i="2" s="1"/>
  <c r="BI1518" i="2"/>
  <c r="BI1541" i="2"/>
  <c r="BK1541" i="2"/>
  <c r="BM1541" i="2" s="1"/>
  <c r="BK1561" i="2"/>
  <c r="BM1561" i="2" s="1"/>
  <c r="BI1561" i="2"/>
  <c r="BI1590" i="2"/>
  <c r="BK1590" i="2"/>
  <c r="BM1590" i="2" s="1"/>
  <c r="BC67" i="2"/>
  <c r="BD67" i="2" s="1"/>
  <c r="BE67" i="2" s="1"/>
  <c r="BC9" i="2"/>
  <c r="BD9" i="2" s="1"/>
  <c r="BE9" i="2" s="1"/>
  <c r="BC14" i="2"/>
  <c r="BD14" i="2" s="1"/>
  <c r="BE14" i="2" s="1"/>
  <c r="BB138" i="2"/>
  <c r="BB108" i="2"/>
  <c r="BB52" i="2"/>
  <c r="BC123" i="2"/>
  <c r="BD123" i="2" s="1"/>
  <c r="BE123" i="2" s="1"/>
  <c r="BC179" i="2"/>
  <c r="BD179" i="2" s="1"/>
  <c r="BE179" i="2" s="1"/>
  <c r="BB24" i="2"/>
  <c r="BB101" i="2"/>
  <c r="BC199" i="2"/>
  <c r="BD199" i="2" s="1"/>
  <c r="BE199" i="2" s="1"/>
  <c r="BB63" i="2"/>
  <c r="BB164" i="2"/>
  <c r="BB62" i="2"/>
  <c r="BB122" i="2"/>
  <c r="BC176" i="2"/>
  <c r="BD176" i="2" s="1"/>
  <c r="BE176" i="2" s="1"/>
  <c r="BB46" i="2"/>
  <c r="BB100" i="2"/>
  <c r="BC137" i="2"/>
  <c r="BD137" i="2" s="1"/>
  <c r="BE137" i="2" s="1"/>
  <c r="BB200" i="2"/>
  <c r="BC47" i="2"/>
  <c r="BD47" i="2" s="1"/>
  <c r="BE47" i="2" s="1"/>
  <c r="BC142" i="2"/>
  <c r="BD142" i="2" s="1"/>
  <c r="BE142" i="2" s="1"/>
  <c r="BC203" i="2"/>
  <c r="BD203" i="2" s="1"/>
  <c r="BE203" i="2" s="1"/>
  <c r="BC72" i="2"/>
  <c r="BD72" i="2" s="1"/>
  <c r="BE72" i="2" s="1"/>
  <c r="BC220" i="2"/>
  <c r="BD220" i="2" s="1"/>
  <c r="BE220" i="2" s="1"/>
  <c r="BC59" i="2"/>
  <c r="BD59" i="2" s="1"/>
  <c r="BE59" i="2" s="1"/>
  <c r="BB115" i="2"/>
  <c r="BB163" i="2"/>
  <c r="BB32" i="2"/>
  <c r="BC95" i="2"/>
  <c r="BD95" i="2" s="1"/>
  <c r="BE95" i="2" s="1"/>
  <c r="BC133" i="2"/>
  <c r="BD133" i="2" s="1"/>
  <c r="BE133" i="2" s="1"/>
  <c r="BB195" i="2"/>
  <c r="BC32" i="2"/>
  <c r="BD32" i="2" s="1"/>
  <c r="BE32" i="2" s="1"/>
  <c r="BB153" i="2"/>
  <c r="BC207" i="2"/>
  <c r="BD207" i="2" s="1"/>
  <c r="BE207" i="2" s="1"/>
  <c r="BB79" i="2"/>
  <c r="BC177" i="2"/>
  <c r="BD177" i="2" s="1"/>
  <c r="BE177" i="2" s="1"/>
  <c r="BB254" i="2"/>
  <c r="BB294" i="2"/>
  <c r="BB398" i="2"/>
  <c r="BB291" i="2"/>
  <c r="BB288" i="2"/>
  <c r="BB255" i="2"/>
  <c r="BC292" i="2"/>
  <c r="BD292" i="2" s="1"/>
  <c r="BE292" i="2" s="1"/>
  <c r="BB222" i="2"/>
  <c r="BC289" i="2"/>
  <c r="BD289" i="2" s="1"/>
  <c r="BE289" i="2" s="1"/>
  <c r="BB286" i="2"/>
  <c r="BB345" i="2"/>
  <c r="BC398" i="2"/>
  <c r="BD398" i="2" s="1"/>
  <c r="BE398" i="2" s="1"/>
  <c r="BC262" i="2"/>
  <c r="BD262" i="2" s="1"/>
  <c r="BE262" i="2" s="1"/>
  <c r="BC333" i="2"/>
  <c r="BD333" i="2" s="1"/>
  <c r="BE333" i="2" s="1"/>
  <c r="BB387" i="2"/>
  <c r="BC285" i="2"/>
  <c r="BD285" i="2" s="1"/>
  <c r="BE285" i="2" s="1"/>
  <c r="BC518" i="2"/>
  <c r="BD518" i="2" s="1"/>
  <c r="BE518" i="2" s="1"/>
  <c r="BB344" i="2"/>
  <c r="BB412" i="2"/>
  <c r="BC340" i="2"/>
  <c r="BD340" i="2" s="1"/>
  <c r="BE340" i="2" s="1"/>
  <c r="BB389" i="2"/>
  <c r="BB293" i="2"/>
  <c r="BB438" i="2"/>
  <c r="BB335" i="2"/>
  <c r="BB394" i="2"/>
  <c r="BC339" i="2"/>
  <c r="BD339" i="2" s="1"/>
  <c r="BE339" i="2" s="1"/>
  <c r="BC391" i="2"/>
  <c r="BD391" i="2" s="1"/>
  <c r="BE391" i="2" s="1"/>
  <c r="BB290" i="2"/>
  <c r="BB420" i="2"/>
  <c r="BB265" i="2"/>
  <c r="BB330" i="2"/>
  <c r="BB378" i="2"/>
  <c r="BC301" i="2"/>
  <c r="BD301" i="2" s="1"/>
  <c r="BE301" i="2" s="1"/>
  <c r="BC358" i="2"/>
  <c r="BD358" i="2" s="1"/>
  <c r="BE358" i="2" s="1"/>
  <c r="BB383" i="2"/>
  <c r="BB451" i="2"/>
  <c r="BB523" i="2"/>
  <c r="BB576" i="2"/>
  <c r="BC463" i="2"/>
  <c r="BD463" i="2" s="1"/>
  <c r="BE463" i="2" s="1"/>
  <c r="BC535" i="2"/>
  <c r="BD535" i="2" s="1"/>
  <c r="BE535" i="2" s="1"/>
  <c r="BB450" i="2"/>
  <c r="BB522" i="2"/>
  <c r="BC438" i="2"/>
  <c r="BD438" i="2" s="1"/>
  <c r="BE438" i="2" s="1"/>
  <c r="BC510" i="2"/>
  <c r="BD510" i="2" s="1"/>
  <c r="BE510" i="2" s="1"/>
  <c r="BB455" i="2"/>
  <c r="BB527" i="2"/>
  <c r="BB578" i="2"/>
  <c r="BC461" i="2"/>
  <c r="BD461" i="2" s="1"/>
  <c r="BE461" i="2" s="1"/>
  <c r="BC533" i="2"/>
  <c r="BD533" i="2" s="1"/>
  <c r="BE533" i="2" s="1"/>
  <c r="BB478" i="2"/>
  <c r="BB550" i="2"/>
  <c r="BC418" i="2"/>
  <c r="BD418" i="2" s="1"/>
  <c r="BE418" i="2" s="1"/>
  <c r="BC490" i="2"/>
  <c r="BD490" i="2" s="1"/>
  <c r="BE490" i="2" s="1"/>
  <c r="BB598" i="2"/>
  <c r="BB459" i="2"/>
  <c r="BB531" i="2"/>
  <c r="BB580" i="2"/>
  <c r="BC417" i="2"/>
  <c r="BD417" i="2" s="1"/>
  <c r="BE417" i="2" s="1"/>
  <c r="BC489" i="2"/>
  <c r="BD489" i="2" s="1"/>
  <c r="BE489" i="2" s="1"/>
  <c r="BB697" i="2"/>
  <c r="BB476" i="2"/>
  <c r="BB548" i="2"/>
  <c r="BB640" i="2"/>
  <c r="BC718" i="2"/>
  <c r="BD718" i="2" s="1"/>
  <c r="BE718" i="2" s="1"/>
  <c r="BC670" i="2"/>
  <c r="BD670" i="2" s="1"/>
  <c r="BE670" i="2" s="1"/>
  <c r="BB627" i="2"/>
  <c r="BC731" i="2"/>
  <c r="BD731" i="2" s="1"/>
  <c r="BE731" i="2" s="1"/>
  <c r="BB699" i="2"/>
  <c r="BB632" i="2"/>
  <c r="BC705" i="2"/>
  <c r="BD705" i="2" s="1"/>
  <c r="BE705" i="2" s="1"/>
  <c r="BC632" i="2"/>
  <c r="BD632" i="2" s="1"/>
  <c r="BE632" i="2" s="1"/>
  <c r="BB746" i="2"/>
  <c r="BB631" i="2"/>
  <c r="BC559" i="2"/>
  <c r="BD559" i="2" s="1"/>
  <c r="BE559" i="2" s="1"/>
  <c r="BC574" i="2"/>
  <c r="BD574" i="2" s="1"/>
  <c r="BE574" i="2" s="1"/>
  <c r="BC588" i="2"/>
  <c r="BD588" i="2" s="1"/>
  <c r="BE588" i="2" s="1"/>
  <c r="BC602" i="2"/>
  <c r="BD602" i="2" s="1"/>
  <c r="BE602" i="2" s="1"/>
  <c r="BC631" i="2"/>
  <c r="BD631" i="2" s="1"/>
  <c r="BE631" i="2" s="1"/>
  <c r="BB704" i="2"/>
  <c r="BB660" i="2"/>
  <c r="BC716" i="2"/>
  <c r="BD716" i="2" s="1"/>
  <c r="BE716" i="2" s="1"/>
  <c r="BC678" i="2"/>
  <c r="BD678" i="2" s="1"/>
  <c r="BE678" i="2" s="1"/>
  <c r="BB671" i="2"/>
  <c r="BB760" i="2"/>
  <c r="BC860" i="2"/>
  <c r="BD860" i="2" s="1"/>
  <c r="BE860" i="2" s="1"/>
  <c r="BB874" i="2"/>
  <c r="BC834" i="2"/>
  <c r="BD834" i="2" s="1"/>
  <c r="BE834" i="2" s="1"/>
  <c r="BC795" i="2"/>
  <c r="BD795" i="2" s="1"/>
  <c r="BE795" i="2" s="1"/>
  <c r="BC781" i="2"/>
  <c r="BD781" i="2" s="1"/>
  <c r="BE781" i="2" s="1"/>
  <c r="BC786" i="2"/>
  <c r="BD786" i="2" s="1"/>
  <c r="BE786" i="2" s="1"/>
  <c r="BC767" i="2"/>
  <c r="BD767" i="2" s="1"/>
  <c r="BE767" i="2" s="1"/>
  <c r="BC895" i="2"/>
  <c r="BD895" i="2" s="1"/>
  <c r="BE895" i="2" s="1"/>
  <c r="BB811" i="2"/>
  <c r="BC811" i="2"/>
  <c r="BD811" i="2" s="1"/>
  <c r="BE811" i="2" s="1"/>
  <c r="BC793" i="2"/>
  <c r="BD793" i="2" s="1"/>
  <c r="BE793" i="2" s="1"/>
  <c r="BC751" i="2"/>
  <c r="BD751" i="2" s="1"/>
  <c r="BE751" i="2" s="1"/>
  <c r="BC850" i="2"/>
  <c r="BD850" i="2" s="1"/>
  <c r="BE850" i="2" s="1"/>
  <c r="BB849" i="2"/>
  <c r="BC867" i="2"/>
  <c r="BD867" i="2" s="1"/>
  <c r="BE867" i="2" s="1"/>
  <c r="BB933" i="2"/>
  <c r="BB918" i="2"/>
  <c r="BB883" i="2"/>
  <c r="BC787" i="2"/>
  <c r="BD787" i="2" s="1"/>
  <c r="BE787" i="2" s="1"/>
  <c r="BB888" i="2"/>
  <c r="BC904" i="2"/>
  <c r="BD904" i="2" s="1"/>
  <c r="BE904" i="2" s="1"/>
  <c r="BC797" i="2"/>
  <c r="BD797" i="2" s="1"/>
  <c r="BE797" i="2" s="1"/>
  <c r="BC946" i="2"/>
  <c r="BD946" i="2" s="1"/>
  <c r="BE946" i="2" s="1"/>
  <c r="BB891" i="2"/>
  <c r="BC915" i="2"/>
  <c r="BD915" i="2" s="1"/>
  <c r="BE915" i="2" s="1"/>
  <c r="BC931" i="2"/>
  <c r="BD931" i="2" s="1"/>
  <c r="BE931" i="2" s="1"/>
  <c r="BC952" i="2"/>
  <c r="BD952" i="2" s="1"/>
  <c r="BE952" i="2" s="1"/>
  <c r="BC975" i="2"/>
  <c r="BD975" i="2" s="1"/>
  <c r="BE975" i="2" s="1"/>
  <c r="BC1011" i="2"/>
  <c r="BD1011" i="2" s="1"/>
  <c r="BE1011" i="2" s="1"/>
  <c r="BB982" i="2"/>
  <c r="BB1004" i="2"/>
  <c r="BC1086" i="2"/>
  <c r="BD1086" i="2" s="1"/>
  <c r="BE1086" i="2" s="1"/>
  <c r="BB1013" i="2"/>
  <c r="BB1031" i="2"/>
  <c r="BC1090" i="2"/>
  <c r="BD1090" i="2" s="1"/>
  <c r="BE1090" i="2" s="1"/>
  <c r="BC1001" i="2"/>
  <c r="BD1001" i="2" s="1"/>
  <c r="BE1001" i="2" s="1"/>
  <c r="BB1058" i="2"/>
  <c r="BB1088" i="2"/>
  <c r="BB1099" i="2"/>
  <c r="BC1163" i="2"/>
  <c r="BD1163" i="2" s="1"/>
  <c r="BE1163" i="2" s="1"/>
  <c r="BC1116" i="2"/>
  <c r="BD1116" i="2" s="1"/>
  <c r="BE1116" i="2" s="1"/>
  <c r="BB1226" i="2"/>
  <c r="BC1201" i="2"/>
  <c r="BD1201" i="2" s="1"/>
  <c r="BE1201" i="2" s="1"/>
  <c r="BC1243" i="2"/>
  <c r="BD1243" i="2" s="1"/>
  <c r="BE1243" i="2" s="1"/>
  <c r="BB1439" i="2"/>
  <c r="CP53" i="2" s="1"/>
  <c r="BC1507" i="2"/>
  <c r="BD1507" i="2" s="1"/>
  <c r="BE1507" i="2" s="1"/>
  <c r="BC1515" i="2"/>
  <c r="BD1515" i="2" s="1"/>
  <c r="BE1515" i="2" s="1"/>
  <c r="BB1573" i="2"/>
  <c r="BK1448" i="2"/>
  <c r="BM1448" i="2" s="1"/>
  <c r="BI1448" i="2"/>
  <c r="BX21" i="2" s="1"/>
  <c r="BI1529" i="2"/>
  <c r="BK1529" i="2"/>
  <c r="BM1529" i="2" s="1"/>
  <c r="BI1542" i="2"/>
  <c r="BK1542" i="2"/>
  <c r="BM1542" i="2" s="1"/>
  <c r="BK1606" i="2"/>
  <c r="BM1606" i="2" s="1"/>
  <c r="BI1606" i="2"/>
  <c r="BK1491" i="2"/>
  <c r="BM1491" i="2" s="1"/>
  <c r="BI1491" i="2"/>
  <c r="BK1560" i="2"/>
  <c r="BM1560" i="2" s="1"/>
  <c r="BI1560" i="2"/>
  <c r="BK1591" i="2"/>
  <c r="BM1591" i="2" s="1"/>
  <c r="BI1591" i="2"/>
  <c r="BI1545" i="2"/>
  <c r="BK1545" i="2"/>
  <c r="BM1545" i="2" s="1"/>
  <c r="BK1533" i="2"/>
  <c r="BM1533" i="2" s="1"/>
  <c r="BI1533" i="2"/>
  <c r="BK1574" i="2"/>
  <c r="BM1574" i="2" s="1"/>
  <c r="BI1574" i="2"/>
  <c r="BI1596" i="2"/>
  <c r="BK1596" i="2"/>
  <c r="BM1596" i="2" s="1"/>
  <c r="BK1565" i="2"/>
  <c r="BM1565" i="2" s="1"/>
  <c r="BI1565" i="2"/>
  <c r="BC94" i="2"/>
  <c r="BD94" i="2" s="1"/>
  <c r="BE94" i="2" s="1"/>
  <c r="BC98" i="2"/>
  <c r="BD98" i="2" s="1"/>
  <c r="BE98" i="2" s="1"/>
  <c r="BB179" i="2"/>
  <c r="BB126" i="2"/>
  <c r="BB65" i="2"/>
  <c r="BC126" i="2"/>
  <c r="BD126" i="2" s="1"/>
  <c r="BE126" i="2" s="1"/>
  <c r="BC185" i="2"/>
  <c r="BD185" i="2" s="1"/>
  <c r="BE185" i="2" s="1"/>
  <c r="BC30" i="2"/>
  <c r="BD30" i="2" s="1"/>
  <c r="BE30" i="2" s="1"/>
  <c r="BB145" i="2"/>
  <c r="BC202" i="2"/>
  <c r="BD202" i="2" s="1"/>
  <c r="BE202" i="2" s="1"/>
  <c r="BC64" i="2"/>
  <c r="BD64" i="2" s="1"/>
  <c r="BE64" i="2" s="1"/>
  <c r="BC169" i="2"/>
  <c r="BD169" i="2" s="1"/>
  <c r="BE169" i="2" s="1"/>
  <c r="BC63" i="2"/>
  <c r="BD63" i="2" s="1"/>
  <c r="BE63" i="2" s="1"/>
  <c r="BB125" i="2"/>
  <c r="BC188" i="2"/>
  <c r="BD188" i="2" s="1"/>
  <c r="BE188" i="2" s="1"/>
  <c r="BB47" i="2"/>
  <c r="BC104" i="2"/>
  <c r="BD104" i="2" s="1"/>
  <c r="BE104" i="2" s="1"/>
  <c r="BB142" i="2"/>
  <c r="BB203" i="2"/>
  <c r="BC48" i="2"/>
  <c r="BD48" i="2" s="1"/>
  <c r="BE48" i="2" s="1"/>
  <c r="BB149" i="2"/>
  <c r="BC206" i="2"/>
  <c r="BD206" i="2" s="1"/>
  <c r="BE206" i="2" s="1"/>
  <c r="BB83" i="2"/>
  <c r="BC252" i="2"/>
  <c r="BD252" i="2" s="1"/>
  <c r="BE252" i="2" s="1"/>
  <c r="BB70" i="2"/>
  <c r="BB118" i="2"/>
  <c r="BC168" i="2"/>
  <c r="BD168" i="2" s="1"/>
  <c r="BE168" i="2" s="1"/>
  <c r="BB38" i="2"/>
  <c r="BC99" i="2"/>
  <c r="BD99" i="2" s="1"/>
  <c r="BE99" i="2" s="1"/>
  <c r="BC136" i="2"/>
  <c r="BD136" i="2" s="1"/>
  <c r="BE136" i="2" s="1"/>
  <c r="BB198" i="2"/>
  <c r="BC38" i="2"/>
  <c r="BD38" i="2" s="1"/>
  <c r="BE38" i="2" s="1"/>
  <c r="BC158" i="2"/>
  <c r="BD158" i="2" s="1"/>
  <c r="BE158" i="2" s="1"/>
  <c r="BC210" i="2"/>
  <c r="BD210" i="2" s="1"/>
  <c r="BE210" i="2" s="1"/>
  <c r="BC80" i="2"/>
  <c r="BD80" i="2" s="1"/>
  <c r="BE80" i="2" s="1"/>
  <c r="BC187" i="2"/>
  <c r="BD187" i="2" s="1"/>
  <c r="BE187" i="2" s="1"/>
  <c r="BC268" i="2"/>
  <c r="BD268" i="2" s="1"/>
  <c r="BE268" i="2" s="1"/>
  <c r="BB226" i="2"/>
  <c r="BC226" i="2"/>
  <c r="BD226" i="2" s="1"/>
  <c r="BE226" i="2" s="1"/>
  <c r="BC295" i="2"/>
  <c r="BD295" i="2" s="1"/>
  <c r="BE295" i="2" s="1"/>
  <c r="BB224" i="2"/>
  <c r="BC265" i="2"/>
  <c r="BD265" i="2" s="1"/>
  <c r="BE265" i="2" s="1"/>
  <c r="BB432" i="2"/>
  <c r="BC223" i="2"/>
  <c r="BD223" i="2" s="1"/>
  <c r="BE223" i="2" s="1"/>
  <c r="BB303" i="2"/>
  <c r="BC287" i="2"/>
  <c r="BD287" i="2" s="1"/>
  <c r="BE287" i="2" s="1"/>
  <c r="BB349" i="2"/>
  <c r="BB408" i="2"/>
  <c r="BB273" i="2"/>
  <c r="BC337" i="2"/>
  <c r="BD337" i="2" s="1"/>
  <c r="BE337" i="2" s="1"/>
  <c r="BB395" i="2"/>
  <c r="BB296" i="2"/>
  <c r="BC284" i="2"/>
  <c r="BD284" i="2" s="1"/>
  <c r="BE284" i="2" s="1"/>
  <c r="BB348" i="2"/>
  <c r="BC421" i="2"/>
  <c r="BD421" i="2" s="1"/>
  <c r="BE421" i="2" s="1"/>
  <c r="BC344" i="2"/>
  <c r="BD344" i="2" s="1"/>
  <c r="BE344" i="2" s="1"/>
  <c r="BC397" i="2"/>
  <c r="BD397" i="2" s="1"/>
  <c r="BE397" i="2" s="1"/>
  <c r="BC294" i="2"/>
  <c r="BD294" i="2" s="1"/>
  <c r="BE294" i="2" s="1"/>
  <c r="BC464" i="2"/>
  <c r="BD464" i="2" s="1"/>
  <c r="BE464" i="2" s="1"/>
  <c r="BB339" i="2"/>
  <c r="BC402" i="2"/>
  <c r="BD402" i="2" s="1"/>
  <c r="BE402" i="2" s="1"/>
  <c r="BC343" i="2"/>
  <c r="BD343" i="2" s="1"/>
  <c r="BE343" i="2" s="1"/>
  <c r="BB399" i="2"/>
  <c r="BC291" i="2"/>
  <c r="BD291" i="2" s="1"/>
  <c r="BE291" i="2" s="1"/>
  <c r="BB424" i="2"/>
  <c r="BC266" i="2"/>
  <c r="BD266" i="2" s="1"/>
  <c r="BE266" i="2" s="1"/>
  <c r="BB334" i="2"/>
  <c r="BC385" i="2"/>
  <c r="BD385" i="2" s="1"/>
  <c r="BE385" i="2" s="1"/>
  <c r="BB312" i="2"/>
  <c r="BC362" i="2"/>
  <c r="BD362" i="2" s="1"/>
  <c r="BE362" i="2" s="1"/>
  <c r="BC384" i="2"/>
  <c r="BD384" i="2" s="1"/>
  <c r="BE384" i="2" s="1"/>
  <c r="BB457" i="2"/>
  <c r="BB529" i="2"/>
  <c r="BB579" i="2"/>
  <c r="BC469" i="2"/>
  <c r="BD469" i="2" s="1"/>
  <c r="BE469" i="2" s="1"/>
  <c r="BC541" i="2"/>
  <c r="BD541" i="2" s="1"/>
  <c r="BE541" i="2" s="1"/>
  <c r="BB456" i="2"/>
  <c r="BB528" i="2"/>
  <c r="BC444" i="2"/>
  <c r="BD444" i="2" s="1"/>
  <c r="BE444" i="2" s="1"/>
  <c r="BC516" i="2"/>
  <c r="BD516" i="2" s="1"/>
  <c r="BE516" i="2" s="1"/>
  <c r="BB461" i="2"/>
  <c r="BB533" i="2"/>
  <c r="BB581" i="2"/>
  <c r="BC467" i="2"/>
  <c r="BD467" i="2" s="1"/>
  <c r="BE467" i="2" s="1"/>
  <c r="BC539" i="2"/>
  <c r="BD539" i="2" s="1"/>
  <c r="BE539" i="2" s="1"/>
  <c r="BB484" i="2"/>
  <c r="BB556" i="2"/>
  <c r="BC424" i="2"/>
  <c r="BD424" i="2" s="1"/>
  <c r="BE424" i="2" s="1"/>
  <c r="BC496" i="2"/>
  <c r="BD496" i="2" s="1"/>
  <c r="BE496" i="2" s="1"/>
  <c r="BB602" i="2"/>
  <c r="BB465" i="2"/>
  <c r="BB537" i="2"/>
  <c r="BB583" i="2"/>
  <c r="BC423" i="2"/>
  <c r="BD423" i="2" s="1"/>
  <c r="BE423" i="2" s="1"/>
  <c r="BC495" i="2"/>
  <c r="BD495" i="2" s="1"/>
  <c r="BE495" i="2" s="1"/>
  <c r="BB715" i="2"/>
  <c r="BB482" i="2"/>
  <c r="BB554" i="2"/>
  <c r="BB646" i="2"/>
  <c r="BC726" i="2"/>
  <c r="BD726" i="2" s="1"/>
  <c r="BE726" i="2" s="1"/>
  <c r="BC676" i="2"/>
  <c r="BD676" i="2" s="1"/>
  <c r="BE676" i="2" s="1"/>
  <c r="BB633" i="2"/>
  <c r="BB745" i="2"/>
  <c r="BB705" i="2"/>
  <c r="BB644" i="2"/>
  <c r="BC708" i="2"/>
  <c r="BD708" i="2" s="1"/>
  <c r="BE708" i="2" s="1"/>
  <c r="BC638" i="2"/>
  <c r="BD638" i="2" s="1"/>
  <c r="BE638" i="2" s="1"/>
  <c r="BB832" i="2"/>
  <c r="BB643" i="2"/>
  <c r="BC561" i="2"/>
  <c r="BD561" i="2" s="1"/>
  <c r="BE561" i="2" s="1"/>
  <c r="BC575" i="2"/>
  <c r="BD575" i="2" s="1"/>
  <c r="BE575" i="2" s="1"/>
  <c r="BC589" i="2"/>
  <c r="BD589" i="2" s="1"/>
  <c r="BE589" i="2" s="1"/>
  <c r="BC603" i="2"/>
  <c r="BD603" i="2" s="1"/>
  <c r="BE603" i="2" s="1"/>
  <c r="BC643" i="2"/>
  <c r="BD643" i="2" s="1"/>
  <c r="BE643" i="2" s="1"/>
  <c r="BB710" i="2"/>
  <c r="BB666" i="2"/>
  <c r="BC719" i="2"/>
  <c r="BD719" i="2" s="1"/>
  <c r="BE719" i="2" s="1"/>
  <c r="BC724" i="2"/>
  <c r="BD724" i="2" s="1"/>
  <c r="BE724" i="2" s="1"/>
  <c r="BB682" i="2"/>
  <c r="BB772" i="2"/>
  <c r="BC903" i="2"/>
  <c r="BD903" i="2" s="1"/>
  <c r="BE903" i="2" s="1"/>
  <c r="BC747" i="2"/>
  <c r="BD747" i="2" s="1"/>
  <c r="BE747" i="2" s="1"/>
  <c r="BB836" i="2"/>
  <c r="BB802" i="2"/>
  <c r="BC802" i="2"/>
  <c r="BD802" i="2" s="1"/>
  <c r="BE802" i="2" s="1"/>
  <c r="BB790" i="2"/>
  <c r="BB778" i="2"/>
  <c r="BB729" i="2"/>
  <c r="BC824" i="2"/>
  <c r="BD824" i="2" s="1"/>
  <c r="BE824" i="2" s="1"/>
  <c r="BB835" i="2"/>
  <c r="BB797" i="2"/>
  <c r="BC763" i="2"/>
  <c r="BD763" i="2" s="1"/>
  <c r="BE763" i="2" s="1"/>
  <c r="BC856" i="2"/>
  <c r="BD856" i="2" s="1"/>
  <c r="BE856" i="2" s="1"/>
  <c r="BB855" i="2"/>
  <c r="BC879" i="2"/>
  <c r="BD879" i="2" s="1"/>
  <c r="BE879" i="2" s="1"/>
  <c r="BB945" i="2"/>
  <c r="BB921" i="2"/>
  <c r="BC893" i="2"/>
  <c r="BD893" i="2" s="1"/>
  <c r="BE893" i="2" s="1"/>
  <c r="BB798" i="2"/>
  <c r="BB892" i="2"/>
  <c r="BB911" i="2"/>
  <c r="BB803" i="2"/>
  <c r="BC959" i="2"/>
  <c r="BD959" i="2" s="1"/>
  <c r="BE959" i="2" s="1"/>
  <c r="BB899" i="2"/>
  <c r="BC916" i="2"/>
  <c r="BD916" i="2" s="1"/>
  <c r="BE916" i="2" s="1"/>
  <c r="BC932" i="2"/>
  <c r="BD932" i="2" s="1"/>
  <c r="BE932" i="2" s="1"/>
  <c r="BC964" i="2"/>
  <c r="BD964" i="2" s="1"/>
  <c r="BE964" i="2" s="1"/>
  <c r="BC979" i="2"/>
  <c r="BD979" i="2" s="1"/>
  <c r="BE979" i="2" s="1"/>
  <c r="BB1014" i="2"/>
  <c r="BB990" i="2"/>
  <c r="BC1017" i="2"/>
  <c r="BD1017" i="2" s="1"/>
  <c r="BE1017" i="2" s="1"/>
  <c r="BC1102" i="2"/>
  <c r="BD1102" i="2" s="1"/>
  <c r="BE1102" i="2" s="1"/>
  <c r="BB1033" i="2"/>
  <c r="BB1049" i="2"/>
  <c r="BB934" i="2"/>
  <c r="BB1024" i="2"/>
  <c r="BB1070" i="2"/>
  <c r="CP56" i="2" s="1"/>
  <c r="BB1206" i="2"/>
  <c r="BB1141" i="2"/>
  <c r="BC1147" i="2"/>
  <c r="BD1147" i="2" s="1"/>
  <c r="BE1147" i="2" s="1"/>
  <c r="BB1183" i="2"/>
  <c r="BB1191" i="2"/>
  <c r="BC1223" i="2"/>
  <c r="BD1223" i="2" s="1"/>
  <c r="BE1223" i="2" s="1"/>
  <c r="BC1337" i="2"/>
  <c r="BD1337" i="2" s="1"/>
  <c r="BE1337" i="2" s="1"/>
  <c r="BB1462" i="2"/>
  <c r="BB1468" i="2"/>
  <c r="BC1563" i="2"/>
  <c r="BD1563" i="2" s="1"/>
  <c r="BE1563" i="2" s="1"/>
  <c r="BC1561" i="2"/>
  <c r="BD1561" i="2" s="1"/>
  <c r="BE1561" i="2" s="1"/>
  <c r="BM1634" i="2" l="1"/>
  <c r="BT13" i="2"/>
  <c r="CC13" i="2" s="1"/>
  <c r="BV13" i="2"/>
  <c r="CE13" i="2" s="1"/>
  <c r="CP25" i="2"/>
  <c r="CP23" i="2"/>
  <c r="CP12" i="2"/>
  <c r="CP11" i="2"/>
  <c r="CP9" i="2"/>
  <c r="CP19" i="2"/>
  <c r="CP8" i="2"/>
  <c r="BT6" i="2"/>
  <c r="CC6" i="2" s="1"/>
  <c r="CP17" i="2"/>
  <c r="CP22" i="2"/>
  <c r="BV6" i="2"/>
  <c r="CE6" i="2" s="1"/>
  <c r="BU12" i="2"/>
  <c r="CD12" i="2" s="1"/>
  <c r="BW12" i="2"/>
  <c r="CF12" i="2" s="1"/>
  <c r="CG12" i="2" s="1"/>
  <c r="CP13" i="2"/>
  <c r="CP5" i="2"/>
  <c r="CP18" i="2"/>
  <c r="CP26" i="2"/>
  <c r="CK6" i="2"/>
  <c r="CK11" i="2"/>
  <c r="CP14" i="2"/>
  <c r="BT17" i="2"/>
  <c r="BV17" i="2"/>
  <c r="BU17" i="2"/>
  <c r="CQ14" i="2"/>
  <c r="BW17" i="2"/>
  <c r="BT15" i="2"/>
  <c r="BV15" i="2"/>
  <c r="CK14" i="2"/>
  <c r="CK7" i="2"/>
  <c r="BV19" i="2"/>
  <c r="BT19" i="2"/>
  <c r="CP16" i="2"/>
  <c r="BT11" i="2"/>
  <c r="CC11" i="2" s="1"/>
  <c r="BV11" i="2"/>
  <c r="CE11" i="2" s="1"/>
  <c r="BW15" i="2"/>
  <c r="BU15" i="2"/>
  <c r="BT12" i="2"/>
  <c r="CC12" i="2" s="1"/>
  <c r="BV12" i="2"/>
  <c r="CE12" i="2" s="1"/>
  <c r="BU19" i="2"/>
  <c r="CQ16" i="2"/>
  <c r="BW19" i="2"/>
  <c r="BU20" i="2"/>
  <c r="CQ3" i="2"/>
  <c r="BW20" i="2"/>
  <c r="BE1021" i="2"/>
  <c r="CQ54" i="2"/>
  <c r="BE1439" i="2"/>
  <c r="CQ53" i="2"/>
  <c r="CK5" i="2"/>
  <c r="BE900" i="2"/>
  <c r="CQ41" i="2"/>
  <c r="BE1273" i="2"/>
  <c r="CQ55" i="2"/>
  <c r="BE742" i="2"/>
  <c r="CQ51" i="2"/>
  <c r="BE1070" i="2"/>
  <c r="CQ56" i="2"/>
  <c r="BE1463" i="2"/>
  <c r="CQ52" i="2"/>
  <c r="BE1450" i="2"/>
  <c r="CQ49" i="2"/>
  <c r="BV20" i="2"/>
  <c r="BT20" i="2"/>
  <c r="CP3" i="2"/>
  <c r="BE1425" i="2"/>
  <c r="CQ50" i="2"/>
  <c r="BW6" i="2"/>
  <c r="CF6" i="2" s="1"/>
  <c r="CG6" i="2" s="1"/>
  <c r="BU6" i="2"/>
  <c r="CD6" i="2" s="1"/>
  <c r="BV21" i="2"/>
  <c r="BT21" i="2"/>
  <c r="CP4" i="2"/>
  <c r="BU21" i="2"/>
  <c r="BW21" i="2"/>
  <c r="CQ4" i="2"/>
  <c r="CE14" i="2" l="1"/>
  <c r="CC14" i="2"/>
  <c r="CK12" i="2"/>
  <c r="CF14" i="2"/>
  <c r="CG14" i="2" s="1"/>
  <c r="CD14" i="2"/>
</calcChain>
</file>

<file path=xl/sharedStrings.xml><?xml version="1.0" encoding="utf-8"?>
<sst xmlns="http://schemas.openxmlformats.org/spreadsheetml/2006/main" count="4444" uniqueCount="3648">
  <si>
    <t>ZMO0001</t>
  </si>
  <si>
    <t>ZMO0003</t>
  </si>
  <si>
    <t>ZMO0004</t>
  </si>
  <si>
    <t>ZMO0005</t>
  </si>
  <si>
    <t>ZMO0006</t>
  </si>
  <si>
    <t>ZMO0007</t>
  </si>
  <si>
    <t>ZMO0008</t>
  </si>
  <si>
    <t>ZMO0009</t>
  </si>
  <si>
    <t>ZMO0011</t>
  </si>
  <si>
    <t>ZMO0012</t>
  </si>
  <si>
    <t>ZMO0013</t>
  </si>
  <si>
    <t>ZMO0014</t>
  </si>
  <si>
    <t>ZMO0015</t>
  </si>
  <si>
    <t>ZMO0016</t>
  </si>
  <si>
    <t>ZMO0017</t>
  </si>
  <si>
    <t>ZMO0018</t>
  </si>
  <si>
    <t>ZMO0019</t>
  </si>
  <si>
    <t>ZMO0020</t>
  </si>
  <si>
    <t>ZMO0021</t>
  </si>
  <si>
    <t>ZMO0022</t>
  </si>
  <si>
    <t>ZMO0026</t>
  </si>
  <si>
    <t>ZMO0027</t>
  </si>
  <si>
    <t>ZMO0030</t>
  </si>
  <si>
    <t>ZMO0033</t>
  </si>
  <si>
    <t>ZMO0035</t>
  </si>
  <si>
    <t>ZMO0037</t>
  </si>
  <si>
    <t>ZMO0038</t>
  </si>
  <si>
    <t>ZMO0039</t>
  </si>
  <si>
    <t>ZMO0040</t>
  </si>
  <si>
    <t>ZMO0041</t>
  </si>
  <si>
    <t>ZMO0043</t>
  </si>
  <si>
    <t>ZMO0056</t>
  </si>
  <si>
    <t>ZMO0057</t>
  </si>
  <si>
    <t>ZMO0060</t>
  </si>
  <si>
    <t>ZMO0061</t>
  </si>
  <si>
    <t>ZMO0062</t>
  </si>
  <si>
    <t>ZMO0068</t>
  </si>
  <si>
    <t>ZMO0070</t>
  </si>
  <si>
    <t>ZMO0072</t>
  </si>
  <si>
    <t>ZMO0073</t>
  </si>
  <si>
    <t>ZMO0074</t>
  </si>
  <si>
    <t>ZMO0075</t>
  </si>
  <si>
    <t>ZMO0077</t>
  </si>
  <si>
    <t>ZMO0078</t>
  </si>
  <si>
    <t>ZMO0079</t>
  </si>
  <si>
    <t>ZMO0080</t>
  </si>
  <si>
    <t>ZMO0081</t>
  </si>
  <si>
    <t>ZMO0082</t>
  </si>
  <si>
    <t>ZMO0083</t>
  </si>
  <si>
    <t>ZMO0084</t>
  </si>
  <si>
    <t>ZMO0085</t>
  </si>
  <si>
    <t>ZMO0086</t>
  </si>
  <si>
    <t>ZMO0090</t>
  </si>
  <si>
    <t>ZMO0094</t>
  </si>
  <si>
    <t>ZMO0103</t>
  </si>
  <si>
    <t>ZMO0105</t>
  </si>
  <si>
    <t>ZMO0106</t>
  </si>
  <si>
    <t>ZMO0107</t>
  </si>
  <si>
    <t>ZMO0111</t>
  </si>
  <si>
    <t>ZMO0113</t>
  </si>
  <si>
    <t>ZMO0114</t>
  </si>
  <si>
    <t>ZMO0115</t>
  </si>
  <si>
    <t>ZMO0116</t>
  </si>
  <si>
    <t>ZMO0117</t>
  </si>
  <si>
    <t>ZMO0120</t>
  </si>
  <si>
    <t>ZMO0121</t>
  </si>
  <si>
    <t>ZMO0122</t>
  </si>
  <si>
    <t>ZMO0124</t>
  </si>
  <si>
    <t>ZMO0125</t>
  </si>
  <si>
    <t>ZMO0127</t>
  </si>
  <si>
    <t>ZMO0128</t>
  </si>
  <si>
    <t>ZMO0130</t>
  </si>
  <si>
    <t>ZMO0131</t>
  </si>
  <si>
    <t>ZMO0133</t>
  </si>
  <si>
    <t>ZMO0137</t>
  </si>
  <si>
    <t>ZMO0139</t>
  </si>
  <si>
    <t>ZMO0140</t>
  </si>
  <si>
    <t>ZMO0142</t>
  </si>
  <si>
    <t>ZMO0143</t>
  </si>
  <si>
    <t>ZMO0144</t>
  </si>
  <si>
    <t>ZMO0145</t>
  </si>
  <si>
    <t>ZMO0148</t>
  </si>
  <si>
    <t>ZMO0149</t>
  </si>
  <si>
    <t>ZMO0152</t>
  </si>
  <si>
    <t>ZMO0153</t>
  </si>
  <si>
    <t>ZMO0154</t>
  </si>
  <si>
    <t>ZMO0156</t>
  </si>
  <si>
    <t>ZMO0157</t>
  </si>
  <si>
    <t>ZMO0158</t>
  </si>
  <si>
    <t>ZMO0160</t>
  </si>
  <si>
    <t>ZMO0161</t>
  </si>
  <si>
    <t>ZMO0162</t>
  </si>
  <si>
    <t>ZMO0164</t>
  </si>
  <si>
    <t>ZMO0165</t>
  </si>
  <si>
    <t>ZMO0166</t>
  </si>
  <si>
    <t>ZMO0169</t>
  </si>
  <si>
    <t>ZMO0172</t>
  </si>
  <si>
    <t>ZMO0173</t>
  </si>
  <si>
    <t>ZMO0174</t>
  </si>
  <si>
    <t>ZMO0175</t>
  </si>
  <si>
    <t>ZMO0176</t>
  </si>
  <si>
    <t>ZMO0177</t>
  </si>
  <si>
    <t>ZMO0178</t>
  </si>
  <si>
    <t>ZMO0179</t>
  </si>
  <si>
    <t>ZMO0180</t>
  </si>
  <si>
    <t>ZMO0182</t>
  </si>
  <si>
    <t>ZMO0183</t>
  </si>
  <si>
    <t>ZMO0186</t>
  </si>
  <si>
    <t>ZMO0187</t>
  </si>
  <si>
    <t>ZMO0188</t>
  </si>
  <si>
    <t>ZMO0189</t>
  </si>
  <si>
    <t>ZMO0190</t>
  </si>
  <si>
    <t>ZMO0191</t>
  </si>
  <si>
    <t>ZMO0193</t>
  </si>
  <si>
    <t>ZMO0195</t>
  </si>
  <si>
    <t>ZMO0197</t>
  </si>
  <si>
    <t>ZMO0198</t>
  </si>
  <si>
    <t>ZMO0199</t>
  </si>
  <si>
    <t>ZMO0200</t>
  </si>
  <si>
    <t>ZMO0201</t>
  </si>
  <si>
    <t>ZMO0202</t>
  </si>
  <si>
    <t>ZMO0205</t>
  </si>
  <si>
    <t>ZMO0206</t>
  </si>
  <si>
    <t>ZMO0207</t>
  </si>
  <si>
    <t>ZMO0208</t>
  </si>
  <si>
    <t>ZMO0209</t>
  </si>
  <si>
    <t>ZMO0211</t>
  </si>
  <si>
    <t>ZMO0215</t>
  </si>
  <si>
    <t>ZMO0219</t>
  </si>
  <si>
    <t>ZMO0220</t>
  </si>
  <si>
    <t>ZMO0221</t>
  </si>
  <si>
    <t>ZMO0224</t>
  </si>
  <si>
    <t>ZMO0225</t>
  </si>
  <si>
    <t>ZMO0226</t>
  </si>
  <si>
    <t>ZMO0227</t>
  </si>
  <si>
    <t>ZMO0232</t>
  </si>
  <si>
    <t>ZMO0234</t>
  </si>
  <si>
    <t>ZMO0236</t>
  </si>
  <si>
    <t>ZMO0238</t>
  </si>
  <si>
    <t>ZMO0239</t>
  </si>
  <si>
    <t>ZMO0240</t>
  </si>
  <si>
    <t>ZMO0241</t>
  </si>
  <si>
    <t>ZMO0242</t>
  </si>
  <si>
    <t>ZMO0244</t>
  </si>
  <si>
    <t>ZMO0246</t>
  </si>
  <si>
    <t>ZMO0247</t>
  </si>
  <si>
    <t>ZMO0249</t>
  </si>
  <si>
    <t>ZMO0250</t>
  </si>
  <si>
    <t>ZMO0251</t>
  </si>
  <si>
    <t>ZMO0252</t>
  </si>
  <si>
    <t>ZMO0255</t>
  </si>
  <si>
    <t>ZMO0256</t>
  </si>
  <si>
    <t>ZMO0257</t>
  </si>
  <si>
    <t>ZMO0258</t>
  </si>
  <si>
    <t>ZMO0264</t>
  </si>
  <si>
    <t>ZMO0268</t>
  </si>
  <si>
    <t>ZMO0269</t>
  </si>
  <si>
    <t>ZMO0270</t>
  </si>
  <si>
    <t>ZMO0273</t>
  </si>
  <si>
    <t>ZMO0274</t>
  </si>
  <si>
    <t>ZMO0275</t>
  </si>
  <si>
    <t>ZMO0276</t>
  </si>
  <si>
    <t>ZMO0278</t>
  </si>
  <si>
    <t>ZMO0279</t>
  </si>
  <si>
    <t>ZMO0282</t>
  </si>
  <si>
    <t>ZMO0283</t>
  </si>
  <si>
    <t>ZMO0285</t>
  </si>
  <si>
    <t>ZMO0286</t>
  </si>
  <si>
    <t>ZMO0287</t>
  </si>
  <si>
    <t>ZMO0294</t>
  </si>
  <si>
    <t>ZMO0297</t>
  </si>
  <si>
    <t>ZMO0298</t>
  </si>
  <si>
    <t>ZMO0299</t>
  </si>
  <si>
    <t>ZMO0300</t>
  </si>
  <si>
    <t>ZMO0301</t>
  </si>
  <si>
    <t>ZMO0305</t>
  </si>
  <si>
    <t>ZMO0306</t>
  </si>
  <si>
    <t>ZMO0307</t>
  </si>
  <si>
    <t>ZMO0309</t>
  </si>
  <si>
    <t>ZMO0311</t>
  </si>
  <si>
    <t>ZMO0312</t>
  </si>
  <si>
    <t>ZMO0313</t>
  </si>
  <si>
    <t>ZMO0315</t>
  </si>
  <si>
    <t>ZMO0318</t>
  </si>
  <si>
    <t>ZMO0322</t>
  </si>
  <si>
    <t>ZMO0323</t>
  </si>
  <si>
    <t>ZMO0325</t>
  </si>
  <si>
    <t>ZMO0326</t>
  </si>
  <si>
    <t>ZMO0327</t>
  </si>
  <si>
    <t>ZMO0328</t>
  </si>
  <si>
    <t>ZMO0329</t>
  </si>
  <si>
    <t>ZMO0332</t>
  </si>
  <si>
    <t>ZMO0335</t>
  </si>
  <si>
    <t>ZMO0339</t>
  </si>
  <si>
    <t>ZMO0341</t>
  </si>
  <si>
    <t>ZMO0342</t>
  </si>
  <si>
    <t>ZMO0343</t>
  </si>
  <si>
    <t>ZMO0344</t>
  </si>
  <si>
    <t>ZMO0345</t>
  </si>
  <si>
    <t>ZMO0347</t>
  </si>
  <si>
    <t>ZMO0348</t>
  </si>
  <si>
    <t>ZMO0350</t>
  </si>
  <si>
    <t>ZMO0351</t>
  </si>
  <si>
    <t>ZMO0352</t>
  </si>
  <si>
    <t>ZMO0353</t>
  </si>
  <si>
    <t>ZMO0354</t>
  </si>
  <si>
    <t>ZMO0355</t>
  </si>
  <si>
    <t>ZMO0356</t>
  </si>
  <si>
    <t>ZMO0359</t>
  </si>
  <si>
    <t>ZMO0361</t>
  </si>
  <si>
    <t>ZMO0362</t>
  </si>
  <si>
    <t>ZMO0363</t>
  </si>
  <si>
    <t>ZMO0364</t>
  </si>
  <si>
    <t>ZMO0366</t>
  </si>
  <si>
    <t>ZMO0367</t>
  </si>
  <si>
    <t>ZMO0368</t>
  </si>
  <si>
    <t>ZMO0369</t>
  </si>
  <si>
    <t>ZMO0374</t>
  </si>
  <si>
    <t>ZMO0375</t>
  </si>
  <si>
    <t>ZMO0376</t>
  </si>
  <si>
    <t>ZMO0383</t>
  </si>
  <si>
    <t>ZMO0384</t>
  </si>
  <si>
    <t>ZMO0387</t>
  </si>
  <si>
    <t>ZMO0394</t>
  </si>
  <si>
    <t>ZMO0399</t>
  </si>
  <si>
    <t>ZMO0402</t>
  </si>
  <si>
    <t>ZMO0403</t>
  </si>
  <si>
    <t>ZMO0405</t>
  </si>
  <si>
    <t>ZMO0406</t>
  </si>
  <si>
    <t>ZMO0407</t>
  </si>
  <si>
    <t>ZMO0408</t>
  </si>
  <si>
    <t>ZMO0409</t>
  </si>
  <si>
    <t>ZMO0410</t>
  </si>
  <si>
    <t>ZMO0411</t>
  </si>
  <si>
    <t>ZMO0414</t>
  </si>
  <si>
    <t>ZMO0419</t>
  </si>
  <si>
    <t>ZMO0420</t>
  </si>
  <si>
    <t>ZMO0421</t>
  </si>
  <si>
    <t>ZMO0423</t>
  </si>
  <si>
    <t>ZMO0425</t>
  </si>
  <si>
    <t>ZMO0426</t>
  </si>
  <si>
    <t>ZMO0427</t>
  </si>
  <si>
    <t>ZMO0428</t>
  </si>
  <si>
    <t>ZMO0429</t>
  </si>
  <si>
    <t>ZMO0430</t>
  </si>
  <si>
    <t>ZMO0431</t>
  </si>
  <si>
    <t>ZMO0432</t>
  </si>
  <si>
    <t>ZMO0433</t>
  </si>
  <si>
    <t>ZMO0435</t>
  </si>
  <si>
    <t>ZMO0439</t>
  </si>
  <si>
    <t>ZMO0440</t>
  </si>
  <si>
    <t>ZMO0441</t>
  </si>
  <si>
    <t>ZMO0442</t>
  </si>
  <si>
    <t>ZMO0443</t>
  </si>
  <si>
    <t>ZMO0444</t>
  </si>
  <si>
    <t>ZMO0445</t>
  </si>
  <si>
    <t>ZMO0449</t>
  </si>
  <si>
    <t>ZMO0452</t>
  </si>
  <si>
    <t>ZMO0453</t>
  </si>
  <si>
    <t>ZMO0454</t>
  </si>
  <si>
    <t>ZMO0458</t>
  </si>
  <si>
    <t>ZMO0460</t>
  </si>
  <si>
    <t>ZMO0462</t>
  </si>
  <si>
    <t>ZMO0465</t>
  </si>
  <si>
    <t>ZMO0467</t>
  </si>
  <si>
    <t>ZMO0468</t>
  </si>
  <si>
    <t>ZMO0469</t>
  </si>
  <si>
    <t>ZMO0471</t>
  </si>
  <si>
    <t>ZMO0472</t>
  </si>
  <si>
    <t>ZMO0473</t>
  </si>
  <si>
    <t>ZMO0474</t>
  </si>
  <si>
    <t>ZMO0475</t>
  </si>
  <si>
    <t>ZMO0476</t>
  </si>
  <si>
    <t>ZMO0478</t>
  </si>
  <si>
    <t>ZMO0479</t>
  </si>
  <si>
    <t>ZMO0482</t>
  </si>
  <si>
    <t>ZMO0483</t>
  </si>
  <si>
    <t>ZMO0485</t>
  </si>
  <si>
    <t>ZMO0486</t>
  </si>
  <si>
    <t>ZMO0487</t>
  </si>
  <si>
    <t>ZMO0488</t>
  </si>
  <si>
    <t>ZMO0490</t>
  </si>
  <si>
    <t>ZMO0491</t>
  </si>
  <si>
    <t>ZMO0492</t>
  </si>
  <si>
    <t>ZMO0493</t>
  </si>
  <si>
    <t>ZMO0497</t>
  </si>
  <si>
    <t>ZMO0498</t>
  </si>
  <si>
    <t>ZMO0499</t>
  </si>
  <si>
    <t>ZMO0503</t>
  </si>
  <si>
    <t>ZMO0505</t>
  </si>
  <si>
    <t>ZMO0507</t>
  </si>
  <si>
    <t>ZMO0508</t>
  </si>
  <si>
    <t>ZMO0509</t>
  </si>
  <si>
    <t>ZMO0510</t>
  </si>
  <si>
    <t>ZMO0511</t>
  </si>
  <si>
    <t>ZMO0512</t>
  </si>
  <si>
    <t>ZMO0514</t>
  </si>
  <si>
    <t>ZMO0515</t>
  </si>
  <si>
    <t>ZMO0516</t>
  </si>
  <si>
    <t>ZMO0517</t>
  </si>
  <si>
    <t>ZMO0518</t>
  </si>
  <si>
    <t>ZMO0519</t>
  </si>
  <si>
    <t>ZMO0520</t>
  </si>
  <si>
    <t>ZMO0521</t>
  </si>
  <si>
    <t>ZMO0522</t>
  </si>
  <si>
    <t>ZMO0523</t>
  </si>
  <si>
    <t>ZMO0524</t>
  </si>
  <si>
    <t>ZMO0525</t>
  </si>
  <si>
    <t>ZMO0526</t>
  </si>
  <si>
    <t>ZMO0527</t>
  </si>
  <si>
    <t>ZMO0528</t>
  </si>
  <si>
    <t>ZMO0529</t>
  </si>
  <si>
    <t>ZMO0530</t>
  </si>
  <si>
    <t>ZMO0531</t>
  </si>
  <si>
    <t>ZMO0532</t>
  </si>
  <si>
    <t>ZMO0533</t>
  </si>
  <si>
    <t>ZMO0534</t>
  </si>
  <si>
    <t>ZMO0536</t>
  </si>
  <si>
    <t>ZMO0537</t>
  </si>
  <si>
    <t>ZMO0538</t>
  </si>
  <si>
    <t>ZMO0539</t>
  </si>
  <si>
    <t>ZMO0540</t>
  </si>
  <si>
    <t>ZMO0541</t>
  </si>
  <si>
    <t>ZMO0542</t>
  </si>
  <si>
    <t>ZMO0543</t>
  </si>
  <si>
    <t>ZMO0544</t>
  </si>
  <si>
    <t>ZMO0545</t>
  </si>
  <si>
    <t>ZMO0546</t>
  </si>
  <si>
    <t>ZMO0549</t>
  </si>
  <si>
    <t>ZMO0550</t>
  </si>
  <si>
    <t>ZMO0551</t>
  </si>
  <si>
    <t>ZMO0553</t>
  </si>
  <si>
    <t>ZMO0554</t>
  </si>
  <si>
    <t>ZMO0555</t>
  </si>
  <si>
    <t>ZMO0556</t>
  </si>
  <si>
    <t>ZMO0557</t>
  </si>
  <si>
    <t>ZMO0558</t>
  </si>
  <si>
    <t>ZMO0559</t>
  </si>
  <si>
    <t>ZMO0560</t>
  </si>
  <si>
    <t>ZMO0561</t>
  </si>
  <si>
    <t>ZMO0563</t>
  </si>
  <si>
    <t>ZMO0564</t>
  </si>
  <si>
    <t>ZMO0565</t>
  </si>
  <si>
    <t>ZMO0567</t>
  </si>
  <si>
    <t>ZMO0570</t>
  </si>
  <si>
    <t>ZMO0571</t>
  </si>
  <si>
    <t>ZMO0572</t>
  </si>
  <si>
    <t>ZMO0573</t>
  </si>
  <si>
    <t>ZMO0574</t>
  </si>
  <si>
    <t>ZMO0575</t>
  </si>
  <si>
    <t>ZMO0576</t>
  </si>
  <si>
    <t>ZMO0578</t>
  </si>
  <si>
    <t>ZMO0582</t>
  </si>
  <si>
    <t>ZMO0583</t>
  </si>
  <si>
    <t>ZMO0584</t>
  </si>
  <si>
    <t>ZMO0585</t>
  </si>
  <si>
    <t>ZMO0586</t>
  </si>
  <si>
    <t>ZMO0587</t>
  </si>
  <si>
    <t>ZMO0589</t>
  </si>
  <si>
    <t>ZMO0591</t>
  </si>
  <si>
    <t>ZMO0593</t>
  </si>
  <si>
    <t>ZMO0594</t>
  </si>
  <si>
    <t>ZMO0597</t>
  </si>
  <si>
    <t>ZMO0598</t>
  </si>
  <si>
    <t>ZMO0599</t>
  </si>
  <si>
    <t>ZMO0602</t>
  </si>
  <si>
    <t>ZMO0603</t>
  </si>
  <si>
    <t>ZMO0604</t>
  </si>
  <si>
    <t>ZMO0605</t>
  </si>
  <si>
    <t>ZMO0606</t>
  </si>
  <si>
    <t>ZMO0607</t>
  </si>
  <si>
    <t>ZMO0608</t>
  </si>
  <si>
    <t>ZMO0609</t>
  </si>
  <si>
    <t>ZMO0610</t>
  </si>
  <si>
    <t>ZMO0611</t>
  </si>
  <si>
    <t>ZMO0612</t>
  </si>
  <si>
    <t>ZMO0613</t>
  </si>
  <si>
    <t>ZMO0614</t>
  </si>
  <si>
    <t>ZMO0617</t>
  </si>
  <si>
    <t>ZMO0619</t>
  </si>
  <si>
    <t>ZMO0621</t>
  </si>
  <si>
    <t>ZMO0624</t>
  </si>
  <si>
    <t>ZMO0625</t>
  </si>
  <si>
    <t>ZMO0627</t>
  </si>
  <si>
    <t>ZMO0628</t>
  </si>
  <si>
    <t>ZMO0629</t>
  </si>
  <si>
    <t>ZMO0631</t>
  </si>
  <si>
    <t>ZMO0632</t>
  </si>
  <si>
    <t>ZMO0634</t>
  </si>
  <si>
    <t>ZMO0635</t>
  </si>
  <si>
    <t>ZMO0636</t>
  </si>
  <si>
    <t>ZMO0637</t>
  </si>
  <si>
    <t>ZMO0642</t>
  </si>
  <si>
    <t>ZMO0643</t>
  </si>
  <si>
    <t>ZMO0644</t>
  </si>
  <si>
    <t>ZMO0651</t>
  </si>
  <si>
    <t>ZMO0654</t>
  </si>
  <si>
    <t>ZMO0655</t>
  </si>
  <si>
    <t>ZMO0656</t>
  </si>
  <si>
    <t>ZMO0657</t>
  </si>
  <si>
    <t>ZMO0658</t>
  </si>
  <si>
    <t>ZMO0659</t>
  </si>
  <si>
    <t>ZMO0660</t>
  </si>
  <si>
    <t>ZMO0661</t>
  </si>
  <si>
    <t>ZMO0662</t>
  </si>
  <si>
    <t>ZMO0664</t>
  </si>
  <si>
    <t>ZMO0666</t>
  </si>
  <si>
    <t>ZMO0668</t>
  </si>
  <si>
    <t>ZMO0669</t>
  </si>
  <si>
    <t>ZMO0671</t>
  </si>
  <si>
    <t>ZMO0675</t>
  </si>
  <si>
    <t>ZMO0676</t>
  </si>
  <si>
    <t>ZMO0677</t>
  </si>
  <si>
    <t>ZMO0678</t>
  </si>
  <si>
    <t>ZMO0682</t>
  </si>
  <si>
    <t>ZMO0683</t>
  </si>
  <si>
    <t>ZMO0684</t>
  </si>
  <si>
    <t>ZMO0685</t>
  </si>
  <si>
    <t>ZMO0686</t>
  </si>
  <si>
    <t>ZMO0687</t>
  </si>
  <si>
    <t>ZMO0689</t>
  </si>
  <si>
    <t>ZMO0691</t>
  </si>
  <si>
    <t>ZMO0692</t>
  </si>
  <si>
    <t>ZMO0693</t>
  </si>
  <si>
    <t>ZMO0694</t>
  </si>
  <si>
    <t>ZMO0695</t>
  </si>
  <si>
    <t>ZMO0698</t>
  </si>
  <si>
    <t>ZMO0704</t>
  </si>
  <si>
    <t>ZMO0705</t>
  </si>
  <si>
    <t>ZMO0706</t>
  </si>
  <si>
    <t>ZMO0707</t>
  </si>
  <si>
    <t>ZMO0708</t>
  </si>
  <si>
    <t>ZMO0709</t>
  </si>
  <si>
    <t>ZMO0710</t>
  </si>
  <si>
    <t>ZMO0711</t>
  </si>
  <si>
    <t>ZMO0712</t>
  </si>
  <si>
    <t>ZMO0713</t>
  </si>
  <si>
    <t>ZMO0714</t>
  </si>
  <si>
    <t>ZMO0715</t>
  </si>
  <si>
    <t>ZMO0716</t>
  </si>
  <si>
    <t>ZMO0719</t>
  </si>
  <si>
    <t>ZMO0720</t>
  </si>
  <si>
    <t>ZMO0721</t>
  </si>
  <si>
    <t>ZMO0722</t>
  </si>
  <si>
    <t>ZMO0724</t>
  </si>
  <si>
    <t>ZMO0725</t>
  </si>
  <si>
    <t>ZMO0726</t>
  </si>
  <si>
    <t>ZMO0727</t>
  </si>
  <si>
    <t>ZMO0728</t>
  </si>
  <si>
    <t>ZMO0731</t>
  </si>
  <si>
    <t>ZMO0732</t>
  </si>
  <si>
    <t>ZMO0734</t>
  </si>
  <si>
    <t>ZMO0735</t>
  </si>
  <si>
    <t>ZMO0737</t>
  </si>
  <si>
    <t>ZMO0738</t>
  </si>
  <si>
    <t>ZMO0739</t>
  </si>
  <si>
    <t>ZMO0740</t>
  </si>
  <si>
    <t>ZMO0743</t>
  </si>
  <si>
    <t>ZMO0746</t>
  </si>
  <si>
    <t>ZMO0747</t>
  </si>
  <si>
    <t>ZMO0748</t>
  </si>
  <si>
    <t>ZMO0749</t>
  </si>
  <si>
    <t>ZMO0750</t>
  </si>
  <si>
    <t>ZMO0752</t>
  </si>
  <si>
    <t>ZMO0753</t>
  </si>
  <si>
    <t>ZMO0754</t>
  </si>
  <si>
    <t>ZMO0756</t>
  </si>
  <si>
    <t>ZMO0757</t>
  </si>
  <si>
    <t>ZMO0758</t>
  </si>
  <si>
    <t>ZMO0759</t>
  </si>
  <si>
    <t>ZMO0760</t>
  </si>
  <si>
    <t>ZMO0763</t>
  </si>
  <si>
    <t>ZMO0764</t>
  </si>
  <si>
    <t>ZMO0765</t>
  </si>
  <si>
    <t>ZMO0767</t>
  </si>
  <si>
    <t>ZMO0769</t>
  </si>
  <si>
    <t>ZMO0770</t>
  </si>
  <si>
    <t>ZMO0773</t>
  </si>
  <si>
    <t>ZMO0774</t>
  </si>
  <si>
    <t>ZMO0776</t>
  </si>
  <si>
    <t>ZMO0778</t>
  </si>
  <si>
    <t>ZMO0779</t>
  </si>
  <si>
    <t>ZMO0780</t>
  </si>
  <si>
    <t>ZMO0781</t>
  </si>
  <si>
    <t>ZMO0782</t>
  </si>
  <si>
    <t>ZMO0783</t>
  </si>
  <si>
    <t>ZMO0784</t>
  </si>
  <si>
    <t>ZMO0785</t>
  </si>
  <si>
    <t>ZMO0786</t>
  </si>
  <si>
    <t>ZMO0787</t>
  </si>
  <si>
    <t>ZMO0788</t>
  </si>
  <si>
    <t>ZMO0791</t>
  </si>
  <si>
    <t>ZMO0792</t>
  </si>
  <si>
    <t>ZMO0794</t>
  </si>
  <si>
    <t>ZMO0797</t>
  </si>
  <si>
    <t>ZMO0798</t>
  </si>
  <si>
    <t>ZMO0801</t>
  </si>
  <si>
    <t>ZMO0803</t>
  </si>
  <si>
    <t>ZMO0804</t>
  </si>
  <si>
    <t>ZMO0805</t>
  </si>
  <si>
    <t>ZMO0806</t>
  </si>
  <si>
    <t>ZMO0807</t>
  </si>
  <si>
    <t>ZMO0809</t>
  </si>
  <si>
    <t>ZMO0810</t>
  </si>
  <si>
    <t>ZMO0811</t>
  </si>
  <si>
    <t>ZMO0813</t>
  </si>
  <si>
    <t>ZMO0814</t>
  </si>
  <si>
    <t>ZMO0818</t>
  </si>
  <si>
    <t>ZMO0819</t>
  </si>
  <si>
    <t>ZMO0820</t>
  </si>
  <si>
    <t>ZMO0821</t>
  </si>
  <si>
    <t>ZMO0823</t>
  </si>
  <si>
    <t>ZMO0824</t>
  </si>
  <si>
    <t>ZMO0825</t>
  </si>
  <si>
    <t>ZMO0826</t>
  </si>
  <si>
    <t>ZMO0827</t>
  </si>
  <si>
    <t>ZMO0829</t>
  </si>
  <si>
    <t>ZMO0830</t>
  </si>
  <si>
    <t>ZMO0831</t>
  </si>
  <si>
    <t>ZMO0832</t>
  </si>
  <si>
    <t>ZMO0833</t>
  </si>
  <si>
    <t>ZMO0834</t>
  </si>
  <si>
    <t>ZMO0835</t>
  </si>
  <si>
    <t>ZMO0836</t>
  </si>
  <si>
    <t>ZMO0837</t>
  </si>
  <si>
    <t>ZMO0840</t>
  </si>
  <si>
    <t>ZMO0842</t>
  </si>
  <si>
    <t>ZMO0843</t>
  </si>
  <si>
    <t>ZMO0844</t>
  </si>
  <si>
    <t>ZMO0845</t>
  </si>
  <si>
    <t>ZMO0846</t>
  </si>
  <si>
    <t>ZMO0847</t>
  </si>
  <si>
    <t>ZMO0850</t>
  </si>
  <si>
    <t>ZMO0851</t>
  </si>
  <si>
    <t>ZMO0852</t>
  </si>
  <si>
    <t>ZMO0853</t>
  </si>
  <si>
    <t>ZMO0854</t>
  </si>
  <si>
    <t>ZMO0855</t>
  </si>
  <si>
    <t>ZMO0856</t>
  </si>
  <si>
    <t>ZMO0857</t>
  </si>
  <si>
    <t>ZMO0859</t>
  </si>
  <si>
    <t>ZMO0861</t>
  </si>
  <si>
    <t>ZMO0862</t>
  </si>
  <si>
    <t>ZMO0863</t>
  </si>
  <si>
    <t>ZMO0864</t>
  </si>
  <si>
    <t>ZMO0865</t>
  </si>
  <si>
    <t>ZMO0866</t>
  </si>
  <si>
    <t>ZMO0867</t>
  </si>
  <si>
    <t>ZMO0868</t>
  </si>
  <si>
    <t>ZMO0869</t>
  </si>
  <si>
    <t>ZMO0870</t>
  </si>
  <si>
    <t>ZMO0871</t>
  </si>
  <si>
    <t>ZMO0872</t>
  </si>
  <si>
    <t>ZMO0873</t>
  </si>
  <si>
    <t>ZMO0874</t>
  </si>
  <si>
    <t>ZMO0875</t>
  </si>
  <si>
    <t>ZMO0876</t>
  </si>
  <si>
    <t>ZMO0878</t>
  </si>
  <si>
    <t>ZMO0880</t>
  </si>
  <si>
    <t>ZMO0882</t>
  </si>
  <si>
    <t>ZMO0883</t>
  </si>
  <si>
    <t>ZMO0884</t>
  </si>
  <si>
    <t>ZMO0886</t>
  </si>
  <si>
    <t>ZMO0888</t>
  </si>
  <si>
    <t>ZMO0889</t>
  </si>
  <si>
    <t>ZMO0890</t>
  </si>
  <si>
    <t>ZMO0893</t>
  </si>
  <si>
    <t>ZMO0896</t>
  </si>
  <si>
    <t>ZMO0899</t>
  </si>
  <si>
    <t>ZMO0900</t>
  </si>
  <si>
    <t>ZMO0902</t>
  </si>
  <si>
    <t>ZMO0903</t>
  </si>
  <si>
    <t>ZMO0904</t>
  </si>
  <si>
    <t>ZMO0905</t>
  </si>
  <si>
    <t>ZMO0908</t>
  </si>
  <si>
    <t>ZMO0909</t>
  </si>
  <si>
    <t>ZMO0910</t>
  </si>
  <si>
    <t>ZMO0911</t>
  </si>
  <si>
    <t>ZMO0912</t>
  </si>
  <si>
    <t>ZMO0913</t>
  </si>
  <si>
    <t>ZMO0914</t>
  </si>
  <si>
    <t>ZMO0916</t>
  </si>
  <si>
    <t>ZMO0917</t>
  </si>
  <si>
    <t>ZMO0918</t>
  </si>
  <si>
    <t>ZMO0920</t>
  </si>
  <si>
    <t>ZMO0921</t>
  </si>
  <si>
    <t>ZMO0923</t>
  </si>
  <si>
    <t>ZMO0924</t>
  </si>
  <si>
    <t>ZMO0925</t>
  </si>
  <si>
    <t>ZMO0926</t>
  </si>
  <si>
    <t>ZMO0928</t>
  </si>
  <si>
    <t>ZMO0930</t>
  </si>
  <si>
    <t>ZMO0935</t>
  </si>
  <si>
    <t>ZMO0937</t>
  </si>
  <si>
    <t>ZMO0938</t>
  </si>
  <si>
    <t>ZMO0939</t>
  </si>
  <si>
    <t>ZMO0940</t>
  </si>
  <si>
    <t>ZMO0945</t>
  </si>
  <si>
    <t>ZMO0946</t>
  </si>
  <si>
    <t>ZMO0947</t>
  </si>
  <si>
    <t>ZMO0948</t>
  </si>
  <si>
    <t>ZMO0949</t>
  </si>
  <si>
    <t>ZMO0951</t>
  </si>
  <si>
    <t>ZMO0956</t>
  </si>
  <si>
    <t>ZMO0961</t>
  </si>
  <si>
    <t>ZMO0962</t>
  </si>
  <si>
    <t>ZMO0963</t>
  </si>
  <si>
    <t>ZMO0964</t>
  </si>
  <si>
    <t>ZMO0965</t>
  </si>
  <si>
    <t>ZMO0970</t>
  </si>
  <si>
    <t>ZMO0971</t>
  </si>
  <si>
    <t>ZMO0972</t>
  </si>
  <si>
    <t>ZMO0973</t>
  </si>
  <si>
    <t>ZMO0974</t>
  </si>
  <si>
    <t>ZMO0976</t>
  </si>
  <si>
    <t>ZMO0979</t>
  </si>
  <si>
    <t>ZMO0980</t>
  </si>
  <si>
    <t>ZMO0981</t>
  </si>
  <si>
    <t>ZMO0984</t>
  </si>
  <si>
    <t>ZMO0985</t>
  </si>
  <si>
    <t>ZMO0986</t>
  </si>
  <si>
    <t>ZMO0987</t>
  </si>
  <si>
    <t>ZMO0989</t>
  </si>
  <si>
    <t>ZMO0992</t>
  </si>
  <si>
    <t>ZMO0994</t>
  </si>
  <si>
    <t>ZMO0997</t>
  </si>
  <si>
    <t>ZMO0999</t>
  </si>
  <si>
    <t>ZMO1000</t>
  </si>
  <si>
    <t>ZMO1002</t>
  </si>
  <si>
    <t>ZMO1003</t>
  </si>
  <si>
    <t>ZMO1004</t>
  </si>
  <si>
    <t>ZMO1005</t>
  </si>
  <si>
    <t>ZMO1006</t>
  </si>
  <si>
    <t>ZMO1008</t>
  </si>
  <si>
    <t>ZMO1009</t>
  </si>
  <si>
    <t>ZMO1012</t>
  </si>
  <si>
    <t>ZMO1013</t>
  </si>
  <si>
    <t>ZMO1014</t>
  </si>
  <si>
    <t>ZMO1016</t>
  </si>
  <si>
    <t>ZMO1017</t>
  </si>
  <si>
    <t>ZMO1018</t>
  </si>
  <si>
    <t>ZMO1019</t>
  </si>
  <si>
    <t>ZMO1020</t>
  </si>
  <si>
    <t>ZMO1021</t>
  </si>
  <si>
    <t>ZMO1022</t>
  </si>
  <si>
    <t>ZMO1023</t>
  </si>
  <si>
    <t>ZMO1025</t>
  </si>
  <si>
    <t>ZMO1026</t>
  </si>
  <si>
    <t>ZMO1029</t>
  </si>
  <si>
    <t>ZMO1032</t>
  </si>
  <si>
    <t>ZMO1033</t>
  </si>
  <si>
    <t>ZMO1034</t>
  </si>
  <si>
    <t>ZMO1036</t>
  </si>
  <si>
    <t>ZMO1039</t>
  </si>
  <si>
    <t>ZMO1040</t>
  </si>
  <si>
    <t>ZMO1041</t>
  </si>
  <si>
    <t>ZMO1042</t>
  </si>
  <si>
    <t>ZMO1043</t>
  </si>
  <si>
    <t>ZMO1044</t>
  </si>
  <si>
    <t>ZMO1047</t>
  </si>
  <si>
    <t>ZMO1050</t>
  </si>
  <si>
    <t>ZMO1052</t>
  </si>
  <si>
    <t>ZMO1054</t>
  </si>
  <si>
    <t>ZMO1055</t>
  </si>
  <si>
    <t>ZMO1056</t>
  </si>
  <si>
    <t>ZMO1057</t>
  </si>
  <si>
    <t>ZMO1059</t>
  </si>
  <si>
    <t>ZMO1060</t>
  </si>
  <si>
    <t>ZMO1061</t>
  </si>
  <si>
    <t>ZMO1063</t>
  </si>
  <si>
    <t>ZMO1064</t>
  </si>
  <si>
    <t>ZMO1065</t>
  </si>
  <si>
    <t>ZMO1067</t>
  </si>
  <si>
    <t>ZMO1068</t>
  </si>
  <si>
    <t>ZMO1070</t>
  </si>
  <si>
    <t>ZMO1071</t>
  </si>
  <si>
    <t>ZMO1072</t>
  </si>
  <si>
    <t>ZMO1075</t>
  </si>
  <si>
    <t>ZMO1076</t>
  </si>
  <si>
    <t>ZMO1077</t>
  </si>
  <si>
    <t>ZMO1078</t>
  </si>
  <si>
    <t>ZMO1079</t>
  </si>
  <si>
    <t>ZMO1081</t>
  </si>
  <si>
    <t>ZMO1084</t>
  </si>
  <si>
    <t>ZMO1085</t>
  </si>
  <si>
    <t>ZMO1086</t>
  </si>
  <si>
    <t>ZMO1087</t>
  </si>
  <si>
    <t>ZMO1089</t>
  </si>
  <si>
    <t>ZMO1090</t>
  </si>
  <si>
    <t>ZMO1091</t>
  </si>
  <si>
    <t>ZMO1092</t>
  </si>
  <si>
    <t>ZMO1093</t>
  </si>
  <si>
    <t>ZMO1094</t>
  </si>
  <si>
    <t>ZMO1095</t>
  </si>
  <si>
    <t>ZMO1096</t>
  </si>
  <si>
    <t>ZMO1097</t>
  </si>
  <si>
    <t>ZMO1098</t>
  </si>
  <si>
    <t>ZMO1099</t>
  </si>
  <si>
    <t>ZMO1100</t>
  </si>
  <si>
    <t>ZMO1101</t>
  </si>
  <si>
    <t>ZMO1105</t>
  </si>
  <si>
    <t>ZMO1107</t>
  </si>
  <si>
    <t>ZMO1109</t>
  </si>
  <si>
    <t>ZMO1113</t>
  </si>
  <si>
    <t>ZMO1116</t>
  </si>
  <si>
    <t>ZMO1117</t>
  </si>
  <si>
    <t>ZMO1118</t>
  </si>
  <si>
    <t>ZMO1121</t>
  </si>
  <si>
    <t>ZMO1122</t>
  </si>
  <si>
    <t>ZMO1124</t>
  </si>
  <si>
    <t>ZMO1125</t>
  </si>
  <si>
    <t>ZMO1127</t>
  </si>
  <si>
    <t>ZMO1128</t>
  </si>
  <si>
    <t>ZMO1129</t>
  </si>
  <si>
    <t>ZMO1130</t>
  </si>
  <si>
    <t>ZMO1131</t>
  </si>
  <si>
    <t>ZMO1132</t>
  </si>
  <si>
    <t>ZMO1133</t>
  </si>
  <si>
    <t>ZMO1135</t>
  </si>
  <si>
    <t>ZMO1136</t>
  </si>
  <si>
    <t>ZMO1137</t>
  </si>
  <si>
    <t>ZMO1139</t>
  </si>
  <si>
    <t>ZMO1140</t>
  </si>
  <si>
    <t>ZMO1141</t>
  </si>
  <si>
    <t>ZMO1142</t>
  </si>
  <si>
    <t>ZMO1143</t>
  </si>
  <si>
    <t>ZMO1145</t>
  </si>
  <si>
    <t>ZMO1146</t>
  </si>
  <si>
    <t>ZMO1147</t>
  </si>
  <si>
    <t>ZMO1148</t>
  </si>
  <si>
    <t>ZMO1150</t>
  </si>
  <si>
    <t>ZMO1152</t>
  </si>
  <si>
    <t>ZMO1153</t>
  </si>
  <si>
    <t>ZMO1154</t>
  </si>
  <si>
    <t>ZMO1155</t>
  </si>
  <si>
    <t>ZMO1156</t>
  </si>
  <si>
    <t>ZMO1158</t>
  </si>
  <si>
    <t>ZMO1160</t>
  </si>
  <si>
    <t>ZMO1163</t>
  </si>
  <si>
    <t>ZMO1164</t>
  </si>
  <si>
    <t>ZMO1166</t>
  </si>
  <si>
    <t>ZMO1167</t>
  </si>
  <si>
    <t>ZMO1169</t>
  </si>
  <si>
    <t>ZMO1171</t>
  </si>
  <si>
    <t>ZMO1172</t>
  </si>
  <si>
    <t>ZMO1173</t>
  </si>
  <si>
    <t>ZMO1174</t>
  </si>
  <si>
    <t>ZMO1177</t>
  </si>
  <si>
    <t>ZMO1178</t>
  </si>
  <si>
    <t>ZMO1179</t>
  </si>
  <si>
    <t>ZMO1180</t>
  </si>
  <si>
    <t>ZMO1181</t>
  </si>
  <si>
    <t>ZMO1182</t>
  </si>
  <si>
    <t>ZMO1183</t>
  </si>
  <si>
    <t>ZMO1184</t>
  </si>
  <si>
    <t>ZMO1186</t>
  </si>
  <si>
    <t>ZMO1187</t>
  </si>
  <si>
    <t>ZMO1188</t>
  </si>
  <si>
    <t>ZMO1190</t>
  </si>
  <si>
    <t>ZMO1191</t>
  </si>
  <si>
    <t>ZMO1192</t>
  </si>
  <si>
    <t>ZMO1193</t>
  </si>
  <si>
    <t>ZMO1194</t>
  </si>
  <si>
    <t>ZMO1197</t>
  </si>
  <si>
    <t>ZMO1198</t>
  </si>
  <si>
    <t>ZMO1200</t>
  </si>
  <si>
    <t>ZMO1201</t>
  </si>
  <si>
    <t>ZMO1202</t>
  </si>
  <si>
    <t>ZMO1203</t>
  </si>
  <si>
    <t>ZMO1209</t>
  </si>
  <si>
    <t>ZMO1211</t>
  </si>
  <si>
    <t>ZMO1212</t>
  </si>
  <si>
    <t>ZMO1213</t>
  </si>
  <si>
    <t>ZMO1214</t>
  </si>
  <si>
    <t>ZMO1220</t>
  </si>
  <si>
    <t>ZMO1221</t>
  </si>
  <si>
    <t>ZMO1222</t>
  </si>
  <si>
    <t>ZMO1223</t>
  </si>
  <si>
    <t>ZMO1225</t>
  </si>
  <si>
    <t>ZMO1226</t>
  </si>
  <si>
    <t>ZMO1227</t>
  </si>
  <si>
    <t>ZMO1228</t>
  </si>
  <si>
    <t>ZMO1229</t>
  </si>
  <si>
    <t>ZMO1231</t>
  </si>
  <si>
    <t>ZMO1232</t>
  </si>
  <si>
    <t>ZMO1233</t>
  </si>
  <si>
    <t>ZMO1234</t>
  </si>
  <si>
    <t>ZMO1235</t>
  </si>
  <si>
    <t>ZMO1236</t>
  </si>
  <si>
    <t>ZMO1237</t>
  </si>
  <si>
    <t>ZMO1240</t>
  </si>
  <si>
    <t>ZMO1242</t>
  </si>
  <si>
    <t>ZMO1243</t>
  </si>
  <si>
    <t>ZMO1248</t>
  </si>
  <si>
    <t>ZMO1251</t>
  </si>
  <si>
    <t>ZMO1252</t>
  </si>
  <si>
    <t>ZMO1260</t>
  </si>
  <si>
    <t>ZMO1261</t>
  </si>
  <si>
    <t>ZMO1264</t>
  </si>
  <si>
    <t>ZMO1265</t>
  </si>
  <si>
    <t>ZMO1267</t>
  </si>
  <si>
    <t>ZMO1268</t>
  </si>
  <si>
    <t>ZMO1270</t>
  </si>
  <si>
    <t>ZMO1271</t>
  </si>
  <si>
    <t>ZMO1272</t>
  </si>
  <si>
    <t>ZMO1273</t>
  </si>
  <si>
    <t>ZMO1275</t>
  </si>
  <si>
    <t>ZMO1276</t>
  </si>
  <si>
    <t>ZMO1277</t>
  </si>
  <si>
    <t>ZMO1278</t>
  </si>
  <si>
    <t>ZMO1279</t>
  </si>
  <si>
    <t>ZMO1283</t>
  </si>
  <si>
    <t>ZMO1284</t>
  </si>
  <si>
    <t>ZMO1285</t>
  </si>
  <si>
    <t>ZMO1287</t>
  </si>
  <si>
    <t>ZMO1291</t>
  </si>
  <si>
    <t>ZMO1294</t>
  </si>
  <si>
    <t>ZMO1295</t>
  </si>
  <si>
    <t>ZMO1298</t>
  </si>
  <si>
    <t>ZMO1299</t>
  </si>
  <si>
    <t>ZMO1300</t>
  </si>
  <si>
    <t>ZMO1301</t>
  </si>
  <si>
    <t>ZMO1302</t>
  </si>
  <si>
    <t>ZMO1303</t>
  </si>
  <si>
    <t>ZMO1305</t>
  </si>
  <si>
    <t>ZMO1306</t>
  </si>
  <si>
    <t>ZMO1307</t>
  </si>
  <si>
    <t>ZMO1308</t>
  </si>
  <si>
    <t>ZMO1309</t>
  </si>
  <si>
    <t>ZMO1311</t>
  </si>
  <si>
    <t>ZMO1312</t>
  </si>
  <si>
    <t>ZMO1313</t>
  </si>
  <si>
    <t>ZMO1314</t>
  </si>
  <si>
    <t>ZMO1315</t>
  </si>
  <si>
    <t>ZMO1317</t>
  </si>
  <si>
    <t>ZMO1318</t>
  </si>
  <si>
    <t>ZMO1319</t>
  </si>
  <si>
    <t>ZMO1320</t>
  </si>
  <si>
    <t>ZMO1321</t>
  </si>
  <si>
    <t>ZMO1322</t>
  </si>
  <si>
    <t>ZMO1323</t>
  </si>
  <si>
    <t>ZMO1324</t>
  </si>
  <si>
    <t>ZMO1325</t>
  </si>
  <si>
    <t>ZMO1326</t>
  </si>
  <si>
    <t>ZMO1327</t>
  </si>
  <si>
    <t>ZMO1328</t>
  </si>
  <si>
    <t>ZMO1329</t>
  </si>
  <si>
    <t>ZMO1331</t>
  </si>
  <si>
    <t>ZMO1334</t>
  </si>
  <si>
    <t>ZMO1335</t>
  </si>
  <si>
    <t>ZMO1336</t>
  </si>
  <si>
    <t>ZMO1341</t>
  </si>
  <si>
    <t>ZMO1344</t>
  </si>
  <si>
    <t>ZMO1345</t>
  </si>
  <si>
    <t>ZMO1347</t>
  </si>
  <si>
    <t>ZMO1348</t>
  </si>
  <si>
    <t>ZMO1350</t>
  </si>
  <si>
    <t>ZMO1351</t>
  </si>
  <si>
    <t>ZMO1352</t>
  </si>
  <si>
    <t>ZMO1353</t>
  </si>
  <si>
    <t>ZMO1354</t>
  </si>
  <si>
    <t>ZMO1355</t>
  </si>
  <si>
    <t>ZMO1356</t>
  </si>
  <si>
    <t>ZMO1358</t>
  </si>
  <si>
    <t>ZMO1360</t>
  </si>
  <si>
    <t>ZMO1364</t>
  </si>
  <si>
    <t>ZMO1365</t>
  </si>
  <si>
    <t>ZMO1366</t>
  </si>
  <si>
    <t>ZMO1369</t>
  </si>
  <si>
    <t>ZMO1370</t>
  </si>
  <si>
    <t>ZMO1373</t>
  </si>
  <si>
    <t>ZMO1374</t>
  </si>
  <si>
    <t>ZMO1375</t>
  </si>
  <si>
    <t>ZMO1377</t>
  </si>
  <si>
    <t>ZMO1380</t>
  </si>
  <si>
    <t>ZMO1384</t>
  </si>
  <si>
    <t>ZMO1385</t>
  </si>
  <si>
    <t>ZMO1386</t>
  </si>
  <si>
    <t>ZMO1387</t>
  </si>
  <si>
    <t>ZMO1388</t>
  </si>
  <si>
    <t>ZMO1389</t>
  </si>
  <si>
    <t>ZMO1390</t>
  </si>
  <si>
    <t>ZMO1391</t>
  </si>
  <si>
    <t>ZMO1392</t>
  </si>
  <si>
    <t>ZMO1393</t>
  </si>
  <si>
    <t>ZMO1396</t>
  </si>
  <si>
    <t>ZMO1400</t>
  </si>
  <si>
    <t>ZMO1401</t>
  </si>
  <si>
    <t>ZMO1402</t>
  </si>
  <si>
    <t>ZMO1403</t>
  </si>
  <si>
    <t>ZMO1404</t>
  </si>
  <si>
    <t>ZMO1405</t>
  </si>
  <si>
    <t>ZMO1406</t>
  </si>
  <si>
    <t>ZMO1407</t>
  </si>
  <si>
    <t>ZMO1408</t>
  </si>
  <si>
    <t>ZMO1409</t>
  </si>
  <si>
    <t>ZMO1410</t>
  </si>
  <si>
    <t>ZMO1411</t>
  </si>
  <si>
    <t>ZMO1412</t>
  </si>
  <si>
    <t>ZMO1414</t>
  </si>
  <si>
    <t>ZMO1415</t>
  </si>
  <si>
    <t>ZMO1417</t>
  </si>
  <si>
    <t>ZMO1420</t>
  </si>
  <si>
    <t>ZMO1421</t>
  </si>
  <si>
    <t>ZMO1422</t>
  </si>
  <si>
    <t>ZMO1423</t>
  </si>
  <si>
    <t>ZMO1424</t>
  </si>
  <si>
    <t>ZMO1425</t>
  </si>
  <si>
    <t>ZMO1429</t>
  </si>
  <si>
    <t>ZMO1430</t>
  </si>
  <si>
    <t>ZMO1432</t>
  </si>
  <si>
    <t>ZMO1433</t>
  </si>
  <si>
    <t>ZMO1434</t>
  </si>
  <si>
    <t>ZMO1435</t>
  </si>
  <si>
    <t>ZMO1436</t>
  </si>
  <si>
    <t>ZMO1439</t>
  </si>
  <si>
    <t>ZMO1441</t>
  </si>
  <si>
    <t>ZMO1442</t>
  </si>
  <si>
    <t>ZMO1444</t>
  </si>
  <si>
    <t>ZMO1446</t>
  </si>
  <si>
    <t>ZMO1447</t>
  </si>
  <si>
    <t>ZMO1449</t>
  </si>
  <si>
    <t>ZMO1451</t>
  </si>
  <si>
    <t>ZMO1455</t>
  </si>
  <si>
    <t>ZMO1460</t>
  </si>
  <si>
    <t>ZMO1462</t>
  </si>
  <si>
    <t>ZMO1463</t>
  </si>
  <si>
    <t>ZMO1468</t>
  </si>
  <si>
    <t>ZMO1470</t>
  </si>
  <si>
    <t>ZMO1471</t>
  </si>
  <si>
    <t>ZMO1473</t>
  </si>
  <si>
    <t>ZMO1475</t>
  </si>
  <si>
    <t>ZMO1476</t>
  </si>
  <si>
    <t>ZMO1478</t>
  </si>
  <si>
    <t>ZMO1479</t>
  </si>
  <si>
    <t>ZMO1480</t>
  </si>
  <si>
    <t>ZMO1481</t>
  </si>
  <si>
    <t>ZMO1484</t>
  </si>
  <si>
    <t>ZMO1485</t>
  </si>
  <si>
    <t>ZMO1488</t>
  </si>
  <si>
    <t>ZMO1489</t>
  </si>
  <si>
    <t>ZMO1490</t>
  </si>
  <si>
    <t>ZMO1491</t>
  </si>
  <si>
    <t>ZMO1494</t>
  </si>
  <si>
    <t>ZMO1496</t>
  </si>
  <si>
    <t>ZMO1497</t>
  </si>
  <si>
    <t>ZMO1498</t>
  </si>
  <si>
    <t>ZMO1499</t>
  </si>
  <si>
    <t>ZMO1500</t>
  </si>
  <si>
    <t>ZMO1501</t>
  </si>
  <si>
    <t>ZMO1502</t>
  </si>
  <si>
    <t>ZMO1503</t>
  </si>
  <si>
    <t>ZMO1506</t>
  </si>
  <si>
    <t>ZMO1507</t>
  </si>
  <si>
    <t>ZMO1508</t>
  </si>
  <si>
    <t>ZMO1509</t>
  </si>
  <si>
    <t>ZMO1510</t>
  </si>
  <si>
    <t>ZMO1511</t>
  </si>
  <si>
    <t>ZMO1513</t>
  </si>
  <si>
    <t>ZMO1514</t>
  </si>
  <si>
    <t>ZMO1515</t>
  </si>
  <si>
    <t>ZMO1516</t>
  </si>
  <si>
    <t>ZMO1518</t>
  </si>
  <si>
    <t>ZMO1519</t>
  </si>
  <si>
    <t>ZMO1520</t>
  </si>
  <si>
    <t>ZMO1521</t>
  </si>
  <si>
    <t>ZMO1522</t>
  </si>
  <si>
    <t>ZMO1525</t>
  </si>
  <si>
    <t>ZMO1527</t>
  </si>
  <si>
    <t>ZMO1528</t>
  </si>
  <si>
    <t>ZMO1529</t>
  </si>
  <si>
    <t>ZMO1530</t>
  </si>
  <si>
    <t>ZMO1531</t>
  </si>
  <si>
    <t>ZMO1532</t>
  </si>
  <si>
    <t>ZMO1538</t>
  </si>
  <si>
    <t>ZMO1540</t>
  </si>
  <si>
    <t>ZMO1541</t>
  </si>
  <si>
    <t>ZMO1542</t>
  </si>
  <si>
    <t>ZMO1543</t>
  </si>
  <si>
    <t>ZMO1544</t>
  </si>
  <si>
    <t>ZMO1545</t>
  </si>
  <si>
    <t>ZMO1547</t>
  </si>
  <si>
    <t>ZMO1548</t>
  </si>
  <si>
    <t>ZMO1549</t>
  </si>
  <si>
    <t>ZMO1550</t>
  </si>
  <si>
    <t>ZMO1551</t>
  </si>
  <si>
    <t>ZMO1552</t>
  </si>
  <si>
    <t>ZMO1553</t>
  </si>
  <si>
    <t>ZMO1554</t>
  </si>
  <si>
    <t>ZMO1556</t>
  </si>
  <si>
    <t>ZMO1557</t>
  </si>
  <si>
    <t>ZMO1561</t>
  </si>
  <si>
    <t>ZMO1562</t>
  </si>
  <si>
    <t>ZMO1563</t>
  </si>
  <si>
    <t>ZMO1568</t>
  </si>
  <si>
    <t>ZMO1569</t>
  </si>
  <si>
    <t>ZMO1570</t>
  </si>
  <si>
    <t>ZMO1571</t>
  </si>
  <si>
    <t>ZMO1573</t>
  </si>
  <si>
    <t>ZMO1576</t>
  </si>
  <si>
    <t>ZMO1578</t>
  </si>
  <si>
    <t>ZMO1581</t>
  </si>
  <si>
    <t>ZMO1583</t>
  </si>
  <si>
    <t>ZMO1584</t>
  </si>
  <si>
    <t>ZMO1586</t>
  </si>
  <si>
    <t>ZMO1588</t>
  </si>
  <si>
    <t>ZMO1589</t>
  </si>
  <si>
    <t>ZMO1590</t>
  </si>
  <si>
    <t>ZMO1592</t>
  </si>
  <si>
    <t>ZMO1593</t>
  </si>
  <si>
    <t>ZMO1596</t>
  </si>
  <si>
    <t>ZMO1599</t>
  </si>
  <si>
    <t>ZMO1600</t>
  </si>
  <si>
    <t>ZMO1601</t>
  </si>
  <si>
    <t>ZMO1602</t>
  </si>
  <si>
    <t>ZMO1603</t>
  </si>
  <si>
    <t>ZMO1604</t>
  </si>
  <si>
    <t>ZMO1605</t>
  </si>
  <si>
    <t>ZMO1606</t>
  </si>
  <si>
    <t>ZMO1608</t>
  </si>
  <si>
    <t>ZMO1609</t>
  </si>
  <si>
    <t>ZMO1610</t>
  </si>
  <si>
    <t>ZMO1611</t>
  </si>
  <si>
    <t>ZMO1612</t>
  </si>
  <si>
    <t>ZMO1615</t>
  </si>
  <si>
    <t>ZMO1618</t>
  </si>
  <si>
    <t>ZMO1619</t>
  </si>
  <si>
    <t>ZMO1622</t>
  </si>
  <si>
    <t>ZMO1623</t>
  </si>
  <si>
    <t>ZMO1625</t>
  </si>
  <si>
    <t>ZMO1626</t>
  </si>
  <si>
    <t>ZMO1627</t>
  </si>
  <si>
    <t>ZMO1628</t>
  </si>
  <si>
    <t>ZMO1631</t>
  </si>
  <si>
    <t>ZMO1632</t>
  </si>
  <si>
    <t>ZMO1633</t>
  </si>
  <si>
    <t>ZMO1636</t>
  </si>
  <si>
    <t>ZMO1638</t>
  </si>
  <si>
    <t>ZMO1640</t>
  </si>
  <si>
    <t>ZMO1641</t>
  </si>
  <si>
    <t>ZMO1642</t>
  </si>
  <si>
    <t>ZMO1643</t>
  </si>
  <si>
    <t>ZMO1644</t>
  </si>
  <si>
    <t>ZMO1646</t>
  </si>
  <si>
    <t>ZMO1649</t>
  </si>
  <si>
    <t>ZMO1650</t>
  </si>
  <si>
    <t>ZMO1651</t>
  </si>
  <si>
    <t>ZMO1652</t>
  </si>
  <si>
    <t>ZMO1653</t>
  </si>
  <si>
    <t>ZMO1654</t>
  </si>
  <si>
    <t>ZMO1655</t>
  </si>
  <si>
    <t>ZMO1656</t>
  </si>
  <si>
    <t>ZMO1657</t>
  </si>
  <si>
    <t>ZMO1658</t>
  </si>
  <si>
    <t>ZMO1659</t>
  </si>
  <si>
    <t>ZMO1661</t>
  </si>
  <si>
    <t>ZMO1663</t>
  </si>
  <si>
    <t>ZMO1664</t>
  </si>
  <si>
    <t>ZMO1667</t>
  </si>
  <si>
    <t>ZMO1669</t>
  </si>
  <si>
    <t>ZMO1670</t>
  </si>
  <si>
    <t>ZMO1671</t>
  </si>
  <si>
    <t>ZMO1672</t>
  </si>
  <si>
    <t>ZMO1673</t>
  </si>
  <si>
    <t>ZMO1675</t>
  </si>
  <si>
    <t>ZMO1678</t>
  </si>
  <si>
    <t>ZMO1679</t>
  </si>
  <si>
    <t>ZMO1681</t>
  </si>
  <si>
    <t>ZMO1682</t>
  </si>
  <si>
    <t>ZMO1683</t>
  </si>
  <si>
    <t>ZMO1684</t>
  </si>
  <si>
    <t>ZMO1685</t>
  </si>
  <si>
    <t>ZMO1686</t>
  </si>
  <si>
    <t>ZMO1687</t>
  </si>
  <si>
    <t>ZMO1688</t>
  </si>
  <si>
    <t>ZMO1689</t>
  </si>
  <si>
    <t>ZMO1690</t>
  </si>
  <si>
    <t>ZMO1692</t>
  </si>
  <si>
    <t>ZMO1693</t>
  </si>
  <si>
    <t>ZMO1694</t>
  </si>
  <si>
    <t>ZMO1696</t>
  </si>
  <si>
    <t>ZMO1698</t>
  </si>
  <si>
    <t>ZMO1699</t>
  </si>
  <si>
    <t>ZMO1701</t>
  </si>
  <si>
    <t>ZMO1702</t>
  </si>
  <si>
    <t>ZMO1703</t>
  </si>
  <si>
    <t>ZMO1704</t>
  </si>
  <si>
    <t>ZMO1705</t>
  </si>
  <si>
    <t>ZMO1707</t>
  </si>
  <si>
    <t>ZMO1708</t>
  </si>
  <si>
    <t>ZMO1710</t>
  </si>
  <si>
    <t>ZMO1712</t>
  </si>
  <si>
    <t>ZMO1713</t>
  </si>
  <si>
    <t>ZMO1715</t>
  </si>
  <si>
    <t>ZMO1716</t>
  </si>
  <si>
    <t>ZMO1717</t>
  </si>
  <si>
    <t>ZMO1718</t>
  </si>
  <si>
    <t>ZMO1719</t>
  </si>
  <si>
    <t>ZMO1720</t>
  </si>
  <si>
    <t>ZMO1721</t>
  </si>
  <si>
    <t>ZMO1722</t>
  </si>
  <si>
    <t>ZMO1723</t>
  </si>
  <si>
    <t>ZMO1724</t>
  </si>
  <si>
    <t>ZMO1725</t>
  </si>
  <si>
    <t>ZMO1727</t>
  </si>
  <si>
    <t>ZMO1728</t>
  </si>
  <si>
    <t>ZMO1730</t>
  </si>
  <si>
    <t>ZMO1732</t>
  </si>
  <si>
    <t>ZMO1733</t>
  </si>
  <si>
    <t>ZMO1734</t>
  </si>
  <si>
    <t>ZMO1738</t>
  </si>
  <si>
    <t>ZMO1740</t>
  </si>
  <si>
    <t>ZMO1741</t>
  </si>
  <si>
    <t>ZMO1743</t>
  </si>
  <si>
    <t>ZMO1745</t>
  </si>
  <si>
    <t>ZMO1746</t>
  </si>
  <si>
    <t>ZMO1747</t>
  </si>
  <si>
    <t>ZMO1748</t>
  </si>
  <si>
    <t>ZMO1749</t>
  </si>
  <si>
    <t>ZMO1750</t>
  </si>
  <si>
    <t>ZMO1754</t>
  </si>
  <si>
    <t>ZMO1755</t>
  </si>
  <si>
    <t>ZMO1757</t>
  </si>
  <si>
    <t>ZMO1758</t>
  </si>
  <si>
    <t>ZMO1760</t>
  </si>
  <si>
    <t>ZMO1761</t>
  </si>
  <si>
    <t>ZMO1763</t>
  </si>
  <si>
    <t>ZMO1764</t>
  </si>
  <si>
    <t>ZMO1766</t>
  </si>
  <si>
    <t>ZMO1767</t>
  </si>
  <si>
    <t>ZMO1768</t>
  </si>
  <si>
    <t>ZMO1770</t>
  </si>
  <si>
    <t>ZMO1771</t>
  </si>
  <si>
    <t>ZMO1772</t>
  </si>
  <si>
    <t>ZMO1773</t>
  </si>
  <si>
    <t>ZMO1776</t>
  </si>
  <si>
    <t>ZMO1779</t>
  </si>
  <si>
    <t>ZMO1780</t>
  </si>
  <si>
    <t>ZMO1786</t>
  </si>
  <si>
    <t>ZMO1788</t>
  </si>
  <si>
    <t>ZMO1790</t>
  </si>
  <si>
    <t>ZMO1792</t>
  </si>
  <si>
    <t>ZMO1794</t>
  </si>
  <si>
    <t>ZMO1796</t>
  </si>
  <si>
    <t>ZMO1797</t>
  </si>
  <si>
    <t>ZMO1798</t>
  </si>
  <si>
    <t>ZMO1800</t>
  </si>
  <si>
    <t>ZMO1801</t>
  </si>
  <si>
    <t>ZMO1805</t>
  </si>
  <si>
    <t>ZMO1806</t>
  </si>
  <si>
    <t>ZMO1808</t>
  </si>
  <si>
    <t>ZMO1810</t>
  </si>
  <si>
    <t>ZMO1811</t>
  </si>
  <si>
    <t>ZMO1812</t>
  </si>
  <si>
    <t>ZMO1813</t>
  </si>
  <si>
    <t>ZMO1815</t>
  </si>
  <si>
    <t>ZMO1816</t>
  </si>
  <si>
    <t>ZMO1818</t>
  </si>
  <si>
    <t>ZMO1820</t>
  </si>
  <si>
    <t>ZMO1823</t>
  </si>
  <si>
    <t>ZMO1824</t>
  </si>
  <si>
    <t>ZMO1825</t>
  </si>
  <si>
    <t>ZMO1826</t>
  </si>
  <si>
    <t>ZMO1828</t>
  </si>
  <si>
    <t>ZMO1842</t>
  </si>
  <si>
    <t>ZMO1844</t>
  </si>
  <si>
    <t>ZMO1845</t>
  </si>
  <si>
    <t>ZMO1848</t>
  </si>
  <si>
    <t>ZMO1853</t>
  </si>
  <si>
    <t>ZMO1857</t>
  </si>
  <si>
    <t>ZMO1861</t>
  </si>
  <si>
    <t>ZMO1866</t>
  </si>
  <si>
    <t>ZMO1867</t>
  </si>
  <si>
    <t>ZMO1868</t>
  </si>
  <si>
    <t>ZMO1869</t>
  </si>
  <si>
    <t>ZMO1870</t>
  </si>
  <si>
    <t>ZMO1871</t>
  </si>
  <si>
    <t>ZMO1872</t>
  </si>
  <si>
    <t>ZMO1873</t>
  </si>
  <si>
    <t>ZMO1874</t>
  </si>
  <si>
    <t>ZMO1875</t>
  </si>
  <si>
    <t>ZMO1876</t>
  </si>
  <si>
    <t>ZMO1877</t>
  </si>
  <si>
    <t>ZMO1878</t>
  </si>
  <si>
    <t>ZMO1879</t>
  </si>
  <si>
    <t>ZMO1880</t>
  </si>
  <si>
    <t>ZMO1883</t>
  </si>
  <si>
    <t>ZMO1884</t>
  </si>
  <si>
    <t>ZMO1885</t>
  </si>
  <si>
    <t>ZMO1887</t>
  </si>
  <si>
    <t>ZMO1889</t>
  </si>
  <si>
    <t>ZMO1890</t>
  </si>
  <si>
    <t>ZMO1891</t>
  </si>
  <si>
    <t>ZMO1892</t>
  </si>
  <si>
    <t>ZMO1895</t>
  </si>
  <si>
    <t>ZMO1896</t>
  </si>
  <si>
    <t>ZMO1897</t>
  </si>
  <si>
    <t>ZMO1898</t>
  </si>
  <si>
    <t>ZMO1899</t>
  </si>
  <si>
    <t>ZMO1900</t>
  </si>
  <si>
    <t>ZMO1901</t>
  </si>
  <si>
    <t>ZMO1903</t>
  </si>
  <si>
    <t>ZMO1904</t>
  </si>
  <si>
    <t>ZMO1905</t>
  </si>
  <si>
    <t>ZMO1906</t>
  </si>
  <si>
    <t>ZMO1907</t>
  </si>
  <si>
    <t>ZMO1908</t>
  </si>
  <si>
    <t>ZMO1909</t>
  </si>
  <si>
    <t>ZMO1910</t>
  </si>
  <si>
    <t>ZMO1911</t>
  </si>
  <si>
    <t>ZMO1912</t>
  </si>
  <si>
    <t>ZMO1913</t>
  </si>
  <si>
    <t>ZMO1915</t>
  </si>
  <si>
    <t>ZMO1917</t>
  </si>
  <si>
    <t>ZMO1918</t>
  </si>
  <si>
    <t>ZMO1919</t>
  </si>
  <si>
    <t>ZMO1920</t>
  </si>
  <si>
    <t>ZMO1921</t>
  </si>
  <si>
    <t>ZMO1922</t>
  </si>
  <si>
    <t>ZMO1924</t>
  </si>
  <si>
    <t>ZMO1925</t>
  </si>
  <si>
    <t>ZMO1927</t>
  </si>
  <si>
    <t>ZMO1928</t>
  </si>
  <si>
    <t>ZMO1929</t>
  </si>
  <si>
    <t>ZMO1933</t>
  </si>
  <si>
    <t>ZMO1934</t>
  </si>
  <si>
    <t>ZMO1944</t>
  </si>
  <si>
    <t>ZMO1945</t>
  </si>
  <si>
    <t>ZMO1954</t>
  </si>
  <si>
    <t>ZMO1955</t>
  </si>
  <si>
    <t>ZMO1956</t>
  </si>
  <si>
    <t>ZMO1957</t>
  </si>
  <si>
    <t>ZMO1958</t>
  </si>
  <si>
    <t>ZMO1959</t>
  </si>
  <si>
    <t>ZMO1962</t>
  </si>
  <si>
    <t>ZMO1963</t>
  </si>
  <si>
    <t>ZMO1964</t>
  </si>
  <si>
    <t>ZMO1966</t>
  </si>
  <si>
    <t>ZMO1967</t>
  </si>
  <si>
    <t>ZMO1969</t>
  </si>
  <si>
    <t>ZMO1970</t>
  </si>
  <si>
    <t>ZMO1975</t>
  </si>
  <si>
    <t>ZMO1976</t>
  </si>
  <si>
    <t>ZMO1978</t>
  </si>
  <si>
    <t>ZMO1979</t>
  </si>
  <si>
    <t>ZMO1980</t>
  </si>
  <si>
    <t>ZMO1981</t>
  </si>
  <si>
    <t>ZMO1984</t>
  </si>
  <si>
    <t>ZMO1988</t>
  </si>
  <si>
    <t>ZMO1989</t>
  </si>
  <si>
    <t>ZMO1992</t>
  </si>
  <si>
    <t>ZMO1993</t>
  </si>
  <si>
    <t>ZMO1996</t>
  </si>
  <si>
    <t>ZMO1998</t>
  </si>
  <si>
    <t>ZMO2002</t>
  </si>
  <si>
    <t>ZMO2003</t>
  </si>
  <si>
    <t>ZMO2004</t>
  </si>
  <si>
    <t>ZMO2005</t>
  </si>
  <si>
    <t>ZMO2006</t>
  </si>
  <si>
    <t>ZMO2007</t>
  </si>
  <si>
    <t>ZMO2012</t>
  </si>
  <si>
    <t>ZMO2014</t>
  </si>
  <si>
    <t>ZMO2015</t>
  </si>
  <si>
    <t>ZMO2017</t>
  </si>
  <si>
    <t>ZMO2023</t>
  </si>
  <si>
    <t>ZMO2025</t>
  </si>
  <si>
    <t>ZMO2031</t>
  </si>
  <si>
    <t>ZMO2041</t>
  </si>
  <si>
    <t>ZMO1598</t>
  </si>
  <si>
    <t>ZMO1753</t>
  </si>
  <si>
    <t>ZMO1851</t>
  </si>
  <si>
    <t>b2889</t>
  </si>
  <si>
    <t>ZMO0002</t>
  </si>
  <si>
    <t>ZMO0050</t>
  </si>
  <si>
    <t>ZMO0059</t>
  </si>
  <si>
    <t>ZMO0101</t>
  </si>
  <si>
    <t>ZMO0112</t>
  </si>
  <si>
    <t>ZMO0230</t>
  </si>
  <si>
    <t>ZMO0243</t>
  </si>
  <si>
    <t>ZMO0254</t>
  </si>
  <si>
    <t>ZMO0263</t>
  </si>
  <si>
    <t>ZMO0265</t>
  </si>
  <si>
    <t>ZMO0271</t>
  </si>
  <si>
    <t>ZMO0277</t>
  </si>
  <si>
    <t>ZMO0281</t>
  </si>
  <si>
    <t>ZMO0290</t>
  </si>
  <si>
    <t>ZMO0321</t>
  </si>
  <si>
    <t>ZMO0331</t>
  </si>
  <si>
    <t>ZMO0346</t>
  </si>
  <si>
    <t>ZMO0371</t>
  </si>
  <si>
    <t>ZMO0380</t>
  </si>
  <si>
    <t>ZMO0389</t>
  </si>
  <si>
    <t>ZMO0416</t>
  </si>
  <si>
    <t>ZMO0459</t>
  </si>
  <si>
    <t>ZMO0495</t>
  </si>
  <si>
    <t>ZMO0500</t>
  </si>
  <si>
    <t>ZMO0502</t>
  </si>
  <si>
    <t>ZMO0548</t>
  </si>
  <si>
    <t>ZMO0552</t>
  </si>
  <si>
    <t>ZMO0601</t>
  </si>
  <si>
    <t>ZMO0626</t>
  </si>
  <si>
    <t>ZMO0667</t>
  </si>
  <si>
    <t>ZMO0703</t>
  </si>
  <si>
    <t>ZMO0736</t>
  </si>
  <si>
    <t>ZMO0744</t>
  </si>
  <si>
    <t>ZMO0766</t>
  </si>
  <si>
    <t>ZMO0777</t>
  </si>
  <si>
    <t>ZMO0793</t>
  </si>
  <si>
    <t>ZMO0894</t>
  </si>
  <si>
    <t>ZMO0907</t>
  </si>
  <si>
    <t>ZMO0915</t>
  </si>
  <si>
    <t>ZMO0919</t>
  </si>
  <si>
    <t>ZMO0942</t>
  </si>
  <si>
    <t>ZMO0952</t>
  </si>
  <si>
    <t>ZMO0958</t>
  </si>
  <si>
    <t>ZMO1007</t>
  </si>
  <si>
    <t>ZMO1015</t>
  </si>
  <si>
    <t>ZMO1027</t>
  </si>
  <si>
    <t>ZMO1048</t>
  </si>
  <si>
    <t>ZMO1049</t>
  </si>
  <si>
    <t>ZMO1069</t>
  </si>
  <si>
    <t>ZMO1088</t>
  </si>
  <si>
    <t>ZMO1102</t>
  </si>
  <si>
    <t>ZMO1138</t>
  </si>
  <si>
    <t>ZMO1149</t>
  </si>
  <si>
    <t>ZMO1159</t>
  </si>
  <si>
    <t>ZMO1162</t>
  </si>
  <si>
    <t>ZMO1176</t>
  </si>
  <si>
    <t>ZMO1185</t>
  </si>
  <si>
    <t>ZMO1189</t>
  </si>
  <si>
    <t>ZMO1195</t>
  </si>
  <si>
    <t>ZMO1196</t>
  </si>
  <si>
    <t>ZMO1207</t>
  </si>
  <si>
    <t>ZMO1216</t>
  </si>
  <si>
    <t>ZMO1219</t>
  </si>
  <si>
    <t>ZMO1256</t>
  </si>
  <si>
    <t>ZMO1263</t>
  </si>
  <si>
    <t>ZMO1394</t>
  </si>
  <si>
    <t>ZMO1399</t>
  </si>
  <si>
    <t>ZMO1413</t>
  </si>
  <si>
    <t>ZMO1461</t>
  </si>
  <si>
    <t>ZMO1466</t>
  </si>
  <si>
    <t>ZMO1504</t>
  </si>
  <si>
    <t>ZMO1512</t>
  </si>
  <si>
    <t>ZMO1536</t>
  </si>
  <si>
    <t>ZMO1574</t>
  </si>
  <si>
    <t>ZMO1587</t>
  </si>
  <si>
    <t>ZMO1624</t>
  </si>
  <si>
    <t>ZMO1634</t>
  </si>
  <si>
    <t>ZMO1647</t>
  </si>
  <si>
    <t>ZMO1662</t>
  </si>
  <si>
    <t>ZMO1676</t>
  </si>
  <si>
    <t>ZMO1677</t>
  </si>
  <si>
    <t>ZMO1735</t>
  </si>
  <si>
    <t>ZMO1739</t>
  </si>
  <si>
    <t>ZMO1756</t>
  </si>
  <si>
    <t>ZMO1781</t>
  </si>
  <si>
    <t>ZMO1814</t>
  </si>
  <si>
    <t>ZMO1855</t>
  </si>
  <si>
    <t>ZMO1916</t>
  </si>
  <si>
    <t>ZMO1923</t>
  </si>
  <si>
    <t>ZMO1950</t>
  </si>
  <si>
    <t>ZMO1960</t>
  </si>
  <si>
    <t>ZMO1961</t>
  </si>
  <si>
    <t>ZMO1974</t>
  </si>
  <si>
    <t>ZMO1986</t>
  </si>
  <si>
    <t>fg/cell</t>
  </si>
  <si>
    <t>copies/cell</t>
  </si>
  <si>
    <t>No</t>
  </si>
  <si>
    <t>Header</t>
  </si>
  <si>
    <t>Locus Tag</t>
  </si>
  <si>
    <t>Mass (Da)</t>
  </si>
  <si>
    <t>iBAQ (log2)</t>
  </si>
  <si>
    <t>Average</t>
  </si>
  <si>
    <t>Stand. Dev.</t>
  </si>
  <si>
    <t xml:space="preserve">Average </t>
  </si>
  <si>
    <t>lcl|CP023715.1_prot_AVZ41384.1_1 [locus_tag=ZMO1_ZMO0001] [protein=TonB-dependent receptor] [protein_id=AVZ41384.1] [location=147..2516] [gbkey=CDS]</t>
  </si>
  <si>
    <t>lcl|CP023715.1_prot_AVZ41385.1_2 [gene=hisC1] [locus_tag=ZMO1_ZMO0002] [protein=histidinol-phosphate aminotransferase HisC] [protein_id=AVZ41385.1] [location=2538..3653] [gbkey=CDS]</t>
  </si>
  <si>
    <t>lcl|CP023715.1_prot_AVZ41386.1_3 [gene=cysC] [locus_tag=ZMO1_ZMO0003] [protein=adenylyl-sulfate kinase] [protein_id=AVZ41386.1] [location=complement(3697..4329)] [gbkey=CDS]</t>
  </si>
  <si>
    <t>lcl|CP023715.1_prot_AVZ41387.1_4 [gene=cysN] [locus_tag=ZMO1_ZMO0004] [protein=sulfate adenylyltransferase large subunit] [protein_id=AVZ41387.1] [location=complement(4340..5770)] [gbkey=CDS]</t>
  </si>
  <si>
    <t>lcl|CP023715.1_prot_AVZ41388.1_5 [gene=cysD] [locus_tag=ZMO1_ZMO0005] [protein=sulfate adenylyltransferase small subunit] [protein_id=AVZ41388.1] [location=complement(5781..6689)] [gbkey=CDS]</t>
  </si>
  <si>
    <t>lcl|CP023715.1_prot_AVZ41389.1_6 [gene=cysG1] [locus_tag=ZMO1_ZMO0006] [protein=siroheme synthase CysG] [protein_id=AVZ41389.1] [location=complement(6700..8115)] [gbkey=CDS]</t>
  </si>
  <si>
    <t>lcl|CP023715.1_prot_AVZ41390.1_7 [gene=cysH] [locus_tag=ZMO1_ZMO0007] [protein=phosphoadenosine phosphosulfate reductase] [protein_id=AVZ41390.1] [location=complement(8386..9120)] [gbkey=CDS]</t>
  </si>
  <si>
    <t>lcl|CP023715.1_prot_AVZ41391.1_8 [gene=cysI] [locus_tag=ZMO1_ZMO0008] [protein=sulfite reductase (NADPH) hemoprotein beta-component] [protein_id=AVZ41391.1] [location=complement(9131..10843)] [gbkey=CDS]</t>
  </si>
  <si>
    <t>lcl|CP023715.1_prot_AVZ41392.1_9 [gene=cysJ] [locus_tag=ZMO1_ZMO0009] [protein=sulfite reductase (NADPH) flavoprotein alpha chain] [protein_id=AVZ41392.1] [location=complement(10843..12663)] [gbkey=CDS]</t>
  </si>
  <si>
    <t>lcl|CP023715.1_prot_AVZ41394.1_11 [locus_tag=ZMO1_ZMO0011] [protein=uncharacterized protein] [protein_id=AVZ41394.1] [location=complement(13757..14371)] [gbkey=CDS]</t>
  </si>
  <si>
    <t>lcl|CP023715.1_prot_AVZ41395.1_12 [gene=hemN1] [locus_tag=ZMO1_ZMO0012] [protein=coproporphyrinogen III oxidase] [protein_id=AVZ41395.1] [location=complement(14548..15729)] [gbkey=CDS]</t>
  </si>
  <si>
    <t>lcl|CP023715.1_prot_AVZ41396.1_13 [locus_tag=ZMO1_ZMO0013] [protein=rdgB/HAM1 family non-canonical purine NTP pyrophosphatase] [protein_id=AVZ41396.1] [location=complement(15736..16365)] [gbkey=CDS]</t>
  </si>
  <si>
    <t>lcl|CP023715.1_prot_AVZ41397.1_14 [gene=rph] [locus_tag=ZMO1_ZMO0014] [protein=ribonuclease PH] [protein_id=AVZ41397.1] [location=complement(16367..17080)] [gbkey=CDS]</t>
  </si>
  <si>
    <t>lcl|CP023715.1_prot_AVZ41398.1_15 [gene=hrcA] [locus_tag=ZMO1_ZMO0015] [protein=heat-inducible transcription repressor HrcA] [protein_id=AVZ41398.1] [location=17333..18370] [gbkey=CDS]</t>
  </si>
  <si>
    <t>lcl|CP023715.1_prot_AVZ41399.1_16 [gene=grpE] [locus_tag=ZMO1_ZMO0016] [protein=GrpE protein] [protein_id=AVZ41399.1] [location=18367..18939] [gbkey=CDS]</t>
  </si>
  <si>
    <t>lcl|CP023715.1_prot_AVZ41400.1_17 [locus_tag=ZMO1_ZMO0017] [protein=RsmB-like methyltransferase] [protein_id=AVZ41400.1] [location=18995..20401] [gbkey=CDS]</t>
  </si>
  <si>
    <t>lcl|CP023715.1_prot_AVZ41401.1_18 [gene=rpe] [locus_tag=ZMO1_ZMO0018] [protein=ribulose-phosphate 3-epimerase] [protein_id=AVZ41401.1] [location=20553..21215] [gbkey=CDS]</t>
  </si>
  <si>
    <t>lcl|CP023715.1_prot_AVZ41402.1_19 [locus_tag=ZMO1_ZMO0019] [protein=heparinase II/III family protein] [protein_id=AVZ41402.1] [location=21212..22978] [gbkey=CDS]</t>
  </si>
  <si>
    <t>lcl|CP023715.1_prot_AVZ41403.1_20 [locus_tag=ZMO1_ZMO0020] [protein=LUD domain-containing protein] [protein_id=AVZ41403.1] [location=complement(23204..23800)] [gbkey=CDS]</t>
  </si>
  <si>
    <t>lcl|CP023715.1_prot_AVZ41404.1_21 [gene=ykgF] [locus_tag=ZMO1_ZMO0021] [protein=iron-sulfur cluster-binding protein YkgF] [protein_id=AVZ41404.1] [location=complement(23797..25239)] [gbkey=CDS]</t>
  </si>
  <si>
    <t>lcl|CP023715.1_prot_AVZ41405.1_22 [locus_tag=ZMO1_ZMO0022] [protein=Fe-S oxidoreductase] [protein_id=AVZ41405.1] [location=complement(25239..25982)] [gbkey=CDS]</t>
  </si>
  <si>
    <t>lcl|CP023715.1_prot_AVZ41406.1_23 [locus_tag=ZMO1_ZMO0023] [protein=AsnC family transcriptional regulator] [protein_id=AVZ41406.1] [location=complement(26353..26829)] [gbkey=CDS]</t>
  </si>
  <si>
    <t>ZMO0023</t>
  </si>
  <si>
    <t>lcl|CP023715.1_prot_AVZ41408.1_25 [locus_tag=ZMO1_ZMO0026] [protein=Sel1 domain protein repeat-containing protein] [protein_id=AVZ41408.1] [location=28029..28976] [gbkey=CDS]</t>
  </si>
  <si>
    <t>lcl|CP023715.1_prot_AVZ41409.1_26 [gene=purH] [locus_tag=ZMO1_ZMO0027] [protein=bifunctional phosphoribosyl aminoimidazole carboxamide formyltransferase/IMP cyclohydrolase] [protein_id=AVZ41409.1] [location=29293..30897] [gbkey=CDS]</t>
  </si>
  <si>
    <t>lcl|CP023715.1_prot_AVZ41410.1_27 [locus_tag=ZMO1_ZMO0028] [protein=restriction endonuclease] [protein_id=AVZ41410.1] [location=31083..32006] [gbkey=CDS]</t>
  </si>
  <si>
    <t>ZMO0028</t>
  </si>
  <si>
    <t>lcl|CP023715.1_prot_AVZ41412.1_29 [gene=gloA1] [locus_tag=ZMO1_ZMO0030] [protein=glyoxalase/bleomycin resistance protein/dioxygenase] [protein_id=AVZ41412.1] [location=34224..34631] [gbkey=CDS]</t>
  </si>
  <si>
    <t>lcl|CP023715.1_prot_AVZ41413.2_30 [locus_tag=ZMO1_ZMO0031] [protein=TonB-dependent receptor] [protein_id=AVZ41413.2] [location=complement(34635..37055)] [gbkey=CDS]</t>
  </si>
  <si>
    <t>ZMO0031</t>
  </si>
  <si>
    <t>lcl|CP023715.1_prot_AVZ41414.1_31 [locus_tag=ZMO1_ZMO0033] [protein=putative zinc- or iron-chelating domain-containing protein] [protein_id=AVZ41414.1] [location=complement(37403..37837)] [gbkey=CDS]</t>
  </si>
  <si>
    <t>lcl|CP023715.1_prot_AVZ41415.1_32 [locus_tag=ZMO1_ZMO0035] [protein=ankyrin repeat domain-containing protein] [protein_id=AVZ41415.1] [location=38017..38619] [gbkey=CDS]</t>
  </si>
  <si>
    <t>lcl|CP023715.1_prot_AVZ41416.1_33 [locus_tag=ZMO1_ZMO0036] [protein=DUF1491 domain-containing protein] [protein_id=AVZ41416.1] [location=complement(38623..38961)] [gbkey=CDS]</t>
  </si>
  <si>
    <t>ZMO0036</t>
  </si>
  <si>
    <t>lcl|CP023715.1_prot_AVZ41417.1_34 [gene=nagE1] [locus_tag=ZMO1_ZMO0037] [protein=PTS IIA-like nitrogen-regulatory protein PtsN/NagE] [protein_id=AVZ41417.1] [location=complement(38961..39422)] [gbkey=CDS]</t>
  </si>
  <si>
    <t>lcl|CP023715.1_prot_AVZ41418.1_35 [locus_tag=ZMO1_ZMO0038] [protein=ribosomal protein S30Ae/sigma 54 modulation protein] [protein_id=AVZ41418.1] [location=complement(39623..40225)] [gbkey=CDS]</t>
  </si>
  <si>
    <t>lcl|CP023715.1_prot_AVZ41419.1_36 [gene=dnaQ] [locus_tag=ZMO1_ZMO0039] [protein=DNA polymerase III epsilon subunit] [protein_id=AVZ41419.1] [location=complement(40338..41042)] [gbkey=CDS]</t>
  </si>
  <si>
    <t>lcl|CP023715.1_prot_AVZ41420.1_37 [gene=coaE] [locus_tag=ZMO1_ZMO0040] [protein=dephospho-CoA kinase] [protein_id=AVZ41420.1] [location=complement(41050..41643)] [gbkey=CDS]</t>
  </si>
  <si>
    <t>lcl|CP023715.1_prot_AVZ41421.1_38 [gene=aroE] [locus_tag=ZMO1_ZMO0041] [protein=shikimate 5-dehydrogenase] [protein_id=AVZ41421.1] [location=complement(41656..42537)] [gbkey=CDS]</t>
  </si>
  <si>
    <t>lcl|CP023715.1_prot_AVZ41422.1_39 [locus_tag=ZMO1_ZMO0043] [protein=Maf family protein] [protein_id=AVZ41422.1] [location=complement(42534..43130)] [gbkey=CDS]</t>
  </si>
  <si>
    <t>lcl|CP023715.1_prot_AVZ41423.1_40 [locus_tag=ZMO1_ZMO0044] [protein=Sel1 domain protein repeat-containing protein] [protein_id=AVZ41423.1] [location=43594..45351] [gbkey=CDS]</t>
  </si>
  <si>
    <t>ZMO0044</t>
  </si>
  <si>
    <t>lcl|CP023715.1_prot_AVZ41425.1_42 [locus_tag=ZMO1_ZMO0050] [protein=LysR family transcriptional regulator] [protein_id=AVZ41425.1] [location=46171..47082] [gbkey=CDS]</t>
  </si>
  <si>
    <t>lcl|CP023715.1_prot_AVZ41430.1_47 [gene=glmS] [locus_tag=ZMO1_ZMO0056] [protein=glucosamine/fructose-6-phosphate isomerizing aminotransferase] [protein_id=AVZ41430.1] [location=complement(50969..52792)] [gbkey=CDS]</t>
  </si>
  <si>
    <t>lcl|CP023715.1_prot_AVZ41431.1_48 [locus_tag=ZMO1_ZMO0057] [protein=bacterial PH domain-containing protein] [protein_id=AVZ41431.1] [location=complement(52878..53438)] [gbkey=CDS]</t>
  </si>
  <si>
    <t>lcl|CP023715.1_prot_AVZ41432.1_49 [gene=glxK] [locus_tag=ZMO1_ZMO0059] [protein=glycerate kinase] [protein_id=AVZ41432.1] [location=53615..54763] [gbkey=CDS]</t>
  </si>
  <si>
    <t>lcl|CP023715.1_prot_AVZ41433.1_50 [locus_tag=ZMO1_ZMO0060] [protein=uncharacterized protein] [protein_id=AVZ41433.1] [location=complement(54811..55080)] [gbkey=CDS]</t>
  </si>
  <si>
    <t>lcl|CP023715.1_prot_AVZ41434.1_51 [locus_tag=ZMO1_ZMO0061] [protein=histidine acid phosphatase] [protein_id=AVZ41434.1] [location=complement(55123..56424)] [gbkey=CDS]</t>
  </si>
  <si>
    <t>lcl|CP023715.1_prot_AVZ41435.1_52 [locus_tag=ZMO1_ZMO0062] [protein=aldo/keto reductase] [protein_id=AVZ41435.1] [location=complement(56561..57529)] [gbkey=CDS]</t>
  </si>
  <si>
    <t>lcl|CP023715.1_prot_AVZ41436.1_53 [gene=oprB1] [locus_tag=ZMO1_ZMO0064] [protein=carbohydrate-selective porin OprB] [protein_id=AVZ41436.1] [location=complement(57796..59457)] [gbkey=CDS]</t>
  </si>
  <si>
    <t>ZMO0064</t>
  </si>
  <si>
    <t>lcl|CP023715.1_prot_AVZ41438.1_55 [locus_tag=ZMO1_ZMO0068] [protein=Sel1 domain protein repeat-containing protein] [protein_id=AVZ41438.1] [location=60237..61364] [gbkey=CDS]</t>
  </si>
  <si>
    <t>lcl|CP023715.1_prot_AVZ41440.1_57 [gene=grxB1] [locus_tag=ZMO1_ZMO0070] [protein=GrxB family glutaredoxin 2] [protein_id=AVZ41440.1] [location=62217..62864] [gbkey=CDS]</t>
  </si>
  <si>
    <t>lcl|CP023715.1_prot_AVZ41441.1_58 [locus_tag=ZMO1_ZMO0072] [protein=NHL repeat-containing protein] [protein_id=AVZ41441.1] [location=complement(63125..64486)] [gbkey=CDS]</t>
  </si>
  <si>
    <t>lcl|CP023715.1_prot_AVZ41442.1_59 [locus_tag=ZMO1_ZMO0073] [protein=CBS domain-containing protein] [protein_id=AVZ41442.1] [location=complement(64495..65379)] [gbkey=CDS]</t>
  </si>
  <si>
    <t>lcl|CP023715.1_prot_AVZ41443.1_60 [locus_tag=ZMO1_ZMO0074] [protein=endoribonuclease YbeY] [protein_id=AVZ41443.1] [location=complement(65434..65964)] [gbkey=CDS]</t>
  </si>
  <si>
    <t>lcl|CP023715.1_prot_AVZ41444.1_61 [gene=phoH] [locus_tag=ZMO1_ZMO0075] [protein=PhoH family protein] [protein_id=AVZ41444.1] [location=complement(65951..67042)] [gbkey=CDS]</t>
  </si>
  <si>
    <t>lcl|CP023715.1_prot_AVZ41445.1_62 [gene=miaB] [locus_tag=ZMO1_ZMO0077] [protein=MiaB family RNA modification enzyme] [protein_id=AVZ41445.1] [location=complement(67151..68488)] [gbkey=CDS]</t>
  </si>
  <si>
    <t>lcl|CP023715.1_prot_AVZ41446.1_63 [gene=cheW] [locus_tag=ZMO1_ZMO0078] [protein=chemotaxis protein CheW] [protein_id=AVZ41446.1] [location=complement(68586..69119)] [gbkey=CDS]</t>
  </si>
  <si>
    <t>lcl|CP023715.1_prot_AVZ41447.1_64 [gene=cheY] [locus_tag=ZMO1_ZMO0079] [protein=response regulator receiver protein] [protein_id=AVZ41447.1] [location=complement(69266..69631)] [gbkey=CDS]</t>
  </si>
  <si>
    <t>lcl|CP023715.1_prot_AVZ41448.1_65 [gene=cheD] [locus_tag=ZMO1_ZMO0080] [protein=chemoreceptor glutamine deamidase CheD] [protein_id=AVZ41448.1] [location=complement(69776..70327)] [gbkey=CDS]</t>
  </si>
  <si>
    <t>lcl|CP023715.1_prot_AVZ41449.1_66 [gene=cheB1] [locus_tag=ZMO1_ZMO0081] [protein=chemotaxis signal transduction response regulator CheB] [protein_id=AVZ41449.1] [location=complement(70349..71407)] [gbkey=CDS]</t>
  </si>
  <si>
    <t>lcl|CP023715.1_prot_AVZ41450.1_67 [gene=cheR] [locus_tag=ZMO1_ZMO0082] [protein=CheR-type MCP methyltransferase] [protein_id=AVZ41450.1] [location=complement(71404..72276)] [gbkey=CDS]</t>
  </si>
  <si>
    <t>lcl|CP023715.1_prot_AVZ41451.1_68 [gene=cheA1] [locus_tag=ZMO1_ZMO0083] [protein=CheA signal transduction histidine kinase] [protein_id=AVZ41451.1] [location=complement(72273..74603)] [gbkey=CDS]</t>
  </si>
  <si>
    <t>lcl|CP023715.1_prot_AVZ41452.1_69 [gene=cheX] [locus_tag=ZMO1_ZMO0084] [protein=chemotaxis protein CheX] [protein_id=AVZ41452.1] [location=complement(74614..74883)] [gbkey=CDS]</t>
  </si>
  <si>
    <t>lcl|CP023715.1_prot_AVZ41453.1_70 [gene=mcp] [locus_tag=ZMO1_ZMO0085] [protein=methyl-accepting chemotaxis sensory transducer] [protein_id=AVZ41453.1] [location=complement(75057..76370)] [gbkey=CDS]</t>
  </si>
  <si>
    <t>lcl|CP023715.1_prot_AVZ41454.1_71 [locus_tag=ZMO1_ZMO0086] [protein=SpoT/RelA (p)ppGpp synthetase I] [protein_id=AVZ41454.1] [location=complement(76803..78968)] [gbkey=CDS]</t>
  </si>
  <si>
    <t>lcl|CP023715.1_prot_AVZ41455.1_72 [locus_tag=ZMO1_ZMO0087] [protein=uncharacterized protein] [protein_id=AVZ41455.1] [location=complement(79111..79593)] [gbkey=CDS]</t>
  </si>
  <si>
    <t>ZMO0087</t>
  </si>
  <si>
    <t>lcl|CP023715.1_prot_AVZ41458.1_75 [locus_tag=ZMO1_ZMO0090] [protein=short-chain dehydrogenase/reductase SDR] [protein_id=AVZ41458.1] [location=complement(81761..82558)] [gbkey=CDS]</t>
  </si>
  <si>
    <t>lcl|CP023715.1_prot_AVZ41460.1_77 [locus_tag=ZMO1_ZMO0092] [protein=uncharacterized protein] [protein_id=AVZ41460.1] [location=82881..83645] [gbkey=CDS]</t>
  </si>
  <si>
    <t>ZMO0092</t>
  </si>
  <si>
    <t>lcl|CP023715.1_prot_AVZ41461.1_78 [gene=bioB] [locus_tag=ZMO1_ZMO0094] [protein=biotin synthase] [protein_id=AVZ41461.1] [location=83861..84868] [gbkey=CDS]</t>
  </si>
  <si>
    <t>lcl|CP023715.1_prot_AVZ41466.1_84 [locus_tag=ZMO1_ZMO0101] [protein=NAD-dependent epimerase/dehydratase] [protein_id=AVZ41466.1] [location=88491..89555] [gbkey=CDS]</t>
  </si>
  <si>
    <t>lcl|CP023715.1_prot_AVZ41468.1_86 [locus_tag=ZMO1_ZMO0103] [protein=beta-lactamase] [protein_id=AVZ41468.1] [location=89985..91547] [gbkey=CDS]</t>
  </si>
  <si>
    <t>lcl|CP023715.1_prot_AVZ41469.1_87 [gene=leuC] [locus_tag=ZMO1_ZMO0105] [protein=3-isopropylmalate dehydratase large subunit] [protein_id=AVZ41469.1] [location=91652..93106] [gbkey=CDS]</t>
  </si>
  <si>
    <t>lcl|CP023715.1_prot_AVZ41470.1_88 [gene=leuD] [locus_tag=ZMO1_ZMO0106] [protein=3-isopropylmalate dehydratase small subunit] [protein_id=AVZ41470.1] [location=93103..93681] [gbkey=CDS]</t>
  </si>
  <si>
    <t>lcl|CP023715.1_prot_AVZ41471.1_89 [locus_tag=ZMO1_ZMO0107] [protein=uncharacterized protein] [protein_id=AVZ41471.1] [location=complement(93746..94555)] [gbkey=CDS]</t>
  </si>
  <si>
    <t>lcl|CP023715.1_prot_AVZ41473.1_91 [locus_tag=ZMO1_ZMO0109] [protein=hypothetical protein] [protein_id=AVZ41473.1] [location=95277..96716] [gbkey=CDS]</t>
  </si>
  <si>
    <t>ZMO0109</t>
  </si>
  <si>
    <t>lcl|CP023715.1_prot_AVZ41474.1_92 [locus_tag=ZMO1_ZMO0110] [protein=glycosyl transferase family 2] [protein_id=AVZ41474.1] [location=96713..97702] [gbkey=CDS]</t>
  </si>
  <si>
    <t>ZMO0110</t>
  </si>
  <si>
    <t>lcl|CP023715.1_prot_AVZ41475.1_93 [locus_tag=ZMO1_ZMO0111] [protein=ABC transporter related protein] [protein_id=AVZ41475.1] [location=complement(97849..99645)] [gbkey=CDS]</t>
  </si>
  <si>
    <t>lcl|CP023715.1_prot_AVZ41476.1_94 [locus_tag=ZMO1_ZMO0112] [protein=uncharacterized protein] [protein_id=AVZ41476.1] [location=99841..100191] [gbkey=CDS]</t>
  </si>
  <si>
    <t>lcl|CP023715.1_prot_AVZ41477.1_95 [gene=pabB] [locus_tag=ZMO1_ZMO0113] [protein=aminodeoxychorismate synthase component 1 PabB] [protein_id=AVZ41477.1] [location=100924..102387] [gbkey=CDS]</t>
  </si>
  <si>
    <t>lcl|CP023715.1_prot_AVZ41478.1_96 [gene=trpGD] [locus_tag=ZMO1_ZMO0114] [protein=glutamine amidotransferase of anthranilate synthase] [protein_id=AVZ41478.1] [location=102404..103015] [gbkey=CDS]</t>
  </si>
  <si>
    <t>lcl|CP023715.1_prot_AVZ41479.1_97 [gene=pabC] [locus_tag=ZMO1_ZMO0115] [protein=aminotransferase class IV] [protein_id=AVZ41479.1] [location=102981..103817] [gbkey=CDS]</t>
  </si>
  <si>
    <t>lcl|CP023715.1_prot_AVZ41480.1_98 [locus_tag=ZMO1_ZMO0116] [protein=BadM/Rrf2 family transcriptional regulator] [protein_id=AVZ41480.1] [location=104017..104454] [gbkey=CDS]</t>
  </si>
  <si>
    <t>lcl|CP023715.1_prot_AVZ41481.1_99 [gene=hcp] [locus_tag=ZMO1_ZMO0117] [protein=hydroxylamine reductase] [protein_id=AVZ41481.1] [location=104521..106158] [gbkey=CDS]</t>
  </si>
  <si>
    <t>lcl|CP023715.1_prot_AVZ41483.1_101 [locus_tag=ZMO1_ZMO0120] [protein=dihydroorotate dehydrogenase/oxidase] [protein_id=AVZ41483.1] [location=107644..108711] [gbkey=CDS]</t>
  </si>
  <si>
    <t>lcl|CP023715.1_prot_AVZ41484.1_102 [locus_tag=ZMO1_ZMO0121] [protein=RarA recombination factor-like protein] [protein_id=AVZ41484.1] [location=108979..110328] [gbkey=CDS]</t>
  </si>
  <si>
    <t>lcl|CP023715.1_prot_AVZ41485.1_103 [locus_tag=ZMO1_ZMO0122] [protein=uncharacterized protein] [protein_id=AVZ41485.1] [location=110563..110850] [gbkey=CDS]</t>
  </si>
  <si>
    <t>lcl|CP023715.1_prot_AVZ41486.2_104 [locus_tag=ZMO1_ZMO0124] [protein=ATPase-like protein] [protein_id=AVZ41486.2] [location=complement(111117..112700)] [gbkey=CDS]</t>
  </si>
  <si>
    <t>lcl|CP023715.1_prot_AVZ41487.1_105 [locus_tag=ZMO1_ZMO0125] [protein=YbaK/EbsC-like prolyl-tRNA editing protein] [protein_id=AVZ41487.1] [location=complement(112713..113186)] [gbkey=CDS]</t>
  </si>
  <si>
    <t>lcl|CP023715.1_prot_AVZ41488.1_106 [locus_tag=ZMO1_ZMO0127] [protein=S1/P1 nuclease] [protein_id=AVZ41488.1] [location=complement(114593..115552)] [gbkey=CDS]</t>
  </si>
  <si>
    <t>lcl|CP023715.1_prot_AVZ41489.1_107 [locus_tag=ZMO1_ZMO0128] [protein=TonB-dependent receptor] [protein_id=AVZ41489.1] [location=complement(115570..118062)] [gbkey=CDS]</t>
  </si>
  <si>
    <t>lcl|CP023715.1_prot_AVZ41490.1_108 [gene=phoC] [locus_tag=ZMO1_ZMO0130] [protein=acid phosphatase] [protein_id=AVZ41490.1] [location=complement(118385..119179)] [gbkey=CDS]</t>
  </si>
  <si>
    <t>lcl|CP023715.1_prot_AVZ41491.1_109 [locus_tag=ZMO1_ZMO0131] [protein=metallophosphoesterase] [protein_id=AVZ41491.1] [location=complement(119337..120281)] [gbkey=CDS]</t>
  </si>
  <si>
    <t>lcl|CP023715.1_prot_AVZ41492.2_110 [locus_tag=ZMO1_ZMO0132] [protein=Sel1 domain protein repeat-containing protein] [protein_id=AVZ41492.2] [location=120789..121607] [gbkey=CDS]</t>
  </si>
  <si>
    <t>ZMO0132</t>
  </si>
  <si>
    <t>lcl|CP023715.1_prot_AVZ41493.1_111 [locus_tag=ZMO1_ZMO0133] [protein=Sel1 domain protein repeat-containing protein] [protein_id=AVZ41493.1] [location=121838..122560] [gbkey=CDS]</t>
  </si>
  <si>
    <t>lcl|CP023715.1_prot_AVZ41499.1_117 [locus_tag=ZMO1_ZMO0137] [protein=Sel1 domain protein repeat-containing protein] [protein_id=AVZ41499.1] [location=127570..128826] [gbkey=CDS]</t>
  </si>
  <si>
    <t>lcl|CP023715.1_prot_AVZ41500.1_118 [locus_tag=ZMO1_ZMO0139] [protein=aminoglycoside phosphotransferase] [protein_id=AVZ41500.1] [location=complement(128986..129816)] [gbkey=CDS]</t>
  </si>
  <si>
    <t>lcl|CP023715.1_prot_AVZ41501.1_119 [gene=ptpA] [locus_tag=ZMO1_ZMO0140] [protein=protein tyrosine phosphatase] [protein_id=AVZ41501.1] [location=complement(129882..130361)] [gbkey=CDS]</t>
  </si>
  <si>
    <t>lcl|CP023715.1_prot_AVZ41502.1_120 [locus_tag=ZMO1_ZMO0142] [protein=YggS family pyridoxal phosphate enzyme] [protein_id=AVZ41502.1] [location=130700..131398] [gbkey=CDS]</t>
  </si>
  <si>
    <t>lcl|CP023715.1_prot_AVZ41503.1_121 [locus_tag=ZMO1_ZMO0143] [protein=ABC transporter related protein] [protein_id=AVZ41503.1] [location=131416..132375] [gbkey=CDS]</t>
  </si>
  <si>
    <t>lcl|CP023715.1_prot_AVZ41504.1_122 [gene=nadB] [locus_tag=ZMO1_ZMO0144] [protein=L-aspartate oxidase] [protein_id=AVZ41504.1] [location=132440..134032] [gbkey=CDS]</t>
  </si>
  <si>
    <t>lcl|CP023715.1_prot_AVZ41505.2_123 [locus_tag=ZMO1_ZMO0145] [protein=peptidase M28] [protein_id=AVZ41505.2] [location=134055..135728] [gbkey=CDS]</t>
  </si>
  <si>
    <t>lcl|CP023715.1_prot_AVZ41506.1_124 [locus_tag=ZMO1_ZMO0148] [protein=uncharacterized protein] [protein_id=AVZ41506.1] [location=complement(136393..137199)] [gbkey=CDS]</t>
  </si>
  <si>
    <t>lcl|CP023715.1_prot_AVZ41507.1_125 [gene=trmB] [locus_tag=ZMO1_ZMO0149] [protein=tRNA (guanine-N(7)-)-methyltransferase] [protein_id=AVZ41507.1] [location=complement(137384..138079)] [gbkey=CDS]</t>
  </si>
  <si>
    <t>lcl|CP023715.1_prot_AVZ41509.1_127 [gene=pyk] [locus_tag=ZMO1_ZMO0152] [protein=pyruvate kinase] [protein_id=AVZ41509.1] [location=complement(139052..140479)] [gbkey=CDS]</t>
  </si>
  <si>
    <t>lcl|CP023715.1_prot_AVZ41510.1_129 [gene=yebC] [locus_tag=ZMO1_ZMO0153] [protein=YebC/PmpR family DNA-binding regulatory protein] [protein_id=AVZ41510.1] [location=141493..142242] [gbkey=CDS]</t>
  </si>
  <si>
    <t>lcl|CP023715.1_prot_AVZ41511.1_130 [gene=ruvC] [locus_tag=ZMO1_ZMO0154] [protein=crossover junction endodeoxyribonuclease RuvC] [protein_id=AVZ41511.1] [location=142277..142780] [gbkey=CDS]</t>
  </si>
  <si>
    <t>lcl|CP023715.1_prot_AVZ41512.1_131 [gene=ruvA] [locus_tag=ZMO1_ZMO0155] [protein=Holliday junction DNA helicase RuvA] [protein_id=AVZ41512.1] [location=142822..143463] [gbkey=CDS]</t>
  </si>
  <si>
    <t>ZMO0155</t>
  </si>
  <si>
    <t>lcl|CP023715.1_prot_AVZ41513.1_132 [locus_tag=ZMO1_ZMO0156] [protein=uncharacterized protein] [protein_id=AVZ41513.1] [location=complement(143523..143885)] [gbkey=CDS]</t>
  </si>
  <si>
    <t>lcl|CP023715.1_prot_AVZ41514.1_133 [gene=lhdA] [locus_tag=ZMO1_ZMO0157] [protein=lactate dehydrogenase LdhA] [protein_id=AVZ41514.1] [location=complement(144094..145023)] [gbkey=CDS]</t>
  </si>
  <si>
    <t>lcl|CP023715.1_prot_AVZ41515.1_134 [gene=ruvB] [locus_tag=ZMO1_ZMO0158] [protein=Holliday junction DNA helicase RuvB] [protein_id=AVZ41515.1] [location=145169..146212] [gbkey=CDS]</t>
  </si>
  <si>
    <t>lcl|CP023715.1_prot_AVZ41516.1_135 [locus_tag=ZMO1_ZMO0160] [protein=thioesterase superfamily protein] [protein_id=AVZ41516.1] [location=146392..146892] [gbkey=CDS]</t>
  </si>
  <si>
    <t>lcl|CP023715.1_prot_AVZ41517.1_136 [gene=tolQ] [locus_tag=ZMO1_ZMO0161] [protein=MotA/TolQ/ExbB proton channel] [protein_id=AVZ41517.1] [location=146900..147610] [gbkey=CDS]</t>
  </si>
  <si>
    <t>lcl|CP023715.1_prot_AVZ41518.1_137 [gene=tolR] [locus_tag=ZMO1_ZMO0162] [protein=Tol-Pal cell envelope complex membrane spanning protein TolR] [protein_id=AVZ41518.1] [location=147610..148137] [gbkey=CDS]</t>
  </si>
  <si>
    <t>lcl|CP023715.1_prot_AVZ41519.1_138 [gene=tolA] [locus_tag=ZMO1_ZMO0164] [protein=Tol-Pal cell envelope complex membrane achoring protein TolA] [protein_id=AVZ41519.1] [location=148147..149226] [gbkey=CDS]</t>
  </si>
  <si>
    <t>lcl|CP023715.1_prot_AVZ41520.1_139 [gene=tolB] [locus_tag=ZMO1_ZMO0165] [protein=Tol-Pal envelope complex beta propeller repeat protein TolB] [protein_id=AVZ41520.1] [location=149280..150656] [gbkey=CDS]</t>
  </si>
  <si>
    <t>lcl|CP023715.1_prot_AVZ41521.1_140 [locus_tag=ZMO1_ZMO0166] [protein=peptidoglycan-associated lipoprotein] [protein_id=AVZ41521.1] [location=150783..151313] [gbkey=CDS]</t>
  </si>
  <si>
    <t>lcl|CP023715.1_prot_AVZ41523.1_142 [locus_tag=ZMO1_ZMO0169] [protein=short-chain dehydrogenase/reductase] [protein_id=AVZ41523.1] [location=complement(153232..153975)] [gbkey=CDS]</t>
  </si>
  <si>
    <t>lcl|CP023715.1_prot_AVZ41524.1_144 [gene=thiC] [locus_tag=ZMO1_ZMO0172] [protein=thiamine biosynthesis protein ThiC] [protein_id=AVZ41524.1] [location=157812..159626] [gbkey=CDS]</t>
  </si>
  <si>
    <t>lcl|CP023715.1_prot_AVZ41525.1_145 [gene=zapA] [locus_tag=ZMO1_ZMO0173] [protein=cell division protein ZapA] [protein_id=AVZ41525.1] [location=complement(160144..160545)] [gbkey=CDS]</t>
  </si>
  <si>
    <t>lcl|CP023715.1_prot_AVZ41526.1_146 [locus_tag=ZMO1_ZMO0174] [protein=putative SnoaL-like polynucleotide cyclase] [protein_id=AVZ41526.1] [location=complement(160738..161130)] [gbkey=CDS]</t>
  </si>
  <si>
    <t>lcl|CP023715.1_prot_AVZ41527.1_147 [locus_tag=ZMO1_ZMO0175] [protein=uncharacterized protein] [protein_id=AVZ41527.1] [location=complement(161341..161622)] [gbkey=CDS]</t>
  </si>
  <si>
    <t>lcl|CP023715.1_prot_AVZ41528.1_148 [gene=tklB] [locus_tag=ZMO1_ZMO0176] [protein=transketolase] [protein_id=AVZ41528.1] [location=161837..163828] [gbkey=CDS]</t>
  </si>
  <si>
    <t>lcl|CP023715.1_prot_AVZ41529.1_149 [gene=gap] [locus_tag=ZMO1_ZMO0177] [protein=type I glyceraldehyde-3-phosphate dehydrogenase] [protein_id=AVZ41529.1] [location=163878..164891] [gbkey=CDS]</t>
  </si>
  <si>
    <t>lcl|CP023715.1_prot_AVZ41530.1_150 [gene=pgk] [locus_tag=ZMO1_ZMO0178] [protein=phosphoglycerate kinase] [protein_id=AVZ41530.1] [location=165114..166307] [gbkey=CDS]</t>
  </si>
  <si>
    <t>lcl|CP023715.1_prot_AVZ41531.1_151 [gene=fbaB] [locus_tag=ZMO1_ZMO0179] [protein=fructose-bisphosphate aldolase] [protein_id=AVZ41531.1] [location=167076..167990] [gbkey=CDS]</t>
  </si>
  <si>
    <t>lcl|CP023715.1_prot_AVZ41532.1_152 [gene=ispG] [locus_tag=ZMO1_ZMO0180] [protein=1-hydroxy-2-methyl-2-(E)-butenyl 4-diphosphate synthase] [protein_id=AVZ41532.1] [location=complement(168147..169280)] [gbkey=CDS]</t>
  </si>
  <si>
    <t>lcl|CP023715.1_prot_AVZ41533.1_153 [gene=ahcY] [locus_tag=ZMO1_ZMO0182] [protein=S-adenosyl-L-homocysteine hydrolase] [protein_id=AVZ41533.1] [location=169658..171052] [gbkey=CDS]</t>
  </si>
  <si>
    <t>lcl|CP023715.1_prot_AVZ41534.1_154 [locus_tag=ZMO1_ZMO0183] [protein=ABC transporter-like protein] [protein_id=AVZ41534.1] [location=complement(171346..173028)] [gbkey=CDS]</t>
  </si>
  <si>
    <t>lcl|CP023715.1_prot_AVZ41536.1_156 [gene=cysS] [locus_tag=ZMO1_ZMO0186] [protein=cysteinyl-tRNA synthetase] [protein_id=AVZ41536.1] [location=174197..175747] [gbkey=CDS]</t>
  </si>
  <si>
    <t>lcl|CP023715.1_prot_AVZ41537.1_157 [gene=aroH] [locus_tag=ZMO1_ZMO0187] [protein=3-deoxy-7-phosphoheptulonate synthase] [protein_id=AVZ41537.1] [location=175840..177168] [gbkey=CDS]</t>
  </si>
  <si>
    <t>lcl|CP023715.1_prot_AVZ41538.1_158 [gene=fhuE] [locus_tag=ZMO1_ZMO0188] [protein=outer membrane receptor for ferric iron uptake] [protein_id=AVZ41538.1] [location=177747..180113] [gbkey=CDS]</t>
  </si>
  <si>
    <t>lcl|CP023715.1_prot_AVZ41539.1_159 [gene=sdaA] [locus_tag=ZMO1_ZMO0189] [protein=L-serine dehydratase 1] [protein_id=AVZ41539.1] [location=complement(180139..181500)] [gbkey=CDS]</t>
  </si>
  <si>
    <t>lcl|CP023715.1_prot_AVZ41540.1_160 [locus_tag=ZMO1_ZMO0190] [protein=RpiR family transcriptional regulator] [protein_id=AVZ41540.1] [location=complement(181591..182508)] [gbkey=CDS]</t>
  </si>
  <si>
    <t>lcl|CP023715.1_prot_AVZ41541.1_161 [locus_tag=ZMO1_ZMO0191] [protein=DSBA oxidoreductase] [protein_id=AVZ41541.1] [location=complement(182842..183621)] [gbkey=CDS]</t>
  </si>
  <si>
    <t>lcl|CP023715.1_prot_AVZ41542.1_162 [locus_tag=ZMO1_ZMO0192] [protein=putative Zn-dependent metallopeptidase] [protein_id=AVZ41542.1] [location=complement(183652..185010)] [gbkey=CDS]</t>
  </si>
  <si>
    <t>ZMO0192</t>
  </si>
  <si>
    <t>lcl|CP023715.1_prot_AVZ41543.1_163 [locus_tag=ZMO1_ZMO0193] [protein=Rne/Rng family ribonuclease] [protein_id=AVZ41543.1] [location=complement(185346..188084)] [gbkey=CDS]</t>
  </si>
  <si>
    <t>lcl|CP023715.1_prot_AVZ41544.1_164 [gene=amiA] [locus_tag=ZMO1_ZMO0195] [protein=N-acetylmuramoyl-L-alanine amidase] [protein_id=AVZ41544.1] [location=188615..189634] [gbkey=CDS]</t>
  </si>
  <si>
    <t>lcl|CP023715.1_prot_AVZ41545.1_165 [locus_tag=ZMO1_ZMO0197] [protein=1A family penicillin-binding protein] [protein_id=AVZ41545.1] [location=189846..192425] [gbkey=CDS]</t>
  </si>
  <si>
    <t>lcl|CP023715.1_prot_AVZ41546.1_166 [gene=prfB] [locus_tag=ZMO1_ZMO0198] [protein=peptide chain release factor 2] [protein_id=AVZ41546.1] [location=192536..193663] [gbkey=CDS]</t>
  </si>
  <si>
    <t>lcl|CP023715.1_prot_AVZ41547.1_167 [gene=lexA] [locus_tag=ZMO1_ZMO0199] [protein=SOS-response transcriptional repressor LexA] [protein_id=AVZ41547.1] [location=complement(193716..194369)] [gbkey=CDS]</t>
  </si>
  <si>
    <t>lcl|CP023715.1_prot_AVZ41548.1_168 [gene=trpD] [locus_tag=ZMO1_ZMO0200] [protein=anthranilate phosphoribosyltransferase] [protein_id=AVZ41548.1] [location=complement(194535..195560)] [gbkey=CDS]</t>
  </si>
  <si>
    <t>lcl|CP023715.1_prot_AVZ41549.2_169 [gene=trpG] [locus_tag=ZMO1_ZMO0201] [protein=glutamine amidotransferase of anthranilate synthase] [protein_id=AVZ41549.2] [location=complement(195587..196171)] [gbkey=CDS]</t>
  </si>
  <si>
    <t>lcl|CP023715.1_prot_AVZ41550.1_170 [gene=mcpA1] [locus_tag=ZMO1_ZMO0202] [protein=methyl-accepting chemotaxis sensory transducer] [protein_id=AVZ41550.1] [location=197164..199056] [gbkey=CDS]</t>
  </si>
  <si>
    <t>lcl|CP023715.1_prot_AVZ41553.1_173 [locus_tag=ZMO1_ZMO0205] [protein=NAD-dependent epimerase/dehydratase] [protein_id=AVZ41553.1] [location=complement(200250..201173)] [gbkey=CDS]</t>
  </si>
  <si>
    <t>lcl|CP023715.1_prot_AVZ41554.1_174 [gene=proB] [locus_tag=ZMO1_ZMO0206] [protein=glutamate 5-kinase] [protein_id=AVZ41554.1] [location=complement(201170..202363)] [gbkey=CDS]</t>
  </si>
  <si>
    <t>lcl|CP023715.1_prot_AVZ41555.1_175 [gene=obgE] [locus_tag=ZMO1_ZMO0207] [protein=GTP-binding protein Obg/CgtA] [protein_id=AVZ41555.1] [location=complement(202348..203391)] [gbkey=CDS]</t>
  </si>
  <si>
    <t>lcl|CP023715.1_prot_AVZ41556.1_176 [locus_tag=ZMO1_ZMO0208] [protein=GCN5-related N-acetyltransferase] [protein_id=AVZ41556.1] [location=complement(203483..204091)] [gbkey=CDS]</t>
  </si>
  <si>
    <t>lcl|CP023715.1_prot_AVZ41557.1_177 [gene=rpmA] [locus_tag=ZMO1_ZMO0209] [protein=ribosomal protein L27] [protein_id=AVZ41557.1] [location=complement(204284..204553)] [gbkey=CDS]</t>
  </si>
  <si>
    <t>lcl|CP023715.1_prot_AVZ41558.1_178 [gene=rplU] [locus_tag=ZMO1_ZMO0211] [protein=ribosomal protein L21] [protein_id=AVZ41558.1] [location=complement(204686..205060)] [gbkey=CDS]</t>
  </si>
  <si>
    <t>lcl|CP023715.1_prot_AVZ41559.1_179 [gene=shdA] [locus_tag=ZMO1_ZMO0213] [protein=AIDA autotransporter-like protein ShdA] [protein_id=AVZ41559.1] [location=complement(205298..208678)] [gbkey=CDS]</t>
  </si>
  <si>
    <t>ZMO0213</t>
  </si>
  <si>
    <t>lcl|CP023715.1_prot_AVZ41561.1_181 [locus_tag=ZMO1_ZMO0215] [protein=5-formyltetrahydrofolate cyclo-ligase] [protein_id=AVZ41561.1] [location=210663..211313] [gbkey=CDS]</t>
  </si>
  <si>
    <t>lcl|CP023715.1_prot_AVZ41562.1_182 [locus_tag=ZMO1_ZMO0216] [protein=peptidase M23] [protein_id=AVZ41562.1] [location=complement(211393..212964)] [gbkey=CDS]</t>
  </si>
  <si>
    <t>ZMO0216</t>
  </si>
  <si>
    <t>lcl|CP023715.1_prot_AVZ41563.1_183 [gene=helY] [locus_tag=ZMO1_ZMO0219] [protein=putative DEAD/DEAH box helicase] [protein_id=AVZ41563.1] [location=213317..216148] [gbkey=CDS]</t>
  </si>
  <si>
    <t>lcl|CP023715.1_prot_AVZ41564.1_184 [gene=fdxA] [locus_tag=ZMO1_ZMO0220] [protein=ferredoxin] [protein_id=AVZ41564.1] [location=216380..216718] [gbkey=CDS]</t>
  </si>
  <si>
    <t>lcl|CP023715.1_prot_AVZ41565.1_185 [locus_tag=ZMO1_ZMO0221] [protein=CarD family transcriptional regulator] [protein_id=AVZ41565.1] [location=217047..217601] [gbkey=CDS]</t>
  </si>
  <si>
    <t>lcl|CP023715.1_prot_AVZ41566.1_186 [locus_tag=ZMO1_ZMO0222] [protein=DUF1330 domain-containing protein] [protein_id=AVZ41566.1] [location=217815..218114] [gbkey=CDS]</t>
  </si>
  <si>
    <t>ZMO0222</t>
  </si>
  <si>
    <t>lcl|CP023715.1_prot_AVZ41567.1_187 [locus_tag=ZMO1_ZMO0223] [protein=putative auto-transporter adhesin head GIN domain] [protein_id=AVZ41567.1] [location=218194..218955] [gbkey=CDS]</t>
  </si>
  <si>
    <t>ZMO0223</t>
  </si>
  <si>
    <t>lcl|CP023715.1_prot_AVZ41568.1_188 [gene=metW] [locus_tag=ZMO1_ZMO0224] [protein=putative methionine biosynthesis methylase MetW] [protein_id=AVZ41568.1] [location=complement(218964..219611)] [gbkey=CDS]</t>
  </si>
  <si>
    <t>lcl|CP023715.1_prot_AVZ41569.1_189 [gene=metX] [locus_tag=ZMO1_ZMO0225] [protein=homoserine O-acetyltransferase] [protein_id=AVZ41569.1] [location=complement(219611..220732)] [gbkey=CDS]</t>
  </si>
  <si>
    <t>lcl|CP023715.1_prot_AVZ41570.1_190 [gene=sdh] [locus_tag=ZMO1_ZMO0226] [protein=short-chain dehydrogenase/reductase SDR] [protein_id=AVZ41570.1] [location=221111..221860] [gbkey=CDS]</t>
  </si>
  <si>
    <t>lcl|CP023715.1_prot_AVZ41571.1_191 [gene=polA] [locus_tag=ZMO1_ZMO0227] [protein=DNA polymerase I] [protein_id=AVZ41571.1] [location=221876..224641] [gbkey=CDS]</t>
  </si>
  <si>
    <t>lcl|CP023715.1_prot_AVZ41572.1_192 [locus_tag=ZMO1_ZMO0228] [protein=putative polisoprenol-linked O-antigen translocase] [protein_id=AVZ41572.1] [location=224638..226185] [gbkey=CDS]</t>
  </si>
  <si>
    <t>ZMO0228</t>
  </si>
  <si>
    <t>lcl|CP023715.1_prot_AVZ41574.1_194 [gene=fepC] [locus_tag=ZMO1_ZMO0230] [protein=ferric enterobactin transport ATP-binding protein FepC] [protein_id=AVZ41574.1] [location=227212..227997] [gbkey=CDS]</t>
  </si>
  <si>
    <t>lcl|CP023715.1_prot_AVZ41575.1_195 [locus_tag=ZMO1_ZMO0231] [protein=uncharacterized protein] [protein_id=AVZ41575.1] [location=228223..228771] [gbkey=CDS]</t>
  </si>
  <si>
    <t>ZMO0231</t>
  </si>
  <si>
    <t>lcl|CP023715.1_prot_AVZ41576.1_196 [locus_tag=ZMO1_ZMO0232] [protein=SpoU type tRNA/rRNA methyltransferase] [protein_id=AVZ41576.1] [location=complement(228888..229637)] [gbkey=CDS]</t>
  </si>
  <si>
    <t>lcl|CP023715.1_prot_AVZ41577.1_197 [locus_tag=ZMO1_ZMO0233] [protein=uncharacterized protein] [protein_id=AVZ41577.1] [location=complement(230210..230596)] [gbkey=CDS]</t>
  </si>
  <si>
    <t>ZMO0233</t>
  </si>
  <si>
    <t>lcl|CP023715.1_prot_AVZ41578.1_198 [locus_tag=ZMO1_ZMO0234] [protein=protease Do] [protein_id=AVZ41578.1] [location=complement(230689..232263)] [gbkey=CDS]</t>
  </si>
  <si>
    <t>lcl|CP023715.1_prot_AVZ41579.1_199 [locus_tag=ZMO1_ZMO0236] [protein=Mrp family Chromosome partitioning ATPase] [protein_id=AVZ41579.1] [location=232800..233828] [gbkey=CDS]</t>
  </si>
  <si>
    <t>lcl|CP023715.1_prot_AVZ41580.1_201 [gene=atpH] [locus_tag=ZMO1_ZMO0238] [protein=ATP synthase F1 delta subunit] [protein_id=AVZ41580.1] [location=234262..234816] [gbkey=CDS]</t>
  </si>
  <si>
    <t>lcl|CP023715.1_prot_AVZ41581.1_202 [gene=atpA] [locus_tag=ZMO1_ZMO0239] [protein=ATP synthase F0F1 alpha subunit] [protein_id=AVZ41581.1] [location=234819..236348] [gbkey=CDS]</t>
  </si>
  <si>
    <t>lcl|CP023715.1_prot_AVZ41582.1_203 [gene=atpG1] [locus_tag=ZMO1_ZMO0240] [protein=ATP synthase F0F1 gamma subunit] [protein_id=AVZ41582.1] [location=236382..237278] [gbkey=CDS]</t>
  </si>
  <si>
    <t>lcl|CP023715.1_prot_AVZ41583.1_204 [gene=atpD] [locus_tag=ZMO1_ZMO0241] [protein=ATP synthase F0F1 beta subunit] [protein_id=AVZ41583.1] [location=237307..238761] [gbkey=CDS]</t>
  </si>
  <si>
    <t>lcl|CP023715.1_prot_AVZ41584.1_205 [gene=atpC] [locus_tag=ZMO1_ZMO0242] [protein=ATP synthase F0F1 epsilon subunit] [protein_id=AVZ41584.1] [location=238821..239087] [gbkey=CDS]</t>
  </si>
  <si>
    <t>lcl|CP023715.1_prot_AVZ41585.1_206 [locus_tag=ZMO1_ZMO0243] [protein=uncharacterized protein] [protein_id=AVZ41585.1] [location=complement(239486..240322)] [gbkey=CDS]</t>
  </si>
  <si>
    <t>lcl|CP023715.1_prot_AVZ41586.1_207 [locus_tag=ZMO1_ZMO0244] [protein=HU family DNA-binding protein] [protein_id=AVZ41586.1] [location=complement(240584..240859)] [gbkey=CDS]</t>
  </si>
  <si>
    <t>lcl|CP023715.1_prot_AVZ41587.1_208 [gene=hslV] [locus_tag=ZMO1_ZMO0246] [protein=ATP-dependent protease subunit HslV] [protein_id=AVZ41587.1] [location=241394..241948] [gbkey=CDS]</t>
  </si>
  <si>
    <t>lcl|CP023715.1_prot_AVZ41588.1_209 [gene=hslU] [locus_tag=ZMO1_ZMO0247] [protein=heat shock protein ATPase subunit HslU] [protein_id=AVZ41588.1] [location=241973..243265] [gbkey=CDS]</t>
  </si>
  <si>
    <t>lcl|CP023715.1_prot_AVZ41589.1_210 [gene=rpmG] [locus_tag=ZMO1_ZMO0249] [protein=ribosomal protein L33] [protein_id=AVZ41589.1] [location=243551..243718] [gbkey=CDS]</t>
  </si>
  <si>
    <t>lcl|CP023715.1_prot_AVZ41590.1_211 [locus_tag=ZMO1_ZMO0250] [protein=response regulator receiver protein] [protein_id=AVZ41590.1] [location=complement(243834..244196)] [gbkey=CDS]</t>
  </si>
  <si>
    <t>lcl|CP023715.1_prot_AVZ41591.1_212 [locus_tag=ZMO1_ZMO0251] [protein=putative enamine deaminase RidA/yjgF] [protein_id=AVZ41591.1] [location=244368..244826] [gbkey=CDS]</t>
  </si>
  <si>
    <t>lcl|CP023715.1_prot_AVZ41592.1_213 [locus_tag=ZMO1_ZMO0252] [protein=major intrinsic protein] [protein_id=AVZ41592.1] [location=245175..254129] [gbkey=CDS]</t>
  </si>
  <si>
    <t>lcl|CP023715.1_prot_AVZ41593.1_214 [gene=tolC] [locus_tag=ZMO1_ZMO0253] [protein=TolC family type I secretion outer membrane protein] [protein_id=AVZ41593.1] [location=254134..255609] [gbkey=CDS]</t>
  </si>
  <si>
    <t>ZMO0253</t>
  </si>
  <si>
    <t>lcl|CP023715.1_prot_AVZ41594.1_215 [gene=cyaB] [locus_tag=ZMO1_ZMO0254] [protein=type I secretion system ATPase] [protein_id=AVZ41594.1] [location=255606..257753] [gbkey=CDS]</t>
  </si>
  <si>
    <t>lcl|CP023715.1_prot_AVZ41595.1_216 [gene=hlyD] [locus_tag=ZMO1_ZMO0255] [protein=HlyD family type I secretion membrane fusion protein] [protein_id=AVZ41595.1] [location=257746..258927] [gbkey=CDS]</t>
  </si>
  <si>
    <t>lcl|CP023715.1_prot_AVZ41596.1_217 [locus_tag=ZMO1_ZMO0256] [protein=D-lactate dehydrogenase] [protein_id=AVZ41596.1] [location=259049..260773] [gbkey=CDS]</t>
  </si>
  <si>
    <t>lcl|CP023715.1_prot_AVZ41597.1_218 [locus_tag=ZMO1_ZMO0257] [protein=winged helix family two component transcriptional regulator] [protein_id=AVZ41597.1] [location=260996..261673] [gbkey=CDS]</t>
  </si>
  <si>
    <t>lcl|CP023715.1_prot_AVZ41598.1_219 [locus_tag=ZMO1_ZMO0258] [protein=histidine kinase] [protein_id=AVZ41598.1] [location=261676..263133] [gbkey=CDS]</t>
  </si>
  <si>
    <t>lcl|CP023715.1_prot_AVZ41599.1_220 [gene=ccmA] [locus_tag=ZMO1_ZMO0260] [protein=heme exporter protein CcmA] [protein_id=AVZ41599.1] [location=263330..263995] [gbkey=CDS]</t>
  </si>
  <si>
    <t>ZMO0260</t>
  </si>
  <si>
    <t>lcl|CP023715.1_prot_AVZ41601.1_222 [locus_tag=ZMO1_ZMO0263] [protein=uncharacterized protein] [protein_id=AVZ41601.1] [location=complement(264645..266048)] [gbkey=CDS]</t>
  </si>
  <si>
    <t>lcl|CP023715.1_prot_AVZ41602.1_223 [locus_tag=ZMO1_ZMO0264] [protein=uncharacterized protein] [protein_id=AVZ41602.1] [location=complement(266103..267536)] [gbkey=CDS]</t>
  </si>
  <si>
    <t>lcl|CP023715.1_prot_AVZ41603.1_224 [locus_tag=ZMO1_ZMO0265] [protein=uncharacterized protein] [protein_id=AVZ41603.1] [location=complement(267591..269021)] [gbkey=CDS]</t>
  </si>
  <si>
    <t>lcl|CP023715.1_prot_AVZ41604.1_225 [locus_tag=ZMO1_ZMO0266] [protein=hypothetical protein] [protein_id=AVZ41604.1] [location=complement(269076..270503)] [gbkey=CDS]</t>
  </si>
  <si>
    <t>ZMO0266</t>
  </si>
  <si>
    <t>lcl|CP023715.1_prot_AVZ41605.1_226 [locus_tag=ZMO1_ZMO0267] [protein=uncharacterized protein] [protein_id=AVZ41605.1] [location=complement(270558..271985)] [gbkey=CDS]</t>
  </si>
  <si>
    <t>ZMO0267</t>
  </si>
  <si>
    <t>lcl|CP023715.1_prot_AVZ41606.1_227 [locus_tag=ZMO1_ZMO0268] [protein=uncharacterized protein] [protein_id=AVZ41606.1] [location=complement(272040..273464)] [gbkey=CDS]</t>
  </si>
  <si>
    <t>lcl|CP023715.1_prot_AVZ41607.1_228 [locus_tag=ZMO1_ZMO0269] [protein=uncharacterized protein] [protein_id=AVZ41607.1] [location=complement(273519..274940)] [gbkey=CDS]</t>
  </si>
  <si>
    <t>lcl|CP023715.1_prot_AVZ41608.1_229 [locus_tag=ZMO1_ZMO0270] [protein=uncharacterized protein] [protein_id=AVZ41608.1] [location=complement(274995..276476)] [gbkey=CDS]</t>
  </si>
  <si>
    <t>lcl|CP023715.1_prot_AVZ41610.1_231 [gene=lnt] [locus_tag=ZMO1_ZMO0271] [protein=apolipoprotein N-acyltransferase] [protein_id=AVZ41610.1] [location=277112..278863] [gbkey=CDS]</t>
  </si>
  <si>
    <t>lcl|CP023715.1_prot_AVZ41611.1_233 [gene=metK] [locus_tag=ZMO1_ZMO0273] [protein=S-adenosylmethionine synthase] [protein_id=AVZ41611.1] [location=279056..280231] [gbkey=CDS]</t>
  </si>
  <si>
    <t>lcl|CP023715.1_prot_AVZ41612.1_234 [gene=rpoN] [locus_tag=ZMO1_ZMO0274] [protein=RNA polymerase factor sigma-54] [protein_id=AVZ41612.1] [location=complement(280306..281805)] [gbkey=CDS]</t>
  </si>
  <si>
    <t>lcl|CP023715.1_prot_AVZ41613.1_235 [locus_tag=ZMO1_ZMO0275] [protein=ABC transporter related protein] [protein_id=AVZ41613.1] [location=complement(281853..282635)] [gbkey=CDS]</t>
  </si>
  <si>
    <t>lcl|CP023715.1_prot_AVZ41614.1_236 [locus_tag=ZMO1_ZMO0276] [protein=OstA family protein] [protein_id=AVZ41614.1] [location=complement(282850..283446)] [gbkey=CDS]</t>
  </si>
  <si>
    <t>lcl|CP023715.1_prot_AVZ41615.1_237 [gene=lptC] [locus_tag=ZMO1_ZMO0277] [protein=LPS export ABC transporter LptC] [protein_id=AVZ41615.1] [location=complement(283452..284090)] [gbkey=CDS]</t>
  </si>
  <si>
    <t>lcl|CP023715.1_prot_AVZ41616.1_238 [gene=rnd1] [locus_tag=ZMO1_ZMO0278] [protein=ribonuclease D] [protein_id=AVZ41616.1] [location=complement(284123..284752)] [gbkey=CDS]</t>
  </si>
  <si>
    <t>lcl|CP023715.1_prot_AVZ41617.1_239 [locus_tag=ZMO1_ZMO0279] [protein=putative cold-shock DNA-binding protein] [protein_id=AVZ41617.1] [location=285024..285800] [gbkey=CDS]</t>
  </si>
  <si>
    <t>lcl|CP023715.1_prot_AVZ41618.1_240 [locus_tag=ZMO1_ZMO0281] [protein=TetR family transcriptional repressor of RND efflux transport system] [protein_id=AVZ41618.1] [location=complement(286193..286840)] [gbkey=CDS]</t>
  </si>
  <si>
    <t>lcl|CP023715.1_prot_AVZ41619.1_241 [locus_tag=ZMO1_ZMO0282] [protein=MFP subunit of RND efflux system transporter] [protein_id=AVZ41619.1] [location=287065..288234] [gbkey=CDS]</t>
  </si>
  <si>
    <t>lcl|CP023715.1_prot_AVZ41620.1_242 [locus_tag=ZMO1_ZMO0283] [protein=hydrophobe/amphiphile efflux-1 (HAE1) family RND efflux system transporter] [protein_id=AVZ41620.1] [location=288238..291381] [gbkey=CDS]</t>
  </si>
  <si>
    <t>lcl|CP023715.1_prot_AVZ41621.1_243 [locus_tag=ZMO1_ZMO0285] [protein=NodT family RND efflux system outer membrane lipoprotein] [protein_id=AVZ41621.1] [location=291381..292919] [gbkey=CDS]</t>
  </si>
  <si>
    <t>lcl|CP023715.1_prot_AVZ41622.1_244 [locus_tag=ZMO1_ZMO0286] [protein=DUF541 domain-containing protein] [protein_id=AVZ41622.1] [location=complement(292966..293739)] [gbkey=CDS]</t>
  </si>
  <si>
    <t>lcl|CP023715.1_prot_AVZ41623.1_245 [locus_tag=ZMO1_ZMO0287] [protein=MFP subunit of RND efflux system transporter] [protein_id=AVZ41623.1] [location=294090..295238] [gbkey=CDS]</t>
  </si>
  <si>
    <t>lcl|CP023715.1_prot_AVZ41624.1_246 [locus_tag=ZMO1_ZMO0290] [protein=DUF445 domain-containing protein] [protein_id=AVZ41624.1] [location=295367..296623] [gbkey=CDS]</t>
  </si>
  <si>
    <t>lcl|CP023715.1_prot_AVZ41626.1_248 [locus_tag=ZMO1_ZMO0293] [protein=sugar transporter] [protein_id=AVZ41626.1] [location=complement(297731..299173)] [gbkey=CDS]</t>
  </si>
  <si>
    <t>ZMO0293</t>
  </si>
  <si>
    <t>lcl|CP023715.1_prot_AVZ41627.1_249 [locus_tag=ZMO1_ZMO0294] [protein=ribosomal protein L28] [protein_id=AVZ41627.1] [location=complement(299858..300145)] [gbkey=CDS]</t>
  </si>
  <si>
    <t>lcl|CP023715.1_prot_AVZ41628.1_250 [locus_tag=ZMO1_ZMO0296] [protein=tRNA-specific adenosine deaminase] [protein_id=AVZ41628.1] [location=300451..300933] [gbkey=CDS]</t>
  </si>
  <si>
    <t>ZMO0296</t>
  </si>
  <si>
    <t>lcl|CP023715.1_prot_AVZ41629.1_251 [locus_tag=ZMO1_ZMO0297] [protein=HlyC/CorC family transporter] [protein_id=AVZ41629.1] [location=301182..302507] [gbkey=CDS]</t>
  </si>
  <si>
    <t>lcl|CP023715.1_prot_AVZ41630.1_252 [locus_tag=ZMO1_ZMO0298] [protein=uncharacterized protein] [protein_id=AVZ41630.1] [location=complement(302605..303303)] [gbkey=CDS]</t>
  </si>
  <si>
    <t>lcl|CP023715.1_prot_AVZ41631.2_253 [gene=purD] [locus_tag=ZMO1_ZMO0299] [protein=phosphoribosylamine--glycine ligase] [protein_id=AVZ41631.2] [location=complement(303462..304715)] [gbkey=CDS]</t>
  </si>
  <si>
    <t>lcl|CP023715.1_prot_AVZ41632.1_254 [gene=xseA] [locus_tag=ZMO1_ZMO0300] [protein=exodeoxyribonuclease VII large subunit] [protein_id=AVZ41632.1] [location=304714..306348] [gbkey=CDS]</t>
  </si>
  <si>
    <t>lcl|CP023715.1_prot_AVZ41633.1_255 [locus_tag=ZMO1_ZMO0301] [protein=PepSY-associated TM helix domain protein] [protein_id=AVZ41633.1] [location=306494..307246] [gbkey=CDS]</t>
  </si>
  <si>
    <t>lcl|CP023715.1_prot_AVZ41635.1_257 [gene=hemH] [locus_tag=ZMO1_ZMO0303] [protein=ferrochelatase] [protein_id=AVZ41635.1] [location=complement(307520..308524)] [gbkey=CDS]</t>
  </si>
  <si>
    <t>ZMO0303</t>
  </si>
  <si>
    <t>lcl|CP023715.1_prot_AVZ41636.1_258 [locus_tag=ZMO1_ZMO0305] [protein=stress responsive alpha-beta barrel domain protein] [protein_id=AVZ41636.1] [location=complement(308672..309145)] [gbkey=CDS]</t>
  </si>
  <si>
    <t>lcl|CP023715.1_prot_AVZ41637.1_259 [locus_tag=ZMO1_ZMO0306] [protein=glycosyl transferase group 1] [protein_id=AVZ41637.1] [location=complement(309239..310507)] [gbkey=CDS]</t>
  </si>
  <si>
    <t>lcl|CP023715.1_prot_AVZ41638.1_260 [gene=kpsC] [locus_tag=ZMO1_ZMO0307] [protein=capsule polysaccharide biosynthesis protein] [protein_id=AVZ41638.1] [location=complement(310535..312268)] [gbkey=CDS]</t>
  </si>
  <si>
    <t>lcl|CP023715.1_prot_AVZ41639.1_261 [locus_tag=ZMO1_ZMO0309] [protein=short-chain dehydrogenase/reductase SDR] [protein_id=AVZ41639.1] [location=312601..313617] [gbkey=CDS]</t>
  </si>
  <si>
    <t>lcl|CP023715.1_prot_AVZ41640.1_262 [gene=proC1] [locus_tag=ZMO1_ZMO0311] [protein=pyrroline-5-carboxylate reductase] [protein_id=AVZ41640.1] [location=complement(313683..314498)] [gbkey=CDS]</t>
  </si>
  <si>
    <t>lcl|CP023715.1_prot_AVZ41641.1_263 [locus_tag=ZMO1_ZMO0312] [protein=amidohydrolase] [protein_id=AVZ41641.1] [location=314701..315843] [gbkey=CDS]</t>
  </si>
  <si>
    <t>lcl|CP023715.1_prot_AVZ41642.1_264 [locus_tag=ZMO1_ZMO0313] [protein=uncharacterized protein] [protein_id=AVZ41642.1] [location=315873..316355] [gbkey=CDS]</t>
  </si>
  <si>
    <t>lcl|CP023715.1_prot_AVZ41643.1_265 [gene=cls] [locus_tag=ZMO1_ZMO0314] [protein=cardiolipin synthetase] [protein_id=AVZ41643.1] [location=complement(316394..317812)] [gbkey=CDS]</t>
  </si>
  <si>
    <t>ZMO0314</t>
  </si>
  <si>
    <t>lcl|CP023715.1_prot_AVZ41644.1_266 [locus_tag=ZMO1_ZMO0315] [protein=uncharacterized protein] [protein_id=AVZ41644.1] [location=complement(317877..318263)] [gbkey=CDS]</t>
  </si>
  <si>
    <t>lcl|CP023715.1_prot_AVZ41645.1_267 [locus_tag=ZMO1_ZMO0318] [protein=short-chain dehydrogenase/reductase SDR] [protein_id=AVZ41645.1] [location=318604..319359] [gbkey=CDS]</t>
  </si>
  <si>
    <t>lcl|CP023715.1_prot_AVZ41646.1_268 [locus_tag=ZMO1_ZMO0319] [protein=WGR domain protein] [protein_id=AVZ41646.1] [location=complement(319432..319680)] [gbkey=CDS]</t>
  </si>
  <si>
    <t>ZMO0319</t>
  </si>
  <si>
    <t>lcl|CP023715.1_prot_AVZ41647.2_269 [gene=dhfrIII] [locus_tag=ZMO1_ZMO0321] [protein=dihydrofolate reductase region] [protein_id=AVZ41647.2] [location=320294..320791] [gbkey=CDS]</t>
  </si>
  <si>
    <t>lcl|CP023715.1_prot_AVZ41648.1_270 [gene=ribF] [locus_tag=ZMO1_ZMO0322] [protein=riboflavin biosynthesis protein RibF] [protein_id=AVZ41648.1] [location=321130..322074] [gbkey=CDS]</t>
  </si>
  <si>
    <t>lcl|CP023715.1_prot_AVZ41649.1_271 [gene=ileS] [locus_tag=ZMO1_ZMO0323] [protein=isoleucyl-tRNA synthetase] [protein_id=AVZ41649.1] [location=322193..325018] [gbkey=CDS]</t>
  </si>
  <si>
    <t>lcl|CP023715.1_prot_AVZ41651.1_273 [locus_tag=ZMO1_ZMO0325] [protein=uncharacterized protein] [protein_id=AVZ41651.1] [location=325631..326143] [gbkey=CDS]</t>
  </si>
  <si>
    <t>lcl|CP023715.1_prot_AVZ41652.1_274 [locus_tag=ZMO1_ZMO0326] [protein=7-cyano-7-deazaguanine reductase] [protein_id=AVZ41652.1] [location=complement(326160..326603)] [gbkey=CDS]</t>
  </si>
  <si>
    <t>lcl|CP023715.1_prot_AVZ41653.1_275 [gene=metC] [locus_tag=ZMO1_ZMO0327] [protein=cystathionine beta-lyase] [protein_id=AVZ41653.1] [location=326798..328834] [gbkey=CDS]</t>
  </si>
  <si>
    <t>lcl|CP023715.1_prot_AVZ41654.1_276 [gene=efp] [locus_tag=ZMO1_ZMO0328] [protein=translation elongation factor P] [protein_id=AVZ41654.1] [location=328990..329553] [gbkey=CDS]</t>
  </si>
  <si>
    <t>lcl|CP023715.1_prot_AVZ41655.1_277 [gene=cbbF1] [locus_tag=ZMO1_ZMO0329] [protein=inositol monophosphatase] [protein_id=AVZ41655.1] [location=329553..330368] [gbkey=CDS]</t>
  </si>
  <si>
    <t>lcl|CP023715.1_prot_AVZ41656.1_279 [locus_tag=ZMO1_ZMO0331] [protein=DUF882 domain-containing protein] [protein_id=AVZ41656.1] [location=330814..331410] [gbkey=CDS]</t>
  </si>
  <si>
    <t>lcl|CP023715.1_prot_AVZ41657.1_280 [gene=thiE1] [locus_tag=ZMO1_ZMO0332] [protein=thiamine phosphate synthase] [protein_id=AVZ41657.1] [location=complement(331475..332191)] [gbkey=CDS]</t>
  </si>
  <si>
    <t>lcl|CP023715.1_prot_AVZ41658.1_281 [locus_tag=ZMO1_ZMO0335] [protein=ATPase MipZ] [protein_id=AVZ41658.1] [location=332580..333365] [gbkey=CDS]</t>
  </si>
  <si>
    <t>lcl|CP023715.1_prot_AVZ41659.1_282 [locus_tag=ZMO1_ZMO0336] [protein=heat shock protein DnaJ domain protein] [protein_id=AVZ41659.1] [location=333462..334136] [gbkey=CDS]</t>
  </si>
  <si>
    <t>ZMO0336</t>
  </si>
  <si>
    <t>lcl|CP023715.1_prot_AVZ41660.1_283 [gene=exoC] [locus_tag=ZMO1_ZMO0339] [protein=phosphomannomutase] [protein_id=AVZ41660.1] [location=334277..335656] [gbkey=CDS]</t>
  </si>
  <si>
    <t>lcl|CP023715.1_prot_AVZ41661.1_284 [locus_tag=ZMO1_ZMO0341] [protein=short-chain dehydrogenase/reductase SDR] [protein_id=AVZ41661.1] [location=335843..336622] [gbkey=CDS]</t>
  </si>
  <si>
    <t>lcl|CP023715.1_prot_AVZ41662.1_285 [gene=aspB] [locus_tag=ZMO1_ZMO0342] [protein=aspartate aminotransferase] [protein_id=AVZ41662.1] [location=complement(336684..337886)] [gbkey=CDS]</t>
  </si>
  <si>
    <t>lcl|CP023715.1_prot_AVZ41663.1_286 [locus_tag=ZMO1_ZMO0343] [protein=aminotransferase class IV] [protein_id=AVZ41663.1] [location=complement(338009..338680)] [gbkey=CDS]</t>
  </si>
  <si>
    <t>lcl|CP023715.1_prot_AVZ41664.1_287 [locus_tag=ZMO1_ZMO0344] [protein=peptidase U62 modulator of DNA gyrase] [protein_id=AVZ41664.1] [location=338983..340425] [gbkey=CDS]</t>
  </si>
  <si>
    <t>lcl|CP023715.1_prot_AVZ41665.1_288 [locus_tag=ZMO1_ZMO0345] [protein=endonuclease/exonuclease/phosphatase] [protein_id=AVZ41665.1] [location=340714..341433] [gbkey=CDS]</t>
  </si>
  <si>
    <t>lcl|CP023715.1_prot_AVZ41666.1_289 [gene=amtB] [locus_tag=ZMO1_ZMO0346] [protein=ammonium transporter] [protein_id=AVZ41666.1] [location=341634..342983] [gbkey=CDS]</t>
  </si>
  <si>
    <t>lcl|CP023715.1_prot_AVZ41667.1_290 [gene=hfq] [locus_tag=ZMO1_ZMO0347] [protein=RNA chaperone Hfq] [protein_id=AVZ41667.1] [location=343378..343863] [gbkey=CDS]</t>
  </si>
  <si>
    <t>lcl|CP023715.1_prot_AVZ41668.1_291 [gene=hflX] [locus_tag=ZMO1_ZMO0348] [protein=GTP-binding protein HflX] [protein_id=AVZ41668.1] [location=343860..345242] [gbkey=CDS]</t>
  </si>
  <si>
    <t>lcl|CP023715.1_prot_AVZ41669.1_292 [locus_tag=ZMO1_ZMO0349] [protein=DUF179 domain-containing protein] [protein_id=AVZ41669.1] [location=345263..345829] [gbkey=CDS]</t>
  </si>
  <si>
    <t>ZMO0349</t>
  </si>
  <si>
    <t>lcl|CP023715.1_prot_AVZ41670.1_293 [locus_tag=ZMO1_ZMO0350] [protein=putative ParB-like nuclease] [protein_id=AVZ41670.1] [location=345969..346595] [gbkey=CDS]</t>
  </si>
  <si>
    <t>lcl|CP023715.1_prot_AVZ41671.1_294 [locus_tag=ZMO1_ZMO0351] [protein=putative DNA helicase] [protein_id=AVZ41671.1] [location=346818..352019] [gbkey=CDS]</t>
  </si>
  <si>
    <t>lcl|CP023715.1_prot_AVZ41672.1_295 [locus_tag=ZMO1_ZMO0352] [protein=uncharacterized protein] [protein_id=AVZ41672.1] [location=352178..353752] [gbkey=CDS]</t>
  </si>
  <si>
    <t>lcl|CP023715.1_prot_AVZ41673.1_296 [locus_tag=ZMO1_ZMO0353] [protein=4-diphosphocytidyl-2C-methyl-D-erythritol synthase] [protein_id=AVZ41673.1] [location=353797..355140] [gbkey=CDS]</t>
  </si>
  <si>
    <t>lcl|CP023715.1_prot_AVZ41674.1_297 [gene=mutL] [locus_tag=ZMO1_ZMO0354] [protein=DNA mismatch repair protein MutL] [protein_id=AVZ41674.1] [location=complement(355278..357119)] [gbkey=CDS]</t>
  </si>
  <si>
    <t>lcl|CP023715.1_prot_AVZ41675.1_298 [gene=mreB] [locus_tag=ZMO1_ZMO0355] [protein=MreB/Mrl family cell shape determining protein] [protein_id=AVZ41675.1] [location=357377..358423] [gbkey=CDS]</t>
  </si>
  <si>
    <t>lcl|CP023715.1_prot_AVZ41676.1_299 [gene=mreC] [locus_tag=ZMO1_ZMO0356] [protein=rod shape-determining protein MreC] [protein_id=AVZ41676.1] [location=358454..359473] [gbkey=CDS]</t>
  </si>
  <si>
    <t>lcl|CP023715.1_prot_AVZ41678.1_301 [gene=mrdA] [locus_tag=ZMO1_ZMO0359] [protein=peptidoglycan D,D-transpeptidase MrdA] [protein_id=AVZ41678.1] [location=360166..362097] [gbkey=CDS]</t>
  </si>
  <si>
    <t>lcl|CP023715.1_prot_AVZ41679.1_302 [gene=mrdB] [locus_tag=ZMO1_ZMO0360] [protein=rod shape-determining protein MrdB (formly RodA)] [protein_id=AVZ41679.1] [location=362109..363215] [gbkey=CDS]</t>
  </si>
  <si>
    <t>ZMO0360</t>
  </si>
  <si>
    <t>lcl|CP023715.1_prot_AVZ41680.1_303 [locus_tag=ZMO1_ZMO0361] [protein=uncharacterized protein] [protein_id=AVZ41680.1] [location=363840..364814] [gbkey=CDS]</t>
  </si>
  <si>
    <t>lcl|CP023715.1_prot_AVZ41681.1_304 [gene=uvrB] [locus_tag=ZMO1_ZMO0362] [protein=excinuclease ABC B subunit] [protein_id=AVZ41681.1] [location=364912..367134] [gbkey=CDS]</t>
  </si>
  <si>
    <t>lcl|CP023715.1_prot_AVZ41682.2_305 [gene=tgt] [locus_tag=ZMO1_ZMO0363] [protein=tRNA-guanine(34) transglycosylase] [protein_id=AVZ41682.2] [location=367280..368467] [gbkey=CDS]</t>
  </si>
  <si>
    <t>lcl|CP023715.1_prot_AVZ41683.1_306 [gene=ligA] [locus_tag=ZMO1_ZMO0364] [protein=DNA ligase (NAD(+)) LigA] [protein_id=AVZ41683.1] [location=368514..370709] [gbkey=CDS]</t>
  </si>
  <si>
    <t>lcl|CP023715.1_prot_AVZ41684.1_307 [gene=glf] [locus_tag=ZMO1_ZMO0366] [protein=glucose facilitated diffusion protein] [protein_id=AVZ41684.1] [location=371082..372503] [gbkey=CDS]</t>
  </si>
  <si>
    <t>lcl|CP023715.1_prot_AVZ41685.1_308 [gene=zwf] [locus_tag=ZMO1_ZMO0367] [protein=glucose-6-phosphate 1-dehydrogenase] [protein_id=AVZ41685.1] [location=372649..374106] [gbkey=CDS]</t>
  </si>
  <si>
    <t>lcl|CP023715.1_prot_AVZ41686.1_309 [gene=edd] [locus_tag=ZMO1_ZMO0368] [protein=6-phosphogluconate dehydratase] [protein_id=AVZ41686.1] [location=374099..375922] [gbkey=CDS]</t>
  </si>
  <si>
    <t>lcl|CP023715.1_prot_AVZ41687.1_310 [gene=glk] [locus_tag=ZMO1_ZMO0369] [protein=glucokinase] [protein_id=AVZ41687.1] [location=376055..377029] [gbkey=CDS]</t>
  </si>
  <si>
    <t>lcl|CP023715.1_prot_AVZ41688.1_311 [gene=racX] [locus_tag=ZMO1_ZMO0371] [protein=aspartate racemase] [protein_id=AVZ41688.1] [location=complement(377532..378221)] [gbkey=CDS]</t>
  </si>
  <si>
    <t>lcl|CP023715.1_prot_AVZ41689.1_312 [locus_tag=ZMO1_ZMO0372] [protein=AsnC family transcriptional regulator] [protein_id=AVZ41689.1] [location=378393..378854] [gbkey=CDS]</t>
  </si>
  <si>
    <t>ZMO0372</t>
  </si>
  <si>
    <t>lcl|CP023715.1_prot_AVZ41691.1_314 [gene=sacB] [locus_tag=ZMO1_ZMO0374] [protein=levansucrase] [protein_id=AVZ41691.1] [location=380042..381313] [gbkey=CDS]</t>
  </si>
  <si>
    <t>lcl|CP023715.1_prot_AVZ41692.2_315 [gene=sacC] [locus_tag=ZMO1_ZMO0375] [protein=levansucrase/invertase] [protein_id=AVZ41692.2] [location=381469..382710] [gbkey=CDS]</t>
  </si>
  <si>
    <t>lcl|CP023715.1_prot_AVZ41693.1_316 [gene=lon1] [locus_tag=ZMO1_ZMO0376] [protein=endopeptidase La] [protein_id=AVZ41693.1] [location=complement(383001..385427)] [gbkey=CDS]</t>
  </si>
  <si>
    <t>lcl|CP023715.1_prot_AVZ41694.1_317 [gene=alkA] [locus_tag=ZMO1_ZMO0377] [protein=3-methyladenine DNA glycosylase/8-oxoguanine DNA glycosylase AlkA] [protein_id=AVZ41694.1] [location=385623..386243] [gbkey=CDS]</t>
  </si>
  <si>
    <t>ZMO0377</t>
  </si>
  <si>
    <t>lcl|CP023715.1_prot_AVZ41695.1_318 [locus_tag=ZMO1_ZMO0378] [protein=helix-turn-helix domain-containing protein] [protein_id=AVZ41695.1] [location=386327..386833] [gbkey=CDS]</t>
  </si>
  <si>
    <t>ZMO0378</t>
  </si>
  <si>
    <t>lcl|CP023715.1_prot_AVZ41697.1_320 [locus_tag=ZMO1_ZMO0380] [protein=hypothetical protein] [protein_id=AVZ41697.1] [location=388162..390351] [gbkey=CDS]</t>
  </si>
  <si>
    <t>lcl|CP023715.1_prot_AVZ41699.1_322 [locus_tag=ZMO1_ZMO0383] [protein=hypothetical protein] [protein_id=AVZ41699.1] [location=390773..391624] [gbkey=CDS]</t>
  </si>
  <si>
    <t>lcl|CP023715.1_prot_AVZ41700.1_323 [locus_tag=ZMO1_ZMO0384] [protein=hypothetical protein] [protein_id=AVZ41700.1] [location=391650..391757] [gbkey=CDS]</t>
  </si>
  <si>
    <t>lcl|CP023715.1_prot_AVZ41702.1_325 [locus_tag=ZMO1_ZMO0387] [protein=uncharacterized protein] [protein_id=AVZ41702.1] [location=392090..393004] [gbkey=CDS]</t>
  </si>
  <si>
    <t>lcl|CP023715.1_prot_AVZ41703.1_326 [locus_tag=ZMO1_ZMO0388] [protein=hypothetical protein] [protein_id=AVZ41703.1] [location=393158..393484] [gbkey=CDS]</t>
  </si>
  <si>
    <t>ZMO0388</t>
  </si>
  <si>
    <t>lcl|CP023715.1_prot_AVZ41704.1_327 [locus_tag=ZMO1_ZMO0389] [protein=hypothetical protein] [protein_id=AVZ41704.1] [location=393494..394153] [gbkey=CDS]</t>
  </si>
  <si>
    <t>lcl|CP023715.1_prot_AVZ41705.1_328 [locus_tag=ZMO1_ZMO0390] [protein=hypothetical protein] [protein_id=AVZ41705.1] [location=394147..395568] [gbkey=CDS]</t>
  </si>
  <si>
    <t>ZMO0390</t>
  </si>
  <si>
    <t>lcl|CP023715.1_prot_AVZ41708.1_331 [locus_tag=ZMO1_ZMO0393] [protein=hypothetical protein] [protein_id=AVZ41708.1] [location=396296..396967] [gbkey=CDS]</t>
  </si>
  <si>
    <t>ZMO0393</t>
  </si>
  <si>
    <t>lcl|CP023715.1_prot_AVZ41709.1_332 [locus_tag=ZMO1_ZMO0394] [protein=hypothetical protein] [protein_id=AVZ41709.1] [location=396980..397654] [gbkey=CDS]</t>
  </si>
  <si>
    <t>lcl|CP023715.1_prot_AVZ41710.1_333 [locus_tag=ZMO1_ZMO0395] [protein=hypothetical protein] [protein_id=AVZ41710.1] [location=397834..398202] [gbkey=CDS]</t>
  </si>
  <si>
    <t>ZMO0395</t>
  </si>
  <si>
    <t>lcl|CP023715.1_prot_AVZ41711.1_334 [locus_tag=ZMO1_ZMO0397] [protein=hypothetical protein] [protein_id=AVZ41711.1] [location=398199..398645] [gbkey=CDS]</t>
  </si>
  <si>
    <t>ZMO0397</t>
  </si>
  <si>
    <t>lcl|CP023715.1_prot_AVZ41712.1_335 [locus_tag=ZMO1_ZMO0398] [protein=hypothetical protein] [protein_id=AVZ41712.1] [location=398650..399051] [gbkey=CDS]</t>
  </si>
  <si>
    <t>ZMO0398</t>
  </si>
  <si>
    <t>lcl|CP023715.1_prot_AVZ41713.1_336 [locus_tag=ZMO1_ZMO0399] [protein=peptidase S74 domain-containing protein] [protein_id=AVZ41713.1] [location=399056..400057] [gbkey=CDS]</t>
  </si>
  <si>
    <t>lcl|CP023715.1_prot_AVZ41714.1_337 [locus_tag=ZMO1_ZMO0400] [protein=hypothetical protein] [protein_id=AVZ41714.1] [location=400062..402716] [gbkey=CDS]</t>
  </si>
  <si>
    <t>ZMO0400</t>
  </si>
  <si>
    <t>lcl|CP023715.1_prot_AVZ41715.1_338 [locus_tag=ZMO1_ZMO0401] [protein=diguanylate cyclase/phosphodiesterase] [protein_id=AVZ41715.1] [location=complement(402726..404777)] [gbkey=CDS]</t>
  </si>
  <si>
    <t>ZMO0401</t>
  </si>
  <si>
    <t>lcl|CP023715.1_prot_AVZ41716.1_339 [gene=ftsJ] [locus_tag=ZMO1_ZMO0402] [protein=ribosomal RNA methyltransferase RrmJ/FtsJ] [protein_id=AVZ41716.1] [location=complement(404997..405662)] [gbkey=CDS]</t>
  </si>
  <si>
    <t>lcl|CP023715.1_prot_AVZ41717.1_340 [gene=ppx1] [locus_tag=ZMO1_ZMO0403] [protein=Ppx/GppA phosphatase] [protein_id=AVZ41717.1] [location=complement(405659..406762)] [gbkey=CDS]</t>
  </si>
  <si>
    <t>lcl|CP023715.1_prot_AVZ41718.1_341 [gene=clpA] [locus_tag=ZMO1_ZMO0405] [protein=ATP-dependent Clp protease ATP-binding subunit clpA] [protein_id=AVZ41718.1] [location=407713..410034] [gbkey=CDS]</t>
  </si>
  <si>
    <t>lcl|CP023715.1_prot_AVZ41719.1_342 [locus_tag=ZMO1_ZMO0406] [protein=ABC-2 type transporter] [protein_id=AVZ41719.1] [location=complement(410124..410945)] [gbkey=CDS]</t>
  </si>
  <si>
    <t>lcl|CP023715.1_prot_AVZ41720.1_343 [locus_tag=ZMO1_ZMO0407] [protein=GcrA cell cycle regulator] [protein_id=AVZ41720.1] [location=411097..411789] [gbkey=CDS]</t>
  </si>
  <si>
    <t>lcl|CP023715.1_prot_AVZ41721.1_344 [gene=argD] [locus_tag=ZMO1_ZMO0408] [protein=acetylornithine and succinylornithine aminotransferase] [protein_id=AVZ41721.1] [location=412024..413214] [gbkey=CDS]</t>
  </si>
  <si>
    <t>lcl|CP023715.1_prot_AVZ41722.1_345 [gene=argF] [locus_tag=ZMO1_ZMO0409] [protein=ornithine carbamoyltransferase] [protein_id=AVZ41722.1] [location=413245..414186] [gbkey=CDS]</t>
  </si>
  <si>
    <t>lcl|CP023715.1_prot_AVZ41723.1_346 [gene=hslO] [locus_tag=ZMO1_ZMO0410] [protein=Hsp33-like chaperonin hslO] [protein_id=AVZ41723.1] [location=414315..415238] [gbkey=CDS]</t>
  </si>
  <si>
    <t>lcl|CP023715.1_prot_AVZ41724.1_347 [gene=gyrB1] [locus_tag=ZMO1_ZMO0411] [protein=DNA topoisomerase IV B subunit] [protein_id=AVZ41724.1] [location=415313..417295] [gbkey=CDS]</t>
  </si>
  <si>
    <t>lcl|CP023715.1_prot_AVZ41726.1_349 [locus_tag=ZMO1_ZMO0413] [protein=YggT family protein] [protein_id=AVZ41726.1] [location=complement(418306..418632)] [gbkey=CDS]</t>
  </si>
  <si>
    <t>ZMO0413</t>
  </si>
  <si>
    <t>lcl|CP023715.1_prot_AVZ41727.1_350 [locus_tag=ZMO1_ZMO0414] [protein=MJ0042 family finger-like protein] [protein_id=AVZ41727.1] [location=complement(418656..419696)] [gbkey=CDS]</t>
  </si>
  <si>
    <t>lcl|CP023715.1_prot_AVZ41728.1_351 [gene=ftsE] [locus_tag=ZMO1_ZMO0416] [protein=cell division ATP-binding protein FtsE] [protein_id=AVZ41728.1] [location=419902..420603] [gbkey=CDS]</t>
  </si>
  <si>
    <t>lcl|CP023715.1_prot_AVZ41729.1_352 [gene=ftsX] [locus_tag=ZMO1_ZMO0417] [protein=cell division protein FtsX] [protein_id=AVZ41729.1] [location=420600..421475] [gbkey=CDS]</t>
  </si>
  <si>
    <t>ZMO0417</t>
  </si>
  <si>
    <t>lcl|CP023715.1_prot_AVZ41731.1_354 [gene=plsC] [locus_tag=ZMO1_ZMO0419] [protein=1-acyl-sn-glycerol-3-phosphate acyltransferase PlsC] [protein_id=AVZ41731.1] [location=422167..422919] [gbkey=CDS]</t>
  </si>
  <si>
    <t>lcl|CP023715.1_prot_AVZ41732.1_355 [gene=tyrC] [locus_tag=ZMO1_ZMO0420] [protein=prephenate dehydratase] [protein_id=AVZ41732.1] [location=complement(422968..423849)] [gbkey=CDS]</t>
  </si>
  <si>
    <t>lcl|CP023715.1_prot_AVZ41733.1_356 [gene=hisC2] [locus_tag=ZMO1_ZMO0421] [protein=histidinol-phosphate aminotransferase HisC] [protein_id=AVZ41733.1] [location=complement(423850..424959)] [gbkey=CDS]</t>
  </si>
  <si>
    <t>lcl|CP023715.1_prot_AVZ41734.1_357 [locus_tag=ZMO1_ZMO0422] [protein=BadM/Rrf2 family transcriptional regulator] [protein_id=AVZ41734.1] [location=425526..425933] [gbkey=CDS]</t>
  </si>
  <si>
    <t>ZMO0422</t>
  </si>
  <si>
    <t>lcl|CP023715.1_prot_AVZ41735.1_358 [gene=sufB] [locus_tag=ZMO1_ZMO0423] [protein=FeS assembly protein SufB] [protein_id=AVZ41735.1] [location=425933..427405] [gbkey=CDS]</t>
  </si>
  <si>
    <t>lcl|CP023715.1_prot_AVZ41736.1_359 [gene=sufC] [locus_tag=ZMO1_ZMO0425] [protein=FeS assembly ATPase SufC] [protein_id=AVZ41736.1] [location=427420..428172] [gbkey=CDS]</t>
  </si>
  <si>
    <t>lcl|CP023715.1_prot_AVZ41737.1_360 [gene=sufD] [locus_tag=ZMO1_ZMO0426] [protein=FeS assembly protein SufD] [protein_id=AVZ41737.1] [location=428169..429284] [gbkey=CDS]</t>
  </si>
  <si>
    <t>lcl|CP023715.1_prot_AVZ41738.1_361 [gene=sufS] [locus_tag=ZMO1_ZMO0427] [protein=SufS subfamily cysteine desulfurase] [protein_id=AVZ41738.1] [location=429281..430504] [gbkey=CDS]</t>
  </si>
  <si>
    <t>lcl|CP023715.1_prot_AVZ41739.1_362 [locus_tag=ZMO1_ZMO0428] [protein=FeS assembly SUF system protein] [protein_id=AVZ41739.1] [location=430501..430935] [gbkey=CDS]</t>
  </si>
  <si>
    <t>lcl|CP023715.1_prot_AVZ41740.1_363 [locus_tag=ZMO1_ZMO0429] [protein=iron-sulfur cluster assembly accessory protein] [protein_id=AVZ41740.1] [location=430974..431315] [gbkey=CDS]</t>
  </si>
  <si>
    <t>lcl|CP023715.1_prot_AVZ41741.1_364 [locus_tag=ZMO1_ZMO0430] [protein=pyrimidine 5-nucleotidase] [protein_id=AVZ41741.1] [location=431440..432108] [gbkey=CDS]</t>
  </si>
  <si>
    <t>lcl|CP023715.1_prot_AVZ41742.1_365 [gene=dapD] [locus_tag=ZMO1_ZMO0431] [protein=2,3,4,5-tetrahydropyridine-2,6-dicarboxylate N-succinyltransferase] [protein_id=AVZ41742.1] [location=432142..432972] [gbkey=CDS]</t>
  </si>
  <si>
    <t>lcl|CP023715.1_prot_AVZ41743.1_366 [gene=rocF] [locus_tag=ZMO1_ZMO0432] [protein=ureohydrolase-like protein] [protein_id=AVZ41743.1] [location=complement(433040..433912)] [gbkey=CDS]</t>
  </si>
  <si>
    <t>lcl|CP023715.1_prot_AVZ41744.1_367 [gene=gmk] [locus_tag=ZMO1_ZMO0433] [protein=guanylate kinase] [protein_id=AVZ41744.1] [location=complement(434260..434910)] [gbkey=CDS]</t>
  </si>
  <si>
    <t>lcl|CP023715.1_prot_AVZ41745.1_368 [locus_tag=ZMO1_ZMO0435] [protein=uncharacterized protein] [protein_id=AVZ41745.1] [location=complement(435064..435507)] [gbkey=CDS]</t>
  </si>
  <si>
    <t>lcl|CP023715.1_prot_AVZ41746.1_369 [locus_tag=ZMO1_ZMO0436] [protein=MAPEG (Membrane Associated Proteins in Eicosanoid and Glutathione metabolism) family protein] [protein_id=AVZ41746.1] [location=complement(435636..436034)] [gbkey=CDS]</t>
  </si>
  <si>
    <t>ZMO0436</t>
  </si>
  <si>
    <t>lcl|CP023715.1_prot_AVZ41748.1_371 [gene=rluC] [locus_tag=ZMO1_ZMO0439] [protein=RluC/D family pseudouridine synthase] [protein_id=AVZ41748.1] [location=436668..437792] [gbkey=CDS]</t>
  </si>
  <si>
    <t>lcl|CP023715.1_prot_AVZ41749.1_372 [locus_tag=ZMO1_ZMO0440] [protein=hypothetical protein] [protein_id=AVZ41749.1] [location=437902..438192] [gbkey=CDS]</t>
  </si>
  <si>
    <t>lcl|CP023715.1_prot_AVZ41750.1_373 [locus_tag=ZMO1_ZMO0441] [protein=ATP12 ATPase] [protein_id=AVZ41750.1] [location=438219..438923] [gbkey=CDS]</t>
  </si>
  <si>
    <t>lcl|CP023715.1_prot_AVZ41751.1_374 [locus_tag=ZMO1_ZMO0442] [protein=HAD (haloacid dehalogenase) family phosphatase] [protein_id=AVZ41751.1] [location=438961..439596] [gbkey=CDS]</t>
  </si>
  <si>
    <t>lcl|CP023715.1_prot_AVZ41752.1_375 [gene=nrdF] [locus_tag=ZMO1_ZMO0443] [protein=ribonucleotide-diphosphate reductase subunit beta] [protein_id=AVZ41752.1] [location=complement(439680..440717)] [gbkey=CDS]</t>
  </si>
  <si>
    <t>lcl|CP023715.1_prot_AVZ41753.1_376 [locus_tag=ZMO1_ZMO0444] [protein=lipolytic protein G-D-S-L family] [protein_id=AVZ41753.1] [location=441046..442092] [gbkey=CDS]</t>
  </si>
  <si>
    <t>lcl|CP023715.1_prot_AVZ41754.1_377 [locus_tag=ZMO1_ZMO0445] [protein=GDSL lipase/esterase] [protein_id=AVZ41754.1] [location=442089..443654] [gbkey=CDS]</t>
  </si>
  <si>
    <t>lcl|CP023715.1_prot_AVZ41755.1_378 [locus_tag=ZMO1_ZMO0446] [protein=membrane bound O-acyl transferase MBOAT family protein] [protein_id=AVZ41755.1] [location=443686..445092] [gbkey=CDS]</t>
  </si>
  <si>
    <t>ZMO0446</t>
  </si>
  <si>
    <t>lcl|CP023715.1_prot_AVZ41757.1_380 [locus_tag=ZMO1_ZMO0448] [protein=cell wall hydrolase SleB] [protein_id=AVZ41757.1] [location=complement(445437..446087)] [gbkey=CDS]</t>
  </si>
  <si>
    <t>ZMO0448</t>
  </si>
  <si>
    <t>lcl|CP023715.1_prot_AVZ41758.1_381 [locus_tag=ZMO1_ZMO0449] [protein=uncharacterized protein] [protein_id=AVZ41758.1] [location=446920..447684] [gbkey=CDS]</t>
  </si>
  <si>
    <t>lcl|CP023715.1_prot_AVZ41759.1_382 [locus_tag=ZMO1_ZMO0452] [protein=pyrrolo-quinoline quinone] [protein_id=AVZ41759.1] [location=447707..449191] [gbkey=CDS]</t>
  </si>
  <si>
    <t>lcl|CP023715.1_prot_AVZ41760.1_383 [gene=engA] [locus_tag=ZMO1_ZMO0453] [protein=ribosome-associated GTPase EngA] [protein_id=AVZ41760.1] [location=449258..450622] [gbkey=CDS]</t>
  </si>
  <si>
    <t>lcl|CP023715.1_prot_AVZ41761.1_384 [gene=fhs] [locus_tag=ZMO1_ZMO0454] [protein=formate--tetrahydrofolate ligase] [protein_id=AVZ41761.1] [location=complement(450686..452359)] [gbkey=CDS]</t>
  </si>
  <si>
    <t>lcl|CP023715.1_prot_AVZ41762.1_385 [locus_tag=ZMO1_ZMO0456] [protein=ferredoxin] [protein_id=AVZ41762.1] [location=452789..453106] [gbkey=CDS]</t>
  </si>
  <si>
    <t>ZMO0456</t>
  </si>
  <si>
    <t>lcl|CP023715.1_prot_AVZ41763.1_386 [gene=grp] [locus_tag=ZMO1_ZMO0457] [protein=glutamate uptake regulatory protein] [protein_id=AVZ41763.1] [location=453232..453726] [gbkey=CDS]</t>
  </si>
  <si>
    <t>ZMO0457</t>
  </si>
  <si>
    <t>lcl|CP023715.1_prot_AVZ41764.1_387 [gene=lolD] [locus_tag=ZMO1_ZMO0458] [protein=lipoprotein-releasing system ATP-binding protein LolD] [protein_id=AVZ41764.1] [location=complement(453723..454421)] [gbkey=CDS]</t>
  </si>
  <si>
    <t>lcl|CP023715.1_prot_AVZ41765.1_388 [gene=lolC] [locus_tag=ZMO1_ZMO0459] [protein=lipoprotein releasing system transmembrane protein LolC/E family] [protein_id=AVZ41765.1] [location=complement(454414..455664)] [gbkey=CDS]</t>
  </si>
  <si>
    <t>lcl|CP023715.1_prot_AVZ41766.1_389 [gene=proS] [locus_tag=ZMO1_ZMO0460] [protein=proline--tRNA ligase] [protein_id=AVZ41766.1] [location=complement(455661..456992)] [gbkey=CDS]</t>
  </si>
  <si>
    <t>lcl|CP023715.1_prot_AVZ41767.1_390 [gene=pyrG] [locus_tag=ZMO1_ZMO0462] [protein=CTP synthase] [protein_id=AVZ41767.1] [location=complement(457482..459116)] [gbkey=CDS]</t>
  </si>
  <si>
    <t>lcl|CP023715.1_prot_AVZ41768.1_391 [gene=secG] [locus_tag=ZMO1_ZMO0464] [protein=preprotein translocase SecG subunit] [protein_id=AVZ41768.1] [location=complement(459255..459614)] [gbkey=CDS]</t>
  </si>
  <si>
    <t>ZMO0464</t>
  </si>
  <si>
    <t>lcl|CP023715.1_prot_AVZ41769.1_392 [gene=tpiA] [locus_tag=ZMO1_ZMO0465] [protein=triosephosphate isomerase TpiA] [protein_id=AVZ41769.1] [location=complement(459863..460612)] [gbkey=CDS]</t>
  </si>
  <si>
    <t>lcl|CP023715.1_prot_AVZ41770.1_393 [locus_tag=ZMO1_ZMO0467] [protein=PpiC-type peptidyl-prolyl cis-trans isomerase] [protein_id=AVZ41770.1] [location=460928..462856] [gbkey=CDS]</t>
  </si>
  <si>
    <t>lcl|CP023715.1_prot_AVZ41771.1_394 [gene=trpE] [locus_tag=ZMO1_ZMO0468] [protein=anthranilate synthase component I] [protein_id=AVZ41771.1] [location=462853..464403] [gbkey=CDS]</t>
  </si>
  <si>
    <t>lcl|CP023715.1_prot_AVZ41772.1_395 [locus_tag=ZMO1_ZMO0469] [protein=hypothetical protein] [protein_id=AVZ41772.1] [location=complement(464442..464873)] [gbkey=CDS]</t>
  </si>
  <si>
    <t>lcl|CP023715.1_prot_AVZ41773.1_396 [locus_tag=ZMO1_ZMO0471] [protein=LysR family transcriptional regulator] [protein_id=AVZ41773.1] [location=465127..466086] [gbkey=CDS]</t>
  </si>
  <si>
    <t>lcl|CP023715.1_prot_AVZ41774.1_397 [locus_tag=ZMO1_ZMO0472] [protein=rpsU-divergently transcribed protein] [protein_id=AVZ41774.1] [location=complement(466125..466805)] [gbkey=CDS]</t>
  </si>
  <si>
    <t>lcl|CP023715.1_prot_AVZ41775.1_398 [gene=ribH] [locus_tag=ZMO1_ZMO0473] [protein=6,7-dimethyl-8-ribityllumazine synthase] [protein_id=AVZ41775.1] [location=complement(467015..467434)] [gbkey=CDS]</t>
  </si>
  <si>
    <t>lcl|CP023715.1_prot_AVZ41776.1_399 [gene=ribB] [locus_tag=ZMO1_ZMO0474] [protein=3,4-dihydroxy-2-butanone 4-phosphate synthase] [protein_id=AVZ41776.1] [location=complement(467436..468575)] [gbkey=CDS]</t>
  </si>
  <si>
    <t>lcl|CP023715.1_prot_AVZ41777.1_400 [gene=ribC] [locus_tag=ZMO1_ZMO0475] [protein=riboflavin synthase alpha subunit] [protein_id=AVZ41777.1] [location=complement(468572..469192)] [gbkey=CDS]</t>
  </si>
  <si>
    <t>lcl|CP023715.1_prot_AVZ41778.1_401 [gene=ribD] [locus_tag=ZMO1_ZMO0476] [protein=riboflavin biosynthesis protein RibD] [protein_id=AVZ41778.1] [location=complement(469281..470252)] [gbkey=CDS]</t>
  </si>
  <si>
    <t>lcl|CP023715.1_prot_AVZ41779.1_402 [locus_tag=ZMO1_ZMO0477] [protein=uncharacterized protein] [protein_id=AVZ41779.1] [location=complement(470283..470633)] [gbkey=CDS]</t>
  </si>
  <si>
    <t>ZMO0477</t>
  </si>
  <si>
    <t>lcl|CP023715.1_prot_AVZ41780.1_403 [locus_tag=ZMO1_ZMO0478] [protein=winged helix family two component transcriptional regulator] [protein_id=AVZ41780.1] [location=470815..471534] [gbkey=CDS]</t>
  </si>
  <si>
    <t>lcl|CP023715.1_prot_AVZ41781.1_404 [locus_tag=ZMO1_ZMO0479] [protein=peptidoglycan-binding LysM] [protein_id=AVZ41781.1] [location=471538..472890] [gbkey=CDS]</t>
  </si>
  <si>
    <t>lcl|CP023715.1_prot_AVZ41782.1_405 [locus_tag=ZMO1_ZMO0480] [protein=histidine kinase] [protein_id=AVZ41782.1] [location=472883..475174] [gbkey=CDS]</t>
  </si>
  <si>
    <t>ZMO0480</t>
  </si>
  <si>
    <t>lcl|CP023715.1_prot_AVZ41783.1_406 [locus_tag=ZMO1_ZMO0481] [protein=uncharacterized protein] [protein_id=AVZ41783.1] [location=complement(475137..475718)] [gbkey=CDS]</t>
  </si>
  <si>
    <t>ZMO0481</t>
  </si>
  <si>
    <t>lcl|CP023715.1_prot_AVZ41784.1_407 [gene=glpX] [locus_tag=ZMO1_ZMO0482] [protein=fructose-1,6-bisphosphatase class II] [protein_id=AVZ41784.1] [location=complement(475730..476728)] [gbkey=CDS]</t>
  </si>
  <si>
    <t>lcl|CP023715.1_prot_AVZ41785.1_408 [gene=hom] [locus_tag=ZMO1_ZMO0483] [protein=homoserine dehydrogenase] [protein_id=AVZ41785.1] [location=complement(476850..478142)] [gbkey=CDS]</t>
  </si>
  <si>
    <t>lcl|CP023715.1_prot_AVZ41786.1_409 [locus_tag=ZMO1_ZMO0484] [protein=MgtC/SapB transporter] [protein_id=AVZ41786.1] [location=478303..479010] [gbkey=CDS]</t>
  </si>
  <si>
    <t>ZMO0484</t>
  </si>
  <si>
    <t>lcl|CP023715.1_prot_AVZ41787.1_410 [locus_tag=ZMO1_ZMO0485] [protein=acyl-CoA dehydrogenase domain protein] [protein_id=AVZ41787.1] [location=479261..480439] [gbkey=CDS]</t>
  </si>
  <si>
    <t>lcl|CP023715.1_prot_AVZ41788.1_411 [locus_tag=ZMO1_ZMO0486] [protein=uncharacterized protein] [protein_id=AVZ41788.1] [location=480503..481378] [gbkey=CDS]</t>
  </si>
  <si>
    <t>lcl|CP023715.1_prot_AVZ41789.1_412 [locus_tag=ZMO1_ZMO0487] [protein=HpcH/HpaI aldolase] [protein_id=AVZ41789.1] [location=481371..482183] [gbkey=CDS]</t>
  </si>
  <si>
    <t>lcl|CP023715.1_prot_AVZ41790.1_413 [locus_tag=ZMO1_ZMO0488] [protein=uncharacterized protein] [protein_id=AVZ41790.1] [location=complement(482301..483305)] [gbkey=CDS]</t>
  </si>
  <si>
    <t>lcl|CP023715.1_prot_AVZ41792.1_415 [gene=ptrB] [locus_tag=ZMO1_ZMO0490] [protein=oligopeptidase B PtrB] [protein_id=AVZ41792.1] [location=complement(483874..485940)] [gbkey=CDS]</t>
  </si>
  <si>
    <t>lcl|CP023715.1_prot_AVZ41793.1_416 [gene=pepP] [locus_tag=ZMO1_ZMO0491] [protein=Xaa-Pro aminopeptidase PepP] [protein_id=AVZ41793.1] [location=486065..487864] [gbkey=CDS]</t>
  </si>
  <si>
    <t>lcl|CP023715.1_prot_AVZ41794.1_417 [gene=glnB] [locus_tag=ZMO1_ZMO0492] [protein=nitrogen regulatory protein PII] [protein_id=AVZ41794.1] [location=487998..488336] [gbkey=CDS]</t>
  </si>
  <si>
    <t>lcl|CP023715.1_prot_AVZ41795.1_418 [gene=glnA] [locus_tag=ZMO1_ZMO0493] [protein=type I glutamine synthetase] [protein_id=AVZ41795.1] [location=488430..489842] [gbkey=CDS]</t>
  </si>
  <si>
    <t>lcl|CP023715.1_prot_AVZ41797.1_420 [locus_tag=ZMO1_ZMO0495] [protein=TamB/DUF490 domain-containing protein] [protein_id=AVZ41797.1] [location=complement(491282..495559)] [gbkey=CDS]</t>
  </si>
  <si>
    <t>lcl|CP023715.1_prot_AVZ41798.1_421 [locus_tag=ZMO1_ZMO0496] [protein=outer membrane protein assembly factor] [protein_id=AVZ41798.1] [location=complement(495559..497631)] [gbkey=CDS]</t>
  </si>
  <si>
    <t>ZMO0496</t>
  </si>
  <si>
    <t>lcl|CP023715.1_prot_AVZ41799.1_422 [locus_tag=ZMO1_ZMO0497] [protein=phosphoglycolate phosphatase] [protein_id=AVZ41799.1] [location=complement(497631..498332)] [gbkey=CDS]</t>
  </si>
  <si>
    <t>lcl|CP023715.1_prot_AVZ41800.1_423 [gene=glmU] [locus_tag=ZMO1_ZMO0498] [protein=bifunctional N-acetylglucosamine-1-phosphateuridyltransferase/glucosamine-1-phosphate acetyltransferase] [protein_id=AVZ41800.1] [location=498537..499889] [gbkey=CDS]</t>
  </si>
  <si>
    <t>lcl|CP023715.1_prot_AVZ41801.1_424 [gene=pbpF] [locus_tag=ZMO1_ZMO0499] [protein=1A family penicillin-binding protein] [protein_id=AVZ41801.1] [location=complement(500071..502179)] [gbkey=CDS]</t>
  </si>
  <si>
    <t>lcl|CP023715.1_prot_AVZ41802.1_425 [locus_tag=ZMO1_ZMO0500] [protein=uncharacterized protein] [protein_id=AVZ41802.1] [location=complement(502210..504180)] [gbkey=CDS]</t>
  </si>
  <si>
    <t>lcl|CP023715.1_prot_AVZ41803.1_426 [locus_tag=ZMO1_ZMO0501] [protein=polysaccharide synthesis protein GtrA] [protein_id=AVZ41803.1] [location=504402..504854] [gbkey=CDS]</t>
  </si>
  <si>
    <t>ZMO0501</t>
  </si>
  <si>
    <t>lcl|CP023715.1_prot_AVZ41804.1_427 [locus_tag=ZMO1_ZMO0502] [protein=uncharacterized protein] [protein_id=AVZ41804.1] [location=complement(504866..506491)] [gbkey=CDS]</t>
  </si>
  <si>
    <t>lcl|CP023715.1_prot_AVZ41805.1_428 [locus_tag=ZMO1_ZMO0503] [protein=glycosyl transferase family 2] [protein_id=AVZ41805.1] [location=506690..507859] [gbkey=CDS]</t>
  </si>
  <si>
    <t>lcl|CP023715.1_prot_AVZ41806.1_429 [gene=rluC] [locus_tag=ZMO1_ZMO0505] [protein=pseudouridine synthase] [protein_id=AVZ41806.1] [location=507966..508625] [gbkey=CDS]</t>
  </si>
  <si>
    <t>lcl|CP023715.1_prot_AVZ41807.1_430 [gene=prfB] [locus_tag=ZMO1_ZMO0506] [protein=peptide chain release factor 2] [protein_id=AVZ41807.1] [location=complement(508875..509294)] [gbkey=CDS]</t>
  </si>
  <si>
    <t>ZMO0506</t>
  </si>
  <si>
    <t>lcl|CP023715.1_prot_AVZ41808.1_431 [locus_tag=ZMO1_ZMO0507] [protein=GAF domain-containing protein] [protein_id=AVZ41808.1] [location=509408..509893] [gbkey=CDS]</t>
  </si>
  <si>
    <t>lcl|CP023715.1_prot_AVZ41809.1_432 [locus_tag=ZMO1_ZMO0508] [protein=GCN5-related N-acetyltransferase] [protein_id=AVZ41809.1] [location=509917..510348] [gbkey=CDS]</t>
  </si>
  <si>
    <t>lcl|CP023715.1_prot_AVZ41810.1_433 [locus_tag=ZMO1_ZMO0509] [protein=uncharacterized protein] [protein_id=AVZ41810.1] [location=510433..511152] [gbkey=CDS]</t>
  </si>
  <si>
    <t>lcl|CP023715.1_prot_AVZ41811.1_434 [gene=pdhC] [locus_tag=ZMO1_ZMO0510] [protein=dihydrolipoyllysine-residue acetyltransferase] [protein_id=AVZ41811.1] [location=511432..512754] [gbkey=CDS]</t>
  </si>
  <si>
    <t>lcl|CP023715.1_prot_AVZ41812.1_435 [locus_tag=ZMO1_ZMO0511] [protein=thioesterase superfamily protein] [protein_id=AVZ41812.1] [location=512751..513200] [gbkey=CDS]</t>
  </si>
  <si>
    <t>lcl|CP023715.1_prot_AVZ41813.1_436 [gene=lpd] [locus_tag=ZMO1_ZMO0512] [protein=dihydrolipoamide dehydrogenase] [protein_id=AVZ41813.1] [location=513246..514646] [gbkey=CDS]</t>
  </si>
  <si>
    <t>lcl|CP023715.1_prot_AVZ41814.1_437 [locus_tag=ZMO1_ZMO0513] [protein=putative type 2 phosphatidic acid phosphatase] [protein_id=AVZ41814.1] [location=514658..515365] [gbkey=CDS]</t>
  </si>
  <si>
    <t>ZMO0513</t>
  </si>
  <si>
    <t>lcl|CP023715.1_prot_AVZ41816.1_439 [gene=rpsG] [locus_tag=ZMO1_ZMO0514] [protein=ribosomal protein S7] [protein_id=AVZ41816.1] [location=516151..516621] [gbkey=CDS]</t>
  </si>
  <si>
    <t>lcl|CP023715.1_prot_AVZ41817.1_440 [locus_tag=ZMO1_ZMO0515] [protein=translation elongation factor G] [protein_id=AVZ41817.1] [location=516680..518752] [gbkey=CDS]</t>
  </si>
  <si>
    <t>lcl|CP023715.1_prot_AVZ41818.1_441 [locus_tag=ZMO1_ZMO0516] [protein=translation elongation factor Tu] [protein_id=AVZ41818.1] [location=518856..520049] [gbkey=CDS]</t>
  </si>
  <si>
    <t>lcl|CP023715.1_prot_AVZ41820.1_443 [gene=rplC] [locus_tag=ZMO1_ZMO0517] [protein=ribosomal protein L3] [protein_id=AVZ41820.1] [location=520782..521510] [gbkey=CDS]</t>
  </si>
  <si>
    <t>lcl|CP023715.1_prot_AVZ41821.1_444 [gene=rplD] [locus_tag=ZMO1_ZMO0518] [protein=ribosomal protein L4] [protein_id=AVZ41821.1] [location=521513..522136] [gbkey=CDS]</t>
  </si>
  <si>
    <t>lcl|CP023715.1_prot_AVZ41822.1_445 [gene=rplW] [locus_tag=ZMO1_ZMO0519] [protein=ribosomal protein L23] [protein_id=AVZ41822.1] [location=522129..522440] [gbkey=CDS]</t>
  </si>
  <si>
    <t>lcl|CP023715.1_prot_AVZ41823.1_446 [gene=rplB] [locus_tag=ZMO1_ZMO0520] [protein=ribosomal protein L2] [protein_id=AVZ41823.1] [location=522445..523281] [gbkey=CDS]</t>
  </si>
  <si>
    <t>lcl|CP023715.1_prot_AVZ41825.1_448 [gene=rplV] [locus_tag=ZMO1_ZMO0521] [protein=ribosomal protein L22] [protein_id=AVZ41825.1] [location=523559..523939] [gbkey=CDS]</t>
  </si>
  <si>
    <t>lcl|CP023715.1_prot_AVZ41826.1_449 [gene=rpsC] [locus_tag=ZMO1_ZMO0522] [protein=ribosomal protein S3] [protein_id=AVZ41826.1] [location=523941..524636] [gbkey=CDS]</t>
  </si>
  <si>
    <t>lcl|CP023715.1_prot_AVZ41827.1_450 [gene=rplP] [locus_tag=ZMO1_ZMO0523] [protein=ribosomal protein L16] [protein_id=AVZ41827.1] [location=524700..525131] [gbkey=CDS]</t>
  </si>
  <si>
    <t>lcl|CP023715.1_prot_AVZ41828.1_451 [gene=rpmC] [locus_tag=ZMO1_ZMO0524] [protein=ribosomal protein L29] [protein_id=AVZ41828.1] [location=525134..525337] [gbkey=CDS]</t>
  </si>
  <si>
    <t>lcl|CP023715.1_prot_AVZ41829.1_452 [gene=rpsQ] [locus_tag=ZMO1_ZMO0525] [protein=ribosomal protein S17] [protein_id=AVZ41829.1] [location=525350..525601] [gbkey=CDS]</t>
  </si>
  <si>
    <t>lcl|CP023715.1_prot_AVZ41830.1_453 [gene=rplN] [locus_tag=ZMO1_ZMO0526] [protein=ribosomal protein L14] [protein_id=AVZ41830.1] [location=525670..526041] [gbkey=CDS]</t>
  </si>
  <si>
    <t>lcl|CP023715.1_prot_AVZ41831.1_454 [gene=rplX] [locus_tag=ZMO1_ZMO0527] [protein=ribosomal protein L24] [protein_id=AVZ41831.1] [location=526041..526358] [gbkey=CDS]</t>
  </si>
  <si>
    <t>lcl|CP023715.1_prot_AVZ41832.1_455 [gene=rplE] [locus_tag=ZMO1_ZMO0528] [protein=ribosomal protein L5] [protein_id=AVZ41832.1] [location=526351..526929] [gbkey=CDS]</t>
  </si>
  <si>
    <t>lcl|CP023715.1_prot_AVZ41833.1_456 [gene=rpsN] [locus_tag=ZMO1_ZMO0529] [protein=ribosomal protein S14] [protein_id=AVZ41833.1] [location=526973..527278] [gbkey=CDS]</t>
  </si>
  <si>
    <t>lcl|CP023715.1_prot_AVZ41834.1_457 [gene=rpsH] [locus_tag=ZMO1_ZMO0530] [protein=ribosomal protein S8] [protein_id=AVZ41834.1] [location=527292..527687] [gbkey=CDS]</t>
  </si>
  <si>
    <t>lcl|CP023715.1_prot_AVZ41835.1_458 [gene=rplF] [locus_tag=ZMO1_ZMO0531] [protein=ribosomal protein L6 signature 1] [protein_id=AVZ41835.1] [location=527687..528220] [gbkey=CDS]</t>
  </si>
  <si>
    <t>lcl|CP023715.1_prot_AVZ41836.1_459 [gene=rplR] [locus_tag=ZMO1_ZMO0532] [protein=ribosomal protein L18] [protein_id=AVZ41836.1] [location=528220..528576] [gbkey=CDS]</t>
  </si>
  <si>
    <t>lcl|CP023715.1_prot_AVZ41837.1_460 [gene=rpsE] [locus_tag=ZMO1_ZMO0533] [protein=ribosomal protein S5] [protein_id=AVZ41837.1] [location=528577..529278] [gbkey=CDS]</t>
  </si>
  <si>
    <t>lcl|CP023715.1_prot_AVZ41838.1_461 [gene=rpmD] [locus_tag=ZMO1_ZMO0534] [protein=ribosomal protein L30] [protein_id=AVZ41838.1] [location=529286..529462] [gbkey=CDS]</t>
  </si>
  <si>
    <t>lcl|CP023715.1_prot_AVZ41839.1_462 [gene=rplO] [locus_tag=ZMO1_ZMO0536] [protein=ribosomal protein L15] [protein_id=AVZ41839.1] [location=529613..530104] [gbkey=CDS]</t>
  </si>
  <si>
    <t>lcl|CP023715.1_prot_AVZ41840.1_463 [gene=secY] [locus_tag=ZMO1_ZMO0537] [protein=preprotein translocase SecY subunit] [protein_id=AVZ41840.1] [location=530390..531778] [gbkey=CDS]</t>
  </si>
  <si>
    <t>lcl|CP023715.1_prot_AVZ41841.1_464 [gene=adk] [locus_tag=ZMO1_ZMO0538] [protein=adenylate kinase] [protein_id=AVZ41841.1] [location=531811..532482] [gbkey=CDS]</t>
  </si>
  <si>
    <t>lcl|CP023715.1_prot_AVZ41842.1_465 [gene=rpsM] [locus_tag=ZMO1_ZMO0539] [protein=ribosomal protein S13] [protein_id=AVZ41842.1] [location=532817..533185] [gbkey=CDS]</t>
  </si>
  <si>
    <t>lcl|CP023715.1_prot_AVZ41843.1_466 [gene=rpsK] [locus_tag=ZMO1_ZMO0540] [protein=ribosomal protein S11] [protein_id=AVZ41843.1] [location=533250..533639] [gbkey=CDS]</t>
  </si>
  <si>
    <t>lcl|CP023715.1_prot_AVZ41844.1_467 [gene=rpoA] [locus_tag=ZMO1_ZMO0541] [protein=DNA-directed RNA polymerase alpha subunit] [protein_id=AVZ41844.1] [location=533732..534793] [gbkey=CDS]</t>
  </si>
  <si>
    <t>lcl|CP023715.1_prot_AVZ41845.1_468 [gene=rplQ] [locus_tag=ZMO1_ZMO0542] [protein=ribosomal protein L17] [protein_id=AVZ41845.1] [location=534913..535335] [gbkey=CDS]</t>
  </si>
  <si>
    <t>lcl|CP023715.1_prot_AVZ41846.1_469 [gene=acnA] [locus_tag=ZMO1_ZMO0543] [protein=aconitate hydratase] [protein_id=AVZ41846.1] [location=536103..538373] [gbkey=CDS]</t>
  </si>
  <si>
    <t>lcl|CP023715.1_prot_AVZ41847.1_470 [gene=citC] [locus_tag=ZMO1_ZMO0544] [protein=isocitrate dehydrogenase NADP-dependent] [protein_id=AVZ41847.1] [location=538439..539701] [gbkey=CDS]</t>
  </si>
  <si>
    <t>lcl|CP023715.1_prot_AVZ41848.1_471 [gene=trpC] [locus_tag=ZMO1_ZMO0545] [protein=bifunctional N-(5-phosphoribosyl)anthranilate isomerase/indole-3-glycerolphosphate synthase] [protein_id=AVZ41848.1] [location=complement(539810..540604)] [gbkey=CDS]</t>
  </si>
  <si>
    <t>lcl|CP023715.1_prot_AVZ41849.1_473 [gene=sulP] [locus_tag=ZMO1_ZMO0546] [protein=sulfate transporter] [protein_id=AVZ41849.1] [location=541002..542444] [gbkey=CDS]</t>
  </si>
  <si>
    <t>lcl|CP023715.1_prot_AVZ41850.1_474 [locus_tag=ZMO1_ZMO0547] [protein=voltage-gated chloride channel protein] [protein_id=AVZ41850.1] [location=complement(542949..544439)] [gbkey=CDS]</t>
  </si>
  <si>
    <t>ZMO0547</t>
  </si>
  <si>
    <t>lcl|CP023715.1_prot_AVZ41851.1_475 [locus_tag=ZMO1_ZMO0548] [protein=signal transduction histidine kinase] [protein_id=AVZ41851.1] [location=complement(544606..545619)] [gbkey=CDS]</t>
  </si>
  <si>
    <t>lcl|CP023715.1_prot_AVZ41852.1_476 [gene=pnp] [locus_tag=ZMO1_ZMO0549] [protein=polyribonucleotide nucleotidyltransferase] [protein_id=AVZ41852.1] [location=complement(545772..548018)] [gbkey=CDS]</t>
  </si>
  <si>
    <t>lcl|CP023715.1_prot_AVZ41853.1_477 [gene=rpsO] [locus_tag=ZMO1_ZMO0550] [protein=ribosomal protein S15] [protein_id=AVZ41853.1] [location=complement(548132..548401)] [gbkey=CDS]</t>
  </si>
  <si>
    <t>lcl|CP023715.1_prot_AVZ41854.1_478 [gene=truB] [locus_tag=ZMO1_ZMO0551] [protein=tRNA pseudouridine synthase B TruB] [protein_id=AVZ41854.1] [location=complement(548419..549330)] [gbkey=CDS]</t>
  </si>
  <si>
    <t>lcl|CP023715.1_prot_AVZ41855.1_479 [gene=tdk] [locus_tag=ZMO1_ZMO0552] [protein=thymidine kinase] [protein_id=AVZ41855.1] [location=complement(549327..549908)] [gbkey=CDS]</t>
  </si>
  <si>
    <t>lcl|CP023715.1_prot_AVZ41856.1_480 [gene=rbfA] [locus_tag=ZMO1_ZMO0553] [protein=ribosome-binding factor A] [protein_id=AVZ41856.1] [location=complement(549932..550357)] [gbkey=CDS]</t>
  </si>
  <si>
    <t>lcl|CP023715.1_prot_AVZ41857.1_481 [gene=infB] [locus_tag=ZMO1_ZMO0554] [protein=translation initiation factor IF-2] [protein_id=AVZ41857.1] [location=complement(550504..553473)] [gbkey=CDS]</t>
  </si>
  <si>
    <t>lcl|CP023715.1_prot_AVZ41858.1_482 [locus_tag=ZMO1_ZMO0555] [protein=DUF448 domain-containing protein] [protein_id=AVZ41858.1] [location=complement(553477..554211)] [gbkey=CDS]</t>
  </si>
  <si>
    <t>lcl|CP023715.1_prot_AVZ41859.1_483 [gene=nusA] [locus_tag=ZMO1_ZMO0556] [protein=transcription termination protein NusA] [protein_id=AVZ41859.1] [location=complement(554278..555894)] [gbkey=CDS]</t>
  </si>
  <si>
    <t>lcl|CP023715.1_prot_AVZ41860.1_484 [locus_tag=ZMO1_ZMO0557] [protein=DUF150/RimP N-terminal domain-containing protein] [protein_id=AVZ41860.1] [location=complement(555900..556454)] [gbkey=CDS]</t>
  </si>
  <si>
    <t>lcl|CP023715.1_prot_AVZ41861.1_485 [locus_tag=ZMO1_ZMO0558] [protein=glucose sorbosone dehydrogenase] [protein_id=AVZ41861.1] [location=556927..558183] [gbkey=CDS]</t>
  </si>
  <si>
    <t>lcl|CP023715.1_prot_AVZ41862.1_486 [locus_tag=ZMO1_ZMO0559] [protein=AAA domain-containing protein] [protein_id=AVZ41862.1] [location=558259..559086] [gbkey=CDS]</t>
  </si>
  <si>
    <t>lcl|CP023715.1_prot_AVZ41863.1_487 [gene=hisC3] [locus_tag=ZMO1_ZMO0560] [protein=histidinol-phosphate aminotransferase HisC] [protein_id=AVZ41863.1] [location=559253..560401] [gbkey=CDS]</t>
  </si>
  <si>
    <t>lcl|CP023715.1_prot_AVZ41864.1_488 [locus_tag=ZMO1_ZMO0561] [protein=TonB-dependent receptor plug domain] [protein_id=AVZ41864.1] [location=complement(560536..562953)] [gbkey=CDS]</t>
  </si>
  <si>
    <t>lcl|CP023715.1_prot_AVZ41865.1_489 [gene=hisC4] [locus_tag=ZMO1_ZMO0562] [protein=histidinol-phosphate aminotransferase HisC] [protein_id=AVZ41865.1] [location=563121..564278] [gbkey=CDS]</t>
  </si>
  <si>
    <t>ZMO0562</t>
  </si>
  <si>
    <t>lcl|CP023715.1_prot_AVZ41866.1_490 [locus_tag=ZMO1_ZMO0563] [protein=chorismate mutase] [protein_id=AVZ41866.1] [location=complement(564421..564723)] [gbkey=CDS]</t>
  </si>
  <si>
    <t>lcl|CP023715.1_prot_AVZ41867.1_491 [gene=idsA] [locus_tag=ZMO1_ZMO0564] [protein=farnesyl diphosphate synthetase] [protein_id=AVZ41867.1] [location=564839..565852] [gbkey=CDS]</t>
  </si>
  <si>
    <t>lcl|CP023715.1_prot_AVZ41868.1_492 [gene=hrpB] [locus_tag=ZMO1_ZMO0565] [protein=ATP-dependent helicase HrpB] [protein_id=AVZ41868.1] [location=565894..568407] [gbkey=CDS]</t>
  </si>
  <si>
    <t>lcl|CP023715.1_prot_AVZ41870.1_494 [gene=sucD] [locus_tag=ZMO1_ZMO0567] [protein=succinyl-CoA synthetase alpha subunit] [protein_id=AVZ41870.1] [location=complement(570074..570958)] [gbkey=CDS]</t>
  </si>
  <si>
    <t>lcl|CP023715.1_prot_AVZ41871.1_495 [gene=sdhD] [locus_tag=ZMO1_ZMO0568] [protein=succinate dehydrogenase (SQR) hydrophobic subunit] [protein_id=AVZ41871.1] [location=complement(571057..571443)] [gbkey=CDS]</t>
  </si>
  <si>
    <t>ZMO0568</t>
  </si>
  <si>
    <t>lcl|CP023715.1_prot_AVZ41872.1_496 [gene=sdhC] [locus_tag=ZMO1_ZMO0569] [protein=succinate dehydrogenase (SQR) cytochrome b subunit] [protein_id=AVZ41872.1] [location=complement(571443..571868)] [gbkey=CDS]</t>
  </si>
  <si>
    <t>ZMO0569</t>
  </si>
  <si>
    <t>lcl|CP023715.1_prot_AVZ41873.1_497 [gene=prmA] [locus_tag=ZMO1_ZMO0570] [protein=ribosomal L11 methyltransferase] [protein_id=AVZ41873.1] [location=571995..572972] [gbkey=CDS]</t>
  </si>
  <si>
    <t>lcl|CP023715.1_prot_AVZ41874.1_498 [locus_tag=ZMO1_ZMO0571] [protein=MetI-like ABC transporter transmembrane protein] [protein_id=AVZ41874.1] [location=573859..575613] [gbkey=CDS]</t>
  </si>
  <si>
    <t>lcl|CP023715.1_prot_AVZ41875.1_499 [locus_tag=ZMO1_ZMO0572] [protein=ABC transporter ATPase component] [protein_id=AVZ41875.1] [location=575640..576959] [gbkey=CDS]</t>
  </si>
  <si>
    <t>lcl|CP023715.1_prot_AVZ41876.1_500 [gene=grxB2] [locus_tag=ZMO1_ZMO0573] [protein=glutaredoxin 2 GrxB family] [protein_id=AVZ41876.1] [location=577141..577788] [gbkey=CDS]</t>
  </si>
  <si>
    <t>lcl|CP023715.1_prot_AVZ41877.1_501 [locus_tag=ZMO1_ZMO0574] [protein=UvrD/REP helicase] [protein_id=AVZ41877.1] [location=complement(577841..580147)] [gbkey=CDS]</t>
  </si>
  <si>
    <t>lcl|CP023715.1_prot_AVZ41878.1_502 [gene=rsmD] [locus_tag=ZMO1_ZMO0575] [protein=RsmD family protein] [protein_id=AVZ41878.1] [location=complement(580211..580762)] [gbkey=CDS]</t>
  </si>
  <si>
    <t>lcl|CP023715.1_prot_AVZ41879.1_503 [locus_tag=ZMO1_ZMO0576] [protein=pseudouridine synthase] [protein_id=AVZ41879.1] [location=complement(580779..582311)] [gbkey=CDS]</t>
  </si>
  <si>
    <t>lcl|CP023715.1_prot_AVZ41880.1_504 [locus_tag=ZMO1_ZMO0578] [protein=sodium:dicarboxylate symporter] [protein_id=AVZ41880.1] [location=complement(582450..583718)] [gbkey=CDS]</t>
  </si>
  <si>
    <t>lcl|CP023715.1_prot_AVZ41881.1_505 [locus_tag=ZMO1_ZMO0581] [protein=major facilitator superfamily transporter] [protein_id=AVZ41881.1] [location=584104..585408] [gbkey=CDS]</t>
  </si>
  <si>
    <t>ZMO0581</t>
  </si>
  <si>
    <t>lcl|CP023715.1_prot_AVZ41882.1_506 [gene=folC] [locus_tag=ZMO1_ZMO0582] [protein=bifunctional folylpolyglutamate synthase/dihydrofolate synthase FolC] [protein_id=AVZ41882.1] [location=complement(585429..586760)] [gbkey=CDS]</t>
  </si>
  <si>
    <t>lcl|CP023715.1_prot_AVZ41883.1_507 [gene=accD] [locus_tag=ZMO1_ZMO0583] [protein=acetyl-CoA carboxylase beta subunit] [protein_id=AVZ41883.1] [location=complement(586789..587643)] [gbkey=CDS]</t>
  </si>
  <si>
    <t>lcl|CP023715.1_prot_AVZ41884.1_508 [gene=trpA] [locus_tag=ZMO1_ZMO0584] [protein=tryptophan synthase alpha subunit] [protein_id=AVZ41884.1] [location=complement(587640..588464)] [gbkey=CDS]</t>
  </si>
  <si>
    <t>lcl|CP023715.1_prot_AVZ41885.1_509 [gene=trpB] [locus_tag=ZMO1_ZMO0585] [protein=tryptophan synthase beta subunit] [protein_id=AVZ41885.1] [location=complement(588461..589687)] [gbkey=CDS]</t>
  </si>
  <si>
    <t>lcl|CP023715.1_prot_AVZ41886.1_510 [gene=trpF] [locus_tag=ZMO1_ZMO0586] [protein=phosphoribosylanthranilate isomerase] [protein_id=AVZ41886.1] [location=complement(589684..590319)] [gbkey=CDS]</t>
  </si>
  <si>
    <t>lcl|CP023715.1_prot_AVZ41887.1_511 [gene=pyrF] [locus_tag=ZMO1_ZMO0587] [protein=orotidine 5-phosphate decarboxylase] [protein_id=AVZ41887.1] [location=complement(590432..591142)] [gbkey=CDS]</t>
  </si>
  <si>
    <t>lcl|CP023715.1_prot_AVZ41888.1_512 [locus_tag=ZMO1_ZMO0588] [protein=uncharacterized protein] [protein_id=AVZ41888.1] [location=complement(591156..591470)] [gbkey=CDS]</t>
  </si>
  <si>
    <t>ZMO0588</t>
  </si>
  <si>
    <t>lcl|CP023715.1_prot_AVZ41889.1_513 [gene=radA] [locus_tag=ZMO1_ZMO0589] [protein=DNA repair protein RadA] [protein_id=AVZ41889.1] [location=591560..592927] [gbkey=CDS]</t>
  </si>
  <si>
    <t>lcl|CP023715.1_prot_AVZ41890.1_514 [locus_tag=ZMO1_ZMO0590] [protein=uncharacterized protein] [protein_id=AVZ41890.1] [location=592927..593652] [gbkey=CDS]</t>
  </si>
  <si>
    <t>ZMO0590</t>
  </si>
  <si>
    <t>lcl|CP023715.1_prot_AVZ41891.1_515 [locus_tag=ZMO1_ZMO0591] [protein=NifU-like protein] [protein_id=AVZ41891.1] [location=593867..594316] [gbkey=CDS]</t>
  </si>
  <si>
    <t>lcl|CP023715.1_prot_AVZ41893.1_517 [gene=aroB] [locus_tag=ZMO1_ZMO0593] [protein=3-dehydroquinate synthase] [protein_id=AVZ41893.1] [location=complement(594763..595902)] [gbkey=CDS]</t>
  </si>
  <si>
    <t>lcl|CP023715.1_prot_AVZ41894.1_518 [gene=aroK] [locus_tag=ZMO1_ZMO0594] [protein=shikimate kinase] [protein_id=AVZ41894.1] [location=complement(595899..596429)] [gbkey=CDS]</t>
  </si>
  <si>
    <t>lcl|CP023715.1_prot_AVZ41895.1_519 [locus_tag=ZMO1_ZMO0595] [protein=hypothetical protein] [protein_id=AVZ41895.1] [location=596522..596659] [gbkey=CDS]</t>
  </si>
  <si>
    <t>ZMO0595</t>
  </si>
  <si>
    <t>lcl|CP023715.1_prot_AVZ41896.1_520 [locus_tag=ZMO1_ZMO0597] [protein=uncharacterized protein] [protein_id=AVZ41896.1] [location=596748..598403] [gbkey=CDS]</t>
  </si>
  <si>
    <t>lcl|CP023715.1_prot_AVZ41897.1_521 [gene=xerD] [locus_tag=ZMO1_ZMO0598] [protein=tyrosine recombinase XerD] [protein_id=AVZ41897.1] [location=598445..599368] [gbkey=CDS]</t>
  </si>
  <si>
    <t>lcl|CP023715.1_prot_AVZ41898.1_522 [gene=accA] [locus_tag=ZMO1_ZMO0599] [protein=acetyl-CoA carboxyltransferase alpha subunit] [protein_id=AVZ41898.1] [location=599379..600320] [gbkey=CDS]</t>
  </si>
  <si>
    <t>lcl|CP023715.1_prot_AVZ41899.1_523 [locus_tag=ZMO1_ZMO0601] [protein=putative signal transduction histidine kinase] [protein_id=AVZ41899.1] [location=600581..603016] [gbkey=CDS]</t>
  </si>
  <si>
    <t>lcl|CP023715.1_prot_AVZ41900.1_524 [gene=motB1] [locus_tag=ZMO1_ZMO0602] [protein=flagellar motor protein MotB] [protein_id=AVZ41900.1] [location=complement(604070..605050)] [gbkey=CDS]</t>
  </si>
  <si>
    <t>lcl|CP023715.1_prot_AVZ41901.1_525 [gene=motA1] [locus_tag=ZMO1_ZMO0603] [protein=flagellar motor protein MotA] [protein_id=AVZ41901.1] [location=complement(605102..605965)] [gbkey=CDS]</t>
  </si>
  <si>
    <t>lcl|CP023715.1_prot_AVZ41902.1_526 [gene=flgL] [locus_tag=ZMO1_ZMO0604] [protein=flagellin domain protein] [protein_id=AVZ41902.1] [location=complement(606168..607025)] [gbkey=CDS]</t>
  </si>
  <si>
    <t>lcl|CP023715.1_prot_AVZ41903.1_527 [gene=flgK] [locus_tag=ZMO1_ZMO0605] [protein=flagellar hook-associated protein FlgK] [protein_id=AVZ41903.1] [location=complement(607040..608416)] [gbkey=CDS]</t>
  </si>
  <si>
    <t>lcl|CP023715.1_prot_AVZ41904.1_528 [locus_tag=ZMO1_ZMO0606] [protein=flagellar rod assembly protein/muramidase FlgJ] [protein_id=AVZ41904.1] [location=complement(608577..608969)] [gbkey=CDS]</t>
  </si>
  <si>
    <t>lcl|CP023715.1_prot_AVZ41905.1_529 [gene=flgI] [locus_tag=ZMO1_ZMO0607] [protein=flagellar P-ring protein] [protein_id=AVZ41905.1] [location=complement(608966..610132)] [gbkey=CDS]</t>
  </si>
  <si>
    <t>lcl|CP023715.1_prot_AVZ41906.1_530 [gene=flgH] [locus_tag=ZMO1_ZMO0608] [protein=flagellar L-ring protein] [protein_id=AVZ41906.1] [location=complement(610132..610818)] [gbkey=CDS]</t>
  </si>
  <si>
    <t>lcl|CP023715.1_prot_AVZ41907.1_531 [gene=flgG] [locus_tag=ZMO1_ZMO0609] [protein=flagellar basal-body rod protein FlgG] [protein_id=AVZ41907.1] [location=complement(610820..611611)] [gbkey=CDS]</t>
  </si>
  <si>
    <t>lcl|CP023715.1_prot_AVZ41908.1_532 [gene=flgF] [locus_tag=ZMO1_ZMO0610] [protein=flagellar basal-body rod protein FlgF] [protein_id=AVZ41908.1] [location=complement(611664..612413)] [gbkey=CDS]</t>
  </si>
  <si>
    <t>lcl|CP023715.1_prot_AVZ41909.1_533 [gene=flgE] [locus_tag=ZMO1_ZMO0611] [protein=flagellar hook protein FlgE] [protein_id=AVZ41909.1] [location=complement(612453..613688)] [gbkey=CDS]</t>
  </si>
  <si>
    <t>lcl|CP023715.1_prot_AVZ41910.1_534 [gene=flgD] [locus_tag=ZMO1_ZMO0612] [protein=flagellar hook capping protein] [protein_id=AVZ41910.1] [location=complement(613729..614421)] [gbkey=CDS]</t>
  </si>
  <si>
    <t>lcl|CP023715.1_prot_AVZ41911.1_535 [gene=flgC] [locus_tag=ZMO1_ZMO0613] [protein=flagellar basal-body rod protein FlgC] [protein_id=AVZ41911.1] [location=complement(614483..614887)] [gbkey=CDS]</t>
  </si>
  <si>
    <t>lcl|CP023715.1_prot_AVZ41912.1_536 [gene=flgB] [locus_tag=ZMO1_ZMO0614] [protein=flagellar basal-body rod protein FlgB] [protein_id=AVZ41912.1] [location=complement(614896..615249)] [gbkey=CDS]</t>
  </si>
  <si>
    <t>lcl|CP023715.1_prot_AVZ41913.1_537 [gene=motA2] [locus_tag=ZMO1_ZMO0616] [protein=flagellar motor protein MotA] [protein_id=AVZ41913.1] [location=615462..616157] [gbkey=CDS]</t>
  </si>
  <si>
    <t>ZMO0616</t>
  </si>
  <si>
    <t>lcl|CP023715.1_prot_AVZ41914.1_538 [gene=motB2] [locus_tag=ZMO1_ZMO0617] [protein=flagellar motor protein MotB] [protein_id=AVZ41914.1] [location=616163..616819] [gbkey=CDS]</t>
  </si>
  <si>
    <t>lcl|CP023715.1_prot_AVZ41915.1_539 [gene=flgA] [locus_tag=ZMO1_ZMO0619] [protein=flagella basal body P-ring formation protein FlgA] [protein_id=AVZ41915.1] [location=617385..617951] [gbkey=CDS]</t>
  </si>
  <si>
    <t>lcl|CP023715.1_prot_AVZ41916.1_540 [gene=flgM] [locus_tag=ZMO1_ZMO0621] [protein=flagellar biosynthesis anti-sigma factor FlgM] [protein_id=AVZ41916.1] [location=618043..618477] [gbkey=CDS]</t>
  </si>
  <si>
    <t>lcl|CP023715.1_prot_AVZ41917.1_541 [locus_tag=ZMO1_ZMO0622] [protein=uncharacterized protein] [protein_id=AVZ41917.1] [location=618470..618787] [gbkey=CDS]</t>
  </si>
  <si>
    <t>ZMO0622</t>
  </si>
  <si>
    <t>lcl|CP023715.1_prot_AVZ41918.1_542 [gene=flhA] [locus_tag=ZMO1_ZMO0624] [protein=flagellar biosynthesis protein FlhA] [protein_id=AVZ41918.1] [location=619201..621324] [gbkey=CDS]</t>
  </si>
  <si>
    <t>lcl|CP023715.1_prot_AVZ41919.1_543 [gene=flhG] [locus_tag=ZMO1_ZMO0625] [protein=MinD-like ATPase FlhG] [protein_id=AVZ41919.1] [location=621325..622146] [gbkey=CDS]</t>
  </si>
  <si>
    <t>lcl|CP023715.1_prot_AVZ41920.1_544 [gene=fliA] [locus_tag=ZMO1_ZMO0626] [protein=RNA polymerase sigma 28 subunit FliA/WhiG] [protein_id=AVZ41920.1] [location=622136..622879] [gbkey=CDS]</t>
  </si>
  <si>
    <t>lcl|CP023715.1_prot_AVZ41921.1_545 [locus_tag=ZMO1_ZMO0627] [protein=GT2 family glycosyltransferase] [protein_id=AVZ41921.1] [location=623012..623698] [gbkey=CDS]</t>
  </si>
  <si>
    <t>lcl|CP023715.1_prot_AVZ41922.1_546 [locus_tag=ZMO1_ZMO0628] [protein=glycosyl transferase family 2] [protein_id=AVZ41922.1] [location=623757..624383] [gbkey=CDS]</t>
  </si>
  <si>
    <t>lcl|CP023715.1_prot_AVZ41923.1_547 [gene=fliC] [locus_tag=ZMO1_ZMO0629] [protein=flagellin domain-containing protein] [protein_id=AVZ41923.1] [location=complement(624474..625310)] [gbkey=CDS]</t>
  </si>
  <si>
    <t>lcl|CP023715.1_prot_AVZ41924.1_548 [locus_tag=ZMO1_ZMO0631] [protein=Fis family sigma54-specific transcriptional regulator] [protein_id=AVZ41924.1] [location=626012..627337] [gbkey=CDS]</t>
  </si>
  <si>
    <t>lcl|CP023715.1_prot_AVZ41925.1_549 [gene=fliE] [locus_tag=ZMO1_ZMO0632] [protein=flagellar hook-basal body complex subunit FliE] [protein_id=AVZ41925.1] [location=627411..627785] [gbkey=CDS]</t>
  </si>
  <si>
    <t>lcl|CP023715.1_prot_AVZ41926.1_550 [gene=fliF] [locus_tag=ZMO1_ZMO0634] [protein=flagellar M-ring protein FliF] [protein_id=AVZ41926.1] [location=627789..629648] [gbkey=CDS]</t>
  </si>
  <si>
    <t>lcl|CP023715.1_prot_AVZ41927.1_551 [gene=fliG] [locus_tag=ZMO1_ZMO0635] [protein=flagellar motor switch protein FliG] [protein_id=AVZ41927.1] [location=629641..630675] [gbkey=CDS]</t>
  </si>
  <si>
    <t>lcl|CP023715.1_prot_AVZ41928.1_552 [gene=fliH] [locus_tag=ZMO1_ZMO0636] [protein=negative regulator of FliI ATPase] [protein_id=AVZ41928.1] [location=630668..631429] [gbkey=CDS]</t>
  </si>
  <si>
    <t>lcl|CP023715.1_prot_AVZ41929.1_553 [gene=fliI] [locus_tag=ZMO1_ZMO0637] [protein=flagellum-specific ATP synthase FliI] [protein_id=AVZ41929.1] [location=631426..632757] [gbkey=CDS]</t>
  </si>
  <si>
    <t>lcl|CP023715.1_prot_AVZ41930.1_554 [locus_tag=ZMO1_ZMO0638] [protein=hypothetical protein] [protein_id=AVZ41930.1] [location=632754..633179] [gbkey=CDS]</t>
  </si>
  <si>
    <t>ZMO0638</t>
  </si>
  <si>
    <t>lcl|CP023715.1_prot_AVZ41931.1_555 [gene=fliL] [locus_tag=ZMO1_ZMO0642] [protein=flagellar basal body-associated protein FliL] [protein_id=AVZ41931.1] [location=635591..636160] [gbkey=CDS]</t>
  </si>
  <si>
    <t>lcl|CP023715.1_prot_AVZ41932.1_556 [gene=fliM] [locus_tag=ZMO1_ZMO0643] [protein=flagellar motor switch protein FliM] [protein_id=AVZ41932.1] [location=636157..637155] [gbkey=CDS]</t>
  </si>
  <si>
    <t>lcl|CP023715.1_prot_AVZ41933.1_557 [gene=fliN] [locus_tag=ZMO1_ZMO0644] [protein=flagellar motor switch protein FliN] [protein_id=AVZ41933.1] [location=637152..637463] [gbkey=CDS]</t>
  </si>
  <si>
    <t>lcl|CP023715.1_prot_AVZ41934.1_558 [gene=fliO] [locus_tag=ZMO1_ZMO0646] [protein=flagellar biosynthetic protein FliO] [protein_id=AVZ41934.1] [location=637469..637780] [gbkey=CDS]</t>
  </si>
  <si>
    <t>ZMO0646</t>
  </si>
  <si>
    <t>lcl|CP023715.1_prot_AVZ41935.1_559 [gene=fliP] [locus_tag=ZMO1_ZMO0647] [protein=flagellar biosynthesis protein FliP] [protein_id=AVZ41935.1] [location=637785..638735] [gbkey=CDS]</t>
  </si>
  <si>
    <t>ZMO0647</t>
  </si>
  <si>
    <t>lcl|CP023715.1_prot_AVZ41938.1_562 [gene=flhB] [locus_tag=ZMO1_ZMO0650] [protein=flagellar biosynthesis protein FlhB] [protein_id=AVZ41938.1] [location=639808..640950] [gbkey=CDS]</t>
  </si>
  <si>
    <t>ZMO0650</t>
  </si>
  <si>
    <t>lcl|CP023715.1_prot_AVZ41939.1_563 [gene=fliD] [locus_tag=ZMO1_ZMO0651] [protein=flagellar hook protein FliD] [protein_id=AVZ41939.1] [location=641052..642746] [gbkey=CDS]</t>
  </si>
  <si>
    <t>lcl|CP023715.1_prot_AVZ41940.1_564 [gene=fliS] [locus_tag=ZMO1_ZMO0652] [protein=flagellar biosynthesis protein FliS] [protein_id=AVZ41940.1] [location=642787..643176] [gbkey=CDS]</t>
  </si>
  <si>
    <t>ZMO0652</t>
  </si>
  <si>
    <t>lcl|CP023715.1_prot_AVZ41941.1_565 [locus_tag=ZMO1_ZMO0653] [protein=AI-2E family transporter] [protein_id=AVZ41941.1] [location=complement(643269..644327)] [gbkey=CDS]</t>
  </si>
  <si>
    <t>ZMO0653</t>
  </si>
  <si>
    <t>lcl|CP023715.1_prot_AVZ41942.1_566 [locus_tag=ZMO1_ZMO0654] [protein=polysaccharide deacetylase] [protein_id=AVZ41942.1] [location=complement(644388..647768)] [gbkey=CDS]</t>
  </si>
  <si>
    <t>lcl|CP023715.1_prot_AVZ41943.1_567 [gene=add1] [locus_tag=ZMO1_ZMO0655] [protein=adenosine/AMP deaminase] [protein_id=AVZ41943.1] [location=647920..649500] [gbkey=CDS]</t>
  </si>
  <si>
    <t>lcl|CP023715.1_prot_AVZ41944.1_568 [gene=gpt] [locus_tag=ZMO1_ZMO0656] [protein=phosphoribosyltransferase] [protein_id=AVZ41944.1] [location=complement(649628..650149)] [gbkey=CDS]</t>
  </si>
  <si>
    <t>lcl|CP023715.1_prot_AVZ41945.1_569 [gene=astA] [locus_tag=ZMO1_ZMO0657] [protein=arginine/ornithine N-succinyltransferase beta subunit AstA] [protein_id=AVZ41945.1] [location=complement(650227..651255)] [gbkey=CDS]</t>
  </si>
  <si>
    <t>lcl|CP023715.1_prot_AVZ41946.1_570 [locus_tag=ZMO1_ZMO0658] [protein=peptidase M20] [protein_id=AVZ41946.1] [location=complement(651252..652466)] [gbkey=CDS]</t>
  </si>
  <si>
    <t>lcl|CP023715.1_prot_AVZ41947.1_571 [locus_tag=ZMO1_ZMO0659] [protein=HAD (haloacid dehalogenase)-superfamily subfamily IB hydrolase] [protein_id=AVZ41947.1] [location=652784..653464] [gbkey=CDS]</t>
  </si>
  <si>
    <t>lcl|CP023715.1_prot_AVZ41948.1_572 [gene=dnaK] [locus_tag=ZMO1_ZMO0660] [protein=chaperone protein DnaK] [protein_id=AVZ41948.1] [location=653696..655603] [gbkey=CDS]</t>
  </si>
  <si>
    <t>lcl|CP023715.1_prot_AVZ41949.1_573 [gene=dnaJ] [locus_tag=ZMO1_ZMO0661] [protein=chaperone protein DnaJ] [protein_id=AVZ41949.1] [location=655723..656850] [gbkey=CDS]</t>
  </si>
  <si>
    <t>lcl|CP023715.1_prot_AVZ41950.1_574 [gene=purB] [locus_tag=ZMO1_ZMO0662] [protein=adenylosuccinate lyase] [protein_id=AVZ41950.1] [location=complement(656961..658256)] [gbkey=CDS]</t>
  </si>
  <si>
    <t>lcl|CP023715.1_prot_AVZ41951.1_575 [gene=radC] [locus_tag=ZMO1_ZMO0663] [protein=DNA repair protein RadC] [protein_id=AVZ41951.1] [location=complement(658396..659079)] [gbkey=CDS]</t>
  </si>
  <si>
    <t>ZMO0663</t>
  </si>
  <si>
    <t>lcl|CP023715.1_prot_AVZ41952.1_576 [locus_tag=ZMO1_ZMO0664] [protein=uncharacterized protein] [protein_id=AVZ41952.1] [location=659234..662374] [gbkey=CDS]</t>
  </si>
  <si>
    <t>lcl|CP023715.1_prot_AVZ41953.1_577 [locus_tag=ZMO1_ZMO0665] [protein=YnbE family lipoprotein] [protein_id=AVZ41953.1] [location=662429..662629] [gbkey=CDS]</t>
  </si>
  <si>
    <t>ZMO0665</t>
  </si>
  <si>
    <t>lcl|CP023715.1_prot_AVZ41954.1_578 [locus_tag=ZMO1_ZMO0666] [protein=uncharacterized protein] [protein_id=AVZ41954.1] [location=662626..663024] [gbkey=CDS]</t>
  </si>
  <si>
    <t>lcl|CP023715.1_prot_AVZ41956.1_580 [gene=atpB] [locus_tag=ZMO1_ZMO0667] [protein=ATP synthase F0F1 A subunit] [protein_id=AVZ41956.1] [location=663634..664434] [gbkey=CDS]</t>
  </si>
  <si>
    <t>lcl|CP023715.1_prot_AVZ41957.1_581 [gene=atpE] [locus_tag=ZMO1_ZMO0668] [protein=ATP synthase F0F1 C subunit] [protein_id=AVZ41957.1] [location=664470..664709] [gbkey=CDS]</t>
  </si>
  <si>
    <t>lcl|CP023715.1_prot_AVZ41958.1_582 [gene=atpG2] [locus_tag=ZMO1_ZMO0669] [protein=ATP synthase F0F1 B/B subunit] [protein_id=AVZ41958.1] [location=664831..665331] [gbkey=CDS]</t>
  </si>
  <si>
    <t>lcl|CP023715.1_prot_AVZ41959.1_583 [gene=atpF] [locus_tag=ZMO1_ZMO0671] [protein=ATP synthase F0F1 B/B subunit] [protein_id=AVZ41959.1] [location=665345..665983] [gbkey=CDS]</t>
  </si>
  <si>
    <t>lcl|CP023715.1_prot_AVZ41960.1_584 [gene=uvrC] [locus_tag=ZMO1_ZMO0672] [protein=excinuclease ABC C subunit] [protein_id=AVZ41960.1] [location=666138..668132] [gbkey=CDS]</t>
  </si>
  <si>
    <t>ZMO0672</t>
  </si>
  <si>
    <t>lcl|CP023715.1_prot_AVZ41962.1_586 [locus_tag=ZMO1_ZMO0674] [protein=uncharacterized protein] [protein_id=AVZ41962.1] [location=668970..669494] [gbkey=CDS]</t>
  </si>
  <si>
    <t>ZMO0674</t>
  </si>
  <si>
    <t>lcl|CP023715.1_prot_AVZ41963.1_587 [locus_tag=ZMO1_ZMO0675] [protein=LysR family transcriptional regulator] [protein_id=AVZ41963.1] [location=complement(669495..670304)] [gbkey=CDS]</t>
  </si>
  <si>
    <t>lcl|CP023715.1_prot_AVZ41964.1_588 [locus_tag=ZMO1_ZMO0676] [protein=cystathionine gamma-synthase] [protein_id=AVZ41964.1] [location=complement(670371..671579)] [gbkey=CDS]</t>
  </si>
  <si>
    <t>lcl|CP023715.1_prot_AVZ41965.1_589 [gene=leuB] [locus_tag=ZMO1_ZMO0677] [protein=3-isopropylmalate dehydrogenase] [protein_id=AVZ41965.1] [location=complement(671646..672695)] [gbkey=CDS]</t>
  </si>
  <si>
    <t>lcl|CP023715.1_prot_AVZ41966.1_590 [gene=tdsD] [locus_tag=ZMO1_ZMO0678] [protein=nitroreductase] [protein_id=AVZ41966.1] [location=complement(672828..673451)] [gbkey=CDS]</t>
  </si>
  <si>
    <t>lcl|CP023715.1_prot_AVZ41967.1_591 [locus_tag=ZMO1_ZMO0680] [protein=CRISPR-associated protein Cas1] [protein_id=AVZ41967.1] [location=673865..674842] [gbkey=CDS]</t>
  </si>
  <si>
    <t>ZMO0680</t>
  </si>
  <si>
    <t>lcl|CP023715.1_prot_AVZ41968.1_592 [locus_tag=ZMO1_ZMO0681] [protein=CRISPR-associated helicase Cas3 family] [protein_id=AVZ41968.1] [location=674839..678279] [gbkey=CDS]</t>
  </si>
  <si>
    <t>ZMO0681</t>
  </si>
  <si>
    <t>lcl|CP023715.1_prot_AVZ41969.1_593 [locus_tag=ZMO1_ZMO0682] [protein=CRISPR-associated protein Csy1 family] [protein_id=AVZ41969.1] [location=678306..679625] [gbkey=CDS]</t>
  </si>
  <si>
    <t>lcl|CP023715.1_prot_AVZ41970.1_594 [locus_tag=ZMO1_ZMO0683] [protein=CRISPR-associated protein Csy2 family] [protein_id=AVZ41970.1] [location=679637..680650] [gbkey=CDS]</t>
  </si>
  <si>
    <t>lcl|CP023715.1_prot_AVZ41971.1_595 [locus_tag=ZMO1_ZMO0684] [protein=CRISPR-associated protein Csy3 family] [protein_id=AVZ41971.1] [location=680699..681739] [gbkey=CDS]</t>
  </si>
  <si>
    <t>lcl|CP023715.1_prot_AVZ41972.1_596 [locus_tag=ZMO1_ZMO0685] [protein=CRISPR-associated protein Csy4 family] [protein_id=AVZ41972.1] [location=681729..682310] [gbkey=CDS]</t>
  </si>
  <si>
    <t>lcl|CP023715.1_prot_AVZ41973.1_597 [locus_tag=ZMO1_ZMO0686] [protein=signal transduction protein] [protein_id=AVZ41973.1] [location=682752..683174] [gbkey=CDS]</t>
  </si>
  <si>
    <t>lcl|CP023715.1_prot_AVZ41974.1_598 [gene=budB] [locus_tag=ZMO1_ZMO0687] [protein=acetolactate synthase large subunit] [protein_id=AVZ41974.1] [location=complement(683261..684922)] [gbkey=CDS]</t>
  </si>
  <si>
    <t>lcl|CP023715.1_prot_AVZ41975.1_599 [locus_tag=ZMO1_ZMO0688] [protein=putative auxin efflux carrier] [protein_id=AVZ41975.1] [location=complement(684986..685933)] [gbkey=CDS]</t>
  </si>
  <si>
    <t>ZMO0688</t>
  </si>
  <si>
    <t>lcl|CP023715.1_prot_AVZ41976.1_601 [gene=gfo] [locus_tag=ZMO1_ZMO0689] [protein=glucose-fructose oxidoreductase] [protein_id=AVZ41976.1] [location=complement(686143..687444)] [gbkey=CDS]</t>
  </si>
  <si>
    <t>lcl|CP023715.1_prot_AVZ41977.1_602 [gene=gid] [locus_tag=ZMO1_ZMO0691] [protein=tRNA (uracil-5-)-methyltransferase Gid] [protein_id=AVZ41977.1] [location=complement(688072..689412)] [gbkey=CDS]</t>
  </si>
  <si>
    <t>lcl|CP023715.1_prot_AVZ41978.1_603 [gene=gyrA] [locus_tag=ZMO1_ZMO0692] [protein=DNA gyrase A subunit] [protein_id=AVZ41978.1] [location=complement(689461..692238)] [gbkey=CDS]</t>
  </si>
  <si>
    <t>lcl|CP023715.1_prot_AVZ41979.1_604 [locus_tag=ZMO1_ZMO0693] [protein=OsmC family protein] [protein_id=AVZ41979.1] [location=complement(692307..692732)] [gbkey=CDS]</t>
  </si>
  <si>
    <t>lcl|CP023715.1_prot_AVZ41980.1_605 [locus_tag=ZMO1_ZMO0694] [protein=uncharacterized protein] [protein_id=AVZ41980.1] [location=complement(693014..693721)] [gbkey=CDS]</t>
  </si>
  <si>
    <t>lcl|CP023715.1_prot_AVZ41981.1_606 [locus_tag=ZMO1_ZMO0695] [protein=uncharacterized protein] [protein_id=AVZ41981.1] [location=complement(694450..698025)] [gbkey=CDS]</t>
  </si>
  <si>
    <t>lcl|CP023715.1_prot_AVZ41983.1_608 [locus_tag=ZMO1_ZMO0698] [protein=putative helix-turn-helix XRE-family like protein] [protein_id=AVZ41983.1] [location=complement(698881..699348)] [gbkey=CDS]</t>
  </si>
  <si>
    <t>lcl|CP023715.1_prot_AVZ41985.1_610 [locus_tag=ZMO1_ZMO0703] [protein=peptidase S9 prolyl oligopeptidase active site domain protein] [protein_id=AVZ41985.1] [location=complement(699722..701944)] [gbkey=CDS]</t>
  </si>
  <si>
    <t>lcl|CP023715.1_prot_AVZ41986.1_611 [locus_tag=ZMO1_ZMO0704] [protein=AMP-dependent synthetase and ligase] [protein_id=AVZ41986.1] [location=complement(702043..703812)] [gbkey=CDS]</t>
  </si>
  <si>
    <t>lcl|CP023715.1_prot_AVZ41987.1_612 [locus_tag=ZMO1_ZMO0705] [protein=putative regulatory protein RecX] [protein_id=AVZ41987.1] [location=703911..704456] [gbkey=CDS]</t>
  </si>
  <si>
    <t>lcl|CP023715.1_prot_AVZ41988.1_613 [gene=nth] [locus_tag=ZMO1_ZMO0706] [protein=endonuclease III] [protein_id=AVZ41988.1] [location=complement(704465..705112)] [gbkey=CDS]</t>
  </si>
  <si>
    <t>lcl|CP023715.1_prot_AVZ41989.1_614 [gene=dapB] [locus_tag=ZMO1_ZMO0707] [protein=dihydrodipicolinate reductase] [protein_id=AVZ41989.1] [location=complement(705109..705873)] [gbkey=CDS]</t>
  </si>
  <si>
    <t>lcl|CP023715.1_prot_AVZ41990.1_615 [gene=purN] [locus_tag=ZMO1_ZMO0708] [protein=phosphoribosylglycinamide formyltransferase] [protein_id=AVZ41990.1] [location=complement(705878..706504)] [gbkey=CDS]</t>
  </si>
  <si>
    <t>lcl|CP023715.1_prot_AVZ41991.1_616 [gene=purM] [locus_tag=ZMO1_ZMO0709] [protein=phosphoribosylformylglycinamidine cyclo-ligase] [protein_id=AVZ41991.1] [location=complement(706497..707597)] [gbkey=CDS]</t>
  </si>
  <si>
    <t>lcl|CP023715.1_prot_AVZ41992.1_617 [locus_tag=ZMO1_ZMO0710] [protein=uncharacterized protein] [protein_id=AVZ41992.1] [location=707658..708749] [gbkey=CDS]</t>
  </si>
  <si>
    <t>lcl|CP023715.1_prot_AVZ41993.1_618 [locus_tag=ZMO1_ZMO0711] [protein=ATPase involved in DNA replication initiation] [protein_id=AVZ41993.1] [location=708753..709397] [gbkey=CDS]</t>
  </si>
  <si>
    <t>lcl|CP023715.1_prot_AVZ41994.1_619 [gene=ppk] [locus_tag=ZMO1_ZMO0712] [protein=polyphosphate kinase] [protein_id=AVZ41994.1] [location=709579..711732] [gbkey=CDS]</t>
  </si>
  <si>
    <t>lcl|CP023715.1_prot_AVZ41995.1_620 [gene=ppx] [locus_tag=ZMO1_ZMO0713] [protein=exopolyphosphatase] [protein_id=AVZ41995.1] [location=711899..713425] [gbkey=CDS]</t>
  </si>
  <si>
    <t>lcl|CP023715.1_prot_AVZ41996.1_621 [gene=rnd2] [locus_tag=ZMO1_ZMO0714] [protein=ribonuclease D] [protein_id=AVZ41996.1] [location=complement(713503..714675)] [gbkey=CDS]</t>
  </si>
  <si>
    <t>lcl|CP023715.1_prot_AVZ41997.1_622 [gene=aspS] [locus_tag=ZMO1_ZMO0715] [protein=aspartate--tRNA(Asp/Asn) ligase] [protein_id=AVZ41997.1] [location=714777..716567] [gbkey=CDS]</t>
  </si>
  <si>
    <t>lcl|CP023715.1_prot_AVZ41998.1_623 [locus_tag=ZMO1_ZMO0716] [protein=DUF344/polyphosphate kinase 2 domain-containing protein] [protein_id=AVZ41998.1] [location=716600..717385] [gbkey=CDS]</t>
  </si>
  <si>
    <t>lcl|CP023715.1_prot_AVZ41999.1_624 [gene=greB] [locus_tag=ZMO1_ZMO0718] [protein=transcription elongation factor GreB] [protein_id=AVZ41999.1] [location=complement(717433..717930)] [gbkey=CDS]</t>
  </si>
  <si>
    <t>ZMO0718</t>
  </si>
  <si>
    <t>lcl|CP023715.1_prot_AVZ42000.1_625 [locus_tag=ZMO1_ZMO0719] [protein=lytic transglycosylase catalytic] [protein_id=AVZ42000.1] [location=complement(718005..720098)] [gbkey=CDS]</t>
  </si>
  <si>
    <t>lcl|CP023715.1_prot_AVZ42001.1_626 [gene=dapA1] [locus_tag=ZMO1_ZMO0720] [protein=dihydrodipicolinate synthase] [protein_id=AVZ42001.1] [location=720120..720995] [gbkey=CDS]</t>
  </si>
  <si>
    <t>lcl|CP023715.1_prot_AVZ42002.1_627 [gene=smpB] [locus_tag=ZMO1_ZMO0721] [protein=SsrA-binding protein] [protein_id=AVZ42002.1] [location=720999..721481] [gbkey=CDS]</t>
  </si>
  <si>
    <t>lcl|CP023715.1_prot_AVZ42003.1_628 [locus_tag=ZMO1_ZMO0722] [protein=endothelin-converting enzyme 1] [protein_id=AVZ42003.1] [location=721676..723721] [gbkey=CDS]</t>
  </si>
  <si>
    <t>lcl|CP023715.1_prot_AVZ42005.1_630 [gene=nusG] [locus_tag=ZMO1_ZMO0724] [protein=transcription termination/antitermination factor NusG] [protein_id=AVZ42005.1] [location=724394..724933] [gbkey=CDS]</t>
  </si>
  <si>
    <t>lcl|CP023715.1_prot_AVZ42006.1_631 [gene=rplK] [locus_tag=ZMO1_ZMO0725] [protein=ribosomal protein L11] [protein_id=AVZ42006.1] [location=725020..725451] [gbkey=CDS]</t>
  </si>
  <si>
    <t>lcl|CP023715.1_prot_AVZ42007.1_632 [gene=rplA] [locus_tag=ZMO1_ZMO0726] [protein=ribosomal protein L1] [protein_id=AVZ42007.1] [location=725456..726157] [gbkey=CDS]</t>
  </si>
  <si>
    <t>lcl|CP023715.1_prot_AVZ42008.1_633 [gene=rplJ] [locus_tag=ZMO1_ZMO0727] [protein=ribosomal protein L10] [protein_id=AVZ42008.1] [location=726422..726937] [gbkey=CDS]</t>
  </si>
  <si>
    <t>lcl|CP023715.1_prot_AVZ42009.1_634 [gene=rplL] [locus_tag=ZMO1_ZMO0728] [protein=ribosomal protein L7/L12] [protein_id=AVZ42009.1] [location=726995..727366] [gbkey=CDS]</t>
  </si>
  <si>
    <t>lcl|CP023715.1_prot_AVZ42010.1_636 [gene=rpoB] [locus_tag=ZMO1_ZMO0731] [protein=DNA-directed RNA polymerase beta subunit] [protein_id=AVZ42010.1] [location=727830..732035] [gbkey=CDS]</t>
  </si>
  <si>
    <t>lcl|CP023715.1_prot_AVZ42011.1_637 [gene=rpoC] [locus_tag=ZMO1_ZMO0732] [protein=DNA-directed RNA polymerase beta subunit] [protein_id=AVZ42011.1] [location=732118..736293] [gbkey=CDS]</t>
  </si>
  <si>
    <t>lcl|CP023715.1_prot_AVZ42013.1_639 [gene=cysQ] [locus_tag=ZMO1_ZMO0734] [protein=3(2),5-bisphosphate nucleotidase CysQ] [protein_id=AVZ42013.1] [location=737090..737908] [gbkey=CDS]</t>
  </si>
  <si>
    <t>lcl|CP023715.1_prot_AVZ42014.2_640 [gene=accC] [locus_tag=ZMO1_ZMO0735] [protein=acetyl-CoA carboxylase complex biotin carboxylase subunit] [protein_id=AVZ42014.2] [location=complement(737968..739326)] [gbkey=CDS]</t>
  </si>
  <si>
    <t>lcl|CP023715.1_prot_AVZ42015.1_641 [gene=accB] [locus_tag=ZMO1_ZMO0736] [protein=acetyl-CoA carboxylase complex biotin carboxyl carrier protein] [protein_id=AVZ42015.1] [location=complement(739331..739813)] [gbkey=CDS]</t>
  </si>
  <si>
    <t>lcl|CP023715.1_prot_AVZ42016.1_642 [gene=aroD] [locus_tag=ZMO1_ZMO0737] [protein=type II 3-dehydroquinate dehydratase] [protein_id=AVZ42016.1] [location=complement(739909..740349)] [gbkey=CDS]</t>
  </si>
  <si>
    <t>lcl|CP023715.1_prot_AVZ42017.1_643 [gene=thiG] [locus_tag=ZMO1_ZMO0738] [protein=thiazole biosynthesis protein ThiG] [protein_id=AVZ42017.1] [location=740428..741423] [gbkey=CDS]</t>
  </si>
  <si>
    <t>lcl|CP023715.1_prot_AVZ42018.1_644 [locus_tag=ZMO1_ZMO0739] [protein=antibiotic biosynthesis monooxygenase] [protein_id=AVZ42018.1] [location=complement(741490..741786)] [gbkey=CDS]</t>
  </si>
  <si>
    <t>lcl|CP023715.1_prot_AVZ42019.1_645 [gene=csbD] [locus_tag=ZMO1_ZMO0740] [protein=general stress protein CsbD] [protein_id=AVZ42019.1] [location=742007..742279] [gbkey=CDS]</t>
  </si>
  <si>
    <t>lcl|CP023715.1_prot_AVZ42020.1_646 [gene=prfC] [locus_tag=ZMO1_ZMO0743] [protein=peptide chain release factor 3] [protein_id=AVZ42020.1] [location=742611..744200] [gbkey=CDS]</t>
  </si>
  <si>
    <t>lcl|CP023715.1_prot_AVZ42021.1_647 [locus_tag=ZMO1_ZMO0744] [protein=uncharacterized protein] [protein_id=AVZ42021.1] [location=744359..745159] [gbkey=CDS]</t>
  </si>
  <si>
    <t>lcl|CP023715.1_prot_AVZ42023.1_649 [locus_tag=ZMO1_ZMO0746] [protein=DUF1058/SH3 domain-containing protein] [protein_id=AVZ42023.1] [location=746371..746904] [gbkey=CDS]</t>
  </si>
  <si>
    <t>lcl|CP023715.1_prot_AVZ42024.1_650 [locus_tag=ZMO1_ZMO0747] [protein=uncharacterized protein] [protein_id=AVZ42024.1] [location=747008..747427] [gbkey=CDS]</t>
  </si>
  <si>
    <t>lcl|CP023715.1_prot_AVZ42025.1_651 [gene=cysK] [locus_tag=ZMO1_ZMO0748] [protein=cysteine synthase] [protein_id=AVZ42025.1] [location=complement(747470..748393)] [gbkey=CDS]</t>
  </si>
  <si>
    <t>lcl|CP023715.1_prot_AVZ42026.1_652 [gene=rpoH] [locus_tag=ZMO1_ZMO0749] [protein=RNA polymerase sigma 32 subunit RpoH] [protein_id=AVZ42026.1] [location=complement(748603..749511)] [gbkey=CDS]</t>
  </si>
  <si>
    <t>lcl|CP023715.1_prot_AVZ42027.1_653 [gene=rluD] [locus_tag=ZMO1_ZMO0750] [protein=23S rRNA pseudouridine synthase D RluD] [protein_id=AVZ42027.1] [location=complement(749564..750517)] [gbkey=CDS]</t>
  </si>
  <si>
    <t>lcl|CP023715.1_prot_AVZ42028.2_654 [locus_tag=ZMO1_ZMO0751] [protein=Mov34/MPN/PAD-1 family protein] [protein_id=AVZ42028.2] [location=750574..751017] [gbkey=CDS]</t>
  </si>
  <si>
    <t>ZMO0751</t>
  </si>
  <si>
    <t>lcl|CP023715.1_prot_AVZ42029.1_655 [locus_tag=ZMO1_ZMO0752] [protein=histidine phosphotransferase] [protein_id=AVZ42029.1] [location=751135..751761] [gbkey=CDS]</t>
  </si>
  <si>
    <t>lcl|CP023715.1_prot_AVZ42030.1_656 [locus_tag=ZMO1_ZMO0753] [protein=glutaredoxin 3] [protein_id=AVZ42030.1] [location=751933..752187] [gbkey=CDS]</t>
  </si>
  <si>
    <t>lcl|CP023715.1_prot_AVZ42031.1_657 [locus_tag=ZMO1_ZMO0754] [protein=sterol-binding domain protein] [protein_id=AVZ42031.1] [location=752225..752527] [gbkey=CDS]</t>
  </si>
  <si>
    <t>lcl|CP023715.1_prot_AVZ42032.1_658 [locus_tag=ZMO1_ZMO0756] [protein=TPR repeat-containing protein] [protein_id=AVZ42032.1] [location=complement(752602..754023)] [gbkey=CDS]</t>
  </si>
  <si>
    <t>lcl|CP023715.1_prot_AVZ42033.1_659 [locus_tag=ZMO1_ZMO0757] [protein=TPR repeat-containing protein] [protein_id=AVZ42033.1] [location=complement(754134..755258)] [gbkey=CDS]</t>
  </si>
  <si>
    <t>lcl|CP023715.1_prot_AVZ42034.1_660 [gene=dhbB] [locus_tag=ZMO1_ZMO0758] [protein=isochorismatase hydrolase] [protein_id=AVZ42034.1] [location=complement(755248..755898)] [gbkey=CDS]</t>
  </si>
  <si>
    <t>lcl|CP023715.1_prot_AVZ42035.1_661 [locus_tag=ZMO1_ZMO0759] [protein=hydroxyacylglutathione hydrolase] [protein_id=AVZ42035.1] [location=complement(755936..756661)] [gbkey=CDS]</t>
  </si>
  <si>
    <t>lcl|CP023715.1_prot_AVZ42036.1_662 [gene=gloA2] [locus_tag=ZMO1_ZMO0760] [protein=glyoxalase/bleomycin resistance protein/dioxygenase] [protein_id=AVZ42036.1] [location=complement(756702..757115)] [gbkey=CDS]</t>
  </si>
  <si>
    <t>lcl|CP023715.1_prot_AVZ42037.1_663 [locus_tag=ZMO1_ZMO0763] [protein=tetratricopeptide domain protein] [protein_id=AVZ42037.1] [location=complement(757318..758343)] [gbkey=CDS]</t>
  </si>
  <si>
    <t>lcl|CP023715.1_prot_AVZ42038.1_664 [locus_tag=ZMO1_ZMO0764] [protein=alpha/beta hydrolase fold protein] [protein_id=AVZ42038.1] [location=complement(758369..759112)] [gbkey=CDS]</t>
  </si>
  <si>
    <t>lcl|CP023715.1_prot_AVZ42039.1_665 [gene=thrS] [locus_tag=ZMO1_ZMO0765] [protein=threonyl-tRNA synthetase] [protein_id=AVZ42039.1] [location=759376..761355] [gbkey=CDS]</t>
  </si>
  <si>
    <t>lcl|CP023715.1_prot_AVZ42040.1_666 [gene=glnD] [locus_tag=ZMO1_ZMO0766] [protein=bifunctional uridylyltransferase/uridylyl-removing protein GlnD] [protein_id=AVZ42040.1] [location=761369..764149] [gbkey=CDS]</t>
  </si>
  <si>
    <t>lcl|CP023715.1_prot_AVZ42041.1_667 [locus_tag=ZMO1_ZMO0767] [protein=uncharacterized protein] [protein_id=AVZ42041.1] [location=764454..766562] [gbkey=CDS]</t>
  </si>
  <si>
    <t>lcl|CP023715.1_prot_AVZ42043.1_669 [gene=mnmA] [locus_tag=ZMO1_ZMO0769] [protein=tRNA 2-thiouridine(34) synthase MnmA] [protein_id=AVZ42043.1] [location=766956..768068] [gbkey=CDS]</t>
  </si>
  <si>
    <t>lcl|CP023715.1_prot_AVZ42044.1_670 [gene=mgtE] [locus_tag=ZMO1_ZMO0770] [protein=magnesium transporter] [protein_id=AVZ42044.1] [location=complement(768151..769626)] [gbkey=CDS]</t>
  </si>
  <si>
    <t>lcl|CP023715.1_prot_AVZ42045.1_671 [locus_tag=ZMO1_ZMO0773] [protein=peptidyl-prolyl cis-trans isomerase cyclophilin type] [protein_id=AVZ42045.1] [location=769839..770306] [gbkey=CDS]</t>
  </si>
  <si>
    <t>lcl|CP023715.1_prot_AVZ42046.1_672 [locus_tag=ZMO1_ZMO0774] [protein=LysR family transcriptional regulator] [protein_id=AVZ42046.1] [location=complement(770317..771216)] [gbkey=CDS]</t>
  </si>
  <si>
    <t>lcl|CP023715.1_prot_AVZ42047.1_673 [gene=pmtA] [locus_tag=ZMO1_ZMO0776] [protein=phospholipid N-methyltransferase PmtA] [protein_id=AVZ42047.1] [location=771745..772371] [gbkey=CDS]</t>
  </si>
  <si>
    <t>lcl|CP023715.1_prot_AVZ42048.1_674 [locus_tag=ZMO1_ZMO0777] [protein=MBL fold metallo-hydrolase] [protein_id=AVZ42048.1] [location=complement(772401..773084)] [gbkey=CDS]</t>
  </si>
  <si>
    <t>lcl|CP023715.1_prot_AVZ42049.1_675 [locus_tag=ZMO1_ZMO0778] [protein=inner membrane transporter of efflux system] [protein_id=AVZ42049.1] [location=773352..776603] [gbkey=CDS]</t>
  </si>
  <si>
    <t>lcl|CP023715.1_prot_AVZ42050.1_676 [locus_tag=ZMO1_ZMO0779] [protein=RND efflux pump membrane fusion protein] [protein_id=AVZ42050.1] [location=776596..777813] [gbkey=CDS]</t>
  </si>
  <si>
    <t>lcl|CP023715.1_prot_AVZ42051.1_677 [locus_tag=ZMO1_ZMO0780] [protein=AcrB-like multidrug efflux transporter] [protein_id=AVZ42051.1] [location=777803..779293] [gbkey=CDS]</t>
  </si>
  <si>
    <t>lcl|CP023715.1_prot_AVZ42052.1_678 [locus_tag=ZMO1_ZMO0781] [protein=LysR family transcriptional regulator] [protein_id=AVZ42052.1] [location=779482..780429] [gbkey=CDS]</t>
  </si>
  <si>
    <t>lcl|CP023715.1_prot_AVZ42053.1_679 [gene=gatB] [locus_tag=ZMO1_ZMO0782] [protein=glutamyl-tRNA(Gln) amidotransferase B subunit] [protein_id=AVZ42053.1] [location=complement(780505..782040)] [gbkey=CDS]</t>
  </si>
  <si>
    <t>lcl|CP023715.1_prot_AVZ42054.1_680 [gene=gatA] [locus_tag=ZMO1_ZMO0783] [protein=glutamyl-tRNA(Gln) amidotransferase A subunit] [protein_id=AVZ42054.1] [location=complement(781979..783457)] [gbkey=CDS]</t>
  </si>
  <si>
    <t>lcl|CP023715.1_prot_AVZ42055.1_681 [gene=gatC] [locus_tag=ZMO1_ZMO0784] [protein=glutamyl-tRNA(Gln) amidotransferase C subunit] [protein_id=AVZ42055.1] [location=complement(783457..783747)] [gbkey=CDS]</t>
  </si>
  <si>
    <t>lcl|CP023715.1_prot_AVZ42056.1_682 [locus_tag=ZMO1_ZMO0785] [protein=Holliday junction resolvase YqgF] [protein_id=AVZ42056.1] [location=783981..784520] [gbkey=CDS]</t>
  </si>
  <si>
    <t>lcl|CP023715.1_prot_AVZ42057.1_683 [locus_tag=ZMO1_ZMO0786] [protein=uncharacterized protein] [protein_id=AVZ42057.1] [location=784724..785284] [gbkey=CDS]</t>
  </si>
  <si>
    <t>lcl|CP023715.1_prot_AVZ42058.1_684 [locus_tag=ZMO1_ZMO0787] [protein=glucose-methanol-choline oxidoreductase] [protein_id=AVZ42058.1] [location=785342..786928] [gbkey=CDS]</t>
  </si>
  <si>
    <t>lcl|CP023715.1_prot_AVZ42059.1_685 [gene=cccA1] [locus_tag=ZMO1_ZMO0788] [protein=CccA and cytochrom C domain-containing protein] [protein_id=AVZ42059.1] [location=786941..788455] [gbkey=CDS]</t>
  </si>
  <si>
    <t>lcl|CP023715.1_prot_AVZ42060.1_686 [locus_tag=ZMO1_ZMO0789] [protein=TonB-dependent receptor] [protein_id=AVZ42060.1] [location=788773..791298] [gbkey=CDS]</t>
  </si>
  <si>
    <t>ZMO0789</t>
  </si>
  <si>
    <t>lcl|CP023715.1_prot_AVZ42061.1_688 [gene=pyrB] [locus_tag=ZMO1_ZMO0791] [protein=aspartate carbamoyltransferase] [protein_id=AVZ42061.1] [location=792109..793068] [gbkey=CDS]</t>
  </si>
  <si>
    <t>lcl|CP023715.1_prot_AVZ42062.1_689 [gene=pyrC1] [locus_tag=ZMO1_ZMO0792] [protein=dihydroorotase] [protein_id=AVZ42062.1] [location=793065..794291] [gbkey=CDS]</t>
  </si>
  <si>
    <t>lcl|CP023715.1_prot_AVZ42063.1_690 [locus_tag=ZMO1_ZMO0793] [protein=uncharacterized protein] [protein_id=AVZ42063.1] [location=794433..795023] [gbkey=CDS]</t>
  </si>
  <si>
    <t>lcl|CP023715.1_prot_AVZ42064.1_691 [locus_tag=ZMO1_ZMO0794] [protein=prolyl oligopeptidase] [protein_id=AVZ42064.1] [location=complement(795070..797172)] [gbkey=CDS]</t>
  </si>
  <si>
    <t>lcl|CP023715.1_prot_AVZ42065.1_692 [locus_tag=ZMO1_ZMO0795] [protein=TonB-dependent receptor plug domain] [protein_id=AVZ42065.1] [location=complement(797231..799468)] [gbkey=CDS]</t>
  </si>
  <si>
    <t>ZMO0795</t>
  </si>
  <si>
    <t>lcl|CP023715.1_prot_AVZ42067.1_694 [locus_tag=ZMO1_ZMO0797] [protein=short-chain dehydrogenase/reductase SDR] [protein_id=AVZ42067.1] [location=complement(799981..800766)] [gbkey=CDS]</t>
  </si>
  <si>
    <t>lcl|CP023715.1_prot_AVZ42068.1_695 [locus_tag=ZMO1_ZMO0798] [protein=NodT family RND efflux system outer membrane lipoprotein] [protein_id=AVZ42068.1] [location=complement(800994..802409)] [gbkey=CDS]</t>
  </si>
  <si>
    <t>lcl|CP023715.1_prot_AVZ42069.1_696 [locus_tag=ZMO1_ZMO0799] [protein=ABC-2 type transporter] [protein_id=AVZ42069.1] [location=complement(802409..803536)] [gbkey=CDS]</t>
  </si>
  <si>
    <t>ZMO0799</t>
  </si>
  <si>
    <t>lcl|CP023715.1_prot_AVZ42070.1_697 [locus_tag=ZMO1_ZMO0800] [protein=ABC transporter related protein] [protein_id=AVZ42070.1] [location=complement(803540..806308)] [gbkey=CDS]</t>
  </si>
  <si>
    <t>ZMO0800</t>
  </si>
  <si>
    <t>lcl|CP023715.1_prot_AVZ42071.1_698 [locus_tag=ZMO1_ZMO0801] [protein=secretion protein HlyD family protein] [protein_id=AVZ42071.1] [location=complement(806313..807359)] [gbkey=CDS]</t>
  </si>
  <si>
    <t>lcl|CP023715.1_prot_AVZ42072.1_700 [locus_tag=ZMO1_ZMO0803] [protein=sporulation domain protein] [protein_id=AVZ42072.1] [location=complement(807782..809416)] [gbkey=CDS]</t>
  </si>
  <si>
    <t>lcl|CP023715.1_prot_AVZ42073.1_701 [gene=argC] [locus_tag=ZMO1_ZMO0804] [protein=N-acetyl-gamma-glutamyl-phosphate reductase] [protein_id=AVZ42073.1] [location=complement(809549..810487)] [gbkey=CDS]</t>
  </si>
  <si>
    <t>lcl|CP023715.1_prot_AVZ42074.1_702 [locus_tag=ZMO1_ZMO0805] [protein=NLP/P60 protein] [protein_id=AVZ42074.1] [location=complement(810490..811392)] [gbkey=CDS]</t>
  </si>
  <si>
    <t>lcl|CP023715.1_prot_AVZ42075.1_703 [gene=pepA1] [locus_tag=ZMO1_ZMO0806] [protein=cytosol aminopeptidase] [protein_id=AVZ42075.1] [location=complement(811476..812870)] [gbkey=CDS]</t>
  </si>
  <si>
    <t>lcl|CP023715.1_prot_AVZ42076.1_704 [gene=rimO] [locus_tag=ZMO1_ZMO0807] [protein=ribosomal protein S12 methylthiotransferase RimO] [protein_id=AVZ42076.1] [location=complement(813014..814345)] [gbkey=CDS]</t>
  </si>
  <si>
    <t>lcl|CP023715.1_prot_AVZ42077.1_705 [locus_tag=ZMO1_ZMO0809] [protein=DUF167 domain-containing protein] [protein_id=AVZ42077.1] [location=complement(814590..814931)] [gbkey=CDS]</t>
  </si>
  <si>
    <t>lcl|CP023715.1_prot_AVZ42078.1_706 [gene=truA] [locus_tag=ZMO1_ZMO0810] [protein=tRNA pseudouridine(38-40) synthase TruA] [protein_id=AVZ42078.1] [location=complement(814946..815683)] [gbkey=CDS]</t>
  </si>
  <si>
    <t>lcl|CP023715.1_prot_AVZ42079.2_707 [gene=fmt] [locus_tag=ZMO1_ZMO0811] [protein=methionyl-tRNA formyltransferase] [protein_id=AVZ42079.2] [location=complement(815680..816606)] [gbkey=CDS]</t>
  </si>
  <si>
    <t>lcl|CP023715.1_prot_AVZ42080.1_708 [gene=recR] [locus_tag=ZMO1_ZMO0812] [protein=recombination protein RecR] [protein_id=AVZ42080.1] [location=816732..817328] [gbkey=CDS]</t>
  </si>
  <si>
    <t>ZMO0812</t>
  </si>
  <si>
    <t>lcl|CP023715.1_prot_AVZ42081.1_709 [gene=defA] [locus_tag=ZMO1_ZMO0813] [protein=peptide deformylase] [protein_id=AVZ42081.1] [location=817351..817884] [gbkey=CDS]</t>
  </si>
  <si>
    <t>lcl|CP023715.1_prot_AVZ42082.1_710 [gene=rmuC] [locus_tag=ZMO1_ZMO0814] [protein=DNA recombination protein RmuC] [protein_id=AVZ42082.1] [location=817969..819315] [gbkey=CDS]</t>
  </si>
  <si>
    <t>lcl|CP023715.1_prot_AVZ42084.1_713 [gene=queD] [locus_tag=ZMO1_ZMO0818] [protein=queuosine biosynthesis protein QueD] [protein_id=AVZ42084.1] [location=820258..820614] [gbkey=CDS]</t>
  </si>
  <si>
    <t>lcl|CP023715.1_prot_AVZ42085.1_714 [gene=ugd] [locus_tag=ZMO1_ZMO0819] [protein=UDP-glucose 6-dehydrogenase] [protein_id=AVZ42085.1] [location=820827..822140] [gbkey=CDS]</t>
  </si>
  <si>
    <t>lcl|CP023715.1_prot_AVZ42086.1_715 [gene=purL] [locus_tag=ZMO1_ZMO0820] [protein=phosphoribosylformylglycinamidine synthase subunit PurL] [protein_id=AVZ42086.1] [location=complement(822217..824421)] [gbkey=CDS]</t>
  </si>
  <si>
    <t>lcl|CP023715.1_prot_AVZ42087.1_716 [gene=cysZ] [locus_tag=ZMO1_ZMO0821] [protein=cysteine synthase A] [protein_id=AVZ42087.1] [location=824569..825582] [gbkey=CDS]</t>
  </si>
  <si>
    <t>lcl|CP023715.1_prot_AVZ42088.1_717 [locus_tag=ZMO1_ZMO0822] [protein=uncharacterized protein] [protein_id=AVZ42088.1] [location=825652..826014] [gbkey=CDS]</t>
  </si>
  <si>
    <t>ZMO0822</t>
  </si>
  <si>
    <t>lcl|CP023715.1_prot_AVZ42089.1_718 [gene=mraW] [locus_tag=ZMO1_ZMO0823] [protein=S-adenosyl-methyltransferase MraW] [protein_id=AVZ42089.1] [location=827224..828222] [gbkey=CDS]</t>
  </si>
  <si>
    <t>lcl|CP023715.1_prot_AVZ42090.1_719 [locus_tag=ZMO1_ZMO0824] [protein=uncharacterized protein] [protein_id=AVZ42090.1] [location=828219..828809] [gbkey=CDS]</t>
  </si>
  <si>
    <t>lcl|CP023715.1_prot_AVZ42091.1_720 [gene=pbp2] [locus_tag=ZMO1_ZMO0825] [protein=penicillin-binding protein PBP2] [protein_id=AVZ42091.1] [location=828806..830521] [gbkey=CDS]</t>
  </si>
  <si>
    <t>lcl|CP023715.1_prot_AVZ42092.1_721 [gene=murE] [locus_tag=ZMO1_ZMO0826] [protein=UDP-N-acetylmuramoyl-L-alanyl-D-glutamate-2,6-diaminopimelate ligase] [protein_id=AVZ42092.1] [location=830521..831981] [gbkey=CDS]</t>
  </si>
  <si>
    <t>lcl|CP023715.1_prot_AVZ42093.1_722 [gene=murF] [locus_tag=ZMO1_ZMO0827] [protein=UDP-N-acetylmuramoyl-tripeptide-D-alanyl-D-alanine ligase] [protein_id=AVZ42093.1] [location=831978..833369] [gbkey=CDS]</t>
  </si>
  <si>
    <t>lcl|CP023715.1_prot_AVZ42094.1_723 [gene=mraY] [locus_tag=ZMO1_ZMO0828] [protein=phospho-N-acetylmuramoyl-pentapeptide transferase] [protein_id=AVZ42094.1] [location=833357..834427] [gbkey=CDS]</t>
  </si>
  <si>
    <t>ZMO0828</t>
  </si>
  <si>
    <t>lcl|CP023715.1_prot_AVZ42095.1_724 [gene=murD] [locus_tag=ZMO1_ZMO0829] [protein=UDP-N-acetylmuramoyl-L-alanine-D-glutamate ligase] [protein_id=AVZ42095.1] [location=834424..835749] [gbkey=CDS]</t>
  </si>
  <si>
    <t>lcl|CP023715.1_prot_AVZ42096.1_725 [gene=ftsW] [locus_tag=ZMO1_ZMO0830] [protein=cell division protein FtsW] [protein_id=AVZ42096.1] [location=835749..836984] [gbkey=CDS]</t>
  </si>
  <si>
    <t>lcl|CP023715.1_prot_AVZ42097.1_726 [gene=murG] [locus_tag=ZMO1_ZMO0831] [protein=undecaprenyldiphospho-muramoylpentapeptide beta-N-acetylglucosaminyltransferase] [protein_id=AVZ42097.1] [location=836981..838144] [gbkey=CDS]</t>
  </si>
  <si>
    <t>lcl|CP023715.1_prot_AVZ42098.1_727 [gene=murC] [locus_tag=ZMO1_ZMO0832] [protein=UDP-N-acetylmuramate-L-alanine ligase] [protein_id=AVZ42098.1] [location=838141..839571] [gbkey=CDS]</t>
  </si>
  <si>
    <t>lcl|CP023715.1_prot_AVZ42099.1_728 [gene=murB] [locus_tag=ZMO1_ZMO0833] [protein=UDP-N-acetylenolpyruvoylglucosamine reductase] [protein_id=AVZ42099.1] [location=839568..840500] [gbkey=CDS]</t>
  </si>
  <si>
    <t>lcl|CP023715.1_prot_AVZ42100.1_729 [gene=ddl] [locus_tag=ZMO1_ZMO0834] [protein=D-alanine-D-alanine ligase] [protein_id=AVZ42100.1] [location=840497..841462] [gbkey=CDS]</t>
  </si>
  <si>
    <t>lcl|CP023715.1_prot_AVZ42101.1_730 [gene=ftsQ] [locus_tag=ZMO1_ZMO0835] [protein=cell division protein FtsQ] [protein_id=AVZ42101.1] [location=841455..842405] [gbkey=CDS]</t>
  </si>
  <si>
    <t>lcl|CP023715.1_prot_AVZ42102.2_731 [gene=ftsA] [locus_tag=ZMO1_ZMO0836] [protein=cell division protein FtsA] [protein_id=AVZ42102.2] [location=842402..843685] [gbkey=CDS]</t>
  </si>
  <si>
    <t>lcl|CP023715.1_prot_AVZ42103.1_732 [gene=ftsZ] [locus_tag=ZMO1_ZMO0837] [protein=cell division protein FtsZ] [protein_id=AVZ42103.1] [location=843902..845311] [gbkey=CDS]</t>
  </si>
  <si>
    <t>lcl|CP023715.1_prot_AVZ42104.1_733 [locus_tag=ZMO1_ZMO0840] [protein=sporulation domain-containing protein] [protein_id=AVZ42104.1] [location=845510..847456] [gbkey=CDS]</t>
  </si>
  <si>
    <t>lcl|CP023715.1_prot_AVZ42105.1_734 [gene=clcA] [locus_tag=ZMO1_ZMO0841] [protein=chloride channel core] [protein_id=AVZ42105.1] [location=847453..848730] [gbkey=CDS]</t>
  </si>
  <si>
    <t>ZMO0841</t>
  </si>
  <si>
    <t>lcl|CP023715.1_prot_AVZ42106.2_735 [gene=dgtP] [locus_tag=ZMO1_ZMO0842] [protein=deoxyguanosinetriphosphate triphosphohydrolase] [protein_id=AVZ42106.2] [location=848820..849998] [gbkey=CDS]</t>
  </si>
  <si>
    <t>lcl|CP023715.1_prot_AVZ42107.1_736 [gene=argS] [locus_tag=ZMO1_ZMO0843] [protein=arginine--tRNA ligase] [protein_id=AVZ42107.1] [location=850199..851923] [gbkey=CDS]</t>
  </si>
  <si>
    <t>lcl|CP023715.1_prot_AVZ42108.1_737 [locus_tag=ZMO1_ZMO0844] [protein=sporulation domain-containing protein] [protein_id=AVZ42108.1] [location=851927..853054] [gbkey=CDS]</t>
  </si>
  <si>
    <t>lcl|CP023715.1_prot_AVZ42109.1_738 [gene=alaS] [locus_tag=ZMO1_ZMO0845] [protein=alanine--tRNA ligase] [protein_id=AVZ42109.1] [location=853195..855867] [gbkey=CDS]</t>
  </si>
  <si>
    <t>lcl|CP023715.1_prot_AVZ42110.1_739 [gene=kefB] [locus_tag=ZMO1_ZMO0846] [protein=membrane component of Kef-type K+ transport system KefB] [protein_id=AVZ42110.1] [location=complement(855943..857721)] [gbkey=CDS]</t>
  </si>
  <si>
    <t>lcl|CP023715.1_prot_AVZ42111.1_740 [gene=oprB2] [locus_tag=ZMO1_ZMO0847] [protein=carbohydrate-selective porin OprB] [protein_id=AVZ42111.1] [location=858416..860302] [gbkey=CDS]</t>
  </si>
  <si>
    <t>lcl|CP023715.1_prot_AVZ42112.1_741 [locus_tag=ZMO1_ZMO0849] [protein=Alg9 family protein mannosyltransferase] [protein_id=AVZ42112.1] [location=complement(860589..862118)] [gbkey=CDS]</t>
  </si>
  <si>
    <t>ZMO0849</t>
  </si>
  <si>
    <t>lcl|CP023715.1_prot_AVZ42113.1_742 [gene=ntrC] [locus_tag=ZMO1_ZMO0850] [protein=Fis family sigma54-specific transcriptional regulator] [protein_id=AVZ42113.1] [location=862903..864021] [gbkey=CDS]</t>
  </si>
  <si>
    <t>lcl|CP023715.1_prot_AVZ42114.1_743 [gene=pdxH] [locus_tag=ZMO1_ZMO0851] [protein=pyridoxamine 5-phosphate oxidase] [protein_id=AVZ42114.1] [location=complement(864061..864639)] [gbkey=CDS]</t>
  </si>
  <si>
    <t>lcl|CP023715.1_prot_AVZ42115.1_744 [gene=queA] [locus_tag=ZMO1_ZMO0852] [protein=tRNA preQ1(34) S-adenosylmethionine ribosyltransferase-isomerase QueA] [protein_id=AVZ42115.1] [location=complement(864705..865733)] [gbkey=CDS]</t>
  </si>
  <si>
    <t>lcl|CP023715.1_prot_AVZ42116.1_745 [locus_tag=ZMO1_ZMO0853] [protein=peptidyl-prolyl cis-trans isomerase cyclophilin type] [protein_id=AVZ42116.1] [location=complement(865770..866603)] [gbkey=CDS]</t>
  </si>
  <si>
    <t>lcl|CP023715.1_prot_AVZ42117.1_746 [gene=coaD] [locus_tag=ZMO1_ZMO0854] [protein=pantetheine-phosphate adenylyltransferase] [protein_id=AVZ42117.1] [location=complement(866840..867376)] [gbkey=CDS]</t>
  </si>
  <si>
    <t>lcl|CP023715.1_prot_AVZ42118.1_747 [gene=ispA2] [locus_tag=ZMO1_ZMO0855] [protein=geranylgeranyl pyrophosphate synthase] [protein_id=AVZ42118.1] [location=complement(867460..868356)] [gbkey=CDS]</t>
  </si>
  <si>
    <t>lcl|CP023715.1_prot_AVZ42119.1_748 [gene=xseB] [locus_tag=ZMO1_ZMO0856] [protein=exodeoxyribonuclease VII small subunit] [protein_id=AVZ42119.1] [location=complement(868366..868611)] [gbkey=CDS]</t>
  </si>
  <si>
    <t>lcl|CP023715.1_prot_AVZ42120.1_749 [locus_tag=ZMO1_ZMO0857] [protein=DUF1013 domain-containing protein] [protein_id=AVZ42120.1] [location=complement(868688..869374)] [gbkey=CDS]</t>
  </si>
  <si>
    <t>lcl|CP023715.1_prot_AVZ42121.1_750 [locus_tag=ZMO1_ZMO0859] [protein=aminotransferase class V] [protein_id=AVZ42121.1] [location=869781..870896] [gbkey=CDS]</t>
  </si>
  <si>
    <t>lcl|CP023715.1_prot_AVZ42122.1_751 [locus_tag=ZMO1_ZMO0860] [protein=ferredoxin] [protein_id=AVZ42122.1] [location=870906..871220] [gbkey=CDS]</t>
  </si>
  <si>
    <t>ZMO0860</t>
  </si>
  <si>
    <t>lcl|CP023715.1_prot_AVZ42123.1_752 [gene=dnaZX] [locus_tag=ZMO1_ZMO0861] [protein=DNA polymerase III subunits gamma and tau] [protein_id=AVZ42123.1] [location=871577..873463] [gbkey=CDS]</t>
  </si>
  <si>
    <t>lcl|CP023715.1_prot_AVZ42124.1_753 [locus_tag=ZMO1_ZMO0862] [protein=YbaB/EbfC family DNA-binding protein] [protein_id=AVZ42124.1] [location=873622..873954] [gbkey=CDS]</t>
  </si>
  <si>
    <t>lcl|CP023715.1_prot_AVZ42125.1_754 [gene=dcd] [locus_tag=ZMO1_ZMO0863] [protein=deoxycytidine triphosphate deaminase] [protein_id=AVZ42125.1] [location=complement(874006..874560)] [gbkey=CDS]</t>
  </si>
  <si>
    <t>lcl|CP023715.1_prot_AVZ42126.1_755 [gene=cdd] [locus_tag=ZMO1_ZMO0864] [protein=cytidine deaminase] [protein_id=AVZ42126.1] [location=complement(874614..875099)] [gbkey=CDS]</t>
  </si>
  <si>
    <t>lcl|CP023715.1_prot_AVZ42127.1_756 [gene=dnaB] [locus_tag=ZMO1_ZMO0865] [protein=replicative DNA helicase] [protein_id=AVZ42127.1] [location=875195..876730] [gbkey=CDS]</t>
  </si>
  <si>
    <t>lcl|CP023715.1_prot_AVZ42128.1_757 [locus_tag=ZMO1_ZMO0866] [protein=cation diffusion facilitator family transporter] [protein_id=AVZ42128.1] [location=876846..877814] [gbkey=CDS]</t>
  </si>
  <si>
    <t>lcl|CP023715.1_prot_AVZ42129.1_758 [gene=hpnA] [locus_tag=ZMO1_ZMO0867] [protein=hopanoid-associated sugar epimerase HpnA] [protein_id=AVZ42129.1] [location=878093..879106] [gbkey=CDS]</t>
  </si>
  <si>
    <t>lcl|CP023715.1_prot_AVZ42130.1_759 [gene=hpnB] [locus_tag=ZMO1_ZMO0868] [protein=hopene-associated glycosyltransferase HpnB] [protein_id=AVZ42130.1] [location=879106..880245] [gbkey=CDS]</t>
  </si>
  <si>
    <t>lcl|CP023715.1_prot_AVZ42131.1_760 [gene=hpnC] [locus_tag=ZMO1_ZMO0869] [protein=squalene synthase HpnC] [protein_id=AVZ42131.1] [location=880209..881102] [gbkey=CDS]</t>
  </si>
  <si>
    <t>lcl|CP023715.1_prot_AVZ42132.1_761 [gene=hpnD] [locus_tag=ZMO1_ZMO0870] [protein=squalene synthase HpnD] [protein_id=AVZ42132.1] [location=881102..881977] [gbkey=CDS]</t>
  </si>
  <si>
    <t>lcl|CP023715.1_prot_AVZ42133.1_762 [gene=hpnE] [locus_tag=ZMO1_ZMO0871] [protein=squalene-associated FAD-dependent desaturase HpnE] [protein_id=AVZ42133.1] [location=881974..883218] [gbkey=CDS]</t>
  </si>
  <si>
    <t>lcl|CP023715.1_prot_AVZ42134.1_763 [gene=shc1] [locus_tag=ZMO1_ZMO0872] [protein=squalene-hopene cyclase] [protein_id=AVZ42134.1] [location=883233..885209] [gbkey=CDS]</t>
  </si>
  <si>
    <t>lcl|CP023715.1_prot_AVZ42135.1_764 [gene=hpnG] [locus_tag=ZMO1_ZMO0873] [protein=hopanoid-associated phosphorylase] [protein_id=AVZ42135.1] [location=885350..886027] [gbkey=CDS]</t>
  </si>
  <si>
    <t>lcl|CP023715.1_prot_AVZ42136.1_765 [gene=hpnH] [locus_tag=ZMO1_ZMO0874] [protein=hopanoid biosynthesis associated radical SAM protein HpnH] [protein_id=AVZ42136.1] [location=complement(885971..887116)] [gbkey=CDS]</t>
  </si>
  <si>
    <t>lcl|CP023715.1_prot_AVZ42137.1_766 [gene=ispH] [locus_tag=ZMO1_ZMO0875] [protein=4-hydroxy-3-methylbut-2-enyl diphosphate reductase] [protein_id=AVZ42137.1] [location=complement(887120..888142)] [gbkey=CDS]</t>
  </si>
  <si>
    <t>lcl|CP023715.1_prot_AVZ42138.1_767 [gene=hpnM] [locus_tag=ZMO1_ZMO0876] [protein=hopanoid biosynthesis associated membrane protein HpnM] [protein_id=AVZ42138.1] [location=888638..889228] [gbkey=CDS]</t>
  </si>
  <si>
    <t>lcl|CP023715.1_prot_AVZ42139.1_768 [locus_tag=ZMO1_ZMO0877] [protein=uncharacterized protein] [protein_id=AVZ42139.1] [location=complement(889298..889630)] [gbkey=CDS]</t>
  </si>
  <si>
    <t>ZMO0877</t>
  </si>
  <si>
    <t>lcl|CP023715.1_prot_AVZ42140.1_769 [gene=cheB2] [locus_tag=ZMO1_ZMO0878] [protein=response regulator receiver modulated CheB methylesterase] [protein_id=AVZ42140.1] [location=complement(889618..890643)] [gbkey=CDS]</t>
  </si>
  <si>
    <t>lcl|CP023715.1_prot_AVZ42141.1_770 [gene=cheA2] [locus_tag=ZMO1_ZMO0880] [protein=putative CheA signal transduction histidine kinase] [protein_id=AVZ42141.1] [location=complement(891000..892673)] [gbkey=CDS]</t>
  </si>
  <si>
    <t>lcl|CP023715.1_prot_AVZ42142.1_771 [gene=mcpA2] [locus_tag=ZMO1_ZMO0882] [protein=methyl-accepting chemotaxis sensory transducer] [protein_id=AVZ42142.1] [location=complement(892894..894297)] [gbkey=CDS]</t>
  </si>
  <si>
    <t>lcl|CP023715.1_prot_AVZ42143.1_772 [gene=rpsI] [locus_tag=ZMO1_ZMO0883] [protein=ribosomal protein S9] [protein_id=AVZ42143.1] [location=complement(894503..895051)] [gbkey=CDS]</t>
  </si>
  <si>
    <t>lcl|CP023715.1_prot_AVZ42144.1_773 [gene=rplM] [locus_tag=ZMO1_ZMO0884] [protein=ribosomal protein L13] [protein_id=AVZ42144.1] [location=complement(895051..895530)] [gbkey=CDS]</t>
  </si>
  <si>
    <t>lcl|CP023715.1_prot_AVZ42146.1_775 [locus_tag=ZMO1_ZMO0886] [protein=DUF192 domain-containing protein] [protein_id=AVZ42146.1] [location=complement(896306..896839)] [gbkey=CDS]</t>
  </si>
  <si>
    <t>lcl|CP023715.1_prot_AVZ42147.1_776 [locus_tag=ZMO1_ZMO0888] [protein=resolvase domain-containing protein] [protein_id=AVZ42147.1] [location=complement(897068..897622)] [gbkey=CDS]</t>
  </si>
  <si>
    <t>lcl|CP023715.1_prot_AVZ42148.1_777 [gene=mro] [locus_tag=ZMO1_ZMO0889] [protein=aldose 1-epimerase] [protein_id=AVZ42148.1] [location=complement(897847..899001)] [gbkey=CDS]</t>
  </si>
  <si>
    <t>lcl|CP023715.1_prot_AVZ42149.1_778 [gene=lysK] [locus_tag=ZMO1_ZMO0890] [protein=lysine--tRNA ligase] [protein_id=AVZ42149.1] [location=complement(899529..901106)] [gbkey=CDS]</t>
  </si>
  <si>
    <t>lcl|CP023715.1_prot_AVZ42150.1_779 [locus_tag=ZMO1_ZMO0892] [protein=helicase c2] [protein_id=AVZ42150.1] [location=901478..904198] [gbkey=CDS]</t>
  </si>
  <si>
    <t>ZMO0892</t>
  </si>
  <si>
    <t>lcl|CP023715.1_prot_AVZ42151.1_780 [locus_tag=ZMO1_ZMO0893] [protein=beta-lactamase] [protein_id=AVZ42151.1] [location=complement(904199..905245)] [gbkey=CDS]</t>
  </si>
  <si>
    <t>lcl|CP023715.1_prot_AVZ42152.1_781 [locus_tag=ZMO1_ZMO0894] [protein=NERD (the nuclease-related domain) domain-containing protein] [protein_id=AVZ42152.1] [location=complement(905281..906195)] [gbkey=CDS]</t>
  </si>
  <si>
    <t>lcl|CP023715.1_prot_AVZ42154.1_783 [locus_tag=ZMO1_ZMO0896] [protein=uncharacterized protein] [protein_id=AVZ42154.1] [location=907230..908048] [gbkey=CDS]</t>
  </si>
  <si>
    <t>lcl|CP023715.1_prot_AVZ42155.1_784 [locus_tag=ZMO1_ZMO0899] [protein=NAD+ synthetase] [protein_id=AVZ42155.1] [location=908275..909951] [gbkey=CDS]</t>
  </si>
  <si>
    <t>lcl|CP023715.1_prot_AVZ42156.1_785 [gene=gltX1] [locus_tag=ZMO1_ZMO0900] [protein=glutamyl-tRNA synthetase] [protein_id=AVZ42156.1] [location=909964..911298] [gbkey=CDS]</t>
  </si>
  <si>
    <t>lcl|CP023715.1_prot_AVZ42158.1_787 [locus_tag=ZMO1_ZMO0902] [protein=TonB-dependent receptor] [protein_id=AVZ42158.1] [location=complement(911589..913841)] [gbkey=CDS]</t>
  </si>
  <si>
    <t>lcl|CP023715.1_prot_AVZ42159.1_788 [gene=leuA] [locus_tag=ZMO1_ZMO0903] [protein=2-isopropylmalate synthase] [protein_id=AVZ42159.1] [location=complement(914035..915735)] [gbkey=CDS]</t>
  </si>
  <si>
    <t>lcl|CP023715.1_prot_AVZ42160.1_789 [gene=bga] [locus_tag=ZMO1_ZMO0904] [protein=beta-galactosidase] [protein_id=AVZ42160.1] [location=complement(916055..919156)] [gbkey=CDS]</t>
  </si>
  <si>
    <t>lcl|CP023715.1_prot_AVZ42161.1_790 [gene=mdoD] [locus_tag=ZMO1_ZMO0905] [protein=glucan biosynthesis protein MdoD] [protein_id=AVZ42161.1] [location=919451..921022] [gbkey=CDS]</t>
  </si>
  <si>
    <t>lcl|CP023715.1_prot_AVZ42162.1_791 [gene=mdoH] [locus_tag=ZMO1_ZMO0907] [protein=glucan biosynthesis glucosyltransferase MdoH] [protein_id=AVZ42162.1] [location=921139..923097] [gbkey=CDS]</t>
  </si>
  <si>
    <t>lcl|CP023715.1_prot_AVZ42163.1_792 [locus_tag=ZMO1_ZMO0908] [protein=putative capsule polysaccharide export protein] [protein_id=AVZ42163.1] [location=complement(923550..924716)] [gbkey=CDS]</t>
  </si>
  <si>
    <t>lcl|CP023715.1_prot_AVZ42164.1_793 [locus_tag=ZMO1_ZMO0909] [protein=putative UDP-glucose-glycogen glucosyltransferase] [protein_id=AVZ42164.1] [location=complement(924764..926002)] [gbkey=CDS]</t>
  </si>
  <si>
    <t>lcl|CP023715.1_prot_AVZ42165.1_794 [locus_tag=ZMO1_ZMO0910] [protein=ATPase component of polysaccharide export system] [protein_id=AVZ42165.1] [location=complement(926019..926678)] [gbkey=CDS]</t>
  </si>
  <si>
    <t>lcl|CP023715.1_prot_AVZ42166.1_795 [locus_tag=ZMO1_ZMO0911] [protein=polysaccharide export system periplasmic protein] [protein_id=AVZ42166.1] [location=926958..928223] [gbkey=CDS]</t>
  </si>
  <si>
    <t>lcl|CP023715.1_prot_AVZ42167.1_796 [locus_tag=ZMO1_ZMO0912] [protein=DUF885 domain-containing protein] [protein_id=AVZ42167.1] [location=928414..930288] [gbkey=CDS]</t>
  </si>
  <si>
    <t>lcl|CP023715.1_prot_AVZ42168.1_797 [gene=ilvE] [locus_tag=ZMO1_ZMO0913] [protein=branched-chain amino acid aminotransferase] [protein_id=AVZ42168.1] [location=complement(930337..931437)] [gbkey=CDS]</t>
  </si>
  <si>
    <t>lcl|CP023715.1_prot_AVZ42169.1_798 [gene=folD] [locus_tag=ZMO1_ZMO0914] [protein=bifunctional methylenetetrahydrofolate dehydrogenase/methenyltetrahydrofolate cyclohydrolase] [protein_id=AVZ42169.1] [location=complement(931487..932380)] [gbkey=CDS]</t>
  </si>
  <si>
    <t>lcl|CP023715.1_prot_AVZ42170.1_799 [gene=copA] [locus_tag=ZMO1_ZMO0915] [protein=copper-translocating P-type ATPase] [protein_id=AVZ42170.1] [location=932607..934829] [gbkey=CDS]</t>
  </si>
  <si>
    <t>lcl|CP023715.1_prot_AVZ42171.1_800 [locus_tag=ZMO1_ZMO0916] [protein=heavy metal transport/detoxification protein] [protein_id=AVZ42171.1] [location=934826..935035] [gbkey=CDS]</t>
  </si>
  <si>
    <t>lcl|CP023715.1_prot_AVZ42172.1_801 [locus_tag=ZMO1_ZMO0917] [protein=2-nitropropane dioxygenase NPD] [protein_id=AVZ42172.1] [location=935634..937040] [gbkey=CDS]</t>
  </si>
  <si>
    <t>lcl|CP023715.1_prot_AVZ42173.1_802 [gene=katE] [locus_tag=ZMO1_ZMO0918] [protein=catalase] [protein_id=AVZ42173.1] [location=937204..938649] [gbkey=CDS]</t>
  </si>
  <si>
    <t>lcl|CP023715.1_prot_AVZ42174.1_803 [locus_tag=ZMO1_ZMO0919] [protein=diguanylate cyclase with beta propeller sensor] [protein_id=AVZ42174.1] [location=938806..941832] [gbkey=CDS]</t>
  </si>
  <si>
    <t>lcl|CP023715.1_prot_AVZ42175.1_804 [locus_tag=ZMO1_ZMO0920] [protein=uncharacterized protein] [protein_id=AVZ42175.1] [location=complement(941851..942240)] [gbkey=CDS]</t>
  </si>
  <si>
    <t>lcl|CP023715.1_prot_AVZ42176.1_805 [locus_tag=ZMO1_ZMO0921] [protein=uncharacterized protein] [protein_id=AVZ42176.1] [location=942389..943516] [gbkey=CDS]</t>
  </si>
  <si>
    <t>lcl|CP023715.1_prot_AVZ42177.1_806 [locus_tag=ZMO1_ZMO0922] [protein=helix-turn-helix domain-containing protein] [protein_id=AVZ42177.1] [location=943565..944011] [gbkey=CDS]</t>
  </si>
  <si>
    <t>ZMO0922</t>
  </si>
  <si>
    <t>lcl|CP023715.1_prot_AVZ42178.1_807 [gene=argJ] [locus_tag=ZMO1_ZMO0923] [protein=arginine biosynthesis bifunctional protein ArgJ] [protein_id=AVZ42178.1] [location=complement(944051..945280)] [gbkey=CDS]</t>
  </si>
  <si>
    <t>lcl|CP023715.1_prot_AVZ42179.1_808 [gene=secA] [locus_tag=ZMO1_ZMO0924] [protein=preprotein translocase SecA subunit] [protein_id=AVZ42179.1] [location=945633..948410] [gbkey=CDS]</t>
  </si>
  <si>
    <t>lcl|CP023715.1_prot_AVZ42180.1_809 [locus_tag=ZMO1_ZMO0925] [protein=cold-shock DNA-binding domain protein] [protein_id=AVZ42180.1] [location=948589..949158] [gbkey=CDS]</t>
  </si>
  <si>
    <t>lcl|CP023715.1_prot_AVZ42181.1_810 [gene=mlaD] [locus_tag=ZMO1_ZMO0926] [protein=outer membrane lipid asymmetry maintenance protein MlaD] [protein_id=AVZ42181.1] [location=949303..949812] [gbkey=CDS]</t>
  </si>
  <si>
    <t>lcl|CP023715.1_prot_AVZ42183.1_812 [gene=aat] [locus_tag=ZMO1_ZMO0927] [protein=leucyl/phenylalanyl-tRNA--protein transferase] [protein_id=AVZ42183.1] [location=complement(950315..951121)] [gbkey=CDS]</t>
  </si>
  <si>
    <t>ZMO0927</t>
  </si>
  <si>
    <t>lcl|CP023715.1_prot_AVZ42184.1_813 [locus_tag=ZMO1_ZMO0928] [protein=peptidase S58 DmpA] [protein_id=AVZ42184.1] [location=951274..952284] [gbkey=CDS]</t>
  </si>
  <si>
    <t>lcl|CP023715.1_prot_AVZ42186.1_815 [locus_tag=ZMO1_ZMO0930] [protein=hypothetical protein] [protein_id=AVZ42186.1] [location=complement(952421..952849)] [gbkey=CDS]</t>
  </si>
  <si>
    <t>lcl|CP023715.1_prot_AVZ42190.1_819 [gene=gstA] [locus_tag=ZMO1_ZMO0935] [protein=glutathione S-transferase domain protein] [protein_id=AVZ42190.1] [location=complement(954342..954974)] [gbkey=CDS]</t>
  </si>
  <si>
    <t>lcl|CP023715.1_prot_AVZ42192.1_821 [locus_tag=ZMO1_ZMO0937] [protein=aromatic-amino-acid transaminase] [protein_id=AVZ42192.1] [location=complement(956188..957411)] [gbkey=CDS]</t>
  </si>
  <si>
    <t>lcl|CP023715.1_prot_AVZ42193.1_822 [gene=phoD] [locus_tag=ZMO1_ZMO0938] [protein=alkaline phosphatase PhoD] [protein_id=AVZ42193.1] [location=957728..959458] [gbkey=CDS]</t>
  </si>
  <si>
    <t>lcl|CP023715.1_prot_AVZ42194.1_823 [locus_tag=ZMO1_ZMO0939] [protein=guanine deaminase] [protein_id=AVZ42194.1] [location=complement(959462..960763)] [gbkey=CDS]</t>
  </si>
  <si>
    <t>lcl|CP023715.1_prot_AVZ42195.1_824 [locus_tag=ZMO1_ZMO0940] [protein=MarR family transcriptional regulator] [protein_id=AVZ42195.1] [location=complement(960776..961276)] [gbkey=CDS]</t>
  </si>
  <si>
    <t>lcl|CP023715.1_prot_AVZ42196.1_825 [locus_tag=ZMO1_ZMO0941] [protein=NAD-dependent epimerase/dehydratase] [protein_id=AVZ42196.1] [location=complement(961390..962391)] [gbkey=CDS]</t>
  </si>
  <si>
    <t>ZMO0941</t>
  </si>
  <si>
    <t>lcl|CP023715.1_prot_AVZ42197.1_826 [gene=scrB] [locus_tag=ZMO1_ZMO0942] [protein=sucrose-6-phosphate hydrolase] [protein_id=AVZ42197.1] [location=complement(962594..964132)] [gbkey=CDS]</t>
  </si>
  <si>
    <t>lcl|CP023715.1_prot_AVZ42198.1_827 [locus_tag=ZMO1_ZMO0945] [protein=galactose mutarotase-like structural superfamily protein] [protein_id=AVZ42198.1] [location=complement(964471..965358)] [gbkey=CDS]</t>
  </si>
  <si>
    <t>lcl|CP023715.1_prot_AVZ42199.1_828 [gene=tig] [locus_tag=ZMO1_ZMO0946] [protein=trigger factor] [protein_id=AVZ42199.1] [location=965699..967177] [gbkey=CDS]</t>
  </si>
  <si>
    <t>lcl|CP023715.1_prot_AVZ42200.1_829 [locus_tag=ZMO1_ZMO0947] [protein=glycosyl transferase family 2] [protein_id=AVZ42200.1] [location=967195..968160] [gbkey=CDS]</t>
  </si>
  <si>
    <t>lcl|CP023715.1_prot_AVZ42201.1_830 [gene=clpP] [locus_tag=ZMO1_ZMO0948] [protein=ATP-dependent Clp protease proteolytic subunit ClpP] [protein_id=AVZ42201.1] [location=968239..968871] [gbkey=CDS]</t>
  </si>
  <si>
    <t>lcl|CP023715.1_prot_AVZ42202.1_831 [gene=clpX] [locus_tag=ZMO1_ZMO0949] [protein=ATP-dependent Clp protease ATP-binding subunit ClpX] [protein_id=AVZ42202.1] [location=969021..970289] [gbkey=CDS]</t>
  </si>
  <si>
    <t>lcl|CP023715.1_prot_AVZ42203.1_832 [locus_tag=ZMO1_ZMO0950] [protein=GCN5-related N-acetyltransferase] [protein_id=AVZ42203.1] [location=complement(970346..970957)] [gbkey=CDS]</t>
  </si>
  <si>
    <t>ZMO0950</t>
  </si>
  <si>
    <t>lcl|CP023715.1_prot_AVZ42204.1_833 [gene=hemF] [locus_tag=ZMO1_ZMO0951] [protein=coproporphyrinogen oxidase] [protein_id=AVZ42204.1] [location=complement(970961..971818)] [gbkey=CDS]</t>
  </si>
  <si>
    <t>lcl|CP023715.1_prot_AVZ42205.1_834 [locus_tag=ZMO1_ZMO0952] [protein=SpoU type tRNA/rRNA methyltransferase] [protein_id=AVZ42205.1] [location=complement(971805..972263)] [gbkey=CDS]</t>
  </si>
  <si>
    <t>lcl|CP023715.1_prot_AVZ42206.1_835 [locus_tag=ZMO1_ZMO0956] [protein=ubiquinol-cytochrome c reductase iron-sulfur subunit] [protein_id=AVZ42206.1] [location=974471..975067] [gbkey=CDS]</t>
  </si>
  <si>
    <t>lcl|CP023715.1_prot_AVZ42207.1_836 [gene=cytB] [locus_tag=ZMO1_ZMO0957] [protein=cytochrome b] [protein_id=AVZ42207.1] [location=975075..976331] [gbkey=CDS]</t>
  </si>
  <si>
    <t>ZMO0957</t>
  </si>
  <si>
    <t>lcl|CP023715.1_prot_AVZ42208.1_837 [gene=petC] [locus_tag=ZMO1_ZMO0958] [protein=cytochrome c1] [protein_id=AVZ42208.1] [location=976333..977172] [gbkey=CDS]</t>
  </si>
  <si>
    <t>lcl|CP023715.1_prot_AVZ42209.1_838 [locus_tag=ZMO1_ZMO0959] [protein=peptidoglycan transglycosylase] [protein_id=AVZ42209.1] [location=complement(977102..977848)] [gbkey=CDS]</t>
  </si>
  <si>
    <t>ZMO0959</t>
  </si>
  <si>
    <t>lcl|CP023715.1_prot_AVZ42210.1_839 [gene=cccA2] [locus_tag=ZMO1_ZMO0961] [protein=class I cytochrome c] [protein_id=AVZ42210.1] [location=977985..978479] [gbkey=CDS]</t>
  </si>
  <si>
    <t>lcl|CP023715.1_prot_AVZ42211.1_840 [gene=nagA] [locus_tag=ZMO1_ZMO0962] [protein=N-acetylglucosamine-6-phosphate deacetylase] [protein_id=AVZ42211.1] [location=complement(978487..979632)] [gbkey=CDS]</t>
  </si>
  <si>
    <t>lcl|CP023715.1_prot_AVZ42212.1_841 [locus_tag=ZMO1_ZMO0963] [protein=TetR family transcriptional regulator] [protein_id=AVZ42212.1] [location=complement(979708..980337)] [gbkey=CDS]</t>
  </si>
  <si>
    <t>lcl|CP023715.1_prot_AVZ42213.1_842 [locus_tag=ZMO1_ZMO0964] [protein=NodT family RND efflux system outer membrane lipoprotein] [protein_id=AVZ42213.1] [location=980430..981863] [gbkey=CDS]</t>
  </si>
  <si>
    <t>lcl|CP023715.1_prot_AVZ42214.1_843 [locus_tag=ZMO1_ZMO0965] [protein=efflux pump membrane protein] [protein_id=AVZ42214.1] [location=981885..983090] [gbkey=CDS]</t>
  </si>
  <si>
    <t>lcl|CP023715.1_prot_AVZ42215.1_844 [gene=emrB] [locus_tag=ZMO1_ZMO0966] [protein=EmrB/QacA subfamily drug resistance transporter] [protein_id=AVZ42215.1] [location=983068..984669] [gbkey=CDS]</t>
  </si>
  <si>
    <t>ZMO0966</t>
  </si>
  <si>
    <t>lcl|CP023715.1_prot_AVZ42216.1_845 [locus_tag=ZMO1_ZMO0967] [protein=NupC-like Na+ dependent nucleoside transporter] [protein_id=AVZ42216.1] [location=984763..985959] [gbkey=CDS]</t>
  </si>
  <si>
    <t>ZMO0967</t>
  </si>
  <si>
    <t>lcl|CP023715.1_prot_AVZ42218.1_847 [locus_tag=ZMO1_ZMO0969] [protein=xanthine/uracil/vitamin C permease] [protein_id=AVZ42218.1] [location=986174..987499] [gbkey=CDS]</t>
  </si>
  <si>
    <t>ZMO0969</t>
  </si>
  <si>
    <t>lcl|CP023715.1_prot_AVZ42219.1_848 [locus_tag=ZMO1_ZMO0970] [protein=purine nucleoside permease] [protein_id=AVZ42219.1] [location=987504..988625] [gbkey=CDS]</t>
  </si>
  <si>
    <t>lcl|CP023715.1_prot_AVZ42220.1_849 [gene=add2] [locus_tag=ZMO1_ZMO0971] [protein=adenosine deaminase] [protein_id=AVZ42220.1] [location=988662..989675] [gbkey=CDS]</t>
  </si>
  <si>
    <t>lcl|CP023715.1_prot_AVZ42221.1_850 [locus_tag=ZMO1_ZMO0972] [protein=hopanoid biosynthesis associated glycosyl transferase protein HpnI] [protein_id=AVZ42221.1] [location=989764..990918] [gbkey=CDS]</t>
  </si>
  <si>
    <t>lcl|CP023715.1_prot_AVZ42222.1_851 [locus_tag=ZMO1_ZMO0973] [protein=hopanoid biosynthesis associated radical SAM protein HpnJ] [protein_id=AVZ42222.1] [location=990933..992363] [gbkey=CDS]</t>
  </si>
  <si>
    <t>lcl|CP023715.1_prot_AVZ42223.1_852 [locus_tag=ZMO1_ZMO0974] [protein=hopanoid biosynthesis associated protein HpnK] [protein_id=AVZ42223.1] [location=992379..993224] [gbkey=CDS]</t>
  </si>
  <si>
    <t>lcl|CP023715.1_prot_AVZ42224.1_853 [locus_tag=ZMO1_ZMO0975] [protein=putative membrane spanning protein] [protein_id=AVZ42224.1] [location=993426..994415] [gbkey=CDS]</t>
  </si>
  <si>
    <t>ZMO0975</t>
  </si>
  <si>
    <t>lcl|CP023715.1_prot_AVZ42225.1_854 [gene=xyrA] [locus_tag=ZMO1_ZMO0976] [protein=xylose reductase] [protein_id=AVZ42225.1] [location=complement(994609..995631)] [gbkey=CDS]</t>
  </si>
  <si>
    <t>lcl|CP023715.1_prot_AVZ42226.1_855 [locus_tag=ZMO1_ZMO0978] [protein=periplasmic binding protein] [protein_id=AVZ42226.1] [location=complement(995772..996677)] [gbkey=CDS]</t>
  </si>
  <si>
    <t>ZMO0978</t>
  </si>
  <si>
    <t>lcl|CP023715.1_prot_AVZ42227.1_856 [locus_tag=ZMO1_ZMO0979] [protein=TonB-dependent receptor] [protein_id=AVZ42227.1] [location=997006..999117] [gbkey=CDS]</t>
  </si>
  <si>
    <t>lcl|CP023715.1_prot_AVZ42228.1_857 [gene=dnaN] [locus_tag=ZMO1_ZMO0980] [protein=DNA polymerase III beta subunit] [protein_id=AVZ42228.1] [location=complement(999184..1000293)] [gbkey=CDS]</t>
  </si>
  <si>
    <t>lcl|CP023715.1_prot_AVZ42229.1_858 [locus_tag=ZMO1_ZMO0981] [protein=ABC transporter ATP-binding protein] [protein_id=AVZ42229.1] [location=complement(1000398..1001990)] [gbkey=CDS]</t>
  </si>
  <si>
    <t>lcl|CP023715.1_prot_AVZ42231.1_860 [locus_tag=ZMO1_ZMO0983] [protein=type 1 ABC transporter solute-binding subunit] [protein_id=AVZ42231.1] [location=complement(1002802..1005273)] [gbkey=CDS]</t>
  </si>
  <si>
    <t>ZMO0983</t>
  </si>
  <si>
    <t>lcl|CP023715.1_prot_AVZ42232.1_861 [gene=nlpD] [locus_tag=ZMO1_ZMO0984] [protein=lipoprotein NlpD] [protein_id=AVZ42232.1] [location=complement(1005404..1006279)] [gbkey=CDS]</t>
  </si>
  <si>
    <t>lcl|CP023715.1_prot_AVZ42233.1_862 [gene=surE] [locus_tag=ZMO1_ZMO0985] [protein=5-nucleotidase SurE] [protein_id=AVZ42233.1] [location=complement(1006276..1007043)] [gbkey=CDS]</t>
  </si>
  <si>
    <t>lcl|CP023715.1_prot_AVZ42234.1_863 [gene=serS] [locus_tag=ZMO1_ZMO0986] [protein=seryl-tRNA synthetase] [protein_id=AVZ42234.1] [location=complement(1007043..1008320)] [gbkey=CDS]</t>
  </si>
  <si>
    <t>lcl|CP023715.1_prot_AVZ42235.1_864 [locus_tag=ZMO1_ZMO0987] [protein=TraR/DksA family transcriptional regulator] [protein_id=AVZ42235.1] [location=1008617..1009102] [gbkey=CDS]</t>
  </si>
  <si>
    <t>lcl|CP023715.1_prot_AVZ42238.1_867 [gene=ibpA] [locus_tag=ZMO1_ZMO0989] [protein=heat-shock protein IbpA] [protein_id=AVZ42238.1] [location=complement(1009803..1010291)] [gbkey=CDS]</t>
  </si>
  <si>
    <t>lcl|CP023715.1_prot_AVZ42239.1_868 [locus_tag=ZMO1_ZMO0992] [protein=peptidase S10 serine carboxypeptidase] [protein_id=AVZ42239.1] [location=complement(1010700..1012295)] [gbkey=CDS]</t>
  </si>
  <si>
    <t>lcl|CP023715.1_prot_AVZ42240.1_869 [locus_tag=ZMO1_ZMO0994] [protein=uncharacterized protein] [protein_id=AVZ42240.1] [location=complement(1012670..1013188)] [gbkey=CDS]</t>
  </si>
  <si>
    <t>lcl|CP023715.1_prot_AVZ42241.1_870 [gene=mscS1] [locus_tag=ZMO1_ZMO0996] [protein=mechanosensitive ion channel MscS] [protein_id=AVZ42241.1] [location=1013482..1014624] [gbkey=CDS]</t>
  </si>
  <si>
    <t>ZMO0996</t>
  </si>
  <si>
    <t>lcl|CP023715.1_prot_AVZ42242.1_871 [gene=eda] [locus_tag=ZMO1_ZMO0997] [protein=2-dehydro-3-deoxyphosphogluconate aldolase/4-hydroxy-2-oxoglutarate aldolase] [protein_id=AVZ42242.1] [location=1014626..1015252] [gbkey=CDS]</t>
  </si>
  <si>
    <t>lcl|CP023715.1_prot_AVZ42243.1_872 [gene=msrA] [locus_tag=ZMO1_ZMO0998] [protein=peptide methionine sulfoxide reductase] [protein_id=AVZ42243.1] [location=1015591..1016133] [gbkey=CDS]</t>
  </si>
  <si>
    <t>ZMO0998</t>
  </si>
  <si>
    <t>lcl|CP023715.1_prot_AVZ42244.1_873 [locus_tag=ZMO1_ZMO0999] [protein=L-threonylcarbamoyladenylate synthase] [protein_id=AVZ42244.1] [location=complement(1016162..1017151)] [gbkey=CDS]</t>
  </si>
  <si>
    <t>lcl|CP023715.1_prot_AVZ42245.1_874 [gene=metE] [locus_tag=ZMO1_ZMO1000] [protein=5- methyltetrahydropteroyltriglutamate--homocysteine S-methyltransferase] [protein_id=AVZ42245.1] [location=1017581..1019860] [gbkey=CDS]</t>
  </si>
  <si>
    <t>lcl|CP023715.1_prot_AVZ42247.1_876 [gene=glmM] [locus_tag=ZMO1_ZMO1002] [protein=phosphoglucosamine mutase] [protein_id=AVZ42247.1] [location=1021679..1023016] [gbkey=CDS]</t>
  </si>
  <si>
    <t>lcl|CP023715.1_prot_AVZ42248.1_877 [gene=thiD] [locus_tag=ZMO1_ZMO1003] [protein=bifunctional hydroxymethylpyrimidine/phosphomethylpyrimidine kinase] [protein_id=AVZ42248.1] [location=1023006..1023857] [gbkey=CDS]</t>
  </si>
  <si>
    <t>lcl|CP023715.1_prot_AVZ42249.1_878 [gene=rnhB] [locus_tag=ZMO1_ZMO1004] [protein=ribonuclease H] [protein_id=AVZ42249.1] [location=1023857..1024504] [gbkey=CDS]</t>
  </si>
  <si>
    <t>lcl|CP023715.1_prot_AVZ42250.1_879 [locus_tag=ZMO1_ZMO1005] [protein=site-specific DNA-methyltransferase] [protein_id=AVZ42250.1] [location=1024674..1025822] [gbkey=CDS]</t>
  </si>
  <si>
    <t>lcl|CP023715.1_prot_AVZ42251.1_880 [gene=folP] [locus_tag=ZMO1_ZMO1006] [protein=dihydropteroate synthase] [protein_id=AVZ42251.1] [location=1025822..1026928] [gbkey=CDS]</t>
  </si>
  <si>
    <t>lcl|CP023715.1_prot_AVZ42252.1_881 [locus_tag=ZMO1_ZMO1007] [protein=UPF0187 domain-containing protein] [protein_id=AVZ42252.1] [location=1027050..1027913] [gbkey=CDS]</t>
  </si>
  <si>
    <t>lcl|CP023715.1_prot_AVZ42253.1_882 [gene=glcD] [locus_tag=ZMO1_ZMO1008] [protein=glycolate oxidase subunit GlcD] [protein_id=AVZ42253.1] [location=1028039..1029484] [gbkey=CDS]</t>
  </si>
  <si>
    <t>lcl|CP023715.1_prot_AVZ42254.1_883 [locus_tag=ZMO1_ZMO1009] [protein=SapC family protein] [protein_id=AVZ42254.1] [location=1029623..1030411] [gbkey=CDS]</t>
  </si>
  <si>
    <t>lcl|CP023715.1_prot_AVZ42255.1_884 [locus_tag=ZMO1_ZMO1010] [protein=DUF4186 domain-containing protein] [protein_id=AVZ42255.1] [location=1030446..1030967] [gbkey=CDS]</t>
  </si>
  <si>
    <t>ZMO1010</t>
  </si>
  <si>
    <t>lcl|CP023715.1_prot_AVZ42257.1_886 [locus_tag=ZMO1_ZMO1012] [protein=uncharacterized protein] [protein_id=AVZ42257.1] [location=complement(1031396..1032409)] [gbkey=CDS]</t>
  </si>
  <si>
    <t>lcl|CP023715.1_prot_AVZ42258.1_887 [locus_tag=ZMO1_ZMO1013] [protein=septum formation inhibitor Maf] [protein_id=AVZ42258.1] [location=complement(1032410..1033018)] [gbkey=CDS]</t>
  </si>
  <si>
    <t>lcl|CP023715.1_prot_AVZ42259.1_888 [gene=infA] [locus_tag=ZMO1_ZMO1014] [protein=translation initiation factor IF-1] [protein_id=AVZ42259.1] [location=complement(1033024..1033242)] [gbkey=CDS]</t>
  </si>
  <si>
    <t>lcl|CP023715.1_prot_AVZ42260.1_889 [locus_tag=ZMO1_ZMO1015] [protein=DUF330 domain-containing protein] [protein_id=AVZ42260.1] [location=complement(1033460..1034086)] [gbkey=CDS]</t>
  </si>
  <si>
    <t>lcl|CP023715.1_prot_AVZ42261.1_890 [locus_tag=ZMO1_ZMO1016] [protein=MCE family protein] [protein_id=AVZ42261.1] [location=complement(1034092..1035039)] [gbkey=CDS]</t>
  </si>
  <si>
    <t>lcl|CP023715.1_prot_AVZ42262.1_891 [locus_tag=ZMO1_ZMO1017] [protein=iron ABC transporter ATP-binding protein] [protein_id=AVZ42262.1] [location=complement(1035050..1035841)] [gbkey=CDS]</t>
  </si>
  <si>
    <t>lcl|CP023715.1_prot_AVZ42263.1_892 [locus_tag=ZMO1_ZMO1018] [protein=DUF140 domain-containing protein] [protein_id=AVZ42263.1] [location=complement(1035838..1036938)] [gbkey=CDS]</t>
  </si>
  <si>
    <t>lcl|CP023715.1_prot_AVZ42264.1_893 [gene=dys] [locus_tag=ZMO1_ZMO1019] [protein=deoxyhypusine synthase] [protein_id=AVZ42264.1] [location=complement(1037121..1038173)] [gbkey=CDS]</t>
  </si>
  <si>
    <t>lcl|CP023715.1_prot_AVZ42265.1_894 [gene=lysA1] [locus_tag=ZMO1_ZMO1020] [protein=diaminopimelate decarboxylase LysA] [protein_id=AVZ42265.1] [location=complement(1038255..1039436)] [gbkey=CDS]</t>
  </si>
  <si>
    <t>lcl|CP023715.1_prot_AVZ42266.1_895 [locus_tag=ZMO1_ZMO1021] [protein=alpha/beta fold family hydrolase-like protein] [protein_id=AVZ42266.1] [location=complement(1039756..1040409)] [gbkey=CDS]</t>
  </si>
  <si>
    <t>lcl|CP023715.1_prot_AVZ42267.1_896 [gene=nifS1] [locus_tag=ZMO1_ZMO1022] [protein=cysteine desulfurase NifS/SufS] [protein_id=AVZ42267.1] [location=1040542..1041588] [gbkey=CDS]</t>
  </si>
  <si>
    <t>lcl|CP023715.1_prot_AVZ42268.1_897 [locus_tag=ZMO1_ZMO1023] [protein=putative 7-cyano-7-deazaguanine synthase QueC] [protein_id=AVZ42268.1] [location=1041640..1042404] [gbkey=CDS]</t>
  </si>
  <si>
    <t>lcl|CP023715.1_prot_AVZ42269.1_898 [gene=nrdD] [locus_tag=ZMO1_ZMO1025] [protein=anaerobic ribonucleoside-triphosphate reductase] [protein_id=AVZ42269.1] [location=1042753..1044771] [gbkey=CDS]</t>
  </si>
  <si>
    <t>lcl|CP023715.1_prot_AVZ42270.1_899 [locus_tag=ZMO1_ZMO1026] [protein=uncharacterized protein] [protein_id=AVZ42270.1] [location=1044808..1044996] [gbkey=CDS]</t>
  </si>
  <si>
    <t>lcl|CP023715.1_prot_AVZ42271.1_900 [gene=pflA1] [locus_tag=ZMO1_ZMO1027] [protein=pyruvate-formate lyase-activating enzyme RflA] [protein_id=AVZ42271.1] [location=1044983..1045585] [gbkey=CDS]</t>
  </si>
  <si>
    <t>lcl|CP023715.1_prot_AVZ42272.1_901 [locus_tag=ZMO1_ZMO1029] [protein=ABC transporter related protein] [protein_id=AVZ42272.1] [location=1045666..1046583] [gbkey=CDS]</t>
  </si>
  <si>
    <t>lcl|CP023715.1_prot_AVZ42274.1_903 [gene=rlmN] [locus_tag=ZMO1_ZMO1032] [protein=dual-specificity RNA methyltransferase RlmN] [protein_id=AVZ42274.1] [location=1047552..1048727] [gbkey=CDS]</t>
  </si>
  <si>
    <t>lcl|CP023715.1_prot_AVZ42275.1_904 [gene=cfa] [locus_tag=ZMO1_ZMO1033] [protein=cyclopropane fatty-acyl-phospholipid synthase Cfa] [protein_id=AVZ42275.1] [location=1048783..1050030] [gbkey=CDS]</t>
  </si>
  <si>
    <t>lcl|CP023715.1_prot_AVZ42276.1_905 [locus_tag=ZMO1_ZMO1034] [protein=calcium-binding EF-hand-containing protein] [protein_id=AVZ42276.1] [location=complement(1050151..1050765)] [gbkey=CDS]</t>
  </si>
  <si>
    <t>lcl|CP023715.1_prot_AVZ42277.1_906 [gene=argG] [locus_tag=ZMO1_ZMO1036] [protein=argininosuccinate synthase ArgG] [protein_id=AVZ42277.1] [location=1051025..1052251] [gbkey=CDS]</t>
  </si>
  <si>
    <t>lcl|CP023715.1_prot_AVZ42278.1_907 [gene=nrdA] [locus_tag=ZMO1_ZMO1039] [protein=ribonucleoside-diphosphate reductase alpha subunit] [protein_id=AVZ42278.1] [location=complement(1052767..1054608)] [gbkey=CDS]</t>
  </si>
  <si>
    <t>lcl|CP023715.1_prot_AVZ42279.1_908 [locus_tag=ZMO1_ZMO1040] [protein=TonB-dependent receptor] [protein_id=AVZ42279.1] [location=1055356..1058568] [gbkey=CDS]</t>
  </si>
  <si>
    <t>lcl|CP023715.1_prot_AVZ42280.1_909 [locus_tag=ZMO1_ZMO1041] [protein=NUDIX-like hydrolase] [protein_id=AVZ42280.1] [location=complement(1058809..1059363)] [gbkey=CDS]</t>
  </si>
  <si>
    <t>lcl|CP023715.1_prot_AVZ42281.1_910 [locus_tag=ZMO1_ZMO1042] [protein=DUF477 domain-containing protein] [protein_id=AVZ42281.1] [location=complement(1059451..1060503)] [gbkey=CDS]</t>
  </si>
  <si>
    <t>lcl|CP023715.1_prot_AVZ42282.1_911 [locus_tag=ZMO1_ZMO1043] [protein=LemA family protein] [protein_id=AVZ42282.1] [location=complement(1060511..1061137)] [gbkey=CDS]</t>
  </si>
  <si>
    <t>lcl|CP023715.1_prot_AVZ42283.1_912 [locus_tag=ZMO1_ZMO1044] [protein=large conductance mechanosensitive channel protein] [protein_id=AVZ42283.1] [location=1061369..1061833] [gbkey=CDS]</t>
  </si>
  <si>
    <t>lcl|CP023715.1_prot_AVZ42285.1_915 [gene=pstS] [locus_tag=ZMO1_ZMO1047] [protein=phosphate ABC transporter substrate-binding protein PstS] [protein_id=AVZ42285.1] [location=1063771..1064811] [gbkey=CDS]</t>
  </si>
  <si>
    <t>lcl|CP023715.1_prot_AVZ42286.1_916 [gene=pstC] [locus_tag=ZMO1_ZMO1048] [protein=phosphate ABC transporter inner membrane subunit PstC] [protein_id=AVZ42286.1] [location=1064906..1065865] [gbkey=CDS]</t>
  </si>
  <si>
    <t>lcl|CP023715.1_prot_AVZ42287.1_917 [gene=pstA] [locus_tag=ZMO1_ZMO1049] [protein=phosphate ABC transporter inner membrane subunit PstA] [protein_id=AVZ42287.1] [location=1065874..1066710] [gbkey=CDS]</t>
  </si>
  <si>
    <t>lcl|CP023715.1_prot_AVZ42288.1_918 [gene=pstB] [locus_tag=ZMO1_ZMO1050] [protein=phosphate ABC transporter ATPase subunit] [protein_id=AVZ42288.1] [location=1066710..1067582] [gbkey=CDS]</t>
  </si>
  <si>
    <t>lcl|CP023715.1_prot_AVZ42289.1_919 [gene=purC] [locus_tag=ZMO1_ZMO1052] [protein=phosphoribosylaminoimidazole-succinocarboxamide synthase] [protein_id=AVZ42289.1] [location=1067917..1068696] [gbkey=CDS]</t>
  </si>
  <si>
    <t>lcl|CP023715.1_prot_AVZ42290.1_920 [gene=parC] [locus_tag=ZMO1_ZMO1054] [protein=DNA topoisomerase IV A subunit] [protein_id=AVZ42290.1] [location=1069100..1071346] [gbkey=CDS]</t>
  </si>
  <si>
    <t>lcl|CP023715.1_prot_AVZ42291.1_921 [locus_tag=ZMO1_ZMO1055] [protein=bifunctional diguanylate cyclase (GGDEF)/phosphodiesterase] [protein_id=AVZ42291.1] [location=1071595..1073334] [gbkey=CDS]</t>
  </si>
  <si>
    <t>lcl|CP023715.1_prot_AVZ42292.1_922 [gene=cca] [locus_tag=ZMO1_ZMO1056] [protein=polynucleotide adenylyltransferase] [protein_id=AVZ42292.1] [location=complement(1073331..1074551)] [gbkey=CDS]</t>
  </si>
  <si>
    <t>lcl|CP023715.1_prot_AVZ42293.1_923 [locus_tag=ZMO1_ZMO1057] [protein=GCN5-related N-acetyltransferase] [protein_id=AVZ42293.1] [location=complement(1074556..1075089)] [gbkey=CDS]</t>
  </si>
  <si>
    <t>lcl|CP023715.1_prot_AVZ42294.1_924 [locus_tag=ZMO1_ZMO1059] [protein=dihydroneopterin aldolase] [protein_id=AVZ42294.1] [location=1075486..1075908] [gbkey=CDS]</t>
  </si>
  <si>
    <t>lcl|CP023715.1_prot_AVZ42295.1_925 [gene=sod] [locus_tag=ZMO1_ZMO1060] [protein=superoxide dismutase] [protein_id=AVZ42295.1] [location=complement(1075971..1076597)] [gbkey=CDS]</t>
  </si>
  <si>
    <t>lcl|CP023715.1_prot_AVZ42296.1_926 [gene=pspF] [locus_tag=ZMO1_ZMO1061] [protein=Fis family sigma54-specific transcriptional acivator] [protein_id=AVZ42296.1] [location=complement(1076812..1077888)] [gbkey=CDS]</t>
  </si>
  <si>
    <t>lcl|CP023715.1_prot_AVZ42298.1_928 [gene=pspA] [locus_tag=ZMO1_ZMO1063] [protein=phage shock protein A PspA] [protein_id=AVZ42298.1] [location=1078585..1079253] [gbkey=CDS]</t>
  </si>
  <si>
    <t>lcl|CP023715.1_prot_AVZ42299.1_929 [gene=pspB] [locus_tag=ZMO1_ZMO1064] [protein=phage shock protein B PspB] [protein_id=AVZ42299.1] [location=1079253..1079525] [gbkey=CDS]</t>
  </si>
  <si>
    <t>lcl|CP023715.1_prot_AVZ42300.1_930 [gene=pspC] [locus_tag=ZMO1_ZMO1065] [protein=phage shock protein C PspC] [protein_id=AVZ42300.1] [location=1079543..1079926] [gbkey=CDS]</t>
  </si>
  <si>
    <t>lcl|CP023715.1_prot_AVZ42302.1_931 [gene=sufE] [locus_tag=ZMO1_ZMO1067] [protein=sulfur acceptor protein] [protein_id=AVZ42302.1] [location=1080348..1080788] [gbkey=CDS]</t>
  </si>
  <si>
    <t>lcl|CP023715.1_prot_AVZ42303.1_932 [locus_tag=ZMO1_ZMO1068] [protein=uncharacterized protein] [protein_id=AVZ42303.1] [location=1080785..1081219] [gbkey=CDS]</t>
  </si>
  <si>
    <t>lcl|CP023715.1_prot_AVZ42304.1_933 [locus_tag=ZMO1_ZMO1069] [protein=heat shock protein DnaJ domain protein] [protein_id=AVZ42304.1] [location=complement(1081262..1081786)] [gbkey=CDS]</t>
  </si>
  <si>
    <t>lcl|CP023715.1_prot_AVZ42305.1_934 [gene=ftsY] [locus_tag=ZMO1_ZMO1070] [protein=signal recognition particle-docking protein FtsY] [protein_id=AVZ42305.1] [location=complement(1082360..1083292)] [gbkey=CDS]</t>
  </si>
  <si>
    <t>lcl|CP023715.1_prot_AVZ42306.1_935 [locus_tag=ZMO1_ZMO1071] [protein=MiaB-like tRNA modifying enzyme] [protein_id=AVZ42306.1] [location=complement(1083289..1084548)] [gbkey=CDS]</t>
  </si>
  <si>
    <t>lcl|CP023715.1_prot_AVZ42307.1_936 [gene=dapF] [locus_tag=ZMO1_ZMO1072] [protein=diaminopimelate epimerase] [protein_id=AVZ42307.1] [location=complement(1084545..1085354)] [gbkey=CDS]</t>
  </si>
  <si>
    <t>lcl|CP023715.1_prot_AVZ42308.1_937 [gene=ffh] [locus_tag=ZMO1_ZMO1075] [protein=signal recognition particle protein] [protein_id=AVZ42308.1] [location=1085716..1087140] [gbkey=CDS]</t>
  </si>
  <si>
    <t>lcl|CP023715.1_prot_AVZ42309.1_938 [gene=rpsP] [locus_tag=ZMO1_ZMO1076] [protein=ribosomal protein S16] [protein_id=AVZ42309.1] [location=1087171..1087602] [gbkey=CDS]</t>
  </si>
  <si>
    <t>lcl|CP023715.1_prot_AVZ42310.1_939 [gene=rimM] [locus_tag=ZMO1_ZMO1077] [protein=16S rRNA processing protein RimM] [protein_id=AVZ42310.1] [location=1087606..1088097] [gbkey=CDS]</t>
  </si>
  <si>
    <t>lcl|CP023715.1_prot_AVZ42311.1_940 [gene=trmD] [locus_tag=ZMO1_ZMO1078] [protein=tRNA (guanosine(37)-N1)-methyltransferase TrmD] [protein_id=AVZ42311.1] [location=1088094..1088843] [gbkey=CDS]</t>
  </si>
  <si>
    <t>lcl|CP023715.1_prot_AVZ42312.1_941 [gene=rplS] [locus_tag=ZMO1_ZMO1079] [protein=ribosomal protein L19] [protein_id=AVZ42312.1] [location=1088840..1089214] [gbkey=CDS]</t>
  </si>
  <si>
    <t>lcl|CP023715.1_prot_AVZ42313.1_942 [locus_tag=ZMO1_ZMO1080] [protein=uncharacterized protein] [protein_id=AVZ42313.1] [location=1089357..1089542] [gbkey=CDS]</t>
  </si>
  <si>
    <t>ZMO1080</t>
  </si>
  <si>
    <t>lcl|CP023715.1_prot_AVZ42314.1_943 [locus_tag=ZMO1_ZMO1081] [protein=uncharacterized protein] [protein_id=AVZ42314.1] [location=1089595..1090215] [gbkey=CDS]</t>
  </si>
  <si>
    <t>lcl|CP023715.1_prot_AVZ42317.1_944 [gene=bscB] [locus_tag=ZMO1_ZMO1084] [protein=cellulose synthase subunit B BscB] [protein_id=AVZ42317.1] [location=1092380..1094695] [gbkey=CDS]</t>
  </si>
  <si>
    <t>lcl|CP023715.1_prot_AVZ42318.1_945 [gene=bcsC] [locus_tag=ZMO1_ZMO1085] [protein=cellulose synthase operon C domain protein] [protein_id=AVZ42318.1] [location=1094692..1098702] [gbkey=CDS]</t>
  </si>
  <si>
    <t>lcl|CP023715.1_prot_AVZ42319.1_946 [gene=celA] [locus_tag=ZMO1_ZMO1086] [protein=endo-1,4-beta-D-glucanase (Cellulase)] [protein_id=AVZ42319.1] [location=1098858..1099877] [gbkey=CDS]</t>
  </si>
  <si>
    <t>lcl|CP023715.1_prot_AVZ42320.1_947 [gene=mltA] [locus_tag=ZMO1_ZMO1087] [protein=membrane-bound lytic murein transglycosylase A] [protein_id=AVZ42320.1] [location=1099956..1101041] [gbkey=CDS]</t>
  </si>
  <si>
    <t>lcl|CP023715.1_prot_AVZ42321.1_948 [gene=rlpA] [locus_tag=ZMO1_ZMO1088] [protein=rare lipoprotein A RlpA] [protein_id=AVZ42321.1] [location=1101025..1101498] [gbkey=CDS]</t>
  </si>
  <si>
    <t>lcl|CP023715.1_prot_AVZ42322.1_949 [gene=dacC] [locus_tag=ZMO1_ZMO1089] [protein=D-alanyl-D-alanine carboxypeptidase DacC] [protein_id=AVZ42322.1] [location=1101550..1102752] [gbkey=CDS]</t>
  </si>
  <si>
    <t>lcl|CP023715.1_prot_AVZ42323.1_950 [gene=tmk] [locus_tag=ZMO1_ZMO1090] [protein=dTMP kinase] [protein_id=AVZ42323.1] [location=1102731..1103381] [gbkey=CDS]</t>
  </si>
  <si>
    <t>lcl|CP023715.1_prot_AVZ42324.1_951 [gene=holB] [locus_tag=ZMO1_ZMO1091] [protein=DNA polymerase III subunit delta] [protein_id=AVZ42324.1] [location=1103381..1104373] [gbkey=CDS]</t>
  </si>
  <si>
    <t>lcl|CP023715.1_prot_AVZ42325.1_952 [gene=metG] [locus_tag=ZMO1_ZMO1092] [protein=methionine--tRNA ligase] [protein_id=AVZ42325.1] [location=1104391..1105956] [gbkey=CDS]</t>
  </si>
  <si>
    <t>lcl|CP023715.1_prot_AVZ42326.1_953 [locus_tag=ZMO1_ZMO1093] [protein=TatD family deoxyribonuclease] [protein_id=AVZ42326.1] [location=1105956..1106732] [gbkey=CDS]</t>
  </si>
  <si>
    <t>lcl|CP023715.1_prot_AVZ42327.1_954 [locus_tag=ZMO1_ZMO1094] [protein=metallo-beta-lactamase-like protein] [protein_id=AVZ42327.1] [location=1106729..1107493] [gbkey=CDS]</t>
  </si>
  <si>
    <t>lcl|CP023715.1_prot_AVZ42328.1_955 [gene=mazG] [locus_tag=ZMO1_ZMO1095] [protein=nucleoside triphosphate pyrophosphohydrolase MazG] [protein_id=AVZ42328.1] [location=1107845..1108666] [gbkey=CDS]</t>
  </si>
  <si>
    <t>lcl|CP023715.1_prot_AVZ42329.1_956 [gene=rnr] [locus_tag=ZMO1_ZMO1096] [protein=ribonuclease R] [protein_id=AVZ42329.1] [location=complement(1109107..1111395)] [gbkey=CDS]</t>
  </si>
  <si>
    <t>lcl|CP023715.1_prot_AVZ42330.1_957 [locus_tag=ZMO1_ZMO1097] [protein=thioredoxin-domain containing protein] [protein_id=AVZ42330.1] [location=complement(1111497..1111817)] [gbkey=CDS]</t>
  </si>
  <si>
    <t>lcl|CP023715.1_prot_AVZ42331.1_958 [gene=addA] [locus_tag=ZMO1_ZMO1098] [protein=double-strand break repair helicase AddA] [protein_id=AVZ42331.1] [location=complement(1111902..1115390)] [gbkey=CDS]</t>
  </si>
  <si>
    <t>lcl|CP023715.1_prot_AVZ42332.1_959 [gene=addB] [locus_tag=ZMO1_ZMO1099] [protein=double-strand break repair protein AddB] [protein_id=AVZ42332.1] [location=complement(1115400..1118381)] [gbkey=CDS]</t>
  </si>
  <si>
    <t>lcl|CP023715.1_prot_AVZ42333.1_960 [locus_tag=ZMO1_ZMO1100] [protein=nucleotidyl transferase] [protein_id=AVZ42333.1] [location=complement(1118390..1119151)] [gbkey=CDS]</t>
  </si>
  <si>
    <t>lcl|CP023715.1_prot_AVZ42334.1_961 [locus_tag=ZMO1_ZMO1101] [protein=TsaE (Threonylcarbamoyl adenosine biosynthesis protein) domain-containing protein] [protein_id=AVZ42334.1] [location=complement(1119227..1119751)] [gbkey=CDS]</t>
  </si>
  <si>
    <t>lcl|CP023715.1_prot_AVZ42335.1_962 [locus_tag=ZMO1_ZMO1102] [protein=histidine kinase] [protein_id=AVZ42335.1] [location=complement(1119735..1122122)] [gbkey=CDS]</t>
  </si>
  <si>
    <t>lcl|CP023715.1_prot_AVZ42336.1_963 [locus_tag=ZMO1_ZMO1105] [protein=histidine kinase] [protein_id=AVZ42336.1] [location=complement(1122419..1124683)] [gbkey=CDS]</t>
  </si>
  <si>
    <t>lcl|CP023715.1_prot_AVZ42337.1_964 [locus_tag=ZMO1_ZMO1107] [protein=transcriptional regulator AsnC family] [protein_id=AVZ42337.1] [location=1124980..1125462] [gbkey=CDS]</t>
  </si>
  <si>
    <t>lcl|CP023715.1_prot_AVZ42338.1_965 [locus_tag=ZMO1_ZMO1109] [protein=tetratricopeptide-like helical domain-containing protein] [protein_id=AVZ42338.1] [location=complement(1125696..1126991)] [gbkey=CDS]</t>
  </si>
  <si>
    <t>lcl|CP023715.1_prot_AVZ42340.1_967 [gene=ispZ] [locus_tag=ZMO1_ZMO1112] [protein=septation protein IspZ] [protein_id=AVZ42340.1] [location=complement(1128607..1129209)] [gbkey=CDS]</t>
  </si>
  <si>
    <t>ZMO1112</t>
  </si>
  <si>
    <t>lcl|CP023715.1_prot_AVZ42341.1_968 [gene=ndh] [locus_tag=ZMO1_ZMO1113] [protein=FAD-dependent pyridine nucleotide-disulfide oxidoreductase] [protein_id=AVZ42341.1] [location=1129474..1130799] [gbkey=CDS]</t>
  </si>
  <si>
    <t>lcl|CP023715.1_prot_AVZ42342.1_969 [gene=ung1] [locus_tag=ZMO1_ZMO1114] [protein=uracil-DNA glycosylase] [protein_id=AVZ42342.1] [location=1130930..1131550] [gbkey=CDS]</t>
  </si>
  <si>
    <t>ZMO1114</t>
  </si>
  <si>
    <t>lcl|CP023715.1_prot_AVZ42344.1_971 [gene=gltD] [locus_tag=ZMO1_ZMO1116] [protein=glutamate synthase small subunit] [protein_id=AVZ42344.1] [location=1132933..1134405] [gbkey=CDS]</t>
  </si>
  <si>
    <t>lcl|CP023715.1_prot_AVZ42345.1_972 [gene=gltB] [locus_tag=ZMO1_ZMO1117] [protein=glutamate synthase large subunit] [protein_id=AVZ42345.1] [location=1134507..1139102] [gbkey=CDS]</t>
  </si>
  <si>
    <t>lcl|CP023715.1_prot_AVZ42346.1_973 [locus_tag=ZMO1_ZMO1118] [protein=glutathione S-transferase] [protein_id=AVZ42346.1] [location=1139182..1139853] [gbkey=CDS]</t>
  </si>
  <si>
    <t>lcl|CP023715.1_prot_AVZ42347.1_974 [locus_tag=ZMO1_ZMO1121] [protein=MerR family transcriptional regulator] [protein_id=AVZ42347.1] [location=complement(1140103..1140579)] [gbkey=CDS]</t>
  </si>
  <si>
    <t>lcl|CP023715.1_prot_AVZ42348.1_975 [gene=himA] [locus_tag=ZMO1_ZMO1122] [protein=integration host factor alpha subunit] [protein_id=AVZ42348.1] [location=complement(1140581..1140922)] [gbkey=CDS]</t>
  </si>
  <si>
    <t>lcl|CP023715.1_prot_AVZ42349.1_976 [locus_tag=ZMO1_ZMO1124] [protein=sigma-54-dependent Fis family transcriptional regulator] [protein_id=AVZ42349.1] [location=complement(1141735..1143162)] [gbkey=CDS]</t>
  </si>
  <si>
    <t>lcl|CP023715.1_prot_AVZ42350.1_977 [gene=ntrY] [locus_tag=ZMO1_ZMO1125] [protein=histidine kinase] [protein_id=AVZ42350.1] [location=complement(1143162..1145468)] [gbkey=CDS]</t>
  </si>
  <si>
    <t>lcl|CP023715.1_prot_AVZ42351.1_978 [gene=ntrX] [locus_tag=ZMO1_ZMO1126] [protein=Fis family transcriptional regulator] [protein_id=AVZ42351.1] [location=complement(1145599..1145913)] [gbkey=CDS]</t>
  </si>
  <si>
    <t>ZMO1126</t>
  </si>
  <si>
    <t>lcl|CP023715.1_prot_AVZ42352.1_979 [gene=nifR3] [locus_tag=ZMO1_ZMO1127] [protein=putative tRNA dihydrouridine synthase] [protein_id=AVZ42352.1] [location=complement(1145926..1146951)] [gbkey=CDS]</t>
  </si>
  <si>
    <t>lcl|CP023715.1_prot_AVZ42353.2_980 [gene=ispDF] [locus_tag=ZMO1_ZMO1128] [protein=bifunctional 2-C-methyl-D-erythritol 4-phosphate cytidylyltransferase/2-C-methyl-D-erythritol 2,4-cyclodiphosphate synthase] [protein_id=AVZ42353.2] [location=1147103..114826</t>
  </si>
  <si>
    <t>lcl|CP023715.1_prot_AVZ42354.1_981 [locus_tag=ZMO1_ZMO1129] [protein=uncharacterized protein] [protein_id=AVZ42354.1] [location=1148257..1148814] [gbkey=CDS]</t>
  </si>
  <si>
    <t>lcl|CP023715.1_prot_AVZ42355.1_982 [locus_tag=ZMO1_ZMO1130] [protein=CinA domain-containing protein] [protein_id=AVZ42355.1] [location=1148819..1149505] [gbkey=CDS]</t>
  </si>
  <si>
    <t>lcl|CP023715.1_prot_AVZ42356.1_983 [locus_tag=ZMO1_ZMO1131] [protein=putative coenzyme Q-binding protein] [protein_id=AVZ42356.1] [location=complement(1149692..1150135)] [gbkey=CDS]</t>
  </si>
  <si>
    <t>lcl|CP023715.1_prot_AVZ42357.1_984 [gene=lipA] [locus_tag=ZMO1_ZMO1132] [protein=lipoic acid synthetase] [protein_id=AVZ42357.1] [location=complement(1150135..1151106)] [gbkey=CDS]</t>
  </si>
  <si>
    <t>lcl|CP023715.1_prot_AVZ42358.1_985 [locus_tag=ZMO1_ZMO1133] [protein=carbonate dehydratase] [protein_id=AVZ42358.1] [location=1151207..1151836] [gbkey=CDS]</t>
  </si>
  <si>
    <t>lcl|CP023715.1_prot_AVZ42360.1_987 [locus_tag=ZMO1_ZMO1135] [protein=peptidase U62 modulator of DNA gyrase] [protein_id=AVZ42360.1] [location=complement(1152803..1154149)] [gbkey=CDS]</t>
  </si>
  <si>
    <t>lcl|CP023715.1_prot_AVZ42361.1_988 [gene=mauG] [locus_tag=ZMO1_ZMO1136] [protein=MauG-like cytochrome-c peroxidase] [protein_id=AVZ42361.1] [location=complement(1154274..1155719)] [gbkey=CDS]</t>
  </si>
  <si>
    <t>lcl|CP023715.1_prot_AVZ42362.1_989 [gene=serB] [locus_tag=ZMO1_ZMO1137] [protein=phosphoserine phosphatase SerB] [protein_id=AVZ42362.1] [location=complement(1156143..1157024)] [gbkey=CDS]</t>
  </si>
  <si>
    <t>lcl|CP023715.1_prot_AVZ42363.2_990 [gene=miaA] [locus_tag=ZMO1_ZMO1138] [protein=tRNA (adenosine(37)-N6)-dimethylallyltransferase MiaA] [protein_id=AVZ42363.2] [location=1157017..1157955] [gbkey=CDS]</t>
  </si>
  <si>
    <t>lcl|CP023715.1_prot_AVZ42364.1_991 [gene=ilvI] [locus_tag=ZMO1_ZMO1139] [protein=acetolactate synthase large subunit] [protein_id=AVZ42364.1] [location=1158109..1159896] [gbkey=CDS]</t>
  </si>
  <si>
    <t>lcl|CP023715.1_prot_AVZ42365.1_992 [gene=ilvH] [locus_tag=ZMO1_ZMO1140] [protein=acetolactate synthase small subunit] [protein_id=AVZ42365.1] [location=1159918..1160430] [gbkey=CDS]</t>
  </si>
  <si>
    <t>lcl|CP023715.1_prot_AVZ42366.1_993 [gene=ilvC] [locus_tag=ZMO1_ZMO1141] [protein=ketol-acid reductoisomerase] [protein_id=AVZ42366.1] [location=1160476..1161495] [gbkey=CDS]</t>
  </si>
  <si>
    <t>lcl|CP023715.1_prot_AVZ42367.1_994 [gene=trxB] [locus_tag=ZMO1_ZMO1142] [protein=thioredoxin reductase] [protein_id=AVZ42367.1] [location=complement(1162209..1163165)] [gbkey=CDS]</t>
  </si>
  <si>
    <t>lcl|CP023715.1_prot_AVZ42368.1_995 [locus_tag=ZMO1_ZMO1143] [protein=chloramphenicol acetyltransferase] [protein_id=AVZ42368.1] [location=complement(1163477..1164130)] [gbkey=CDS]</t>
  </si>
  <si>
    <t>lcl|CP023715.1_prot_AVZ42370.1_997 [gene=rpmE] [locus_tag=ZMO1_ZMO1145] [protein=ribosomal protein L31] [protein_id=AVZ42370.1] [location=complement(1164619..1164846)] [gbkey=CDS]</t>
  </si>
  <si>
    <t>lcl|CP023715.1_prot_AVZ42371.1_998 [gene=fabZ] [locus_tag=ZMO1_ZMO1146] [protein=beta-hydroxyacyl-(acyl-carrier-protein) dehydratase FabZ] [protein_id=AVZ42371.1] [location=complement(1164975..1165451)] [gbkey=CDS]</t>
  </si>
  <si>
    <t>lcl|CP023715.1_prot_AVZ42372.1_999 [locus_tag=ZMO1_ZMO1147] [protein=chaperone protein Skp (OmpH)] [protein_id=AVZ42372.1] [location=complement(1165458..1166129)] [gbkey=CDS]</t>
  </si>
  <si>
    <t>lcl|CP023715.1_prot_AVZ42373.1_1000 [locus_tag=ZMO1_ZMO1148] [protein=YaeT-like component of outer membrane protein assembly complex] [protein_id=AVZ42373.1] [location=complement(1166129..1169356)] [gbkey=CDS]</t>
  </si>
  <si>
    <t>lcl|CP023715.1_prot_AVZ42374.1_1001 [locus_tag=ZMO1_ZMO1149] [protein=membrane-associated Zn-dependent metalloprotease] [protein_id=AVZ42374.1] [location=complement(1169485..1170615)] [gbkey=CDS]</t>
  </si>
  <si>
    <t>lcl|CP023715.1_prot_AVZ42375.1_1002 [gene=dxr] [locus_tag=ZMO1_ZMO1150] [protein=1-deoxy-D-xylulose 5-phosphate reductoisomerase] [protein_id=AVZ42375.1] [location=complement(1170612..1171778)] [gbkey=CDS]</t>
  </si>
  <si>
    <t>lcl|CP023715.1_prot_AVZ42376.1_1003 [gene=cdsA] [locus_tag=ZMO1_ZMO1151] [protein=phosphatidate cytidylyltransferase] [protein_id=AVZ42376.1] [location=complement(1171778..1172407)] [gbkey=CDS]</t>
  </si>
  <si>
    <t>ZMO1151</t>
  </si>
  <si>
    <t>lcl|CP023715.1_prot_AVZ42377.1_1004 [gene=uppS] [locus_tag=ZMO1_ZMO1152] [protein=undecaprenyl pyrophosphate synthase UppS] [protein_id=AVZ42377.1] [location=complement(1172404..1173150)] [gbkey=CDS]</t>
  </si>
  <si>
    <t>lcl|CP023715.1_prot_AVZ42378.1_1005 [gene=frr] [locus_tag=ZMO1_ZMO1153] [protein=ribosome recycling factor] [protein_id=AVZ42378.1] [location=complement(1173147..1173704)] [gbkey=CDS]</t>
  </si>
  <si>
    <t>lcl|CP023715.1_prot_AVZ42379.1_1006 [gene=pyrH] [locus_tag=ZMO1_ZMO1154] [protein=uridylate kinase] [protein_id=AVZ42379.1] [location=complement(1173704..1174432)] [gbkey=CDS]</t>
  </si>
  <si>
    <t>lcl|CP023715.1_prot_AVZ42380.1_1007 [gene=tsf] [locus_tag=ZMO1_ZMO1155] [protein=translation elongation factor Ts] [protein_id=AVZ42380.1] [location=complement(1174569..1175492)] [gbkey=CDS]</t>
  </si>
  <si>
    <t>lcl|CP023715.1_prot_AVZ42381.1_1008 [gene=rpsB] [locus_tag=ZMO1_ZMO1156] [protein=ribosomal protein S2] [protein_id=AVZ42381.1] [location=complement(1175600..1176352)] [gbkey=CDS]</t>
  </si>
  <si>
    <t>lcl|CP023715.1_prot_AVZ42382.1_1010 [gene=asr] [locus_tag=ZMO1_ZMO1158] [protein=aspartate racemase] [protein_id=AVZ42382.1] [location=1176995..1177693] [gbkey=CDS]</t>
  </si>
  <si>
    <t>lcl|CP023715.1_prot_AVZ42383.1_1011 [gene=pssA] [locus_tag=ZMO1_ZMO1159] [protein=CDP-diacylglycerol--serine O-phosphatidyltransferase] [protein_id=AVZ42383.1] [location=complement(1177848..1178648)] [gbkey=CDS]</t>
  </si>
  <si>
    <t>lcl|CP023715.1_prot_AVZ42384.1_1012 [gene=psd] [locus_tag=ZMO1_ZMO1160] [protein=phosphatidylserine decarboxylase] [protein_id=AVZ42384.1] [location=complement(1178645..1179385)] [gbkey=CDS]</t>
  </si>
  <si>
    <t>lcl|CP023715.1_prot_AVZ42385.1_1013 [locus_tag=ZMO1_ZMO1162] [protein=histidine kinase] [protein_id=AVZ42385.1] [location=1179589..1180854] [gbkey=CDS]</t>
  </si>
  <si>
    <t>lcl|CP023715.1_prot_AVZ42386.1_1014 [gene=phoU] [locus_tag=ZMO1_ZMO1163] [protein=phosphate uptake regulator PhoU] [protein_id=AVZ42386.1] [location=1181061..1181774] [gbkey=CDS]</t>
  </si>
  <si>
    <t>lcl|CP023715.1_prot_AVZ42387.1_1015 [gene=phoB] [locus_tag=ZMO1_ZMO1164] [protein=transcriptional regulator PhoB] [protein_id=AVZ42387.1] [location=1181774..1182469] [gbkey=CDS]</t>
  </si>
  <si>
    <t>lcl|CP023715.1_prot_AVZ42388.1_1016 [gene=comF] [locus_tag=ZMO1_ZMO1165] [protein=amidophosphoribosyltransferase] [protein_id=AVZ42388.1] [location=complement(1182555..1183400)] [gbkey=CDS]</t>
  </si>
  <si>
    <t>ZMO1165</t>
  </si>
  <si>
    <t>lcl|CP023715.1_prot_AVZ42389.1_1017 [gene=recA] [locus_tag=ZMO1_ZMO1166] [protein=DNA recombination/repair protein RecA] [protein_id=AVZ42389.1] [location=complement(1183478..1184542)] [gbkey=CDS]</t>
  </si>
  <si>
    <t>lcl|CP023715.1_prot_AVZ42390.1_1018 [locus_tag=ZMO1_ZMO1167] [protein=putative CocE/NonD family hydrolase] [protein_id=AVZ42390.1] [location=complement(1184760..1186715)] [gbkey=CDS]</t>
  </si>
  <si>
    <t>lcl|CP023715.1_prot_AVZ42391.1_1019 [locus_tag=ZMO1_ZMO1169] [protein=BadF/BadG/BcrA/BcrD type ATPase] [protein_id=AVZ42391.1] [location=1186915..1187775] [gbkey=CDS]</t>
  </si>
  <si>
    <t>lcl|CP023715.1_prot_AVZ42392.1_1020 [locus_tag=ZMO1_ZMO1170] [protein=antibiotic biosynthesis monooxygenase] [protein_id=AVZ42392.1] [location=1187828..1188130] [gbkey=CDS]</t>
  </si>
  <si>
    <t>ZMO1170</t>
  </si>
  <si>
    <t>lcl|CP023715.1_prot_AVZ42393.1_1021 [locus_tag=ZMO1_ZMO1171] [protein=beta-N-acetylhexosaminidase] [protein_id=AVZ42393.1] [location=complement(1188127..1189161)] [gbkey=CDS]</t>
  </si>
  <si>
    <t>lcl|CP023715.1_prot_AVZ42394.1_1022 [gene=astB] [locus_tag=ZMO1_ZMO1172] [protein=succinylarginine dihydrolase] [protein_id=AVZ42394.1] [location=1189287..1190561] [gbkey=CDS]</t>
  </si>
  <si>
    <t>lcl|CP023715.1_prot_AVZ42395.1_1023 [locus_tag=ZMO1_ZMO1173] [protein=DUF490 domain-containing protein] [protein_id=AVZ42395.1] [location=complement(1190558..1194727)] [gbkey=CDS]</t>
  </si>
  <si>
    <t>lcl|CP023715.1_prot_AVZ42396.1_1024 [locus_tag=ZMO1_ZMO1174] [protein=surface antigen (D15)] [protein_id=AVZ42396.1] [location=complement(1194727..1196943)] [gbkey=CDS]</t>
  </si>
  <si>
    <t>lcl|CP023715.1_prot_AVZ42397.1_1025 [locus_tag=ZMO1_ZMO1176] [protein=histidine kinase] [protein_id=AVZ42397.1] [location=complement(1196943..1198361)] [gbkey=CDS]</t>
  </si>
  <si>
    <t>lcl|CP023715.1_prot_AVZ42398.1_1026 [locus_tag=ZMO1_ZMO1177] [protein=winged helix family two component transcriptional regulator] [protein_id=AVZ42398.1] [location=complement(1198358..1199083)] [gbkey=CDS]</t>
  </si>
  <si>
    <t>lcl|CP023715.1_prot_AVZ42399.1_1027 [gene=hisI] [locus_tag=ZMO1_ZMO1178] [protein=phosphoribosyl-AMP cyclohydrolase] [protein_id=AVZ42399.1] [location=complement(1199111..1199485)] [gbkey=CDS]</t>
  </si>
  <si>
    <t>lcl|CP023715.1_prot_AVZ42400.2_1028 [gene=ygcA] [locus_tag=ZMO1_ZMO1179] [protein=(uracil-5)-methyltransferase] [protein_id=AVZ42400.2] [location=complement(1199540..1200733)] [gbkey=CDS]</t>
  </si>
  <si>
    <t>lcl|CP023715.1_prot_AVZ42401.1_1029 [locus_tag=ZMO1_ZMO1180] [protein=bifunctional ADP-dependent NAD(P)H-hydrate dehydratase/NAD(P)H-hydrate epimerase] [protein_id=AVZ42401.1] [location=complement(1200730..1202184)] [gbkey=CDS]</t>
  </si>
  <si>
    <t>lcl|CP023715.1_prot_AVZ42402.1_1030 [gene=hutG1] [locus_tag=ZMO1_ZMO1181] [protein=N-formylglutamate amidohydrolase] [protein_id=AVZ42402.1] [location=complement(1202543..1203280)] [gbkey=CDS]</t>
  </si>
  <si>
    <t>lcl|CP023715.1_prot_AVZ42403.1_1031 [gene=ispE] [locus_tag=ZMO1_ZMO1182] [protein=4-diphosphocytidyl-2C-methyl-D-erythritol kinase] [protein_id=AVZ42403.1] [location=complement(1203441..1204289)] [gbkey=CDS]</t>
  </si>
  <si>
    <t>lcl|CP023715.1_prot_AVZ42404.1_1032 [locus_tag=ZMO1_ZMO1183] [protein=TPR repeat-containing protein] [protein_id=AVZ42404.1] [location=complement(1204584..1206227)] [gbkey=CDS]</t>
  </si>
  <si>
    <t>lcl|CP023715.1_prot_AVZ42405.1_1033 [gene=fixC] [locus_tag=ZMO1_ZMO1184] [protein=electron-transferring-flavoprotein dehydrogenase] [protein_id=AVZ42405.1] [location=complement(1206345..1207991)] [gbkey=CDS]</t>
  </si>
  <si>
    <t>lcl|CP023715.1_prot_AVZ42406.1_1034 [locus_tag=ZMO1_ZMO1185] [protein=uracil-DNA glycosylase superfamily protein] [protein_id=AVZ42406.1] [location=1208295..1209089] [gbkey=CDS]</t>
  </si>
  <si>
    <t>lcl|CP023715.1_prot_AVZ42407.1_1035 [gene=mltB] [locus_tag=ZMO1_ZMO1186] [protein=lytic transglycosylase] [protein_id=AVZ42407.1] [location=1209064..1211004] [gbkey=CDS]</t>
  </si>
  <si>
    <t>lcl|CP023715.1_prot_AVZ42408.1_1036 [gene=mutM] [locus_tag=ZMO1_ZMO1187] [protein=formamidopyrimidine-DNA glycosylase] [protein_id=AVZ42408.1] [location=complement(1211016..1211828)] [gbkey=CDS]</t>
  </si>
  <si>
    <t>lcl|CP023715.1_prot_AVZ42409.1_1037 [gene=ubiE] [locus_tag=ZMO1_ZMO1188] [protein=ubiquinone/menaquinone biosynthesis C-methyltransferase UbiE] [protein_id=AVZ42409.1] [location=1212138..1212866] [gbkey=CDS]</t>
  </si>
  <si>
    <t>lcl|CP023715.1_prot_AVZ42410.1_1038 [gene=ubiB1] [locus_tag=ZMO1_ZMO1189] [protein=2-octaprenylphenol hydroxylase UbiB] [protein_id=AVZ42410.1] [location=1212870..1214408] [gbkey=CDS]</t>
  </si>
  <si>
    <t>lcl|CP023715.1_prot_AVZ42411.1_1039 [gene=dfp] [locus_tag=ZMO1_ZMO1190] [protein=bifunctional phosphopantothenoylcysteine decarboxylase/phosphopantothenate--cysteine ligase] [protein_id=AVZ42411.1] [location=1214435..1215688] [gbkey=CDS]</t>
  </si>
  <si>
    <t>lcl|CP023715.1_prot_AVZ42412.1_1040 [gene=dut] [locus_tag=ZMO1_ZMO1191] [protein=deoxyuridine 5-triphosphate nucleotidohydrolase Dut] [protein_id=AVZ42412.1] [location=1215720..1216160] [gbkey=CDS]</t>
  </si>
  <si>
    <t>lcl|CP023715.1_prot_AVZ42413.1_1041 [gene=thiF] [locus_tag=ZMO1_ZMO1192] [protein=ThiF/MoeB/HesA/family domain-containing protein] [protein_id=AVZ42413.1] [location=1216157..1216915] [gbkey=CDS]</t>
  </si>
  <si>
    <t>lcl|CP023715.1_prot_AVZ42414.1_1042 [gene=topA] [locus_tag=ZMO1_ZMO1193] [protein=DNA topoisomerase I] [protein_id=AVZ42414.1] [location=complement(1217324..1220962)] [gbkey=CDS]</t>
  </si>
  <si>
    <t>lcl|CP023715.1_prot_AVZ42415.1_1043 [gene=dprA] [locus_tag=ZMO1_ZMO1194] [protein=DNA protecting protein DprA] [protein_id=AVZ42415.1] [location=complement(1221114..1222271)] [gbkey=CDS]</t>
  </si>
  <si>
    <t>lcl|CP023715.1_prot_AVZ42416.1_1044 [gene=plsY] [locus_tag=ZMO1_ZMO1195] [protein=glycerol-3-phosphate acyltransferase PlsY] [protein_id=AVZ42416.1] [location=complement(1222321..1222959)] [gbkey=CDS]</t>
  </si>
  <si>
    <t>lcl|CP023715.1_prot_AVZ42417.1_1045 [locus_tag=ZMO1_ZMO1196] [protein=major facilitator superfamily transporter] [protein_id=AVZ42417.1] [location=1223253..1224665] [gbkey=CDS]</t>
  </si>
  <si>
    <t>lcl|CP023715.1_prot_AVZ42418.1_1046 [gene=murI] [locus_tag=ZMO1_ZMO1197] [protein=glutamate racemase] [protein_id=AVZ42418.1] [location=1224690..1225520] [gbkey=CDS]</t>
  </si>
  <si>
    <t>lcl|CP023715.1_prot_AVZ42419.1_1047 [gene=hemA] [locus_tag=ZMO1_ZMO1198] [protein=5-aminolevulinic acid synthase] [protein_id=AVZ42419.1] [location=1225656..1226870] [gbkey=CDS]</t>
  </si>
  <si>
    <t>lcl|CP023715.1_prot_AVZ42420.1_1048 [gene=rpiB] [locus_tag=ZMO1_ZMO1200] [protein=ribose 5-phosphate isomerase B] [protein_id=AVZ42420.1] [location=1227089..1227562] [gbkey=CDS]</t>
  </si>
  <si>
    <t>lcl|CP023715.1_prot_AVZ42421.1_1049 [gene=glyA] [locus_tag=ZMO1_ZMO1201] [protein=glycine hydroxymethyltransferase] [protein_id=AVZ42421.1] [location=1227582..1228871] [gbkey=CDS]</t>
  </si>
  <si>
    <t>lcl|CP023715.1_prot_AVZ42422.2_1050 [gene=nrdR] [locus_tag=ZMO1_ZMO1202] [protein=transcriptional regulator NrdR] [protein_id=AVZ42422.2] [location=1228876..1229346] [gbkey=CDS]</t>
  </si>
  <si>
    <t>lcl|CP023715.1_prot_AVZ42423.1_1051 [gene=trmH] [locus_tag=ZMO1_ZMO1203] [protein=TrmH family RNA methyltransferase] [protein_id=AVZ42423.1] [location=1229343..1230074] [gbkey=CDS]</t>
  </si>
  <si>
    <t>lcl|CP023715.1_prot_AVZ42424.1_1053 [locus_tag=ZMO1_ZMO1205] [protein=hypothetical protein] [protein_id=AVZ42424.1] [location=complement(1230450..1230767)] [gbkey=CDS]</t>
  </si>
  <si>
    <t>ZMO1205</t>
  </si>
  <si>
    <t>lcl|CP023715.1_prot_AVZ42426.1_1055 [locus_tag=ZMO1_ZMO1207] [protein=carbon-nitrogen hydrolase] [protein_id=AVZ42426.1] [location=1232277..1233266] [gbkey=CDS]</t>
  </si>
  <si>
    <t>lcl|CP023715.1_prot_AVZ42427.1_1057 [gene=kup] [locus_tag=ZMO1_ZMO1209] [protein=potassium transporter Kup] [protein_id=AVZ42427.1] [location=complement(1234197..1236155)] [gbkey=CDS]</t>
  </si>
  <si>
    <t>lcl|CP023715.1_prot_AVZ42428.1_1058 [gene=gor] [locus_tag=ZMO1_ZMO1211] [protein=glutathione reductase] [protein_id=AVZ42428.1] [location=complement(1236622..1237968)] [gbkey=CDS]</t>
  </si>
  <si>
    <t>lcl|CP023715.1_prot_AVZ42429.1_1059 [gene=pgi] [locus_tag=ZMO1_ZMO1212] [protein=glucose-6-phosphate isomerase] [protein_id=AVZ42429.1] [location=complement(1238131..1239654)] [gbkey=CDS]</t>
  </si>
  <si>
    <t>lcl|CP023715.1_prot_AVZ42430.1_1060 [locus_tag=ZMO1_ZMO1213] [protein=uncharacterized protein] [protein_id=AVZ42430.1] [location=1239986..1240411] [gbkey=CDS]</t>
  </si>
  <si>
    <t>lcl|CP023715.1_prot_AVZ42431.1_1061 [locus_tag=ZMO1_ZMO1214] [protein=putative DEAD/DEAH box helicase] [protein_id=AVZ42431.1] [location=1240539..1242059] [gbkey=CDS]</t>
  </si>
  <si>
    <t>lcl|CP023715.1_prot_AVZ42432.1_1062 [locus_tag=ZMO1_ZMO1215] [protein=uncharacterized protein] [protein_id=AVZ42432.1] [location=1242404..1242616] [gbkey=CDS]</t>
  </si>
  <si>
    <t>ZMO1215</t>
  </si>
  <si>
    <t>lcl|CP023715.1_prot_AVZ42433.1_1063 [locus_tag=ZMO1_ZMO1216] [protein=signal transduction histidine kinase] [protein_id=AVZ42433.1] [location=1242643..1244295] [gbkey=CDS]</t>
  </si>
  <si>
    <t>lcl|CP023715.1_prot_AVZ42436.1_1066 [gene=tatB] [locus_tag=ZMO1_ZMO1219] [protein=twin-arginine translocase subunit TatB] [protein_id=AVZ42436.1] [location=complement(1246742..1247200)] [gbkey=CDS]</t>
  </si>
  <si>
    <t>lcl|CP023715.1_prot_AVZ42437.1_1067 [gene=tatA] [locus_tag=ZMO1_ZMO1220] [protein=twin-arginine translocase subunit TatA] [protein_id=AVZ42437.1] [location=complement(1247285..1247548)] [gbkey=CDS]</t>
  </si>
  <si>
    <t>lcl|CP023715.1_prot_AVZ42438.1_1068 [locus_tag=ZMO1_ZMO1221] [protein=uncharacterized protein] [protein_id=AVZ42438.1] [location=complement(1247701..1248402)] [gbkey=CDS]</t>
  </si>
  <si>
    <t>lcl|CP023715.1_prot_AVZ42439.1_1069 [locus_tag=ZMO1_ZMO1222] [protein=3-oxoacyl-(acyl-carrier-protein) reductase] [protein_id=AVZ42439.1] [location=complement(1248515..1249252)] [gbkey=CDS]</t>
  </si>
  <si>
    <t>lcl|CP023715.1_prot_AVZ42440.1_1070 [gene=fabD] [locus_tag=ZMO1_ZMO1223] [protein=malonyl CoA-acyl carrier protein transacylase] [protein_id=AVZ42440.1] [location=complement(1249322..1250257)] [gbkey=CDS]</t>
  </si>
  <si>
    <t>lcl|CP023715.1_prot_AVZ42441.1_1071 [gene=rpsF] [locus_tag=ZMO1_ZMO1225] [protein=ribosomal protein S6] [protein_id=AVZ42441.1] [location=1250778..1251152] [gbkey=CDS]</t>
  </si>
  <si>
    <t>lcl|CP023715.1_prot_AVZ42442.1_1072 [gene=rpsR] [locus_tag=ZMO1_ZMO1226] [protein=ribosomal protein S18] [protein_id=AVZ42442.1] [location=1251173..1251397] [gbkey=CDS]</t>
  </si>
  <si>
    <t>lcl|CP023715.1_prot_AVZ42443.1_1073 [gene=rplI] [locus_tag=ZMO1_ZMO1227] [protein=ribosomal protein L9] [protein_id=AVZ42443.1] [location=1251412..1252041] [gbkey=CDS]</t>
  </si>
  <si>
    <t>lcl|CP023715.1_prot_AVZ42444.1_1074 [gene=ykfB] [locus_tag=ZMO1_ZMO1228] [protein=mandelate racemase/muconate lactonizing protein] [protein_id=AVZ42444.1] [location=complement(1252121..1253116)] [gbkey=CDS]</t>
  </si>
  <si>
    <t>lcl|CP023715.1_prot_AVZ42445.1_1075 [gene=folE] [locus_tag=ZMO1_ZMO1229] [protein=GTP cyclohydrolase I FolE] [protein_id=AVZ42445.1] [location=complement(1253204..1253809)] [gbkey=CDS]</t>
  </si>
  <si>
    <t>lcl|CP023715.1_prot_AVZ42446.1_1076 [gene=recJ] [locus_tag=ZMO1_ZMO1231] [protein=single-stranded-DNA-specific exonuclease RecJ] [protein_id=AVZ42446.1] [location=1253958..1255718] [gbkey=CDS]</t>
  </si>
  <si>
    <t>lcl|CP023715.1_prot_AVZ42447.1_1077 [locus_tag=ZMO1_ZMO1232] [protein=glycosyl transferase family 1] [protein_id=AVZ42447.1] [location=1256094..1257395] [gbkey=CDS]</t>
  </si>
  <si>
    <t>lcl|CP023715.1_prot_AVZ42448.1_1078 [gene=cpsB] [locus_tag=ZMO1_ZMO1233] [protein=mannose-1-phosphate guanyltransferase CpsB] [protein_id=AVZ42448.1] [location=complement(1257445..1258857)] [gbkey=CDS]</t>
  </si>
  <si>
    <t>lcl|CP023715.1_prot_AVZ42449.1_1079 [gene=dxs1] [locus_tag=ZMO1_ZMO1234] [protein=deoxyxylulose-5-phosphate synthase] [protein_id=AVZ42449.1] [location=complement(1258909..1260858)] [gbkey=CDS]</t>
  </si>
  <si>
    <t>lcl|CP023715.1_prot_AVZ42450.1_1080 [locus_tag=ZMO1_ZMO1235] [protein=Fur family ferric uptake regulator] [protein_id=AVZ42450.1] [location=complement(1261036..1261521)] [gbkey=CDS]</t>
  </si>
  <si>
    <t>lcl|CP023715.1_prot_AVZ42451.1_1081 [gene=adhA] [locus_tag=ZMO1_ZMO1236] [protein=Zn-dependent alcohol dehydrogenase] [protein_id=AVZ42451.1] [location=complement(1261768..1262781)] [gbkey=CDS]</t>
  </si>
  <si>
    <t>lcl|CP023715.1_prot_AVZ42452.1_1082 [gene=ldhA] [locus_tag=ZMO1_ZMO1237] [protein=lactate dehydrogenase] [protein_id=AVZ42452.1] [location=complement(1263483..1264478)] [gbkey=CDS]</t>
  </si>
  <si>
    <t>lcl|CP023715.1_prot_AVZ42453.1_1083 [gene=gpmA] [locus_tag=ZMO1_ZMO1240] [protein=2,3-bisphosphoglycerate-dependent phosphoglycerate mutase] [protein_id=AVZ42453.1] [location=complement(1264948..1265634)] [gbkey=CDS]</t>
  </si>
  <si>
    <t>lcl|CP023715.1_prot_AVZ42454.1_1084 [locus_tag=ZMO1_ZMO1242] [protein=peptidase M14 carboxypeptidase A] [protein_id=AVZ42454.1] [location=complement(1265884..1267026)] [gbkey=CDS]</t>
  </si>
  <si>
    <t>lcl|CP023715.1_prot_AVZ42455.2_1085 [locus_tag=ZMO1_ZMO1243] [protein=DUF4136 domain-containing protein] [protein_id=AVZ42455.2] [location=complement(1267023..1267820)] [gbkey=CDS]</t>
  </si>
  <si>
    <t>lcl|CP023715.1_prot_AVZ42457.1_1087 [locus_tag=ZMO1_ZMO1248] [protein=uncharacterized protein] [protein_id=AVZ42457.1] [location=complement(1268950..1269438)] [gbkey=CDS]</t>
  </si>
  <si>
    <t>lcl|CP023715.1_prot_AVZ42459.1_1089 [locus_tag=ZMO1_ZMO1251] [protein=uncharacterized protein] [protein_id=AVZ42459.1] [location=complement(1270401..1270889)] [gbkey=CDS]</t>
  </si>
  <si>
    <t>lcl|CP023715.1_prot_AVZ42460.1_1090 [gene=ccmI] [locus_tag=ZMO1_ZMO1252] [protein=putative cytochrome c-type biogenesis protein CcmI/NrfG] [protein_id=AVZ42460.1] [location=complement(1270921..1271562)] [gbkey=CDS]</t>
  </si>
  <si>
    <t>lcl|CP023715.1_prot_AVZ42462.1_1092 [gene=ccmG] [locus_tag=ZMO1_ZMO1254] [protein=thiol:disulfide oxidoreductase CcmG] [protein_id=AVZ42462.1] [location=complement(1271984..1272514)] [gbkey=CDS]</t>
  </si>
  <si>
    <t>ZMO1254</t>
  </si>
  <si>
    <t>lcl|CP023715.1_prot_AVZ42463.1_1093 [gene=ccmF] [locus_tag=ZMO1_ZMO1255] [protein=cytochrome c-type biogenesis protein CcmF/NfrE] [protein_id=AVZ42463.1] [location=complement(1272511..1274457)] [gbkey=CDS]</t>
  </si>
  <si>
    <t>ZMO1255</t>
  </si>
  <si>
    <t>lcl|CP023715.1_prot_AVZ42464.1_1094 [gene=ccmE] [locus_tag=ZMO1_ZMO1256] [protein=cytochrome c-type biogenesis protein CcmE/CycJ] [protein_id=AVZ42464.1] [location=complement(1274459..1274899)] [gbkey=CDS]</t>
  </si>
  <si>
    <t>lcl|CP023715.1_prot_AVZ42466.1_1096 [gene=ccmC] [locus_tag=ZMO1_ZMO1258] [protein=cytochrome C assembly protein CcmC/CycZ] [protein_id=AVZ42466.1] [location=complement(1275084..1275800)] [gbkey=CDS]</t>
  </si>
  <si>
    <t>ZMO1258</t>
  </si>
  <si>
    <t>lcl|CP023715.1_prot_AVZ42467.1_1097 [locus_tag=ZMO1_ZMO1260] [protein=TonB-dependent receptor] [protein_id=AVZ42467.1] [location=1276398..1278650] [gbkey=CDS]</t>
  </si>
  <si>
    <t>lcl|CP023715.1_prot_AVZ42468.1_1098 [gene=ssuA] [locus_tag=ZMO1_ZMO1261] [protein=ABC transporter substrate-binding protein aliphatic sulfonates family SsuA] [protein_id=AVZ42468.1] [location=1278836..1279894] [gbkey=CDS]</t>
  </si>
  <si>
    <t>lcl|CP023715.1_prot_AVZ42470.1_1100 [gene=ssuB] [locus_tag=ZMO1_ZMO1263] [protein=aliphatic sulfonates transport ATP-binding subunit SsuB] [protein_id=AVZ42470.1] [location=1280673..1281395] [gbkey=CDS]</t>
  </si>
  <si>
    <t>lcl|CP023715.1_prot_AVZ42471.1_1101 [gene=rspA] [locus_tag=ZMO1_ZMO1264] [protein=L-alanine-DL-glutamate epimerase or related enzyme of enolase superfamily RspA] [protein_id=AVZ42471.1] [location=1281433..1282614] [gbkey=CDS]</t>
  </si>
  <si>
    <t>lcl|CP023715.1_prot_AVZ42472.1_1102 [locus_tag=ZMO1_ZMO1265] [protein=DUF1847 domain-containing protein] [protein_id=AVZ42472.1] [location=1282625..1283281] [gbkey=CDS]</t>
  </si>
  <si>
    <t>lcl|CP023715.1_prot_AVZ42473.1_1103 [gene=guaA] [locus_tag=ZMO1_ZMO1267] [protein=GMP synthase large subunit] [protein_id=AVZ42473.1] [location=1283502..1285082] [gbkey=CDS]</t>
  </si>
  <si>
    <t>lcl|CP023715.1_prot_AVZ42474.1_1104 [locus_tag=ZMO1_ZMO1268] [protein=uncharacterized protein] [protein_id=AVZ42474.1] [location=complement(1285159..1286178)] [gbkey=CDS]</t>
  </si>
  <si>
    <t>lcl|CP023715.1_prot_AVZ42476.1_1106 [locus_tag=ZMO1_ZMO1270] [protein=8-amino-7-oxononanoate synthase] [protein_id=AVZ42476.1] [location=1286754..1287965] [gbkey=CDS]</t>
  </si>
  <si>
    <t>lcl|CP023715.1_prot_AVZ42477.1_1107 [gene=cysG2] [locus_tag=ZMO1_ZMO1271] [protein=siroheme synthase CysG] [protein_id=AVZ42477.1] [location=complement(1288096..1288962)] [gbkey=CDS]</t>
  </si>
  <si>
    <t>lcl|CP023715.1_prot_AVZ42478.1_1108 [gene=astD] [locus_tag=ZMO1_ZMO1272] [protein=N-succinylglutamate 5-semialdehyde dehydrogenase] [protein_id=AVZ42478.1] [location=1289195..1290604] [gbkey=CDS]</t>
  </si>
  <si>
    <t>lcl|CP023715.1_prot_AVZ42479.1_1109 [locus_tag=ZMO1_ZMO1273] [protein=amidohydrolase] [protein_id=AVZ42479.1] [location=complement(1290654..1292264)] [gbkey=CDS]</t>
  </si>
  <si>
    <t>lcl|CP023715.1_prot_AVZ42480.1_1110 [gene=tdcB] [locus_tag=ZMO1_ZMO1275] [protein=threonine dehydratase] [protein_id=AVZ42480.1] [location=1292592..1293830] [gbkey=CDS]</t>
  </si>
  <si>
    <t>lcl|CP023715.1_prot_AVZ42481.1_1111 [locus_tag=ZMO1_ZMO1276] [protein=uncharacterized protein] [protein_id=AVZ42481.1] [location=1293863..1294102] [gbkey=CDS]</t>
  </si>
  <si>
    <t>lcl|CP023715.1_prot_AVZ42482.1_1112 [locus_tag=ZMO1_ZMO1277] [protein=aminodeoxychorismate lyase] [protein_id=AVZ42482.1] [location=complement(1294306..1295277)] [gbkey=CDS]</t>
  </si>
  <si>
    <t>lcl|CP023715.1_prot_AVZ42483.1_1113 [gene=fabF] [locus_tag=ZMO1_ZMO1278] [protein=3-oxoacyl-(acyl-carrier-protein) synthase 2] [protein_id=AVZ42483.1] [location=complement(1295311..1296573)] [gbkey=CDS]</t>
  </si>
  <si>
    <t>lcl|CP023715.1_prot_AVZ42484.1_1114 [gene=acpP] [locus_tag=ZMO1_ZMO1279] [protein=acyl carrier protein] [protein_id=AVZ42484.1] [location=complement(1296763..1296999)] [gbkey=CDS]</t>
  </si>
  <si>
    <t>lcl|CP023715.1_prot_AVZ42486.1_1116 [locus_tag=ZMO1_ZMO1283] [protein=LacI family transcriptional regulator] [protein_id=AVZ42486.1] [location=1297556..1298680] [gbkey=CDS]</t>
  </si>
  <si>
    <t>lcl|CP023715.1_prot_AVZ42487.1_1117 [gene=sldC] [locus_tag=ZMO1_ZMO1284] [protein=sorbitol dehydrogenase cytochrome c subunit] [protein_id=AVZ42487.1] [location=complement(1298703..1300145)] [gbkey=CDS]</t>
  </si>
  <si>
    <t>lcl|CP023715.1_prot_AVZ42488.1_1118 [gene=sldL] [locus_tag=ZMO1_ZMO1285] [protein=solbitol dehydrogenase large subunit] [protein_id=AVZ42488.1] [location=complement(1300138..1301775)] [gbkey=CDS]</t>
  </si>
  <si>
    <t>lcl|CP023715.1_prot_AVZ42490.1_1120 [locus_tag=ZMO1_ZMO1287] [protein=putative UDP-glucose-glycogen glucosyltransferase] [protein_id=AVZ42490.1] [location=complement(1302833..1303927)] [gbkey=CDS]</t>
  </si>
  <si>
    <t>lcl|CP023715.1_prot_AVZ42493.1_1123 [locus_tag=ZMO1_ZMO1291] [protein=peptidase S10 serine carboxypeptidase] [protein_id=AVZ42493.1] [location=complement(1305994..1307604)] [gbkey=CDS]</t>
  </si>
  <si>
    <t>lcl|CP023715.1_prot_AVZ42494.1_1124 [gene=murQ] [locus_tag=ZMO1_ZMO1294] [protein=N-acetylmuramic acid 6-phosphate etherase MurQ] [protein_id=AVZ42494.1] [location=1308317..1309225] [gbkey=CDS]</t>
  </si>
  <si>
    <t>lcl|CP023715.1_prot_AVZ42495.1_1125 [locus_tag=ZMO1_ZMO1295] [protein=organic radical activating enzyme] [protein_id=AVZ42495.1] [location=1309222..1309875] [gbkey=CDS]</t>
  </si>
  <si>
    <t>lcl|CP023715.1_prot_AVZ42499.1_1130 [locus_tag=ZMO1_ZMO1298] [protein=TonB-dependent receptor plug domain] [protein_id=AVZ42499.1] [location=1313080..1315497] [gbkey=CDS]</t>
  </si>
  <si>
    <t>lcl|CP023715.1_prot_AVZ42502.1_1133 [gene=bcbG] [locus_tag=ZMO1_ZMO1299] [protein=putative capsular polysaccharide biosynthesis protein BcbG] [protein_id=AVZ42502.1] [location=1316387..1318012] [gbkey=CDS]</t>
  </si>
  <si>
    <t>lcl|CP023715.1_prot_AVZ42503.1_1134 [gene=bcbE] [locus_tag=ZMO1_ZMO1300] [protein=putative capsular polysaccharide biosynthesis protein BcbE] [protein_id=AVZ42503.1] [location=1318009..1318731] [gbkey=CDS]</t>
  </si>
  <si>
    <t>lcl|CP023715.1_prot_AVZ42504.1_1135 [locus_tag=ZMO1_ZMO1301] [protein=uncharacterized protein] [protein_id=AVZ42504.1] [location=complement(1318762..1319850)] [gbkey=CDS]</t>
  </si>
  <si>
    <t>lcl|CP023715.1_prot_AVZ42505.1_1136 [gene=lipB] [locus_tag=ZMO1_ZMO1302] [protein=lipoate-protein ligase B] [protein_id=AVZ42505.1] [location=1320087..1320737] [gbkey=CDS]</t>
  </si>
  <si>
    <t>lcl|CP023715.1_prot_AVZ42506.1_1137 [gene=proC2] [locus_tag=ZMO1_ZMO1303] [protein=pyrroline-5-carboxylate reductase] [protein_id=AVZ42506.1] [location=complement(1320864..1321718)] [gbkey=CDS]</t>
  </si>
  <si>
    <t>lcl|CP023715.1_prot_AVZ42507.1_1138 [locus_tag=ZMO1_ZMO1304] [protein=DUF1790 domain-containing protein] [protein_id=AVZ42507.1] [location=complement(1321769..1322278)] [gbkey=CDS]</t>
  </si>
  <si>
    <t>ZMO1304</t>
  </si>
  <si>
    <t>lcl|CP023715.1_prot_AVZ42508.1_1139 [locus_tag=ZMO1_ZMO1305] [protein=DUF526 domain-containing protein] [protein_id=AVZ42508.1] [location=complement(1322407..1322622)] [gbkey=CDS]</t>
  </si>
  <si>
    <t>lcl|CP023715.1_prot_AVZ42509.1_1140 [locus_tag=ZMO1_ZMO1306] [protein=hemolysin A] [protein_id=AVZ42509.1] [location=complement(1322828..1323577)] [gbkey=CDS]</t>
  </si>
  <si>
    <t>lcl|CP023715.1_prot_AVZ42510.1_1141 [gene=fumA] [locus_tag=ZMO1_ZMO1307] [protein=iron-dependent fumarate hydratase] [protein_id=AVZ42510.1] [location=1323870..1325393] [gbkey=CDS]</t>
  </si>
  <si>
    <t>lcl|CP023715.1_prot_AVZ42511.1_1142 [gene=holC] [locus_tag=ZMO1_ZMO1308] [protein=DNA polymerase III chi subunit HolC] [protein_id=AVZ42511.1] [location=complement(1325486..1325932)] [gbkey=CDS]</t>
  </si>
  <si>
    <t>lcl|CP023715.1_prot_AVZ42512.1_1143 [gene=pepA2] [locus_tag=ZMO1_ZMO1309] [protein=leucyl aminopeptidase] [protein_id=AVZ42512.1] [location=complement(1325944..1327428)] [gbkey=CDS]</t>
  </si>
  <si>
    <t>lcl|CP023715.1_prot_AVZ42513.1_1144 [gene=ostA] [locus_tag=ZMO1_ZMO1311] [protein=organic solvent tolerance protein] [protein_id=AVZ42513.1] [location=1327813..1330137] [gbkey=CDS]</t>
  </si>
  <si>
    <t>lcl|CP023715.1_prot_AVZ42514.2_1145 [locus_tag=ZMO1_ZMO1312] [protein=PpiC-type peptidyl-prolyl cis-trans isomerase] [protein_id=AVZ42514.2] [location=1330256..1331671] [gbkey=CDS]</t>
  </si>
  <si>
    <t>lcl|CP023715.1_prot_AVZ42515.1_1146 [gene=pdxA] [locus_tag=ZMO1_ZMO1313] [protein=4-hydroxythreonine-4-phosphate dehydrogenase] [protein_id=AVZ42515.1] [location=1331713..1332720] [gbkey=CDS]</t>
  </si>
  <si>
    <t>lcl|CP023715.1_prot_AVZ42516.1_1147 [gene=ksgA] [locus_tag=ZMO1_ZMO1314] [protein=16S ribosomal RNA methyltransferase KsgA/Dim1 family protein] [protein_id=AVZ42516.1] [location=1332731..1333567] [gbkey=CDS]</t>
  </si>
  <si>
    <t>lcl|CP023715.1_prot_AVZ42517.1_1148 [locus_tag=ZMO1_ZMO1315] [protein=uncharacterized protein] [protein_id=AVZ42517.1] [location=complement(1333579..1334448)] [gbkey=CDS]</t>
  </si>
  <si>
    <t>lcl|CP023715.1_prot_AVZ42518.1_1149 [locus_tag=ZMO1_ZMO1316] [protein=polysaccharide biosynthesis protein] [protein_id=AVZ42518.1] [location=complement(1334465..1335799)] [gbkey=CDS]</t>
  </si>
  <si>
    <t>ZMO1316</t>
  </si>
  <si>
    <t>lcl|CP023715.1_prot_AVZ42519.1_1150 [locus_tag=ZMO1_ZMO1317] [protein=uncharacterized protein] [protein_id=AVZ42519.1] [location=complement(1335885..1336655)] [gbkey=CDS]</t>
  </si>
  <si>
    <t>lcl|CP023715.1_prot_AVZ42520.1_1151 [locus_tag=ZMO1_ZMO1318] [protein=putative P-loop containing nucleoside triphosphate hydrolase] [protein_id=AVZ42520.1] [location=complement(1336660..1337382)] [gbkey=CDS]</t>
  </si>
  <si>
    <t>lcl|CP023715.1_prot_AVZ42521.1_1152 [locus_tag=ZMO1_ZMO1319] [protein=uncharacterized protein] [protein_id=AVZ42521.1] [location=complement(1337886..1338476)] [gbkey=CDS]</t>
  </si>
  <si>
    <t>lcl|CP023715.1_prot_AVZ42522.1_1153 [locus_tag=ZMO1_ZMO1320] [protein=16S rRNA C967 or C1407 C5-methylase RsmB/RsmF family] [protein_id=AVZ42522.1] [location=complement(1338685..1339911)] [gbkey=CDS]</t>
  </si>
  <si>
    <t>lcl|CP023715.1_prot_AVZ42523.1_1154 [gene=guaB] [locus_tag=ZMO1_ZMO1321] [protein=inosine-5-monophosphate dehydrogenase] [protein_id=AVZ42523.1] [location=complement(1339947..1341404)] [gbkey=CDS]</t>
  </si>
  <si>
    <t>lcl|CP023715.1_prot_AVZ42524.1_1155 [gene=chvI] [locus_tag=ZMO1_ZMO1322] [protein=winged helix family two component transcriptional regulator] [protein_id=AVZ42524.1] [location=1341681..1342388] [gbkey=CDS]</t>
  </si>
  <si>
    <t>lcl|CP023715.1_prot_AVZ42525.1_1156 [gene=chvG] [locus_tag=ZMO1_ZMO1323] [protein=histidine kinase] [protein_id=AVZ42525.1] [location=1342357..1343994] [gbkey=CDS]</t>
  </si>
  <si>
    <t>lcl|CP023715.1_prot_AVZ42526.1_1157 [locus_tag=ZMO1_ZMO1324] [protein=HPr kinase] [protein_id=AVZ42526.1] [location=1344137..1344628] [gbkey=CDS]</t>
  </si>
  <si>
    <t>lcl|CP023715.1_prot_AVZ42527.1_1158 [locus_tag=ZMO1_ZMO1325] [protein=glmZ(sRNA)-inactivating NTPase] [protein_id=AVZ42527.1] [location=1344651..1345622] [gbkey=CDS]</t>
  </si>
  <si>
    <t>lcl|CP023715.1_prot_AVZ42528.1_1159 [gene=nagE] [locus_tag=ZMO1_ZMO1326] [protein=PTS system fructose subfamily IIA component] [protein_id=AVZ42528.1] [location=1345630..1346034] [gbkey=CDS]</t>
  </si>
  <si>
    <t>lcl|CP023715.1_prot_AVZ42529.1_1160 [locus_tag=ZMO1_ZMO1327] [protein=HPr family phosphocarrier] [protein_id=AVZ42529.1] [location=1346031..1346303] [gbkey=CDS]</t>
  </si>
  <si>
    <t>lcl|CP023715.1_prot_AVZ42530.1_1161 [locus_tag=ZMO1_ZMO1328] [protein=SpoU type tRNA/rRNA methyltransferase] [protein_id=AVZ42530.1] [location=1346321..1347127] [gbkey=CDS]</t>
  </si>
  <si>
    <t>lcl|CP023715.1_prot_AVZ42531.1_1162 [gene=ppnK] [locus_tag=ZMO1_ZMO1329] [protein=NAD(+) kinase] [protein_id=AVZ42531.1] [location=1347180..1347956] [gbkey=CDS]</t>
  </si>
  <si>
    <t>lcl|CP023715.1_prot_AVZ42532.1_1163 [gene=mscS2] [locus_tag=ZMO1_ZMO1331] [protein=mechanosensitive ion channel MscS] [protein_id=AVZ42532.1] [location=1348281..1351091] [gbkey=CDS]</t>
  </si>
  <si>
    <t>lcl|CP023715.1_prot_AVZ42533.1_1164 [locus_tag=ZMO1_ZMO1334] [protein=polyisoprenoid-binding periplasmic YceI-like protein] [protein_id=AVZ42533.1] [location=1351814..1352428] [gbkey=CDS]</t>
  </si>
  <si>
    <t>lcl|CP023715.1_prot_AVZ42534.1_1165 [gene=wrbA] [locus_tag=ZMO1_ZMO1335] [protein=flavoprotein WrbA] [protein_id=AVZ42534.1] [location=1352708..1353310] [gbkey=CDS]</t>
  </si>
  <si>
    <t>lcl|CP023715.1_prot_AVZ42535.1_1166 [locus_tag=ZMO1_ZMO1336] [protein=LysR family transcriptional regulator] [protein_id=AVZ42535.1] [location=complement(1353451..1354362)] [gbkey=CDS]</t>
  </si>
  <si>
    <t>lcl|CP023715.1_prot_AVZ42536.1_1167 [locus_tag=ZMO1_ZMO1337] [protein=hydroquinone detoxification protein] [protein_id=AVZ42536.1] [location=1354494..1355201] [gbkey=CDS]</t>
  </si>
  <si>
    <t>ZMO1337</t>
  </si>
  <si>
    <t>lcl|CP023715.1_prot_AVZ42539.1_1170 [locus_tag=ZMO1_ZMO1341] [protein=Zn-dependent metalloprotease] [protein_id=AVZ42539.1] [location=complement(1357528..1358448)] [gbkey=CDS]</t>
  </si>
  <si>
    <t>lcl|CP023715.1_prot_AVZ42540.1_1171 [gene=dkgA] [locus_tag=ZMO1_ZMO1344] [protein=2,5-diketo-D-gluconate reductase A] [protein_id=AVZ42540.1] [location=1359337..1360182] [gbkey=CDS]</t>
  </si>
  <si>
    <t>lcl|CP023715.1_prot_AVZ42541.1_1172 [gene=pepN1] [locus_tag=ZMO1_ZMO1345] [protein=aminopeptidase N] [protein_id=AVZ42541.1] [location=complement(1360306..1362909)] [gbkey=CDS]</t>
  </si>
  <si>
    <t>lcl|CP023715.1_prot_AVZ42543.1_1174 [gene=ltaE] [locus_tag=ZMO1_ZMO1347] [protein=threonine aldolase] [protein_id=AVZ42543.1] [location=complement(1363971..1364984)] [gbkey=CDS]</t>
  </si>
  <si>
    <t>lcl|CP023715.1_prot_AVZ42544.1_1175 [gene=map] [locus_tag=ZMO1_ZMO1348] [protein=type I methionine aminopeptidase] [protein_id=AVZ42544.1] [location=complement(1365050..1365880)] [gbkey=CDS]</t>
  </si>
  <si>
    <t>lcl|CP023715.1_prot_AVZ42545.1_1176 [locus_tag=ZMO1_ZMO1350] [protein=putative nucleotide-utilizing enzyme] [protein_id=AVZ42545.1] [location=1365993..1366754] [gbkey=CDS]</t>
  </si>
  <si>
    <t>lcl|CP023715.1_prot_AVZ42546.1_1177 [gene=clcD1] [locus_tag=ZMO1_ZMO1351] [protein=carboxymethylenebutenolidase clcD] [protein_id=AVZ42546.1] [location=1366767..1367771] [gbkey=CDS]</t>
  </si>
  <si>
    <t>lcl|CP023715.1_prot_AVZ42547.1_1178 [locus_tag=ZMO1_ZMO1352] [protein=intergral membrane protein] [protein_id=AVZ42547.1] [location=complement(1367863..1368591)] [gbkey=CDS]</t>
  </si>
  <si>
    <t>lcl|CP023715.1_prot_AVZ42548.1_1179 [locus_tag=ZMO1_ZMO1353] [protein=DUF336 domain-containing protein] [protein_id=AVZ42548.1] [location=complement(1368823..1369383)] [gbkey=CDS]</t>
  </si>
  <si>
    <t>lcl|CP023715.1_prot_AVZ42549.1_1180 [gene=motB3] [locus_tag=ZMO1_ZMO1354] [protein=flagellar motor protein MotB] [protein_id=AVZ42549.1] [location=complement(1369567..1370667)] [gbkey=CDS]</t>
  </si>
  <si>
    <t>lcl|CP023715.1_prot_AVZ42550.1_1181 [locus_tag=ZMO1_ZMO1355] [protein=ABC transporter related protein] [protein_id=AVZ42550.1] [location=complement(1371083..1372948)] [gbkey=CDS]</t>
  </si>
  <si>
    <t>lcl|CP023715.1_prot_AVZ42551.1_1182 [gene=dnaA] [locus_tag=ZMO1_ZMO1356] [protein=chromosomal replication initiator protein DnaA] [protein_id=AVZ42551.1] [location=complement(1373043..1374497)] [gbkey=CDS]</t>
  </si>
  <si>
    <t>lcl|CP023715.1_prot_AVZ42552.1_1184 [gene=rpsT] [locus_tag=ZMO1_ZMO1358] [protein=ribosomal protein S20] [protein_id=AVZ42552.1] [location=complement(1375164..1375427)] [gbkey=CDS]</t>
  </si>
  <si>
    <t>lcl|CP023715.1_prot_AVZ42553.1_1185 [gene=pdc] [locus_tag=ZMO1_ZMO1360] [protein=pyruvate decarboxylase] [protein_id=AVZ42553.1] [location=complement(1375765..1377471)] [gbkey=CDS]</t>
  </si>
  <si>
    <t>lcl|CP023715.1_prot_AVZ42554.1_1189 [gene=hemN2] [locus_tag=ZMO1_ZMO1364] [protein=coproporphyrinogen III oxidase] [protein_id=AVZ42554.1] [location=1378419..1379780] [gbkey=CDS]</t>
  </si>
  <si>
    <t>lcl|CP023715.1_prot_AVZ42555.1_1190 [locus_tag=ZMO1_ZMO1365] [protein=diguanylate cyclase with beta propeller sensor] [protein_id=AVZ42555.1] [location=1380114..1383251] [gbkey=CDS]</t>
  </si>
  <si>
    <t>lcl|CP023715.1_prot_AVZ42556.1_1191 [gene=rpsD] [locus_tag=ZMO1_ZMO1366] [protein=30S ribosomal protein S4] [protein_id=AVZ42556.1] [location=1383432..1384046] [gbkey=CDS]</t>
  </si>
  <si>
    <t>lcl|CP023715.1_prot_AVZ42557.1_1192 [locus_tag=ZMO1_ZMO1369] [protein=agmatine deiminase] [protein_id=AVZ42557.1] [location=1384554..1385534] [gbkey=CDS]</t>
  </si>
  <si>
    <t>lcl|CP023715.1_prot_AVZ42558.1_1193 [locus_tag=ZMO1_ZMO1370] [protein=N-carbamoylputrescine amidase] [protein_id=AVZ42558.1] [location=1385546..1386394] [gbkey=CDS]</t>
  </si>
  <si>
    <t>lcl|CP023715.1_prot_AVZ42559.1_1194 [locus_tag=ZMO1_ZMO1372] [protein=short-chain dehydrogenase/reductase SDR] [protein_id=AVZ42559.1] [location=complement(1386982..1387827)] [gbkey=CDS]</t>
  </si>
  <si>
    <t>ZMO1372</t>
  </si>
  <si>
    <t>lcl|CP023715.1_prot_AVZ42560.1_1195 [locus_tag=ZMO1_ZMO1373] [protein=uncharacterized protein] [protein_id=AVZ42560.1] [location=1388270..1388782] [gbkey=CDS]</t>
  </si>
  <si>
    <t>lcl|CP023715.1_prot_AVZ42561.1_1196 [locus_tag=ZMO1_ZMO1374] [protein=NAD-dependent epimerase/dehydratase] [protein_id=AVZ42561.1] [location=complement(1388945..1389898)] [gbkey=CDS]</t>
  </si>
  <si>
    <t>lcl|CP023715.1_prot_AVZ42562.1_1197 [gene=rnc] [locus_tag=ZMO1_ZMO1375] [protein=ribonuclease III] [protein_id=AVZ42562.1] [location=complement(1390030..1390770)] [gbkey=CDS]</t>
  </si>
  <si>
    <t>lcl|CP023715.1_prot_AVZ42563.1_1198 [locus_tag=ZMO1_ZMO1377] [protein=uncharacterized protein] [protein_id=AVZ42563.1] [location=complement(1391068..1392501)] [gbkey=CDS]</t>
  </si>
  <si>
    <t>lcl|CP023715.1_prot_AVZ42565.1_1200 [locus_tag=ZMO1_ZMO1380] [protein=AraC family transcriptional regulator] [protein_id=AVZ42565.1] [location=complement(1394275..1395345)] [gbkey=CDS]</t>
  </si>
  <si>
    <t>lcl|CP023715.1_prot_AVZ42567.1_1202 [locus_tag=ZMO1_ZMO1382] [protein=aspartate aminotransferase family protein] [protein_id=AVZ42567.1] [location=1396779..1398119] [gbkey=CDS]</t>
  </si>
  <si>
    <t>ZMO1382</t>
  </si>
  <si>
    <t>lcl|CP023715.1_prot_AVZ42569.1_1204 [gene=era] [locus_tag=ZMO1_ZMO1384] [protein=GTP-binding protein Era] [protein_id=AVZ42569.1] [location=1398315..1399235] [gbkey=CDS]</t>
  </si>
  <si>
    <t>lcl|CP023715.1_prot_AVZ42570.1_1205 [locus_tag=ZMO1_ZMO1385] [protein=toxic anion resistance family protein] [protein_id=AVZ42570.1] [location=1399319..1400593] [gbkey=CDS]</t>
  </si>
  <si>
    <t>lcl|CP023715.1_prot_AVZ42571.1_1206 [locus_tag=ZMO1_ZMO1386] [protein=uncharacterized protein] [protein_id=AVZ42571.1] [location=1400603..1401298] [gbkey=CDS]</t>
  </si>
  <si>
    <t>lcl|CP023715.1_prot_AVZ42572.1_1207 [locus_tag=ZMO1_ZMO1387] [protein=winged helix family two component transcriptional regulator] [protein_id=AVZ42572.1] [location=1401485..1402189] [gbkey=CDS]</t>
  </si>
  <si>
    <t>lcl|CP023715.1_prot_AVZ42573.1_1208 [gene=ggt] [locus_tag=ZMO1_ZMO1388] [protein=gamma-glutamyltransferase] [protein_id=AVZ42573.1] [location=complement(1402324..1404015)] [gbkey=CDS]</t>
  </si>
  <si>
    <t>lcl|CP023715.1_prot_AVZ42574.1_1209 [gene=dsbD] [locus_tag=ZMO1_ZMO1389] [protein=Thiol:disulfide interchange protein DsbD] [protein_id=AVZ42574.1] [location=1404250..1406430] [gbkey=CDS]</t>
  </si>
  <si>
    <t>lcl|CP023715.1_prot_AVZ42575.1_1210 [locus_tag=ZMO1_ZMO1390] [protein=uncharacterized protein] [protein_id=AVZ42575.1] [location=complement(1406485..1407393)] [gbkey=CDS]</t>
  </si>
  <si>
    <t>lcl|CP023715.1_prot_AVZ42576.1_1211 [locus_tag=ZMO1_ZMO1391] [protein=diacylglycerol kinase catalytic region] [protein_id=AVZ42576.1] [location=complement(1407464..1408441)] [gbkey=CDS]</t>
  </si>
  <si>
    <t>lcl|CP023715.1_prot_AVZ42577.1_1212 [locus_tag=ZMO1_ZMO1392] [protein=uncharacterized protein] [protein_id=AVZ42577.1] [location=complement(1408438..1408977)] [gbkey=CDS]</t>
  </si>
  <si>
    <t>lcl|CP023715.1_prot_AVZ42578.1_1213 [gene=lptF] [locus_tag=ZMO1_ZMO1393] [protein=LPS export ABC transporter permease LptF] [protein_id=AVZ42578.1] [location=1409105..1410316] [gbkey=CDS]</t>
  </si>
  <si>
    <t>lcl|CP023715.1_prot_AVZ42579.1_1214 [gene=lptG] [locus_tag=ZMO1_ZMO1394] [protein=LPS export ABC transporter permease LptG] [protein_id=AVZ42579.1] [location=1410313..1411407] [gbkey=CDS]</t>
  </si>
  <si>
    <t>lcl|CP023715.1_prot_AVZ42580.1_1215 [gene=hutG2] [locus_tag=ZMO1_ZMO1395] [protein=N-formylglutamate amidohydrolase] [protein_id=AVZ42580.1] [location=complement(1411409..1412254)] [gbkey=CDS]</t>
  </si>
  <si>
    <t>ZMO1395</t>
  </si>
  <si>
    <t>lcl|CP023715.1_prot_AVZ42581.1_1216 [locus_tag=ZMO1_ZMO1396] [protein=uncharacterized protein] [protein_id=AVZ42581.1] [location=complement(1412257..1412931)] [gbkey=CDS]</t>
  </si>
  <si>
    <t>lcl|CP023715.1_prot_AVZ42583.1_1218 [locus_tag=ZMO1_ZMO1399] [protein=fatty acid hydroxylase] [protein_id=AVZ42583.1] [location=1413663..1414484] [gbkey=CDS]</t>
  </si>
  <si>
    <t>lcl|CP023715.1_prot_AVZ42584.1_1219 [locus_tag=ZMO1_ZMO1400] [protein=uncharacterized protein] [protein_id=AVZ42584.1] [location=1414620..1415777] [gbkey=CDS]</t>
  </si>
  <si>
    <t>lcl|CP023715.1_prot_AVZ42585.1_1220 [gene=xthA1] [locus_tag=ZMO1_ZMO1401] [protein=exodeoxyribonuclease III XthA] [protein_id=AVZ42585.1] [location=complement(1415856..1416641)] [gbkey=CDS]</t>
  </si>
  <si>
    <t>lcl|CP023715.1_prot_AVZ42586.1_1221 [locus_tag=ZMO1_ZMO1402] [protein=iron-sulfur cluster assembly accessory protein] [protein_id=AVZ42586.1] [location=complement(1416641..1416988)] [gbkey=CDS]</t>
  </si>
  <si>
    <t>lcl|CP023715.1_prot_AVZ42587.1_1222 [locus_tag=ZMO1_ZMO1403] [protein=peptidase M23] [protein_id=AVZ42587.1] [location=complement(1417080..1418093)] [gbkey=CDS]</t>
  </si>
  <si>
    <t>lcl|CP023715.1_prot_AVZ42588.1_1223 [gene=rpoE] [locus_tag=ZMO1_ZMO1404] [protein=DNA-directed RNA polymerase specialized sigma subunit sigma 24 (sigma E) family RpoE] [protein_id=AVZ42588.1] [location=complement(1418307..1419005)] [gbkey=CDS]</t>
  </si>
  <si>
    <t>lcl|CP023715.1_prot_AVZ42589.1_1224 [locus_tag=ZMO1_ZMO1405] [protein=two-component response regulator] [protein_id=AVZ42589.1] [location=complement(1419073..1419867)] [gbkey=CDS]</t>
  </si>
  <si>
    <t>lcl|CP023715.1_prot_AVZ42590.1_1225 [locus_tag=ZMO1_ZMO1406] [protein=alpha/beta hydrolase fold protein] [protein_id=AVZ42590.1] [location=complement(1420097..1420849)] [gbkey=CDS]</t>
  </si>
  <si>
    <t>lcl|CP023715.1_prot_AVZ42591.1_1226 [gene=asd] [locus_tag=ZMO1_ZMO1407] [protein=aspartate-semialdehyde dehydrogenase] [protein_id=AVZ42591.1] [location=complement(1421067..1422092)] [gbkey=CDS]</t>
  </si>
  <si>
    <t>lcl|CP023715.1_prot_AVZ42592.2_1227 [gene=pepX] [locus_tag=ZMO1_ZMO1408] [protein=S9 family peptidase] [protein_id=AVZ42592.2] [location=complement(1422199..1424418)] [gbkey=CDS]</t>
  </si>
  <si>
    <t>lcl|CP023715.1_prot_AVZ42593.1_1228 [gene=cbbF2] [locus_tag=ZMO1_ZMO1409] [protein=inositol monophosphatase] [protein_id=AVZ42593.1] [location=complement(1424584..1425384)] [gbkey=CDS]</t>
  </si>
  <si>
    <t>lcl|CP023715.1_prot_AVZ42595.1_1230 [gene=bfr1] [locus_tag=ZMO1_ZMO1410] [protein=bacterioferritin] [protein_id=AVZ42595.1] [location=1425927..1426418] [gbkey=CDS]</t>
  </si>
  <si>
    <t>lcl|CP023715.1_prot_AVZ42596.1_1231 [gene=fur] [locus_tag=ZMO1_ZMO1411] [protein=ferric uptake regulator Fur family] [protein_id=AVZ42596.1] [location=complement(1426538..1426969)] [gbkey=CDS]</t>
  </si>
  <si>
    <t>lcl|CP023715.1_prot_AVZ42597.1_1232 [locus_tag=ZMO1_ZMO1412] [protein=transcriptional regulator MucR family] [protein_id=AVZ42597.1] [location=complement(1427217..1427630)] [gbkey=CDS]</t>
  </si>
  <si>
    <t>lcl|CP023715.1_prot_AVZ42598.1_1233 [locus_tag=ZMO1_ZMO1413] [protein=ribosomal-protein-alanine N-acetyltransferase] [protein_id=AVZ42598.1] [location=complement(1427806..1428282)] [gbkey=CDS]</t>
  </si>
  <si>
    <t>lcl|CP023715.1_prot_AVZ42599.1_1234 [locus_tag=ZMO1_ZMO1414] [protein=tRNA(adenosine(37)-N6)-threonylcarbamoyltransferase complex dimerization subunit type 1 TsaB] [protein_id=AVZ42599.1] [location=complement(1428279..1428905)] [gbkey=CDS]</t>
  </si>
  <si>
    <t>lcl|CP023715.1_prot_AVZ42600.1_1235 [locus_tag=ZMO1_ZMO1415] [protein=Nfu/NifU-like scaffold protein] [protein_id=AVZ42600.1] [location=complement(1428905..1429456)] [gbkey=CDS]</t>
  </si>
  <si>
    <t>lcl|CP023715.1_prot_AVZ42601.1_1236 [locus_tag=ZMO1_ZMO1417] [protein=putative DEAD/DEAH box helicase] [protein_id=AVZ42601.1] [location=1429907..1431283] [gbkey=CDS]</t>
  </si>
  <si>
    <t>lcl|CP023715.1_prot_AVZ42602.1_1237 [gene=ubiA] [locus_tag=ZMO1_ZMO1419] [protein=4-hydroxybenzoate polyprenyl transferase UbiA] [protein_id=AVZ42602.1] [location=complement(1431842..1432798)] [gbkey=CDS]</t>
  </si>
  <si>
    <t>ZMO1419</t>
  </si>
  <si>
    <t>lcl|CP023715.1_prot_AVZ42603.1_1238 [gene=purE] [locus_tag=ZMO1_ZMO1420] [protein=5-(carboxyamino)imidazole ribonucleotide mutase PurE] [protein_id=AVZ42603.1] [location=1433035..1433574] [gbkey=CDS]</t>
  </si>
  <si>
    <t>lcl|CP023715.1_prot_AVZ42604.1_1239 [gene=purK] [locus_tag=ZMO1_ZMO1421] [protein=phosphoribosylaminoimidazole carboxylase ATPase subunit PurK] [protein_id=AVZ42604.1] [location=1433571..1434659] [gbkey=CDS]</t>
  </si>
  <si>
    <t>lcl|CP023715.1_prot_AVZ42605.1_1240 [locus_tag=ZMO1_ZMO1422] [protein=peptidase M16 domain protein] [protein_id=AVZ42605.1] [location=complement(1434737..1437643)] [gbkey=CDS]</t>
  </si>
  <si>
    <t>lcl|CP023715.1_prot_AVZ42606.1_1241 [locus_tag=ZMO1_ZMO1423] [protein=peptidase M16 domain protein] [protein_id=AVZ42606.1] [location=complement(1437774..1440620)] [gbkey=CDS]</t>
  </si>
  <si>
    <t>lcl|CP023715.1_prot_AVZ42607.1_1242 [gene=clpB] [locus_tag=ZMO1_ZMO1424] [protein=ATP-dependent chaperone ClpB] [protein_id=AVZ42607.1] [location=1440814..1443408] [gbkey=CDS]</t>
  </si>
  <si>
    <t>lcl|CP023715.1_prot_AVZ42608.1_1243 [gene=thiE2] [locus_tag=ZMO1_ZMO1425] [protein=thiamine monophosphate synthase] [protein_id=AVZ42608.1] [location=complement(1443515..1444105)] [gbkey=CDS]</t>
  </si>
  <si>
    <t>lcl|CP023715.1_prot_AVZ42609.1_1244 [locus_tag=ZMO1_ZMO1426] [protein=DNA repair protein RadC] [protein_id=AVZ42609.1] [location=1444265..1444690] [gbkey=CDS]</t>
  </si>
  <si>
    <t>ZMO1426</t>
  </si>
  <si>
    <t>lcl|CP023715.1_prot_AVZ42610.1_1245 [locus_tag=ZMO1_ZMO1428] [protein=diacylglycerol kinase catalytic region] [protein_id=AVZ42610.1] [location=1444947..1445840] [gbkey=CDS]</t>
  </si>
  <si>
    <t>ZMO1428</t>
  </si>
  <si>
    <t>lcl|CP023715.1_prot_AVZ42611.1_1246 [locus_tag=ZMO1_ZMO1429] [protein=NodT family RND efflux system outer membrane lipoprotein] [protein_id=AVZ42611.1] [location=complement(1445966..1447669)] [gbkey=CDS]</t>
  </si>
  <si>
    <t>lcl|CP023715.1_prot_AVZ42612.1_1247 [locus_tag=ZMO1_ZMO1430] [protein=MFP subunit of RND efflux system transporter] [protein_id=AVZ42612.1] [location=complement(1447666..1448763)] [gbkey=CDS]</t>
  </si>
  <si>
    <t>lcl|CP023715.1_prot_AVZ42614.1_1249 [locus_tag=ZMO1_ZMO1432] [protein=membrane protein component of efflux system] [protein_id=AVZ42614.1] [location=complement(1449002..1451032)] [gbkey=CDS]</t>
  </si>
  <si>
    <t>lcl|CP023715.1_prot_AVZ42615.1_1250 [gene=holA] [locus_tag=ZMO1_ZMO1433] [protein=DNA polymerase III delta subunit] [protein_id=AVZ42615.1] [location=complement(1451481..1452494)] [gbkey=CDS]</t>
  </si>
  <si>
    <t>lcl|CP023715.1_prot_AVZ42616.1_1251 [locus_tag=ZMO1_ZMO1434] [protein=uncharacterized protein] [protein_id=AVZ42616.1] [location=complement(1452504..1453103)] [gbkey=CDS]</t>
  </si>
  <si>
    <t>lcl|CP023715.1_prot_AVZ42617.1_1252 [gene=leuS] [locus_tag=ZMO1_ZMO1435] [protein=leucyl-tRNA synthetase] [protein_id=AVZ42617.1] [location=complement(1453115..1455655)] [gbkey=CDS]</t>
  </si>
  <si>
    <t>lcl|CP023715.1_prot_AVZ42618.1_1253 [locus_tag=ZMO1_ZMO1436] [protein=uncharacterized protein] [protein_id=AVZ42618.1] [location=complement(1455673..1456113)] [gbkey=CDS]</t>
  </si>
  <si>
    <t>lcl|CP023715.1_prot_AVZ42620.1_1255 [locus_tag=ZMO1_ZMO1438] [protein=AsnC family transcriptional regulator] [protein_id=AVZ42620.1] [location=1457346..1457807] [gbkey=CDS]</t>
  </si>
  <si>
    <t>ZMO1438</t>
  </si>
  <si>
    <t>lcl|CP023715.1_prot_AVZ42621.1_1256 [locus_tag=ZMO1_ZMO1439] [protein=carbon-nitrogen hydrolase] [protein_id=AVZ42621.1] [location=complement(1457810..1458601)] [gbkey=CDS]</t>
  </si>
  <si>
    <t>lcl|CP023715.1_prot_AVZ42622.1_1257 [locus_tag=ZMO1_ZMO1440] [protein=uncharacterized protein] [protein_id=AVZ42622.1] [location=complement(1458654..1459484)] [gbkey=CDS]</t>
  </si>
  <si>
    <t>ZMO1440</t>
  </si>
  <si>
    <t>lcl|CP023715.1_prot_AVZ42623.1_1258 [locus_tag=ZMO1_ZMO1441] [protein=FAD dependent oxidoreductase] [protein_id=AVZ42623.1] [location=1459974..1461071] [gbkey=CDS]</t>
  </si>
  <si>
    <t>lcl|CP023715.1_prot_AVZ42624.1_1259 [locus_tag=ZMO1_ZMO1442] [protein=uncharacterized protein] [protein_id=AVZ42624.1] [location=complement(1461119..1462018)] [gbkey=CDS]</t>
  </si>
  <si>
    <t>lcl|CP023715.1_prot_AVZ42626.1_1261 [gene=glyS] [locus_tag=ZMO1_ZMO1444] [protein=glycine--tRNA ligase subunit beta] [protein_id=AVZ42626.1] [location=complement(1463904..1465952)] [gbkey=CDS]</t>
  </si>
  <si>
    <t>lcl|CP023715.1_prot_AVZ42627.1_1262 [gene=glyQ] [locus_tag=ZMO1_ZMO1446] [protein=glycine--tRNA ligase subunit alpha] [protein_id=AVZ42627.1] [location=complement(1465956..1466828)] [gbkey=CDS]</t>
  </si>
  <si>
    <t>lcl|CP023715.1_prot_AVZ42628.1_1263 [locus_tag=ZMO1_ZMO1447] [protein=conjugative transfer protein GumN] [protein_id=AVZ42628.1] [location=1467159..1468220] [gbkey=CDS]</t>
  </si>
  <si>
    <t>lcl|CP023715.1_prot_AVZ42629.1_1264 [locus_tag=ZMO1_ZMO1448] [protein=hypothetical protein] [protein_id=AVZ42629.1] [location=complement(1468425..1468817)] [gbkey=CDS]</t>
  </si>
  <si>
    <t>ZMO1448</t>
  </si>
  <si>
    <t>lcl|CP023715.1_prot_AVZ42630.1_1266 [gene=mtlD] [locus_tag=ZMO1_ZMO1449] [protein=mannitol-1-phosphate dehydrogenase] [protein_id=AVZ42630.1] [location=complement(1469052..1470563)] [gbkey=CDS]</t>
  </si>
  <si>
    <t>lcl|CP023715.1_prot_AVZ42631.1_1267 [gene=phrB] [locus_tag=ZMO1_ZMO1450] [protein=deoxyribodipyrimidine photo-lyase] [protein_id=AVZ42631.1] [location=1470982..1472391] [gbkey=CDS]</t>
  </si>
  <si>
    <t>ZMO1450</t>
  </si>
  <si>
    <t>lcl|CP023715.1_prot_AVZ42632.1_1268 [locus_tag=ZMO1_ZMO1451] [protein=purine nucleoside permease] [protein_id=AVZ42632.1] [location=complement(1472489..1473529)] [gbkey=CDS]</t>
  </si>
  <si>
    <t>lcl|CP023715.1_prot_AVZ42634.1_1270 [locus_tag=ZMO1_ZMO1455] [protein=resolvase domain-containing protein] [protein_id=AVZ42634.1] [location=1475141..1475737] [gbkey=CDS]</t>
  </si>
  <si>
    <t>lcl|CP023715.1_prot_AVZ42635.2_1271 [locus_tag=ZMO1_ZMO1456] [protein=LysE family translocator] [protein_id=AVZ42635.2] [location=1476044..1476700] [gbkey=CDS]</t>
  </si>
  <si>
    <t>ZMO1456</t>
  </si>
  <si>
    <t>lcl|CP023715.1_prot_AVZ42636.1_1272 [locus_tag=ZMO1_ZMO1457] [protein=major facilitator superfamily transporter] [protein_id=AVZ42636.1] [location=1476918..1478192] [gbkey=CDS]</t>
  </si>
  <si>
    <t>ZMO1457</t>
  </si>
  <si>
    <t>lcl|CP023715.1_prot_AVZ42639.1_1275 [gene=sseA] [locus_tag=ZMO1_ZMO1460] [protein=3-mercaptopyruvate sulfurtransferase] [protein_id=AVZ42639.1] [location=complement(1480599..1481477)] [gbkey=CDS]</t>
  </si>
  <si>
    <t>lcl|CP023715.1_prot_AVZ42640.1_1276 [locus_tag=ZMO1_ZMO1461] [protein=aminoglycoside phosphotransferase] [protein_id=AVZ42640.1] [location=complement(1481479..1482633)] [gbkey=CDS]</t>
  </si>
  <si>
    <t>lcl|CP023715.1_prot_AVZ42641.1_1277 [locus_tag=ZMO1_ZMO1462] [protein=NMT1/THI5 like domain protein] [protein_id=AVZ42641.1] [location=complement(1482626..1483558)] [gbkey=CDS]</t>
  </si>
  <si>
    <t>lcl|CP023715.1_prot_AVZ42642.1_1278 [locus_tag=ZMO1_ZMO1463] [protein=TonB-dependent receptor] [protein_id=AVZ42642.1] [location=complement(1483573..1485987)] [gbkey=CDS]</t>
  </si>
  <si>
    <t>lcl|CP023715.1_prot_AVZ42644.1_1280 [locus_tag=ZMO1_ZMO1465] [protein=putative amino acid permease] [protein_id=AVZ42644.1] [location=complement(1486577..1487905)] [gbkey=CDS]</t>
  </si>
  <si>
    <t>ZMO1465</t>
  </si>
  <si>
    <t>lcl|CP023715.1_prot_AVZ42645.1_1281 [locus_tag=ZMO1_ZMO1466] [protein=putative alpha/beta hydrolase] [protein_id=AVZ42645.1] [location=complement(1488109..1488918)] [gbkey=CDS]</t>
  </si>
  <si>
    <t>lcl|CP023715.1_prot_AVZ42646.1_1282 [locus_tag=ZMO1_ZMO1467] [protein=ABC-2 type transporter] [protein_id=AVZ42646.1] [location=1489122..1489946] [gbkey=CDS]</t>
  </si>
  <si>
    <t>ZMO1467</t>
  </si>
  <si>
    <t>lcl|CP023715.1_prot_AVZ42647.1_1283 [locus_tag=ZMO1_ZMO1468] [protein=uncharacterized protein] [protein_id=AVZ42647.1] [location=complement(1489988..1492411)] [gbkey=CDS]</t>
  </si>
  <si>
    <t>lcl|CP023715.1_prot_AVZ42648.1_1284 [locus_tag=ZMO1_ZMO1470] [protein=transglycosylase domain-containing protein] [protein_id=AVZ42648.1] [location=complement(1492861..1493757)] [gbkey=CDS]</t>
  </si>
  <si>
    <t>lcl|CP023715.1_prot_AVZ42649.1_1285 [gene=typA] [locus_tag=ZMO1_ZMO1471] [protein=GTP-binding protein TypA/BipA] [protein_id=AVZ42649.1] [location=complement(1493984..1495801)] [gbkey=CDS]</t>
  </si>
  <si>
    <t>lcl|CP023715.1_prot_AVZ42650.1_1286 [locus_tag=ZMO1_ZMO1473] [protein=uncharacterized protein] [protein_id=AVZ42650.1] [location=1496296..1496982] [gbkey=CDS]</t>
  </si>
  <si>
    <t>lcl|CP023715.1_prot_AVZ42651.1_1287 [locus_tag=ZMO1_ZMO1475] [protein=TonB-dependent receptor plug domain] [protein_id=AVZ42651.1] [location=1497476..1499938] [gbkey=CDS]</t>
  </si>
  <si>
    <t>lcl|CP023715.1_prot_AVZ42652.1_1288 [locus_tag=ZMO1_ZMO1476] [protein=uncharacterized protein] [protein_id=AVZ42652.1] [location=1500174..1500497] [gbkey=CDS]</t>
  </si>
  <si>
    <t>lcl|CP023715.1_prot_AVZ42653.1_1289 [locus_tag=ZMO1_ZMO1477] [protein=uncharacterized protein] [protein_id=AVZ42653.1] [location=complement(1500519..1501412)] [gbkey=CDS]</t>
  </si>
  <si>
    <t>ZMO1477</t>
  </si>
  <si>
    <t>lcl|CP023715.1_prot_AVZ42654.1_1290 [gene=pgl] [locus_tag=ZMO1_ZMO1478] [protein=6-phosphogluconolactonase] [protein_id=AVZ42654.1] [location=complement(1501470..1502177)] [gbkey=CDS]</t>
  </si>
  <si>
    <t>lcl|CP023715.1_prot_AVZ42655.1_1291 [gene=etfA] [locus_tag=ZMO1_ZMO1479] [protein=electron transfer flavoprotein subunit alpha] [protein_id=AVZ42655.1] [location=complement(1502510..1503442)] [gbkey=CDS]</t>
  </si>
  <si>
    <t>lcl|CP023715.1_prot_AVZ42656.1_1292 [gene=etfB] [locus_tag=ZMO1_ZMO1480] [protein=electron transfer flavoprotein subunit beta] [protein_id=AVZ42656.1] [location=complement(1503439..1504188)] [gbkey=CDS]</t>
  </si>
  <si>
    <t>lcl|CP023715.1_prot_AVZ42657.1_1293 [gene=sucC] [locus_tag=ZMO1_ZMO1481] [protein=succinyl-CoA ligase subunit beta] [protein_id=AVZ42657.1] [location=complement(1504251..1505447)] [gbkey=CDS]</t>
  </si>
  <si>
    <t>lcl|CP023715.1_prot_AVZ42660.1_1296 [locus_tag=ZMO1_ZMO1484] [protein=UvrD/REP helicase] [protein_id=AVZ42660.1] [location=complement(1509485..1512628)] [gbkey=CDS]</t>
  </si>
  <si>
    <t>lcl|CP023715.1_prot_AVZ42661.1_1297 [locus_tag=ZMO1_ZMO1485] [protein=deoxyguanosinetriphosphate triphosphohydrolase] [protein_id=AVZ42661.1] [location=1512733..1514073] [gbkey=CDS]</t>
  </si>
  <si>
    <t>lcl|CP023715.1_prot_AVZ42662.1_1298 [locus_tag=ZMO1_ZMO1487] [protein=diguanylate phosphodiesterase] [protein_id=AVZ42662.1] [location=complement(1514393..1515169)] [gbkey=CDS]</t>
  </si>
  <si>
    <t>ZMO1487</t>
  </si>
  <si>
    <t>lcl|CP023715.1_prot_AVZ42663.1_1299 [gene=kdsA] [locus_tag=ZMO1_ZMO1488] [protein=2-dehydro-3-deoxyphosphooctonate aldolase] [protein_id=AVZ42663.1] [location=complement(1515302..1516180)] [gbkey=CDS]</t>
  </si>
  <si>
    <t>lcl|CP023715.1_prot_AVZ42664.1_1300 [gene=kdsB] [locus_tag=ZMO1_ZMO1489] [protein=3-deoxy-D-manno-octulosonate cytidylyltransferase] [protein_id=AVZ42664.1] [location=complement(1516197..1516997)] [gbkey=CDS]</t>
  </si>
  <si>
    <t>lcl|CP023715.1_prot_AVZ42665.1_1301 [locus_tag=ZMO1_ZMO1490] [protein=putative outer membrane associated protein] [protein_id=AVZ42665.1] [location=1517390..1518004] [gbkey=CDS]</t>
  </si>
  <si>
    <t>lcl|CP023715.1_prot_AVZ42666.1_1302 [locus_tag=ZMO1_ZMO1491] [protein=uncharacterized protein] [protein_id=AVZ42666.1] [location=1518299..1519102] [gbkey=CDS]</t>
  </si>
  <si>
    <t>lcl|CP023715.1_prot_AVZ42667.1_1304 [locus_tag=ZMO1_ZMO1493] [protein=putative membrane protein] [protein_id=AVZ42667.1] [location=complement(1519906..1520484)] [gbkey=CDS]</t>
  </si>
  <si>
    <t>ZMO1493</t>
  </si>
  <si>
    <t>lcl|CP023715.1_prot_AVZ42668.1_1305 [gene=argB] [locus_tag=ZMO1_ZMO1494] [protein=acetylglutamate kinase] [protein_id=AVZ42668.1] [location=complement(1520505..1521410)] [gbkey=CDS]</t>
  </si>
  <si>
    <t>lcl|CP023715.1_prot_AVZ42670.1_1307 [gene=ppc] [locus_tag=ZMO1_ZMO1496] [protein=phosphoenolpyruvate carboxylase] [protein_id=AVZ42670.1] [location=1522633..1525290] [gbkey=CDS]</t>
  </si>
  <si>
    <t>lcl|CP023715.1_prot_AVZ42671.1_1308 [locus_tag=ZMO1_ZMO1497] [protein=amino acid/polyamine transporter] [protein_id=AVZ42671.1] [location=complement(1525434..1526930)] [gbkey=CDS]</t>
  </si>
  <si>
    <t>lcl|CP023715.1_prot_AVZ42672.1_1309 [gene=apaH1] [locus_tag=ZMO1_ZMO1498] [protein=diadenosine tetraphosphate hydrolase] [protein_id=AVZ42672.1] [location=complement(1527262..1527639)] [gbkey=CDS]</t>
  </si>
  <si>
    <t>lcl|CP023715.1_prot_AVZ42673.1_1310 [gene=hisE] [locus_tag=ZMO1_ZMO1499] [protein=phosphoribosyl-ATP pyrophosphatase] [protein_id=AVZ42673.1] [location=complement(1527785..1528108)] [gbkey=CDS]</t>
  </si>
  <si>
    <t>lcl|CP023715.1_prot_AVZ42674.1_1311 [gene=hisF] [locus_tag=ZMO1_ZMO1500] [protein=imidazole glycerol phosphate synthase cyclase subunit] [protein_id=AVZ42674.1] [location=complement(1528213..1528980)] [gbkey=CDS]</t>
  </si>
  <si>
    <t>lcl|CP023715.1_prot_AVZ42675.1_1312 [gene=hisA] [locus_tag=ZMO1_ZMO1501] [protein=1-(5-phosphoribosyl)-5-[(5-phosphoribosylamino)methylideneamino] imidazole-4-carboxamide isomerase] [protein_id=AVZ42675.1] [location=complement(1528977..1529729)] [gbkey=CDS</t>
  </si>
  <si>
    <t>lcl|CP023715.1_prot_AVZ42676.1_1313 [gene=hisH] [locus_tag=ZMO1_ZMO1502] [protein=imidazole glycerol phosphate synthase subunit HisH] [protein_id=AVZ42676.1] [location=complement(1529834..1530475)] [gbkey=CDS]</t>
  </si>
  <si>
    <t>lcl|CP023715.1_prot_AVZ42677.1_1314 [gene=hisB] [locus_tag=ZMO1_ZMO1503] [protein=Imidazoleglycerol-phosphate dehydratase] [protein_id=AVZ42677.1] [location=complement(1530477..1531097)] [gbkey=CDS]</t>
  </si>
  <si>
    <t>lcl|CP023715.1_prot_AVZ42678.1_1315 [locus_tag=ZMO1_ZMO1504] [protein=DUF1321 domain-containing protein] [protein_id=AVZ42678.1] [location=1531155..1531646] [gbkey=CDS]</t>
  </si>
  <si>
    <t>lcl|CP023715.1_prot_AVZ42679.1_1317 [locus_tag=ZMO1_ZMO1506] [protein=uncharacterized protein] [protein_id=AVZ42679.1] [location=1531869..1532207] [gbkey=CDS]</t>
  </si>
  <si>
    <t>lcl|CP023715.1_prot_AVZ42680.1_1318 [gene=ppa] [locus_tag=ZMO1_ZMO1507] [protein=inorganic diphosphatase] [protein_id=AVZ42680.1] [location=complement(1532278..1532811)] [gbkey=CDS]</t>
  </si>
  <si>
    <t>lcl|CP023715.1_prot_AVZ42681.1_1319 [gene=hisS] [locus_tag=ZMO1_ZMO1508] [protein=histidine--tRNA ligase] [protein_id=AVZ42681.1] [location=1533017..1534276] [gbkey=CDS]</t>
  </si>
  <si>
    <t>lcl|CP023715.1_prot_AVZ42682.1_1320 [gene=prfA] [locus_tag=ZMO1_ZMO1509] [protein=peptide chain release factor 1] [protein_id=AVZ42682.1] [location=1534273..1535349] [gbkey=CDS]</t>
  </si>
  <si>
    <t>lcl|CP023715.1_prot_AVZ42683.1_1321 [gene=prmC] [locus_tag=ZMO1_ZMO1510] [protein=protein-(glutamine-N5) methyltransferase release factor-specific] [protein_id=AVZ42683.1] [location=1535342..1536202] [gbkey=CDS]</t>
  </si>
  <si>
    <t>lcl|CP023715.1_prot_AVZ42684.1_1322 [locus_tag=ZMO1_ZMO1511] [protein=uncharacterized protein] [protein_id=AVZ42684.1] [location=1536513..1537586] [gbkey=CDS]</t>
  </si>
  <si>
    <t>lcl|CP023715.1_prot_AVZ42685.1_1323 [locus_tag=ZMO1_ZMO1512] [protein=ABC transporter related protein] [protein_id=AVZ42685.1] [location=complement(1537648..1539435)] [gbkey=CDS]</t>
  </si>
  <si>
    <t>lcl|CP023715.1_prot_AVZ42686.1_1324 [gene=pheT] [locus_tag=ZMO1_ZMO1513] [protein=phenylalanine--tRNA ligase subunit beta] [protein_id=AVZ42686.1] [location=complement(1539512..1541881)] [gbkey=CDS]</t>
  </si>
  <si>
    <t>lcl|CP023715.1_prot_AVZ42687.2_1325 [gene=pheS] [locus_tag=ZMO1_ZMO1514] [protein=phenylalanine--tRNA ligase subunit alpha] [protein_id=AVZ42687.2] [location=complement(1541878..1543002)] [gbkey=CDS]</t>
  </si>
  <si>
    <t>lcl|CP023715.1_prot_AVZ42689.1_1327 [gene=rplT] [locus_tag=ZMO1_ZMO1515] [protein=ribosomal protein L20] [protein_id=AVZ42689.1] [location=complement(1543267..1543644)] [gbkey=CDS]</t>
  </si>
  <si>
    <t>lcl|CP023715.1_prot_AVZ42690.1_1328 [gene=rpmI] [locus_tag=ZMO1_ZMO1516] [protein=ribosomal protein L35] [protein_id=AVZ42690.1] [location=complement(1543658..1543861)] [gbkey=CDS]</t>
  </si>
  <si>
    <t>lcl|CP023715.1_prot_AVZ42691.1_1329 [gene=cbbF3] [locus_tag=ZMO1_ZMO1518] [protein=inositol monophosphatase] [protein_id=AVZ42691.1] [location=complement(1544007..1544786)] [gbkey=CDS]</t>
  </si>
  <si>
    <t>lcl|CP023715.1_prot_AVZ42692.1_1330 [gene=prs] [locus_tag=ZMO1_ZMO1519] [protein=ribose-phosphate pyrophosphokinase] [protein_id=AVZ42692.1] [location=complement(1544832..1545767)] [gbkey=CDS]</t>
  </si>
  <si>
    <t>lcl|CP023715.1_prot_AVZ42693.1_1331 [locus_tag=ZMO1_ZMO1520] [protein=uncharacterized protein] [protein_id=AVZ42693.1] [location=complement(1545972..1546202)] [gbkey=CDS]</t>
  </si>
  <si>
    <t>lcl|CP023715.1_prot_AVZ42694.1_1332 [locus_tag=ZMO1_ZMO1521] [protein=uncharacterized protein] [protein_id=AVZ42694.1] [location=complement(1546351..1546929)] [gbkey=CDS]</t>
  </si>
  <si>
    <t>lcl|CP023715.1_prot_AVZ42695.1_1333 [locus_tag=ZMO1_ZMO1522] [protein=TonB-dependent receptor] [protein_id=AVZ42695.1] [location=1547435..1550467] [gbkey=CDS]</t>
  </si>
  <si>
    <t>lcl|CP023715.1_prot_AVZ42696.1_1334 [locus_tag=ZMO1_ZMO1524] [protein=EamA domain-containing protein] [protein_id=AVZ42696.1] [location=1550853..1551782] [gbkey=CDS]</t>
  </si>
  <si>
    <t>ZMO1524</t>
  </si>
  <si>
    <t>lcl|CP023715.1_prot_AVZ42697.1_1335 [locus_tag=ZMO1_ZMO1525] [protein=multidrug efflux pump subunit TolC] [protein_id=AVZ42697.1] [location=complement(1551850..1554933)] [gbkey=CDS]</t>
  </si>
  <si>
    <t>lcl|CP023715.1_prot_AVZ42698.1_1336 [locus_tag=ZMO1_ZMO1527] [protein=multidrug efflux pump subunit AcrB] [protein_id=AVZ42698.1] [location=complement(1555088..1558387)] [gbkey=CDS]</t>
  </si>
  <si>
    <t>lcl|CP023715.1_prot_AVZ42699.1_1337 [locus_tag=ZMO1_ZMO1528] [protein=multidrug efflux pump subunit AcrB] [protein_id=AVZ42699.1] [location=complement(1558384..1561482)] [gbkey=CDS]</t>
  </si>
  <si>
    <t>lcl|CP023715.1_prot_AVZ42700.1_1338 [locus_tag=ZMO1_ZMO1529] [protein=multidrug efflux pump subunit AcrA] [protein_id=AVZ42700.1] [location=complement(1561522..1562844)] [gbkey=CDS]</t>
  </si>
  <si>
    <t>lcl|CP023715.1_prot_AVZ42701.1_1339 [locus_tag=ZMO1_ZMO1530] [protein=KpsF/GutQ family protein] [protein_id=AVZ42701.1] [location=1563299..1564309] [gbkey=CDS]</t>
  </si>
  <si>
    <t>lcl|CP023715.1_prot_AVZ42702.1_1340 [gene=purS] [locus_tag=ZMO1_ZMO1531] [protein=phosphoribosylformylglycinamidine synthase subunit PurS] [protein_id=AVZ42702.1] [location=1564482..1564715] [gbkey=CDS]</t>
  </si>
  <si>
    <t>lcl|CP023715.1_prot_AVZ42703.1_1341 [gene=purQ] [locus_tag=ZMO1_ZMO1532] [protein=phosphoribosylformylglycinamidine synthase subunit PurQ] [protein_id=AVZ42703.1] [location=1564715..1565380] [gbkey=CDS]</t>
  </si>
  <si>
    <t>lcl|CP023715.1_prot_AVZ42705.1_1343 [locus_tag=ZMO1_ZMO1536] [protein=ATPase involved in DNA repair] [protein_id=AVZ42705.1] [location=complement(1567533..1569200)] [gbkey=CDS]</t>
  </si>
  <si>
    <t>lcl|CP023715.1_prot_AVZ42706.1_1344 [gene=dnaE] [locus_tag=ZMO1_ZMO1538] [protein=DNA polymerase III alpha subunit] [protein_id=AVZ42706.1] [location=complement(1570133..1573657)] [gbkey=CDS]</t>
  </si>
  <si>
    <t>lcl|CP023715.1_prot_AVZ42707.1_1345 [gene=feoA] [locus_tag=ZMO1_ZMO1540] [protein=FeoA family protein] [protein_id=AVZ42707.1] [location=1574010..1574312] [gbkey=CDS]</t>
  </si>
  <si>
    <t>lcl|CP023715.1_prot_AVZ42708.1_1346 [gene=feoB] [locus_tag=ZMO1_ZMO1541] [protein=ferrous iron transport protein B] [protein_id=AVZ42708.1] [location=1574318..1576243] [gbkey=CDS]</t>
  </si>
  <si>
    <t>lcl|CP023715.1_prot_AVZ42709.1_1347 [gene=ssb] [locus_tag=ZMO1_ZMO1542] [protein=single-strand binding protein] [protein_id=AVZ42709.1] [location=1576339..1576920] [gbkey=CDS]</t>
  </si>
  <si>
    <t>lcl|CP023715.1_prot_AVZ42710.1_1348 [gene=cobT] [locus_tag=ZMO1_ZMO1543] [protein=cobalt chelatase subunit CobT] [protein_id=AVZ42710.1] [location=complement(1576994..1578856)] [gbkey=CDS]</t>
  </si>
  <si>
    <t>lcl|CP023715.1_prot_AVZ42711.1_1349 [gene=cobS] [locus_tag=ZMO1_ZMO1544] [protein=cobalt chelatase subunit CobS] [protein_id=AVZ42711.1] [location=complement(1578863..1579846)] [gbkey=CDS]</t>
  </si>
  <si>
    <t>lcl|CP023715.1_prot_AVZ42712.1_1350 [locus_tag=ZMO1_ZMO1545] [protein=heat shock protein DnaJ domain protein] [protein_id=AVZ42712.1] [location=complement(1579875..1580498)] [gbkey=CDS]</t>
  </si>
  <si>
    <t>lcl|CP023715.1_prot_AVZ42713.1_1351 [locus_tag=ZMO1_ZMO1547] [protein=transcriptional regulator TetR family] [protein_id=AVZ42713.1] [location=1580633..1581199] [gbkey=CDS]</t>
  </si>
  <si>
    <t>lcl|CP023715.1_prot_AVZ42714.1_1352 [gene=shc2] [locus_tag=ZMO1_ZMO1548] [protein=squalene-hopene cyclase] [protein_id=AVZ42714.1] [location=1581215..1583392] [gbkey=CDS]</t>
  </si>
  <si>
    <t>lcl|CP023715.1_prot_AVZ42715.1_1353 [gene=bolA1] [locus_tag=ZMO1_ZMO1549] [protein=BolA family protein] [protein_id=AVZ42715.1] [location=1583757..1584062] [gbkey=CDS]</t>
  </si>
  <si>
    <t>lcl|CP023715.1_prot_AVZ42716.1_1354 [gene=hisG] [locus_tag=ZMO1_ZMO1550] [protein=ATP phosphoribosyltransferase] [protein_id=AVZ42716.1] [location=1584151..1584819] [gbkey=CDS]</t>
  </si>
  <si>
    <t>lcl|CP023715.1_prot_AVZ42717.1_1355 [gene=hisD] [locus_tag=ZMO1_ZMO1551] [protein=histidinol dehydrogenase] [protein_id=AVZ42717.1] [location=1584809..1586101] [gbkey=CDS]</t>
  </si>
  <si>
    <t>lcl|CP023715.1_prot_AVZ42718.1_1356 [gene=nusB] [locus_tag=ZMO1_ZMO1552] [protein=transcription antitermination factor NusB] [protein_id=AVZ42718.1] [location=1586101..1586574] [gbkey=CDS]</t>
  </si>
  <si>
    <t>lcl|CP023715.1_prot_AVZ42719.1_1357 [gene=thiL] [locus_tag=ZMO1_ZMO1553] [protein=thiamine-monophosphate kinase] [protein_id=AVZ42719.1] [location=1586593..1587558] [gbkey=CDS]</t>
  </si>
  <si>
    <t>lcl|CP023715.1_prot_AVZ42720.1_1358 [locus_tag=ZMO1_ZMO1554] [protein=16S rRNA (uracil(1498)-N(3))-methyltransferase] [protein_id=AVZ42720.1] [location=1587867..1588637] [gbkey=CDS]</t>
  </si>
  <si>
    <t>lcl|CP023715.1_prot_AVZ42721.1_1359 [gene=gshA] [locus_tag=ZMO1_ZMO1556] [protein=glutamate--cysteine ligase] [protein_id=AVZ42721.1] [location=1588943..1590331] [gbkey=CDS]</t>
  </si>
  <si>
    <t>lcl|CP023715.1_prot_AVZ42722.1_1360 [gene=purF] [locus_tag=ZMO1_ZMO1557] [protein=amidophosphoribosyltransferase] [protein_id=AVZ42722.1] [location=1590754..1592280] [gbkey=CDS]</t>
  </si>
  <si>
    <t>lcl|CP023715.1_prot_AVZ42723.1_1361 [locus_tag=ZMO1_ZMO1561] [protein=short-chain dehydrogenase/reductase SDR] [protein_id=AVZ42723.1] [location=1593725..1594429] [gbkey=CDS]</t>
  </si>
  <si>
    <t>lcl|CP023715.1_prot_AVZ42724.1_1362 [locus_tag=ZMO1_ZMO1562] [protein=RNA pyrophosphohydrolase] [protein_id=AVZ42724.1] [location=1594496..1594963] [gbkey=CDS]</t>
  </si>
  <si>
    <t>lcl|CP023715.1_prot_AVZ42725.1_1363 [locus_tag=ZMO1_ZMO1563] [protein=DUF481 domain-containing protein] [protein_id=AVZ42725.1] [location=1594988..1595971] [gbkey=CDS]</t>
  </si>
  <si>
    <t>lcl|CP023715.1_prot_AVZ42728.1_1366 [locus_tag=ZMO1_ZMO1567] [protein=aminoglycoside phosphotransferase] [protein_id=AVZ42728.1] [location=complement(1597562..1598734)] [gbkey=CDS]</t>
  </si>
  <si>
    <t>ZMO1567</t>
  </si>
  <si>
    <t>lcl|CP023715.1_prot_AVZ42729.1_1367 [locus_tag=ZMO1_ZMO1568] [protein=TonB-dependent receptor] [protein_id=AVZ42729.1] [location=complement(1598747..1601155)] [gbkey=CDS]</t>
  </si>
  <si>
    <t>lcl|CP023715.1_prot_AVZ42730.1_1368 [gene=pflA2] [locus_tag=ZMO1_ZMO1569] [protein=pyruvate formate-lyase 1-activating enzyme] [protein_id=AVZ42730.1] [location=complement(1601329..1602120)] [gbkey=CDS]</t>
  </si>
  <si>
    <t>lcl|CP023715.1_prot_AVZ42731.1_1369 [gene=pfl] [locus_tag=ZMO1_ZMO1570] [protein=formate acetyltransferase] [protein_id=AVZ42731.1] [location=complement(1602104..1604419)] [gbkey=CDS]</t>
  </si>
  <si>
    <t>lcl|CP023715.1_prot_AVZ42732.1_1371 [gene=cydA] [locus_tag=ZMO1_ZMO1571] [protein=cytochrome bd ubiquinol oxidase subunit I] [protein_id=AVZ42732.1] [location=1605183..1606613] [gbkey=CDS]</t>
  </si>
  <si>
    <t>lcl|CP023715.1_prot_AVZ42733.1_1372 [gene=cydB] [locus_tag=ZMO1_ZMO1572] [protein=cytochrome d ubiquinol oxidase subunit II] [protein_id=AVZ42733.1] [location=1606620..1607642] [gbkey=CDS]</t>
  </si>
  <si>
    <t>ZMO1572</t>
  </si>
  <si>
    <t>lcl|CP023715.1_prot_AVZ42735.1_1374 [locus_tag=ZMO1_ZMO1573] [protein=Dyp-type peroxidase family] [protein_id=AVZ42735.1] [location=1607952..1608881] [gbkey=CDS]</t>
  </si>
  <si>
    <t>lcl|CP023715.1_prot_AVZ42736.1_1375 [locus_tag=ZMO1_ZMO1574] [protein=LysR family transcriptional regulator] [protein_id=AVZ42736.1] [location=1609001..1609915] [gbkey=CDS]</t>
  </si>
  <si>
    <t>lcl|CP023715.1_prot_AVZ42737.1_1376 [locus_tag=ZMO1_ZMO1576] [protein=short-chain dehydrogenase/reductase SDR] [protein_id=AVZ42737.1] [location=1610108..1610854] [gbkey=CDS]</t>
  </si>
  <si>
    <t>lcl|CP023715.1_prot_AVZ42739.1_1378 [locus_tag=ZMO1_ZMO1578] [protein=short-chain dehydrogenase/reductase SDR] [protein_id=AVZ42739.1] [location=1612355..1613143] [gbkey=CDS]</t>
  </si>
  <si>
    <t>lcl|CP023715.1_prot_AVZ42740.1_1379 [locus_tag=ZMO1_ZMO1579] [protein=alpha/beta hydrolase] [protein_id=AVZ42740.1] [location=1613207..1614328] [gbkey=CDS]</t>
  </si>
  <si>
    <t>ZMO1579</t>
  </si>
  <si>
    <t>lcl|CP023715.1_prot_AVZ42741.1_1380 [locus_tag=ZMO1_ZMO1581] [protein=antibiotic biosynthesis monooxygenase] [protein_id=AVZ42741.1] [location=1621029..1621325] [gbkey=CDS]</t>
  </si>
  <si>
    <t>lcl|CP023715.1_prot_AVZ42742.2_1381 [locus_tag=ZMO1_ZMO1582] [protein=uracil-DNA glycosylase-like protein] [protein_id=AVZ42742.2] [location=complement(1621373..1621864)] [gbkey=CDS]</t>
  </si>
  <si>
    <t>ZMO1582</t>
  </si>
  <si>
    <t>lcl|CP023715.1_prot_AVZ42743.1_1382 [gene=gyrB2] [locus_tag=ZMO1_ZMO1583] [protein=DNA gyrase B subunit] [protein_id=AVZ42743.1] [location=complement(1622248..1624686)] [gbkey=CDS]</t>
  </si>
  <si>
    <t>lcl|CP023715.1_prot_AVZ42744.1_1383 [gene=recF] [locus_tag=ZMO1_ZMO1584] [protein=DNA replication and repair protein RecF] [protein_id=AVZ42744.1] [location=complement(1624829..1625959)] [gbkey=CDS]</t>
  </si>
  <si>
    <t>lcl|CP023715.1_prot_AVZ42745.1_1384 [gene=bfr2] [locus_tag=ZMO1_ZMO1586] [protein=bacterioferritin] [protein_id=AVZ42745.1] [location=1626074..1626547] [gbkey=CDS]</t>
  </si>
  <si>
    <t>lcl|CP023715.1_prot_AVZ42746.1_1385 [locus_tag=ZMO1_ZMO1587] [protein=hypothetical protein] [protein_id=AVZ42746.1] [location=1626634..1626987] [gbkey=CDS]</t>
  </si>
  <si>
    <t>lcl|CP023715.1_prot_AVZ42747.1_1386 [gene=uvrA] [locus_tag=ZMO1_ZMO1588] [protein=excinuclease ABC A subunit] [protein_id=AVZ42747.1] [location=1627145..1629985] [gbkey=CDS]</t>
  </si>
  <si>
    <t>lcl|CP023715.1_prot_AVZ42748.1_1387 [locus_tag=ZMO1_ZMO1589] [protein=toll/interleukin-1 receptor (TIR) domain-containing protein] [protein_id=AVZ42748.1] [location=1630156..1631085] [gbkey=CDS]</t>
  </si>
  <si>
    <t>lcl|CP023715.1_prot_AVZ42749.1_1388 [locus_tag=ZMO1_ZMO1590] [protein=ABC transporter related protein] [protein_id=AVZ42749.1] [location=complement(1631196..1631957)] [gbkey=CDS]</t>
  </si>
  <si>
    <t>lcl|CP023715.1_prot_AVZ42750.1_1389 [locus_tag=ZMO1_ZMO1591] [protein=ABC transporter permease] [protein_id=AVZ42750.1] [location=complement(1631966..1632787)] [gbkey=CDS]</t>
  </si>
  <si>
    <t>ZMO1591</t>
  </si>
  <si>
    <t>lcl|CP023715.1_prot_AVZ42751.1_1390 [gene=alr] [locus_tag=ZMO1_ZMO1592] [protein=alanine racemase] [protein_id=AVZ42751.1] [location=complement(1632788..1633837)] [gbkey=CDS]</t>
  </si>
  <si>
    <t>lcl|CP023715.1_prot_AVZ42752.1_1391 [locus_tag=ZMO1_ZMO1593] [protein=peptidase M61 domain-containing protein] [protein_id=AVZ42752.1] [location=complement(1633921..1635855)] [gbkey=CDS]</t>
  </si>
  <si>
    <t>lcl|CP023715.1_prot_AVZ42753.1_1393 [gene=adhB] [locus_tag=ZMO1_ZMO1596] [protein=iron-containing alcohol dehydrogenase] [protein_id=AVZ42753.1] [location=1637039..1638190] [gbkey=CDS]</t>
  </si>
  <si>
    <t>lcl|CP023715.1_prot_AVZ42754.1_1394 [gene=dxs2] [locus_tag=ZMO1_ZMO1598] [protein=1-deoxy-D-xylulose-5-phosphate synthase] [protein_id=AVZ42754.1] [location=1638584..1640566] [gbkey=CDS]</t>
  </si>
  <si>
    <t>lcl|CP023715.1_prot_AVZ42755.1_1395 [locus_tag=ZMO1_ZMO1599] [protein=hopanoid biosynthesis associated RND transporter like protein HpnN] [protein_id=AVZ42755.1] [location=1640659..1643268] [gbkey=CDS]</t>
  </si>
  <si>
    <t>lcl|CP023715.1_prot_AVZ42756.1_1396 [gene=thrB] [locus_tag=ZMO1_ZMO1600] [protein=homoserine kinase] [protein_id=AVZ42756.1] [location=1643502..1644464] [gbkey=CDS]</t>
  </si>
  <si>
    <t>lcl|CP023715.1_prot_AVZ42757.1_1397 [gene=rnhA] [locus_tag=ZMO1_ZMO1601] [protein=ribonuclease H] [protein_id=AVZ42757.1] [location=1644469..1644939] [gbkey=CDS]</t>
  </si>
  <si>
    <t>lcl|CP023715.1_prot_AVZ42758.1_1398 [locus_tag=ZMO1_ZMO1602] [protein=peptidase] [protein_id=AVZ42758.1] [location=1645080..1646537] [gbkey=CDS]</t>
  </si>
  <si>
    <t>lcl|CP023715.1_prot_AVZ42759.1_1399 [locus_tag=ZMO1_ZMO1603] [protein=putative protein tyrosine phosphatase] [protein_id=AVZ42759.1] [location=1646821..1647267] [gbkey=CDS]</t>
  </si>
  <si>
    <t>lcl|CP023715.1_prot_AVZ42760.1_1400 [locus_tag=ZMO1_ZMO1604] [protein=phosphodiesterase I] [protein_id=AVZ42760.1] [location=complement(1647303..1648592)] [gbkey=CDS]</t>
  </si>
  <si>
    <t>lcl|CP023715.1_prot_AVZ42761.1_1401 [gene=pdhB] [locus_tag=ZMO1_ZMO1605] [protein=pyruvate dehydrogenase E1 component subunit beta] [protein_id=AVZ42761.1] [location=complement(1648707..1650095)] [gbkey=CDS]</t>
  </si>
  <si>
    <t>lcl|CP023715.1_prot_AVZ42762.1_1402 [gene=pdhA] [locus_tag=ZMO1_ZMO1606] [protein=pyruvate dehydrogenase E1 component subunit alpha] [protein_id=AVZ42762.1] [location=complement(1650097..1651161)] [gbkey=CDS]</t>
  </si>
  <si>
    <t>lcl|CP023715.1_prot_AVZ42764.1_1404 [gene=eno] [locus_tag=ZMO1_ZMO1608] [protein=enolase] [protein_id=AVZ42764.1] [location=complement(1651937..1653226)] [gbkey=CDS]</t>
  </si>
  <si>
    <t>lcl|CP023715.1_prot_AVZ42765.1_1405 [locus_tag=ZMO1_ZMO1609] [protein=uncharacterized protein] [protein_id=AVZ42765.1] [location=1653428..1654057] [gbkey=CDS]</t>
  </si>
  <si>
    <t>lcl|CP023715.1_prot_AVZ42766.1_1406 [locus_tag=ZMO1_ZMO1610] [protein=uncharacterized protein] [protein_id=AVZ42766.1] [location=1654060..1654581] [gbkey=CDS]</t>
  </si>
  <si>
    <t>lcl|CP023715.1_prot_AVZ42767.1_1407 [locus_tag=ZMO1_ZMO1611] [protein=uncharacterized protein] [protein_id=AVZ42767.1] [location=1654636..1654971] [gbkey=CDS]</t>
  </si>
  <si>
    <t>lcl|CP023715.1_prot_AVZ42768.1_1408 [locus_tag=ZMO1_ZMO1612] [protein=toluene tolerance family protein] [protein_id=AVZ42768.1] [location=1655229..1655813] [gbkey=CDS]</t>
  </si>
  <si>
    <t>lcl|CP023715.1_prot_AVZ42770.1_1410 [gene=greA] [locus_tag=ZMO1_ZMO1615] [protein=transcription elongation factor GreA] [protein_id=AVZ42770.1] [location=complement(1656808..1657284)] [gbkey=CDS]</t>
  </si>
  <si>
    <t>lcl|CP023715.1_prot_AVZ42771.1_1411 [gene=carB] [locus_tag=ZMO1_ZMO1617] [protein=carbamoyl-phosphate synthase large chain] [protein_id=AVZ42771.1] [location=complement(1657366..1660698)] [gbkey=CDS]</t>
  </si>
  <si>
    <t>ZMO1617</t>
  </si>
  <si>
    <t>lcl|CP023715.1_prot_AVZ42772.1_1412 [gene=carA] [locus_tag=ZMO1_ZMO1618] [protein=carbamoyl-phosphate synthase small subunit] [protein_id=AVZ42772.1] [location=complement(1660766..1661938)] [gbkey=CDS]</t>
  </si>
  <si>
    <t>lcl|CP023715.1_prot_AVZ42773.1_1413 [locus_tag=ZMO1_ZMO1619] [protein=GatB/YqeY domain-containing protein] [protein_id=AVZ42773.1] [location=1662190..1662648] [gbkey=CDS]</t>
  </si>
  <si>
    <t>lcl|CP023715.1_prot_AVZ42775.1_1415 [gene=dnaG] [locus_tag=ZMO1_ZMO1622] [protein=DNA primase] [protein_id=AVZ42775.1] [location=1663576..1665462] [gbkey=CDS]</t>
  </si>
  <si>
    <t>lcl|CP023715.1_prot_AVZ42776.1_1416 [gene=rpoD] [locus_tag=ZMO1_ZMO1623] [protein=RNA polymerase sigma 70 subunit RpoD] [protein_id=AVZ42776.1] [location=1665463..1667478] [gbkey=CDS]</t>
  </si>
  <si>
    <t>lcl|CP023715.1_prot_AVZ42777.1_1417 [locus_tag=ZMO1_ZMO1624] [protein=ATP-binding protein] [protein_id=AVZ42777.1] [location=complement(1667563..1669077)] [gbkey=CDS]</t>
  </si>
  <si>
    <t>lcl|CP023715.1_prot_AVZ42778.1_1418 [gene=rnpA] [locus_tag=ZMO1_ZMO1625] [protein=ribonuclease P protein component] [protein_id=AVZ42778.1] [location=1669348..1669812] [gbkey=CDS]</t>
  </si>
  <si>
    <t>lcl|CP023715.1_prot_AVZ42779.1_1419 [gene=yidC] [locus_tag=ZMO1_ZMO1626] [protein=YidC translocase/secretase] [protein_id=AVZ42779.1] [location=1670039..1671778] [gbkey=CDS]</t>
  </si>
  <si>
    <t>lcl|CP023715.1_prot_AVZ42780.1_1420 [gene=engB] [locus_tag=ZMO1_ZMO1627] [protein=GTP-binding protein HSR1-related protein] [protein_id=AVZ42780.1] [location=1671787..1672425] [gbkey=CDS]</t>
  </si>
  <si>
    <t>lcl|CP023715.1_prot_AVZ42781.1_1421 [locus_tag=ZMO1_ZMO1628] [protein=PepSY-associated TM helix domain-containing protein] [protein_id=AVZ42781.1] [location=complement(1672492..1674063)] [gbkey=CDS]</t>
  </si>
  <si>
    <t>lcl|CP023715.1_prot_AVZ42784.1_1424 [locus_tag=ZMO1_ZMO1631] [protein=TonB-dependent siderophore receptor] [protein_id=AVZ42784.1] [location=complement(1674625..1676916)] [gbkey=CDS]</t>
  </si>
  <si>
    <t>lcl|CP023715.1_prot_AVZ42785.1_1425 [gene=dapE] [locus_tag=ZMO1_ZMO1632] [protein=succinyl-diaminopimelate desuccinylase] [protein_id=AVZ42785.1] [location=1677205..1678335] [gbkey=CDS]</t>
  </si>
  <si>
    <t>lcl|CP023715.1_prot_AVZ42786.1_1426 [locus_tag=ZMO1_ZMO1633] [protein=uncharacterized protein] [protein_id=AVZ42786.1] [location=complement(1678391..1678717)] [gbkey=CDS]</t>
  </si>
  <si>
    <t>lcl|CP023715.1_prot_AVZ42787.1_1427 [locus_tag=ZMO1_ZMO1634] [protein=Smr domain-containing protein] [protein_id=AVZ42787.1] [location=complement(1678782..1679468)] [gbkey=CDS]</t>
  </si>
  <si>
    <t>lcl|CP023715.1_prot_AVZ42790.1_1430 [locus_tag=ZMO1_ZMO1636] [protein=import inner membrane translocase subunit Tim44] [protein_id=AVZ42790.1] [location=complement(1681092..1681745)] [gbkey=CDS]</t>
  </si>
  <si>
    <t>lcl|CP023715.1_prot_AVZ42791.1_1431 [gene=secB] [locus_tag=ZMO1_ZMO1638] [protein=protein-export protein SecB] [protein_id=AVZ42791.1] [location=1682212..1682706] [gbkey=CDS]</t>
  </si>
  <si>
    <t>lcl|CP023715.1_prot_AVZ42792.1_1432 [locus_tag=ZMO1_ZMO1639] [protein=integral membrane protein MviN] [protein_id=AVZ42792.1] [location=1682791..1684404] [gbkey=CDS]</t>
  </si>
  <si>
    <t>ZMO1639</t>
  </si>
  <si>
    <t>lcl|CP023715.1_prot_AVZ42793.1_1433 [gene=trpS] [locus_tag=ZMO1_ZMO1640] [protein=tryptophanyl-tRNA synthetase] [protein_id=AVZ42793.1] [location=1684425..1685450] [gbkey=CDS]</t>
  </si>
  <si>
    <t>lcl|CP023715.1_prot_AVZ42794.1_1434 [locus_tag=ZMO1_ZMO1641] [protein=uncharacterized protein] [protein_id=AVZ42794.1] [location=1685569..1686231] [gbkey=CDS]</t>
  </si>
  <si>
    <t>lcl|CP023715.1_prot_AVZ42795.1_1435 [gene=anmK] [locus_tag=ZMO1_ZMO1642] [protein=anhydro-N-acetylmuramic acid kinase AnmK] [protein_id=AVZ42795.1] [location=complement(1686302..1687399)] [gbkey=CDS]</t>
  </si>
  <si>
    <t>lcl|CP023715.1_prot_AVZ42796.1_1436 [gene=tyrS] [locus_tag=ZMO1_ZMO1643] [protein=tyrosine--tRNA ligase] [protein_id=AVZ42796.1] [location=1687565..1688794] [gbkey=CDS]</t>
  </si>
  <si>
    <t>lcl|CP023715.1_prot_AVZ42797.1_1437 [locus_tag=ZMO1_ZMO1644] [protein=ATP-dependent DNA helicase RecG] [protein_id=AVZ42797.1] [location=complement(1688854..1690932)] [gbkey=CDS]</t>
  </si>
  <si>
    <t>lcl|CP023715.1_prot_AVZ42798.1_1438 [locus_tag=ZMO1_ZMO1646] [protein=transcription-repair coupling factor] [protein_id=AVZ42798.1] [location=1691141..1694644] [gbkey=CDS]</t>
  </si>
  <si>
    <t>lcl|CP023715.1_prot_AVZ42799.1_1439 [gene=folK] [locus_tag=ZMO1_ZMO1647] [protein=2-amino-4-hydroxy-6- hydroxymethyldihydropteridine pyrophosphokinase] [protein_id=AVZ42799.1] [location=complement(1694900..1695451)] [gbkey=CDS]</t>
  </si>
  <si>
    <t>lcl|CP023715.1_prot_AVZ42800.2_1440 [gene=ung2] [locus_tag=ZMO1_ZMO1648] [protein=uracil-DNA glycosylase] [protein_id=AVZ42800.2] [location=1695624..1696361] [gbkey=CDS]</t>
  </si>
  <si>
    <t>ZMO1648</t>
  </si>
  <si>
    <t>lcl|CP023715.1_prot_AVZ42801.1_1441 [gene=gnl] [locus_tag=ZMO1_ZMO1649] [protein=gluconolactonase] [protein_id=AVZ42801.1] [location=1696608..1697678] [gbkey=CDS]</t>
  </si>
  <si>
    <t>lcl|CP023715.1_prot_AVZ42802.1_1442 [locus_tag=ZMO1_ZMO1650] [protein=beta-lactamase] [protein_id=AVZ42802.1] [location=1697900..1699036] [gbkey=CDS]</t>
  </si>
  <si>
    <t>lcl|CP023715.1_prot_AVZ42803.1_1443 [gene=ptsP] [locus_tag=ZMO1_ZMO1651] [protein=signal transduction protein] [protein_id=AVZ42803.1] [location=complement(1699131..1701419)] [gbkey=CDS]</t>
  </si>
  <si>
    <t>lcl|CP023715.1_prot_AVZ42804.1_1444 [locus_tag=ZMO1_ZMO1652] [protein=2-nitropropane dioxygenase NPD] [protein_id=AVZ42804.1] [location=complement(1701436..1702515)] [gbkey=CDS]</t>
  </si>
  <si>
    <t>lcl|CP023715.1_prot_AVZ42805.1_1445 [gene=lysC] [locus_tag=ZMO1_ZMO1653] [protein=aspartate kinase] [protein_id=AVZ42805.1] [location=complement(1702512..1703783)] [gbkey=CDS]</t>
  </si>
  <si>
    <t>lcl|CP023715.1_prot_AVZ42806.1_1446 [gene=ubiG] [locus_tag=ZMO1_ZMO1654] [protein=ubiquinone biosynthesis O-methyltransferase] [protein_id=AVZ42806.1] [location=1703857..1704648] [gbkey=CDS]</t>
  </si>
  <si>
    <t>lcl|CP023715.1_prot_AVZ42807.1_1447 [locus_tag=ZMO1_ZMO1655] [protein=AhpC/TSA family antioxidant protein] [protein_id=AVZ42807.1] [location=1704733..1705290] [gbkey=CDS]</t>
  </si>
  <si>
    <t>lcl|CP023715.1_prot_AVZ42808.1_1448 [locus_tag=ZMO1_ZMO1656] [protein=XRE family transcriptional regulator] [protein_id=AVZ42808.1] [location=1705477..1706382] [gbkey=CDS]</t>
  </si>
  <si>
    <t>lcl|CP023715.1_prot_AVZ42809.1_1449 [locus_tag=ZMO1_ZMO1657] [protein=uncharacterized protein] [protein_id=AVZ42809.1] [location=1706566..1707636] [gbkey=CDS]</t>
  </si>
  <si>
    <t>lcl|CP023715.1_prot_AVZ42810.1_1450 [locus_tag=ZMO1_ZMO1658] [protein=tRNA(Ile)-lysidine synthetase] [protein_id=AVZ42810.1] [location=1707692..1708681] [gbkey=CDS]</t>
  </si>
  <si>
    <t>lcl|CP023715.1_prot_AVZ42811.1_1451 [gene=ftsH] [locus_tag=ZMO1_ZMO1659] [protein=ATP-dependent metalloprotease FtsH] [protein_id=AVZ42811.1] [location=1708828..1710816] [gbkey=CDS]</t>
  </si>
  <si>
    <t>lcl|CP023715.1_prot_AVZ42812.1_1452 [locus_tag=ZMO1_ZMO1660] [protein=uncharacterized protein] [protein_id=AVZ42812.1] [location=1710943..1711356] [gbkey=CDS]</t>
  </si>
  <si>
    <t>ZMO1660</t>
  </si>
  <si>
    <t>lcl|CP023715.1_prot_AVZ42813.1_1453 [gene=proA] [locus_tag=ZMO1_ZMO1661] [protein=gamma-glutamyl phosphate reductase] [protein_id=AVZ42813.1] [location=1711407..1712693] [gbkey=CDS]</t>
  </si>
  <si>
    <t>lcl|CP023715.1_prot_AVZ42814.1_1454 [gene=nadD] [locus_tag=ZMO1_ZMO1662] [protein=nicotinate-nicotinamide nucleotide adenylyltransferase] [protein_id=AVZ42814.1] [location=1712751..1713386] [gbkey=CDS]</t>
  </si>
  <si>
    <t>lcl|CP023715.1_prot_AVZ42815.1_1455 [locus_tag=ZMO1_ZMO1663] [protein=ribosome silencing factor RsfS] [protein_id=AVZ42815.1] [location=1713395..1713796] [gbkey=CDS]</t>
  </si>
  <si>
    <t>lcl|CP023715.1_prot_AVZ42816.1_1456 [gene=rlmH] [locus_tag=ZMO1_ZMO1664] [protein=rRNA large subunit methyltransferase H RlmH] [protein_id=AVZ42816.1] [location=1713868..1714296] [gbkey=CDS]</t>
  </si>
  <si>
    <t>lcl|CP023715.1_prot_AVZ42817.1_1457 [locus_tag=ZMO1_ZMO1665] [protein=peptidase M23] [protein_id=AVZ42817.1] [location=1714296..1715483] [gbkey=CDS]</t>
  </si>
  <si>
    <t>ZMO1665</t>
  </si>
  <si>
    <t>lcl|CP023715.1_prot_AVZ42818.1_1458 [gene=ctpA] [locus_tag=ZMO1_ZMO1667] [protein=CtpA (carboxyl-terminal protease) family protein] [protein_id=AVZ42818.1] [location=1715623..1717002] [gbkey=CDS]</t>
  </si>
  <si>
    <t>lcl|CP023715.1_prot_AVZ42819.1_1459 [gene=dsbB] [locus_tag=ZMO1_ZMO1668] [protein=disulfide bond formation protein DsbB] [protein_id=AVZ42819.1] [location=1717035..1717640] [gbkey=CDS]</t>
  </si>
  <si>
    <t>ZMO1668</t>
  </si>
  <si>
    <t>lcl|CP023715.1_prot_AVZ42820.1_1460 [gene=ubiB2] [locus_tag=ZMO1_ZMO1669] [protein=2-octaprenylphenol hydroxylase COQ7/UbiB] [protein_id=AVZ42820.1] [location=1717610..1718167] [gbkey=CDS]</t>
  </si>
  <si>
    <t>lcl|CP023715.1_prot_AVZ42821.2_1461 [locus_tag=ZMO1_ZMO1670] [protein=uncharacterized protein] [protein_id=AVZ42821.2] [location=1718174..1718605] [gbkey=CDS]</t>
  </si>
  <si>
    <t>lcl|CP023715.1_prot_AVZ42822.1_1462 [locus_tag=ZMO1_ZMO1671] [protein=uncharacterized protein] [protein_id=AVZ42822.1] [location=1718730..1719134] [gbkey=CDS]</t>
  </si>
  <si>
    <t>lcl|CP023715.1_prot_AVZ42823.1_1463 [locus_tag=ZMO1_ZMO1672] [protein=uncharacterized protein] [protein_id=AVZ42823.1] [location=1719269..1719748] [gbkey=CDS]</t>
  </si>
  <si>
    <t>lcl|CP023715.1_prot_AVZ42825.1_1465 [locus_tag=ZMO1_ZMO1673] [protein=aldo/keto reductase] [protein_id=AVZ42825.1] [location=complement(1719856..1720677)] [gbkey=CDS]</t>
  </si>
  <si>
    <t>lcl|CP023715.1_prot_AVZ42826.1_1466 [locus_tag=ZMO1_ZMO1675] [protein=protein-disulfide isomerase-like protein] [protein_id=AVZ42826.1] [location=complement(1720861..1721631)] [gbkey=CDS]</t>
  </si>
  <si>
    <t>lcl|CP023715.1_prot_AVZ42827.1_1467 [locus_tag=ZMO1_ZMO1676] [protein=DUF721 domain-containing protein] [protein_id=AVZ42827.1] [location=complement(1721882..1722532)] [gbkey=CDS]</t>
  </si>
  <si>
    <t>lcl|CP023715.1_prot_AVZ42828.1_1468 [gene=mutY] [locus_tag=ZMO1_ZMO1677] [protein=A/G-specific adenine glycosylase] [protein_id=AVZ42828.1] [location=1722567..1723688] [gbkey=CDS]</t>
  </si>
  <si>
    <t>lcl|CP023715.1_prot_AVZ42829.1_1469 [gene=pheA] [locus_tag=ZMO1_ZMO1678] [protein=prephenate dehydratase] [protein_id=AVZ42829.1] [location=complement(1723692..1724705)] [gbkey=CDS]</t>
  </si>
  <si>
    <t>lcl|CP023715.1_prot_AVZ42830.1_1470 [locus_tag=ZMO1_ZMO1679] [protein=YgdH family protein] [protein_id=AVZ42830.1] [location=complement(1724702..1725580)] [gbkey=CDS]</t>
  </si>
  <si>
    <t>lcl|CP023715.1_prot_AVZ42831.1_1471 [locus_tag=ZMO1_ZMO1680] [protein=extensin family protein] [protein_id=AVZ42831.1] [location=complement(1725623..1726285)] [gbkey=CDS]</t>
  </si>
  <si>
    <t>ZMO1680</t>
  </si>
  <si>
    <t>lcl|CP023715.1_prot_AVZ42832.1_1472 [locus_tag=ZMO1_ZMO1681] [protein=aspartate-alanine antiporter] [protein_id=AVZ42832.1] [location=1726754..1728439] [gbkey=CDS]</t>
  </si>
  <si>
    <t>lcl|CP023715.1_prot_AVZ42833.1_1473 [gene=aspB] [locus_tag=ZMO1_ZMO1682] [protein=aspartate/methionine/tyrosine aminotransferase] [protein_id=AVZ42833.1] [location=1728469..1730061] [gbkey=CDS]</t>
  </si>
  <si>
    <t>lcl|CP023715.1_prot_AVZ42834.1_1474 [gene=ansA] [locus_tag=ZMO1_ZMO1683] [protein=type 2 L-asparaginase] [protein_id=AVZ42834.1] [location=1730157..1731257] [gbkey=CDS]</t>
  </si>
  <si>
    <t>lcl|CP023715.1_prot_AVZ42835.1_1475 [gene=serC] [locus_tag=ZMO1_ZMO1684] [protein=phosphoserine aminotransferase] [protein_id=AVZ42835.1] [location=1731719..1732879] [gbkey=CDS]</t>
  </si>
  <si>
    <t>lcl|CP023715.1_prot_AVZ42836.1_1476 [gene=serA1] [locus_tag=ZMO1_ZMO1685] [protein=D-3-phosphoglycerate dehydrogenase] [protein_id=AVZ42836.1] [location=1732951..1734534] [gbkey=CDS]</t>
  </si>
  <si>
    <t>lcl|CP023715.1_prot_AVZ42837.1_1477 [gene=hisZ] [locus_tag=ZMO1_ZMO1686] [protein=ATP phosphoribosyltransferase regulatory subunit HisZ] [protein_id=AVZ42837.1] [location=1734731..1735846] [gbkey=CDS]</t>
  </si>
  <si>
    <t>lcl|CP023715.1_prot_AVZ42838.1_1478 [gene=purA] [locus_tag=ZMO1_ZMO1687] [protein=adenylosuccinate synthase] [protein_id=AVZ42838.1] [location=1735911..1737200] [gbkey=CDS]</t>
  </si>
  <si>
    <t>lcl|CP023715.1_prot_AVZ42839.1_1479 [gene=ygfZ] [locus_tag=ZMO1_ZMO1688] [protein=folate-binding protein YgfZ] [protein_id=AVZ42839.1] [location=complement(1737290..1738114)] [gbkey=CDS]</t>
  </si>
  <si>
    <t>lcl|CP023715.1_prot_AVZ42840.1_1480 [gene=pyrC2] [locus_tag=ZMO1_ZMO1689] [protein=multifunctional complex type dihydroorotase] [protein_id=AVZ42840.1] [location=1738158..1739498] [gbkey=CDS]</t>
  </si>
  <si>
    <t>lcl|CP023715.1_prot_AVZ42841.1_1481 [locus_tag=ZMO1_ZMO1690] [protein=chaperone DnaJ domain protein] [protein_id=AVZ42841.1] [location=1739947..1740888] [gbkey=CDS]</t>
  </si>
  <si>
    <t>lcl|CP023715.1_prot_AVZ42842.1_1482 [locus_tag=ZMO1_ZMO1691] [protein=YihY/virulence factor BrkB family protein] [protein_id=AVZ42842.1] [location=1741169..1742191] [gbkey=CDS]</t>
  </si>
  <si>
    <t>ZMO1691</t>
  </si>
  <si>
    <t>lcl|CP023715.1_prot_AVZ42843.1_1483 [gene=fabI] [locus_tag=ZMO1_ZMO1692] [protein=enoyl-[acyl-carrier-protein] reductase FabI] [protein_id=AVZ42843.1] [location=1742214..1743020] [gbkey=CDS]</t>
  </si>
  <si>
    <t>lcl|CP023715.1_prot_AVZ42844.1_1484 [gene=aroC] [locus_tag=ZMO1_ZMO1693] [protein=chorismate synthase] [protein_id=AVZ42844.1] [location=1743017..1744093] [gbkey=CDS]</t>
  </si>
  <si>
    <t>lcl|CP023715.1_prot_AVZ42845.1_1485 [locus_tag=ZMO1_ZMO1694] [protein=TonB-dependent receptor] [protein_id=AVZ42845.1] [location=complement(1744172..1746652)] [gbkey=CDS]</t>
  </si>
  <si>
    <t>lcl|CP023715.1_prot_AVZ42847.1_1487 [locus_tag=ZMO1_ZMO1696] [protein=putative NADPH:quinone reductase-related Zn-dependent oxidoreductase] [protein_id=AVZ42847.1] [location=complement(1747613..1748629)] [gbkey=CDS]</t>
  </si>
  <si>
    <t>lcl|CP023715.1_prot_AVZ42848.1_1488 [locus_tag=ZMO1_ZMO1697] [protein=HxlR family transcriptional regulator] [protein_id=AVZ42848.1] [location=1748744..1749088] [gbkey=CDS]</t>
  </si>
  <si>
    <t>ZMO1697</t>
  </si>
  <si>
    <t>lcl|CP023715.1_prot_AVZ42849.1_1489 [gene=ribA] [locus_tag=ZMO1_ZMO1698] [protein=GTP cyclohydrolase II] [protein_id=AVZ42849.1] [location=complement(1749267..1750361)] [gbkey=CDS]</t>
  </si>
  <si>
    <t>lcl|CP023715.1_prot_AVZ42850.1_1490 [gene=xthA2] [locus_tag=ZMO1_ZMO1699] [protein=exodeoxyribonuclease III XthA] [protein_id=AVZ42850.1] [location=complement(1750354..1751148)] [gbkey=CDS]</t>
  </si>
  <si>
    <t>lcl|CP023715.1_prot_AVZ42851.1_1491 [locus_tag=ZMO1_ZMO1700] [protein=uncharacterized protein] [protein_id=AVZ42851.1] [location=1751820..1752248] [gbkey=CDS]</t>
  </si>
  <si>
    <t>ZMO1700</t>
  </si>
  <si>
    <t>lcl|CP023715.1_prot_AVZ42852.1_1492 [locus_tag=ZMO1_ZMO1701] [protein=outer membrane lipoprotein carrier protein LolA] [protein_id=AVZ42852.1] [location=complement(1752254..1752922)] [gbkey=CDS]</t>
  </si>
  <si>
    <t>lcl|CP023715.1_prot_AVZ42853.2_1493 [gene=ftsK] [locus_tag=ZMO1_ZMO1702] [protein=DNA translocase FtsK] [protein_id=AVZ42853.2] [location=complement(1753021..1755429)] [gbkey=CDS]</t>
  </si>
  <si>
    <t>lcl|CP023715.1_prot_AVZ42854.1_1494 [locus_tag=ZMO1_ZMO1703] [protein=ubiquinone biosynthesis hydroxylase UbiH/UbiF/VisC/COQ6 family] [protein_id=AVZ42854.1] [location=1755613..1756830] [gbkey=CDS]</t>
  </si>
  <si>
    <t>lcl|CP023715.1_prot_AVZ42855.1_1495 [gene=lon2] [locus_tag=ZMO1_ZMO1704] [protein=ATP-dependent protease La (LON) substrate-binding domain] [protein_id=AVZ42855.1] [location=complement(1756871..1757515)] [gbkey=CDS]</t>
  </si>
  <si>
    <t>lcl|CP023715.1_prot_AVZ42856.1_1496 [locus_tag=ZMO1_ZMO1705] [protein=thioredoxin domain-containing protein] [protein_id=AVZ42856.1] [location=complement(1757515..1758429)] [gbkey=CDS]</t>
  </si>
  <si>
    <t>lcl|CP023715.1_prot_AVZ42857.1_1497 [gene=pyrE] [locus_tag=ZMO1_ZMO1707] [protein=orotate phosphoribosyltransferase] [protein_id=AVZ42857.1] [location=1758665..1759252] [gbkey=CDS]</t>
  </si>
  <si>
    <t>lcl|CP023715.1_prot_AVZ42858.1_1498 [gene=pdxJ] [locus_tag=ZMO1_ZMO1708] [protein=pyridoxal phosphate biosynthetic protein PdxJ] [protein_id=AVZ42858.1] [location=1759274..1760044] [gbkey=CDS]</t>
  </si>
  <si>
    <t>lcl|CP023715.1_prot_AVZ42859.1_1499 [gene=acpS] [locus_tag=ZMO1_ZMO1709] [protein=Holo-[acyl-carrier-protein] synthase] [protein_id=AVZ42859.1] [location=1760041..1760445] [gbkey=CDS]</t>
  </si>
  <si>
    <t>ZMO1709</t>
  </si>
  <si>
    <t>lcl|CP023715.1_prot_AVZ42860.1_1500 [gene=lepB] [locus_tag=ZMO1_ZMO1710] [protein=signal peptidase I] [protein_id=AVZ42860.1] [location=1760501..1761379] [gbkey=CDS]</t>
  </si>
  <si>
    <t>lcl|CP023715.1_prot_AVZ42861.1_1501 [locus_tag=ZMO1_ZMO1711] [protein=AI-2E family transporter] [protein_id=AVZ42861.1] [location=1761389..1762507] [gbkey=CDS]</t>
  </si>
  <si>
    <t>ZMO1711</t>
  </si>
  <si>
    <t>lcl|CP023715.1_prot_AVZ42862.1_1502 [locus_tag=ZMO1_ZMO1712] [protein=peptidylprolyl isomerase FKBP-type] [protein_id=AVZ42862.1] [location=complement(1762586..1763143)] [gbkey=CDS]</t>
  </si>
  <si>
    <t>lcl|CP023715.1_prot_AVZ42863.1_1503 [gene=rpsU] [locus_tag=ZMO1_ZMO1713] [protein=ribosomal protein S21] [protein_id=AVZ42863.1] [location=complement(1763423..1763629)] [gbkey=CDS]</t>
  </si>
  <si>
    <t>lcl|CP023715.1_prot_AVZ42865.1_1505 [gene=exbD1] [locus_tag=ZMO1_ZMO1715] [protein=biopolymer transport protein ExbD/TolR] [protein_id=AVZ42865.1] [location=complement(1764433..1764924)] [gbkey=CDS]</t>
  </si>
  <si>
    <t>lcl|CP023715.1_prot_AVZ42866.1_1506 [gene=exbB] [locus_tag=ZMO1_ZMO1716] [protein=MotA/TolQ/ExbB proton channel] [protein_id=AVZ42866.1] [location=complement(1765051..1765794)] [gbkey=CDS]</t>
  </si>
  <si>
    <t>lcl|CP023715.1_prot_AVZ42867.1_1507 [locus_tag=ZMO1_ZMO1717] [protein=TonB family protein] [protein_id=AVZ42867.1] [location=complement(1765971..1766702)] [gbkey=CDS]</t>
  </si>
  <si>
    <t>lcl|CP023715.1_prot_AVZ42868.1_1508 [locus_tag=ZMO1_ZMO1718] [protein=uncharacterized protein] [protein_id=AVZ42868.1] [location=1767059..1767916] [gbkey=CDS]</t>
  </si>
  <si>
    <t>lcl|CP023715.1_prot_AVZ42869.1_1509 [gene=frk] [locus_tag=ZMO1_ZMO1719] [protein=fructokinase] [protein_id=AVZ42869.1] [location=1768625..1769530] [gbkey=CDS]</t>
  </si>
  <si>
    <t>lcl|CP023715.1_prot_AVZ42870.1_1510 [gene=rpoZ] [locus_tag=ZMO1_ZMO1720] [protein=DNA-directed RNA polymerase omega subunit] [protein_id=AVZ42870.1] [location=complement(1769735..1770112)] [gbkey=CDS]</t>
  </si>
  <si>
    <t>lcl|CP023715.1_prot_AVZ42871.1_1511 [gene=gloA3] [locus_tag=ZMO1_ZMO1721] [protein=glyoxalase/bleomycin resistance protein dioxygenase] [protein_id=AVZ42871.1] [location=complement(1770293..1770679)] [gbkey=CDS]</t>
  </si>
  <si>
    <t>lcl|CP023715.1_prot_AVZ42872.1_1512 [gene=adhC] [locus_tag=ZMO1_ZMO1722] [protein=Zn-dependent alcohol dehydrogenases class III] [protein_id=AVZ42872.1] [location=complement(1770721..1771830)] [gbkey=CDS]</t>
  </si>
  <si>
    <t>lcl|CP023715.1_prot_AVZ42873.1_1513 [locus_tag=ZMO1_ZMO1723] [protein=laccase] [protein_id=AVZ42873.1] [location=complement(1771904..1772662)] [gbkey=CDS]</t>
  </si>
  <si>
    <t>lcl|CP023715.1_prot_AVZ42875.1_1515 [gene=murA] [locus_tag=ZMO1_ZMO1724] [protein=UDP-N-acetylglucosamine 1-carboxyvinyltransferase] [protein_id=AVZ42875.1] [location=complement(1773199..1774479)] [gbkey=CDS]</t>
  </si>
  <si>
    <t>lcl|CP023715.1_prot_AVZ42876.1_1516 [locus_tag=ZMO1_ZMO1725] [protein=ATP-dependent Clp protease adaptor protein ClpS] [protein_id=AVZ42876.1] [location=complement(1774584..1774907)] [gbkey=CDS]</t>
  </si>
  <si>
    <t>lcl|CP023715.1_prot_AVZ42877.1_1517 [locus_tag=ZMO1_ZMO1727] [protein=aminotransferase class I and II] [protein_id=AVZ42877.1] [location=1775245..1776456] [gbkey=CDS]</t>
  </si>
  <si>
    <t>lcl|CP023715.1_prot_AVZ42878.1_1518 [locus_tag=ZMO1_ZMO1728] [protein=uncharacterized protein] [protein_id=AVZ42878.1] [location=complement(1776460..1776945)] [gbkey=CDS]</t>
  </si>
  <si>
    <t>lcl|CP023715.1_prot_AVZ42879.1_1519 [locus_tag=ZMO1_ZMO1729] [protein=hypothetical protein] [protein_id=AVZ42879.1] [location=complement(1777066..1777410)] [gbkey=CDS]</t>
  </si>
  <si>
    <t>ZMO1729</t>
  </si>
  <si>
    <t>lcl|CP023715.1_prot_AVZ42880.1_1520 [gene=cysE] [locus_tag=ZMO1_ZMO1730] [protein=serine O-acetyltransferase] [protein_id=AVZ42880.1] [location=complement(1777407..1778180)] [gbkey=CDS]</t>
  </si>
  <si>
    <t>lcl|CP023715.1_prot_AVZ42881.1_1521 [gene=ahpC] [locus_tag=ZMO1_ZMO1732] [protein=alkyl hydroperoxide reductase] [protein_id=AVZ42881.1] [location=complement(1778525..1779067)] [gbkey=CDS]</t>
  </si>
  <si>
    <t>lcl|CP023715.1_prot_AVZ42882.1_1522 [gene=oxyR] [locus_tag=ZMO1_ZMO1733] [protein=transcriptional regulator OxyR] [protein_id=AVZ42882.1] [location=1779259..1780200] [gbkey=CDS]</t>
  </si>
  <si>
    <t>lcl|CP023715.1_prot_AVZ42883.1_1523 [locus_tag=ZMO1_ZMO1734] [protein=uncharacterized protein] [protein_id=AVZ42883.1] [location=1780553..1781740] [gbkey=CDS]</t>
  </si>
  <si>
    <t>lcl|CP023715.1_prot_AVZ42884.1_1524 [locus_tag=ZMO1_ZMO1735] [protein=glycosyl transferase family 1] [protein_id=AVZ42884.1] [location=complement(1781751..1782836)] [gbkey=CDS]</t>
  </si>
  <si>
    <t>lcl|CP023715.1_prot_AVZ42885.1_1525 [locus_tag=ZMO1_ZMO1738] [protein=LytTR family two component transcriptional regulator] [protein_id=AVZ42885.1] [location=complement(1783092..1783892)] [gbkey=CDS]</t>
  </si>
  <si>
    <t>lcl|CP023715.1_prot_AVZ42886.1_1526 [locus_tag=ZMO1_ZMO1739] [protein=signal transduction histidine kinase LytS] [protein_id=AVZ42886.1] [location=complement(1783894..1785132)] [gbkey=CDS]</t>
  </si>
  <si>
    <t>lcl|CP023715.1_prot_AVZ42887.1_1527 [locus_tag=ZMO1_ZMO1740] [protein=DUF3297 domain-containing protein] [protein_id=AVZ42887.1] [location=complement(1785277..1785549)] [gbkey=CDS]</t>
  </si>
  <si>
    <t>lcl|CP023715.1_prot_AVZ42888.1_1528 [gene=lepA] [locus_tag=ZMO1_ZMO1741] [protein=GTP-binding elongation factor 4 LepA] [protein_id=AVZ42888.1] [location=complement(1785602..1787410)] [gbkey=CDS]</t>
  </si>
  <si>
    <t>lcl|CP023715.1_prot_AVZ42889.1_1529 [gene=apaH2] [locus_tag=ZMO1_ZMO1743] [protein=bis(5nucleosyl)-tetraphosphatase ApaH] [protein_id=AVZ42889.1] [location=complement(1787516..1788424)] [gbkey=CDS]</t>
  </si>
  <si>
    <t>lcl|CP023715.1_prot_AVZ42890.1_1530 [gene=metH2] [locus_tag=ZMO1_ZMO1745] [protein=methionine synthase MetH2] [protein_id=AVZ42890.1] [location=complement(1788650..1791262)] [gbkey=CDS]</t>
  </si>
  <si>
    <t>lcl|CP023715.1_prot_AVZ42891.1_1531 [gene=metH1] [locus_tag=ZMO1_ZMO1746] [protein=5-methyltetrahydrofolate--homocysteine methyltransferase MetH1] [protein_id=AVZ42891.1] [location=complement(1791312..1792367)] [gbkey=CDS]</t>
  </si>
  <si>
    <t>lcl|CP023715.1_prot_AVZ42892.1_1532 [gene=metF] [locus_tag=ZMO1_ZMO1747] [protein=5,10-methylenetetrahydrofolate reductase] [protein_id=AVZ42892.1] [location=complement(1792436..1793341)] [gbkey=CDS]</t>
  </si>
  <si>
    <t>lcl|CP023715.1_prot_AVZ42893.1_1533 [locus_tag=ZMO1_ZMO1748] [protein=ArsR family transcriptional regulator] [protein_id=AVZ42893.1] [location=complement(1793346..1794290)] [gbkey=CDS]</t>
  </si>
  <si>
    <t>lcl|CP023715.1_prot_AVZ42894.1_1534 [gene=mlaA] [locus_tag=ZMO1_ZMO1749] [protein=lipoprotein MlaA] [protein_id=AVZ42894.1] [location=1794545..1795654] [gbkey=CDS]</t>
  </si>
  <si>
    <t>lcl|CP023715.1_prot_AVZ42895.1_1535 [locus_tag=ZMO1_ZMO1750] [protein=inhibitor I42 domain-containing protein] [protein_id=AVZ42895.1] [location=complement(1795802..1796149)] [gbkey=CDS]</t>
  </si>
  <si>
    <t>lcl|CP023715.1_prot_AVZ42898.1_1538 [gene=fpr] [locus_tag=ZMO1_ZMO1753] [protein=ferredoxin--NADP(+) reductase Fpr] [protein_id=AVZ42898.1] [location=1798159..1798986] [gbkey=CDS]</t>
  </si>
  <si>
    <t>lcl|CP023715.1_prot_AVZ42899.1_1539 [gene=ssdA] [locus_tag=ZMO1_ZMO1754] [protein=succinate-semialdehyde dehydrogenase SSADH] [protein_id=AVZ42899.1] [location=complement(1799125..1800501)] [gbkey=CDS]</t>
  </si>
  <si>
    <t>lcl|CP023715.1_prot_AVZ42900.1_1540 [gene=thyB] [locus_tag=ZMO1_ZMO1755] [protein=thymidylate synthase] [protein_id=AVZ42900.1] [location=complement(1800803..1801693)] [gbkey=CDS]</t>
  </si>
  <si>
    <t>lcl|CP023715.1_prot_AVZ42901.1_1541 [gene=gntP] [locus_tag=ZMO1_ZMO1756] [protein=gluconate transporter GntP] [protein_id=AVZ42901.1] [location=1802065..1803420] [gbkey=CDS]</t>
  </si>
  <si>
    <t>lcl|CP023715.1_prot_AVZ42902.1_1542 [gene=gntK] [locus_tag=ZMO1_ZMO1757] [protein=gluconate kinase GntK] [protein_id=AVZ42902.1] [location=1803533..1804030] [gbkey=CDS]</t>
  </si>
  <si>
    <t>lcl|CP023715.1_prot_AVZ42903.1_1543 [locus_tag=ZMO1_ZMO1758] [protein=outer membrane assembly lipoprotein YfiO] [protein_id=AVZ42903.1] [location=complement(1804103..1805143)] [gbkey=CDS]</t>
  </si>
  <si>
    <t>lcl|CP023715.1_prot_AVZ42905.1_1545 [locus_tag=ZMO1_ZMO1760] [protein=penicillin-binding protein activator] [protein_id=AVZ42905.1] [location=complement(1806342..1807577)] [gbkey=CDS]</t>
  </si>
  <si>
    <t>lcl|CP023715.1_prot_AVZ42906.1_1546 [gene=rsmI] [locus_tag=ZMO1_ZMO1761] [protein=ribosomal RNA small subunit methyltransferase I RsmI] [protein_id=AVZ42906.1] [location=1807638..1808525] [gbkey=CDS]</t>
  </si>
  <si>
    <t>lcl|CP023715.1_prot_AVZ42908.1_1548 [locus_tag=ZMO1_ZMO1763] [protein=uncharacterized protein] [protein_id=AVZ42908.1] [location=complement(1808951..1809547)] [gbkey=CDS]</t>
  </si>
  <si>
    <t>lcl|CP023715.1_prot_AVZ42909.1_1549 [locus_tag=ZMO1_ZMO1764] [protein=murein L,D-transpeptidase YcbB/YkuD-like protein] [protein_id=AVZ42909.1] [location=complement(1809624..1811075)] [gbkey=CDS]</t>
  </si>
  <si>
    <t>lcl|CP023715.1_prot_AVZ42910.1_1550 [locus_tag=ZMO1_ZMO1766] [protein=zinc transporter ZntB] [protein_id=AVZ42910.1] [location=complement(1811341..1812363)] [gbkey=CDS]</t>
  </si>
  <si>
    <t>lcl|CP023715.1_prot_AVZ42911.1_1551 [gene=galU] [locus_tag=ZMO1_ZMO1767] [protein=UTP-glucose-1-phosphate uridylyltransferase] [protein_id=AVZ42911.1] [location=complement(1812399..1813265)] [gbkey=CDS]</t>
  </si>
  <si>
    <t>lcl|CP023715.1_prot_AVZ42912.1_1552 [gene=lysA2] [locus_tag=ZMO1_ZMO1768] [protein=diaminopimelate decarboxylase] [protein_id=AVZ42912.1] [location=complement(1813390..1814655)] [gbkey=CDS]</t>
  </si>
  <si>
    <t>lcl|CP023715.1_prot_AVZ42913.1_1553 [locus_tag=ZMO1_ZMO1769] [protein=uncharacterized protein] [protein_id=AVZ42913.1] [location=complement(1814669..1814920)] [gbkey=CDS]</t>
  </si>
  <si>
    <t>ZMO1769</t>
  </si>
  <si>
    <t>lcl|CP023715.1_prot_AVZ42914.1_1554 [gene=argH] [locus_tag=ZMO1_ZMO1770] [protein=argininosuccinate lyase] [protein_id=AVZ42914.1] [location=complement(1814920..1816326)] [gbkey=CDS]</t>
  </si>
  <si>
    <t>lcl|CP023715.1_prot_AVZ42915.1_1555 [locus_tag=ZMO1_ZMO1771] [protein=iron-containing alcohol dehydrogenase] [protein_id=AVZ42915.1] [location=complement(1816647..1817804)] [gbkey=CDS]</t>
  </si>
  <si>
    <t>lcl|CP023715.1_prot_AVZ42916.2_1556 [locus_tag=ZMO1_ZMO1772] [protein=NAD(P)H quinone oxidoreductase PIG3 family] [protein_id=AVZ42916.2] [location=1817979..1819034] [gbkey=CDS]</t>
  </si>
  <si>
    <t>lcl|CP023715.1_prot_AVZ42917.1_1557 [locus_tag=ZMO1_ZMO1773] [protein=aldo/keto reductase] [protein_id=AVZ42917.1] [location=complement(1819091..1819921)] [gbkey=CDS]</t>
  </si>
  <si>
    <t>lcl|CP023715.1_prot_AVZ42919.1_1559 [gene=pepN2] [locus_tag=ZMO1_ZMO1776] [protein=aminopeptidase N] [protein_id=AVZ42919.1] [location=1821181..1823799] [gbkey=CDS]</t>
  </si>
  <si>
    <t>lcl|CP023715.1_prot_AVZ42922.1_1562 [locus_tag=ZMO1_ZMO1779] [protein=antibiotic biosynthesis monooxygenase] [protein_id=AVZ42922.1] [location=complement(1826434..1826835)] [gbkey=CDS]</t>
  </si>
  <si>
    <t>lcl|CP023715.1_prot_AVZ42923.1_1563 [locus_tag=ZMO1_ZMO1780] [protein=antibiotic biosynthesis monooxygenase] [protein_id=AVZ42923.1] [location=complement(1826883..1827191)] [gbkey=CDS]</t>
  </si>
  <si>
    <t>lcl|CP023715.1_prot_AVZ42924.1_1564 [gene=mscS3] [locus_tag=ZMO1_ZMO1781] [protein=mechanosensitive ion channel MscS] [protein_id=AVZ42924.1] [location=complement(1827343..1828473)] [gbkey=CDS]</t>
  </si>
  <si>
    <t>lcl|CP023715.1_prot_AVZ42926.1_1566 [locus_tag=ZMO1_ZMO1784] [protein=hypothetical protein] [protein_id=AVZ42926.1] [location=1829101..1830234] [gbkey=CDS]</t>
  </si>
  <si>
    <t>ZMO1784</t>
  </si>
  <si>
    <t>lcl|CP023715.1_prot_AVZ42928.1_1568 [locus_tag=ZMO1_ZMO1786] [protein=uncharacterized protein] [protein_id=AVZ42928.1] [location=1831325..1832275] [gbkey=CDS]</t>
  </si>
  <si>
    <t>lcl|CP023715.1_prot_AVZ42930.1_1570 [locus_tag=ZMO1_ZMO1788] [protein=uncharacterized protein] [protein_id=AVZ42930.1] [location=complement(1832939..1834783)] [gbkey=CDS]</t>
  </si>
  <si>
    <t>lcl|CP023715.1_prot_AVZ42931.1_1571 [locus_tag=ZMO1_ZMO1790] [protein=ABC transporter related protein] [protein_id=AVZ42931.1] [location=1835000..1836787] [gbkey=CDS]</t>
  </si>
  <si>
    <t>lcl|CP023715.1_prot_AVZ42932.1_1572 [gene=ilvD] [locus_tag=ZMO1_ZMO1792] [protein=dihydroxy-acid dehydratase] [protein_id=AVZ42932.1] [location=complement(1836902..1838758)] [gbkey=CDS]</t>
  </si>
  <si>
    <t>lcl|CP023715.1_prot_AVZ42933.1_1573 [locus_tag=ZMO1_ZMO1793] [protein=LysR family transcriptional regulator] [protein_id=AVZ42933.1] [location=1838860..1839774] [gbkey=CDS]</t>
  </si>
  <si>
    <t>ZMO1793</t>
  </si>
  <si>
    <t>lcl|CP023715.1_prot_AVZ42934.1_1574 [locus_tag=ZMO1_ZMO1794] [protein=uncharacterized protein] [protein_id=AVZ42934.1] [location=complement(1840143..1840466)] [gbkey=CDS]</t>
  </si>
  <si>
    <t>lcl|CP023715.1_prot_AVZ42935.1_1575 [gene=aroA] [locus_tag=ZMO1_ZMO1796] [protein=3-phosphoshikimate 1-carboxyvinyltransferase] [protein_id=AVZ42935.1] [location=1840747..1842108] [gbkey=CDS]</t>
  </si>
  <si>
    <t>lcl|CP023715.1_prot_AVZ42936.1_1576 [gene=cmk] [locus_tag=ZMO1_ZMO1797] [protein=cytidylate kinase] [protein_id=AVZ42936.1] [location=1842105..1842737] [gbkey=CDS]</t>
  </si>
  <si>
    <t>lcl|CP023715.1_prot_AVZ42937.1_1577 [gene=rpsA] [locus_tag=ZMO1_ZMO1798] [protein=ribosomal protein S1] [protein_id=AVZ42937.1] [location=1843004..1844710] [gbkey=CDS]</t>
  </si>
  <si>
    <t>lcl|CP023715.1_prot_AVZ42938.1_1578 [locus_tag=ZMO1_ZMO1800] [protein=PhzF family phenazine biosynthesis protein] [protein_id=AVZ42938.1] [location=complement(1844837..1845676)] [gbkey=CDS]</t>
  </si>
  <si>
    <t>lcl|CP023715.1_prot_AVZ42939.1_1579 [gene=ihfB] [locus_tag=ZMO1_ZMO1801] [protein=integration host factor beta subunit] [protein_id=AVZ42939.1] [location=1845953..1846237] [gbkey=CDS]</t>
  </si>
  <si>
    <t>lcl|CP023715.1_prot_AVZ42942.1_1582 [locus_tag=ZMO1_ZMO1804] [protein=amino acid permease-associated region] [protein_id=AVZ42942.1] [location=1846733..1848166] [gbkey=CDS]</t>
  </si>
  <si>
    <t>ZMO1804</t>
  </si>
  <si>
    <t>lcl|CP023715.1_prot_AVZ42943.1_1583 [gene=cbbZ] [locus_tag=ZMO1_ZMO1805] [protein=HAD superfamily phosphoglycolate phosphatase] [protein_id=AVZ42943.1] [location=complement(1848226..1848879)] [gbkey=CDS]</t>
  </si>
  <si>
    <t>lcl|CP023715.1_prot_AVZ42944.1_1584 [locus_tag=ZMO1_ZMO1806] [protein=maltose O-acetyltransferase] [protein_id=AVZ42944.1] [location=complement(1849106..1849699)] [gbkey=CDS]</t>
  </si>
  <si>
    <t>lcl|CP023715.1_prot_AVZ42946.1_1586 [gene=rfnH] [locus_tag=ZMO1_ZMO1808] [protein=RnfH family protein] [protein_id=AVZ42946.1] [location=complement(1852322..1852588)] [gbkey=CDS]</t>
  </si>
  <si>
    <t>lcl|CP023715.1_prot_AVZ42947.1_1587 [gene=rfnE] [locus_tag=ZMO1_ZMO1809] [protein=electron transport complex RnfABCDGE type E subunit] [protein_id=AVZ42947.1] [location=complement(1852601..1853275)] [gbkey=CDS]</t>
  </si>
  <si>
    <t>ZMO1809</t>
  </si>
  <si>
    <t>lcl|CP023715.1_prot_AVZ42948.1_1588 [gene=rnfG] [locus_tag=ZMO1_ZMO1810] [protein=electron transport complex RnfABCDGE type G subunit] [protein_id=AVZ42948.1] [location=complement(1853265..1853975)] [gbkey=CDS]</t>
  </si>
  <si>
    <t>lcl|CP023715.1_prot_AVZ42949.1_1589 [gene=rnfD] [locus_tag=ZMO1_ZMO1811] [protein=electron transport complex RnfABCDGE type D subunit] [protein_id=AVZ42949.1] [location=complement(1853972..1855048)] [gbkey=CDS]</t>
  </si>
  <si>
    <t>lcl|CP023715.1_prot_AVZ42950.1_1590 [gene=rnfC] [locus_tag=ZMO1_ZMO1812] [protein=electron transport complex RnfABCDGE type C subunit] [protein_id=AVZ42950.1] [location=complement(1855048..1856511)] [gbkey=CDS]</t>
  </si>
  <si>
    <t>lcl|CP023715.1_prot_AVZ42951.1_1591 [gene=rnfB] [locus_tag=ZMO1_ZMO1813] [protein=electron transport complex RnfABCDGE type B subunit] [protein_id=AVZ42951.1] [location=complement(1856522..1857184)] [gbkey=CDS]</t>
  </si>
  <si>
    <t>lcl|CP023715.1_prot_AVZ42952.1_1592 [gene=rnfA] [locus_tag=ZMO1_ZMO1814] [protein=electron transport complex RnfABCDGE type A subunit] [protein_id=AVZ42952.1] [location=complement(1857201..1857782)] [gbkey=CDS]</t>
  </si>
  <si>
    <t>lcl|CP023715.1_prot_AVZ42953.1_1593 [locus_tag=ZMO1_ZMO1815] [protein=TonB-dependent siderophore receptor] [protein_id=AVZ42953.1] [location=complement(1858251..1860458)] [gbkey=CDS]</t>
  </si>
  <si>
    <t>lcl|CP023715.1_prot_AVZ42954.1_1594 [gene=nifA] [locus_tag=ZMO1_ZMO1816] [protein=nif-specific transcriptional activator NifA] [protein_id=AVZ42954.1] [location=1861168..1862874] [gbkey=CDS]</t>
  </si>
  <si>
    <t>lcl|CP023715.1_prot_AVZ42955.1_1595 [gene=nifB] [locus_tag=ZMO1_ZMO1817] [protein=nitrogenase cofactor biosynthesis protein NifB] [protein_id=AVZ42955.1] [location=1863083..1864552] [gbkey=CDS]</t>
  </si>
  <si>
    <t>ZMO1817</t>
  </si>
  <si>
    <t>lcl|CP023715.1_prot_AVZ42956.1_1596 [gene=fdxN] [locus_tag=ZMO1_ZMO1818] [protein=4Fe-4S ferredoxin iron-sulfur binding domain protein] [protein_id=AVZ42956.1] [location=1864592..1864786] [gbkey=CDS]</t>
  </si>
  <si>
    <t>lcl|CP023715.1_prot_AVZ42958.1_1598 [gene=fixU] [locus_tag=ZMO1_ZMO1820] [protein=nitrogen fixation protein FixT/FixU] [protein_id=AVZ42958.1] [location=1865095..1865307] [gbkey=CDS]</t>
  </si>
  <si>
    <t>lcl|CP023715.1_prot_AVZ42959.1_1599 [locus_tag=ZMO1_ZMO1821] [protein=SIR2 family protein] [protein_id=AVZ42959.1] [location=1865307..1866167] [gbkey=CDS]</t>
  </si>
  <si>
    <t>ZMO1821</t>
  </si>
  <si>
    <t>lcl|CP023715.1_prot_AVZ42960.1_1600 [locus_tag=ZMO1_ZMO1822] [protein=TonB-dependent siderophore receptor] [protein_id=AVZ42960.1] [location=complement(1866180..1868309)] [gbkey=CDS]</t>
  </si>
  <si>
    <t>ZMO1822</t>
  </si>
  <si>
    <t>lcl|CP023715.1_prot_AVZ42961.1_1601 [gene=nifH] [locus_tag=ZMO1_ZMO1823] [protein=nitrogenase reductase iron protein] [protein_id=AVZ42961.1] [location=1868687..1869574] [gbkey=CDS]</t>
  </si>
  <si>
    <t>lcl|CP023715.1_prot_AVZ42962.1_1602 [gene=nifD] [locus_tag=ZMO1_ZMO1824] [protein=nitrogenase molybdenum-iron protein alpha chain] [protein_id=AVZ42962.1] [location=1869585..1871060] [gbkey=CDS]</t>
  </si>
  <si>
    <t>lcl|CP023715.1_prot_AVZ42963.1_1603 [gene=nifK] [locus_tag=ZMO1_ZMO1825] [protein=nitrogenase molybdenum-iron protein beta chain] [protein_id=AVZ42963.1] [location=1871120..1872655] [gbkey=CDS]</t>
  </si>
  <si>
    <t>lcl|CP023715.1_prot_AVZ42964.1_1604 [gene=nifE] [locus_tag=ZMO1_ZMO1826] [protein=nitrogenase molybdenum-iron cofactor biosynthesis protein NifE] [protein_id=AVZ42964.1] [location=1872724..1874178] [gbkey=CDS]</t>
  </si>
  <si>
    <t>lcl|CP023715.1_prot_AVZ42965.1_1605 [gene=nifN] [locus_tag=ZMO1_ZMO1827] [protein=nitrogenase molybdenum-iron cofactor biosynthesis protein NifN] [protein_id=AVZ42965.1] [location=1874175..1875545] [gbkey=CDS]</t>
  </si>
  <si>
    <t>ZMO1827</t>
  </si>
  <si>
    <t>lcl|CP023715.1_prot_AVZ42966.1_1606 [gene=nifX] [locus_tag=ZMO1_ZMO1828] [protein=nitrogen fixation protein NifX] [protein_id=AVZ42966.1] [location=1875538..1876032] [gbkey=CDS]</t>
  </si>
  <si>
    <t>lcl|CP023715.1_prot_AVZ42967.1_1607 [locus_tag=ZMO1_ZMO1829] [protein=nitrogen fixation protein] [protein_id=AVZ42967.1] [location=1876046..1876486] [gbkey=CDS]</t>
  </si>
  <si>
    <t>ZMO1829</t>
  </si>
  <si>
    <t>lcl|CP023715.1_prot_AVZ42969.1_1609 [gene=nifQ] [locus_tag=ZMO1_ZMO1831] [protein=NifQ family protein] [protein_id=AVZ42969.1] [location=1876823..1877410] [gbkey=CDS]</t>
  </si>
  <si>
    <t>ZMO1831</t>
  </si>
  <si>
    <t>lcl|CP023715.1_prot_AVZ42970.1_1610 [gene=iscA] [locus_tag=ZMO1_ZMO1832] [protein=iron-sulfur cluster assembly accessory protein] [protein_id=AVZ42970.1] [location=1877586..1877909] [gbkey=CDS]</t>
  </si>
  <si>
    <t>ZMO1832</t>
  </si>
  <si>
    <t>lcl|CP023715.1_prot_AVZ42972.1_1612 [gene=nifS2] [locus_tag=ZMO1_ZMO1834] [protein=cysteine desulfurase NifS] [protein_id=AVZ42972.1] [location=1878232..1879389] [gbkey=CDS]</t>
  </si>
  <si>
    <t>ZMO1834</t>
  </si>
  <si>
    <t>lcl|CP023715.1_prot_AVZ42973.1_1613 [gene=nifV] [locus_tag=ZMO1_ZMO1835] [protein=homocitrate synthase] [protein_id=AVZ42973.1] [location=1879446..1880606] [gbkey=CDS]</t>
  </si>
  <si>
    <t>ZMO1835</t>
  </si>
  <si>
    <t>lcl|CP023715.1_prot_AVZ42975.1_1615 [gene=modD] [locus_tag=ZMO1_ZMO1837] [protein=modD protein] [protein_id=AVZ42975.1] [location=1881055..1881924] [gbkey=CDS]</t>
  </si>
  <si>
    <t>ZMO1837</t>
  </si>
  <si>
    <t>lcl|CP023715.1_prot_AVZ42976.1_1616 [locus_tag=ZMO1_ZMO1838] [protein=TOBE domain protein] [protein_id=AVZ42976.1] [location=complement(1882048..1882260)] [gbkey=CDS]</t>
  </si>
  <si>
    <t>ZMO1838</t>
  </si>
  <si>
    <t>lcl|CP023715.1_prot_AVZ42978.1_1618 [locus_tag=ZMO1_ZMO1840] [protein=isochorismatase hydrolase] [protein_id=AVZ42978.1] [location=complement(1882642..1883187)] [gbkey=CDS]</t>
  </si>
  <si>
    <t>ZMO1840</t>
  </si>
  <si>
    <t>lcl|CP023715.1_prot_AVZ42979.1_1619 [gene=rseC] [locus_tag=ZMO1_ZMO1841] [protein=positive regulator of sigma E RseC/MucC] [protein_id=AVZ42979.1] [location=complement(1883300..1883800)] [gbkey=CDS]</t>
  </si>
  <si>
    <t>ZMO1841</t>
  </si>
  <si>
    <t>lcl|CP023715.1_prot_AVZ42980.1_1620 [gene=apbE] [locus_tag=ZMO1_ZMO1842] [protein=ApbE family lipoprotein] [protein_id=AVZ42980.1] [location=complement(1883805..1884851)] [gbkey=CDS]</t>
  </si>
  <si>
    <t>lcl|CP023715.1_prot_AVZ42981.1_1621 [locus_tag=ZMO1_ZMO1844] [protein=oxidoreductase domain protein] [protein_id=AVZ42981.1] [location=complement(1885187..1886263)] [gbkey=CDS]</t>
  </si>
  <si>
    <t>lcl|CP023715.1_prot_AVZ42982.1_1622 [locus_tag=ZMO1_ZMO1845] [protein=PhnA protein] [protein_id=AVZ42982.1] [location=complement(1886401..1886694)] [gbkey=CDS]</t>
  </si>
  <si>
    <t>lcl|CP023715.1_prot_AVZ42983.1_1623 [locus_tag=ZMO1_ZMO1846] [protein=ABC transporter related protein] [protein_id=AVZ42983.1] [location=complement(1886827..1887579)] [gbkey=CDS]</t>
  </si>
  <si>
    <t>ZMO1846</t>
  </si>
  <si>
    <t>lcl|CP023715.1_prot_AVZ42985.1_1625 [locus_tag=ZMO1_ZMO1848] [protein=iron ABC transporter permease] [protein_id=AVZ42985.1] [location=complement(1888596..1889645)] [gbkey=CDS]</t>
  </si>
  <si>
    <t>lcl|CP023715.1_prot_AVZ42986.1_1626 [locus_tag=ZMO1_ZMO1849] [protein=uncharacterized protein] [protein_id=AVZ42986.1] [location=1890436..1892187] [gbkey=CDS]</t>
  </si>
  <si>
    <t>ZMO1849</t>
  </si>
  <si>
    <t>lcl|CP023715.1_prot_AVZ42988.1_1628 [gene=fldA] [locus_tag=ZMO1_ZMO1851] [protein=flavodoxin] [protein_id=AVZ42988.1] [location=complement(1892655..1893242)] [gbkey=CDS]</t>
  </si>
  <si>
    <t>lcl|CP023715.1_prot_AVZ42989.1_1629 [gene=dapA2] [locus_tag=ZMO1_ZMO1853] [protein=dihydrodipicolinate synthetase] [protein_id=AVZ42989.1] [location=complement(1893402..1894298)] [gbkey=CDS]</t>
  </si>
  <si>
    <t>lcl|CP023715.1_prot_AVZ42990.1_1630 [locus_tag=ZMO1_ZMO1854] [protein=transcriptional regulator GntR family with aminotransferase domain] [protein_id=AVZ42990.1] [location=complement(1894443..1895888)] [gbkey=CDS]</t>
  </si>
  <si>
    <t>ZMO1854</t>
  </si>
  <si>
    <t>lcl|CP023715.1_prot_AVZ42991.1_1631 [gene=yfeJ] [locus_tag=ZMO1_ZMO1855] [protein=glutamine amidotransferase class-I] [protein_id=AVZ42991.1] [location=1896020..1896775] [gbkey=CDS]</t>
  </si>
  <si>
    <t>lcl|CP023715.1_prot_AVZ42993.1_1633 [locus_tag=ZMO1_ZMO1857] [protein=LysR family transcriptional regulator] [protein_id=AVZ42993.1] [location=1898360..1899253] [gbkey=CDS]</t>
  </si>
  <si>
    <t>lcl|CP023715.1_prot_AVZ42995.1_1635 [gene=rpfN] [locus_tag=ZMO1_ZMO1859] [protein=carbohydrate porin] [protein_id=AVZ42995.1] [location=1906413..1907951] [gbkey=CDS]</t>
  </si>
  <si>
    <t>ZMO1859</t>
  </si>
  <si>
    <t>lcl|CP023715.1_prot_AVZ42996.1_1636 [locus_tag=ZMO1_ZMO1860] [protein=putative Ccc1 family vacuolar ion transporter] [protein_id=AVZ42996.1] [location=complement(1908023..1908733)] [gbkey=CDS]</t>
  </si>
  <si>
    <t>ZMO1860</t>
  </si>
  <si>
    <t>lcl|CP023715.1_prot_AVZ42997.1_1637 [locus_tag=ZMO1_ZMO1861] [protein=2-nitropropane dioxygenase NPD] [protein_id=AVZ42997.1] [location=complement(1909273..1910244)] [gbkey=CDS]</t>
  </si>
  <si>
    <t>lcl|CP023715.1_prot_AVZ43001.1_1641 [locus_tag=ZMO1_ZMO1866] [protein=beta-lactamase domain protein] [protein_id=AVZ43001.1] [location=complement(1919994..1921634)] [gbkey=CDS]</t>
  </si>
  <si>
    <t>lcl|CP023715.1_prot_AVZ43002.1_1642 [locus_tag=ZMO1_ZMO1867] [protein=Baf family transcriptional acitvator] [protein_id=AVZ43002.1] [location=complement(1921682..1922509)] [gbkey=CDS]</t>
  </si>
  <si>
    <t>lcl|CP023715.1_prot_AVZ43003.1_1643 [gene=birA] [locus_tag=ZMO1_ZMO1868] [protein=biotin--[acetyl-CoA-carboxylase] ligase] [protein_id=AVZ43003.1] [location=complement(1922538..1923341)] [gbkey=CDS]</t>
  </si>
  <si>
    <t>lcl|CP023715.1_prot_AVZ43004.1_1644 [locus_tag=ZMO1_ZMO1869] [protein=ribonuclease I-like protein] [protein_id=AVZ43004.1] [location=complement(1923338..1924084)] [gbkey=CDS]</t>
  </si>
  <si>
    <t>lcl|CP023715.1_prot_AVZ43005.1_1645 [gene=nadC] [locus_tag=ZMO1_ZMO1870] [protein=nicotinate-nucleotide pyrophosphorylase] [protein_id=AVZ43005.1] [location=complement(1924186..1925169)] [gbkey=CDS]</t>
  </si>
  <si>
    <t>lcl|CP023715.1_prot_AVZ43006.1_1646 [gene=nadA] [locus_tag=ZMO1_ZMO1871] [protein=quinolinate synthetase complex A subunit] [protein_id=AVZ43006.1] [location=complement(1925191..1926189)] [gbkey=CDS]</t>
  </si>
  <si>
    <t>lcl|CP023715.1_prot_AVZ43007.1_1647 [locus_tag=ZMO1_ZMO1872] [protein=uncharacterized protein] [protein_id=AVZ43007.1] [location=complement(1926204..1926830)] [gbkey=CDS]</t>
  </si>
  <si>
    <t>lcl|CP023715.1_prot_AVZ43008.1_1648 [locus_tag=ZMO1_ZMO1873] [protein=glutaredoxin-like protein] [protein_id=AVZ43008.1] [location=complement(1926866..1927198)] [gbkey=CDS]</t>
  </si>
  <si>
    <t>lcl|CP023715.1_prot_AVZ43009.1_1649 [gene=bolA2] [locus_tag=ZMO1_ZMO1874] [protein=BolA family transcriptional regulator] [protein_id=AVZ43009.1] [location=complement(1927247..1927480)] [gbkey=CDS]</t>
  </si>
  <si>
    <t>lcl|CP023715.1_prot_AVZ43010.1_1650 [locus_tag=ZMO1_ZMO1875] [protein=DUF1476 domain-containing protein] [protein_id=AVZ43010.1] [location=complement(1927485..1927853)] [gbkey=CDS]</t>
  </si>
  <si>
    <t>lcl|CP023715.1_prot_AVZ43011.1_1651 [locus_tag=ZMO1_ZMO1876] [protein=uncharacterized protein] [protein_id=AVZ43011.1] [location=1928222..1928710] [gbkey=CDS]</t>
  </si>
  <si>
    <t>lcl|CP023715.1_prot_AVZ43012.1_1652 [locus_tag=ZMO1_ZMO1877] [protein=glutamine cyclotransferase] [protein_id=AVZ43012.1] [location=complement(1928867..1929718)] [gbkey=CDS]</t>
  </si>
  <si>
    <t>lcl|CP023715.1_prot_AVZ43013.1_1653 [gene=valS] [locus_tag=ZMO1_ZMO1878] [protein=valine--tRNA ligase] [protein_id=AVZ43013.1] [location=1929861..1932515] [gbkey=CDS]</t>
  </si>
  <si>
    <t>lcl|CP023715.1_prot_AVZ43014.1_1654 [gene=hemB] [locus_tag=ZMO1_ZMO1879] [protein=porphobilinogen synthase] [protein_id=AVZ43014.1] [location=1932648..1933649] [gbkey=CDS]</t>
  </si>
  <si>
    <t>lcl|CP023715.1_prot_AVZ43015.1_1655 [locus_tag=ZMO1_ZMO1880] [protein=uncharacterized protein] [protein_id=AVZ43015.1] [location=1933642..1934250] [gbkey=CDS]</t>
  </si>
  <si>
    <t>lcl|CP023715.1_prot_AVZ43017.1_1657 [gene=serA2] [locus_tag=ZMO1_ZMO1883] [protein=D-3-phosphoglycerate dehydrogenase] [protein_id=AVZ43017.1] [location=complement(1936233..1937174)] [gbkey=CDS]</t>
  </si>
  <si>
    <t>lcl|CP023715.1_prot_AVZ43018.2_1658 [locus_tag=ZMO1_ZMO1884] [protein=DUF208 domain-containing protein] [protein_id=AVZ43018.2] [location=complement(1937229..1937864)] [gbkey=CDS]</t>
  </si>
  <si>
    <t>lcl|CP023715.1_prot_AVZ43019.1_1659 [locus_tag=ZMO1_ZMO1885] [protein=NADH:flavin oxidoreductase] [protein_id=AVZ43019.1] [location=complement(1938045..1939121)] [gbkey=CDS]</t>
  </si>
  <si>
    <t>lcl|CP023715.1_prot_AVZ43021.1_1661 [gene=entB] [locus_tag=ZMO1_ZMO1887] [protein=isochorismatase hydrolase] [protein_id=AVZ43021.1] [location=complement(1940422..1940988)] [gbkey=CDS]</t>
  </si>
  <si>
    <t>lcl|CP023715.1_prot_AVZ43022.1_1662 [locus_tag=ZMO1_ZMO1889] [protein=SAM-dependent methyltransferase-like protein] [protein_id=AVZ43022.1] [location=complement(1941512..1942387)] [gbkey=CDS]</t>
  </si>
  <si>
    <t>lcl|CP023715.1_prot_AVZ43023.1_1663 [locus_tag=ZMO1_ZMO1890] [protein=mitochondrial processing peptidase-like protein] [protein_id=AVZ43023.1] [location=complement(1942414..1943640)] [gbkey=CDS]</t>
  </si>
  <si>
    <t>lcl|CP023715.1_prot_AVZ43024.1_1664 [gene=thrC] [locus_tag=ZMO1_ZMO1891] [protein=threonine synthase] [protein_id=AVZ43024.1] [location=complement(1943637..1945034)] [gbkey=CDS]</t>
  </si>
  <si>
    <t>lcl|CP023715.1_prot_AVZ43025.2_1665 [locus_tag=ZMO1_ZMO1892] [protein=uncharacterized protein] [protein_id=AVZ43025.2] [location=complement(1945253..1945699)] [gbkey=CDS]</t>
  </si>
  <si>
    <t>lcl|CP023715.1_prot_AVZ43026.1_1667 [locus_tag=ZMO1_ZMO1895] [protein=adenosine kinase] [protein_id=AVZ43026.1] [location=1945968..1946975] [gbkey=CDS]</t>
  </si>
  <si>
    <t>lcl|CP023715.1_prot_AVZ43027.1_1668 [gene=secF] [locus_tag=ZMO1_ZMO1896] [protein=protein-export membrane protein SecF] [protein_id=AVZ43027.1] [location=complement(1947096..1948013)] [gbkey=CDS]</t>
  </si>
  <si>
    <t>lcl|CP023715.1_prot_AVZ43028.1_1669 [gene=secD] [locus_tag=ZMO1_ZMO1897] [protein=protein-export membrane protein SecD] [protein_id=AVZ43028.1] [location=complement(1948030..1949613)] [gbkey=CDS]</t>
  </si>
  <si>
    <t>lcl|CP023715.1_prot_AVZ43029.1_1670 [gene=yajC] [locus_tag=ZMO1_ZMO1898] [protein=preprotein translocase YajC subunit] [protein_id=AVZ43029.1] [location=complement(1949620..1949967)] [gbkey=CDS]</t>
  </si>
  <si>
    <t>lcl|CP023715.1_prot_AVZ43030.1_1671 [gene=fabH] [locus_tag=ZMO1_ZMO1899] [protein=3-oxoacyl-(acyl-carrier-protein) synthase III] [protein_id=AVZ43030.1] [location=complement(1950847..1951818)] [gbkey=CDS]</t>
  </si>
  <si>
    <t>lcl|CP023715.1_prot_AVZ43031.1_1672 [gene=plsX] [locus_tag=ZMO1_ZMO1900] [protein=fatty acid/phospholipid synthesis protein PlsX] [protein_id=AVZ43031.1] [location=complement(1951815..1952870)] [gbkey=CDS]</t>
  </si>
  <si>
    <t>lcl|CP023715.1_prot_AVZ43033.1_1674 [locus_tag=ZMO1_ZMO1901] [protein=uncharacterized protein] [protein_id=AVZ43033.1] [location=complement(1953273..1954346)] [gbkey=CDS]</t>
  </si>
  <si>
    <t>lcl|CP023715.1_prot_AVZ43034.1_1675 [gene=hemD] [locus_tag=ZMO1_ZMO1902] [protein=uroporphyrinogen III synthase] [protein_id=AVZ43034.1] [location=complement(1954365..1955093)] [gbkey=CDS]</t>
  </si>
  <si>
    <t>ZMO1902</t>
  </si>
  <si>
    <t>lcl|CP023715.1_prot_AVZ43035.1_1676 [gene=hemC] [locus_tag=ZMO1_ZMO1903] [protein=porphobilinogen deaminase] [protein_id=AVZ43035.1] [location=complement(1955128..1956054)] [gbkey=CDS]</t>
  </si>
  <si>
    <t>lcl|CP023715.1_prot_AVZ43036.1_1677 [locus_tag=ZMO1_ZMO1904] [protein=tRNA(adenosine(37)-N6)-threonylcarbamoyltransferase complex transferase subunit TsaD] [protein_id=AVZ43036.1] [location=1956053..1957144] [gbkey=CDS]</t>
  </si>
  <si>
    <t>lcl|CP023715.1_prot_AVZ43037.1_1678 [gene=gpsA] [locus_tag=ZMO1_ZMO1905] [protein=glycerol-3-phosphate dehydrogenase (NAD(P)(+))] [protein_id=AVZ43037.1] [location=1957145..1958167] [gbkey=CDS]</t>
  </si>
  <si>
    <t>lcl|CP023715.1_prot_AVZ43038.1_1679 [gene=infC] [locus_tag=ZMO1_ZMO1906] [protein=translation initiation factor IF-3] [protein_id=AVZ43038.1] [location=complement(1958245..1958784)] [gbkey=CDS]</t>
  </si>
  <si>
    <t>lcl|CP023715.1_prot_AVZ43039.1_1680 [gene=mutS] [locus_tag=ZMO1_ZMO1907] [protein=DNA mismatch repair protein MutS] [protein_id=AVZ43039.1] [location=complement(1958896..1961505)] [gbkey=CDS]</t>
  </si>
  <si>
    <t>lcl|CP023715.1_prot_AVZ43040.2_1681 [locus_tag=ZMO1_ZMO1908] [protein=outer membrane protein assembly factor BamE] [protein_id=AVZ43040.2] [location=complement(1961633..1962127)] [gbkey=CDS]</t>
  </si>
  <si>
    <t>lcl|CP023715.1_prot_AVZ43041.1_1682 [locus_tag=ZMO1_ZMO1909] [protein=DUF177 domain-containing protein] [protein_id=AVZ43041.1] [location=1962341..1962880] [gbkey=CDS]</t>
  </si>
  <si>
    <t>lcl|CP023715.1_prot_AVZ43042.1_1683 [gene=rplY] [locus_tag=ZMO1_ZMO1910] [protein=50S ribosomal protein L25] [protein_id=AVZ43042.1] [location=1963047..1963709] [gbkey=CDS]</t>
  </si>
  <si>
    <t>lcl|CP023715.1_prot_AVZ43043.1_1684 [locus_tag=ZMO1_ZMO1911] [protein=peptidyl-tRNA hydrolase] [protein_id=AVZ43043.1] [location=1963784..1964353] [gbkey=CDS]</t>
  </si>
  <si>
    <t>lcl|CP023715.1_prot_AVZ43044.1_1685 [gene=ychF] [locus_tag=ZMO1_ZMO1912] [protein=redox-regulated ATPase YchF] [protein_id=AVZ43044.1] [location=1964403..1965503] [gbkey=CDS]</t>
  </si>
  <si>
    <t>lcl|CP023715.1_prot_AVZ43045.1_1686 [gene=gshB] [locus_tag=ZMO1_ZMO1913] [protein=glutathione synthetase] [protein_id=AVZ43045.1] [location=1965834..1966784] [gbkey=CDS]</t>
  </si>
  <si>
    <t>lcl|CP023715.1_prot_AVZ43046.1_1687 [gene=xerC] [locus_tag=ZMO1_ZMO1914] [protein=integrase family protein] [protein_id=AVZ43046.1] [location=complement(1966789..1967712)] [gbkey=CDS]</t>
  </si>
  <si>
    <t>ZMO1914</t>
  </si>
  <si>
    <t>lcl|CP023715.1_prot_AVZ43047.1_1688 [gene=bioD] [locus_tag=ZMO1_ZMO1915] [protein=dethiobiotin synthase] [protein_id=AVZ43047.1] [location=complement(1967723..1969150)] [gbkey=CDS]</t>
  </si>
  <si>
    <t>lcl|CP023715.1_prot_AVZ43048.1_1689 [gene=bioH] [locus_tag=ZMO1_ZMO1916] [protein=pimeloyl-[acyl-carrier protein] methyl ester esterase BioH] [protein_id=AVZ43048.1] [location=complement(1969147..1969794)] [gbkey=CDS]</t>
  </si>
  <si>
    <t>lcl|CP023715.1_prot_AVZ43049.1_1690 [gene=bioF] [locus_tag=ZMO1_ZMO1917] [protein=8-amino-7-oxononanoate synthase] [protein_id=AVZ43049.1] [location=complement(1969791..1970999)] [gbkey=CDS]</t>
  </si>
  <si>
    <t>lcl|CP023715.1_prot_AVZ43050.1_1691 [gene=bioA] [locus_tag=ZMO1_ZMO1918] [protein=adenosylmethionine--8-amino-7-oxononanoate aminotransferase BioA] [protein_id=AVZ43050.1] [location=1971066..1972331] [gbkey=CDS]</t>
  </si>
  <si>
    <t>lcl|CP023715.1_prot_AVZ43051.1_1692 [locus_tag=ZMO1_ZMO1919] [protein=thiol-disulfide isomerase] [protein_id=AVZ43051.1] [location=complement(1972328..1972837)] [gbkey=CDS]</t>
  </si>
  <si>
    <t>lcl|CP023715.1_prot_AVZ43052.1_1693 [locus_tag=ZMO1_ZMO1920] [protein=uncharacterized protein] [protein_id=AVZ43052.1] [location=1973114..1973533] [gbkey=CDS]</t>
  </si>
  <si>
    <t>lcl|CP023715.1_prot_AVZ43053.1_1694 [gene=priA] [locus_tag=ZMO1_ZMO1921] [protein=primosomal protein N] [protein_id=AVZ43053.1] [location=1973662..1975830] [gbkey=CDS]</t>
  </si>
  <si>
    <t>lcl|CP023715.1_prot_AVZ43054.1_1695 [gene=kpsS] [locus_tag=ZMO1_ZMO1922] [protein=capsule polysaccharide biosynthesis protein] [protein_id=AVZ43054.1] [location=complement(1975833..1977227)] [gbkey=CDS]</t>
  </si>
  <si>
    <t>lcl|CP023715.1_prot_AVZ43055.1_1696 [locus_tag=ZMO1_ZMO1923] [protein=sulfatase] [protein_id=AVZ43055.1] [location=1977632..1979107] [gbkey=CDS]</t>
  </si>
  <si>
    <t>lcl|CP023715.1_prot_AVZ43056.1_1697 [locus_tag=ZMO1_ZMO1924] [protein=peptidase U32] [protein_id=AVZ43056.1] [location=complement(1979119..1980072)] [gbkey=CDS]</t>
  </si>
  <si>
    <t>lcl|CP023715.1_prot_AVZ43057.1_1698 [locus_tag=ZMO1_ZMO1925] [protein=sterol-binding peptidase U32 family peptidase] [protein_id=AVZ43057.1] [location=complement(1980069..1981814)] [gbkey=CDS]</t>
  </si>
  <si>
    <t>lcl|CP023715.1_prot_AVZ43058.1_1699 [gene=sppA] [locus_tag=ZMO1_ZMO1927] [protein=signal peptide peptidase SppA 67K type] [protein_id=AVZ43058.1] [location=complement(1982045..1983958)] [gbkey=CDS]</t>
  </si>
  <si>
    <t>lcl|CP023715.1_prot_AVZ43059.1_1700 [gene=groES] [locus_tag=ZMO1_ZMO1928] [protein=chaperonin Cpn10] [protein_id=AVZ43059.1] [location=1984253..1984618] [gbkey=CDS]</t>
  </si>
  <si>
    <t>lcl|CP023715.1_prot_AVZ43060.1_1701 [gene=groEL] [locus_tag=ZMO1_ZMO1929] [protein=chaperonin GroEL] [protein_id=AVZ43060.1] [location=1984725..1986365] [gbkey=CDS]</t>
  </si>
  <si>
    <t>lcl|CP023715.1_prot_AVZ43064.1_1706 [locus_tag=ZMO1_ZMO1932] [protein=uncharacterized protein] [protein_id=AVZ43064.1] [location=complement(1989888..1990679)] [gbkey=CDS]</t>
  </si>
  <si>
    <t>ZMO1932</t>
  </si>
  <si>
    <t>lcl|CP023715.1_prot_AVZ43065.1_1707 [locus_tag=ZMO1_ZMO1933] [protein=uncharacterized protein] [protein_id=AVZ43065.1] [location=complement(1990679..1992058)] [gbkey=CDS]</t>
  </si>
  <si>
    <t>lcl|CP023715.1_prot_AVZ43066.1_1708 [locus_tag=ZMO1_ZMO1934] [protein=N-6 DNA methylase] [protein_id=AVZ43066.1] [location=complement(1992067..1994085)] [gbkey=CDS]</t>
  </si>
  <si>
    <t>lcl|CP023715.1_prot_AVZ43076.1_1718 [locus_tag=ZMO1_ZMO1944] [protein=GntR transcriptional regulator with aminotransferase domain] [protein_id=AVZ43076.1] [location=complement(2001626..2002999)] [gbkey=CDS]</t>
  </si>
  <si>
    <t>lcl|CP023715.1_prot_AVZ43077.1_1719 [locus_tag=ZMO1_ZMO1945] [protein=PhzF-like isomerase] [protein_id=AVZ43077.1] [location=2003099..2003986] [gbkey=CDS]</t>
  </si>
  <si>
    <t>lcl|CP023715.1_prot_AVZ43081.1_1723 [locus_tag=ZMO1_ZMO1949] [protein=ribosyldihydronicotinamide dehydrogenase] [protein_id=AVZ43081.1] [location=2005748..2006464] [gbkey=CDS]</t>
  </si>
  <si>
    <t>ZMO1949</t>
  </si>
  <si>
    <t>lcl|CP023715.1_prot_AVZ43082.1_1724 [locus_tag=ZMO1_ZMO1950] [protein=aminotransferase] [protein_id=AVZ43082.1] [location=2006461..2007645] [gbkey=CDS]</t>
  </si>
  <si>
    <t>lcl|CP023715.1_prot_AVZ43086.1_1728 [gene=panB1] [locus_tag=ZMO1_ZMO1952] [protein=3-methyl-2-oxobutanoate hydroxymethyltransferase] [protein_id=AVZ43086.1] [location=2009355..2010275] [gbkey=CDS]</t>
  </si>
  <si>
    <t>ZMO1952</t>
  </si>
  <si>
    <t>lcl|CP023715.1_prot_AVZ43103.1_1745 [gene=panC1] [locus_tag=ZMO1_ZMO1954] [protein=pantoate-beta-alanine ligase] [protein_id=AVZ43103.1] [location=complement(2034921..2035784)] [gbkey=CDS]</t>
  </si>
  <si>
    <t>lcl|CP023715.1_prot_AVZ43088.1_1730 [gene=mdh] [locus_tag=ZMO1_ZMO1955] [protein=malate dehydrogenase] [protein_id=AVZ43088.1] [location=complement(2011799..2013484)] [gbkey=CDS]</t>
  </si>
  <si>
    <t>lcl|CP023715.1_prot_AVZ43089.1_1731 [gene=recN] [locus_tag=ZMO1_ZMO1956] [protein=DNA repair protein RecN] [protein_id=AVZ43089.1] [location=complement(2013641..2015317)] [gbkey=CDS]</t>
  </si>
  <si>
    <t>lcl|CP023715.1_prot_AVZ43090.1_1732 [locus_tag=ZMO1_ZMO1957] [protein=glycosyl transferase family 1] [protein_id=AVZ43090.1] [location=complement(2015373..2016554)] [gbkey=CDS]</t>
  </si>
  <si>
    <t>lcl|CP023715.1_prot_AVZ43091.1_1733 [locus_tag=ZMO1_ZMO1958] [protein=uncharacterized protein] [protein_id=AVZ43091.1] [location=complement(2016692..2017114)] [gbkey=CDS]</t>
  </si>
  <si>
    <t>lcl|CP023715.1_prot_AVZ43092.1_1734 [locus_tag=ZMO1_ZMO1959] [protein=uncharacterized protein] [protein_id=AVZ43092.1] [location=complement(2017157..2020204)] [gbkey=CDS]</t>
  </si>
  <si>
    <t>lcl|CP023715.1_prot_AVZ43093.1_1735 [locus_tag=ZMO1_ZMO1960] [protein=uncharacterized protein] [protein_id=AVZ43093.1] [location=2020441..2021739] [gbkey=CDS]</t>
  </si>
  <si>
    <t>lcl|CP023715.1_prot_AVZ43094.1_1736 [locus_tag=ZMO1_ZMO1961] [protein=uncharacterized protein] [protein_id=AVZ43094.1] [location=2021892..2023046] [gbkey=CDS]</t>
  </si>
  <si>
    <t>lcl|CP023715.1_prot_AVZ43095.1_1737 [locus_tag=ZMO1_ZMO1962] [protein=histidine kinase] [protein_id=AVZ43095.1] [location=2023046..2024464] [gbkey=CDS]</t>
  </si>
  <si>
    <t>lcl|CP023715.1_prot_AVZ43096.1_1738 [gene=gltA] [locus_tag=ZMO1_ZMO1963] [protein=citrate synthase I] [protein_id=AVZ43096.1] [location=complement(2024465..2025754)] [gbkey=CDS]</t>
  </si>
  <si>
    <t>lcl|CP023715.1_prot_AVZ43097.1_1739 [gene=gltX2] [locus_tag=ZMO1_ZMO1964] [protein=glutamate--tRNA ligase] [protein_id=AVZ43097.1] [location=complement(2025900..2027345)] [gbkey=CDS]</t>
  </si>
  <si>
    <t>lcl|CP023715.1_prot_AVZ43099.1_1741 [locus_tag=ZMO1_ZMO1966] [protein=uncharacterized protein] [protein_id=AVZ43099.1] [location=2030132..2031121] [gbkey=CDS]</t>
  </si>
  <si>
    <t>lcl|CP023715.1_prot_AVZ43100.1_1742 [gene=blaP] [locus_tag=ZMO1_ZMO1967] [protein=beta-lactamase] [protein_id=AVZ43100.1] [location=2031147..2032067] [gbkey=CDS]</t>
  </si>
  <si>
    <t>lcl|CP023715.1_prot_AVZ43101.1_1743 [locus_tag=ZMO1_ZMO1969] [protein=Sel1 domain protein repeat-containing protein] [protein_id=AVZ43101.1] [location=complement(2032894..2033904)] [gbkey=CDS]</t>
  </si>
  <si>
    <t>lcl|CP023715.1_prot_AVZ43102.1_1744 [gene=panB2] [locus_tag=ZMO1_ZMO1970] [protein=3-methyl-2-oxobutanoate hydroxymethyltransferase] [protein_id=AVZ43102.1] [location=complement(2034100..2034921)] [gbkey=CDS]</t>
  </si>
  <si>
    <t>lcl|CP023715.1_prot_AVZ43105.1_1747 [locus_tag=ZMO1_ZMO1974] [protein=LysR family transcriptional regulator ArgP] [protein_id=AVZ43105.1] [location=2036640..2037548] [gbkey=CDS]</t>
  </si>
  <si>
    <t>lcl|CP023715.1_prot_AVZ43106.1_1748 [locus_tag=ZMO1_ZMO1975] [protein=ornithine cyclodeaminase] [protein_id=AVZ43106.1] [location=2037545..2038477] [gbkey=CDS]</t>
  </si>
  <si>
    <t>lcl|CP023715.1_prot_AVZ43107.1_1749 [locus_tag=ZMO1_ZMO1976] [protein=uncharacterized protein] [protein_id=AVZ43107.1] [location=2038748..2039605] [gbkey=CDS]</t>
  </si>
  <si>
    <t>lcl|CP023715.1_prot_AVZ43109.1_1751 [gene=parB] [locus_tag=ZMO1_ZMO1978] [protein=partition protein ParB] [protein_id=AVZ43109.1] [location=complement(2041295..2042230)] [gbkey=CDS]</t>
  </si>
  <si>
    <t>lcl|CP023715.1_prot_AVZ43110.1_1752 [gene=parA] [locus_tag=ZMO1_ZMO1979] [protein=partition protein ParA] [protein_id=AVZ43110.1] [location=complement(2042227..2043027)] [gbkey=CDS]</t>
  </si>
  <si>
    <t>lcl|CP023715.1_prot_AVZ43111.1_1753 [gene=gidB] [locus_tag=ZMO1_ZMO1980] [protein=16S rRNA methyltransferase GidB] [protein_id=AVZ43111.1] [location=complement(2043024..2043689)] [gbkey=CDS]</t>
  </si>
  <si>
    <t>lcl|CP023715.1_prot_AVZ43112.1_1754 [gene=gidA] [locus_tag=ZMO1_ZMO1981] [protein=glucose inhibited division protein A GidA] [protein_id=AVZ43112.1] [location=complement(2043686..2045551)] [gbkey=CDS]</t>
  </si>
  <si>
    <t>lcl|CP023715.1_prot_AVZ43114.1_1756 [locus_tag=ZMO1_ZMO1984] [protein=aldo/keto reductase] [protein_id=AVZ43114.1] [location=2046935..2047921] [gbkey=CDS]</t>
  </si>
  <si>
    <t>lcl|CP023715.1_prot_AVZ43115.1_1757 [locus_tag=ZMO1_ZMO1986] [protein=TonB-dependent receptor plug domain] [protein_id=AVZ43115.1] [location=2048505..2050916] [gbkey=CDS]</t>
  </si>
  <si>
    <t>lcl|CP023715.1_prot_AVZ43116.1_1758 [gene=trmE] [locus_tag=ZMO1_ZMO1988] [protein=tRNA modification GTPase TrmE] [protein_id=AVZ43116.1] [location=complement(2050920..2052224)] [gbkey=CDS]</t>
  </si>
  <si>
    <t>lcl|CP023715.1_prot_AVZ43117.1_1759 [locus_tag=ZMO1_ZMO1989] [protein=methylated-DNA--protein-cysteine methyltransferase] [protein_id=AVZ43117.1] [location=2052413..2052913] [gbkey=CDS]</t>
  </si>
  <si>
    <t>lcl|CP023715.1_prot_AVZ43118.1_1760 [gene=clcD2] [locus_tag=ZMO1_ZMO1992] [protein=carboxymethylenebutenolidase] [protein_id=AVZ43118.1] [location=2053017..2053718] [gbkey=CDS]</t>
  </si>
  <si>
    <t>lcl|CP023715.1_prot_AVZ43119.1_1761 [gene=qor] [locus_tag=ZMO1_ZMO1993] [protein=quinone oxidoreductase] [protein_id=AVZ43119.1] [location=2053718..2054716] [gbkey=CDS]</t>
  </si>
  <si>
    <t>lcl|CP023715.1_prot_AVZ43120.1_1762 [gene=rho] [locus_tag=ZMO1_ZMO1996] [protein=transcription termination factor Rho] [protein_id=AVZ43120.1] [location=complement(2055009..2056265)] [gbkey=CDS]</t>
  </si>
  <si>
    <t>lcl|CP023715.1_prot_AVZ43121.1_1763 [locus_tag=ZMO1_ZMO1997] [protein=CopD family protein] [protein_id=AVZ43121.1] [location=complement(2056448..2056903)] [gbkey=CDS]</t>
  </si>
  <si>
    <t>ZMO1997</t>
  </si>
  <si>
    <t>lcl|CP023715.1_prot_AVZ43122.1_1764 [gene=hemE] [locus_tag=ZMO1_ZMO1998] [protein=uroporphyrinogen decarboxylase] [protein_id=AVZ43122.1] [location=complement(2057001..2058038)] [gbkey=CDS]</t>
  </si>
  <si>
    <t>lcl|CP023715.1_prot_AVZ41609.1_230 [locus_tag=ZMO1_ZMO2001] [protein=hypothetical protein] [protein_id=AVZ41609.1] [location=complement(276463..276930)] [gbkey=CDS]</t>
  </si>
  <si>
    <t>ZMO2001</t>
  </si>
  <si>
    <t>lcl|CP023715.1_prot_AVZ41815.1_438 [locus_tag=ZMO1_ZMO2002] [protein=ribosomal protein S12] [protein_id=AVZ41815.1] [location=515764..516135] [gbkey=CDS]</t>
  </si>
  <si>
    <t>lcl|CP023715.1_prot_AVZ41819.1_442 [locus_tag=ZMO1_ZMO2003] [protein=ribosomal protein S10] [protein_id=AVZ41819.1] [location=520096..520467] [gbkey=CDS]</t>
  </si>
  <si>
    <t>lcl|CP023715.1_prot_AVZ41824.1_447 [locus_tag=ZMO1_ZMO2004] [protein=ribosomal protein S19] [protein_id=AVZ41824.1] [location=523284..523559] [gbkey=CDS]</t>
  </si>
  <si>
    <t>lcl|CP023715.1_prot_AVZ41955.1_579 [locus_tag=ZMO1_ZMO2005] [protein=ATP synthase FoF1 assembly protein I] [protein_id=AVZ41955.1] [location=663272..663589] [gbkey=CDS]</t>
  </si>
  <si>
    <t>lcl|CP023715.1_prot_AVZ42004.1_629 [locus_tag=ZMO1_ZMO2006] [protein=preprotein translocase SecE subunit] [protein_id=AVZ42004.1] [location=724181..724378] [gbkey=CDS]</t>
  </si>
  <si>
    <t>lcl|CP023715.1_prot_AVZ42182.1_811 [locus_tag=ZMO1_ZMO2007] [protein=uncharacterized protein] [protein_id=AVZ42182.1] [location=949809..950453] [gbkey=CDS]</t>
  </si>
  <si>
    <t>lcl|CP023715.1_prot_AVZ42475.1_1105 [locus_tag=ZMO1_ZMO2012] [protein=acyl carrier protein] [protein_id=AVZ42475.1] [location=1286444..1286692] [gbkey=CDS]</t>
  </si>
  <si>
    <t>lcl|CP023715.1_prot_AVZ42496.1_1126 [locus_tag=ZMO1_ZMO2014] [protein=uncharacterized protein] [protein_id=AVZ42496.1] [location=complement(1310063..1310623)] [gbkey=CDS]</t>
  </si>
  <si>
    <t>lcl|CP023715.1_prot_AVZ42497.1_1127 [locus_tag=ZMO1_ZMO2015] [protein=uncharacterized protein] [protein_id=AVZ42497.1] [location=complement(1310620..1311195)] [gbkey=CDS]</t>
  </si>
  <si>
    <t>lcl|CP023715.1_prot_AVZ42501.1_1132 [locus_tag=ZMO1_ZMO2017] [protein=capsule biosynthesis phosphatase] [protein_id=AVZ42501.1] [location=1316016..1316390] [gbkey=CDS]</t>
  </si>
  <si>
    <t>lcl|CP023715.1_prot_AVZ42734.1_1373 [locus_tag=ZMO1_ZMO2021] [protein=DUF2474 domain-containing protein] [protein_id=AVZ42734.1] [location=1607626..1607808] [gbkey=CDS]</t>
  </si>
  <si>
    <t>ZMO2021</t>
  </si>
  <si>
    <t>lcl|CP023715.1_prot_AVZ42788.1_1428 [locus_tag=ZMO1_ZMO2023] [protein=membrane-bound lytic murein transglycosylase MltA] [protein_id=AVZ42788.1] [location=complement(1679404..1680735)] [gbkey=CDS]</t>
  </si>
  <si>
    <t>lcl|CP023715.1_prot_AVZ42864.1_1504 [gene=exbD] [locus_tag=ZMO1_ZMO2025] [protein=biopolymer transport protein ExbD/TolR] [protein_id=AVZ42864.1] [location=complement(1763958..1764380)] [gbkey=CDS]</t>
  </si>
  <si>
    <t>lcl|CP023715.1_prot_AVZ42874.1_1514 [locus_tag=ZMO1_ZMO2026] [protein=uncharacterized protein] [protein_id=AVZ42874.1] [location=complement(1772659..1773102)] [gbkey=CDS]</t>
  </si>
  <si>
    <t>ZMO2026</t>
  </si>
  <si>
    <t>lcl|CP023715.1_prot_AVZ43032.1_1673 [locus_tag=ZMO1_ZMO2031] [protein=ribosomal protein L32] [protein_id=AVZ43032.1] [location=complement(1952883..1953062)] [gbkey=CDS]</t>
  </si>
  <si>
    <t>lcl|CP023715.1_prot_AVZ43067.1_1709 [locus_tag=ZMO1_ZMO2033] [protein=XRE family transcriptional regulator] [protein_id=AVZ43067.1] [location=complement(1994193..1994384)] [gbkey=CDS]</t>
  </si>
  <si>
    <t>ZMO2033</t>
  </si>
  <si>
    <t>lcl|CP023715.1_prot_AVZ43083.1_1725 [locus_tag=ZMO1_ZMO2038] [protein=thioesterase superfamily protein] [protein_id=AVZ43083.1] [location=2007673..2008119] [gbkey=CDS]</t>
  </si>
  <si>
    <t>ZMO2038</t>
  </si>
  <si>
    <t>lcl|CP023715.1_prot_AVZ41495.1_113 [locus_tag=ZMO1_ZMO2041] [protein=Sel1 domain protein repeat-containing protein] [protein_id=AVZ41495.1] [location=124244..125068] [gbkey=CDS]</t>
  </si>
  <si>
    <t>lcl|CP023715.1_prot_QIZ64058.1_128 [locus_tag=ZMO1_ZMO2043] [protein=DUF2312 domain-containing protein] [protein_id=QIZ64058.1] [location=140799..141038] [gbkey=CDS]</t>
  </si>
  <si>
    <t>ZMO2043</t>
  </si>
  <si>
    <t>lcl|CP023715.1_prot_QIZ64066.1_687 [locus_tag=ZMO1_ZMO2054] [protein=hypothetical protein] [protein_id=QIZ64066.1] [location=791565..791903] [gbkey=CDS]</t>
  </si>
  <si>
    <t>ZMO2054</t>
  </si>
  <si>
    <t>lcl|CP023715.1_prot_QIZ64068.1_712 [locus_tag=ZMO1_ZMO2056] [protein=uncharacterized protein] [protein_id=QIZ64068.1] [location=complement(819803..820003)] [gbkey=CDS]</t>
  </si>
  <si>
    <t>ZMO2056</t>
  </si>
  <si>
    <t>lcl|CP023716.1_prot_AVZ43123.1_1 [locus_tag=ZMO1_ZMOp32x001] [protein=SIR2-like protein] [protein_id=AVZ43123.1] [location=complement(4..3732)] [gbkey=CDS]</t>
  </si>
  <si>
    <t>ZMOp32x001</t>
  </si>
  <si>
    <t>lcl|CP023716.1_prot_AVZ43126.1_3 [locus_tag=ZMO1_ZMOp32x004] [protein=P-loop containing nucleoside triphosphate hydrolase domain protein] [protein_id=AVZ43126.1] [location=5046..5714] [gbkey=CDS]</t>
  </si>
  <si>
    <t>ZMOp32x004</t>
  </si>
  <si>
    <t>lcl|CP023716.1_prot_AVZ43127.1_4 [locus_tag=ZMO1_ZMOp32x005] [protein=uncharacterized protein] [protein_id=AVZ43127.1] [location=5690..5980] [gbkey=CDS]</t>
  </si>
  <si>
    <t>ZMOp32x005</t>
  </si>
  <si>
    <t>lcl|CP023716.1_prot_AVZ43128.1_5 [locus_tag=ZMO1_ZMOp32x006] [protein=TonB-dependent receptor plug domain protein] [protein_id=AVZ43128.1] [location=complement(6105..8420)] [gbkey=CDS]</t>
  </si>
  <si>
    <t>ZMOp32x006</t>
  </si>
  <si>
    <t>lcl|CP023716.1_prot_AVZ43129.1_6 [locus_tag=ZMO1_ZMOp32x007] [protein=Ca2+-dependent phosphoinositide phospholipase C] [protein_id=AVZ43129.1] [location=8720..9919] [gbkey=CDS]</t>
  </si>
  <si>
    <t>ZMOp32x007</t>
  </si>
  <si>
    <t>lcl|CP023716.1_prot_AVZ43130.1_7 [locus_tag=ZMO1_ZMOp32x008] [protein=PIN domain protein] [protein_id=AVZ43130.1] [location=complement(10335..10931)] [gbkey=CDS]</t>
  </si>
  <si>
    <t>ZMOp32x008</t>
  </si>
  <si>
    <t>lcl|CP023716.1_prot_AVZ43131.1_8 [locus_tag=ZMO1_ZMOp32x009] [protein=SinI-like DNA-binding domain protein] [protein_id=AVZ43131.1] [location=complement(10934..11389)] [gbkey=CDS]</t>
  </si>
  <si>
    <t>ZMOp32x009</t>
  </si>
  <si>
    <t>lcl|CP023716.1_prot_AVZ43133.1_10 [locus_tag=ZMO1_ZMOp32x011] [protein=uncharacterized protein] [protein_id=AVZ43133.1] [location=complement(13704..14201)] [gbkey=CDS]</t>
  </si>
  <si>
    <t>ZMOp32x011</t>
  </si>
  <si>
    <t>lcl|CP023716.1_prot_AVZ43142.1_19 [locus_tag=ZMO1_ZMOp32x020] [protein=MazE antitoxin] [protein_id=AVZ43142.1] [location=20381..20623] [gbkey=CDS]</t>
  </si>
  <si>
    <t>ZMOp32x020</t>
  </si>
  <si>
    <t>lcl|CP023716.1_prot_AVZ43144.1_21 [locus_tag=ZMO1_ZMOp32x022] [protein=SIR2-like protein] [protein_id=AVZ43144.1] [location=21448..22890] [gbkey=CDS]</t>
  </si>
  <si>
    <t>ZMOp32x022</t>
  </si>
  <si>
    <t>lcl|CP023716.1_prot_AVZ43145.1_22 [locus_tag=ZMO1_ZMOp32x023] [protein=MTH538 TIR-like domain] [protein_id=AVZ43145.1] [location=22900..23340] [gbkey=CDS]</t>
  </si>
  <si>
    <t>ZMOp32x023</t>
  </si>
  <si>
    <t>lcl|CP023716.1_prot_AVZ43147.1_26 [locus_tag=ZMO1_ZMOp32x025] [protein=Type III restriction endonuclease subunit R] [protein_id=AVZ43147.1] [location=25525..28902] [gbkey=CDS]</t>
  </si>
  <si>
    <t>ZMOp32x025</t>
  </si>
  <si>
    <t>lcl|CP023716.1_prot_AVZ43150.2_28 [locus_tag=ZMO1_ZMOp32x028] [protein=Type I restriction endonuclease HsdS] [protein_id=AVZ43150.2] [location=30360..31622] [gbkey=CDS]</t>
  </si>
  <si>
    <t>ZMOp32x028</t>
  </si>
  <si>
    <t>lcl|CP023716.1_prot_QIZ64094.1_27 [locus_tag=ZMO1_ZMOp32x034] [protein=SAM-dependent methyltransferase] [protein_id=QIZ64094.1] [location=28903..30363] [gbkey=CDS]</t>
  </si>
  <si>
    <t>ZMOp32x034</t>
  </si>
  <si>
    <t>lcl|CP023717.1_prot_AVZ43152.1_2 [locus_tag=ZMO1_ZMOp33x002] [protein=putative Zeta toxin-like kinase] [protein_id=AVZ43152.1] [location=643..1224] [gbkey=CDS];lcl|CP023719.1_prot_AVZ43259.1_22 [locus_tag=ZMO1_ZMOp39x023] [protein=P-loop containing nucleos</t>
  </si>
  <si>
    <t>ZMOp33x002</t>
  </si>
  <si>
    <t>lcl|CP023717.1_prot_AVZ43153.1_3 [locus_tag=ZMO1_ZMOp33x003] [protein=CopG family transcriptional regulator] [protein_id=AVZ43153.1] [location=complement(1358..1618)] [gbkey=CDS]</t>
  </si>
  <si>
    <t>ZMOp33x003</t>
  </si>
  <si>
    <t>lcl|CP023717.1_prot_AVZ43154.1_4 [locus_tag=ZMO1_ZMOp33x004] [protein=CobQ/CobB/MinD/ParA nucleotide binding domain protein] [protein_id=AVZ43154.1] [location=complement(1648..2298)] [gbkey=CDS]</t>
  </si>
  <si>
    <t>ZMOp33x004</t>
  </si>
  <si>
    <t>lcl|CP023717.1_prot_AVZ43156.1_6 [locus_tag=ZMO1_ZMOp33x006] [protein=acyl-CoA N-acyltransferase] [protein_id=AVZ43156.1] [location=2788..3282] [gbkey=CDS]</t>
  </si>
  <si>
    <t>ZMOp33x006</t>
  </si>
  <si>
    <t>lcl|CP023717.1_prot_AVZ43158.1_8 [locus_tag=ZMO1_ZMOp33x008] [protein=LysR family transcription regulator] [protein_id=AVZ43158.1] [location=complement(3635..4540)] [gbkey=CDS]</t>
  </si>
  <si>
    <t>ZMOp33x008</t>
  </si>
  <si>
    <t>lcl|CP023717.1_prot_AVZ43161.1_11 [locus_tag=ZMO1_ZMOp33x011] [protein=carbamoylase-type amidase] [protein_id=AVZ43161.1] [location=7630..8961] [gbkey=CDS]</t>
  </si>
  <si>
    <t>ZMOp33x011</t>
  </si>
  <si>
    <t>lcl|CP023717.1_prot_AVZ43162.1_12 [locus_tag=ZMO1_ZMOp33x012] [protein=2-aminoethylphosphonate--pyruvate transaminase] [protein_id=AVZ43162.1] [location=8958..10184] [gbkey=CDS]</t>
  </si>
  <si>
    <t>ZMOp33x012</t>
  </si>
  <si>
    <t>lcl|CP023717.1_prot_AVZ43165.1_15 [locus_tag=ZMO1_ZMOp33x015] [protein=AtzE type amidohydrolase] [protein_id=AVZ43165.1] [location=10792..12132] [gbkey=CDS]</t>
  </si>
  <si>
    <t>ZMOp33x015</t>
  </si>
  <si>
    <t>lcl|CP023717.1_prot_AVZ43166.1_16 [locus_tag=ZMO1_ZMOp33x016] [protein=short-chain dehydrogenase/reductase SDR] [protein_id=AVZ43166.1] [location=12298..13059] [gbkey=CDS]</t>
  </si>
  <si>
    <t>ZMOp33x016</t>
  </si>
  <si>
    <t>lcl|CP023717.1_prot_AVZ43168.1_18 [locus_tag=ZMO1_ZMOp33x018] [protein=bacterial bifunctional deaminase-reductase C-terminal domain-containing protein] [protein_id=AVZ43168.1] [location=13532..14254] [gbkey=CDS]</t>
  </si>
  <si>
    <t>ZMOp33x018</t>
  </si>
  <si>
    <t>lcl|CP023717.1_prot_AVZ43169.1_19 [locus_tag=ZMO1_ZMOp33x019] [protein=LysR family transcription regulator] [protein_id=AVZ43169.1] [location=complement(14269..15162)] [gbkey=CDS]</t>
  </si>
  <si>
    <t>ZMOp33x019</t>
  </si>
  <si>
    <t>lcl|CP023717.1_prot_AVZ43171.1_21 [locus_tag=ZMO1_ZMOp33x021] [protein=alcohol dehydrogenase-like protein] [protein_id=AVZ43171.1] [location=complement(16682..17731)] [gbkey=CDS]</t>
  </si>
  <si>
    <t>ZMOp33x021</t>
  </si>
  <si>
    <t>lcl|CP023717.1_prot_AVZ43172.1_22 [locus_tag=ZMO1_ZMOp33x022] [protein=NADP-dependent oxidoreductase domain protein] [protein_id=AVZ43172.1] [location=18110..19093] [gbkey=CDS]</t>
  </si>
  <si>
    <t>ZMOp33x022</t>
  </si>
  <si>
    <t>lcl|CP023717.1_prot_AVZ43173.1_23 [locus_tag=ZMO1_ZMOp33x023] [protein=NADP-dependent oxidoreductase domain protein] [protein_id=AVZ43173.1] [location=19136..20125] [gbkey=CDS]</t>
  </si>
  <si>
    <t>ZMOp33x023</t>
  </si>
  <si>
    <t>lcl|CP023717.1_prot_AVZ43180.1_29 [locus_tag=ZMO1_ZMOp33x031] [protein=uncharacterized protein] [protein_id=AVZ43180.1] [location=27888..28376] [gbkey=CDS]</t>
  </si>
  <si>
    <t>ZMOp33x031</t>
  </si>
  <si>
    <t>lcl|CP023717.1_prot_AVZ43185.1_34 [locus_tag=ZMO1_ZMOp33x036] [protein=ribonuclease toxin BrnT of type II toxin-antitoxin system] [protein_id=AVZ43185.1] [location=30636..30914] [gbkey=CDS]</t>
  </si>
  <si>
    <t>ZMOp33x036</t>
  </si>
  <si>
    <t>lcl|CP023718.1_prot_AVZ43196.1_8 [locus_tag=ZMO1_ZMOp36x007] [protein=tail protein I] [protein_id=AVZ43196.1] [location=3611..4162] [gbkey=CDS]</t>
  </si>
  <si>
    <t>ZMOp36x007</t>
  </si>
  <si>
    <t>lcl|CP023718.1_prot_AVZ43197.1_9 [locus_tag=ZMO1_ZMOp36x008] [protein=bulb-type lectin domain protein] [protein_id=AVZ43197.1] [location=4162..6666] [gbkey=CDS]</t>
  </si>
  <si>
    <t>ZMOp36x008</t>
  </si>
  <si>
    <t>lcl|CP023718.1_prot_AVZ43198.1_10 [locus_tag=ZMO1_ZMOp36x009] [protein=uncharacterized protein] [protein_id=AVZ43198.1] [location=6690..7148] [gbkey=CDS]</t>
  </si>
  <si>
    <t>ZMOp36x009</t>
  </si>
  <si>
    <t>lcl|CP023718.1_prot_AVZ43200.1_12 [locus_tag=ZMO1_ZMOp36x011] [protein=tail sheath protein] [protein_id=AVZ43200.1] [location=8339..9496] [gbkey=CDS]</t>
  </si>
  <si>
    <t>ZMOp36x011</t>
  </si>
  <si>
    <t>lcl|CP023718.1_prot_AVZ43201.1_13 [locus_tag=ZMO1_ZMOp36x012] [protein=tail tube protein] [protein_id=AVZ43201.1] [location=9516..10028] [gbkey=CDS]</t>
  </si>
  <si>
    <t>ZMOp36x012</t>
  </si>
  <si>
    <t>lcl|CP023718.1_prot_AVZ43204.2_16 [locus_tag=ZMO1_ZMOp36x015] [protein=phage tail tape measure protein] [protein_id=AVZ43204.2] [location=10613..13243] [gbkey=CDS]</t>
  </si>
  <si>
    <t>ZMOp36x015</t>
  </si>
  <si>
    <t>lcl|CP023718.1_prot_AVZ43207.1_19 [locus_tag=ZMO1_ZMOp36x018] [protein=uncharacterized protein] [protein_id=AVZ43207.1] [location=complement(14740..15081)] [gbkey=CDS]</t>
  </si>
  <si>
    <t>ZMOp36x018</t>
  </si>
  <si>
    <t>lcl|CP023718.1_prot_AVZ43211.2_27 [locus_tag=ZMO1_ZMOp36x022] [protein=uncharacterized protein] [protein_id=AVZ43211.2] [location=complement(17693..18055)] [gbkey=CDS]</t>
  </si>
  <si>
    <t>ZMOp36x022</t>
  </si>
  <si>
    <t>lcl|CP023718.1_prot_AVZ43214.1_30 [locus_tag=ZMO1_ZMOp36x025] [protein=DNA-damage-inducible protein D] [protein_id=AVZ43214.1] [location=19189..20517] [gbkey=CDS]</t>
  </si>
  <si>
    <t>ZMOp36x025</t>
  </si>
  <si>
    <t>lcl|CP023718.1_prot_AVZ43216.1_32 [locus_tag=ZMO1_ZMOp36x027] [protein=uncharacterized protein] [protein_id=AVZ43216.1] [location=20764..21645] [gbkey=CDS]</t>
  </si>
  <si>
    <t>ZMOp36x027</t>
  </si>
  <si>
    <t>lcl|CP023718.1_prot_AVZ43217.1_33 [locus_tag=ZMO1_ZMOp36x028] [protein=uncharacterized protein] [protein_id=AVZ43217.1] [location=complement(21716..21970)] [gbkey=CDS]</t>
  </si>
  <si>
    <t>ZMOp36x028</t>
  </si>
  <si>
    <t>lcl|CP023718.1_prot_AVZ43218.1_34 [locus_tag=ZMO1_ZMOp36x029] [protein=Lambda repressor-like DNA-binding domain protein] [protein_id=AVZ43218.1] [location=complement(21976..22437)] [gbkey=CDS]</t>
  </si>
  <si>
    <t>ZMOp36x029</t>
  </si>
  <si>
    <t>lcl|CP023718.1_prot_AVZ43219.1_35 [locus_tag=ZMO1_ZMOp36x030] [protein=toxin HigB-like] [protein_id=AVZ43219.1] [location=complement(22451..22786)] [gbkey=CDS]</t>
  </si>
  <si>
    <t>ZMOp36x030</t>
  </si>
  <si>
    <t>lcl|CP023718.1_prot_AVZ43220.1_36 [locus_tag=ZMO1_ZMOp36x031] [protein=helix-turn-helix XRE super family protein] [protein_id=AVZ43220.1] [location=complement(23033..23503)] [gbkey=CDS]</t>
  </si>
  <si>
    <t>ZMOp36x031</t>
  </si>
  <si>
    <t>lcl|CP023718.1_prot_AVZ43221.2_37 [locus_tag=ZMO1_ZMOp36x032] [protein=uncharacterized protein] [protein_id=AVZ43221.2] [location=complement(23605..24075)] [gbkey=CDS]</t>
  </si>
  <si>
    <t>ZMOp36x032</t>
  </si>
  <si>
    <t>lcl|CP023718.1_prot_AVZ43226.1_42 [locus_tag=ZMO1_ZMOp36x037] [protein=abortive infection system protein AbiD/AbiF-like protein] [protein_id=AVZ43226.1] [location=complement(26924..27598)] [gbkey=CDS]</t>
  </si>
  <si>
    <t>ZMOp36x037</t>
  </si>
  <si>
    <t>lcl|CP023718.1_prot_AVZ43227.1_43 [locus_tag=ZMO1_ZMOp36x038] [protein=uncharacterized protein] [protein_id=AVZ43227.1] [location=27919..28731] [gbkey=CDS]</t>
  </si>
  <si>
    <t>ZMOp36x038</t>
  </si>
  <si>
    <t>lcl|CP023718.1_prot_AVZ43228.1_44 [locus_tag=ZMO1_ZMOp36x039] [protein=CobQ/CobB/MinD/ParA nucleotide binding domain protein] [protein_id=AVZ43228.1] [location=28794..29444] [gbkey=CDS]</t>
  </si>
  <si>
    <t>ZMOp36x039</t>
  </si>
  <si>
    <t>lcl|CP023718.1_prot_AVZ43229.1_45 [locus_tag=ZMO1_ZMOp36x040] [protein=Arc-type ribbon-helix-helix] [protein_id=AVZ43229.1] [location=29437..29664] [gbkey=CDS]</t>
  </si>
  <si>
    <t>ZMOp36x040</t>
  </si>
  <si>
    <t>lcl|CP023718.1_prot_AVZ43233.1_49 [locus_tag=ZMO1_ZMOp36x044] [protein=bacteriophage P2 GpN major capsid] [protein_id=AVZ43233.1] [location=33800..34951] [gbkey=CDS]</t>
  </si>
  <si>
    <t>ZMOp36x044</t>
  </si>
  <si>
    <t>lcl|CP023718.1_prot_QIZ64254.1_20 [locus_tag=ZMO1_ZMOp36x048] [protein=uncharacterized protein] [protein_id=QIZ64254.1] [location=complement(15092..15454)] [gbkey=CDS]</t>
  </si>
  <si>
    <t>ZMOp36x048</t>
  </si>
  <si>
    <t>lcl|CP023718.1_prot_QIZ64257.1_25 [locus_tag=ZMO1_ZMOp36x051] [protein=uncharacterized protein] [protein_id=QIZ64257.1] [location=complement(16907..17233)] [gbkey=CDS]</t>
  </si>
  <si>
    <t>ZMOp36x051</t>
  </si>
  <si>
    <t>lcl|CP023719.1_prot_AVZ43240.1_4 [locus_tag=ZMO1_ZMOp39x004] [protein=uncharacterized protein] [protein_id=AVZ43240.1] [location=1826..2605] [gbkey=CDS]</t>
  </si>
  <si>
    <t>ZMOp39x004</t>
  </si>
  <si>
    <t>lcl|CP023719.1_prot_AVZ43241.1_5 [locus_tag=ZMO1_ZMOp39x005] [protein=RelB antitoxin/Antitoxin DinJ family toxin] [protein_id=AVZ43241.1] [location=2715..2996] [gbkey=CDS]</t>
  </si>
  <si>
    <t>ZMOp39x005</t>
  </si>
  <si>
    <t>lcl|CP023719.1_prot_AVZ43242.1_6 [locus_tag=ZMO1_ZMOp39x006] [protein=YafQ-like toxin] [protein_id=AVZ43242.1] [location=2989..3258] [gbkey=CDS]</t>
  </si>
  <si>
    <t>ZMOp39x006</t>
  </si>
  <si>
    <t>lcl|CP023719.1_prot_AVZ43243.1_7 [locus_tag=ZMO1_ZMOp39x007] [protein=TonB-dependent receptor beta-barrel protein] [protein_id=AVZ43243.1] [location=3671..5911] [gbkey=CDS]</t>
  </si>
  <si>
    <t>ZMOp39x007</t>
  </si>
  <si>
    <t>lcl|CP023719.1_prot_AVZ43244.1_8 [locus_tag=ZMO1_ZMOp39x008] [protein=NAD(P)-dependent oxidoreductase] [protein_id=AVZ43244.1] [location=complement(6009..6740)] [gbkey=CDS]</t>
  </si>
  <si>
    <t>ZMOp39x008</t>
  </si>
  <si>
    <t>lcl|CP023719.1_prot_AVZ43245.1_9 [locus_tag=ZMO1_ZMOp39x009] [protein=putative partitioning protein ParA ATPase] [protein_id=AVZ43245.1] [location=6882..7544] [gbkey=CDS]</t>
  </si>
  <si>
    <t>ZMOp39x009</t>
  </si>
  <si>
    <t>lcl|CP023719.1_prot_AVZ43246.1_10 [locus_tag=ZMO1_ZMOp39x010] [protein=putative partitioning protein ParB] [protein_id=AVZ43246.1] [location=7541..7828] [gbkey=CDS]</t>
  </si>
  <si>
    <t>ZMOp39x010</t>
  </si>
  <si>
    <t>lcl|CP023719.1_prot_AVZ43247.1_11 [locus_tag=ZMO1_ZMOp39x011] [protein=AraC-type helix-turn-helix transcriptional regulator] [protein_id=AVZ43247.1] [location=7988..8869] [gbkey=CDS]</t>
  </si>
  <si>
    <t>ZMOp39x011</t>
  </si>
  <si>
    <t>lcl|CP023719.1_prot_AVZ43251.1_15 [locus_tag=ZMO1_ZMOp39x015] [protein=ABC transporte ATPase] [protein_id=AVZ43251.1] [location=14742..15656] [gbkey=CDS]</t>
  </si>
  <si>
    <t>ZMOp39x015</t>
  </si>
  <si>
    <t>lcl|CP023719.1_prot_AVZ43252.1_16 [locus_tag=ZMO1_ZMOp39x016] [protein=ABC transporter permease] [protein_id=AVZ43252.1] [location=15656..18772] [gbkey=CDS]</t>
  </si>
  <si>
    <t>ZMOp39x016</t>
  </si>
  <si>
    <t>lcl|CP023719.1_prot_AVZ43254.1_18 [locus_tag=ZMO1_ZMOp39x018] [protein=secreted lipase] [protein_id=AVZ43254.1] [location=complement(18983..20167)] [gbkey=CDS]</t>
  </si>
  <si>
    <t>ZMOp39x018</t>
  </si>
  <si>
    <t>lcl|CP023719.1_prot_AVZ43256.1_19 [locus_tag=ZMO1_ZMOp39x020] [protein=hypothetical protein] [protein_id=AVZ43256.1] [location=21668..21898] [gbkey=CDS];lcl|CP023717.1_prot_AVZ43188.1_37 [locus_tag=ZMO1_ZMOp33x039] [protein=hypothetical protein] [protein_i</t>
  </si>
  <si>
    <t>ZMOp39x020</t>
  </si>
  <si>
    <t>lcl|CP023719.1_prot_AVZ43262.1_25 [locus_tag=ZMO1_ZMOp39x027] [protein=outermembrane autotransporter] [protein_id=AVZ43262.1] [location=26115..31001] [gbkey=CDS]</t>
  </si>
  <si>
    <t>ZMOp39x027</t>
  </si>
  <si>
    <t>lcl|CP023719.1_prot_AVZ43265.1_27 [locus_tag=ZMO1_ZMOp39x030] [protein=uncharacterized protein] [protein_id=AVZ43265.1] [location=complement(33487..34227)] [gbkey=CDS]</t>
  </si>
  <si>
    <t>ZMOp39x030</t>
  </si>
  <si>
    <t>lcl|CP023719.1_prot_AVZ43266.1_28 [locus_tag=ZMO1_ZMOp39x031] [protein=Alpha/Beta hydrolase fold] [protein_id=AVZ43266.1] [location=34877..35962] [gbkey=CDS]</t>
  </si>
  <si>
    <t>ZMOp39x031</t>
  </si>
  <si>
    <t>lcl|CP023719.1_prot_AVZ43268.1_30 [locus_tag=ZMO1_ZMOp39x033] [protein=hypothetical protein] [protein_id=AVZ43268.1] [location=complement(37631..37882)] [gbkey=CDS];lcl|CP023716.1_prot_AVZ43137.1_14 [locus_tag=ZMO1_ZMOp32x015] [protein=Azospirillum phage C</t>
  </si>
  <si>
    <t>ZMOp39x033</t>
  </si>
  <si>
    <t>lcl|CP023719.1_prot_AVZ43269.1_33 [locus_tag=ZMO1_ZMOp39x034] [protein=XRE family transcriptional regulator] [protein_id=AVZ43269.1] [location=38817..39266] [gbkey=CDS]</t>
  </si>
  <si>
    <t>ZMOp39x034</t>
  </si>
  <si>
    <t>fmol/µL digested peptide</t>
  </si>
  <si>
    <t>uM</t>
  </si>
  <si>
    <t>Copies/cell</t>
  </si>
  <si>
    <t>ug/gDCW</t>
  </si>
  <si>
    <t>Uniprot Code</t>
  </si>
  <si>
    <t>Name</t>
  </si>
  <si>
    <t>Peptide</t>
  </si>
  <si>
    <t>Rep1</t>
  </si>
  <si>
    <t>Rep2</t>
  </si>
  <si>
    <t>Rep3</t>
  </si>
  <si>
    <t>Rep4</t>
  </si>
  <si>
    <t>Average among peptides (copies/cell)</t>
  </si>
  <si>
    <t>Average among peptides (uM)</t>
  </si>
  <si>
    <t>Average (copies/cell) (log2)</t>
  </si>
  <si>
    <t>Average (uM) (log2)</t>
  </si>
  <si>
    <t>Average among reps (copies/cell)</t>
  </si>
  <si>
    <t>Variance among reps (copies/cell)</t>
  </si>
  <si>
    <t>Stand. Dev. among reps (copies/cell)</t>
  </si>
  <si>
    <t>95% CI</t>
  </si>
  <si>
    <t>Average among reps (uM)</t>
  </si>
  <si>
    <t>Variance among reps (uM)</t>
  </si>
  <si>
    <t>Stand. Dev. among reps (uM)</t>
  </si>
  <si>
    <t>Variance</t>
  </si>
  <si>
    <t>Reaction</t>
  </si>
  <si>
    <t>Mass 
(Da)</t>
  </si>
  <si>
    <t>Average (copies/cell)</t>
  </si>
  <si>
    <t>Variance (copies/cell)</t>
  </si>
  <si>
    <t>Average (ug/gDCW)</t>
  </si>
  <si>
    <t>Stand Dev. (ug/gDCW)</t>
  </si>
  <si>
    <t>Average (nmol/gDCW)</t>
  </si>
  <si>
    <t>Variance (nmol/gDCW)</t>
  </si>
  <si>
    <t>Average (fg/cell)</t>
  </si>
  <si>
    <t>Total Enzymatic Pool (copies/cell)</t>
  </si>
  <si>
    <t>Combined Variance (copies/cell)</t>
  </si>
  <si>
    <t>St. Dev.  (copies/cell)</t>
  </si>
  <si>
    <t>Total Enzymatic Pool (ug/gDCW)</t>
  </si>
  <si>
    <t>St. Dev.  (ug/gDCW)</t>
  </si>
  <si>
    <t>Total Enzymatic Pool 
(nmol/gDCW)</t>
  </si>
  <si>
    <t>Combined Variance 
(nmol/gDCW)</t>
  </si>
  <si>
    <t>St. Dev.  (nmol/gDCW)</t>
  </si>
  <si>
    <t>Value</t>
  </si>
  <si>
    <t>Category</t>
  </si>
  <si>
    <t>Notes</t>
  </si>
  <si>
    <t>P21906</t>
  </si>
  <si>
    <t>Glucose facilitated diffusion protein</t>
  </si>
  <si>
    <t>LEPQADPNLTIQK</t>
  </si>
  <si>
    <t>Uniprot ID</t>
  </si>
  <si>
    <t>Standard Deviation</t>
  </si>
  <si>
    <t>ED glycolysis</t>
  </si>
  <si>
    <t>GLF</t>
  </si>
  <si>
    <t>Total (copies/cell)</t>
  </si>
  <si>
    <t>Sugar Transport</t>
  </si>
  <si>
    <t>Carbohydrate-selective porin OprB1</t>
  </si>
  <si>
    <t>most likely involved in glucose diffusion across the outer membrane based on this paper 10.1128/jb.177.11.3021-3026.1995. DeepTMHMM analysis shows that OprB is present in the outer membrane. However, it only shares 25% sequence similarity over 92% of the  Pseudomonas protein.</t>
  </si>
  <si>
    <t>P21908</t>
  </si>
  <si>
    <t>Glucokinase</t>
  </si>
  <si>
    <t>DNLAEAALDR</t>
  </si>
  <si>
    <t>GLK</t>
  </si>
  <si>
    <t>Total (uM)</t>
  </si>
  <si>
    <t>Carbohydrate-selective porin OprB2</t>
  </si>
  <si>
    <t>most likely involved in glucose diffusion across the outer membrane based on this paper 10.1128/jb.177.11.3021-3026.1995. DeepTMHMM analysis shows that OprB is present in the outer membrane. However, it only shares 29% sequence similarity over 90% of the Pseudomonas protein.</t>
  </si>
  <si>
    <t>VLSLGEETTFK</t>
  </si>
  <si>
    <t>G6PDH</t>
  </si>
  <si>
    <t>Total (fg/cell)</t>
  </si>
  <si>
    <t>Carbohydrate porin rpfN</t>
  </si>
  <si>
    <t>this protein has an OprB domain but is potentially a regulator of pathogenicity factors in xanthamonas 10.7717/peerj.1734. DeepTMHMM analysis shows that rpfN is present in the outer membrane. However, it only shares 29% sequence similarity over 86% of the Pseudomonas protein.</t>
  </si>
  <si>
    <t>P21907</t>
  </si>
  <si>
    <t>Glucose 6-phospahte 1-dehydrogenase</t>
  </si>
  <si>
    <t>AHVDNWR</t>
  </si>
  <si>
    <t>PGL</t>
  </si>
  <si>
    <t>Upper glycolsis</t>
  </si>
  <si>
    <t>Carbohydrate-selective porin OprB</t>
  </si>
  <si>
    <t>ZMOp33x009</t>
  </si>
  <si>
    <t>most likely involved in glucose diffusion across the outer membrane based on this paper 10.1128/jb.177.11.3021-3026.1995. DeepTMHMM analysis shows that OprB is present in the outer membrane. However, it only shares 28% sequence similarity over 90% of the Pseudomonas protein.</t>
  </si>
  <si>
    <t>FGNALFEPLWNSK</t>
  </si>
  <si>
    <t>Q5NMF8</t>
  </si>
  <si>
    <t>EDD</t>
  </si>
  <si>
    <t>Lower glycolsis</t>
  </si>
  <si>
    <t>Glucose facilitated diffusion protein (GLF)</t>
  </si>
  <si>
    <t>Transports glucose, fructose, mannose, and xylose</t>
  </si>
  <si>
    <t xml:space="preserve">6-phosphogluconolactonase </t>
  </si>
  <si>
    <t>ALIIVPGGSTPK</t>
  </si>
  <si>
    <t>P21909</t>
  </si>
  <si>
    <t>EDA</t>
  </si>
  <si>
    <t>Top 100 proteins percentage of proteome</t>
  </si>
  <si>
    <t>Glucose-fructose oxidoreductase</t>
  </si>
  <si>
    <t>Located in the periplasm (10.1111/j.1574-6968.1991.tb04598.x,  10.1128/jb.174.13.4504-4508.1992) Glucose + Fructose = Glucono-1,5-lactone + Sorbital</t>
  </si>
  <si>
    <t>LVFPTLAAR</t>
  </si>
  <si>
    <t>Q00384</t>
  </si>
  <si>
    <t>GAPDH</t>
  </si>
  <si>
    <t>Total concentration of glycolysis (copies)</t>
  </si>
  <si>
    <t>Gluconolactonase</t>
  </si>
  <si>
    <t>Located in the periplasm based on DeepTMHMM prediction and 10.1016/0167-4781(92)90120-O: converts glucono 1,5 lactone from GFOR to gluconate</t>
  </si>
  <si>
    <t>QIADDIEFIIK</t>
  </si>
  <si>
    <t>P09316</t>
  </si>
  <si>
    <t>PGK</t>
  </si>
  <si>
    <t>Total concentration of glycolysis (uM)</t>
  </si>
  <si>
    <t>Gluconate transporter (GntP)</t>
  </si>
  <si>
    <t>Located in the membrane based on DeepTMHMM prediction</t>
  </si>
  <si>
    <t xml:space="preserve">6-phosphogluconate dehydratase </t>
  </si>
  <si>
    <t>GGIEEYAK</t>
  </si>
  <si>
    <t>P09404</t>
  </si>
  <si>
    <t>PGM</t>
  </si>
  <si>
    <t>GAPDH in glycolysis</t>
  </si>
  <si>
    <t>Gluconate kinase (GntK)</t>
  </si>
  <si>
    <t>Converts imported gluconate to 6PG which enters ED pathway</t>
  </si>
  <si>
    <t>LLEGNLGR</t>
  </si>
  <si>
    <t>P30798</t>
  </si>
  <si>
    <t>ENO</t>
  </si>
  <si>
    <t>PYK in glycolysis</t>
  </si>
  <si>
    <t>Sorbitol dehydrogenase cytochrome c subunit</t>
  </si>
  <si>
    <t>Located in the membrane based on DeepTMHMM prediction, potentially involved in sorbital transport but only has 1 transmembrane helix</t>
  </si>
  <si>
    <t xml:space="preserve">2-dehydro-3-deoxyphosphogluconate aldolase </t>
  </si>
  <si>
    <t>FFPAENIGGLPALK</t>
  </si>
  <si>
    <t>P33675</t>
  </si>
  <si>
    <t>PYK</t>
  </si>
  <si>
    <t>Sugar transporter</t>
  </si>
  <si>
    <t>PIAEALVAGGLNVLEVTLR</t>
  </si>
  <si>
    <t>Q5NR78</t>
  </si>
  <si>
    <t>PGI</t>
  </si>
  <si>
    <t>Sugar uptake (OprB1, OprB2, Glf)</t>
  </si>
  <si>
    <t>Fermentation and Acetyl-CoA metabolism</t>
  </si>
  <si>
    <t>PDC</t>
  </si>
  <si>
    <t>Pyruvate &lt;-&gt; Acetylaldehyde</t>
  </si>
  <si>
    <t xml:space="preserve">Glyceraldehyde 3-phosphate dehydrogenase </t>
  </si>
  <si>
    <t>AVALVIPELK</t>
  </si>
  <si>
    <t>P28718</t>
  </si>
  <si>
    <t>FBA</t>
  </si>
  <si>
    <t>ADHA</t>
  </si>
  <si>
    <t>VLISAPAK</t>
  </si>
  <si>
    <t>Q5NR51</t>
  </si>
  <si>
    <t>TPI</t>
  </si>
  <si>
    <t>ADHB</t>
  </si>
  <si>
    <t xml:space="preserve">Phosphoglycerate kinase </t>
  </si>
  <si>
    <t>AVAALTEVLK</t>
  </si>
  <si>
    <t>Q5NQB6</t>
  </si>
  <si>
    <t>EtOH Ferm.</t>
  </si>
  <si>
    <t>Pyruvate dehydrogenase E1 component subunit alpha</t>
  </si>
  <si>
    <t>Pyruvate dehydrogenase complex 10.1128/JB.180.6.1540-1548.1998</t>
  </si>
  <si>
    <t>FYAGEEK</t>
  </si>
  <si>
    <t>P06672</t>
  </si>
  <si>
    <t>Pyruvate dehydrogenase E1 component subunit beta</t>
  </si>
  <si>
    <t>LDVLTNLVSK</t>
  </si>
  <si>
    <t>P20368</t>
  </si>
  <si>
    <t>Component of pyruvate dehydrogenase complex</t>
  </si>
  <si>
    <t xml:space="preserve">Phosphoglycerate mutase </t>
  </si>
  <si>
    <t>MPTLVLSR</t>
  </si>
  <si>
    <t>P0DJA2</t>
  </si>
  <si>
    <t>Sugar uptake</t>
  </si>
  <si>
    <t>oprB1</t>
  </si>
  <si>
    <t>Dihydrolipoamide dehydrogenase</t>
  </si>
  <si>
    <t>TTNLILEAGK</t>
  </si>
  <si>
    <t>oprB2</t>
  </si>
  <si>
    <t>Pyruvate formate-lyase 1-activating enzyme</t>
  </si>
  <si>
    <t>Pyruvate formate lyase</t>
  </si>
  <si>
    <t>VLPYWEER</t>
  </si>
  <si>
    <t xml:space="preserve">Cells per mL </t>
  </si>
  <si>
    <t>R^2</t>
  </si>
  <si>
    <t>oprB3</t>
  </si>
  <si>
    <t>Formate acetyltransferase</t>
  </si>
  <si>
    <t xml:space="preserve">Enolase </t>
  </si>
  <si>
    <t>DQNIYDLK</t>
  </si>
  <si>
    <t>Cell volume (fl)</t>
  </si>
  <si>
    <t>Slope</t>
  </si>
  <si>
    <t>glf</t>
  </si>
  <si>
    <t>AldB</t>
  </si>
  <si>
    <t>acetate formation enzyme: functionally classified as NADP+-dependent acetaldehyde dehydrogenase by 10.1128/jb.00563-21</t>
  </si>
  <si>
    <t>GIANSLLVK</t>
  </si>
  <si>
    <t>Cell volume (L)</t>
  </si>
  <si>
    <t>Intercept</t>
  </si>
  <si>
    <t>lactate dehydrogenase LdhA</t>
  </si>
  <si>
    <t>Not included as a lactate dehydrogenase based on two papers: 10.3389/fbioe.2023.1135484 &amp; 10.1128/mbio.02043-23 intracellular based on Deep TMHMM</t>
  </si>
  <si>
    <t xml:space="preserve">Pyruvate kinase </t>
  </si>
  <si>
    <t>ADWVALSFVQR</t>
  </si>
  <si>
    <t>gDCW/ODxL</t>
  </si>
  <si>
    <t>MEP Pathway</t>
  </si>
  <si>
    <t>D-lactate dehydrogenase</t>
  </si>
  <si>
    <t>intracellular based on Deep TMHMM</t>
  </si>
  <si>
    <t>LVVVAGEPFGK</t>
  </si>
  <si>
    <t>gDCW/ODxcell</t>
  </si>
  <si>
    <t>DXS2</t>
  </si>
  <si>
    <t>Q5NM38</t>
  </si>
  <si>
    <t>lactate dehydrogenase</t>
  </si>
  <si>
    <t>VEDVIEAK</t>
  </si>
  <si>
    <t>DXS1</t>
  </si>
  <si>
    <t>Q5NN52</t>
  </si>
  <si>
    <t>(copies/cell)</t>
  </si>
  <si>
    <t xml:space="preserve">Phosphoglucose isomerase </t>
  </si>
  <si>
    <t>GQGAPASVAR</t>
  </si>
  <si>
    <t>DXR</t>
  </si>
  <si>
    <t>Q9X5F2</t>
  </si>
  <si>
    <t>LLIDALTR</t>
  </si>
  <si>
    <t>IspDF</t>
  </si>
  <si>
    <t>Q9RNZ1</t>
  </si>
  <si>
    <t>LVPIEFIAAIK</t>
  </si>
  <si>
    <t>IspE</t>
  </si>
  <si>
    <t>Q9X3W5</t>
  </si>
  <si>
    <t>TLIAVASK</t>
  </si>
  <si>
    <t>IspG</t>
  </si>
  <si>
    <t>Q5NR50</t>
  </si>
  <si>
    <t xml:space="preserve">Fructose bisphosphate aldolase </t>
  </si>
  <si>
    <t>AILDLYESDNPGTK</t>
  </si>
  <si>
    <t>IspH</t>
  </si>
  <si>
    <t>Q5NP61</t>
  </si>
  <si>
    <t>DWAPLANR</t>
  </si>
  <si>
    <t>TPDELFK</t>
  </si>
  <si>
    <t>TCA Cycle</t>
  </si>
  <si>
    <t xml:space="preserve">Triose phosphate isomerase </t>
  </si>
  <si>
    <t>ILYGGSVTGK</t>
  </si>
  <si>
    <t>O66112</t>
  </si>
  <si>
    <t>LIAGNWK</t>
  </si>
  <si>
    <t>O66113</t>
  </si>
  <si>
    <t>Pyruvate decarboxylase</t>
  </si>
  <si>
    <t>TGALDFFK</t>
  </si>
  <si>
    <t>Citrate synthase</t>
  </si>
  <si>
    <t>Q5NL23</t>
  </si>
  <si>
    <t>TGGELAEAIK</t>
  </si>
  <si>
    <t>Aconitate hydratase A</t>
  </si>
  <si>
    <t>Q5NQ38</t>
  </si>
  <si>
    <t>EMP</t>
  </si>
  <si>
    <t>VAVLVGSK</t>
  </si>
  <si>
    <t>Isocitrate dehydrogenase [NADP]</t>
  </si>
  <si>
    <t>Q5NQ37</t>
  </si>
  <si>
    <t>Alcohol dehydrogenase I</t>
  </si>
  <si>
    <t>QVGEGVTSLK</t>
  </si>
  <si>
    <t>Malate dehydrogenase</t>
  </si>
  <si>
    <t>Q5NL31</t>
  </si>
  <si>
    <t>SAFNSAVEAIR</t>
  </si>
  <si>
    <t>Fumarate hydratase class I</t>
  </si>
  <si>
    <t>Q5NMX9</t>
  </si>
  <si>
    <t>Gluconeogenesis</t>
  </si>
  <si>
    <t>FBP</t>
  </si>
  <si>
    <t>FBP + ADP &lt;=&gt; F6P + ATP</t>
  </si>
  <si>
    <t>Alcohol dehydrogenase II</t>
  </si>
  <si>
    <t>AIALVATNGGEVK</t>
  </si>
  <si>
    <t>Succinate dehydrogenase, cytochrome b subunit</t>
  </si>
  <si>
    <t>Q5NQ12</t>
  </si>
  <si>
    <t>DYEGIDK</t>
  </si>
  <si>
    <t>QVADLLK</t>
  </si>
  <si>
    <t>Pentose Phosphate Pathway</t>
  </si>
  <si>
    <t>Transketolase</t>
  </si>
  <si>
    <t>Q5NR54</t>
  </si>
  <si>
    <t>Ribulose-phosphate 3-epimerase</t>
  </si>
  <si>
    <t>Q5NRL2</t>
  </si>
  <si>
    <t>Valine/Isobutanol</t>
  </si>
  <si>
    <t>Acetolactate synthase</t>
  </si>
  <si>
    <t>Q5NNE6</t>
  </si>
  <si>
    <t>Ketol-acid reductoisomerase (NADP(+))</t>
  </si>
  <si>
    <t>Q9X5F8</t>
  </si>
  <si>
    <t>Dihydroxy-acid dehydratase</t>
  </si>
  <si>
    <t>Q5NLJ4</t>
  </si>
  <si>
    <t>Succinyl-CoA synthetase alpha subunit</t>
  </si>
  <si>
    <t>Succinyl-CoA synthetase</t>
  </si>
  <si>
    <t>Succinyl-CoA ligase subunit beta</t>
  </si>
  <si>
    <t>D-ribulose 5-phosphate &lt;-&gt;  D-xylulose 5-phosphate</t>
  </si>
  <si>
    <t>Ribose-5-phosphate isomerase</t>
  </si>
  <si>
    <t>% iBAQ total</t>
  </si>
  <si>
    <t>slope</t>
  </si>
  <si>
    <t>int</t>
  </si>
  <si>
    <t>Eqn for converting from % of log2 value to log2 copies/cell</t>
  </si>
  <si>
    <t>y = 36641.7x-13.662</t>
  </si>
  <si>
    <t>median of top 15 proteins</t>
  </si>
  <si>
    <t>avg of top 15 proteins</t>
  </si>
  <si>
    <t>ug/ gdcw</t>
  </si>
  <si>
    <t>Overexpression Strain</t>
  </si>
  <si>
    <t>NCBI Gene Locus</t>
  </si>
  <si>
    <t>Protein</t>
  </si>
  <si>
    <t>DXS2_FldA_Fpr</t>
  </si>
  <si>
    <t>DXS2_IspS</t>
  </si>
  <si>
    <t>DXS2_IspS_IDI</t>
  </si>
  <si>
    <t>FPR</t>
  </si>
  <si>
    <t>IDI</t>
  </si>
  <si>
    <t>NA</t>
  </si>
  <si>
    <t>FLDA</t>
  </si>
  <si>
    <t>ND</t>
  </si>
  <si>
    <t>AB266390</t>
  </si>
  <si>
    <t>IspS</t>
  </si>
  <si>
    <t>FDXA</t>
  </si>
  <si>
    <t>ED Glycolysis</t>
  </si>
  <si>
    <t>KDPG</t>
  </si>
  <si>
    <t>From Fig. S1 of 'Systematic Analysis of Metabolic Bottlenecks in the Methylerythritol 4-Phosphate (MEP) Pathway of Zymomonas mobilis'</t>
  </si>
  <si>
    <t>Log2FC</t>
  </si>
  <si>
    <t>FC</t>
  </si>
  <si>
    <t>Quant Proteomics vtrans (mmol/gDW/h)</t>
  </si>
  <si>
    <t>OE vtrans (mmol/gDW/h)</t>
  </si>
  <si>
    <t>isoprene synthase</t>
  </si>
  <si>
    <t>Eucalyptus globulus</t>
  </si>
  <si>
    <t>https://www.sciencedirect.com/science/article/pii/S0021925818922398#:~:text=Isoprene%20synthase%20requires%20Mg2,number%20of%201.7%20s%E2%88%921.</t>
  </si>
  <si>
    <t>***When modeling the OE of proteins the protein exp const lower bound will increase to OE  value</t>
  </si>
  <si>
    <t>***Kapp will stay the SAME</t>
  </si>
  <si>
    <t xml:space="preserve">***Kapp for IspS will be based off of reported value above (1.7 *3600) </t>
  </si>
  <si>
    <t>80% of measured for lower bound account for protoemic errors</t>
  </si>
  <si>
    <t>30% up of measured</t>
  </si>
  <si>
    <t>Case 1_RBA</t>
  </si>
  <si>
    <t>Case 2_RBA</t>
  </si>
  <si>
    <t>Case 3_RBA</t>
  </si>
  <si>
    <t>Khana et al. (2023)</t>
  </si>
  <si>
    <t>Xiao et al. (2024)</t>
  </si>
  <si>
    <t>Enzyme</t>
  </si>
  <si>
    <t>1-deoxy-D-xylulose-5-phosphate synthase (DXS)</t>
  </si>
  <si>
    <t>5.1-41.9nmol isoprene/mmolglucose</t>
  </si>
  <si>
    <t>1-deoxy-D-xylulose 5-phosphate reductoisomerase (DXR)</t>
  </si>
  <si>
    <t>2-C-methyl-D-erythritol 4-phosphate cytidylyltransferase (IspDF/MEPCT)</t>
  </si>
  <si>
    <t>4-diphosphocytidyl-2-C-methyl-D-erythritol kinase (IspE)</t>
  </si>
  <si>
    <t>2-C-methyl-D-erythritol 4-phosphate cytidylyltransferase (IspDF)</t>
  </si>
  <si>
    <t>4-hydroxy-3-methylbut-2-en-1-yl diphosphate synthase (IspG)</t>
  </si>
  <si>
    <t>4-hydroxy-3-methylbut-2-enyl diphosphate reductase (IspH)/IPDPS</t>
  </si>
  <si>
    <t>4-hydroxy-3-methylbut-2-enyl diphosphate reductase (IspH)/DMAPP</t>
  </si>
  <si>
    <t>Isopentenyl-diphosphate Delta-isomerase (Ipi)</t>
  </si>
  <si>
    <t>Isoprene synthase (IspS)</t>
  </si>
  <si>
    <t>Yield (mmol/gDW/h)</t>
  </si>
  <si>
    <t>Glucose Uptake (mmol/gDW/h)</t>
  </si>
  <si>
    <t>Yield (%, mole_based)</t>
  </si>
  <si>
    <t>from Juns old stuff where changed kcat</t>
  </si>
  <si>
    <t>OE DXS</t>
  </si>
  <si>
    <t>OE IspG</t>
  </si>
  <si>
    <t>OE IspH</t>
  </si>
  <si>
    <t>OE DXS, IspG</t>
  </si>
  <si>
    <t>OE DXS,IspH</t>
  </si>
  <si>
    <t>OE DXS, IspG, IspH</t>
  </si>
  <si>
    <t xml:space="preserve">RNF </t>
  </si>
  <si>
    <t>Case 1</t>
  </si>
  <si>
    <t>Case1_isoprene</t>
  </si>
  <si>
    <t>Protein upper and lower constraints</t>
  </si>
  <si>
    <t>** kept this at 4.53072E-08 since we believe less active one</t>
  </si>
  <si>
    <t>**Note: model would not run when used these constraints so kept lower same and increased upper to 2E-07</t>
  </si>
  <si>
    <t>Case2_isoprene_OE_DXS2</t>
  </si>
  <si>
    <t>**See 'MEP_OE' sheet for where values came from</t>
  </si>
  <si>
    <t>Protein level FC: 85</t>
  </si>
  <si>
    <t>OE DXS, IspG, IspH, FPR</t>
  </si>
  <si>
    <t>OE DXS, IspG, IspH, FLDA</t>
  </si>
  <si>
    <t>OE DXS, IspG, IspH,FPR, FLDA</t>
  </si>
  <si>
    <t>Change Kapp but not protein levels DXS</t>
  </si>
  <si>
    <t>Change Kapp but not protein levels DXS, ISPG, ISPH</t>
  </si>
  <si>
    <t>Change Kapp but not protein levels all MEP enzymes</t>
  </si>
  <si>
    <t>Strain</t>
  </si>
  <si>
    <t>Growth Rate (h-1)</t>
  </si>
  <si>
    <t>Std.S</t>
  </si>
  <si>
    <t>SE</t>
  </si>
  <si>
    <t>Glucose Consumption Rate (mmol glucose gDCW-1 h-1)</t>
  </si>
  <si>
    <t>ZM4_GFP</t>
  </si>
  <si>
    <t>ZM4_IspS</t>
  </si>
  <si>
    <t>ZM4_DXS2_IspS</t>
  </si>
  <si>
    <t>ZM4_DXS2_IspS_IDI</t>
  </si>
  <si>
    <t>ZM4_DXS2_IspG_IspH_IspS</t>
  </si>
  <si>
    <t>ZM4_DXS2_IspG_IspH_IspS_IDI</t>
  </si>
  <si>
    <t>ZM4_DXS2</t>
  </si>
  <si>
    <t>ZM4_DXS2_IspG</t>
  </si>
  <si>
    <t>ZM4_DXS2_IspG_IspH</t>
  </si>
  <si>
    <t>Case3_isoprene_OE_IspG</t>
  </si>
  <si>
    <t>Case4_isoprene_OE_IspH</t>
  </si>
  <si>
    <t>Protein level FC: 46</t>
  </si>
  <si>
    <t>Protein level FC: 5</t>
  </si>
  <si>
    <t>Case5_isoprene_OE_DXS_IspG</t>
  </si>
  <si>
    <t>Case6_isoprene_OE_DXS_IspH</t>
  </si>
  <si>
    <t>Case7_isoprene_OE_DXS_IspG_IspH</t>
  </si>
  <si>
    <t>Case8_isoprene_OE_FLDA</t>
  </si>
  <si>
    <t>Protein level FC: 399</t>
  </si>
  <si>
    <t>Case9_isoprene_OE_FPR</t>
  </si>
  <si>
    <t>Protein level FC: 194</t>
  </si>
  <si>
    <t>Case10_isoprene_OE_FPR_FLDA</t>
  </si>
  <si>
    <t>Case11_isoprene_OE_DXS2_IspG_IspH_FPR_FLDA</t>
  </si>
  <si>
    <t xml:space="preserve">  </t>
  </si>
  <si>
    <t>Kapps</t>
  </si>
  <si>
    <t>hr</t>
  </si>
  <si>
    <t>DXS1/2</t>
  </si>
  <si>
    <t>s</t>
  </si>
  <si>
    <t>median of top 15 most abund proteins vtrans</t>
  </si>
  <si>
    <t>***Note: this Kapp for DXS likely high because when did min sum fux thing controllnig flux through meo is biomass so if my hopanoid constraints are too high then higher flux then is true through this pathway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</si>
</sst>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0.00000"/>
    <numFmt numFmtId="168" formatCode="0.00000000000000"/>
  </numFmts>
  <fonts count="22" x14ac:knownFonts="1">
    <font>
      <sz val="11"/>
      <color theme="1"/>
      <name val="Aptos Narrow"/>
      <family val="2"/>
      <scheme val="minor"/>
    </font>
    <font>
      <sz val="11"/>
      <color theme="1"/>
      <name val="Aptos Narrow"/>
      <family val="2"/>
      <scheme val="minor"/>
    </font>
    <font>
      <sz val="11"/>
      <color theme="1"/>
      <name val="Consolas"/>
      <family val="3"/>
    </font>
    <font>
      <b/>
      <sz val="11"/>
      <color theme="1"/>
      <name val="Consolas"/>
      <family val="3"/>
    </font>
    <font>
      <b/>
      <sz val="11"/>
      <name val="Consolas"/>
      <family val="3"/>
    </font>
    <font>
      <sz val="11"/>
      <color rgb="FF000000"/>
      <name val="Consolas"/>
      <family val="3"/>
    </font>
    <font>
      <sz val="11"/>
      <name val="Consolas"/>
      <family val="3"/>
    </font>
    <font>
      <sz val="11"/>
      <color rgb="FFFF0000"/>
      <name val="Consolas"/>
      <family val="3"/>
    </font>
    <font>
      <sz val="8"/>
      <name val="Aptos Narrow"/>
      <family val="2"/>
      <scheme val="minor"/>
    </font>
    <font>
      <b/>
      <sz val="11"/>
      <color theme="1"/>
      <name val="Aptos Narrow"/>
      <family val="2"/>
      <scheme val="minor"/>
    </font>
    <font>
      <sz val="11"/>
      <color theme="1"/>
      <name val="Arial"/>
      <family val="2"/>
    </font>
    <font>
      <b/>
      <sz val="14"/>
      <color theme="1"/>
      <name val="Arial"/>
      <family val="2"/>
    </font>
    <font>
      <b/>
      <sz val="11"/>
      <color theme="1"/>
      <name val="Arial"/>
      <family val="2"/>
    </font>
    <font>
      <b/>
      <sz val="16"/>
      <color theme="1"/>
      <name val="Arial"/>
      <family val="2"/>
    </font>
    <font>
      <i/>
      <sz val="11"/>
      <color theme="1"/>
      <name val="Arial"/>
      <family val="2"/>
    </font>
    <font>
      <u/>
      <sz val="11"/>
      <color theme="10"/>
      <name val="Aptos Narrow"/>
      <family val="2"/>
      <scheme val="minor"/>
    </font>
    <font>
      <sz val="11"/>
      <name val="Aptos Narrow"/>
      <family val="2"/>
      <scheme val="minor"/>
    </font>
    <font>
      <u/>
      <sz val="11"/>
      <name val="Aptos Narrow"/>
      <family val="2"/>
      <scheme val="minor"/>
    </font>
    <font>
      <sz val="16"/>
      <color theme="1"/>
      <name val="Aptos Narrow"/>
      <family val="2"/>
      <scheme val="minor"/>
    </font>
    <font>
      <b/>
      <sz val="16"/>
      <color theme="1"/>
      <name val="Times New Roman"/>
      <family val="1"/>
    </font>
    <font>
      <b/>
      <sz val="16"/>
      <color theme="1"/>
      <name val="Aptos Narrow"/>
      <family val="2"/>
      <scheme val="minor"/>
    </font>
    <font>
      <b/>
      <sz val="14"/>
      <color theme="1"/>
      <name val="Aptos Narrow"/>
      <family val="2"/>
      <scheme val="minor"/>
    </font>
  </fonts>
  <fills count="15">
    <fill>
      <patternFill patternType="none"/>
    </fill>
    <fill>
      <patternFill patternType="gray125"/>
    </fill>
    <fill>
      <patternFill patternType="solid">
        <fgColor theme="4" tint="0.39997558519241921"/>
        <bgColor indexed="64"/>
      </patternFill>
    </fill>
    <fill>
      <patternFill patternType="solid">
        <fgColor rgb="FFFFCCCC"/>
        <bgColor indexed="64"/>
      </patternFill>
    </fill>
    <fill>
      <patternFill patternType="solid">
        <fgColor rgb="FFCC99FF"/>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2"/>
        <bgColor indexed="64"/>
      </patternFill>
    </fill>
    <fill>
      <patternFill patternType="solid">
        <fgColor rgb="FFF8F5C0"/>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15" fillId="0" borderId="0" applyNumberFormat="0" applyFill="0" applyBorder="0" applyAlignment="0" applyProtection="0"/>
  </cellStyleXfs>
  <cellXfs count="233">
    <xf numFmtId="0" fontId="0" fillId="0" borderId="0" xfId="0"/>
    <xf numFmtId="2" fontId="0" fillId="0" borderId="0" xfId="0" applyNumberFormat="1"/>
    <xf numFmtId="0" fontId="2" fillId="0" borderId="0" xfId="0" applyFont="1"/>
    <xf numFmtId="0" fontId="5" fillId="0" borderId="0" xfId="0" applyFont="1"/>
    <xf numFmtId="0" fontId="6" fillId="0" borderId="0" xfId="0" applyFont="1"/>
    <xf numFmtId="1" fontId="6" fillId="0" borderId="0" xfId="0" applyNumberFormat="1" applyFont="1"/>
    <xf numFmtId="164" fontId="6" fillId="0" borderId="0" xfId="0" applyNumberFormat="1" applyFont="1"/>
    <xf numFmtId="11" fontId="2" fillId="0" borderId="0" xfId="0" applyNumberFormat="1" applyFont="1"/>
    <xf numFmtId="1" fontId="2" fillId="0" borderId="0" xfId="0" applyNumberFormat="1" applyFont="1"/>
    <xf numFmtId="164" fontId="2" fillId="0" borderId="0" xfId="0" applyNumberFormat="1" applyFont="1"/>
    <xf numFmtId="2" fontId="2" fillId="0" borderId="0" xfId="0" applyNumberFormat="1" applyFont="1"/>
    <xf numFmtId="165" fontId="2" fillId="0" borderId="0" xfId="0" applyNumberFormat="1" applyFont="1"/>
    <xf numFmtId="11" fontId="0" fillId="0" borderId="0" xfId="0" applyNumberFormat="1"/>
    <xf numFmtId="0" fontId="3" fillId="3" borderId="0" xfId="0" applyFont="1" applyFill="1" applyAlignment="1">
      <alignment horizontal="center" vertical="center" wrapText="1"/>
    </xf>
    <xf numFmtId="0" fontId="2" fillId="0" borderId="0" xfId="0" applyFont="1" applyAlignment="1">
      <alignment horizontal="left"/>
    </xf>
    <xf numFmtId="0" fontId="3" fillId="0" borderId="0" xfId="0" applyFont="1" applyAlignment="1">
      <alignment horizontal="center" wrapText="1"/>
    </xf>
    <xf numFmtId="0" fontId="3" fillId="3" borderId="0" xfId="0" applyFont="1" applyFill="1" applyAlignment="1">
      <alignment horizontal="center"/>
    </xf>
    <xf numFmtId="0" fontId="3" fillId="4" borderId="0" xfId="0" applyFont="1" applyFill="1" applyAlignment="1">
      <alignment horizontal="center"/>
    </xf>
    <xf numFmtId="0" fontId="3" fillId="3" borderId="0" xfId="0" applyFont="1" applyFill="1" applyAlignment="1">
      <alignment horizontal="center" wrapText="1"/>
    </xf>
    <xf numFmtId="0" fontId="3" fillId="4" borderId="0" xfId="0" applyFont="1" applyFill="1" applyAlignment="1">
      <alignment horizontal="center" wrapText="1"/>
    </xf>
    <xf numFmtId="0" fontId="2" fillId="0" borderId="1" xfId="0" applyFont="1" applyBorder="1"/>
    <xf numFmtId="0" fontId="2" fillId="0" borderId="2" xfId="0" applyFont="1" applyBorder="1"/>
    <xf numFmtId="0" fontId="0" fillId="0" borderId="2" xfId="0" applyBorder="1"/>
    <xf numFmtId="0" fontId="3" fillId="3" borderId="2" xfId="0" applyFont="1" applyFill="1" applyBorder="1" applyAlignment="1">
      <alignment horizontal="center" vertical="center" wrapText="1"/>
    </xf>
    <xf numFmtId="0" fontId="2" fillId="0" borderId="2" xfId="0" applyFont="1" applyBorder="1" applyAlignment="1">
      <alignment vertical="center" wrapText="1"/>
    </xf>
    <xf numFmtId="0" fontId="3" fillId="0" borderId="0" xfId="0" applyFont="1"/>
    <xf numFmtId="0" fontId="3" fillId="0" borderId="0" xfId="0" applyFont="1" applyAlignment="1">
      <alignment horizontal="center"/>
    </xf>
    <xf numFmtId="0" fontId="3" fillId="0" borderId="1" xfId="0" applyFont="1" applyBorder="1" applyAlignment="1">
      <alignment horizontal="center" wrapText="1"/>
    </xf>
    <xf numFmtId="0" fontId="3" fillId="0" borderId="2" xfId="0" applyFont="1" applyBorder="1" applyAlignment="1">
      <alignment horizontal="center" wrapText="1"/>
    </xf>
    <xf numFmtId="0" fontId="3" fillId="4" borderId="2" xfId="0" applyFont="1" applyFill="1" applyBorder="1" applyAlignment="1">
      <alignment horizontal="center" wrapText="1"/>
    </xf>
    <xf numFmtId="0" fontId="3" fillId="4" borderId="3" xfId="0" applyFont="1" applyFill="1" applyBorder="1" applyAlignment="1">
      <alignment horizont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2" fontId="3" fillId="4" borderId="0" xfId="0" applyNumberFormat="1" applyFont="1" applyFill="1" applyAlignment="1">
      <alignment horizontal="center" vertical="center" wrapText="1"/>
    </xf>
    <xf numFmtId="0" fontId="3" fillId="4" borderId="0" xfId="0" applyFont="1" applyFill="1" applyAlignment="1">
      <alignment horizontal="center" vertical="center" wrapText="1"/>
    </xf>
    <xf numFmtId="0" fontId="3" fillId="2" borderId="0" xfId="0" applyFont="1" applyFill="1" applyAlignment="1">
      <alignment horizontal="center" vertical="center" wrapText="1"/>
    </xf>
    <xf numFmtId="0" fontId="4" fillId="5" borderId="0" xfId="0" applyFont="1" applyFill="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6"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0" borderId="3" xfId="0" applyFont="1" applyBorder="1" applyAlignment="1">
      <alignment horizontal="center" wrapText="1"/>
    </xf>
    <xf numFmtId="0" fontId="3" fillId="0" borderId="2" xfId="0" applyFont="1" applyBorder="1"/>
    <xf numFmtId="0" fontId="3" fillId="8" borderId="3" xfId="0" applyFont="1" applyFill="1" applyBorder="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vertical="center"/>
    </xf>
    <xf numFmtId="1" fontId="2" fillId="3" borderId="0" xfId="0" applyNumberFormat="1" applyFont="1" applyFill="1" applyAlignment="1">
      <alignment horizontal="center" vertical="center"/>
    </xf>
    <xf numFmtId="2" fontId="2" fillId="4" borderId="0" xfId="0" applyNumberFormat="1" applyFont="1" applyFill="1" applyAlignment="1">
      <alignment horizontal="center" vertical="center"/>
    </xf>
    <xf numFmtId="0" fontId="3" fillId="0" borderId="4" xfId="0" applyFont="1" applyBorder="1" applyAlignment="1">
      <alignment horizontal="left"/>
    </xf>
    <xf numFmtId="0" fontId="3" fillId="0" borderId="0" xfId="0" applyFont="1" applyAlignment="1">
      <alignment horizontal="left"/>
    </xf>
    <xf numFmtId="0" fontId="3" fillId="4" borderId="5" xfId="0" applyFont="1" applyFill="1" applyBorder="1" applyAlignment="1">
      <alignment horizontal="center"/>
    </xf>
    <xf numFmtId="0" fontId="2" fillId="0" borderId="4" xfId="0" applyFont="1" applyBorder="1"/>
    <xf numFmtId="1" fontId="2" fillId="3" borderId="0" xfId="0" applyNumberFormat="1" applyFont="1" applyFill="1"/>
    <xf numFmtId="11" fontId="2" fillId="3" borderId="0" xfId="0" applyNumberFormat="1" applyFont="1" applyFill="1"/>
    <xf numFmtId="11" fontId="2" fillId="4" borderId="0" xfId="0" applyNumberFormat="1" applyFont="1" applyFill="1"/>
    <xf numFmtId="11" fontId="2" fillId="2" borderId="0" xfId="0" applyNumberFormat="1" applyFont="1" applyFill="1"/>
    <xf numFmtId="11" fontId="6" fillId="5" borderId="0" xfId="0" applyNumberFormat="1" applyFont="1" applyFill="1"/>
    <xf numFmtId="0" fontId="6" fillId="0" borderId="0" xfId="0" applyFont="1" applyAlignment="1">
      <alignment vertical="center"/>
    </xf>
    <xf numFmtId="1" fontId="6" fillId="0" borderId="0" xfId="0" applyNumberFormat="1" applyFont="1" applyAlignment="1">
      <alignment vertical="center"/>
    </xf>
    <xf numFmtId="1" fontId="2" fillId="6" borderId="0" xfId="0" applyNumberFormat="1" applyFont="1" applyFill="1"/>
    <xf numFmtId="164" fontId="6" fillId="7" borderId="0" xfId="0" applyNumberFormat="1" applyFont="1" applyFill="1" applyAlignment="1">
      <alignment vertical="center"/>
    </xf>
    <xf numFmtId="2" fontId="6" fillId="8" borderId="0" xfId="0" applyNumberFormat="1" applyFont="1" applyFill="1" applyAlignment="1">
      <alignment vertical="center"/>
    </xf>
    <xf numFmtId="11" fontId="2" fillId="0" borderId="5" xfId="0" applyNumberFormat="1" applyFont="1" applyBorder="1"/>
    <xf numFmtId="11" fontId="2" fillId="6" borderId="0" xfId="0" applyNumberFormat="1" applyFont="1" applyFill="1"/>
    <xf numFmtId="164" fontId="2" fillId="7" borderId="0" xfId="0" applyNumberFormat="1" applyFont="1" applyFill="1"/>
    <xf numFmtId="2" fontId="2" fillId="8" borderId="0" xfId="0" applyNumberFormat="1" applyFont="1" applyFill="1"/>
    <xf numFmtId="2" fontId="2" fillId="8" borderId="5" xfId="0" applyNumberFormat="1" applyFont="1" applyFill="1" applyBorder="1"/>
    <xf numFmtId="0" fontId="2" fillId="0" borderId="0" xfId="0" applyFont="1" applyAlignment="1">
      <alignment horizontal="right"/>
    </xf>
    <xf numFmtId="0" fontId="6" fillId="0" borderId="4" xfId="0" applyFont="1" applyBorder="1" applyAlignment="1">
      <alignment vertical="center"/>
    </xf>
    <xf numFmtId="164" fontId="0" fillId="0" borderId="0" xfId="0" applyNumberFormat="1"/>
    <xf numFmtId="2" fontId="2" fillId="4" borderId="0" xfId="0" applyNumberFormat="1" applyFont="1" applyFill="1"/>
    <xf numFmtId="2" fontId="2" fillId="3" borderId="0" xfId="0" applyNumberFormat="1" applyFont="1" applyFill="1"/>
    <xf numFmtId="167" fontId="2" fillId="4" borderId="0" xfId="0" applyNumberFormat="1" applyFont="1" applyFill="1"/>
    <xf numFmtId="166" fontId="2" fillId="4" borderId="5" xfId="0" applyNumberFormat="1" applyFont="1" applyFill="1" applyBorder="1"/>
    <xf numFmtId="0" fontId="2" fillId="0" borderId="4" xfId="0" applyFont="1" applyBorder="1" applyAlignment="1">
      <alignment vertical="center"/>
    </xf>
    <xf numFmtId="0" fontId="5" fillId="0" borderId="0" xfId="0" applyFont="1" applyAlignment="1">
      <alignment vertical="center"/>
    </xf>
    <xf numFmtId="164" fontId="2" fillId="4" borderId="0" xfId="0" applyNumberFormat="1" applyFont="1" applyFill="1"/>
    <xf numFmtId="0" fontId="2" fillId="0" borderId="0" xfId="0" applyFont="1" applyAlignment="1">
      <alignment horizontal="right" vertical="center"/>
    </xf>
    <xf numFmtId="9" fontId="2" fillId="0" borderId="0" xfId="1" applyFont="1" applyBorder="1"/>
    <xf numFmtId="2" fontId="2" fillId="0" borderId="0" xfId="1" applyNumberFormat="1" applyFont="1" applyBorder="1"/>
    <xf numFmtId="11" fontId="2" fillId="0" borderId="0" xfId="1" applyNumberFormat="1" applyFont="1" applyBorder="1"/>
    <xf numFmtId="164" fontId="2" fillId="0" borderId="0" xfId="1" applyNumberFormat="1" applyFont="1" applyBorder="1"/>
    <xf numFmtId="9" fontId="2" fillId="0" borderId="0" xfId="1" applyFont="1"/>
    <xf numFmtId="11" fontId="2" fillId="0" borderId="6" xfId="0" applyNumberFormat="1" applyFont="1" applyBorder="1"/>
    <xf numFmtId="164" fontId="2" fillId="0" borderId="6" xfId="0" applyNumberFormat="1" applyFont="1" applyBorder="1"/>
    <xf numFmtId="2" fontId="2" fillId="0" borderId="6" xfId="0" applyNumberFormat="1" applyFont="1" applyBorder="1"/>
    <xf numFmtId="2" fontId="2" fillId="0" borderId="7" xfId="0" applyNumberFormat="1" applyFont="1" applyBorder="1"/>
    <xf numFmtId="0" fontId="2" fillId="9" borderId="0" xfId="0" applyFont="1" applyFill="1"/>
    <xf numFmtId="0" fontId="5" fillId="9" borderId="0" xfId="0" applyFont="1" applyFill="1" applyAlignment="1">
      <alignment vertical="center"/>
    </xf>
    <xf numFmtId="165" fontId="2" fillId="9" borderId="0" xfId="0" applyNumberFormat="1" applyFont="1" applyFill="1"/>
    <xf numFmtId="11" fontId="2" fillId="0" borderId="0" xfId="1" applyNumberFormat="1" applyFont="1"/>
    <xf numFmtId="0" fontId="2" fillId="0" borderId="8" xfId="0" applyFont="1" applyBorder="1" applyAlignment="1">
      <alignment vertical="center"/>
    </xf>
    <xf numFmtId="0" fontId="5" fillId="0" borderId="6" xfId="0" applyFont="1" applyBorder="1" applyAlignment="1">
      <alignment vertical="center"/>
    </xf>
    <xf numFmtId="0" fontId="2" fillId="0" borderId="6" xfId="0" applyFont="1" applyBorder="1" applyAlignment="1">
      <alignment vertical="center"/>
    </xf>
    <xf numFmtId="164" fontId="0" fillId="0" borderId="6" xfId="0" applyNumberFormat="1" applyBorder="1"/>
    <xf numFmtId="1" fontId="2" fillId="3" borderId="6" xfId="0" applyNumberFormat="1" applyFont="1" applyFill="1" applyBorder="1"/>
    <xf numFmtId="164" fontId="2" fillId="4" borderId="6" xfId="0" applyNumberFormat="1" applyFont="1" applyFill="1" applyBorder="1"/>
    <xf numFmtId="2" fontId="2" fillId="3" borderId="6" xfId="0" applyNumberFormat="1" applyFont="1" applyFill="1" applyBorder="1"/>
    <xf numFmtId="2" fontId="2" fillId="4" borderId="6" xfId="0" applyNumberFormat="1" applyFont="1" applyFill="1" applyBorder="1"/>
    <xf numFmtId="167" fontId="2" fillId="4" borderId="6" xfId="0" applyNumberFormat="1" applyFont="1" applyFill="1" applyBorder="1"/>
    <xf numFmtId="166" fontId="2" fillId="4" borderId="7" xfId="0" applyNumberFormat="1" applyFont="1" applyFill="1" applyBorder="1"/>
    <xf numFmtId="0" fontId="2" fillId="6" borderId="0" xfId="0" applyFont="1" applyFill="1"/>
    <xf numFmtId="11" fontId="6" fillId="8" borderId="0" xfId="0" applyNumberFormat="1" applyFont="1" applyFill="1" applyAlignment="1">
      <alignment vertical="center"/>
    </xf>
    <xf numFmtId="0" fontId="3" fillId="4" borderId="5" xfId="0" applyFont="1" applyFill="1" applyBorder="1" applyAlignment="1">
      <alignment horizontal="center" wrapText="1"/>
    </xf>
    <xf numFmtId="0" fontId="3" fillId="0" borderId="4" xfId="0" applyFont="1" applyBorder="1"/>
    <xf numFmtId="165" fontId="2" fillId="3" borderId="0" xfId="0" applyNumberFormat="1" applyFont="1" applyFill="1"/>
    <xf numFmtId="165" fontId="2" fillId="4" borderId="0" xfId="0" applyNumberFormat="1" applyFont="1" applyFill="1"/>
    <xf numFmtId="165" fontId="2" fillId="4" borderId="5" xfId="0" applyNumberFormat="1" applyFont="1" applyFill="1" applyBorder="1"/>
    <xf numFmtId="0" fontId="2" fillId="3" borderId="0" xfId="0" applyFont="1" applyFill="1"/>
    <xf numFmtId="0" fontId="2" fillId="4" borderId="0" xfId="0" applyFont="1" applyFill="1"/>
    <xf numFmtId="0" fontId="2" fillId="4" borderId="5" xfId="0" applyFont="1" applyFill="1" applyBorder="1"/>
    <xf numFmtId="0" fontId="5" fillId="0" borderId="6" xfId="0" applyFont="1" applyBorder="1"/>
    <xf numFmtId="0" fontId="6" fillId="0" borderId="6" xfId="0" applyFont="1" applyBorder="1" applyAlignment="1">
      <alignment vertical="center"/>
    </xf>
    <xf numFmtId="1" fontId="6" fillId="0" borderId="6" xfId="0" applyNumberFormat="1" applyFont="1" applyBorder="1" applyAlignment="1">
      <alignment vertical="center"/>
    </xf>
    <xf numFmtId="0" fontId="2" fillId="6" borderId="6" xfId="0" applyFont="1" applyFill="1" applyBorder="1"/>
    <xf numFmtId="164" fontId="6" fillId="7" borderId="6" xfId="0" applyNumberFormat="1" applyFont="1" applyFill="1" applyBorder="1" applyAlignment="1">
      <alignment vertical="center"/>
    </xf>
    <xf numFmtId="2" fontId="6" fillId="8" borderId="6" xfId="0" applyNumberFormat="1" applyFont="1" applyFill="1" applyBorder="1" applyAlignment="1">
      <alignment vertical="center"/>
    </xf>
    <xf numFmtId="11" fontId="6" fillId="8" borderId="6" xfId="0" applyNumberFormat="1" applyFont="1" applyFill="1" applyBorder="1" applyAlignment="1">
      <alignment vertical="center"/>
    </xf>
    <xf numFmtId="11" fontId="2" fillId="0" borderId="7" xfId="0" applyNumberFormat="1" applyFont="1" applyBorder="1"/>
    <xf numFmtId="0" fontId="3" fillId="0" borderId="8" xfId="0" applyFont="1" applyBorder="1"/>
    <xf numFmtId="0" fontId="2" fillId="3" borderId="6" xfId="0" applyFont="1" applyFill="1" applyBorder="1"/>
    <xf numFmtId="0" fontId="2" fillId="4" borderId="6" xfId="0" applyFont="1" applyFill="1" applyBorder="1"/>
    <xf numFmtId="0" fontId="2" fillId="4" borderId="7" xfId="0" applyFont="1" applyFill="1" applyBorder="1"/>
    <xf numFmtId="0" fontId="7" fillId="9" borderId="0" xfId="0" applyFont="1" applyFill="1"/>
    <xf numFmtId="0" fontId="2" fillId="0" borderId="0" xfId="0" applyFont="1" applyAlignment="1">
      <alignment vertical="center" textRotation="90"/>
    </xf>
    <xf numFmtId="2" fontId="6" fillId="0" borderId="0" xfId="0" applyNumberFormat="1" applyFont="1" applyAlignment="1">
      <alignment vertical="center"/>
    </xf>
    <xf numFmtId="11" fontId="6" fillId="0" borderId="0" xfId="0" applyNumberFormat="1" applyFont="1" applyAlignment="1">
      <alignment vertical="center"/>
    </xf>
    <xf numFmtId="0" fontId="2" fillId="0" borderId="8" xfId="0" applyFont="1" applyBorder="1"/>
    <xf numFmtId="0" fontId="6" fillId="0" borderId="6" xfId="0" applyFont="1" applyBorder="1"/>
    <xf numFmtId="0" fontId="0" fillId="0" borderId="6" xfId="0" applyBorder="1"/>
    <xf numFmtId="11" fontId="2" fillId="3" borderId="6" xfId="0" applyNumberFormat="1" applyFont="1" applyFill="1" applyBorder="1"/>
    <xf numFmtId="11" fontId="2" fillId="4" borderId="6" xfId="0" applyNumberFormat="1" applyFont="1" applyFill="1" applyBorder="1"/>
    <xf numFmtId="0" fontId="6" fillId="0" borderId="0" xfId="0" applyFont="1" applyAlignment="1">
      <alignment horizontal="left" vertical="center"/>
    </xf>
    <xf numFmtId="168" fontId="2" fillId="0" borderId="0" xfId="0" applyNumberFormat="1" applyFont="1"/>
    <xf numFmtId="0" fontId="10" fillId="0" borderId="0" xfId="0" applyFont="1"/>
    <xf numFmtId="0" fontId="11" fillId="0" borderId="0" xfId="0" applyFont="1"/>
    <xf numFmtId="0" fontId="10" fillId="0" borderId="0" xfId="0" applyFont="1" applyAlignment="1">
      <alignment horizontal="right"/>
    </xf>
    <xf numFmtId="0" fontId="14" fillId="0" borderId="0" xfId="0" applyFont="1"/>
    <xf numFmtId="0" fontId="9" fillId="6" borderId="0" xfId="0" applyFont="1" applyFill="1"/>
    <xf numFmtId="11" fontId="9" fillId="6" borderId="0" xfId="0" applyNumberFormat="1" applyFont="1" applyFill="1"/>
    <xf numFmtId="2" fontId="9" fillId="6" borderId="0" xfId="0" applyNumberFormat="1" applyFont="1" applyFill="1"/>
    <xf numFmtId="0" fontId="10" fillId="0" borderId="0" xfId="0" applyFont="1" applyAlignment="1">
      <alignment horizontal="right" vertical="center"/>
    </xf>
    <xf numFmtId="0" fontId="16" fillId="10" borderId="0" xfId="0" applyFont="1" applyFill="1"/>
    <xf numFmtId="164" fontId="16" fillId="10" borderId="0" xfId="0" applyNumberFormat="1" applyFont="1" applyFill="1"/>
    <xf numFmtId="0" fontId="17" fillId="10" borderId="0" xfId="2" applyFont="1" applyFill="1"/>
    <xf numFmtId="2" fontId="0" fillId="10" borderId="0" xfId="0" applyNumberFormat="1" applyFill="1"/>
    <xf numFmtId="0" fontId="0" fillId="10" borderId="0" xfId="0" applyFill="1"/>
    <xf numFmtId="0" fontId="18" fillId="0" borderId="0" xfId="0" applyFont="1" applyAlignment="1">
      <alignment wrapText="1"/>
    </xf>
    <xf numFmtId="0" fontId="18" fillId="0" borderId="0" xfId="0" applyFont="1"/>
    <xf numFmtId="0" fontId="19" fillId="0" borderId="0" xfId="0" applyFont="1"/>
    <xf numFmtId="2" fontId="18" fillId="0" borderId="0" xfId="0" applyNumberFormat="1" applyFont="1"/>
    <xf numFmtId="2" fontId="20" fillId="0" borderId="0" xfId="0" applyNumberFormat="1" applyFont="1"/>
    <xf numFmtId="0" fontId="20" fillId="0" borderId="0" xfId="0" applyFont="1"/>
    <xf numFmtId="0" fontId="0" fillId="6" borderId="0" xfId="0" applyFill="1"/>
    <xf numFmtId="0" fontId="10" fillId="13" borderId="0" xfId="0" applyFont="1" applyFill="1" applyAlignment="1">
      <alignment horizontal="right"/>
    </xf>
    <xf numFmtId="0" fontId="10" fillId="13" borderId="0" xfId="0" applyFont="1" applyFill="1" applyAlignment="1">
      <alignment horizontal="center" vertical="center"/>
    </xf>
    <xf numFmtId="0" fontId="0" fillId="13" borderId="0" xfId="0" applyFill="1"/>
    <xf numFmtId="0" fontId="0" fillId="11" borderId="13" xfId="0" applyFill="1" applyBorder="1"/>
    <xf numFmtId="0" fontId="0" fillId="11" borderId="12" xfId="0" applyFill="1" applyBorder="1"/>
    <xf numFmtId="11" fontId="0" fillId="13" borderId="0" xfId="0" applyNumberFormat="1" applyFill="1"/>
    <xf numFmtId="0" fontId="1" fillId="13" borderId="0" xfId="0" applyFont="1" applyFill="1"/>
    <xf numFmtId="0" fontId="0" fillId="13" borderId="15" xfId="0" applyFill="1" applyBorder="1"/>
    <xf numFmtId="11" fontId="0" fillId="13" borderId="15" xfId="0" applyNumberFormat="1" applyFill="1" applyBorder="1"/>
    <xf numFmtId="0" fontId="0" fillId="11" borderId="16" xfId="0" applyFill="1" applyBorder="1"/>
    <xf numFmtId="0" fontId="0" fillId="11" borderId="9" xfId="0" applyFill="1" applyBorder="1"/>
    <xf numFmtId="0" fontId="0" fillId="11" borderId="11" xfId="0" applyFill="1" applyBorder="1"/>
    <xf numFmtId="0" fontId="0" fillId="11" borderId="14" xfId="0" applyFill="1" applyBorder="1"/>
    <xf numFmtId="0" fontId="10" fillId="13" borderId="18" xfId="0" applyFont="1" applyFill="1" applyBorder="1" applyAlignment="1">
      <alignment horizontal="right"/>
    </xf>
    <xf numFmtId="0" fontId="10" fillId="13" borderId="21" xfId="0" applyFont="1" applyFill="1" applyBorder="1" applyAlignment="1">
      <alignment horizontal="right"/>
    </xf>
    <xf numFmtId="0" fontId="14" fillId="13" borderId="21" xfId="0" applyFont="1" applyFill="1" applyBorder="1" applyAlignment="1">
      <alignment horizontal="right"/>
    </xf>
    <xf numFmtId="0" fontId="0" fillId="13" borderId="21" xfId="0" applyFill="1" applyBorder="1" applyAlignment="1">
      <alignment horizontal="right"/>
    </xf>
    <xf numFmtId="0" fontId="10" fillId="13" borderId="18" xfId="0" applyFont="1" applyFill="1" applyBorder="1" applyAlignment="1">
      <alignment horizontal="center" vertical="center"/>
    </xf>
    <xf numFmtId="0" fontId="10" fillId="13" borderId="21" xfId="0" applyFont="1" applyFill="1" applyBorder="1" applyAlignment="1">
      <alignment horizontal="center" vertical="center"/>
    </xf>
    <xf numFmtId="0" fontId="0" fillId="13" borderId="21" xfId="0" applyFill="1" applyBorder="1" applyAlignment="1">
      <alignment horizontal="center" vertical="center"/>
    </xf>
    <xf numFmtId="0" fontId="0" fillId="13" borderId="22" xfId="0" applyFill="1" applyBorder="1" applyAlignment="1">
      <alignment horizontal="center" vertical="center"/>
    </xf>
    <xf numFmtId="11" fontId="9" fillId="13" borderId="17" xfId="0" applyNumberFormat="1" applyFont="1" applyFill="1" applyBorder="1" applyAlignment="1">
      <alignment horizontal="center" vertical="center" wrapText="1"/>
    </xf>
    <xf numFmtId="0" fontId="9" fillId="13" borderId="20" xfId="0" applyFont="1" applyFill="1" applyBorder="1" applyAlignment="1">
      <alignment horizontal="center" vertical="center" wrapText="1"/>
    </xf>
    <xf numFmtId="0" fontId="9" fillId="13" borderId="19" xfId="0" applyFont="1" applyFill="1" applyBorder="1" applyAlignment="1">
      <alignment horizontal="center" vertical="center" wrapText="1"/>
    </xf>
    <xf numFmtId="0" fontId="0" fillId="14" borderId="0" xfId="0" applyFill="1"/>
    <xf numFmtId="0" fontId="10" fillId="10" borderId="18" xfId="0" applyFont="1" applyFill="1" applyBorder="1" applyAlignment="1">
      <alignment horizontal="right"/>
    </xf>
    <xf numFmtId="0" fontId="10" fillId="10" borderId="18" xfId="0" applyFont="1" applyFill="1" applyBorder="1" applyAlignment="1">
      <alignment horizontal="center" vertical="center"/>
    </xf>
    <xf numFmtId="11" fontId="0" fillId="10" borderId="0" xfId="0" applyNumberFormat="1" applyFill="1"/>
    <xf numFmtId="0" fontId="10" fillId="10" borderId="21" xfId="0" applyFont="1" applyFill="1" applyBorder="1" applyAlignment="1">
      <alignment horizontal="right"/>
    </xf>
    <xf numFmtId="0" fontId="10" fillId="10" borderId="21" xfId="0" applyFont="1" applyFill="1" applyBorder="1" applyAlignment="1">
      <alignment horizontal="center" vertical="center"/>
    </xf>
    <xf numFmtId="11" fontId="0" fillId="11" borderId="12" xfId="0" applyNumberFormat="1" applyFill="1" applyBorder="1"/>
    <xf numFmtId="0" fontId="10" fillId="13" borderId="0" xfId="0" applyFont="1" applyFill="1"/>
    <xf numFmtId="0" fontId="12" fillId="13" borderId="0" xfId="0" applyFont="1" applyFill="1"/>
    <xf numFmtId="0" fontId="12" fillId="13" borderId="6" xfId="0" applyFont="1" applyFill="1" applyBorder="1"/>
    <xf numFmtId="0" fontId="12" fillId="13" borderId="6" xfId="0" applyFont="1" applyFill="1" applyBorder="1" applyAlignment="1">
      <alignment horizontal="center"/>
    </xf>
    <xf numFmtId="2" fontId="10" fillId="13" borderId="0" xfId="0" applyNumberFormat="1" applyFont="1" applyFill="1" applyAlignment="1">
      <alignment horizontal="center"/>
    </xf>
    <xf numFmtId="0" fontId="14" fillId="13" borderId="0" xfId="0" applyFont="1" applyFill="1"/>
    <xf numFmtId="0" fontId="10" fillId="13" borderId="0" xfId="0" applyFont="1" applyFill="1" applyAlignment="1">
      <alignment horizontal="center"/>
    </xf>
    <xf numFmtId="0" fontId="14" fillId="10" borderId="21" xfId="0" applyFont="1" applyFill="1" applyBorder="1" applyAlignment="1">
      <alignment horizontal="right"/>
    </xf>
    <xf numFmtId="0" fontId="0" fillId="0" borderId="0" xfId="0" applyAlignment="1">
      <alignment horizontal="center" vertical="center" wrapText="1"/>
    </xf>
    <xf numFmtId="0" fontId="0" fillId="0" borderId="0" xfId="0" applyAlignment="1">
      <alignment horizontal="center" wrapText="1"/>
    </xf>
    <xf numFmtId="0" fontId="11" fillId="13" borderId="0" xfId="0" applyFont="1" applyFill="1" applyAlignment="1">
      <alignment horizontal="center"/>
    </xf>
    <xf numFmtId="0" fontId="13" fillId="13" borderId="0" xfId="0" applyFont="1" applyFill="1" applyAlignment="1">
      <alignment horizontal="right" vertical="center" textRotation="90"/>
    </xf>
    <xf numFmtId="0" fontId="21" fillId="12" borderId="9" xfId="0" applyFont="1" applyFill="1" applyBorder="1" applyAlignment="1">
      <alignment horizontal="center" vertical="center"/>
    </xf>
    <xf numFmtId="0" fontId="21" fillId="12" borderId="10" xfId="0" applyFont="1" applyFill="1" applyBorder="1" applyAlignment="1">
      <alignment horizontal="center" vertical="center"/>
    </xf>
    <xf numFmtId="0" fontId="21" fillId="12" borderId="11" xfId="0" applyFont="1" applyFill="1" applyBorder="1" applyAlignment="1">
      <alignment horizontal="center" vertical="center"/>
    </xf>
    <xf numFmtId="0" fontId="21" fillId="12" borderId="14" xfId="0" applyFont="1" applyFill="1" applyBorder="1" applyAlignment="1">
      <alignment horizontal="center" vertical="center"/>
    </xf>
    <xf numFmtId="0" fontId="21" fillId="12" borderId="15" xfId="0" applyFont="1" applyFill="1" applyBorder="1" applyAlignment="1">
      <alignment horizontal="center" vertical="center"/>
    </xf>
    <xf numFmtId="0" fontId="21" fillId="12" borderId="16" xfId="0" applyFont="1" applyFill="1" applyBorder="1" applyAlignment="1">
      <alignment horizontal="center" vertical="center"/>
    </xf>
    <xf numFmtId="0" fontId="0" fillId="6" borderId="17" xfId="0" applyFill="1" applyBorder="1" applyAlignment="1">
      <alignment horizontal="center"/>
    </xf>
    <xf numFmtId="0" fontId="0" fillId="6" borderId="20" xfId="0" applyFill="1" applyBorder="1" applyAlignment="1">
      <alignment horizontal="center"/>
    </xf>
    <xf numFmtId="0" fontId="0" fillId="6" borderId="19" xfId="0" applyFill="1" applyBorder="1" applyAlignment="1">
      <alignment horizontal="center"/>
    </xf>
    <xf numFmtId="0" fontId="0" fillId="11" borderId="12" xfId="0" applyFill="1" applyBorder="1" applyAlignment="1">
      <alignment horizontal="center" vertical="center" wrapText="1"/>
    </xf>
    <xf numFmtId="0" fontId="0" fillId="11" borderId="13" xfId="0" applyFill="1" applyBorder="1" applyAlignment="1">
      <alignment horizontal="center" vertical="center" wrapText="1"/>
    </xf>
    <xf numFmtId="0" fontId="0" fillId="13" borderId="21" xfId="0" applyFill="1" applyBorder="1" applyAlignment="1">
      <alignment horizontal="right" vertical="center" wrapText="1"/>
    </xf>
    <xf numFmtId="0" fontId="0" fillId="13" borderId="22" xfId="0" applyFill="1" applyBorder="1" applyAlignment="1">
      <alignment horizontal="right" vertical="center" wrapText="1"/>
    </xf>
    <xf numFmtId="0" fontId="18" fillId="0" borderId="0" xfId="0" applyFont="1" applyAlignment="1">
      <alignment horizontal="center" vertical="center" wrapText="1"/>
    </xf>
    <xf numFmtId="0" fontId="3" fillId="0" borderId="0" xfId="0" applyFont="1" applyAlignment="1">
      <alignment horizontal="center" wrapText="1"/>
    </xf>
    <xf numFmtId="0" fontId="3" fillId="3" borderId="0" xfId="0" applyFont="1" applyFill="1" applyAlignment="1">
      <alignment horizontal="center"/>
    </xf>
    <xf numFmtId="0" fontId="3" fillId="4" borderId="0" xfId="0" applyFont="1" applyFill="1" applyAlignment="1">
      <alignment horizontal="center"/>
    </xf>
    <xf numFmtId="1" fontId="2" fillId="0" borderId="0" xfId="0" applyNumberFormat="1" applyFont="1" applyAlignment="1">
      <alignment horizontal="center" vertical="center" textRotation="90" wrapText="1"/>
    </xf>
    <xf numFmtId="11" fontId="2" fillId="9" borderId="0" xfId="0" applyNumberFormat="1" applyFont="1" applyFill="1" applyAlignment="1">
      <alignment horizontal="center" vertical="center" textRotation="90" wrapText="1"/>
    </xf>
    <xf numFmtId="0" fontId="2" fillId="0" borderId="4" xfId="0" applyFont="1" applyBorder="1" applyAlignment="1">
      <alignment horizontal="center" vertical="center" textRotation="90" wrapText="1"/>
    </xf>
    <xf numFmtId="0" fontId="3" fillId="3" borderId="0" xfId="0" applyFont="1" applyFill="1" applyAlignment="1">
      <alignment horizontal="center" wrapText="1"/>
    </xf>
    <xf numFmtId="0" fontId="3" fillId="4" borderId="0" xfId="0" applyFont="1" applyFill="1" applyAlignment="1">
      <alignment horizontal="center" wrapText="1"/>
    </xf>
    <xf numFmtId="0" fontId="3" fillId="3" borderId="2" xfId="0" applyFont="1" applyFill="1" applyBorder="1" applyAlignment="1">
      <alignment horizontal="center" vertical="center" wrapText="1"/>
    </xf>
    <xf numFmtId="2" fontId="3" fillId="4" borderId="2" xfId="0" applyNumberFormat="1" applyFont="1" applyFill="1" applyBorder="1" applyAlignment="1">
      <alignment horizontal="center" vertical="center"/>
    </xf>
    <xf numFmtId="0" fontId="3" fillId="2" borderId="0" xfId="0" applyFont="1" applyFill="1" applyAlignment="1">
      <alignment horizontal="center" vertical="center"/>
    </xf>
    <xf numFmtId="0" fontId="4" fillId="5" borderId="0" xfId="0" applyFont="1" applyFill="1" applyAlignment="1">
      <alignment horizontal="center" vertical="center"/>
    </xf>
    <xf numFmtId="0" fontId="3" fillId="4" borderId="2" xfId="0" applyFont="1" applyFill="1" applyBorder="1" applyAlignment="1">
      <alignment horizontal="center" vertical="center" wrapText="1"/>
    </xf>
    <xf numFmtId="0" fontId="2" fillId="0" borderId="4" xfId="0" applyFont="1" applyBorder="1" applyAlignment="1">
      <alignment horizontal="center" vertical="center" textRotation="90"/>
    </xf>
    <xf numFmtId="0" fontId="2" fillId="0" borderId="0" xfId="0" applyFont="1" applyAlignment="1">
      <alignment horizontal="center" vertical="center" textRotation="90" wrapText="1"/>
    </xf>
    <xf numFmtId="0" fontId="2" fillId="9" borderId="0" xfId="0" applyFont="1" applyFill="1" applyAlignment="1">
      <alignment horizontal="left" vertical="center" wrapText="1"/>
    </xf>
    <xf numFmtId="0" fontId="2" fillId="0" borderId="8" xfId="0" applyFont="1" applyBorder="1" applyAlignment="1">
      <alignment horizontal="center" vertical="center" textRotation="90" wrapText="1"/>
    </xf>
    <xf numFmtId="9" fontId="2" fillId="0" borderId="0" xfId="1" applyFont="1" applyBorder="1" applyAlignment="1">
      <alignment horizontal="center" vertical="center" textRotation="90" wrapText="1"/>
    </xf>
    <xf numFmtId="11" fontId="2" fillId="0" borderId="0" xfId="0" applyNumberFormat="1" applyFont="1" applyAlignment="1">
      <alignment horizontal="center" vertical="center" textRotation="90"/>
    </xf>
    <xf numFmtId="0" fontId="2" fillId="0" borderId="0" xfId="0" applyFont="1" applyAlignment="1">
      <alignment horizontal="left" vertical="center"/>
    </xf>
  </cellXfs>
  <cellStyles count="3">
    <cellStyle name="Hyperlink" xfId="2" builtinId="8"/>
    <cellStyle name="Normal" xfId="0" builtinId="0"/>
    <cellStyle name="Percent" xfId="1" builtinId="5"/>
  </cellStyles>
  <dxfs count="1">
    <dxf>
      <fill>
        <patternFill>
          <bgColor theme="7" tint="0.39994506668294322"/>
        </patternFill>
      </fill>
    </dxf>
  </dxfs>
  <tableStyles count="0" defaultTableStyle="TableStyleMedium2" defaultPivotStyle="PivotStyleLight16"/>
  <colors>
    <mruColors>
      <color rgb="FFF8F5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ZMRBA_Isoprene/ZMRBA_inputs/Protein_ZM.xlsx" TargetMode="External"/><Relationship Id="rId2" Type="http://schemas.openxmlformats.org/officeDocument/2006/relationships/externalLinkPath" Target="https://uwprod-my.sharepoint.com/personal/kfisher22_wisc_edu/Documents/Jun%20ZmRBA%20Paper/Updating_model_MEP_fdxA_rnf/Updated/ZMRBA_Isoprene/ZMRBA_inputs/Protein_ZM.xlsx" TargetMode="External"/><Relationship Id="rId1" Type="http://schemas.openxmlformats.org/officeDocument/2006/relationships/externalLinkPath" Target="/personal/kfisher22_wisc_edu/Documents/Jun%20ZmRBA%20Paper/Updating_model_MEP_fdxA_rnf/Updated/ZMRBA_Isoprene/ZMRBA_inputs/Protein_Z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4 Prot conc calcs via vols"/>
      <sheetName val="250924_Uniprot"/>
      <sheetName val="Uniprot_50s_30s"/>
      <sheetName val="Proteome_model_stats"/>
      <sheetName val="RBA_proteins"/>
      <sheetName val="unmodeled_proteins"/>
    </sheetNames>
    <sheetDataSet>
      <sheetData sheetId="0"/>
      <sheetData sheetId="1"/>
      <sheetData sheetId="2"/>
      <sheetData sheetId="3"/>
      <sheetData sheetId="4">
        <row r="1">
          <cell r="A1" t="str">
            <v>Gene</v>
          </cell>
          <cell r="I1" t="str">
            <v>vtrans (mmol/gDW/h)</v>
          </cell>
        </row>
        <row r="2">
          <cell r="A2" t="str">
            <v>ZMO0788</v>
          </cell>
          <cell r="I2">
            <v>9.0728633500073826E-7</v>
          </cell>
        </row>
        <row r="3">
          <cell r="A3" t="str">
            <v>ZMO1284</v>
          </cell>
          <cell r="I3">
            <v>1.3549888585667916E-7</v>
          </cell>
        </row>
        <row r="4">
          <cell r="A4" t="str">
            <v>ZMO1146</v>
          </cell>
          <cell r="I4">
            <v>3.9232507609727711E-6</v>
          </cell>
        </row>
        <row r="5">
          <cell r="A5" t="str">
            <v>ZMO1222</v>
          </cell>
          <cell r="I5">
            <v>6.5783224000412557E-6</v>
          </cell>
        </row>
        <row r="6">
          <cell r="A6" t="str">
            <v>ZMO1278</v>
          </cell>
          <cell r="I6">
            <v>8.2525102055682878E-6</v>
          </cell>
        </row>
        <row r="7">
          <cell r="A7" t="str">
            <v>ZMO1891</v>
          </cell>
          <cell r="I7">
            <v>5.1721711214535895E-6</v>
          </cell>
        </row>
        <row r="8">
          <cell r="A8" t="str">
            <v>ZMO1530</v>
          </cell>
          <cell r="I8">
            <v>3.1306843405558518E-7</v>
          </cell>
        </row>
        <row r="9">
          <cell r="A9" t="str">
            <v>ZMO0583</v>
          </cell>
          <cell r="I9">
            <v>1.0938743125020354E-6</v>
          </cell>
        </row>
        <row r="10">
          <cell r="A10" t="str">
            <v>ZMO0599</v>
          </cell>
          <cell r="I10">
            <v>1.5041970628917604E-6</v>
          </cell>
        </row>
        <row r="11">
          <cell r="A11" t="str">
            <v>ZMO0735</v>
          </cell>
          <cell r="I11">
            <v>2.9418643813296398E-6</v>
          </cell>
        </row>
        <row r="12">
          <cell r="A12" t="str">
            <v>ZMO0736</v>
          </cell>
          <cell r="I12">
            <v>1.0286539778084059E-6</v>
          </cell>
        </row>
        <row r="13">
          <cell r="A13" t="str">
            <v>ZMO1494</v>
          </cell>
          <cell r="I13">
            <v>1.3753157989795759E-6</v>
          </cell>
        </row>
        <row r="14">
          <cell r="A14" t="str">
            <v>ZMO0923</v>
          </cell>
          <cell r="I14">
            <v>1.7945666464673016E-6</v>
          </cell>
        </row>
        <row r="15">
          <cell r="A15" t="str">
            <v>ZMO1139</v>
          </cell>
          <cell r="I15">
            <v>2.8531320135746316E-6</v>
          </cell>
        </row>
        <row r="16">
          <cell r="A16" t="str">
            <v>ZMO1140</v>
          </cell>
          <cell r="I16">
            <v>2.3816803323873751E-6</v>
          </cell>
        </row>
        <row r="17">
          <cell r="A17" t="str">
            <v>ZMO0687</v>
          </cell>
          <cell r="I17">
            <v>2.6895225345589224E-6</v>
          </cell>
        </row>
        <row r="18">
          <cell r="A18" t="str">
            <v>ZMO1294</v>
          </cell>
          <cell r="I18">
            <v>7.1507196962766201E-7</v>
          </cell>
        </row>
        <row r="19">
          <cell r="A19" t="str">
            <v>ZMO1279</v>
          </cell>
          <cell r="I19">
            <v>1.2513717525874703E-5</v>
          </cell>
        </row>
        <row r="20">
          <cell r="A20" t="str">
            <v>ZMO1899</v>
          </cell>
          <cell r="I20">
            <v>2.1120873535099179E-6</v>
          </cell>
        </row>
        <row r="21">
          <cell r="A21" t="str">
            <v>ZMO0543</v>
          </cell>
          <cell r="I21">
            <v>3.3449207771880792E-6</v>
          </cell>
        </row>
        <row r="22">
          <cell r="A22" t="str">
            <v>ZMO0408</v>
          </cell>
          <cell r="I22">
            <v>6.7657743483575591E-6</v>
          </cell>
        </row>
        <row r="23">
          <cell r="A23" t="str">
            <v>ZMO1900</v>
          </cell>
          <cell r="I23">
            <v>3.0366820417291772E-7</v>
          </cell>
        </row>
        <row r="24">
          <cell r="A24" t="str">
            <v>ZMO1709</v>
          </cell>
          <cell r="I24">
            <v>1.6336952730669442E-7</v>
          </cell>
        </row>
        <row r="25">
          <cell r="A25" t="str">
            <v>ZMO0971</v>
          </cell>
          <cell r="I25">
            <v>5.6763509591079421E-7</v>
          </cell>
        </row>
        <row r="26">
          <cell r="A26" t="str">
            <v>ZMO0655</v>
          </cell>
          <cell r="I26">
            <v>5.3731525542825042E-7</v>
          </cell>
        </row>
        <row r="27">
          <cell r="A27" t="str">
            <v>ZMO1277</v>
          </cell>
          <cell r="I27">
            <v>2.6912001518902119E-7</v>
          </cell>
        </row>
        <row r="28">
          <cell r="A28" t="str">
            <v>ZMO0114</v>
          </cell>
          <cell r="I28">
            <v>1.1784201410101662E-6</v>
          </cell>
        </row>
        <row r="29">
          <cell r="A29" t="str">
            <v>ZMO0113</v>
          </cell>
          <cell r="I29">
            <v>6.3351023994223588E-7</v>
          </cell>
        </row>
        <row r="30">
          <cell r="A30" t="str">
            <v>ZMO0969</v>
          </cell>
          <cell r="I30">
            <v>5.1677653775746376E-8</v>
          </cell>
        </row>
        <row r="31">
          <cell r="A31" t="str">
            <v>ZMO0538</v>
          </cell>
          <cell r="I31">
            <v>2.0848745893319816E-6</v>
          </cell>
        </row>
        <row r="32">
          <cell r="A32" t="str">
            <v>ZMO1041</v>
          </cell>
          <cell r="I32">
            <v>4.1945285898120917E-7</v>
          </cell>
        </row>
        <row r="33">
          <cell r="A33" t="str">
            <v>ZMO0003</v>
          </cell>
          <cell r="I33">
            <v>4.3847284580520819E-7</v>
          </cell>
        </row>
        <row r="34">
          <cell r="A34" t="str">
            <v>ZMO0662</v>
          </cell>
          <cell r="I34">
            <v>3.2943453040619304E-6</v>
          </cell>
        </row>
        <row r="35">
          <cell r="A35" t="str">
            <v>ZMO1687</v>
          </cell>
          <cell r="I35">
            <v>4.2290963408467726E-6</v>
          </cell>
        </row>
        <row r="36">
          <cell r="A36" t="str">
            <v>ZMO0962</v>
          </cell>
          <cell r="I36">
            <v>3.1222397001097302E-7</v>
          </cell>
        </row>
        <row r="37">
          <cell r="A37" t="str">
            <v>ZMO0195</v>
          </cell>
          <cell r="I37">
            <v>5.0983041193956679E-8</v>
          </cell>
        </row>
        <row r="38">
          <cell r="A38" t="str">
            <v>ZMO1171</v>
          </cell>
          <cell r="I38">
            <v>1.4055076637877518E-7</v>
          </cell>
        </row>
        <row r="39">
          <cell r="A39" t="str">
            <v>ZMO0581</v>
          </cell>
          <cell r="I39">
            <v>2.3450583573450814E-9</v>
          </cell>
        </row>
        <row r="40">
          <cell r="A40" t="str">
            <v>ZMO1369</v>
          </cell>
          <cell r="I40">
            <v>1.7056308248600523E-6</v>
          </cell>
        </row>
        <row r="41">
          <cell r="A41" t="str">
            <v>ZMO0432</v>
          </cell>
          <cell r="I41">
            <v>4.3255019067090456E-7</v>
          </cell>
        </row>
        <row r="42">
          <cell r="A42" t="str">
            <v>ZMO0419</v>
          </cell>
          <cell r="I42">
            <v>2.4994645346253566E-7</v>
          </cell>
        </row>
        <row r="43">
          <cell r="A43" t="str">
            <v>ZMO0804</v>
          </cell>
          <cell r="I43">
            <v>1.297396380743958E-6</v>
          </cell>
        </row>
        <row r="44">
          <cell r="A44" t="str">
            <v>ZMO0182</v>
          </cell>
          <cell r="I44">
            <v>4.7216615000923568E-6</v>
          </cell>
        </row>
        <row r="45">
          <cell r="A45" t="str">
            <v>ZMO0027</v>
          </cell>
          <cell r="I45">
            <v>2.3369338554171257E-6</v>
          </cell>
        </row>
        <row r="46">
          <cell r="A46" t="str">
            <v>ZMO1421</v>
          </cell>
          <cell r="I46">
            <v>2.0619585308123508E-6</v>
          </cell>
        </row>
        <row r="47">
          <cell r="A47" t="str">
            <v>ZMO1420</v>
          </cell>
          <cell r="I47">
            <v>2.3238135856495533E-6</v>
          </cell>
        </row>
        <row r="48">
          <cell r="A48" t="str">
            <v>ZMO0938</v>
          </cell>
          <cell r="I48">
            <v>7.0478320501870648E-7</v>
          </cell>
        </row>
        <row r="49">
          <cell r="A49" t="str">
            <v>ZMO0834</v>
          </cell>
          <cell r="I49">
            <v>1.7964548720230569E-6</v>
          </cell>
        </row>
        <row r="50">
          <cell r="A50" t="str">
            <v>ZMO1228</v>
          </cell>
          <cell r="I50">
            <v>6.4347369722252069E-7</v>
          </cell>
        </row>
        <row r="51">
          <cell r="A51" t="str">
            <v>ZMO1592</v>
          </cell>
          <cell r="I51">
            <v>4.342499557655459E-7</v>
          </cell>
        </row>
        <row r="52">
          <cell r="A52" t="str">
            <v>ZMO1198</v>
          </cell>
          <cell r="I52">
            <v>1.9498161364401188E-6</v>
          </cell>
        </row>
        <row r="53">
          <cell r="A53" t="str">
            <v>ZMO1201</v>
          </cell>
          <cell r="I53">
            <v>1.3302116681087639E-5</v>
          </cell>
        </row>
        <row r="54">
          <cell r="A54" t="str">
            <v>ZMO1347</v>
          </cell>
          <cell r="I54">
            <v>4.5276002038646653E-6</v>
          </cell>
        </row>
        <row r="55">
          <cell r="A55" t="str">
            <v>ZMO1727</v>
          </cell>
          <cell r="I55">
            <v>3.206909546088702E-6</v>
          </cell>
        </row>
        <row r="56">
          <cell r="A56" t="str">
            <v>ZMO0845</v>
          </cell>
          <cell r="I56">
            <v>3.6901648392049315E-6</v>
          </cell>
        </row>
        <row r="57">
          <cell r="A57" t="str">
            <v>ZMO1722</v>
          </cell>
          <cell r="I57">
            <v>1.4262209739852505E-6</v>
          </cell>
        </row>
        <row r="58">
          <cell r="A58" t="str">
            <v>ZMO1236</v>
          </cell>
          <cell r="I58">
            <v>1.1845154968872824E-6</v>
          </cell>
        </row>
        <row r="59">
          <cell r="A59" t="str">
            <v>ZMO1596</v>
          </cell>
          <cell r="I59">
            <v>2.6003315200334222E-5</v>
          </cell>
        </row>
        <row r="60">
          <cell r="A60" t="str">
            <v>ZMO1200</v>
          </cell>
          <cell r="I60">
            <v>1.59279969285654E-6</v>
          </cell>
        </row>
        <row r="61">
          <cell r="A61" t="str">
            <v>ZMO1773</v>
          </cell>
          <cell r="I61">
            <v>1.2062828229313586E-6</v>
          </cell>
        </row>
        <row r="62">
          <cell r="A62" t="str">
            <v>ZMO1918</v>
          </cell>
          <cell r="I62">
            <v>5.5422292429486822E-7</v>
          </cell>
        </row>
        <row r="63">
          <cell r="A63" t="str">
            <v>ZMO0172</v>
          </cell>
          <cell r="I63">
            <v>4.6575869820682638E-6</v>
          </cell>
        </row>
        <row r="64">
          <cell r="A64" t="str">
            <v>ZMO1309</v>
          </cell>
          <cell r="I64">
            <v>5.4159902696336811E-6</v>
          </cell>
        </row>
        <row r="65">
          <cell r="A65" t="str">
            <v>ZMO1345</v>
          </cell>
          <cell r="I65">
            <v>1.0626019369239512E-6</v>
          </cell>
        </row>
        <row r="66">
          <cell r="A66" t="str">
            <v>ZMO0806</v>
          </cell>
          <cell r="I66">
            <v>1.6346782088223927E-6</v>
          </cell>
        </row>
        <row r="67">
          <cell r="A67" t="str">
            <v>ZMO1776</v>
          </cell>
          <cell r="I67">
            <v>6.0404731890522874E-6</v>
          </cell>
        </row>
        <row r="68">
          <cell r="A68" t="str">
            <v>ZMO1642</v>
          </cell>
          <cell r="I68">
            <v>7.8703819608497954E-7</v>
          </cell>
        </row>
        <row r="69">
          <cell r="A69" t="str">
            <v>ZMO0200</v>
          </cell>
          <cell r="I69">
            <v>1.912684817799031E-6</v>
          </cell>
        </row>
        <row r="70">
          <cell r="A70" t="str">
            <v>ZMO0201</v>
          </cell>
          <cell r="I70">
            <v>1.8328262528389855E-6</v>
          </cell>
        </row>
        <row r="71">
          <cell r="A71" t="str">
            <v>ZMO0468</v>
          </cell>
          <cell r="I71">
            <v>1.763762837199974E-6</v>
          </cell>
        </row>
        <row r="72">
          <cell r="A72" t="str">
            <v>ZMO1917</v>
          </cell>
          <cell r="I72">
            <v>3.6439682986734204E-7</v>
          </cell>
        </row>
        <row r="73">
          <cell r="A73" t="str">
            <v>ZMO1195</v>
          </cell>
          <cell r="I73">
            <v>1.2081327429384282E-7</v>
          </cell>
        </row>
        <row r="74">
          <cell r="A74" t="str">
            <v>ZMO0476</v>
          </cell>
          <cell r="I74">
            <v>7.0286443404702764E-8</v>
          </cell>
        </row>
        <row r="75">
          <cell r="A75" t="str">
            <v>ZMO1770</v>
          </cell>
          <cell r="I75">
            <v>1.9103875189526395E-6</v>
          </cell>
        </row>
        <row r="76">
          <cell r="A76" t="str">
            <v>ZMO1036</v>
          </cell>
          <cell r="I76">
            <v>8.6567904427362009E-6</v>
          </cell>
        </row>
        <row r="77">
          <cell r="A77" t="str">
            <v>ZMO0843</v>
          </cell>
          <cell r="I77">
            <v>2.1135984843959265E-6</v>
          </cell>
        </row>
        <row r="78">
          <cell r="A78" t="str">
            <v>ZMO1407</v>
          </cell>
          <cell r="I78">
            <v>8.9860061751892815E-6</v>
          </cell>
        </row>
        <row r="79">
          <cell r="A79" t="str">
            <v>ZMO1683</v>
          </cell>
          <cell r="I79">
            <v>4.0765183240634844E-7</v>
          </cell>
        </row>
        <row r="80">
          <cell r="A80" t="str">
            <v>ZMO1682</v>
          </cell>
          <cell r="I80">
            <v>5.5001881683982093E-8</v>
          </cell>
        </row>
        <row r="81">
          <cell r="A81" t="str">
            <v>ZMO0791</v>
          </cell>
          <cell r="I81">
            <v>6.4864049957030038E-7</v>
          </cell>
        </row>
        <row r="82">
          <cell r="A82" t="str">
            <v>ZMO1653</v>
          </cell>
          <cell r="I82">
            <v>4.7085472841831708E-6</v>
          </cell>
        </row>
        <row r="83">
          <cell r="A83" t="str">
            <v>ZMO0144</v>
          </cell>
          <cell r="I83">
            <v>2.6940280878356767E-6</v>
          </cell>
        </row>
        <row r="84">
          <cell r="A84" t="str">
            <v>ZMO0371</v>
          </cell>
          <cell r="I84">
            <v>6.6843958405722567E-8</v>
          </cell>
        </row>
        <row r="85">
          <cell r="A85" t="str">
            <v>ZMO1158</v>
          </cell>
          <cell r="I85">
            <v>2.4106936715958107E-7</v>
          </cell>
        </row>
        <row r="86">
          <cell r="A86" t="str">
            <v>ZMO0342</v>
          </cell>
          <cell r="I86">
            <v>4.5563187220813599E-6</v>
          </cell>
        </row>
        <row r="87">
          <cell r="A87" t="str">
            <v>ZMO0715</v>
          </cell>
          <cell r="I87">
            <v>3.4733663992701297E-6</v>
          </cell>
        </row>
        <row r="88">
          <cell r="A88" t="str">
            <v>ZMO0657</v>
          </cell>
          <cell r="I88">
            <v>2.206276945571846E-6</v>
          </cell>
        </row>
        <row r="89">
          <cell r="A89" t="str">
            <v>ZMO1550</v>
          </cell>
          <cell r="I89">
            <v>1.1291954437304296E-6</v>
          </cell>
        </row>
        <row r="90">
          <cell r="A90" t="str">
            <v>ZMO0671</v>
          </cell>
          <cell r="I90">
            <v>2.490720860723458E-6</v>
          </cell>
        </row>
        <row r="91">
          <cell r="A91" t="str">
            <v>ZMO0669</v>
          </cell>
          <cell r="I91">
            <v>3.4984736097924653E-6</v>
          </cell>
        </row>
        <row r="92">
          <cell r="A92" t="str">
            <v>ZMO0668</v>
          </cell>
          <cell r="I92">
            <v>3.3399477230563472E-6</v>
          </cell>
        </row>
        <row r="93">
          <cell r="A93" t="str">
            <v>ZMO0667</v>
          </cell>
          <cell r="I93">
            <v>3.0540983275423806E-7</v>
          </cell>
        </row>
        <row r="94">
          <cell r="A94" t="str">
            <v>ZMO0242</v>
          </cell>
          <cell r="I94">
            <v>6.3948242146150197E-6</v>
          </cell>
        </row>
        <row r="95">
          <cell r="A95" t="str">
            <v>ZMO0241</v>
          </cell>
          <cell r="I95">
            <v>1.9530319561501299E-5</v>
          </cell>
        </row>
        <row r="96">
          <cell r="A96" t="str">
            <v>ZMO0240</v>
          </cell>
          <cell r="I96">
            <v>3.7905158435101764E-6</v>
          </cell>
        </row>
        <row r="97">
          <cell r="A97" t="str">
            <v>ZMO0239</v>
          </cell>
          <cell r="I97">
            <v>1.1335036789221262E-5</v>
          </cell>
        </row>
        <row r="98">
          <cell r="A98" t="str">
            <v>ZMO0238</v>
          </cell>
          <cell r="I98">
            <v>5.707633632568786E-7</v>
          </cell>
        </row>
        <row r="99">
          <cell r="A99" t="str">
            <v>ZMO1868</v>
          </cell>
          <cell r="I99">
            <v>2.8064986004089464E-8</v>
          </cell>
        </row>
        <row r="100">
          <cell r="A100" t="str">
            <v>ZMO0734</v>
          </cell>
          <cell r="I100">
            <v>2.0703289185689944E-6</v>
          </cell>
        </row>
        <row r="101">
          <cell r="A101" t="str">
            <v>ZMO0094</v>
          </cell>
          <cell r="I101">
            <v>7.9922784660271022E-7</v>
          </cell>
        </row>
        <row r="102">
          <cell r="A102" t="str">
            <v>ZMO1261</v>
          </cell>
          <cell r="I102">
            <v>6.3791330955393632E-8</v>
          </cell>
        </row>
        <row r="103">
          <cell r="A103" t="str">
            <v>ZMO1263</v>
          </cell>
          <cell r="I103">
            <v>3.0178272824225759E-8</v>
          </cell>
        </row>
        <row r="104">
          <cell r="A104" t="str">
            <v>ZMO0866</v>
          </cell>
          <cell r="I104">
            <v>2.7789956822936873E-7</v>
          </cell>
        </row>
        <row r="105">
          <cell r="A105" t="str">
            <v>ZMO1618</v>
          </cell>
          <cell r="I105">
            <v>2.5577211620290892E-6</v>
          </cell>
        </row>
        <row r="106">
          <cell r="A106" t="str">
            <v>ZMO1617</v>
          </cell>
          <cell r="I106">
            <v>3.1051795631061498E-6</v>
          </cell>
        </row>
        <row r="107">
          <cell r="A107" t="str">
            <v>ZMO1023</v>
          </cell>
          <cell r="I107">
            <v>7.8318240209994817E-7</v>
          </cell>
        </row>
        <row r="108">
          <cell r="A108" t="str">
            <v>ZMO1136</v>
          </cell>
          <cell r="I108">
            <v>8.9601511339188684E-7</v>
          </cell>
        </row>
        <row r="109">
          <cell r="A109" t="str">
            <v>ZMO0326</v>
          </cell>
          <cell r="I109">
            <v>3.6881451721462291E-7</v>
          </cell>
        </row>
        <row r="110">
          <cell r="A110" t="str">
            <v>ZMO1182</v>
          </cell>
          <cell r="I110">
            <v>6.8243714241989983E-7</v>
          </cell>
        </row>
        <row r="111">
          <cell r="A111" t="str">
            <v>ZMO1033</v>
          </cell>
          <cell r="I111">
            <v>7.831459451793555E-7</v>
          </cell>
        </row>
        <row r="112">
          <cell r="A112" t="str">
            <v>ZMO0563</v>
          </cell>
          <cell r="I112">
            <v>2.0799891154899175E-6</v>
          </cell>
        </row>
        <row r="113">
          <cell r="A113" t="str">
            <v>ZMO1693</v>
          </cell>
          <cell r="I113">
            <v>1.2999405362241596E-6</v>
          </cell>
        </row>
        <row r="114">
          <cell r="A114" t="str">
            <v>ZMO0314</v>
          </cell>
          <cell r="I114">
            <v>1.1517822448060954E-7</v>
          </cell>
        </row>
        <row r="115">
          <cell r="A115" t="str">
            <v>ZMO0547</v>
          </cell>
          <cell r="I115">
            <v>7.5172088797461742E-8</v>
          </cell>
        </row>
        <row r="116">
          <cell r="A116" t="str">
            <v>ZMO0841</v>
          </cell>
          <cell r="I116">
            <v>5.9856453195927092E-9</v>
          </cell>
        </row>
        <row r="117">
          <cell r="A117" t="str">
            <v>ZMO1370</v>
          </cell>
          <cell r="I117">
            <v>1.3641713769404322E-6</v>
          </cell>
        </row>
        <row r="118">
          <cell r="A118" t="str">
            <v>ZMO0818</v>
          </cell>
          <cell r="I118">
            <v>2.6336434032352309E-6</v>
          </cell>
        </row>
        <row r="119">
          <cell r="A119" t="str">
            <v>ZMO0951</v>
          </cell>
          <cell r="I119">
            <v>5.3236531920524991E-7</v>
          </cell>
        </row>
        <row r="120">
          <cell r="A120" t="str">
            <v>ZMO1364</v>
          </cell>
          <cell r="I120">
            <v>4.1439990714227627E-7</v>
          </cell>
        </row>
        <row r="121">
          <cell r="A121" t="str">
            <v>ZMO0012</v>
          </cell>
          <cell r="I121">
            <v>2.9328718380475659E-8</v>
          </cell>
        </row>
        <row r="122">
          <cell r="A122" t="str">
            <v>ZMO1963</v>
          </cell>
          <cell r="I122">
            <v>1.3094925425423071E-6</v>
          </cell>
        </row>
        <row r="123">
          <cell r="A123" t="str">
            <v>ZMO0462</v>
          </cell>
          <cell r="I123">
            <v>2.2755446018089008E-6</v>
          </cell>
        </row>
        <row r="124">
          <cell r="A124" t="str">
            <v>ZMO0915</v>
          </cell>
          <cell r="I124">
            <v>1.1666552471461713E-7</v>
          </cell>
        </row>
        <row r="125">
          <cell r="A125" t="str">
            <v>ZMO0956</v>
          </cell>
          <cell r="I125">
            <v>1.0800246323190596E-7</v>
          </cell>
        </row>
        <row r="126">
          <cell r="A126" t="str">
            <v>ZMO0957</v>
          </cell>
          <cell r="I126">
            <v>2.4539570944660789E-8</v>
          </cell>
        </row>
        <row r="127">
          <cell r="A127" t="str">
            <v>ZMO0958</v>
          </cell>
          <cell r="I127">
            <v>5.6535647467675207E-8</v>
          </cell>
        </row>
        <row r="128">
          <cell r="A128" t="str">
            <v>ZMO0327</v>
          </cell>
          <cell r="I128">
            <v>2.0091251560054199E-6</v>
          </cell>
        </row>
        <row r="129">
          <cell r="A129" t="str">
            <v>ZMO0748</v>
          </cell>
          <cell r="I129">
            <v>2.7819710041661045E-6</v>
          </cell>
        </row>
        <row r="130">
          <cell r="A130" t="str">
            <v>ZMO0821</v>
          </cell>
          <cell r="I130">
            <v>1.1430975025514239E-6</v>
          </cell>
        </row>
        <row r="131">
          <cell r="A131" t="str">
            <v>ZMO0186</v>
          </cell>
          <cell r="I131">
            <v>1.5095991488884262E-6</v>
          </cell>
        </row>
        <row r="132">
          <cell r="A132" t="str">
            <v>ZMO1571</v>
          </cell>
          <cell r="I132">
            <v>1.4463103549049932E-6</v>
          </cell>
        </row>
        <row r="133">
          <cell r="A133" t="str">
            <v>ZMO1572</v>
          </cell>
          <cell r="I133">
            <v>3.9901913286334721E-8</v>
          </cell>
        </row>
        <row r="134">
          <cell r="A134" t="str">
            <v>ZMO0864</v>
          </cell>
          <cell r="I134">
            <v>1.1313296543447562E-6</v>
          </cell>
        </row>
        <row r="135">
          <cell r="A135" t="str">
            <v>ZMO1797</v>
          </cell>
          <cell r="I135">
            <v>6.223259389069776E-7</v>
          </cell>
        </row>
        <row r="136">
          <cell r="A136" t="str">
            <v>ZMO1768</v>
          </cell>
          <cell r="I136">
            <v>1.1075478410155945E-6</v>
          </cell>
        </row>
        <row r="137">
          <cell r="A137" t="str">
            <v>ZMO1072</v>
          </cell>
          <cell r="I137">
            <v>8.4814454261094155E-7</v>
          </cell>
        </row>
        <row r="138">
          <cell r="A138" t="str">
            <v>ZMO1151</v>
          </cell>
          <cell r="I138">
            <v>2.3676952538822591E-8</v>
          </cell>
        </row>
        <row r="139">
          <cell r="A139" t="str">
            <v>ZMO0474</v>
          </cell>
          <cell r="I139">
            <v>3.1746393587441082E-6</v>
          </cell>
        </row>
        <row r="140">
          <cell r="A140" t="str">
            <v>ZMO1915</v>
          </cell>
          <cell r="I140">
            <v>1.0051360023240889E-7</v>
          </cell>
        </row>
        <row r="141">
          <cell r="A141" t="str">
            <v>ZMO0863</v>
          </cell>
          <cell r="I141">
            <v>1.4161724862521067E-6</v>
          </cell>
        </row>
        <row r="142">
          <cell r="A142" t="str">
            <v>ZMO0187</v>
          </cell>
          <cell r="I142">
            <v>4.6389141095403452E-6</v>
          </cell>
        </row>
        <row r="143">
          <cell r="A143" t="str">
            <v>ZMO0433</v>
          </cell>
          <cell r="I143">
            <v>1.5524945646711463E-6</v>
          </cell>
        </row>
        <row r="144">
          <cell r="A144" t="str">
            <v>ZMO1792</v>
          </cell>
          <cell r="I144">
            <v>1.7652217690602456E-6</v>
          </cell>
        </row>
        <row r="145">
          <cell r="A145" t="str">
            <v>ZMO0707</v>
          </cell>
          <cell r="I145">
            <v>1.8669571849994199E-6</v>
          </cell>
        </row>
        <row r="146">
          <cell r="A146" t="str">
            <v>ZMO0720</v>
          </cell>
          <cell r="I146">
            <v>2.5074844933226366E-6</v>
          </cell>
        </row>
        <row r="147">
          <cell r="A147" t="str">
            <v>ZMO1853</v>
          </cell>
          <cell r="I147">
            <v>5.5538895329844114E-8</v>
          </cell>
        </row>
        <row r="148">
          <cell r="A148" t="str">
            <v>ZMO0321</v>
          </cell>
          <cell r="I148">
            <v>7.4143616987932076E-8</v>
          </cell>
        </row>
        <row r="149">
          <cell r="A149" t="str">
            <v>ZMO0582</v>
          </cell>
          <cell r="I149">
            <v>1.2382796315881773E-6</v>
          </cell>
        </row>
        <row r="150">
          <cell r="A150" t="str">
            <v>ZMO0160</v>
          </cell>
          <cell r="I150">
            <v>2.401470915240537E-7</v>
          </cell>
        </row>
        <row r="151">
          <cell r="A151" t="str">
            <v>ZMO1059</v>
          </cell>
          <cell r="I151">
            <v>3.1944706921313363E-6</v>
          </cell>
        </row>
        <row r="152">
          <cell r="A152" t="str">
            <v>ZMO0120</v>
          </cell>
          <cell r="I152">
            <v>3.4896774577794034E-6</v>
          </cell>
        </row>
        <row r="153">
          <cell r="A153" t="str">
            <v>ZMO0792</v>
          </cell>
          <cell r="I153">
            <v>2.6584730755781706E-6</v>
          </cell>
        </row>
        <row r="154">
          <cell r="A154" t="str">
            <v>ZMO1689</v>
          </cell>
          <cell r="I154">
            <v>1.3412763213522303E-6</v>
          </cell>
        </row>
        <row r="155">
          <cell r="A155" t="str">
            <v>ZMO1654</v>
          </cell>
          <cell r="I155">
            <v>4.5662627962749072E-7</v>
          </cell>
        </row>
        <row r="156">
          <cell r="A156" t="str">
            <v>ZMO1006</v>
          </cell>
          <cell r="I156">
            <v>3.3238760020677837E-7</v>
          </cell>
        </row>
        <row r="157">
          <cell r="A157" t="str">
            <v>ZMO0593</v>
          </cell>
          <cell r="I157">
            <v>3.3596219583513453E-6</v>
          </cell>
        </row>
        <row r="158">
          <cell r="A158" t="str">
            <v>ZMO0737</v>
          </cell>
          <cell r="I158">
            <v>3.2944082302533591E-7</v>
          </cell>
        </row>
        <row r="159">
          <cell r="A159" t="str">
            <v>ZMO0855</v>
          </cell>
          <cell r="I159">
            <v>3.5341562638107167E-6</v>
          </cell>
        </row>
        <row r="160">
          <cell r="A160" t="str">
            <v>ZMO1188</v>
          </cell>
          <cell r="I160">
            <v>1.1069221300232298E-6</v>
          </cell>
        </row>
        <row r="161">
          <cell r="A161" t="str">
            <v>ZMO1703</v>
          </cell>
          <cell r="I161">
            <v>4.6282003558532378E-7</v>
          </cell>
        </row>
        <row r="162">
          <cell r="A162" t="str">
            <v>ZMO1669</v>
          </cell>
          <cell r="I162">
            <v>2.8082223928871157E-7</v>
          </cell>
        </row>
        <row r="163">
          <cell r="A163" t="str">
            <v>ZMO0875</v>
          </cell>
          <cell r="I163">
            <v>6.4111390078708838E-6</v>
          </cell>
        </row>
        <row r="164">
          <cell r="A164" t="str">
            <v>ZMO0040</v>
          </cell>
          <cell r="I164">
            <v>9.0903245370685989E-8</v>
          </cell>
        </row>
        <row r="165">
          <cell r="A165" t="str">
            <v>ZMO1189</v>
          </cell>
          <cell r="I165">
            <v>1.5670273777681076E-7</v>
          </cell>
        </row>
        <row r="166">
          <cell r="A166" t="str">
            <v>ZMO0564</v>
          </cell>
          <cell r="I166">
            <v>4.9751048377248263E-7</v>
          </cell>
        </row>
        <row r="167">
          <cell r="A167" t="str">
            <v>ZMO1141</v>
          </cell>
          <cell r="I167">
            <v>1.5190136098060488E-5</v>
          </cell>
        </row>
        <row r="168">
          <cell r="A168" t="str">
            <v>ZMO1090</v>
          </cell>
          <cell r="I168">
            <v>2.9344952581331727E-7</v>
          </cell>
        </row>
        <row r="169">
          <cell r="A169" t="str">
            <v>ZMO0552</v>
          </cell>
          <cell r="I169">
            <v>1.1444528257806951E-7</v>
          </cell>
        </row>
        <row r="170">
          <cell r="A170" t="str">
            <v>ZMO1191</v>
          </cell>
          <cell r="I170">
            <v>2.6189528638484259E-6</v>
          </cell>
        </row>
        <row r="171">
          <cell r="A171" t="str">
            <v>ZMO1150</v>
          </cell>
          <cell r="I171">
            <v>2.1602835040910041E-6</v>
          </cell>
        </row>
        <row r="172">
          <cell r="A172" t="str">
            <v>ZMO1598</v>
          </cell>
          <cell r="I172">
            <v>1.0925922163058658E-6</v>
          </cell>
        </row>
        <row r="173">
          <cell r="A173" t="str">
            <v>ZMO1234</v>
          </cell>
          <cell r="I173">
            <v>5.6633996157644354E-8</v>
          </cell>
        </row>
        <row r="174">
          <cell r="A174" t="str">
            <v>ZMO0177</v>
          </cell>
          <cell r="I174">
            <v>7.9156070390605819E-5</v>
          </cell>
        </row>
        <row r="175">
          <cell r="A175" t="str">
            <v>ZMO1692</v>
          </cell>
          <cell r="I175">
            <v>7.3635817497060188E-6</v>
          </cell>
        </row>
        <row r="176">
          <cell r="A176" t="str">
            <v>ZMO0997</v>
          </cell>
          <cell r="I176">
            <v>1.8057956155876683E-5</v>
          </cell>
        </row>
        <row r="177">
          <cell r="A177" t="str">
            <v>ZMO0368</v>
          </cell>
          <cell r="I177">
            <v>1.5792017817923258E-5</v>
          </cell>
        </row>
        <row r="178">
          <cell r="A178" t="str">
            <v>ZMO1608</v>
          </cell>
          <cell r="I178">
            <v>4.0257467594208285E-5</v>
          </cell>
        </row>
        <row r="179">
          <cell r="A179" t="str">
            <v>ZMO0008</v>
          </cell>
          <cell r="I179">
            <v>2.7816900532162981E-6</v>
          </cell>
        </row>
        <row r="180">
          <cell r="A180" t="str">
            <v>ZMO0009</v>
          </cell>
          <cell r="I180">
            <v>2.6043128085451759E-6</v>
          </cell>
        </row>
        <row r="181">
          <cell r="A181" t="str">
            <v>ZMO0179</v>
          </cell>
          <cell r="I181">
            <v>9.2414432010026034E-7</v>
          </cell>
        </row>
        <row r="182">
          <cell r="A182" t="str">
            <v>ZMO0482</v>
          </cell>
          <cell r="I182">
            <v>4.3920760727616702E-7</v>
          </cell>
        </row>
        <row r="183">
          <cell r="A183" t="str">
            <v>ZMO0303</v>
          </cell>
          <cell r="I183">
            <v>1.8950975654230077E-7</v>
          </cell>
        </row>
        <row r="184">
          <cell r="A184" t="str">
            <v>ZMO1541</v>
          </cell>
          <cell r="I184">
            <v>1.635969459019999E-7</v>
          </cell>
        </row>
        <row r="185">
          <cell r="A185" t="str">
            <v>ZMO1410</v>
          </cell>
          <cell r="I185">
            <v>2.4438622094745888E-6</v>
          </cell>
        </row>
        <row r="186">
          <cell r="A186" t="str">
            <v>ZMO1586</v>
          </cell>
          <cell r="I186">
            <v>4.0471486635439901E-7</v>
          </cell>
        </row>
        <row r="187">
          <cell r="A187" t="str">
            <v>ZMO0942</v>
          </cell>
          <cell r="I187">
            <v>5.3331952719467924E-7</v>
          </cell>
        </row>
        <row r="188">
          <cell r="A188" t="str">
            <v>ZMO0375</v>
          </cell>
          <cell r="I188">
            <v>2.3481226101089707E-7</v>
          </cell>
        </row>
        <row r="189">
          <cell r="A189" t="str">
            <v>ZMO0374</v>
          </cell>
          <cell r="I189">
            <v>3.523808430888758E-7</v>
          </cell>
        </row>
        <row r="190">
          <cell r="A190" t="str">
            <v>ZMO1753</v>
          </cell>
          <cell r="I190">
            <v>7.8481334387772879E-7</v>
          </cell>
        </row>
        <row r="191">
          <cell r="A191" t="str">
            <v>ZMO1851</v>
          </cell>
          <cell r="I191">
            <v>2.6563484005104571E-8</v>
          </cell>
        </row>
        <row r="192">
          <cell r="A192" t="str">
            <v>ZMO0811</v>
          </cell>
          <cell r="I192">
            <v>6.0136557133621926E-7</v>
          </cell>
        </row>
        <row r="193">
          <cell r="A193" t="str">
            <v>ZMO0322</v>
          </cell>
          <cell r="I193">
            <v>5.8132220139973466E-7</v>
          </cell>
        </row>
        <row r="194">
          <cell r="A194" t="str">
            <v>ZMO0366</v>
          </cell>
          <cell r="I194">
            <v>5.1096638451649499E-6</v>
          </cell>
        </row>
        <row r="195">
          <cell r="A195" t="str">
            <v>ZMO0215</v>
          </cell>
          <cell r="I195">
            <v>7.0275813165660673E-7</v>
          </cell>
        </row>
        <row r="196">
          <cell r="A196" t="str">
            <v>ZMO0454</v>
          </cell>
          <cell r="I196">
            <v>7.8451207877245577E-6</v>
          </cell>
        </row>
        <row r="197">
          <cell r="A197" t="str">
            <v>ZMO1307</v>
          </cell>
          <cell r="I197">
            <v>3.1407674674977198E-7</v>
          </cell>
        </row>
        <row r="198">
          <cell r="A198" t="str">
            <v>ZMO1649</v>
          </cell>
          <cell r="I198">
            <v>4.7679377374472085E-6</v>
          </cell>
        </row>
        <row r="199">
          <cell r="A199" t="str">
            <v>ZMO0498</v>
          </cell>
          <cell r="I199">
            <v>1.3061151653553091E-6</v>
          </cell>
        </row>
        <row r="200">
          <cell r="A200" t="str">
            <v>ZMO0329</v>
          </cell>
          <cell r="I200">
            <v>3.6421241170187583E-6</v>
          </cell>
        </row>
        <row r="201">
          <cell r="A201" t="str">
            <v>ZMO1905</v>
          </cell>
          <cell r="I201">
            <v>3.3570518469232924E-7</v>
          </cell>
        </row>
        <row r="202">
          <cell r="A202" t="str">
            <v>ZMO1661</v>
          </cell>
          <cell r="I202">
            <v>1.3918591814076401E-6</v>
          </cell>
        </row>
        <row r="203">
          <cell r="A203" t="str">
            <v>ZMO0367</v>
          </cell>
          <cell r="I203">
            <v>1.6719427057256115E-5</v>
          </cell>
        </row>
        <row r="204">
          <cell r="A204" t="str">
            <v>ZMO0889</v>
          </cell>
          <cell r="I204">
            <v>5.666394266197256E-7</v>
          </cell>
        </row>
        <row r="205">
          <cell r="A205" t="str">
            <v>ZMO1767</v>
          </cell>
          <cell r="I205">
            <v>3.1540724430240253E-6</v>
          </cell>
        </row>
        <row r="206">
          <cell r="A206" t="str">
            <v>ZMO0708</v>
          </cell>
          <cell r="I206">
            <v>1.0741000798427063E-6</v>
          </cell>
        </row>
        <row r="207">
          <cell r="A207" t="str">
            <v>ZMO0086</v>
          </cell>
          <cell r="I207">
            <v>7.7459390497919643E-7</v>
          </cell>
        </row>
        <row r="208">
          <cell r="A208" t="str">
            <v>ZMO0056</v>
          </cell>
          <cell r="I208">
            <v>2.4309869157793213E-6</v>
          </cell>
        </row>
        <row r="209">
          <cell r="A209" t="str">
            <v>ZMO0689</v>
          </cell>
          <cell r="I209">
            <v>1.2844223847455377E-5</v>
          </cell>
        </row>
        <row r="210">
          <cell r="A210" t="str">
            <v>ZMO0558</v>
          </cell>
          <cell r="I210">
            <v>5.5824336515697922E-7</v>
          </cell>
        </row>
        <row r="211">
          <cell r="A211" t="str">
            <v>ZMO1756</v>
          </cell>
          <cell r="I211">
            <v>3.0563352548420802E-7</v>
          </cell>
        </row>
        <row r="212">
          <cell r="A212" t="str">
            <v>ZMO0493</v>
          </cell>
          <cell r="I212">
            <v>2.2463915428191582E-5</v>
          </cell>
        </row>
        <row r="213">
          <cell r="A213" t="str">
            <v>ZMO0206</v>
          </cell>
          <cell r="I213">
            <v>1.8390773881079866E-6</v>
          </cell>
        </row>
        <row r="214">
          <cell r="A214" t="str">
            <v>ZMO1556</v>
          </cell>
          <cell r="I214">
            <v>8.4045546374450104E-7</v>
          </cell>
        </row>
        <row r="215">
          <cell r="A215" t="str">
            <v>ZMO1557</v>
          </cell>
          <cell r="I215">
            <v>3.9030448024022638E-6</v>
          </cell>
        </row>
        <row r="216">
          <cell r="A216" t="str">
            <v>ZMO1197</v>
          </cell>
          <cell r="I216">
            <v>1.6294138286641588E-7</v>
          </cell>
        </row>
        <row r="217">
          <cell r="A217" t="str">
            <v>ZMO1116</v>
          </cell>
          <cell r="I217">
            <v>5.750959543123754E-6</v>
          </cell>
        </row>
        <row r="218">
          <cell r="A218" t="str">
            <v>ZMO1117</v>
          </cell>
          <cell r="I218">
            <v>7.6435898877251341E-6</v>
          </cell>
        </row>
        <row r="219">
          <cell r="A219" t="str">
            <v>ZMO1964</v>
          </cell>
          <cell r="I219">
            <v>3.7111594884008479E-6</v>
          </cell>
        </row>
        <row r="220">
          <cell r="A220" t="str">
            <v>ZMO0900</v>
          </cell>
          <cell r="I220">
            <v>1.2184183086844729E-6</v>
          </cell>
        </row>
        <row r="221">
          <cell r="A221" t="str">
            <v>ZMO0059</v>
          </cell>
          <cell r="I221">
            <v>1.100184525278718E-7</v>
          </cell>
        </row>
        <row r="222">
          <cell r="A222" t="str">
            <v>ZMO1883</v>
          </cell>
          <cell r="I222">
            <v>1.7533886341307142E-8</v>
          </cell>
        </row>
        <row r="223">
          <cell r="A223" t="str">
            <v>ZMO0759</v>
          </cell>
          <cell r="I223">
            <v>1.2652623730435099E-6</v>
          </cell>
        </row>
        <row r="224">
          <cell r="A224" t="str">
            <v>ZMO1444</v>
          </cell>
          <cell r="I224">
            <v>1.8076163239386443E-6</v>
          </cell>
        </row>
        <row r="225">
          <cell r="A225" t="str">
            <v>ZMO1446</v>
          </cell>
          <cell r="I225">
            <v>2.0989365401772932E-6</v>
          </cell>
        </row>
        <row r="226">
          <cell r="A226" t="str">
            <v>ZMO1267</v>
          </cell>
          <cell r="I226">
            <v>5.3321700752914127E-6</v>
          </cell>
        </row>
        <row r="227">
          <cell r="A227" t="str">
            <v>ZMO1757</v>
          </cell>
          <cell r="I227">
            <v>6.6169594866500047E-6</v>
          </cell>
        </row>
        <row r="228">
          <cell r="A228" t="str">
            <v>ZMO0573</v>
          </cell>
          <cell r="I228">
            <v>1.2067814527271026E-7</v>
          </cell>
        </row>
        <row r="229">
          <cell r="A229" t="str">
            <v>ZMO0753</v>
          </cell>
          <cell r="I229">
            <v>2.0428166476521176E-6</v>
          </cell>
        </row>
        <row r="230">
          <cell r="A230" t="str">
            <v>ZMO1873</v>
          </cell>
          <cell r="I230">
            <v>1.7620374192042719E-6</v>
          </cell>
        </row>
        <row r="231">
          <cell r="A231" t="str">
            <v>ZMO1211</v>
          </cell>
          <cell r="I231">
            <v>5.4159482424648786E-7</v>
          </cell>
        </row>
        <row r="232">
          <cell r="A232" t="str">
            <v>ZMO1388</v>
          </cell>
          <cell r="I232">
            <v>1.4427644035912579E-6</v>
          </cell>
        </row>
        <row r="233">
          <cell r="A233" t="str">
            <v>ZMO1913</v>
          </cell>
          <cell r="I233">
            <v>3.0475409712910652E-6</v>
          </cell>
        </row>
        <row r="234">
          <cell r="A234" t="str">
            <v>ZMO1229</v>
          </cell>
          <cell r="I234">
            <v>1.1074455204211775E-6</v>
          </cell>
        </row>
        <row r="235">
          <cell r="A235" t="str">
            <v>ZMO1698</v>
          </cell>
          <cell r="I235">
            <v>4.7120454451029797E-7</v>
          </cell>
        </row>
        <row r="236">
          <cell r="A236" t="str">
            <v>ZMO0939</v>
          </cell>
          <cell r="I236">
            <v>1.0337144377666255E-7</v>
          </cell>
        </row>
        <row r="237">
          <cell r="A237" t="str">
            <v>ZMO0656</v>
          </cell>
          <cell r="I237">
            <v>2.2928363842398562E-6</v>
          </cell>
        </row>
        <row r="238">
          <cell r="A238" t="str">
            <v>ZMO1419</v>
          </cell>
          <cell r="I238">
            <v>1.9413246696393953E-8</v>
          </cell>
        </row>
        <row r="239">
          <cell r="A239" t="str">
            <v>ZMO1835</v>
          </cell>
          <cell r="I239">
            <v>1.4318531039932789E-8</v>
          </cell>
        </row>
        <row r="240">
          <cell r="A240" t="str">
            <v>ZMO1133</v>
          </cell>
          <cell r="I240">
            <v>3.9513391000431645E-6</v>
          </cell>
        </row>
        <row r="241">
          <cell r="A241" t="str">
            <v>ZMO0369</v>
          </cell>
          <cell r="I241">
            <v>9.060378599180399E-6</v>
          </cell>
        </row>
        <row r="242">
          <cell r="A242" t="str">
            <v>ZMO1719</v>
          </cell>
          <cell r="I242">
            <v>1.0848179868502176E-5</v>
          </cell>
        </row>
        <row r="243">
          <cell r="A243" t="str">
            <v>ZMO1551</v>
          </cell>
          <cell r="I243">
            <v>6.2454926547982553E-6</v>
          </cell>
        </row>
        <row r="244">
          <cell r="A244" t="str">
            <v>ZMO1518</v>
          </cell>
          <cell r="I244">
            <v>1.2754649266380051E-6</v>
          </cell>
        </row>
        <row r="245">
          <cell r="A245" t="str">
            <v>ZMO1508</v>
          </cell>
          <cell r="I245">
            <v>1.5219724977836085E-6</v>
          </cell>
        </row>
        <row r="246">
          <cell r="A246" t="str">
            <v>ZMO1903</v>
          </cell>
          <cell r="I246">
            <v>1.7014777493420375E-7</v>
          </cell>
        </row>
        <row r="247">
          <cell r="A247" t="str">
            <v>ZMO1003</v>
          </cell>
          <cell r="I247">
            <v>1.4084817001503071E-6</v>
          </cell>
        </row>
        <row r="248">
          <cell r="A248" t="str">
            <v>ZMO1647</v>
          </cell>
          <cell r="I248">
            <v>2.5559812816952744E-8</v>
          </cell>
        </row>
        <row r="249">
          <cell r="A249" t="str">
            <v>ZMO0483</v>
          </cell>
          <cell r="I249">
            <v>3.6173567128231339E-6</v>
          </cell>
        </row>
        <row r="250">
          <cell r="A250" t="str">
            <v>ZMO0225</v>
          </cell>
          <cell r="I250">
            <v>3.8289818634612832E-7</v>
          </cell>
        </row>
        <row r="251">
          <cell r="A251" t="str">
            <v>ZMO1600</v>
          </cell>
          <cell r="I251">
            <v>1.4358800250775888E-6</v>
          </cell>
        </row>
        <row r="252">
          <cell r="A252" t="str">
            <v>ZMO0421</v>
          </cell>
          <cell r="I252">
            <v>3.2285877674613137E-6</v>
          </cell>
        </row>
        <row r="253">
          <cell r="A253" t="str">
            <v>ZMO0544</v>
          </cell>
          <cell r="I253">
            <v>2.4482109717803412E-6</v>
          </cell>
        </row>
        <row r="254">
          <cell r="A254" t="str">
            <v>ZMO0758</v>
          </cell>
          <cell r="I254">
            <v>5.6111413232346307E-7</v>
          </cell>
        </row>
        <row r="255">
          <cell r="A255" t="str">
            <v>ZMO1887</v>
          </cell>
          <cell r="I255">
            <v>3.6342806590237897E-7</v>
          </cell>
        </row>
        <row r="256">
          <cell r="A256" t="str">
            <v>ZMO1834</v>
          </cell>
          <cell r="I256">
            <v>7.9264338972500506E-8</v>
          </cell>
        </row>
        <row r="257">
          <cell r="A257" t="str">
            <v>ZMO1500</v>
          </cell>
          <cell r="I257">
            <v>7.9107456218292373E-7</v>
          </cell>
        </row>
        <row r="258">
          <cell r="A258" t="str">
            <v>ZMO1502</v>
          </cell>
          <cell r="I258">
            <v>2.6168850158165557E-6</v>
          </cell>
        </row>
        <row r="259">
          <cell r="A259" t="str">
            <v>ZMO1503</v>
          </cell>
          <cell r="I259">
            <v>6.0347848404179907E-7</v>
          </cell>
        </row>
        <row r="260">
          <cell r="A260" t="str">
            <v>ZMO0545</v>
          </cell>
          <cell r="I260">
            <v>2.6165125370782436E-7</v>
          </cell>
        </row>
        <row r="261">
          <cell r="A261" t="str">
            <v>ZMO0913</v>
          </cell>
          <cell r="I261">
            <v>5.6812299202984487E-6</v>
          </cell>
        </row>
        <row r="262">
          <cell r="A262" t="str">
            <v>ZMO0323</v>
          </cell>
          <cell r="I262">
            <v>1.8274858358135477E-6</v>
          </cell>
        </row>
        <row r="263">
          <cell r="A263" t="str">
            <v>ZMO1321</v>
          </cell>
          <cell r="I263">
            <v>9.3695315889815973E-6</v>
          </cell>
        </row>
        <row r="264">
          <cell r="A264" t="str">
            <v>ZMO0677</v>
          </cell>
          <cell r="I264">
            <v>4.4222949780413125E-6</v>
          </cell>
        </row>
        <row r="265">
          <cell r="A265" t="str">
            <v>ZMO0105</v>
          </cell>
          <cell r="I265">
            <v>2.0750215124103982E-6</v>
          </cell>
        </row>
        <row r="266">
          <cell r="A266" t="str">
            <v>ZMO0106</v>
          </cell>
          <cell r="I266">
            <v>2.3201060671489665E-6</v>
          </cell>
        </row>
        <row r="267">
          <cell r="A267" t="str">
            <v>ZMO0903</v>
          </cell>
          <cell r="I267">
            <v>1.8576705863055822E-6</v>
          </cell>
        </row>
        <row r="268">
          <cell r="A268" t="str">
            <v>ZMO0276</v>
          </cell>
          <cell r="I268">
            <v>3.620003263286121E-7</v>
          </cell>
        </row>
        <row r="269">
          <cell r="A269" t="str">
            <v>ZMO0275</v>
          </cell>
          <cell r="I269">
            <v>5.7732113939455418E-7</v>
          </cell>
        </row>
        <row r="270">
          <cell r="A270" t="str">
            <v>ZMO0277</v>
          </cell>
          <cell r="I270">
            <v>5.6314451269351447E-8</v>
          </cell>
        </row>
        <row r="271">
          <cell r="A271" t="str">
            <v>ZMO1393</v>
          </cell>
          <cell r="I271">
            <v>1.0102251541423781E-7</v>
          </cell>
        </row>
        <row r="272">
          <cell r="A272" t="str">
            <v>ZMO1394</v>
          </cell>
          <cell r="I272">
            <v>1.4318680968190302E-7</v>
          </cell>
        </row>
        <row r="273">
          <cell r="A273" t="str">
            <v>ZMO1489</v>
          </cell>
          <cell r="I273">
            <v>1.2323610624541645E-6</v>
          </cell>
        </row>
        <row r="274">
          <cell r="A274" t="str">
            <v>ZMO1488</v>
          </cell>
          <cell r="I274">
            <v>6.8527015341940073E-6</v>
          </cell>
        </row>
        <row r="275">
          <cell r="A275" t="str">
            <v>ZMO1209</v>
          </cell>
          <cell r="I275">
            <v>7.0475088383797312E-7</v>
          </cell>
        </row>
        <row r="276">
          <cell r="A276" t="str">
            <v>ZMO0904</v>
          </cell>
          <cell r="I276">
            <v>1.1339996593688066E-7</v>
          </cell>
        </row>
        <row r="277">
          <cell r="A277" t="str">
            <v>ZMO1001</v>
          </cell>
          <cell r="I277">
            <v>9.7656123238071167E-9</v>
          </cell>
        </row>
        <row r="278">
          <cell r="A278" t="str">
            <v>ZMO0256</v>
          </cell>
          <cell r="I278">
            <v>6.4931357602220305E-7</v>
          </cell>
        </row>
        <row r="279">
          <cell r="A279" t="str">
            <v>ZMO1237</v>
          </cell>
          <cell r="I279">
            <v>3.7020737685907579E-6</v>
          </cell>
        </row>
        <row r="280">
          <cell r="A280" t="str">
            <v>ZMO1435</v>
          </cell>
          <cell r="I280">
            <v>2.9254602725005182E-6</v>
          </cell>
        </row>
        <row r="281">
          <cell r="A281" t="str">
            <v>ZMO0030</v>
          </cell>
          <cell r="I281">
            <v>4.394504035984776E-7</v>
          </cell>
        </row>
        <row r="282">
          <cell r="A282" t="str">
            <v>ZMO0760</v>
          </cell>
          <cell r="I282">
            <v>1.469933909696001E-6</v>
          </cell>
        </row>
        <row r="283">
          <cell r="A283" t="str">
            <v>ZMO1721</v>
          </cell>
          <cell r="I283">
            <v>7.2467156132551003E-6</v>
          </cell>
        </row>
        <row r="284">
          <cell r="A284" t="str">
            <v>ZMO1302</v>
          </cell>
          <cell r="I284">
            <v>2.2824612809048626E-7</v>
          </cell>
        </row>
        <row r="285">
          <cell r="A285" t="str">
            <v>ZMO1132</v>
          </cell>
          <cell r="I285">
            <v>6.8861546969617771E-7</v>
          </cell>
        </row>
        <row r="286">
          <cell r="A286" t="str">
            <v>ZMO0890</v>
          </cell>
          <cell r="I286">
            <v>2.2019742802260656E-6</v>
          </cell>
        </row>
        <row r="287">
          <cell r="A287" t="str">
            <v>ZMO1806</v>
          </cell>
          <cell r="I287">
            <v>2.1293955107627628E-7</v>
          </cell>
        </row>
        <row r="288">
          <cell r="A288" t="str">
            <v>ZMO1233</v>
          </cell>
          <cell r="I288">
            <v>6.5519772016922943E-7</v>
          </cell>
        </row>
        <row r="289">
          <cell r="A289" t="str">
            <v>ZMO1223</v>
          </cell>
          <cell r="I289">
            <v>6.9759807255178176E-6</v>
          </cell>
        </row>
        <row r="290">
          <cell r="A290" t="str">
            <v>ZMO1460</v>
          </cell>
          <cell r="I290">
            <v>1.511486143491957E-6</v>
          </cell>
        </row>
        <row r="291">
          <cell r="A291" t="str">
            <v>ZMO1955</v>
          </cell>
          <cell r="I291">
            <v>2.4629264018849234E-6</v>
          </cell>
        </row>
        <row r="292">
          <cell r="A292" t="str">
            <v>ZMO0180</v>
          </cell>
          <cell r="I292">
            <v>4.7077407255037966E-6</v>
          </cell>
        </row>
        <row r="293">
          <cell r="A293" t="str">
            <v>ZMO1128</v>
          </cell>
          <cell r="I293">
            <v>2.0395611449455005E-6</v>
          </cell>
        </row>
        <row r="294">
          <cell r="A294" t="str">
            <v>ZMO0353</v>
          </cell>
          <cell r="I294">
            <v>7.8968360573054936E-7</v>
          </cell>
        </row>
        <row r="295">
          <cell r="A295" t="str">
            <v>ZMO0273</v>
          </cell>
          <cell r="I295">
            <v>1.088726686225942E-5</v>
          </cell>
        </row>
        <row r="296">
          <cell r="A296" t="str">
            <v>ZMO0676</v>
          </cell>
          <cell r="I296">
            <v>4.4785493702056932E-6</v>
          </cell>
        </row>
        <row r="297">
          <cell r="A297" t="str">
            <v>ZMO1745</v>
          </cell>
          <cell r="I297">
            <v>2.5098789031148712E-7</v>
          </cell>
        </row>
        <row r="298">
          <cell r="A298" t="str">
            <v>ZMO1000</v>
          </cell>
          <cell r="I298">
            <v>1.4529116860489345E-5</v>
          </cell>
        </row>
        <row r="299">
          <cell r="A299" t="str">
            <v>ZMO0998</v>
          </cell>
          <cell r="I299">
            <v>1.4165328635745937E-6</v>
          </cell>
        </row>
        <row r="300">
          <cell r="A300" t="str">
            <v>ZMO1097</v>
          </cell>
          <cell r="I300">
            <v>1.2687149639212216E-6</v>
          </cell>
        </row>
        <row r="301">
          <cell r="A301" t="str">
            <v>ZMO1092</v>
          </cell>
          <cell r="I301">
            <v>1.7983513586312667E-6</v>
          </cell>
        </row>
        <row r="302">
          <cell r="A302" t="str">
            <v>ZMO0770</v>
          </cell>
          <cell r="I302">
            <v>1.0975231849028349E-7</v>
          </cell>
        </row>
        <row r="303">
          <cell r="A303" t="str">
            <v>ZMO1449</v>
          </cell>
          <cell r="I303">
            <v>1.2507788429173314E-7</v>
          </cell>
        </row>
        <row r="304">
          <cell r="A304" t="str">
            <v>ZMO1952</v>
          </cell>
          <cell r="I304">
            <v>1.2584810818955604E-8</v>
          </cell>
        </row>
        <row r="305">
          <cell r="A305" t="str">
            <v>ZMO1970</v>
          </cell>
          <cell r="I305">
            <v>4.8713073229122375E-7</v>
          </cell>
        </row>
        <row r="306">
          <cell r="A306" t="str">
            <v>ZMO0914</v>
          </cell>
          <cell r="I306">
            <v>3.6908748036569404E-6</v>
          </cell>
        </row>
        <row r="307">
          <cell r="A307" t="str">
            <v>ZMO1747</v>
          </cell>
          <cell r="I307">
            <v>5.3912751962493724E-7</v>
          </cell>
        </row>
        <row r="308">
          <cell r="A308" t="str">
            <v>ZMO0364</v>
          </cell>
          <cell r="I308">
            <v>3.0996048714148237E-7</v>
          </cell>
        </row>
        <row r="309">
          <cell r="A309" t="str">
            <v>ZMO1113</v>
          </cell>
          <cell r="I309">
            <v>3.8925428964093238E-6</v>
          </cell>
        </row>
        <row r="310">
          <cell r="A310" t="str">
            <v>ZMO1329</v>
          </cell>
          <cell r="I310">
            <v>6.6013124701164077E-7</v>
          </cell>
        </row>
        <row r="311">
          <cell r="A311" t="str">
            <v>ZMO0899</v>
          </cell>
          <cell r="I311">
            <v>4.5314036296708286E-7</v>
          </cell>
        </row>
        <row r="312">
          <cell r="A312" t="str">
            <v>ZMO1181</v>
          </cell>
          <cell r="I312">
            <v>2.9937692002526475E-8</v>
          </cell>
        </row>
        <row r="313">
          <cell r="A313" t="str">
            <v>ZMO1395</v>
          </cell>
          <cell r="I313">
            <v>4.2585000139832924E-8</v>
          </cell>
        </row>
        <row r="314">
          <cell r="A314" t="str">
            <v>ZMO0346</v>
          </cell>
          <cell r="I314">
            <v>1.0091031852056567E-6</v>
          </cell>
        </row>
        <row r="315">
          <cell r="A315" t="str">
            <v>ZMO1823</v>
          </cell>
          <cell r="I315">
            <v>1.7246854161983497E-6</v>
          </cell>
        </row>
        <row r="316">
          <cell r="A316" t="str">
            <v>ZMO1824</v>
          </cell>
          <cell r="I316">
            <v>9.0792521375842949E-7</v>
          </cell>
        </row>
        <row r="317">
          <cell r="A317" t="str">
            <v>ZMO1825</v>
          </cell>
          <cell r="I317">
            <v>9.1143155129098511E-7</v>
          </cell>
        </row>
        <row r="318">
          <cell r="A318" t="str">
            <v>ZMO1662</v>
          </cell>
          <cell r="I318">
            <v>5.5970609841958389E-8</v>
          </cell>
        </row>
        <row r="319">
          <cell r="A319" t="str">
            <v>ZMO1564</v>
          </cell>
          <cell r="I319">
            <v>3.4454619990210434E-8</v>
          </cell>
        </row>
        <row r="320">
          <cell r="A320" t="str">
            <v>ZMO1870</v>
          </cell>
          <cell r="I320">
            <v>7.4701870041194799E-7</v>
          </cell>
        </row>
        <row r="321">
          <cell r="A321" t="str">
            <v>ZMO0985</v>
          </cell>
          <cell r="I321">
            <v>1.6813173188275483E-6</v>
          </cell>
        </row>
        <row r="322">
          <cell r="A322" t="str">
            <v>ZMO0061</v>
          </cell>
          <cell r="I322">
            <v>4.5746577144516049E-7</v>
          </cell>
        </row>
        <row r="323">
          <cell r="A323" t="str">
            <v>ZMO1095</v>
          </cell>
          <cell r="I323">
            <v>4.2049491835546683E-7</v>
          </cell>
        </row>
        <row r="324">
          <cell r="A324" t="str">
            <v>ZMO0013</v>
          </cell>
          <cell r="I324">
            <v>2.5246838744637594E-7</v>
          </cell>
        </row>
        <row r="325">
          <cell r="A325" t="str">
            <v>ZMO1485</v>
          </cell>
          <cell r="I325">
            <v>1.5226903791393746E-7</v>
          </cell>
        </row>
        <row r="326">
          <cell r="A326" t="str">
            <v>ZMO0842</v>
          </cell>
          <cell r="I326">
            <v>2.6106892226966988E-7</v>
          </cell>
        </row>
        <row r="327">
          <cell r="A327" t="str">
            <v>ZMO1207</v>
          </cell>
          <cell r="I327">
            <v>4.3254910100614026E-7</v>
          </cell>
        </row>
        <row r="328">
          <cell r="A328" t="str">
            <v>ZMO1439</v>
          </cell>
          <cell r="I328">
            <v>4.3911346404938682E-7</v>
          </cell>
        </row>
        <row r="329">
          <cell r="A329" t="str">
            <v>ZMO1569</v>
          </cell>
          <cell r="I329">
            <v>1.3347332758494607E-7</v>
          </cell>
        </row>
        <row r="330">
          <cell r="A330" t="str">
            <v>ZMO1570</v>
          </cell>
          <cell r="I330">
            <v>1.7634734346308122E-6</v>
          </cell>
        </row>
        <row r="331">
          <cell r="A331" t="str">
            <v>ZMO0409</v>
          </cell>
          <cell r="I331">
            <v>4.0827959409078239E-6</v>
          </cell>
        </row>
        <row r="332">
          <cell r="A332" t="str">
            <v>ZMO1684</v>
          </cell>
          <cell r="I332">
            <v>5.1304749991924458E-6</v>
          </cell>
        </row>
        <row r="333">
          <cell r="A333" t="str">
            <v>ZMO0587</v>
          </cell>
          <cell r="I333">
            <v>3.9970201938199718E-6</v>
          </cell>
        </row>
        <row r="334">
          <cell r="A334" t="str">
            <v>ZMO1975</v>
          </cell>
          <cell r="I334">
            <v>9.8097771655556E-8</v>
          </cell>
        </row>
        <row r="335">
          <cell r="A335" t="str">
            <v>ZMO1020</v>
          </cell>
          <cell r="I335">
            <v>1.3554402832737255E-7</v>
          </cell>
        </row>
        <row r="336">
          <cell r="A336" t="str">
            <v>ZMO1707</v>
          </cell>
          <cell r="I336">
            <v>3.2374362931801105E-6</v>
          </cell>
        </row>
        <row r="337">
          <cell r="A337" t="str">
            <v>ZMO0311</v>
          </cell>
          <cell r="I337">
            <v>5.1943680959761951E-7</v>
          </cell>
        </row>
        <row r="338">
          <cell r="A338" t="str">
            <v>ZMO1303</v>
          </cell>
          <cell r="I338">
            <v>1.6015117094910769E-6</v>
          </cell>
        </row>
        <row r="339">
          <cell r="A339" t="str">
            <v>ZMO0828</v>
          </cell>
          <cell r="I339">
            <v>2.4261426119012604E-8</v>
          </cell>
        </row>
        <row r="340">
          <cell r="A340" t="str">
            <v>ZMO0007</v>
          </cell>
          <cell r="I340">
            <v>1.1768505926926386E-6</v>
          </cell>
        </row>
        <row r="341">
          <cell r="A341" t="str">
            <v>ZMO1605</v>
          </cell>
          <cell r="I341">
            <v>2.8201352936919051E-6</v>
          </cell>
        </row>
        <row r="342">
          <cell r="A342" t="str">
            <v>ZMO1606</v>
          </cell>
          <cell r="I342">
            <v>2.9701193179080297E-6</v>
          </cell>
        </row>
        <row r="343">
          <cell r="A343" t="str">
            <v>ZMO0510</v>
          </cell>
          <cell r="I343">
            <v>2.2978080708079099E-6</v>
          </cell>
        </row>
        <row r="344">
          <cell r="A344" t="str">
            <v>ZMO0512</v>
          </cell>
          <cell r="I344">
            <v>3.0746609565521365E-6</v>
          </cell>
        </row>
        <row r="345">
          <cell r="A345" t="str">
            <v>ZMO0851</v>
          </cell>
          <cell r="I345">
            <v>3.5564084359083617E-6</v>
          </cell>
        </row>
        <row r="346">
          <cell r="A346" t="str">
            <v>ZMO1313</v>
          </cell>
          <cell r="I346">
            <v>1.1542374310919463E-6</v>
          </cell>
        </row>
        <row r="347">
          <cell r="A347" t="str">
            <v>ZMO1708</v>
          </cell>
          <cell r="I347">
            <v>2.9183942825860215E-6</v>
          </cell>
        </row>
        <row r="348">
          <cell r="A348" t="str">
            <v>ZMO0197</v>
          </cell>
          <cell r="I348">
            <v>7.8180082699884196E-8</v>
          </cell>
        </row>
        <row r="349">
          <cell r="A349" t="str">
            <v>ZMO0359</v>
          </cell>
          <cell r="I349">
            <v>6.5323395519760393E-8</v>
          </cell>
        </row>
        <row r="350">
          <cell r="A350" t="str">
            <v>ZMO0719</v>
          </cell>
          <cell r="I350">
            <v>3.442934015981514E-7</v>
          </cell>
        </row>
        <row r="351">
          <cell r="A351" t="str">
            <v>ZMO0825</v>
          </cell>
          <cell r="I351">
            <v>1.8709037970251927E-7</v>
          </cell>
        </row>
        <row r="352">
          <cell r="A352" t="str">
            <v>ZMO1089</v>
          </cell>
          <cell r="I352">
            <v>2.5773710789553858E-6</v>
          </cell>
        </row>
        <row r="353">
          <cell r="A353" t="str">
            <v>ZMO1639</v>
          </cell>
          <cell r="I353">
            <v>1.9598925570842686E-8</v>
          </cell>
        </row>
        <row r="354">
          <cell r="A354" t="str">
            <v>ZMO1002</v>
          </cell>
          <cell r="I354">
            <v>9.0859259086160031E-7</v>
          </cell>
        </row>
        <row r="355">
          <cell r="A355" t="str">
            <v>ZMO1685</v>
          </cell>
          <cell r="I355">
            <v>5.7710670466091859E-6</v>
          </cell>
        </row>
        <row r="356">
          <cell r="A356" t="str">
            <v>ZMO1212</v>
          </cell>
          <cell r="I356">
            <v>5.1533344965934008E-6</v>
          </cell>
        </row>
        <row r="357">
          <cell r="A357" t="str">
            <v>ZMO0178</v>
          </cell>
          <cell r="I357">
            <v>2.24889474130035E-5</v>
          </cell>
        </row>
        <row r="358">
          <cell r="A358" t="str">
            <v>ZMO1478</v>
          </cell>
          <cell r="I358">
            <v>2.7580948198066827E-6</v>
          </cell>
        </row>
        <row r="359">
          <cell r="A359" t="str">
            <v>ZMO0497</v>
          </cell>
          <cell r="I359">
            <v>3.4863817655560351E-7</v>
          </cell>
        </row>
        <row r="360">
          <cell r="A360" t="str">
            <v>ZMO1805</v>
          </cell>
          <cell r="I360">
            <v>6.2490796605512081E-7</v>
          </cell>
        </row>
        <row r="361">
          <cell r="A361" t="str">
            <v>ZMO1240</v>
          </cell>
          <cell r="I361">
            <v>2.4575937692715011E-5</v>
          </cell>
        </row>
        <row r="362">
          <cell r="A362" t="str">
            <v>ZMO0442</v>
          </cell>
          <cell r="I362">
            <v>2.1480835420435083E-6</v>
          </cell>
        </row>
        <row r="363">
          <cell r="A363" t="str">
            <v>ZMO1513</v>
          </cell>
          <cell r="I363">
            <v>3.0220371367495865E-6</v>
          </cell>
        </row>
        <row r="364">
          <cell r="A364" t="str">
            <v>ZMO1514</v>
          </cell>
          <cell r="I364">
            <v>2.0301856238367361E-6</v>
          </cell>
        </row>
        <row r="365">
          <cell r="A365" t="str">
            <v>ZMO1047</v>
          </cell>
          <cell r="I365">
            <v>5.9306951104240896E-7</v>
          </cell>
        </row>
        <row r="366">
          <cell r="A366" t="str">
            <v>ZMO1048</v>
          </cell>
          <cell r="I366">
            <v>3.0877864742056445E-8</v>
          </cell>
        </row>
        <row r="367">
          <cell r="A367" t="str">
            <v>ZMO1049</v>
          </cell>
          <cell r="I367">
            <v>3.2573230148141306E-7</v>
          </cell>
        </row>
        <row r="368">
          <cell r="A368" t="str">
            <v>ZMO1050</v>
          </cell>
          <cell r="I368">
            <v>1.5385749847120623E-6</v>
          </cell>
        </row>
        <row r="369">
          <cell r="A369" t="str">
            <v>ZMO0339</v>
          </cell>
          <cell r="I369">
            <v>3.9271568505387276E-6</v>
          </cell>
        </row>
        <row r="370">
          <cell r="A370" t="str">
            <v>ZMO1916</v>
          </cell>
          <cell r="I370">
            <v>6.5846990831791275E-8</v>
          </cell>
        </row>
        <row r="371">
          <cell r="A371" t="str">
            <v>ZMO1867</v>
          </cell>
          <cell r="I371">
            <v>2.2296425672589362E-7</v>
          </cell>
        </row>
        <row r="372">
          <cell r="A372" t="str">
            <v>ZMO1507</v>
          </cell>
          <cell r="I372">
            <v>2.6213103971533415E-6</v>
          </cell>
        </row>
        <row r="373">
          <cell r="A373" t="str">
            <v>ZMO0403</v>
          </cell>
          <cell r="I373">
            <v>9.6028291044073574E-8</v>
          </cell>
        </row>
        <row r="374">
          <cell r="A374" t="str">
            <v>ZMO1879</v>
          </cell>
          <cell r="I374">
            <v>3.6364330483095919E-6</v>
          </cell>
        </row>
        <row r="375">
          <cell r="A375" t="str">
            <v>ZMO1496</v>
          </cell>
          <cell r="I375">
            <v>1.5925774839128605E-6</v>
          </cell>
        </row>
        <row r="376">
          <cell r="A376" t="str">
            <v>ZMO1190</v>
          </cell>
          <cell r="I376">
            <v>7.8661666681882009E-7</v>
          </cell>
        </row>
        <row r="377">
          <cell r="A377" t="str">
            <v>ZMO0712</v>
          </cell>
          <cell r="I377">
            <v>1.1980644132329455E-6</v>
          </cell>
        </row>
        <row r="378">
          <cell r="A378" t="str">
            <v>ZMO0420</v>
          </cell>
          <cell r="I378">
            <v>5.3072150874421495E-7</v>
          </cell>
        </row>
        <row r="379">
          <cell r="A379" t="str">
            <v>ZMO1678</v>
          </cell>
          <cell r="I379">
            <v>5.9521784917497253E-7</v>
          </cell>
        </row>
        <row r="380">
          <cell r="A380" t="str">
            <v>ZMO0299</v>
          </cell>
          <cell r="I380">
            <v>1.3805952410388669E-6</v>
          </cell>
        </row>
        <row r="381">
          <cell r="A381" t="str">
            <v>ZMO0586</v>
          </cell>
          <cell r="I381">
            <v>1.0148647466108472E-6</v>
          </cell>
        </row>
        <row r="382">
          <cell r="A382" t="str">
            <v>ZMO0709</v>
          </cell>
          <cell r="I382">
            <v>2.7999981883209205E-6</v>
          </cell>
        </row>
        <row r="383">
          <cell r="A383" t="str">
            <v>ZMO1178</v>
          </cell>
          <cell r="I383">
            <v>6.2282690846064286E-7</v>
          </cell>
        </row>
        <row r="384">
          <cell r="A384" t="str">
            <v>ZMO1052</v>
          </cell>
          <cell r="I384">
            <v>6.0876815176999575E-6</v>
          </cell>
        </row>
        <row r="385">
          <cell r="A385" t="str">
            <v>ZMO1499</v>
          </cell>
          <cell r="I385">
            <v>2.8099890945271301E-7</v>
          </cell>
        </row>
        <row r="386">
          <cell r="A386" t="str">
            <v>ZMO1531</v>
          </cell>
          <cell r="I386">
            <v>1.4682104804041508E-6</v>
          </cell>
        </row>
        <row r="387">
          <cell r="A387" t="str">
            <v>ZMO1532</v>
          </cell>
          <cell r="I387">
            <v>2.3330389769972664E-6</v>
          </cell>
        </row>
        <row r="388">
          <cell r="A388" t="str">
            <v>ZMO0820</v>
          </cell>
          <cell r="I388">
            <v>2.0494160354595815E-6</v>
          </cell>
        </row>
        <row r="389">
          <cell r="A389" t="str">
            <v>ZMO1501</v>
          </cell>
          <cell r="I389">
            <v>1.0695756782030302E-6</v>
          </cell>
        </row>
        <row r="390">
          <cell r="A390" t="str">
            <v>ZMO0460</v>
          </cell>
          <cell r="I390">
            <v>5.6561622702163567E-6</v>
          </cell>
        </row>
        <row r="391">
          <cell r="A391" t="str">
            <v>ZMO0765</v>
          </cell>
          <cell r="I391">
            <v>3.3499799672169857E-6</v>
          </cell>
        </row>
        <row r="392">
          <cell r="A392" t="str">
            <v>ZMO0986</v>
          </cell>
          <cell r="I392">
            <v>2.0015962962187972E-6</v>
          </cell>
        </row>
        <row r="393">
          <cell r="A393" t="str">
            <v>ZMO1640</v>
          </cell>
          <cell r="I393">
            <v>2.6969080518676214E-6</v>
          </cell>
        </row>
        <row r="394">
          <cell r="A394" t="str">
            <v>ZMO1643</v>
          </cell>
          <cell r="I394">
            <v>7.5672469350431801E-7</v>
          </cell>
        </row>
        <row r="395">
          <cell r="A395" t="str">
            <v>ZMO1878</v>
          </cell>
          <cell r="I395">
            <v>1.469301385905004E-6</v>
          </cell>
        </row>
        <row r="396">
          <cell r="A396" t="str">
            <v>ZMO1519</v>
          </cell>
          <cell r="I396">
            <v>6.1024601898673422E-6</v>
          </cell>
        </row>
        <row r="397">
          <cell r="A397" t="str">
            <v>ZMO1796</v>
          </cell>
          <cell r="I397">
            <v>1.6217178599381878E-6</v>
          </cell>
        </row>
        <row r="398">
          <cell r="A398" t="str">
            <v>ZMO1160</v>
          </cell>
          <cell r="I398">
            <v>6.9344627403364303E-7</v>
          </cell>
        </row>
        <row r="399">
          <cell r="A399" t="str">
            <v>ZMO1137</v>
          </cell>
          <cell r="I399">
            <v>9.9101181913071052E-6</v>
          </cell>
        </row>
        <row r="400">
          <cell r="A400" t="str">
            <v>ZMO1159</v>
          </cell>
          <cell r="I400">
            <v>4.6913368296006744E-8</v>
          </cell>
        </row>
        <row r="401">
          <cell r="A401" t="str">
            <v>ZMO0854</v>
          </cell>
          <cell r="I401">
            <v>1.4214755807163185E-7</v>
          </cell>
        </row>
        <row r="402">
          <cell r="A402" t="str">
            <v>ZMO0152</v>
          </cell>
          <cell r="I402">
            <v>5.3567361741088538E-5</v>
          </cell>
        </row>
        <row r="403">
          <cell r="A403" t="str">
            <v>ZMO1360</v>
          </cell>
          <cell r="I403">
            <v>6.9470098460584952E-5</v>
          </cell>
        </row>
        <row r="404">
          <cell r="A404" t="str">
            <v>ZMO1871</v>
          </cell>
          <cell r="I404">
            <v>1.3629945905158024E-6</v>
          </cell>
        </row>
        <row r="405">
          <cell r="A405" t="str">
            <v>ZMO0473</v>
          </cell>
          <cell r="I405">
            <v>1.6320971831675455E-6</v>
          </cell>
        </row>
        <row r="406">
          <cell r="A406" t="str">
            <v>ZMO0475</v>
          </cell>
          <cell r="I406">
            <v>4.8107938321525509E-6</v>
          </cell>
        </row>
        <row r="407">
          <cell r="A407" t="str">
            <v>ZMO0443</v>
          </cell>
          <cell r="I407">
            <v>1.5738830895993832E-6</v>
          </cell>
        </row>
        <row r="408">
          <cell r="A408" t="str">
            <v>ZMO1039</v>
          </cell>
          <cell r="I408">
            <v>2.0799620675779887E-6</v>
          </cell>
        </row>
        <row r="409">
          <cell r="A409" t="str">
            <v>ZMO1025</v>
          </cell>
          <cell r="I409">
            <v>1.3037107671079837E-6</v>
          </cell>
        </row>
        <row r="410">
          <cell r="A410" t="str">
            <v>ZMO0018</v>
          </cell>
          <cell r="I410">
            <v>9.6196394937637097E-6</v>
          </cell>
        </row>
        <row r="411">
          <cell r="A411" t="str">
            <v>ZMO1067</v>
          </cell>
          <cell r="I411">
            <v>6.5653323141863019E-7</v>
          </cell>
        </row>
        <row r="412">
          <cell r="A412" t="str">
            <v>ZMO0427</v>
          </cell>
          <cell r="I412">
            <v>1.7326069330206144E-6</v>
          </cell>
        </row>
        <row r="413">
          <cell r="A413" t="str">
            <v>ZMO0423</v>
          </cell>
          <cell r="I413">
            <v>5.1878315918234853E-7</v>
          </cell>
        </row>
        <row r="414">
          <cell r="A414" t="str">
            <v>ZMO0425</v>
          </cell>
          <cell r="I414">
            <v>1.3720607791303367E-6</v>
          </cell>
        </row>
        <row r="415">
          <cell r="A415" t="str">
            <v>ZMO0426</v>
          </cell>
          <cell r="I415">
            <v>8.2504146283051241E-7</v>
          </cell>
        </row>
        <row r="416">
          <cell r="A416" t="str">
            <v>ZMO0422</v>
          </cell>
          <cell r="I416">
            <v>1.5645042841736591E-8</v>
          </cell>
        </row>
        <row r="417">
          <cell r="A417" t="str">
            <v>ZMO0429</v>
          </cell>
          <cell r="I417">
            <v>4.5922253103379479E-7</v>
          </cell>
        </row>
        <row r="418">
          <cell r="A418" t="str">
            <v>ZMO1172</v>
          </cell>
          <cell r="I418">
            <v>1.556131816332495E-6</v>
          </cell>
        </row>
        <row r="419">
          <cell r="A419" t="str">
            <v>ZMO0004</v>
          </cell>
          <cell r="I419">
            <v>1.6398048983129191E-6</v>
          </cell>
        </row>
        <row r="420">
          <cell r="A420" t="str">
            <v>ZMO0005</v>
          </cell>
          <cell r="I420">
            <v>2.2306246078792463E-6</v>
          </cell>
        </row>
        <row r="421">
          <cell r="A421" t="str">
            <v>ZMO1632</v>
          </cell>
          <cell r="I421">
            <v>4.5107989689435544E-7</v>
          </cell>
        </row>
        <row r="422">
          <cell r="A422" t="str">
            <v>ZMO1730</v>
          </cell>
          <cell r="I422">
            <v>5.841115838533943E-7</v>
          </cell>
        </row>
        <row r="423">
          <cell r="A423" t="str">
            <v>ZMO0189</v>
          </cell>
          <cell r="I423">
            <v>1.3963348163564507E-6</v>
          </cell>
        </row>
        <row r="424">
          <cell r="A424" t="str">
            <v>ZMO1272</v>
          </cell>
          <cell r="I424">
            <v>2.6108281520135785E-6</v>
          </cell>
        </row>
        <row r="425">
          <cell r="A425" t="str">
            <v>ZMO0872</v>
          </cell>
          <cell r="I425">
            <v>2.0436327892306484E-7</v>
          </cell>
        </row>
        <row r="426">
          <cell r="A426" t="str">
            <v>ZMO1548</v>
          </cell>
          <cell r="I426">
            <v>4.2307998412288849E-7</v>
          </cell>
        </row>
        <row r="427">
          <cell r="A427" t="str">
            <v>ZMO0006</v>
          </cell>
          <cell r="I427">
            <v>2.4436992779514652E-7</v>
          </cell>
        </row>
        <row r="428">
          <cell r="A428" t="str">
            <v>ZMO0041</v>
          </cell>
          <cell r="I428">
            <v>9.5084968181291359E-7</v>
          </cell>
        </row>
        <row r="429">
          <cell r="A429" t="str">
            <v>ZMO0594</v>
          </cell>
          <cell r="I429">
            <v>1.9477516778121173E-7</v>
          </cell>
        </row>
        <row r="430">
          <cell r="A430" t="str">
            <v>ZMO0546</v>
          </cell>
          <cell r="I430">
            <v>6.2203861821370434E-8</v>
          </cell>
        </row>
        <row r="431">
          <cell r="A431" t="str">
            <v>ZMO0869</v>
          </cell>
          <cell r="I431">
            <v>8.5919992618199711E-7</v>
          </cell>
        </row>
        <row r="432">
          <cell r="A432" t="str">
            <v>ZMO0870</v>
          </cell>
          <cell r="I432">
            <v>1.0967306637431642E-6</v>
          </cell>
        </row>
        <row r="433">
          <cell r="A433" t="str">
            <v>ZMO1754</v>
          </cell>
          <cell r="I433">
            <v>2.6068647516299114E-6</v>
          </cell>
        </row>
        <row r="434">
          <cell r="A434" t="str">
            <v>ZMO0567</v>
          </cell>
          <cell r="I434">
            <v>4.5545714411719659E-6</v>
          </cell>
        </row>
        <row r="435">
          <cell r="A435" t="str">
            <v>ZMO1481</v>
          </cell>
          <cell r="I435">
            <v>2.8032350131703942E-6</v>
          </cell>
        </row>
        <row r="436">
          <cell r="A436" t="str">
            <v>ZMO0431</v>
          </cell>
          <cell r="I436">
            <v>4.996589454705696E-6</v>
          </cell>
        </row>
        <row r="437">
          <cell r="A437" t="str">
            <v>ZMO1275</v>
          </cell>
          <cell r="I437">
            <v>2.556399382423175E-6</v>
          </cell>
        </row>
        <row r="438">
          <cell r="A438" t="str">
            <v>ZMO0176</v>
          </cell>
          <cell r="I438">
            <v>1.4795333666607453E-6</v>
          </cell>
        </row>
        <row r="439">
          <cell r="A439" t="str">
            <v>ZMO1755</v>
          </cell>
          <cell r="I439">
            <v>7.2640256452934851E-7</v>
          </cell>
        </row>
        <row r="440">
          <cell r="A440" t="str">
            <v>ZMO1553</v>
          </cell>
          <cell r="I440">
            <v>1.8725587714471187E-7</v>
          </cell>
        </row>
        <row r="441">
          <cell r="A441" t="str">
            <v>ZMO0332</v>
          </cell>
          <cell r="I441">
            <v>1.9340604068584403E-6</v>
          </cell>
        </row>
        <row r="442">
          <cell r="A442" t="str">
            <v>ZMO1425</v>
          </cell>
          <cell r="I442">
            <v>4.0863700448438947E-8</v>
          </cell>
        </row>
        <row r="443">
          <cell r="A443" t="str">
            <v>ZMO0465</v>
          </cell>
          <cell r="I443">
            <v>7.9298659929367146E-7</v>
          </cell>
        </row>
        <row r="444">
          <cell r="A444" t="str">
            <v>ZMO1142</v>
          </cell>
          <cell r="I444">
            <v>3.1939343424086255E-6</v>
          </cell>
        </row>
        <row r="445">
          <cell r="A445" t="str">
            <v>ZMO0584</v>
          </cell>
          <cell r="I445">
            <v>1.7506678568781302E-6</v>
          </cell>
        </row>
        <row r="446">
          <cell r="A446" t="str">
            <v>ZMO0585</v>
          </cell>
          <cell r="I446">
            <v>3.809500847443821E-6</v>
          </cell>
        </row>
        <row r="447">
          <cell r="A447" t="str">
            <v>ZMO0738</v>
          </cell>
          <cell r="I447">
            <v>2.8279379631800629E-6</v>
          </cell>
        </row>
        <row r="448">
          <cell r="A448" t="str">
            <v>ZMO0937</v>
          </cell>
          <cell r="I448">
            <v>1.1252932900441586E-6</v>
          </cell>
        </row>
        <row r="449">
          <cell r="A449" t="str">
            <v>ZMO0826</v>
          </cell>
          <cell r="I449">
            <v>7.4238905700908357E-7</v>
          </cell>
        </row>
        <row r="450">
          <cell r="A450" t="str">
            <v>ZMO1724</v>
          </cell>
          <cell r="I450">
            <v>2.148756727654055E-6</v>
          </cell>
        </row>
        <row r="451">
          <cell r="A451" t="str">
            <v>ZMO0831</v>
          </cell>
          <cell r="I451">
            <v>1.0594615919256208E-6</v>
          </cell>
        </row>
        <row r="452">
          <cell r="A452" t="str">
            <v>ZMO0829</v>
          </cell>
          <cell r="I452">
            <v>5.3306485015641956E-7</v>
          </cell>
        </row>
        <row r="453">
          <cell r="A453" t="str">
            <v>ZMO0832</v>
          </cell>
          <cell r="I453">
            <v>1.8122261861226426E-6</v>
          </cell>
        </row>
        <row r="454">
          <cell r="A454" t="str">
            <v>ZMO0833</v>
          </cell>
          <cell r="I454">
            <v>1.9776016254456069E-6</v>
          </cell>
        </row>
        <row r="455">
          <cell r="A455" t="str">
            <v>ZMO1152</v>
          </cell>
          <cell r="I455">
            <v>7.8474550375200446E-8</v>
          </cell>
        </row>
        <row r="456">
          <cell r="A456" t="str">
            <v>ZMO0819</v>
          </cell>
          <cell r="I456">
            <v>1.4336303423268449E-6</v>
          </cell>
        </row>
        <row r="457">
          <cell r="A457" t="str">
            <v>ZMO0941</v>
          </cell>
          <cell r="I457">
            <v>5.1176031851657993E-8</v>
          </cell>
        </row>
        <row r="458">
          <cell r="A458" t="str">
            <v>ZMO0827</v>
          </cell>
          <cell r="I458">
            <v>8.4310434663032657E-7</v>
          </cell>
        </row>
        <row r="459">
          <cell r="A459" t="str">
            <v>ZMO1154</v>
          </cell>
          <cell r="I459">
            <v>2.27254114207552E-6</v>
          </cell>
        </row>
        <row r="460">
          <cell r="A460" t="str">
            <v>ZMO1271</v>
          </cell>
          <cell r="I460">
            <v>4.6218364571791698E-7</v>
          </cell>
        </row>
        <row r="461">
          <cell r="A461" t="str">
            <v>ZMO1902</v>
          </cell>
          <cell r="I461">
            <v>1.0211313106598554E-8</v>
          </cell>
        </row>
        <row r="462">
          <cell r="A462" t="str">
            <v>ZMO1998</v>
          </cell>
          <cell r="I462">
            <v>2.3699270427614102E-7</v>
          </cell>
        </row>
        <row r="463">
          <cell r="A463" t="str">
            <v>ZMO0976</v>
          </cell>
          <cell r="I463">
            <v>3.3294422973617346E-6</v>
          </cell>
        </row>
        <row r="464">
          <cell r="A464" t="str">
            <v>ZMO0972</v>
          </cell>
          <cell r="I464">
            <v>2.1718447005566397E-7</v>
          </cell>
        </row>
        <row r="465">
          <cell r="A465" t="str">
            <v>ZMO0974</v>
          </cell>
          <cell r="I465">
            <v>1.3560504052224463E-6</v>
          </cell>
        </row>
        <row r="466">
          <cell r="A466" t="str">
            <v>ZMO0973</v>
          </cell>
          <cell r="I466">
            <v>4.8876558597585535E-6</v>
          </cell>
        </row>
        <row r="467">
          <cell r="A467" t="str">
            <v>ZMO0874</v>
          </cell>
          <cell r="I467">
            <v>4.0825881803700733E-6</v>
          </cell>
        </row>
        <row r="468">
          <cell r="A468" t="str">
            <v>ZMO0873</v>
          </cell>
          <cell r="I468">
            <v>1.0898518647583972E-7</v>
          </cell>
        </row>
        <row r="469">
          <cell r="A469" t="str">
            <v>ZMO1008</v>
          </cell>
          <cell r="I469">
            <v>9.2043869471350834E-7</v>
          </cell>
        </row>
        <row r="470">
          <cell r="A470" t="str">
            <v>ZMO1954</v>
          </cell>
          <cell r="I470">
            <v>2.7944761164862384E-7</v>
          </cell>
        </row>
        <row r="471">
          <cell r="A471" t="str">
            <v>ZMO0220</v>
          </cell>
          <cell r="I471">
            <v>7.5184683955760873E-6</v>
          </cell>
        </row>
        <row r="472">
          <cell r="A472" t="str">
            <v>ZMO1808</v>
          </cell>
          <cell r="I472">
            <v>1.5352450681521146E-7</v>
          </cell>
        </row>
        <row r="473">
          <cell r="A473" t="str">
            <v>ZMO1813</v>
          </cell>
          <cell r="I473">
            <v>2.0463281994826946E-7</v>
          </cell>
        </row>
        <row r="474">
          <cell r="A474" t="str">
            <v>ZMO1810</v>
          </cell>
          <cell r="I474">
            <v>4.111556433792616E-7</v>
          </cell>
        </row>
        <row r="475">
          <cell r="A475" t="str">
            <v>ZMO1811</v>
          </cell>
          <cell r="I475">
            <v>9.3751426606283341E-8</v>
          </cell>
        </row>
        <row r="476">
          <cell r="A476" t="str">
            <v>ZMO1814</v>
          </cell>
          <cell r="I476">
            <v>8.7477286710060879E-7</v>
          </cell>
        </row>
        <row r="477">
          <cell r="A477" t="str">
            <v>ZMO1812</v>
          </cell>
          <cell r="I477">
            <v>5.2364648992620197E-7</v>
          </cell>
        </row>
        <row r="478">
          <cell r="A478" t="str">
            <v>ZMO1809</v>
          </cell>
          <cell r="I478">
            <v>4.9239647698288045E-8</v>
          </cell>
        </row>
        <row r="479">
          <cell r="A479" t="str">
            <v>ZMO0782</v>
          </cell>
          <cell r="I479">
            <v>3.0696949990806199E-6</v>
          </cell>
        </row>
        <row r="480">
          <cell r="A480" t="str">
            <v>ZMO0784</v>
          </cell>
          <cell r="I480">
            <v>6.7289048851765652E-7</v>
          </cell>
        </row>
        <row r="481">
          <cell r="A481" t="str">
            <v>ZMO0783</v>
          </cell>
          <cell r="I481">
            <v>3.6004804053439479E-6</v>
          </cell>
        </row>
        <row r="482">
          <cell r="A482" t="str">
            <v>ZMO2002</v>
          </cell>
          <cell r="I482">
            <v>1.8980532582224793E-5</v>
          </cell>
        </row>
        <row r="483">
          <cell r="A483" t="str">
            <v>ZMO1910</v>
          </cell>
          <cell r="I483">
            <v>2.4806104656544257E-5</v>
          </cell>
        </row>
        <row r="484">
          <cell r="A484" t="str">
            <v>ZMO1516</v>
          </cell>
          <cell r="I484">
            <v>1.6416377070109352E-5</v>
          </cell>
        </row>
        <row r="485">
          <cell r="A485" t="str">
            <v>ZMO1515</v>
          </cell>
          <cell r="I485">
            <v>5.6149639688111122E-6</v>
          </cell>
        </row>
        <row r="486">
          <cell r="A486" t="str">
            <v>ZMO1227</v>
          </cell>
          <cell r="I486">
            <v>2.21745856219187E-5</v>
          </cell>
        </row>
        <row r="487">
          <cell r="A487" t="str">
            <v>ZMO1145</v>
          </cell>
          <cell r="I487">
            <v>1.8769927847649599E-5</v>
          </cell>
        </row>
        <row r="488">
          <cell r="A488" t="str">
            <v>ZMO1079</v>
          </cell>
          <cell r="I488">
            <v>2.7284570397577473E-5</v>
          </cell>
        </row>
        <row r="489">
          <cell r="A489" t="str">
            <v>ZMO0884</v>
          </cell>
          <cell r="I489">
            <v>2.1147057928157743E-5</v>
          </cell>
        </row>
        <row r="490">
          <cell r="A490" t="str">
            <v>ZMO0728</v>
          </cell>
          <cell r="I490">
            <v>3.493891849176133E-5</v>
          </cell>
        </row>
        <row r="491">
          <cell r="A491" t="str">
            <v>ZMO0727</v>
          </cell>
          <cell r="I491">
            <v>1.0823526580297141E-5</v>
          </cell>
        </row>
        <row r="492">
          <cell r="A492" t="str">
            <v>ZMO0726</v>
          </cell>
          <cell r="I492">
            <v>1.7024993371870437E-5</v>
          </cell>
        </row>
        <row r="493">
          <cell r="A493" t="str">
            <v>ZMO0725</v>
          </cell>
          <cell r="I493">
            <v>1.3880305084069787E-5</v>
          </cell>
        </row>
        <row r="494">
          <cell r="A494" t="str">
            <v>ZMO0550</v>
          </cell>
          <cell r="I494">
            <v>3.5397021842362956E-6</v>
          </cell>
        </row>
        <row r="495">
          <cell r="A495" t="str">
            <v>ZMO0542</v>
          </cell>
          <cell r="I495">
            <v>1.2384780045545925E-5</v>
          </cell>
        </row>
        <row r="496">
          <cell r="A496" t="str">
            <v>ZMO0539</v>
          </cell>
          <cell r="I496">
            <v>1.8594236602718542E-5</v>
          </cell>
        </row>
        <row r="497">
          <cell r="A497" t="str">
            <v>ZMO0536</v>
          </cell>
          <cell r="I497">
            <v>1.8252881635673667E-5</v>
          </cell>
        </row>
        <row r="498">
          <cell r="A498" t="str">
            <v>ZMO0534</v>
          </cell>
          <cell r="I498">
            <v>7.9989877225218893E-6</v>
          </cell>
        </row>
        <row r="499">
          <cell r="A499" t="str">
            <v>ZMO0532</v>
          </cell>
          <cell r="I499">
            <v>6.4883394777512676E-6</v>
          </cell>
        </row>
        <row r="500">
          <cell r="A500" t="str">
            <v>ZMO0531</v>
          </cell>
          <cell r="I500">
            <v>2.8713667242225865E-5</v>
          </cell>
        </row>
        <row r="501">
          <cell r="A501" t="str">
            <v>ZMO0528</v>
          </cell>
          <cell r="I501">
            <v>7.9777512502810371E-6</v>
          </cell>
        </row>
        <row r="502">
          <cell r="A502" t="str">
            <v>ZMO0527</v>
          </cell>
          <cell r="I502">
            <v>2.2117486314935196E-5</v>
          </cell>
        </row>
        <row r="503">
          <cell r="A503" t="str">
            <v>ZMO0526</v>
          </cell>
          <cell r="I503">
            <v>1.8494557440882394E-5</v>
          </cell>
        </row>
        <row r="504">
          <cell r="A504" t="str">
            <v>ZMO0524</v>
          </cell>
          <cell r="I504">
            <v>1.0455288424882933E-6</v>
          </cell>
        </row>
        <row r="505">
          <cell r="A505" t="str">
            <v>ZMO0523</v>
          </cell>
          <cell r="I505">
            <v>2.7315249033170654E-5</v>
          </cell>
        </row>
        <row r="506">
          <cell r="A506" t="str">
            <v>ZMO0521</v>
          </cell>
          <cell r="I506">
            <v>1.9779919624356892E-5</v>
          </cell>
        </row>
        <row r="507">
          <cell r="A507" t="str">
            <v>ZMO0520</v>
          </cell>
          <cell r="I507">
            <v>2.1099363934486404E-5</v>
          </cell>
        </row>
        <row r="508">
          <cell r="A508" t="str">
            <v>ZMO0519</v>
          </cell>
          <cell r="I508">
            <v>1.0289548734333088E-5</v>
          </cell>
        </row>
        <row r="509">
          <cell r="A509" t="str">
            <v>ZMO0518</v>
          </cell>
          <cell r="I509">
            <v>2.5405660234500004E-5</v>
          </cell>
        </row>
        <row r="510">
          <cell r="A510" t="str">
            <v>ZMO0517</v>
          </cell>
          <cell r="I510">
            <v>1.7481863651764289E-5</v>
          </cell>
        </row>
        <row r="511">
          <cell r="A511" t="str">
            <v>ZMO0249</v>
          </cell>
          <cell r="I511">
            <v>3.1678453563397707E-5</v>
          </cell>
        </row>
        <row r="512">
          <cell r="A512" t="str">
            <v>ZMO0211</v>
          </cell>
          <cell r="I512">
            <v>9.8522452579275109E-6</v>
          </cell>
        </row>
        <row r="513">
          <cell r="A513" t="str">
            <v>ZMO0209</v>
          </cell>
          <cell r="I513">
            <v>1.6695511704979677E-5</v>
          </cell>
        </row>
        <row r="514">
          <cell r="A514" t="str">
            <v>ZMO0294</v>
          </cell>
          <cell r="I514">
            <v>2.0872504672678918E-5</v>
          </cell>
        </row>
        <row r="515">
          <cell r="A515" t="str">
            <v>ZMO2031</v>
          </cell>
          <cell r="I515">
            <v>2.7730579138050649E-6</v>
          </cell>
        </row>
        <row r="516">
          <cell r="A516" t="str">
            <v>ZMO0533</v>
          </cell>
          <cell r="I516">
            <v>1.6155147727244859E-5</v>
          </cell>
        </row>
        <row r="517">
          <cell r="A517" t="str">
            <v>ZMO2003</v>
          </cell>
          <cell r="I517">
            <v>4.6651980022626785E-6</v>
          </cell>
        </row>
        <row r="518">
          <cell r="A518" t="str">
            <v>ZMO2004</v>
          </cell>
          <cell r="I518">
            <v>1.6368306755458444E-5</v>
          </cell>
        </row>
        <row r="519">
          <cell r="A519" t="str">
            <v>ZMO1798</v>
          </cell>
          <cell r="I519">
            <v>2.3396052109313417E-5</v>
          </cell>
        </row>
        <row r="520">
          <cell r="A520" t="str">
            <v>ZMO1713</v>
          </cell>
          <cell r="I520">
            <v>1.3625606469551866E-5</v>
          </cell>
        </row>
        <row r="521">
          <cell r="A521" t="str">
            <v>ZMO1226</v>
          </cell>
          <cell r="I521">
            <v>9.7725540758917239E-6</v>
          </cell>
        </row>
        <row r="522">
          <cell r="A522" t="str">
            <v>ZMO1225</v>
          </cell>
          <cell r="I522">
            <v>1.8404047962062197E-5</v>
          </cell>
        </row>
        <row r="523">
          <cell r="A523" t="str">
            <v>ZMO1076</v>
          </cell>
          <cell r="I523">
            <v>1.8701757343825269E-5</v>
          </cell>
        </row>
        <row r="524">
          <cell r="A524" t="str">
            <v>ZMO0540</v>
          </cell>
          <cell r="I524">
            <v>1.5684733557102375E-5</v>
          </cell>
        </row>
        <row r="525">
          <cell r="A525" t="str">
            <v>ZMO0530</v>
          </cell>
          <cell r="I525">
            <v>1.5892321792557105E-5</v>
          </cell>
        </row>
        <row r="526">
          <cell r="A526" t="str">
            <v>ZMO0529</v>
          </cell>
          <cell r="I526">
            <v>1.3703371957115528E-5</v>
          </cell>
        </row>
        <row r="527">
          <cell r="A527" t="str">
            <v>ZMO0525</v>
          </cell>
          <cell r="I527">
            <v>2.8150623846490566E-5</v>
          </cell>
        </row>
        <row r="528">
          <cell r="A528" t="str">
            <v>ZMO0522</v>
          </cell>
          <cell r="I528">
            <v>2.2685439460032458E-5</v>
          </cell>
        </row>
        <row r="529">
          <cell r="A529" t="str">
            <v>ZMO0514</v>
          </cell>
          <cell r="I529">
            <v>2.0492834344404051E-5</v>
          </cell>
        </row>
        <row r="530">
          <cell r="A530" t="str">
            <v>ZMO1156</v>
          </cell>
          <cell r="I530">
            <v>2.0405850324167556E-5</v>
          </cell>
        </row>
        <row r="531">
          <cell r="A531" t="str">
            <v>ZMO1366</v>
          </cell>
          <cell r="I531">
            <v>2.3380251308578886E-5</v>
          </cell>
        </row>
        <row r="532">
          <cell r="A532" t="str">
            <v>ZMO1358</v>
          </cell>
          <cell r="I532">
            <v>7.5710738971979481E-6</v>
          </cell>
        </row>
        <row r="533">
          <cell r="A533" t="str">
            <v>ZMO0883</v>
          </cell>
          <cell r="I533">
            <v>2.6287121726523227E-5</v>
          </cell>
        </row>
        <row r="534">
          <cell r="A534" t="str">
            <v>ZMO1246</v>
          </cell>
          <cell r="I534">
            <v>0</v>
          </cell>
        </row>
        <row r="535">
          <cell r="A535" t="str">
            <v>ZMO1115</v>
          </cell>
          <cell r="I535">
            <v>0</v>
          </cell>
        </row>
        <row r="536">
          <cell r="A536" t="str">
            <v>ZMO0096</v>
          </cell>
          <cell r="I536">
            <v>0</v>
          </cell>
        </row>
        <row r="537">
          <cell r="A537" t="str">
            <v>IspS</v>
          </cell>
          <cell r="I537">
            <v>0</v>
          </cell>
        </row>
      </sheetData>
      <sheetData sheetId="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science/article/pii/S00219258189223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E571A-BEE1-4682-BD15-EA11BA58C37C}">
  <dimension ref="A1:X1355"/>
  <sheetViews>
    <sheetView tabSelected="1" topLeftCell="D19" workbookViewId="0">
      <selection activeCell="N30" sqref="N30"/>
    </sheetView>
  </sheetViews>
  <sheetFormatPr baseColWidth="10" defaultColWidth="8.83203125" defaultRowHeight="15" x14ac:dyDescent="0.2"/>
  <cols>
    <col min="1" max="4" width="24.5" customWidth="1"/>
    <col min="5" max="5" width="11" bestFit="1" customWidth="1"/>
    <col min="6" max="6" width="12.5" style="12" customWidth="1"/>
    <col min="7" max="7" width="12" bestFit="1" customWidth="1"/>
    <col min="8" max="8" width="9.5" customWidth="1"/>
    <col min="9" max="11" width="24" style="1" customWidth="1"/>
    <col min="13" max="13" width="13.1640625" customWidth="1"/>
    <col min="19" max="19" width="28.33203125" customWidth="1"/>
    <col min="20" max="20" width="13" customWidth="1"/>
    <col min="23" max="23" width="13.5" customWidth="1"/>
  </cols>
  <sheetData>
    <row r="1" spans="1:24" x14ac:dyDescent="0.2">
      <c r="A1" s="140" t="s">
        <v>3559</v>
      </c>
      <c r="B1" s="140"/>
      <c r="C1" s="140"/>
      <c r="D1" s="140"/>
      <c r="E1" s="140"/>
      <c r="F1" s="141"/>
      <c r="G1" s="140"/>
      <c r="H1" s="140"/>
      <c r="I1" s="142"/>
      <c r="J1" s="142"/>
      <c r="K1" s="142"/>
      <c r="L1" s="142"/>
      <c r="M1" s="142"/>
      <c r="N1" s="140"/>
      <c r="O1" s="140"/>
      <c r="P1" s="140"/>
      <c r="Q1" s="140"/>
    </row>
    <row r="2" spans="1:24" ht="18" x14ac:dyDescent="0.2">
      <c r="A2" s="187"/>
      <c r="B2" s="187"/>
      <c r="C2" s="187"/>
      <c r="D2" s="197" t="s">
        <v>3543</v>
      </c>
      <c r="E2" s="197"/>
      <c r="F2" s="197"/>
      <c r="G2" s="197"/>
      <c r="H2" s="197"/>
      <c r="I2" s="197"/>
      <c r="J2" s="188"/>
      <c r="K2" s="188"/>
      <c r="L2" s="188"/>
      <c r="M2" s="158"/>
      <c r="N2" s="158"/>
      <c r="O2" s="197" t="s">
        <v>3543</v>
      </c>
      <c r="P2" s="197"/>
      <c r="Q2" s="197"/>
      <c r="R2" s="137"/>
      <c r="S2" s="137"/>
    </row>
    <row r="3" spans="1:24" ht="16" thickBot="1" x14ac:dyDescent="0.25">
      <c r="A3" s="187"/>
      <c r="B3" s="189" t="s">
        <v>3544</v>
      </c>
      <c r="C3" s="189" t="s">
        <v>3545</v>
      </c>
      <c r="D3" s="190" t="s">
        <v>3459</v>
      </c>
      <c r="E3" s="190" t="s">
        <v>3468</v>
      </c>
      <c r="F3" s="190" t="s">
        <v>3471</v>
      </c>
      <c r="G3" s="190" t="s">
        <v>3474</v>
      </c>
      <c r="H3" s="190" t="s">
        <v>3477</v>
      </c>
      <c r="I3" s="190" t="s">
        <v>3481</v>
      </c>
      <c r="J3" s="158"/>
      <c r="K3" s="158"/>
      <c r="L3" s="187"/>
      <c r="M3" s="189" t="s">
        <v>3544</v>
      </c>
      <c r="N3" s="189" t="s">
        <v>3545</v>
      </c>
      <c r="O3" s="190" t="s">
        <v>3546</v>
      </c>
      <c r="P3" s="190" t="s">
        <v>3547</v>
      </c>
      <c r="Q3" s="190" t="s">
        <v>3548</v>
      </c>
    </row>
    <row r="4" spans="1:24" x14ac:dyDescent="0.2">
      <c r="A4" s="198" t="s">
        <v>3454</v>
      </c>
      <c r="B4" s="156" t="s">
        <v>1268</v>
      </c>
      <c r="C4" s="187" t="s">
        <v>3459</v>
      </c>
      <c r="D4" s="191">
        <v>6.4075504596769193</v>
      </c>
      <c r="E4" s="191">
        <v>-7.333852259187168E-2</v>
      </c>
      <c r="F4" s="191">
        <v>0.13511198093213395</v>
      </c>
      <c r="G4" s="191">
        <v>0.7543014225094673</v>
      </c>
      <c r="H4" s="191">
        <v>0.14750991436899596</v>
      </c>
      <c r="I4" s="191">
        <v>0.3190225562026896</v>
      </c>
      <c r="J4" s="158"/>
      <c r="K4" s="158"/>
      <c r="L4" s="198" t="s">
        <v>3454</v>
      </c>
      <c r="M4" s="157" t="s">
        <v>1268</v>
      </c>
      <c r="N4" s="192" t="s">
        <v>3459</v>
      </c>
      <c r="O4" s="191">
        <v>6.6996301015218407</v>
      </c>
      <c r="P4" s="191">
        <v>6.6433333333333344</v>
      </c>
      <c r="Q4" s="191">
        <v>6.3170261383056996</v>
      </c>
    </row>
    <row r="5" spans="1:24" x14ac:dyDescent="0.2">
      <c r="A5" s="198"/>
      <c r="B5" s="156" t="s">
        <v>730</v>
      </c>
      <c r="C5" s="187" t="s">
        <v>3468</v>
      </c>
      <c r="D5" s="191">
        <v>0.69963869612696072</v>
      </c>
      <c r="E5" s="191">
        <v>6.5180123667778886</v>
      </c>
      <c r="F5" s="191">
        <v>2.1171477944065487E-2</v>
      </c>
      <c r="G5" s="191">
        <v>0.30313508272795531</v>
      </c>
      <c r="H5" s="191">
        <v>-3.8678969961868148E-2</v>
      </c>
      <c r="I5" s="191">
        <v>3.5136110221536399E-3</v>
      </c>
      <c r="J5" s="158"/>
      <c r="K5" s="158"/>
      <c r="L5" s="198"/>
      <c r="M5" s="157" t="s">
        <v>730</v>
      </c>
      <c r="N5" s="192" t="s">
        <v>3468</v>
      </c>
      <c r="O5" s="191">
        <v>8.6467742919964508E-2</v>
      </c>
      <c r="P5" s="191">
        <v>-5.3333333333334565E-2</v>
      </c>
      <c r="Q5" s="191">
        <v>9.6740086873431608E-2</v>
      </c>
    </row>
    <row r="6" spans="1:24" x14ac:dyDescent="0.2">
      <c r="A6" s="198"/>
      <c r="B6" s="156" t="s">
        <v>712</v>
      </c>
      <c r="C6" s="187" t="s">
        <v>3471</v>
      </c>
      <c r="D6" s="191">
        <v>0.26236064886461818</v>
      </c>
      <c r="E6" s="191">
        <v>-0.12792107798000174</v>
      </c>
      <c r="F6" s="191">
        <v>5.0118910622861215</v>
      </c>
      <c r="G6" s="191">
        <v>5.2431333746376652E-2</v>
      </c>
      <c r="H6" s="191">
        <v>0.1138898782133495</v>
      </c>
      <c r="I6" s="191">
        <v>8.038101076002846E-2</v>
      </c>
      <c r="J6" s="158"/>
      <c r="K6" s="158"/>
      <c r="L6" s="198"/>
      <c r="M6" s="157" t="s">
        <v>712</v>
      </c>
      <c r="N6" s="192" t="s">
        <v>3471</v>
      </c>
      <c r="O6" s="191">
        <v>0.11251004536947207</v>
      </c>
      <c r="P6" s="191">
        <v>-8.3333333333339255E-2</v>
      </c>
      <c r="Q6" s="191">
        <v>0.1577065785726397</v>
      </c>
      <c r="T6" s="196" t="s">
        <v>3615</v>
      </c>
      <c r="U6" s="195" t="s">
        <v>3616</v>
      </c>
      <c r="V6" s="195" t="s">
        <v>3617</v>
      </c>
      <c r="W6" s="195" t="s">
        <v>3618</v>
      </c>
      <c r="X6" s="195" t="s">
        <v>3617</v>
      </c>
    </row>
    <row r="7" spans="1:24" x14ac:dyDescent="0.2">
      <c r="A7" s="198"/>
      <c r="B7" s="156" t="s">
        <v>752</v>
      </c>
      <c r="C7" s="187" t="s">
        <v>3474</v>
      </c>
      <c r="D7" s="191">
        <v>-0.29897546181267742</v>
      </c>
      <c r="E7" s="191">
        <v>0.12155852977689818</v>
      </c>
      <c r="F7" s="191">
        <v>1.1573323586251192</v>
      </c>
      <c r="G7" s="191">
        <v>5.4228413346538709</v>
      </c>
      <c r="H7" s="191">
        <v>4.4887433838379565E-2</v>
      </c>
      <c r="I7" s="191">
        <v>6.0816240690154899E-2</v>
      </c>
      <c r="J7" s="158"/>
      <c r="K7" s="158"/>
      <c r="L7" s="198"/>
      <c r="M7" s="157" t="s">
        <v>752</v>
      </c>
      <c r="N7" s="192" t="s">
        <v>3474</v>
      </c>
      <c r="O7" s="191">
        <v>6.3234965006500943E-2</v>
      </c>
      <c r="P7" s="191">
        <v>9.3333333333333712E-2</v>
      </c>
      <c r="Q7" s="191">
        <v>4.4528961181669047E-2</v>
      </c>
      <c r="S7" t="s">
        <v>3614</v>
      </c>
      <c r="T7" s="196"/>
      <c r="U7" s="195"/>
      <c r="V7" s="195"/>
      <c r="W7" s="195"/>
      <c r="X7" s="195"/>
    </row>
    <row r="8" spans="1:24" x14ac:dyDescent="0.2">
      <c r="A8" s="198"/>
      <c r="B8" s="156" t="s">
        <v>104</v>
      </c>
      <c r="C8" s="187" t="s">
        <v>3477</v>
      </c>
      <c r="D8" s="191">
        <v>-0.17076962939758289</v>
      </c>
      <c r="E8" s="191">
        <v>1.9715649764890486E-2</v>
      </c>
      <c r="F8" s="191">
        <v>-0.17492317212136399</v>
      </c>
      <c r="G8" s="191">
        <v>-0.12941021521406526</v>
      </c>
      <c r="H8" s="191">
        <v>5.5345621559464497</v>
      </c>
      <c r="I8" s="191">
        <v>9.8145964642135652E-2</v>
      </c>
      <c r="J8" s="158"/>
      <c r="K8" s="158"/>
      <c r="L8" s="198"/>
      <c r="M8" s="157" t="s">
        <v>104</v>
      </c>
      <c r="N8" s="192" t="s">
        <v>3477</v>
      </c>
      <c r="O8" s="191">
        <v>-0.18094126383466147</v>
      </c>
      <c r="P8" s="191">
        <v>-7.9999999999998295E-2</v>
      </c>
      <c r="Q8" s="191">
        <v>-6.8161646525098263E-2</v>
      </c>
      <c r="S8" t="s">
        <v>3619</v>
      </c>
      <c r="T8">
        <v>0.36251811643335269</v>
      </c>
      <c r="U8">
        <v>7.8069213801973151E-3</v>
      </c>
      <c r="V8">
        <v>4.507328160399165E-3</v>
      </c>
      <c r="W8">
        <v>64.857297196202438</v>
      </c>
      <c r="X8">
        <v>2.9861742650300722</v>
      </c>
    </row>
    <row r="9" spans="1:24" x14ac:dyDescent="0.2">
      <c r="A9" s="198"/>
      <c r="B9" s="156" t="s">
        <v>555</v>
      </c>
      <c r="C9" s="187" t="s">
        <v>3481</v>
      </c>
      <c r="D9" s="191">
        <v>-8.0676626253861627E-4</v>
      </c>
      <c r="E9" s="191">
        <v>0.15031024078404442</v>
      </c>
      <c r="F9" s="191">
        <v>-0.12635641572147449</v>
      </c>
      <c r="G9" s="191">
        <v>5.3321939176161237E-2</v>
      </c>
      <c r="H9" s="191">
        <v>2.6980805183665524E-2</v>
      </c>
      <c r="I9" s="191">
        <v>2.3204965994919213</v>
      </c>
      <c r="J9" s="158"/>
      <c r="K9" s="158"/>
      <c r="L9" s="198"/>
      <c r="M9" s="157" t="s">
        <v>555</v>
      </c>
      <c r="N9" s="192" t="s">
        <v>3481</v>
      </c>
      <c r="O9" s="191">
        <v>-0.38461558024086528</v>
      </c>
      <c r="P9" s="191">
        <v>-0.21333333333333471</v>
      </c>
      <c r="Q9" s="191">
        <v>-0.30532582600913472</v>
      </c>
      <c r="S9" t="s">
        <v>3620</v>
      </c>
      <c r="T9">
        <v>0.36262291033340949</v>
      </c>
      <c r="U9">
        <v>6.9745020745891357E-3</v>
      </c>
      <c r="V9">
        <v>4.0267306502276409E-3</v>
      </c>
      <c r="W9">
        <v>72.422656036196997</v>
      </c>
      <c r="X9">
        <v>2.6216494767780816</v>
      </c>
    </row>
    <row r="10" spans="1:24" x14ac:dyDescent="0.2">
      <c r="A10" s="198"/>
      <c r="B10" s="156" t="s">
        <v>1269</v>
      </c>
      <c r="C10" s="187" t="s">
        <v>3549</v>
      </c>
      <c r="D10" s="191">
        <v>-0.82359406998852691</v>
      </c>
      <c r="E10" s="191">
        <v>-0.62350615900046336</v>
      </c>
      <c r="F10" s="191">
        <v>-0.68146674888668102</v>
      </c>
      <c r="G10" s="191">
        <v>-0.74682489782632899</v>
      </c>
      <c r="H10" s="191">
        <v>0.16062802798008491</v>
      </c>
      <c r="I10" s="191">
        <v>0.33787754123932245</v>
      </c>
      <c r="J10" s="158"/>
      <c r="K10" s="158"/>
      <c r="L10" s="198"/>
      <c r="M10" s="157" t="s">
        <v>1271</v>
      </c>
      <c r="N10" s="192" t="s">
        <v>3550</v>
      </c>
      <c r="O10" s="191" t="s">
        <v>3551</v>
      </c>
      <c r="P10" s="191" t="s">
        <v>3551</v>
      </c>
      <c r="Q10" s="191">
        <v>9.5925312042236044</v>
      </c>
      <c r="S10" t="s">
        <v>3621</v>
      </c>
      <c r="T10">
        <v>0.35183467995412454</v>
      </c>
      <c r="U10">
        <v>2.2470948131717954E-3</v>
      </c>
      <c r="V10">
        <v>1.297360795279348E-3</v>
      </c>
      <c r="W10">
        <v>57.261655894902894</v>
      </c>
      <c r="X10">
        <v>3.5227414965264656</v>
      </c>
    </row>
    <row r="11" spans="1:24" x14ac:dyDescent="0.2">
      <c r="A11" s="198"/>
      <c r="B11" s="156" t="s">
        <v>1270</v>
      </c>
      <c r="C11" s="187" t="s">
        <v>3552</v>
      </c>
      <c r="D11" s="193" t="s">
        <v>3553</v>
      </c>
      <c r="E11" s="193" t="s">
        <v>3553</v>
      </c>
      <c r="F11" s="193" t="s">
        <v>3553</v>
      </c>
      <c r="G11" s="193" t="s">
        <v>3553</v>
      </c>
      <c r="H11" s="193" t="s">
        <v>3553</v>
      </c>
      <c r="I11" s="193" t="s">
        <v>3553</v>
      </c>
      <c r="J11" s="158"/>
      <c r="K11" s="158"/>
      <c r="L11" s="198"/>
      <c r="M11" s="157" t="s">
        <v>3554</v>
      </c>
      <c r="N11" s="192" t="s">
        <v>3555</v>
      </c>
      <c r="O11" s="191" t="s">
        <v>3551</v>
      </c>
      <c r="P11" s="191">
        <v>10.82</v>
      </c>
      <c r="Q11" s="191">
        <v>6.8798510233561672</v>
      </c>
      <c r="S11" t="s">
        <v>3622</v>
      </c>
      <c r="T11">
        <v>0.36263863499091475</v>
      </c>
      <c r="U11">
        <v>7.399354634120091E-3</v>
      </c>
      <c r="V11">
        <v>4.2720193898387396E-3</v>
      </c>
      <c r="W11">
        <v>68.267289189609372</v>
      </c>
      <c r="X11">
        <v>6.8650069332796333</v>
      </c>
    </row>
    <row r="12" spans="1:24" x14ac:dyDescent="0.2">
      <c r="A12" s="198"/>
      <c r="B12" s="156" t="s">
        <v>129</v>
      </c>
      <c r="C12" s="187" t="s">
        <v>3556</v>
      </c>
      <c r="D12" s="191">
        <v>-0.5411148759306883</v>
      </c>
      <c r="E12" s="191">
        <v>-0.35286546785588513</v>
      </c>
      <c r="F12" s="191">
        <v>-0.22043113184125929</v>
      </c>
      <c r="G12" s="191">
        <v>-0.36531389335504016</v>
      </c>
      <c r="H12" s="191">
        <v>-7.1900973065659457E-3</v>
      </c>
      <c r="I12" s="191">
        <v>0.19410525029113757</v>
      </c>
      <c r="J12" s="158"/>
      <c r="K12" s="158"/>
      <c r="L12" s="198"/>
      <c r="M12" s="157" t="s">
        <v>1269</v>
      </c>
      <c r="N12" s="192" t="s">
        <v>3549</v>
      </c>
      <c r="O12" s="191">
        <v>7.5972150166829699</v>
      </c>
      <c r="P12" s="191">
        <v>3.3333333333338544E-2</v>
      </c>
      <c r="Q12" s="191">
        <v>-8.520762125662884E-3</v>
      </c>
      <c r="S12" t="s">
        <v>3623</v>
      </c>
      <c r="T12">
        <v>0.17165037185939261</v>
      </c>
      <c r="U12">
        <v>2.0076344504029606E-2</v>
      </c>
      <c r="V12">
        <v>1.1591082903745158E-2</v>
      </c>
      <c r="W12">
        <v>33.827052113796945</v>
      </c>
      <c r="X12">
        <v>1.0227239226931355</v>
      </c>
    </row>
    <row r="13" spans="1:24" x14ac:dyDescent="0.2">
      <c r="A13" s="198" t="s">
        <v>3557</v>
      </c>
      <c r="B13" s="156" t="s">
        <v>213</v>
      </c>
      <c r="C13" s="187" t="s">
        <v>3328</v>
      </c>
      <c r="D13" s="191">
        <v>-8.7972510800238268E-2</v>
      </c>
      <c r="E13" s="191">
        <v>-0.15681408595137114</v>
      </c>
      <c r="F13" s="191">
        <v>-0.13896123527299054</v>
      </c>
      <c r="G13" s="191">
        <v>9.3172723535687396E-2</v>
      </c>
      <c r="H13" s="191">
        <v>8.9216492511763335E-2</v>
      </c>
      <c r="I13" s="191">
        <v>0.18522397677382685</v>
      </c>
      <c r="J13" s="158"/>
      <c r="K13" s="158"/>
      <c r="L13" s="198"/>
      <c r="M13" s="157" t="s">
        <v>1270</v>
      </c>
      <c r="N13" s="192" t="s">
        <v>3552</v>
      </c>
      <c r="O13" s="191">
        <v>8.6426874796549669</v>
      </c>
      <c r="P13" s="191" t="s">
        <v>3553</v>
      </c>
      <c r="Q13" s="191" t="s">
        <v>3553</v>
      </c>
      <c r="S13" t="s">
        <v>3624</v>
      </c>
      <c r="T13">
        <v>0.13574343313135562</v>
      </c>
      <c r="U13">
        <v>1.7459688067261253E-2</v>
      </c>
      <c r="V13">
        <v>1.0080355605600182E-2</v>
      </c>
      <c r="W13">
        <v>33.578846445667494</v>
      </c>
      <c r="X13">
        <v>4.8891014298996476</v>
      </c>
    </row>
    <row r="14" spans="1:24" x14ac:dyDescent="0.2">
      <c r="A14" s="198"/>
      <c r="B14" s="156" t="s">
        <v>216</v>
      </c>
      <c r="C14" s="187" t="s">
        <v>3336</v>
      </c>
      <c r="D14" s="191">
        <v>0.27242775670876895</v>
      </c>
      <c r="E14" s="191">
        <v>-0.12421395361186427</v>
      </c>
      <c r="F14" s="191">
        <v>-4.5846191197796315E-2</v>
      </c>
      <c r="G14" s="191">
        <v>-0.12469269761522739</v>
      </c>
      <c r="H14" s="191">
        <v>5.7026872128545847E-2</v>
      </c>
      <c r="I14" s="191">
        <v>7.9263863929924128E-2</v>
      </c>
      <c r="J14" s="158"/>
      <c r="K14" s="158"/>
      <c r="L14" s="198"/>
      <c r="M14" s="157" t="s">
        <v>129</v>
      </c>
      <c r="N14" s="192" t="s">
        <v>3556</v>
      </c>
      <c r="O14" s="191">
        <v>0.13454691569013022</v>
      </c>
      <c r="P14" s="191">
        <v>-0.14666666666667183</v>
      </c>
      <c r="Q14" s="191">
        <v>0.16564687093100261</v>
      </c>
      <c r="S14" t="s">
        <v>3625</v>
      </c>
      <c r="T14">
        <v>0.37567250659910445</v>
      </c>
      <c r="U14">
        <v>2.3526396389143551E-3</v>
      </c>
      <c r="V14">
        <v>1.3582971288333869E-3</v>
      </c>
      <c r="W14">
        <v>71.25695473426714</v>
      </c>
      <c r="X14">
        <v>5.3783533748696506</v>
      </c>
    </row>
    <row r="15" spans="1:24" x14ac:dyDescent="0.2">
      <c r="A15" s="198"/>
      <c r="B15" s="156" t="s">
        <v>214</v>
      </c>
      <c r="C15" s="187" t="s">
        <v>3341</v>
      </c>
      <c r="D15" s="191">
        <v>0.20979160033659028</v>
      </c>
      <c r="E15" s="191">
        <v>-1.0888316142736443E-2</v>
      </c>
      <c r="F15" s="191">
        <v>7.178896132778334E-3</v>
      </c>
      <c r="G15" s="191">
        <v>-4.5561461859367824E-2</v>
      </c>
      <c r="H15" s="191">
        <v>-6.8948370290733862E-2</v>
      </c>
      <c r="I15" s="191">
        <v>-5.0539081313786482E-2</v>
      </c>
      <c r="J15" s="158"/>
      <c r="K15" s="158"/>
      <c r="L15" s="198" t="s">
        <v>3557</v>
      </c>
      <c r="M15" s="157" t="s">
        <v>213</v>
      </c>
      <c r="N15" s="192" t="s">
        <v>3328</v>
      </c>
      <c r="O15" s="191">
        <v>7.468795776366477E-2</v>
      </c>
      <c r="P15" s="191">
        <v>3.3333333333303017E-3</v>
      </c>
      <c r="Q15" s="191">
        <v>-5.5910746256664368E-3</v>
      </c>
      <c r="S15" t="s">
        <v>3626</v>
      </c>
      <c r="T15">
        <v>0.35860906981251661</v>
      </c>
      <c r="U15">
        <v>3.0426305322857061E-3</v>
      </c>
      <c r="V15">
        <v>1.7566635568597268E-3</v>
      </c>
      <c r="W15">
        <v>58.215131701134403</v>
      </c>
      <c r="X15">
        <v>4.7734200556463646</v>
      </c>
    </row>
    <row r="16" spans="1:24" x14ac:dyDescent="0.2">
      <c r="A16" s="198"/>
      <c r="B16" s="156" t="s">
        <v>933</v>
      </c>
      <c r="C16" s="187" t="s">
        <v>3348</v>
      </c>
      <c r="D16" s="191">
        <v>-0.37798648374710808</v>
      </c>
      <c r="E16" s="191">
        <v>-4.661050063927874E-2</v>
      </c>
      <c r="F16" s="191">
        <v>0.41932178445958357</v>
      </c>
      <c r="G16" s="191">
        <v>0.16750640063967026</v>
      </c>
      <c r="H16" s="191">
        <v>-0.47797624401388461</v>
      </c>
      <c r="I16" s="191">
        <v>-0.3468683155861001</v>
      </c>
      <c r="J16" s="158"/>
      <c r="K16" s="158"/>
      <c r="L16" s="198"/>
      <c r="M16" s="157" t="s">
        <v>216</v>
      </c>
      <c r="N16" s="192" t="s">
        <v>3336</v>
      </c>
      <c r="O16" s="191">
        <v>4.4584910074831896E-2</v>
      </c>
      <c r="P16" s="191">
        <v>8.3333333333335702E-2</v>
      </c>
      <c r="Q16" s="191">
        <v>3.2132466634138268E-2</v>
      </c>
      <c r="S16" t="s">
        <v>3627</v>
      </c>
      <c r="T16">
        <v>0.37607908444411242</v>
      </c>
      <c r="U16">
        <v>1.1914270110413286E-2</v>
      </c>
      <c r="V16">
        <v>6.8787070554450231E-3</v>
      </c>
      <c r="W16">
        <v>74.612117908319888</v>
      </c>
      <c r="X16">
        <v>9.3205871817900476</v>
      </c>
    </row>
    <row r="17" spans="1:17" x14ac:dyDescent="0.2">
      <c r="A17" s="198"/>
      <c r="B17" s="156" t="s">
        <v>215</v>
      </c>
      <c r="C17" s="187" t="s">
        <v>3355</v>
      </c>
      <c r="D17" s="191">
        <v>0.27657653952951833</v>
      </c>
      <c r="E17" s="191">
        <v>2.1023100394739203E-2</v>
      </c>
      <c r="F17" s="191">
        <v>5.3475497261462834E-2</v>
      </c>
      <c r="G17" s="191">
        <v>3.5032330727258199E-2</v>
      </c>
      <c r="H17" s="191">
        <v>0.10960175524459004</v>
      </c>
      <c r="I17" s="191">
        <v>7.0552215900534065E-2</v>
      </c>
      <c r="J17" s="158"/>
      <c r="K17" s="158"/>
      <c r="L17" s="198"/>
      <c r="M17" s="157" t="s">
        <v>214</v>
      </c>
      <c r="N17" s="192" t="s">
        <v>3341</v>
      </c>
      <c r="O17" s="191">
        <v>-7.0813496907597084E-2</v>
      </c>
      <c r="P17" s="191">
        <v>0</v>
      </c>
      <c r="Q17" s="191">
        <v>3.576278686522727E-2</v>
      </c>
    </row>
    <row r="18" spans="1:17" x14ac:dyDescent="0.2">
      <c r="A18" s="198"/>
      <c r="B18" s="156" t="s">
        <v>625</v>
      </c>
      <c r="C18" s="187" t="s">
        <v>3558</v>
      </c>
      <c r="D18" s="191">
        <v>-0.34289779310102375</v>
      </c>
      <c r="E18" s="191">
        <v>-9.2439158515393416E-2</v>
      </c>
      <c r="F18" s="191">
        <v>0.15247826562724498</v>
      </c>
      <c r="G18" s="191">
        <v>-4.5550422688855008E-2</v>
      </c>
      <c r="H18" s="191">
        <v>-0.23253797938910736</v>
      </c>
      <c r="I18" s="191">
        <v>-4.0798944017410577E-2</v>
      </c>
      <c r="J18" s="158"/>
      <c r="K18" s="158"/>
      <c r="L18" s="198"/>
      <c r="M18" s="157" t="s">
        <v>933</v>
      </c>
      <c r="N18" s="192" t="s">
        <v>3348</v>
      </c>
      <c r="O18" s="191">
        <v>0.15605354309083097</v>
      </c>
      <c r="P18" s="191">
        <v>0.20333333333333314</v>
      </c>
      <c r="Q18" s="191">
        <v>0.1211598714192661</v>
      </c>
    </row>
    <row r="19" spans="1:17" x14ac:dyDescent="0.2">
      <c r="A19" s="198"/>
      <c r="B19" s="156" t="s">
        <v>101</v>
      </c>
      <c r="C19" s="187" t="s">
        <v>3368</v>
      </c>
      <c r="D19" s="191">
        <v>0.24126784490594844</v>
      </c>
      <c r="E19" s="191">
        <v>-6.1053827441728714E-2</v>
      </c>
      <c r="F19" s="191">
        <v>2.3553418953060401E-2</v>
      </c>
      <c r="G19" s="191">
        <v>-0.13305562900175616</v>
      </c>
      <c r="H19" s="191">
        <v>0.13658398425112495</v>
      </c>
      <c r="I19" s="191">
        <v>2.5544529492229628E-2</v>
      </c>
      <c r="J19" s="158"/>
      <c r="K19" s="158"/>
      <c r="L19" s="198"/>
      <c r="M19" s="157" t="s">
        <v>215</v>
      </c>
      <c r="N19" s="192" t="s">
        <v>3355</v>
      </c>
      <c r="O19" s="191">
        <v>4.4754028320269867E-2</v>
      </c>
      <c r="P19" s="191">
        <v>-0.23333333333333428</v>
      </c>
      <c r="Q19" s="191">
        <v>8.9107513427705953E-2</v>
      </c>
    </row>
    <row r="20" spans="1:17" x14ac:dyDescent="0.2">
      <c r="A20" s="198"/>
      <c r="B20" s="156" t="s">
        <v>102</v>
      </c>
      <c r="C20" s="187" t="s">
        <v>3374</v>
      </c>
      <c r="D20" s="191">
        <v>-6.4632226763151834E-2</v>
      </c>
      <c r="E20" s="191">
        <v>-0.14840544515335807</v>
      </c>
      <c r="F20" s="191">
        <v>5.0794955279844345E-2</v>
      </c>
      <c r="G20" s="191">
        <v>-6.6503479580994451E-2</v>
      </c>
      <c r="H20" s="191">
        <v>4.9640962501904085E-2</v>
      </c>
      <c r="I20" s="191">
        <v>5.4918782368815755E-3</v>
      </c>
      <c r="J20" s="158"/>
      <c r="K20" s="158"/>
      <c r="L20" s="198"/>
      <c r="M20" s="157" t="s">
        <v>625</v>
      </c>
      <c r="N20" s="192" t="s">
        <v>3558</v>
      </c>
      <c r="O20" s="191">
        <v>0.11276245117189632</v>
      </c>
      <c r="P20" s="191">
        <v>-0.17000000000000881</v>
      </c>
      <c r="Q20" s="191">
        <v>0.16213226318362928</v>
      </c>
    </row>
    <row r="21" spans="1:17" x14ac:dyDescent="0.2">
      <c r="A21" s="198"/>
      <c r="B21" s="156" t="s">
        <v>790</v>
      </c>
      <c r="C21" s="187" t="s">
        <v>3381</v>
      </c>
      <c r="D21" s="191">
        <v>-3.838675298977634E-2</v>
      </c>
      <c r="E21" s="191">
        <v>-0.12376811955241962</v>
      </c>
      <c r="F21" s="191">
        <v>0.38775663471264465</v>
      </c>
      <c r="G21" s="191">
        <v>-0.11686375769089707</v>
      </c>
      <c r="H21" s="191">
        <v>-2.7356050089537121E-2</v>
      </c>
      <c r="I21" s="191">
        <v>-7.6754216159336863E-2</v>
      </c>
      <c r="J21" s="158"/>
      <c r="K21" s="158"/>
      <c r="L21" s="198"/>
      <c r="M21" s="157" t="s">
        <v>101</v>
      </c>
      <c r="N21" s="192" t="s">
        <v>3368</v>
      </c>
      <c r="O21" s="191">
        <v>7.1821848551401501E-2</v>
      </c>
      <c r="P21" s="191">
        <v>-8.6666666666666003E-2</v>
      </c>
      <c r="Q21" s="191">
        <v>0.11316553751623104</v>
      </c>
    </row>
    <row r="22" spans="1:17" x14ac:dyDescent="0.2">
      <c r="A22" s="198"/>
      <c r="B22" s="156" t="s">
        <v>1019</v>
      </c>
      <c r="C22" s="187" t="s">
        <v>3387</v>
      </c>
      <c r="D22" s="191">
        <v>0.27361489949898044</v>
      </c>
      <c r="E22" s="191">
        <v>1.8258353755307155E-3</v>
      </c>
      <c r="F22" s="191">
        <v>9.6979428756032604E-2</v>
      </c>
      <c r="G22" s="191">
        <v>1.6519264348371365E-2</v>
      </c>
      <c r="H22" s="191">
        <v>6.5665919817192275E-2</v>
      </c>
      <c r="I22" s="191">
        <v>1.5895323539233175E-2</v>
      </c>
      <c r="J22" s="158"/>
      <c r="K22" s="158"/>
      <c r="L22" s="198"/>
      <c r="M22" s="157" t="s">
        <v>102</v>
      </c>
      <c r="N22" s="192" t="s">
        <v>3374</v>
      </c>
      <c r="O22" s="191">
        <v>9.6151987711643017E-2</v>
      </c>
      <c r="P22" s="191">
        <v>-6.3333333333346786E-2</v>
      </c>
      <c r="Q22" s="191">
        <v>0.17150115966800428</v>
      </c>
    </row>
    <row r="23" spans="1:17" x14ac:dyDescent="0.2">
      <c r="A23" s="198"/>
      <c r="B23" s="156" t="s">
        <v>83</v>
      </c>
      <c r="C23" s="187" t="s">
        <v>3394</v>
      </c>
      <c r="D23" s="191">
        <v>0.26146107818034636</v>
      </c>
      <c r="E23" s="191">
        <v>3.2688376493716476E-2</v>
      </c>
      <c r="F23" s="191">
        <v>0.21412890625418868</v>
      </c>
      <c r="G23" s="191">
        <v>3.3927971696805059E-2</v>
      </c>
      <c r="H23" s="191">
        <v>7.2092946727060792E-2</v>
      </c>
      <c r="I23" s="191">
        <v>5.0913035289745778E-2</v>
      </c>
      <c r="J23" s="158"/>
      <c r="K23" s="158"/>
      <c r="L23" s="198"/>
      <c r="M23" s="157" t="s">
        <v>790</v>
      </c>
      <c r="N23" s="192" t="s">
        <v>3381</v>
      </c>
      <c r="O23" s="191">
        <v>7.2944641113267039E-2</v>
      </c>
      <c r="P23" s="191">
        <v>-0.18333333333333002</v>
      </c>
      <c r="Q23" s="191">
        <v>4.1552225748702654E-2</v>
      </c>
    </row>
    <row r="24" spans="1:17" x14ac:dyDescent="0.2">
      <c r="A24" s="187"/>
      <c r="B24" s="187"/>
      <c r="C24" s="187"/>
      <c r="D24" s="187"/>
      <c r="E24" s="187"/>
      <c r="F24" s="187"/>
      <c r="G24" s="187"/>
      <c r="H24" s="187"/>
      <c r="I24" s="187"/>
      <c r="J24" s="158"/>
      <c r="K24" s="158"/>
      <c r="L24" s="198"/>
      <c r="M24" s="157" t="s">
        <v>1019</v>
      </c>
      <c r="N24" s="192" t="s">
        <v>3387</v>
      </c>
      <c r="O24" s="191">
        <v>4.2227427164704068E-2</v>
      </c>
      <c r="P24" s="191">
        <v>-0.12333333333333485</v>
      </c>
      <c r="Q24" s="191">
        <v>5.3494771321709322E-3</v>
      </c>
    </row>
    <row r="25" spans="1:17" x14ac:dyDescent="0.2">
      <c r="A25" s="187"/>
      <c r="B25" s="187"/>
      <c r="C25" s="187"/>
      <c r="D25" s="187"/>
      <c r="E25" s="187"/>
      <c r="F25" s="187"/>
      <c r="G25" s="187"/>
      <c r="H25" s="187"/>
      <c r="I25" s="187"/>
      <c r="J25" s="158"/>
      <c r="K25" s="158"/>
      <c r="L25" s="198"/>
      <c r="M25" s="157" t="s">
        <v>83</v>
      </c>
      <c r="N25" s="192" t="s">
        <v>3394</v>
      </c>
      <c r="O25" s="191">
        <v>6.2975565592438443E-2</v>
      </c>
      <c r="P25" s="191">
        <v>-3.6666666666668846E-2</v>
      </c>
      <c r="Q25" s="191">
        <v>0.17333602905274148</v>
      </c>
    </row>
    <row r="26" spans="1:17" x14ac:dyDescent="0.2">
      <c r="L26" s="1"/>
    </row>
    <row r="27" spans="1:17" x14ac:dyDescent="0.2">
      <c r="D27" t="s">
        <v>3560</v>
      </c>
      <c r="E27" t="s">
        <v>3561</v>
      </c>
      <c r="F27" s="12" t="s">
        <v>3562</v>
      </c>
      <c r="G27" t="s">
        <v>3570</v>
      </c>
      <c r="H27" t="s">
        <v>3571</v>
      </c>
      <c r="I27" t="s">
        <v>3563</v>
      </c>
      <c r="L27" s="1"/>
    </row>
    <row r="28" spans="1:17" x14ac:dyDescent="0.2">
      <c r="B28" s="138" t="s">
        <v>1268</v>
      </c>
      <c r="C28" s="136" t="s">
        <v>3459</v>
      </c>
      <c r="D28">
        <v>6.41</v>
      </c>
      <c r="E28">
        <f>2^D28</f>
        <v>85.035892102176732</v>
      </c>
      <c r="F28">
        <v>1.0925922163058658E-6</v>
      </c>
      <c r="G28">
        <f>F28*0.8</f>
        <v>8.7407377304469271E-7</v>
      </c>
      <c r="H28">
        <f>1.3*F28</f>
        <v>1.4203698811976256E-6</v>
      </c>
      <c r="I28" s="12">
        <f t="shared" ref="I28:I35" si="0">G28*E28</f>
        <v>7.4327643053971002E-5</v>
      </c>
      <c r="J28" s="12">
        <f>E28*H28</f>
        <v>1.2078241996270287E-4</v>
      </c>
      <c r="L28" s="1"/>
    </row>
    <row r="29" spans="1:17" x14ac:dyDescent="0.2">
      <c r="B29" s="138" t="s">
        <v>730</v>
      </c>
      <c r="C29" s="136" t="s">
        <v>3468</v>
      </c>
      <c r="D29">
        <v>6.52</v>
      </c>
      <c r="E29">
        <f t="shared" ref="E29:E35" si="1">2^D29</f>
        <v>91.77313587301289</v>
      </c>
      <c r="F29">
        <v>2.1602835040910041E-6</v>
      </c>
      <c r="G29">
        <f>F29*0.8</f>
        <v>1.7282268032728034E-6</v>
      </c>
      <c r="H29">
        <f t="shared" ref="H29:H35" si="2">1.3*F29</f>
        <v>2.8083685553183053E-6</v>
      </c>
      <c r="I29" s="12">
        <f t="shared" si="0"/>
        <v>1.5860479323613771E-4</v>
      </c>
      <c r="J29" s="12">
        <f t="shared" ref="J29:J35" si="3">E29*H29</f>
        <v>2.5773278900872374E-4</v>
      </c>
      <c r="L29" s="1"/>
    </row>
    <row r="30" spans="1:17" x14ac:dyDescent="0.2">
      <c r="B30" s="138" t="s">
        <v>712</v>
      </c>
      <c r="C30" s="136" t="s">
        <v>3471</v>
      </c>
      <c r="D30">
        <v>5.01</v>
      </c>
      <c r="E30">
        <f t="shared" si="1"/>
        <v>32.222577601814997</v>
      </c>
      <c r="F30">
        <v>2.0395611449455005E-6</v>
      </c>
      <c r="G30">
        <f t="shared" ref="G30:G35" si="4">F30*0.8</f>
        <v>1.6316489159564004E-6</v>
      </c>
      <c r="H30">
        <f t="shared" si="2"/>
        <v>2.6514294884291509E-6</v>
      </c>
      <c r="I30" s="12">
        <f t="shared" si="0"/>
        <v>5.2575933813322428E-5</v>
      </c>
      <c r="J30" s="12">
        <f t="shared" si="3"/>
        <v>8.5435892446648955E-5</v>
      </c>
      <c r="L30" s="144" t="s">
        <v>3555</v>
      </c>
      <c r="M30" s="144" t="s">
        <v>3564</v>
      </c>
      <c r="N30" s="144" t="s">
        <v>3565</v>
      </c>
      <c r="O30" s="145">
        <v>1.7</v>
      </c>
      <c r="P30" s="146" t="s">
        <v>3566</v>
      </c>
    </row>
    <row r="31" spans="1:17" x14ac:dyDescent="0.2">
      <c r="B31" s="138" t="s">
        <v>752</v>
      </c>
      <c r="C31" s="136" t="s">
        <v>3474</v>
      </c>
      <c r="D31">
        <v>5.42</v>
      </c>
      <c r="E31">
        <f t="shared" si="1"/>
        <v>42.813681753155571</v>
      </c>
      <c r="F31">
        <v>6.8243714241989983E-7</v>
      </c>
      <c r="G31">
        <f t="shared" si="4"/>
        <v>5.459497139359199E-7</v>
      </c>
      <c r="H31">
        <f t="shared" si="2"/>
        <v>8.8716828514586976E-7</v>
      </c>
      <c r="I31" s="12">
        <f t="shared" si="0"/>
        <v>2.3374117305678799E-5</v>
      </c>
      <c r="J31" s="12">
        <f t="shared" si="3"/>
        <v>3.7982940621728039E-5</v>
      </c>
      <c r="L31" s="147"/>
      <c r="M31" s="147"/>
      <c r="N31" s="147"/>
      <c r="O31" s="148"/>
      <c r="P31" s="148"/>
    </row>
    <row r="32" spans="1:17" x14ac:dyDescent="0.2">
      <c r="B32" s="138" t="s">
        <v>104</v>
      </c>
      <c r="C32" s="136" t="s">
        <v>3477</v>
      </c>
      <c r="D32">
        <v>5.53</v>
      </c>
      <c r="E32">
        <f t="shared" si="1"/>
        <v>46.205734256719872</v>
      </c>
      <c r="F32">
        <v>4.7077407255037966E-6</v>
      </c>
      <c r="G32">
        <f t="shared" si="4"/>
        <v>3.7661925804030376E-6</v>
      </c>
      <c r="H32">
        <f t="shared" si="2"/>
        <v>6.1200629431549359E-6</v>
      </c>
      <c r="I32" s="12">
        <f t="shared" si="0"/>
        <v>1.7401969352973283E-4</v>
      </c>
      <c r="J32" s="12">
        <f t="shared" si="3"/>
        <v>2.8278200198581584E-4</v>
      </c>
      <c r="L32" s="147" t="s">
        <v>3567</v>
      </c>
      <c r="M32" s="147"/>
      <c r="N32" s="147"/>
      <c r="O32" s="148"/>
      <c r="P32" s="148"/>
    </row>
    <row r="33" spans="2:16" x14ac:dyDescent="0.2">
      <c r="B33" s="138" t="s">
        <v>555</v>
      </c>
      <c r="C33" s="136" t="s">
        <v>3481</v>
      </c>
      <c r="D33">
        <v>2.3199999999999998</v>
      </c>
      <c r="E33">
        <f t="shared" si="1"/>
        <v>4.9933221956064466</v>
      </c>
      <c r="F33">
        <v>6.4111390078708838E-6</v>
      </c>
      <c r="G33">
        <f t="shared" si="4"/>
        <v>5.1289112062967075E-6</v>
      </c>
      <c r="H33">
        <f t="shared" si="2"/>
        <v>8.334480710232149E-6</v>
      </c>
      <c r="I33" s="12">
        <f t="shared" si="0"/>
        <v>2.5610306165695983E-5</v>
      </c>
      <c r="J33" s="12">
        <f t="shared" si="3"/>
        <v>4.161674751925597E-5</v>
      </c>
      <c r="L33" s="147" t="s">
        <v>3568</v>
      </c>
      <c r="M33" s="147"/>
      <c r="N33" s="147"/>
      <c r="O33" s="148"/>
      <c r="P33" s="148"/>
    </row>
    <row r="34" spans="2:16" x14ac:dyDescent="0.2">
      <c r="B34" s="143" t="s">
        <v>1269</v>
      </c>
      <c r="C34" s="139" t="s">
        <v>3549</v>
      </c>
      <c r="D34">
        <v>7.6</v>
      </c>
      <c r="E34">
        <f t="shared" si="1"/>
        <v>194.01172051333091</v>
      </c>
      <c r="F34">
        <v>7.8481334387772879E-7</v>
      </c>
      <c r="G34">
        <f t="shared" si="4"/>
        <v>6.2785067510218305E-7</v>
      </c>
      <c r="H34">
        <f t="shared" si="2"/>
        <v>1.0202573470410474E-6</v>
      </c>
      <c r="I34" s="12">
        <f t="shared" si="0"/>
        <v>1.2181038970203087E-4</v>
      </c>
      <c r="J34" s="12">
        <f t="shared" si="3"/>
        <v>1.9794188326580016E-4</v>
      </c>
      <c r="L34" s="147" t="s">
        <v>3569</v>
      </c>
      <c r="M34" s="147"/>
      <c r="N34" s="147"/>
      <c r="O34" s="148"/>
      <c r="P34" s="148"/>
    </row>
    <row r="35" spans="2:16" x14ac:dyDescent="0.2">
      <c r="B35" s="143" t="s">
        <v>1270</v>
      </c>
      <c r="C35" s="139" t="s">
        <v>3552</v>
      </c>
      <c r="D35">
        <v>8.64</v>
      </c>
      <c r="E35">
        <f t="shared" si="1"/>
        <v>398.93226478617595</v>
      </c>
      <c r="F35">
        <v>2.6563484005104571E-8</v>
      </c>
      <c r="G35">
        <f t="shared" si="4"/>
        <v>2.1250787204083659E-8</v>
      </c>
      <c r="H35">
        <f t="shared" si="2"/>
        <v>3.4532529206635945E-8</v>
      </c>
      <c r="I35" s="12">
        <f t="shared" si="0"/>
        <v>8.4776246678141814E-6</v>
      </c>
      <c r="J35" s="12">
        <f t="shared" si="3"/>
        <v>1.3776140085198045E-5</v>
      </c>
      <c r="L35" s="147"/>
      <c r="M35" s="147"/>
      <c r="N35" s="147"/>
      <c r="O35" s="148"/>
      <c r="P35" s="148"/>
    </row>
    <row r="36" spans="2:16" x14ac:dyDescent="0.2">
      <c r="L36" s="1"/>
    </row>
    <row r="37" spans="2:16" x14ac:dyDescent="0.2">
      <c r="L37" s="1"/>
    </row>
    <row r="38" spans="2:16" x14ac:dyDescent="0.2">
      <c r="L38" s="1"/>
    </row>
    <row r="39" spans="2:16" x14ac:dyDescent="0.2">
      <c r="B39" t="s">
        <v>786</v>
      </c>
      <c r="C39" t="s">
        <v>3463</v>
      </c>
      <c r="F39" s="12">
        <v>5.6633996157644354E-8</v>
      </c>
      <c r="L39" s="1"/>
    </row>
    <row r="40" spans="2:16" x14ac:dyDescent="0.2">
      <c r="L40" s="1"/>
    </row>
    <row r="41" spans="2:16" x14ac:dyDescent="0.2">
      <c r="D41" s="12" t="s">
        <v>3562</v>
      </c>
      <c r="E41" t="s">
        <v>3570</v>
      </c>
      <c r="F41" t="s">
        <v>3571</v>
      </c>
      <c r="I41" s="1" t="s">
        <v>3646</v>
      </c>
      <c r="L41" s="1"/>
    </row>
    <row r="42" spans="2:16" x14ac:dyDescent="0.2">
      <c r="B42" s="195" t="s">
        <v>3599</v>
      </c>
      <c r="C42" t="s">
        <v>1150</v>
      </c>
      <c r="D42">
        <v>1.5352450681521146E-7</v>
      </c>
      <c r="E42">
        <f>0.8*D42</f>
        <v>1.2281960545216917E-7</v>
      </c>
      <c r="F42" s="12">
        <f>1.3*D42</f>
        <v>1.995818588597749E-7</v>
      </c>
      <c r="I42" s="12">
        <v>2.9496851298284182E-5</v>
      </c>
      <c r="L42" s="1"/>
    </row>
    <row r="43" spans="2:16" x14ac:dyDescent="0.2">
      <c r="B43" s="195"/>
      <c r="C43" t="s">
        <v>2949</v>
      </c>
      <c r="D43">
        <v>4.9239647698288045E-8</v>
      </c>
      <c r="E43">
        <f t="shared" ref="E43:E48" si="5">0.8*D43</f>
        <v>3.939171815863044E-8</v>
      </c>
      <c r="F43" s="12">
        <f t="shared" ref="F43:F48" si="6">1.3*D43</f>
        <v>6.4011542007774463E-8</v>
      </c>
      <c r="L43" s="1"/>
    </row>
    <row r="44" spans="2:16" x14ac:dyDescent="0.2">
      <c r="B44" s="195"/>
      <c r="C44" t="s">
        <v>1151</v>
      </c>
      <c r="D44">
        <v>4.111556433792616E-7</v>
      </c>
      <c r="E44">
        <f t="shared" si="5"/>
        <v>3.2892451470340933E-7</v>
      </c>
      <c r="F44" s="12">
        <f t="shared" si="6"/>
        <v>5.3450233639304015E-7</v>
      </c>
      <c r="L44" s="1"/>
    </row>
    <row r="45" spans="2:16" x14ac:dyDescent="0.2">
      <c r="B45" s="195"/>
      <c r="C45" t="s">
        <v>1152</v>
      </c>
      <c r="D45">
        <v>9.3751426606283341E-8</v>
      </c>
      <c r="E45">
        <f t="shared" si="5"/>
        <v>7.5001141285026672E-8</v>
      </c>
      <c r="F45" s="12">
        <f t="shared" si="6"/>
        <v>1.2187685458816835E-7</v>
      </c>
      <c r="L45" s="1"/>
    </row>
    <row r="46" spans="2:16" x14ac:dyDescent="0.2">
      <c r="B46" s="195"/>
      <c r="C46" t="s">
        <v>1153</v>
      </c>
      <c r="D46">
        <v>5.2364648992620197E-7</v>
      </c>
      <c r="E46">
        <f t="shared" si="5"/>
        <v>4.1891719194096162E-7</v>
      </c>
      <c r="F46" s="12">
        <f t="shared" si="6"/>
        <v>6.8074043690406255E-7</v>
      </c>
      <c r="L46" s="1"/>
    </row>
    <row r="47" spans="2:16" x14ac:dyDescent="0.2">
      <c r="B47" s="195"/>
      <c r="C47" t="s">
        <v>1154</v>
      </c>
      <c r="D47">
        <v>2.0463281994826946E-7</v>
      </c>
      <c r="E47">
        <f t="shared" si="5"/>
        <v>1.6370625595861558E-7</v>
      </c>
      <c r="F47" s="12">
        <f t="shared" si="6"/>
        <v>2.6602266593275033E-7</v>
      </c>
      <c r="L47" s="1"/>
    </row>
    <row r="48" spans="2:16" x14ac:dyDescent="0.2">
      <c r="B48" s="195"/>
      <c r="C48" t="s">
        <v>1357</v>
      </c>
      <c r="D48">
        <v>8.7477286710060879E-7</v>
      </c>
      <c r="E48">
        <f t="shared" si="5"/>
        <v>6.9981829368048703E-7</v>
      </c>
      <c r="F48" s="12">
        <f t="shared" si="6"/>
        <v>1.1372047272307915E-6</v>
      </c>
      <c r="L48" s="1"/>
    </row>
    <row r="49" spans="12:12" x14ac:dyDescent="0.2">
      <c r="L49" s="1"/>
    </row>
    <row r="50" spans="12:12" x14ac:dyDescent="0.2">
      <c r="L50" s="1"/>
    </row>
    <row r="51" spans="12:12" x14ac:dyDescent="0.2">
      <c r="L51" s="1"/>
    </row>
    <row r="52" spans="12:12" x14ac:dyDescent="0.2">
      <c r="L52" s="1"/>
    </row>
    <row r="53" spans="12:12" x14ac:dyDescent="0.2">
      <c r="L53" s="1"/>
    </row>
    <row r="54" spans="12:12" x14ac:dyDescent="0.2">
      <c r="L54" s="1"/>
    </row>
    <row r="55" spans="12:12" x14ac:dyDescent="0.2">
      <c r="L55" s="1"/>
    </row>
    <row r="56" spans="12:12" x14ac:dyDescent="0.2">
      <c r="L56" s="1"/>
    </row>
    <row r="57" spans="12:12" x14ac:dyDescent="0.2">
      <c r="L57" s="1"/>
    </row>
    <row r="58" spans="12:12" x14ac:dyDescent="0.2">
      <c r="L58" s="1"/>
    </row>
    <row r="59" spans="12:12" x14ac:dyDescent="0.2">
      <c r="L59" s="1"/>
    </row>
    <row r="60" spans="12:12" x14ac:dyDescent="0.2">
      <c r="L60" s="1"/>
    </row>
    <row r="61" spans="12:12" x14ac:dyDescent="0.2">
      <c r="L61" s="1"/>
    </row>
    <row r="62" spans="12:12" x14ac:dyDescent="0.2">
      <c r="L62" s="1"/>
    </row>
    <row r="63" spans="12:12" x14ac:dyDescent="0.2">
      <c r="L63" s="1"/>
    </row>
    <row r="64" spans="12:12"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row r="1002" spans="12:12" x14ac:dyDescent="0.2">
      <c r="L1002" s="1"/>
    </row>
    <row r="1003" spans="12:12" x14ac:dyDescent="0.2">
      <c r="L1003" s="1"/>
    </row>
    <row r="1004" spans="12:12" x14ac:dyDescent="0.2">
      <c r="L1004" s="1"/>
    </row>
    <row r="1005" spans="12:12" x14ac:dyDescent="0.2">
      <c r="L1005" s="1"/>
    </row>
    <row r="1006" spans="12:12" x14ac:dyDescent="0.2">
      <c r="L1006" s="1"/>
    </row>
    <row r="1007" spans="12:12" x14ac:dyDescent="0.2">
      <c r="L1007" s="1"/>
    </row>
    <row r="1008" spans="12:12" x14ac:dyDescent="0.2">
      <c r="L1008" s="1"/>
    </row>
    <row r="1009" spans="12:12" x14ac:dyDescent="0.2">
      <c r="L1009" s="1"/>
    </row>
    <row r="1010" spans="12:12" x14ac:dyDescent="0.2">
      <c r="L1010" s="1"/>
    </row>
    <row r="1011" spans="12:12" x14ac:dyDescent="0.2">
      <c r="L1011" s="1"/>
    </row>
    <row r="1012" spans="12:12" x14ac:dyDescent="0.2">
      <c r="L1012" s="1"/>
    </row>
    <row r="1013" spans="12:12" x14ac:dyDescent="0.2">
      <c r="L1013" s="1"/>
    </row>
    <row r="1014" spans="12:12" x14ac:dyDescent="0.2">
      <c r="L1014" s="1"/>
    </row>
    <row r="1015" spans="12:12" x14ac:dyDescent="0.2">
      <c r="L1015" s="1"/>
    </row>
    <row r="1016" spans="12:12" x14ac:dyDescent="0.2">
      <c r="L1016" s="1"/>
    </row>
    <row r="1017" spans="12:12" x14ac:dyDescent="0.2">
      <c r="L1017" s="1"/>
    </row>
    <row r="1018" spans="12:12" x14ac:dyDescent="0.2">
      <c r="L1018" s="1"/>
    </row>
    <row r="1019" spans="12:12" x14ac:dyDescent="0.2">
      <c r="L1019" s="1"/>
    </row>
    <row r="1020" spans="12:12" x14ac:dyDescent="0.2">
      <c r="L1020" s="1"/>
    </row>
    <row r="1021" spans="12:12" x14ac:dyDescent="0.2">
      <c r="L1021" s="1"/>
    </row>
    <row r="1022" spans="12:12" x14ac:dyDescent="0.2">
      <c r="L1022" s="1"/>
    </row>
    <row r="1023" spans="12:12" x14ac:dyDescent="0.2">
      <c r="L1023" s="1"/>
    </row>
    <row r="1024" spans="12:12" x14ac:dyDescent="0.2">
      <c r="L1024" s="1"/>
    </row>
    <row r="1025" spans="12:12" x14ac:dyDescent="0.2">
      <c r="L1025" s="1"/>
    </row>
    <row r="1026" spans="12:12" x14ac:dyDescent="0.2">
      <c r="L1026" s="1"/>
    </row>
    <row r="1027" spans="12:12" x14ac:dyDescent="0.2">
      <c r="L1027" s="1"/>
    </row>
    <row r="1028" spans="12:12" x14ac:dyDescent="0.2">
      <c r="L1028" s="1"/>
    </row>
    <row r="1029" spans="12:12" x14ac:dyDescent="0.2">
      <c r="L1029" s="1"/>
    </row>
    <row r="1030" spans="12:12" x14ac:dyDescent="0.2">
      <c r="L1030" s="1"/>
    </row>
    <row r="1031" spans="12:12" x14ac:dyDescent="0.2">
      <c r="L1031" s="1"/>
    </row>
    <row r="1032" spans="12:12" x14ac:dyDescent="0.2">
      <c r="L1032" s="1"/>
    </row>
    <row r="1033" spans="12:12" x14ac:dyDescent="0.2">
      <c r="L1033" s="1"/>
    </row>
    <row r="1034" spans="12:12" x14ac:dyDescent="0.2">
      <c r="L1034" s="1"/>
    </row>
    <row r="1035" spans="12:12" x14ac:dyDescent="0.2">
      <c r="L1035" s="1"/>
    </row>
    <row r="1036" spans="12:12" x14ac:dyDescent="0.2">
      <c r="L1036" s="1"/>
    </row>
    <row r="1037" spans="12:12" x14ac:dyDescent="0.2">
      <c r="L1037" s="1"/>
    </row>
    <row r="1038" spans="12:12" x14ac:dyDescent="0.2">
      <c r="L1038" s="1"/>
    </row>
    <row r="1039" spans="12:12" x14ac:dyDescent="0.2">
      <c r="L1039" s="1"/>
    </row>
    <row r="1040" spans="12:12" x14ac:dyDescent="0.2">
      <c r="L1040" s="1"/>
    </row>
    <row r="1041" spans="12:12" x14ac:dyDescent="0.2">
      <c r="L1041" s="1"/>
    </row>
    <row r="1042" spans="12:12" x14ac:dyDescent="0.2">
      <c r="L1042" s="1"/>
    </row>
    <row r="1043" spans="12:12" x14ac:dyDescent="0.2">
      <c r="L1043" s="1"/>
    </row>
    <row r="1044" spans="12:12" x14ac:dyDescent="0.2">
      <c r="L1044" s="1"/>
    </row>
    <row r="1045" spans="12:12" x14ac:dyDescent="0.2">
      <c r="L1045" s="1"/>
    </row>
    <row r="1046" spans="12:12" x14ac:dyDescent="0.2">
      <c r="L1046" s="1"/>
    </row>
    <row r="1047" spans="12:12" x14ac:dyDescent="0.2">
      <c r="L1047" s="1"/>
    </row>
    <row r="1048" spans="12:12" x14ac:dyDescent="0.2">
      <c r="L1048" s="1"/>
    </row>
    <row r="1049" spans="12:12" x14ac:dyDescent="0.2">
      <c r="L1049" s="1"/>
    </row>
    <row r="1050" spans="12:12" x14ac:dyDescent="0.2">
      <c r="L1050" s="1"/>
    </row>
    <row r="1051" spans="12:12" x14ac:dyDescent="0.2">
      <c r="L1051" s="1"/>
    </row>
    <row r="1052" spans="12:12" x14ac:dyDescent="0.2">
      <c r="L1052" s="1"/>
    </row>
    <row r="1053" spans="12:12" x14ac:dyDescent="0.2">
      <c r="L1053" s="1"/>
    </row>
    <row r="1054" spans="12:12" x14ac:dyDescent="0.2">
      <c r="L1054" s="1"/>
    </row>
    <row r="1055" spans="12:12" x14ac:dyDescent="0.2">
      <c r="L1055" s="1"/>
    </row>
    <row r="1056" spans="12:12" x14ac:dyDescent="0.2">
      <c r="L1056" s="1"/>
    </row>
    <row r="1057" spans="12:12" x14ac:dyDescent="0.2">
      <c r="L1057" s="1"/>
    </row>
    <row r="1058" spans="12:12" x14ac:dyDescent="0.2">
      <c r="L1058" s="1"/>
    </row>
    <row r="1059" spans="12:12" x14ac:dyDescent="0.2">
      <c r="L1059" s="1"/>
    </row>
    <row r="1060" spans="12:12" x14ac:dyDescent="0.2">
      <c r="L1060" s="1"/>
    </row>
    <row r="1061" spans="12:12" x14ac:dyDescent="0.2">
      <c r="L1061" s="1"/>
    </row>
    <row r="1062" spans="12:12" x14ac:dyDescent="0.2">
      <c r="L1062" s="1"/>
    </row>
    <row r="1063" spans="12:12" x14ac:dyDescent="0.2">
      <c r="L1063" s="1"/>
    </row>
    <row r="1064" spans="12:12" x14ac:dyDescent="0.2">
      <c r="L1064" s="1"/>
    </row>
    <row r="1065" spans="12:12" x14ac:dyDescent="0.2">
      <c r="L1065" s="1"/>
    </row>
    <row r="1066" spans="12:12" x14ac:dyDescent="0.2">
      <c r="L1066" s="1"/>
    </row>
    <row r="1067" spans="12:12" x14ac:dyDescent="0.2">
      <c r="L1067" s="1"/>
    </row>
    <row r="1068" spans="12:12" x14ac:dyDescent="0.2">
      <c r="L1068" s="1"/>
    </row>
    <row r="1069" spans="12:12" x14ac:dyDescent="0.2">
      <c r="L1069" s="1"/>
    </row>
    <row r="1070" spans="12:12" x14ac:dyDescent="0.2">
      <c r="L1070" s="1"/>
    </row>
    <row r="1071" spans="12:12" x14ac:dyDescent="0.2">
      <c r="L1071" s="1"/>
    </row>
    <row r="1072" spans="12:12" x14ac:dyDescent="0.2">
      <c r="L1072" s="1"/>
    </row>
    <row r="1073" spans="12:12" x14ac:dyDescent="0.2">
      <c r="L1073" s="1"/>
    </row>
    <row r="1074" spans="12:12" x14ac:dyDescent="0.2">
      <c r="L1074" s="1"/>
    </row>
    <row r="1075" spans="12:12" x14ac:dyDescent="0.2">
      <c r="L1075" s="1"/>
    </row>
    <row r="1076" spans="12:12" x14ac:dyDescent="0.2">
      <c r="L1076" s="1"/>
    </row>
    <row r="1077" spans="12:12" x14ac:dyDescent="0.2">
      <c r="L1077" s="1"/>
    </row>
    <row r="1078" spans="12:12" x14ac:dyDescent="0.2">
      <c r="L1078" s="1"/>
    </row>
    <row r="1079" spans="12:12" x14ac:dyDescent="0.2">
      <c r="L1079" s="1"/>
    </row>
    <row r="1080" spans="12:12" x14ac:dyDescent="0.2">
      <c r="L1080" s="1"/>
    </row>
    <row r="1081" spans="12:12" x14ac:dyDescent="0.2">
      <c r="L1081" s="1"/>
    </row>
    <row r="1082" spans="12:12" x14ac:dyDescent="0.2">
      <c r="L1082" s="1"/>
    </row>
    <row r="1083" spans="12:12" x14ac:dyDescent="0.2">
      <c r="L1083" s="1"/>
    </row>
    <row r="1084" spans="12:12" x14ac:dyDescent="0.2">
      <c r="L1084" s="1"/>
    </row>
    <row r="1085" spans="12:12" x14ac:dyDescent="0.2">
      <c r="L1085" s="1"/>
    </row>
    <row r="1086" spans="12:12" x14ac:dyDescent="0.2">
      <c r="L1086" s="1"/>
    </row>
    <row r="1087" spans="12:12" x14ac:dyDescent="0.2">
      <c r="L1087" s="1"/>
    </row>
    <row r="1088" spans="12:12" x14ac:dyDescent="0.2">
      <c r="L1088" s="1"/>
    </row>
    <row r="1089" spans="12:12" x14ac:dyDescent="0.2">
      <c r="L1089" s="1"/>
    </row>
    <row r="1090" spans="12:12" x14ac:dyDescent="0.2">
      <c r="L1090" s="1"/>
    </row>
    <row r="1091" spans="12:12" x14ac:dyDescent="0.2">
      <c r="L1091" s="1"/>
    </row>
    <row r="1092" spans="12:12" x14ac:dyDescent="0.2">
      <c r="L1092" s="1"/>
    </row>
    <row r="1093" spans="12:12" x14ac:dyDescent="0.2">
      <c r="L1093" s="1"/>
    </row>
    <row r="1094" spans="12:12" x14ac:dyDescent="0.2">
      <c r="L1094" s="1"/>
    </row>
    <row r="1095" spans="12:12" x14ac:dyDescent="0.2">
      <c r="L1095" s="1"/>
    </row>
    <row r="1096" spans="12:12" x14ac:dyDescent="0.2">
      <c r="L1096" s="1"/>
    </row>
    <row r="1097" spans="12:12" x14ac:dyDescent="0.2">
      <c r="L1097" s="1"/>
    </row>
    <row r="1098" spans="12:12" x14ac:dyDescent="0.2">
      <c r="L1098" s="1"/>
    </row>
    <row r="1099" spans="12:12" x14ac:dyDescent="0.2">
      <c r="L1099" s="1"/>
    </row>
    <row r="1100" spans="12:12" x14ac:dyDescent="0.2">
      <c r="L1100" s="1"/>
    </row>
    <row r="1101" spans="12:12" x14ac:dyDescent="0.2">
      <c r="L1101" s="1"/>
    </row>
    <row r="1102" spans="12:12" x14ac:dyDescent="0.2">
      <c r="L1102" s="1"/>
    </row>
    <row r="1103" spans="12:12" x14ac:dyDescent="0.2">
      <c r="L1103" s="1"/>
    </row>
    <row r="1104" spans="12:12" x14ac:dyDescent="0.2">
      <c r="L1104" s="1"/>
    </row>
    <row r="1105" spans="12:12" x14ac:dyDescent="0.2">
      <c r="L1105" s="1"/>
    </row>
    <row r="1106" spans="12:12" x14ac:dyDescent="0.2">
      <c r="L1106" s="1"/>
    </row>
    <row r="1107" spans="12:12" x14ac:dyDescent="0.2">
      <c r="L1107" s="1"/>
    </row>
    <row r="1108" spans="12:12" x14ac:dyDescent="0.2">
      <c r="L1108" s="1"/>
    </row>
    <row r="1109" spans="12:12" x14ac:dyDescent="0.2">
      <c r="L1109" s="1"/>
    </row>
    <row r="1110" spans="12:12" x14ac:dyDescent="0.2">
      <c r="L1110" s="1"/>
    </row>
    <row r="1111" spans="12:12" x14ac:dyDescent="0.2">
      <c r="L1111" s="1"/>
    </row>
    <row r="1112" spans="12:12" x14ac:dyDescent="0.2">
      <c r="L1112" s="1"/>
    </row>
    <row r="1113" spans="12:12" x14ac:dyDescent="0.2">
      <c r="L1113" s="1"/>
    </row>
    <row r="1114" spans="12:12" x14ac:dyDescent="0.2">
      <c r="L1114" s="1"/>
    </row>
    <row r="1115" spans="12:12" x14ac:dyDescent="0.2">
      <c r="L1115" s="1"/>
    </row>
    <row r="1116" spans="12:12" x14ac:dyDescent="0.2">
      <c r="L1116" s="1"/>
    </row>
    <row r="1117" spans="12:12" x14ac:dyDescent="0.2">
      <c r="L1117" s="1"/>
    </row>
    <row r="1118" spans="12:12" x14ac:dyDescent="0.2">
      <c r="L1118" s="1"/>
    </row>
    <row r="1119" spans="12:12" x14ac:dyDescent="0.2">
      <c r="L1119" s="1"/>
    </row>
    <row r="1120" spans="12:12" x14ac:dyDescent="0.2">
      <c r="L1120" s="1"/>
    </row>
    <row r="1121" spans="12:12" x14ac:dyDescent="0.2">
      <c r="L1121" s="1"/>
    </row>
    <row r="1122" spans="12:12" x14ac:dyDescent="0.2">
      <c r="L1122" s="1"/>
    </row>
    <row r="1123" spans="12:12" x14ac:dyDescent="0.2">
      <c r="L1123" s="1"/>
    </row>
    <row r="1124" spans="12:12" x14ac:dyDescent="0.2">
      <c r="L1124" s="1"/>
    </row>
    <row r="1125" spans="12:12" x14ac:dyDescent="0.2">
      <c r="L1125" s="1"/>
    </row>
    <row r="1126" spans="12:12" x14ac:dyDescent="0.2">
      <c r="L1126" s="1"/>
    </row>
    <row r="1127" spans="12:12" x14ac:dyDescent="0.2">
      <c r="L1127" s="1"/>
    </row>
    <row r="1128" spans="12:12" x14ac:dyDescent="0.2">
      <c r="L1128" s="1"/>
    </row>
    <row r="1129" spans="12:12" x14ac:dyDescent="0.2">
      <c r="L1129" s="1"/>
    </row>
    <row r="1130" spans="12:12" x14ac:dyDescent="0.2">
      <c r="L1130" s="1"/>
    </row>
    <row r="1131" spans="12:12" x14ac:dyDescent="0.2">
      <c r="L1131" s="1"/>
    </row>
    <row r="1132" spans="12:12" x14ac:dyDescent="0.2">
      <c r="L1132" s="1"/>
    </row>
    <row r="1133" spans="12:12" x14ac:dyDescent="0.2">
      <c r="L1133" s="1"/>
    </row>
    <row r="1134" spans="12:12" x14ac:dyDescent="0.2">
      <c r="L1134" s="1"/>
    </row>
    <row r="1135" spans="12:12" x14ac:dyDescent="0.2">
      <c r="L1135" s="1"/>
    </row>
    <row r="1136" spans="12:12" x14ac:dyDescent="0.2">
      <c r="L1136" s="1"/>
    </row>
    <row r="1137" spans="12:12" x14ac:dyDescent="0.2">
      <c r="L1137" s="1"/>
    </row>
    <row r="1138" spans="12:12" x14ac:dyDescent="0.2">
      <c r="L1138" s="1"/>
    </row>
    <row r="1139" spans="12:12" x14ac:dyDescent="0.2">
      <c r="L1139" s="1"/>
    </row>
    <row r="1140" spans="12:12" x14ac:dyDescent="0.2">
      <c r="L1140" s="1"/>
    </row>
    <row r="1141" spans="12:12" x14ac:dyDescent="0.2">
      <c r="L1141" s="1"/>
    </row>
    <row r="1142" spans="12:12" x14ac:dyDescent="0.2">
      <c r="L1142" s="1"/>
    </row>
    <row r="1143" spans="12:12" x14ac:dyDescent="0.2">
      <c r="L1143" s="1"/>
    </row>
    <row r="1144" spans="12:12" x14ac:dyDescent="0.2">
      <c r="L1144" s="1"/>
    </row>
    <row r="1145" spans="12:12" x14ac:dyDescent="0.2">
      <c r="L1145" s="1"/>
    </row>
    <row r="1146" spans="12:12" x14ac:dyDescent="0.2">
      <c r="L1146" s="1"/>
    </row>
    <row r="1147" spans="12:12" x14ac:dyDescent="0.2">
      <c r="L1147" s="1"/>
    </row>
    <row r="1148" spans="12:12" x14ac:dyDescent="0.2">
      <c r="L1148" s="1"/>
    </row>
    <row r="1149" spans="12:12" x14ac:dyDescent="0.2">
      <c r="L1149" s="1"/>
    </row>
    <row r="1150" spans="12:12" x14ac:dyDescent="0.2">
      <c r="L1150" s="1"/>
    </row>
    <row r="1151" spans="12:12" x14ac:dyDescent="0.2">
      <c r="L1151" s="1"/>
    </row>
    <row r="1152" spans="12:12" x14ac:dyDescent="0.2">
      <c r="L1152" s="1"/>
    </row>
    <row r="1153" spans="12:12" x14ac:dyDescent="0.2">
      <c r="L1153" s="1"/>
    </row>
    <row r="1154" spans="12:12" x14ac:dyDescent="0.2">
      <c r="L1154" s="1"/>
    </row>
    <row r="1155" spans="12:12" x14ac:dyDescent="0.2">
      <c r="L1155" s="1"/>
    </row>
    <row r="1156" spans="12:12" x14ac:dyDescent="0.2">
      <c r="L1156" s="1"/>
    </row>
    <row r="1157" spans="12:12" x14ac:dyDescent="0.2">
      <c r="L1157" s="1"/>
    </row>
    <row r="1158" spans="12:12" x14ac:dyDescent="0.2">
      <c r="L1158" s="1"/>
    </row>
    <row r="1159" spans="12:12" x14ac:dyDescent="0.2">
      <c r="L1159" s="1"/>
    </row>
    <row r="1160" spans="12:12" x14ac:dyDescent="0.2">
      <c r="L1160" s="1"/>
    </row>
    <row r="1161" spans="12:12" x14ac:dyDescent="0.2">
      <c r="L1161" s="1"/>
    </row>
    <row r="1162" spans="12:12" x14ac:dyDescent="0.2">
      <c r="L1162" s="1"/>
    </row>
    <row r="1163" spans="12:12" x14ac:dyDescent="0.2">
      <c r="L1163" s="1"/>
    </row>
    <row r="1164" spans="12:12" x14ac:dyDescent="0.2">
      <c r="L1164" s="1"/>
    </row>
    <row r="1165" spans="12:12" x14ac:dyDescent="0.2">
      <c r="L1165" s="1"/>
    </row>
    <row r="1166" spans="12:12" x14ac:dyDescent="0.2">
      <c r="L1166" s="1"/>
    </row>
    <row r="1167" spans="12:12" x14ac:dyDescent="0.2">
      <c r="L1167" s="1"/>
    </row>
    <row r="1168" spans="12:12" x14ac:dyDescent="0.2">
      <c r="L1168" s="1"/>
    </row>
    <row r="1169" spans="12:12" x14ac:dyDescent="0.2">
      <c r="L1169" s="1"/>
    </row>
    <row r="1170" spans="12:12" x14ac:dyDescent="0.2">
      <c r="L1170" s="1"/>
    </row>
    <row r="1171" spans="12:12" x14ac:dyDescent="0.2">
      <c r="L1171" s="1"/>
    </row>
    <row r="1172" spans="12:12" x14ac:dyDescent="0.2">
      <c r="L1172" s="1"/>
    </row>
    <row r="1173" spans="12:12" x14ac:dyDescent="0.2">
      <c r="L1173" s="1"/>
    </row>
    <row r="1174" spans="12:12" x14ac:dyDescent="0.2">
      <c r="L1174" s="1"/>
    </row>
    <row r="1175" spans="12:12" x14ac:dyDescent="0.2">
      <c r="L1175" s="1"/>
    </row>
    <row r="1176" spans="12:12" x14ac:dyDescent="0.2">
      <c r="L1176" s="1"/>
    </row>
    <row r="1177" spans="12:12" x14ac:dyDescent="0.2">
      <c r="L1177" s="1"/>
    </row>
    <row r="1178" spans="12:12" x14ac:dyDescent="0.2">
      <c r="L1178" s="1"/>
    </row>
    <row r="1179" spans="12:12" x14ac:dyDescent="0.2">
      <c r="L1179" s="1"/>
    </row>
    <row r="1180" spans="12:12" x14ac:dyDescent="0.2">
      <c r="L1180" s="1"/>
    </row>
    <row r="1181" spans="12:12" x14ac:dyDescent="0.2">
      <c r="L1181" s="1"/>
    </row>
    <row r="1182" spans="12:12" x14ac:dyDescent="0.2">
      <c r="L1182" s="1"/>
    </row>
    <row r="1183" spans="12:12" x14ac:dyDescent="0.2">
      <c r="L1183" s="1"/>
    </row>
    <row r="1184" spans="12:12" x14ac:dyDescent="0.2">
      <c r="L1184" s="1"/>
    </row>
    <row r="1185" spans="12:12" x14ac:dyDescent="0.2">
      <c r="L1185" s="1"/>
    </row>
    <row r="1186" spans="12:12" x14ac:dyDescent="0.2">
      <c r="L1186" s="1"/>
    </row>
    <row r="1187" spans="12:12" x14ac:dyDescent="0.2">
      <c r="L1187" s="1"/>
    </row>
    <row r="1188" spans="12:12" x14ac:dyDescent="0.2">
      <c r="L1188" s="1"/>
    </row>
    <row r="1189" spans="12:12" x14ac:dyDescent="0.2">
      <c r="L1189" s="1"/>
    </row>
    <row r="1190" spans="12:12" x14ac:dyDescent="0.2">
      <c r="L1190" s="1"/>
    </row>
    <row r="1191" spans="12:12" x14ac:dyDescent="0.2">
      <c r="L1191" s="1"/>
    </row>
    <row r="1192" spans="12:12" x14ac:dyDescent="0.2">
      <c r="L1192" s="1"/>
    </row>
    <row r="1193" spans="12:12" x14ac:dyDescent="0.2">
      <c r="L1193" s="1"/>
    </row>
    <row r="1194" spans="12:12" x14ac:dyDescent="0.2">
      <c r="L1194" s="1"/>
    </row>
    <row r="1195" spans="12:12" x14ac:dyDescent="0.2">
      <c r="L1195" s="1"/>
    </row>
    <row r="1196" spans="12:12" x14ac:dyDescent="0.2">
      <c r="L1196" s="1"/>
    </row>
    <row r="1197" spans="12:12" x14ac:dyDescent="0.2">
      <c r="L1197" s="1"/>
    </row>
    <row r="1198" spans="12:12" x14ac:dyDescent="0.2">
      <c r="L1198" s="1"/>
    </row>
    <row r="1199" spans="12:12" x14ac:dyDescent="0.2">
      <c r="L1199" s="1"/>
    </row>
    <row r="1200" spans="12:12" x14ac:dyDescent="0.2">
      <c r="L1200" s="1"/>
    </row>
    <row r="1201" spans="12:12" x14ac:dyDescent="0.2">
      <c r="L1201" s="1"/>
    </row>
    <row r="1202" spans="12:12" x14ac:dyDescent="0.2">
      <c r="L1202" s="1"/>
    </row>
    <row r="1203" spans="12:12" x14ac:dyDescent="0.2">
      <c r="L1203" s="1"/>
    </row>
    <row r="1204" spans="12:12" x14ac:dyDescent="0.2">
      <c r="L1204" s="1"/>
    </row>
    <row r="1205" spans="12:12" x14ac:dyDescent="0.2">
      <c r="L1205" s="1"/>
    </row>
    <row r="1206" spans="12:12" x14ac:dyDescent="0.2">
      <c r="L1206" s="1"/>
    </row>
    <row r="1207" spans="12:12" x14ac:dyDescent="0.2">
      <c r="L1207" s="1"/>
    </row>
    <row r="1208" spans="12:12" x14ac:dyDescent="0.2">
      <c r="L1208" s="1"/>
    </row>
    <row r="1209" spans="12:12" x14ac:dyDescent="0.2">
      <c r="L1209" s="1"/>
    </row>
    <row r="1210" spans="12:12" x14ac:dyDescent="0.2">
      <c r="L1210" s="1"/>
    </row>
    <row r="1211" spans="12:12" x14ac:dyDescent="0.2">
      <c r="L1211" s="1"/>
    </row>
    <row r="1212" spans="12:12" x14ac:dyDescent="0.2">
      <c r="L1212" s="1"/>
    </row>
    <row r="1213" spans="12:12" x14ac:dyDescent="0.2">
      <c r="L1213" s="1"/>
    </row>
    <row r="1214" spans="12:12" x14ac:dyDescent="0.2">
      <c r="L1214" s="1"/>
    </row>
    <row r="1215" spans="12:12" x14ac:dyDescent="0.2">
      <c r="L1215" s="1"/>
    </row>
    <row r="1216" spans="12:12" x14ac:dyDescent="0.2">
      <c r="L1216" s="1"/>
    </row>
    <row r="1217" spans="12:12" x14ac:dyDescent="0.2">
      <c r="L1217" s="1"/>
    </row>
    <row r="1218" spans="12:12" x14ac:dyDescent="0.2">
      <c r="L1218" s="1"/>
    </row>
    <row r="1219" spans="12:12" x14ac:dyDescent="0.2">
      <c r="L1219" s="1"/>
    </row>
    <row r="1220" spans="12:12" x14ac:dyDescent="0.2">
      <c r="L1220" s="1"/>
    </row>
    <row r="1221" spans="12:12" x14ac:dyDescent="0.2">
      <c r="L1221" s="1"/>
    </row>
    <row r="1222" spans="12:12" x14ac:dyDescent="0.2">
      <c r="L1222" s="1"/>
    </row>
    <row r="1223" spans="12:12" x14ac:dyDescent="0.2">
      <c r="L1223" s="1"/>
    </row>
    <row r="1224" spans="12:12" x14ac:dyDescent="0.2">
      <c r="L1224" s="1"/>
    </row>
    <row r="1225" spans="12:12" x14ac:dyDescent="0.2">
      <c r="L1225" s="1"/>
    </row>
    <row r="1226" spans="12:12" x14ac:dyDescent="0.2">
      <c r="L1226" s="1"/>
    </row>
    <row r="1227" spans="12:12" x14ac:dyDescent="0.2">
      <c r="L1227" s="1"/>
    </row>
    <row r="1228" spans="12:12" x14ac:dyDescent="0.2">
      <c r="L1228" s="1"/>
    </row>
    <row r="1229" spans="12:12" x14ac:dyDescent="0.2">
      <c r="L1229" s="1"/>
    </row>
    <row r="1230" spans="12:12" x14ac:dyDescent="0.2">
      <c r="L1230" s="1"/>
    </row>
    <row r="1231" spans="12:12" x14ac:dyDescent="0.2">
      <c r="L1231" s="1"/>
    </row>
    <row r="1232" spans="12:12" x14ac:dyDescent="0.2">
      <c r="L1232" s="1"/>
    </row>
    <row r="1233" spans="12:12" x14ac:dyDescent="0.2">
      <c r="L1233" s="1"/>
    </row>
    <row r="1234" spans="12:12" x14ac:dyDescent="0.2">
      <c r="L1234" s="1"/>
    </row>
    <row r="1235" spans="12:12" x14ac:dyDescent="0.2">
      <c r="L1235" s="1"/>
    </row>
    <row r="1236" spans="12:12" x14ac:dyDescent="0.2">
      <c r="L1236" s="1"/>
    </row>
    <row r="1237" spans="12:12" x14ac:dyDescent="0.2">
      <c r="L1237" s="1"/>
    </row>
    <row r="1238" spans="12:12" x14ac:dyDescent="0.2">
      <c r="L1238" s="1"/>
    </row>
    <row r="1239" spans="12:12" x14ac:dyDescent="0.2">
      <c r="L1239" s="1"/>
    </row>
    <row r="1240" spans="12:12" x14ac:dyDescent="0.2">
      <c r="L1240" s="1"/>
    </row>
    <row r="1241" spans="12:12" x14ac:dyDescent="0.2">
      <c r="L1241" s="1"/>
    </row>
    <row r="1242" spans="12:12" x14ac:dyDescent="0.2">
      <c r="L1242" s="1"/>
    </row>
    <row r="1243" spans="12:12" x14ac:dyDescent="0.2">
      <c r="L1243" s="1"/>
    </row>
    <row r="1244" spans="12:12" x14ac:dyDescent="0.2">
      <c r="L1244" s="1"/>
    </row>
    <row r="1245" spans="12:12" x14ac:dyDescent="0.2">
      <c r="L1245" s="1"/>
    </row>
    <row r="1246" spans="12:12" x14ac:dyDescent="0.2">
      <c r="L1246" s="1"/>
    </row>
    <row r="1247" spans="12:12" x14ac:dyDescent="0.2">
      <c r="L1247" s="1"/>
    </row>
    <row r="1248" spans="12:12" x14ac:dyDescent="0.2">
      <c r="L1248" s="1"/>
    </row>
    <row r="1249" spans="12:12" x14ac:dyDescent="0.2">
      <c r="L1249" s="1"/>
    </row>
    <row r="1250" spans="12:12" x14ac:dyDescent="0.2">
      <c r="L1250" s="1"/>
    </row>
    <row r="1251" spans="12:12" x14ac:dyDescent="0.2">
      <c r="L1251" s="1"/>
    </row>
    <row r="1252" spans="12:12" x14ac:dyDescent="0.2">
      <c r="L1252" s="1"/>
    </row>
    <row r="1253" spans="12:12" x14ac:dyDescent="0.2">
      <c r="L1253" s="1"/>
    </row>
    <row r="1254" spans="12:12" x14ac:dyDescent="0.2">
      <c r="L1254" s="1"/>
    </row>
    <row r="1255" spans="12:12" x14ac:dyDescent="0.2">
      <c r="L1255" s="1"/>
    </row>
    <row r="1256" spans="12:12" x14ac:dyDescent="0.2">
      <c r="L1256" s="1"/>
    </row>
    <row r="1257" spans="12:12" x14ac:dyDescent="0.2">
      <c r="L1257" s="1"/>
    </row>
    <row r="1258" spans="12:12" x14ac:dyDescent="0.2">
      <c r="L1258" s="1"/>
    </row>
    <row r="1259" spans="12:12" x14ac:dyDescent="0.2">
      <c r="L1259" s="1"/>
    </row>
    <row r="1260" spans="12:12" x14ac:dyDescent="0.2">
      <c r="L1260" s="1"/>
    </row>
    <row r="1261" spans="12:12" x14ac:dyDescent="0.2">
      <c r="L1261" s="1"/>
    </row>
    <row r="1262" spans="12:12" x14ac:dyDescent="0.2">
      <c r="L1262" s="1"/>
    </row>
    <row r="1263" spans="12:12" x14ac:dyDescent="0.2">
      <c r="L1263" s="1"/>
    </row>
    <row r="1264" spans="12:12" x14ac:dyDescent="0.2">
      <c r="L1264" s="1"/>
    </row>
    <row r="1265" spans="12:12" x14ac:dyDescent="0.2">
      <c r="L1265" s="1"/>
    </row>
    <row r="1266" spans="12:12" x14ac:dyDescent="0.2">
      <c r="L1266" s="1"/>
    </row>
    <row r="1267" spans="12:12" x14ac:dyDescent="0.2">
      <c r="L1267" s="1"/>
    </row>
    <row r="1268" spans="12:12" x14ac:dyDescent="0.2">
      <c r="L1268" s="1"/>
    </row>
    <row r="1269" spans="12:12" x14ac:dyDescent="0.2">
      <c r="L1269" s="1"/>
    </row>
    <row r="1270" spans="12:12" x14ac:dyDescent="0.2">
      <c r="L1270" s="1"/>
    </row>
    <row r="1271" spans="12:12" x14ac:dyDescent="0.2">
      <c r="L1271" s="1"/>
    </row>
    <row r="1272" spans="12:12" x14ac:dyDescent="0.2">
      <c r="L1272" s="1"/>
    </row>
    <row r="1273" spans="12:12" x14ac:dyDescent="0.2">
      <c r="L1273" s="1"/>
    </row>
    <row r="1274" spans="12:12" x14ac:dyDescent="0.2">
      <c r="L1274" s="1"/>
    </row>
    <row r="1275" spans="12:12" x14ac:dyDescent="0.2">
      <c r="L1275" s="1"/>
    </row>
    <row r="1276" spans="12:12" x14ac:dyDescent="0.2">
      <c r="L1276" s="1"/>
    </row>
    <row r="1277" spans="12:12" x14ac:dyDescent="0.2">
      <c r="L1277" s="1"/>
    </row>
    <row r="1278" spans="12:12" x14ac:dyDescent="0.2">
      <c r="L1278" s="1"/>
    </row>
    <row r="1279" spans="12:12" x14ac:dyDescent="0.2">
      <c r="L1279" s="1"/>
    </row>
    <row r="1280" spans="12:12" x14ac:dyDescent="0.2">
      <c r="L1280" s="1"/>
    </row>
    <row r="1281" spans="12:12" x14ac:dyDescent="0.2">
      <c r="L1281" s="1"/>
    </row>
    <row r="1282" spans="12:12" x14ac:dyDescent="0.2">
      <c r="L1282" s="1"/>
    </row>
    <row r="1283" spans="12:12" x14ac:dyDescent="0.2">
      <c r="L1283" s="1"/>
    </row>
    <row r="1284" spans="12:12" x14ac:dyDescent="0.2">
      <c r="L1284" s="1"/>
    </row>
    <row r="1285" spans="12:12" x14ac:dyDescent="0.2">
      <c r="L1285" s="1"/>
    </row>
    <row r="1286" spans="12:12" x14ac:dyDescent="0.2">
      <c r="L1286" s="1"/>
    </row>
    <row r="1287" spans="12:12" x14ac:dyDescent="0.2">
      <c r="L1287" s="1"/>
    </row>
    <row r="1288" spans="12:12" x14ac:dyDescent="0.2">
      <c r="L1288" s="1"/>
    </row>
    <row r="1289" spans="12:12" x14ac:dyDescent="0.2">
      <c r="L1289" s="1"/>
    </row>
    <row r="1290" spans="12:12" x14ac:dyDescent="0.2">
      <c r="L1290" s="1"/>
    </row>
    <row r="1291" spans="12:12" x14ac:dyDescent="0.2">
      <c r="L1291" s="1"/>
    </row>
    <row r="1292" spans="12:12" x14ac:dyDescent="0.2">
      <c r="L1292" s="1"/>
    </row>
    <row r="1293" spans="12:12" x14ac:dyDescent="0.2">
      <c r="L1293" s="1"/>
    </row>
    <row r="1294" spans="12:12" x14ac:dyDescent="0.2">
      <c r="L1294" s="1"/>
    </row>
    <row r="1295" spans="12:12" x14ac:dyDescent="0.2">
      <c r="L1295" s="1"/>
    </row>
    <row r="1296" spans="12:12" x14ac:dyDescent="0.2">
      <c r="L1296" s="1"/>
    </row>
    <row r="1297" spans="12:12" x14ac:dyDescent="0.2">
      <c r="L1297" s="1"/>
    </row>
    <row r="1298" spans="12:12" x14ac:dyDescent="0.2">
      <c r="L1298" s="1"/>
    </row>
    <row r="1299" spans="12:12" x14ac:dyDescent="0.2">
      <c r="L1299" s="1"/>
    </row>
    <row r="1300" spans="12:12" x14ac:dyDescent="0.2">
      <c r="L1300" s="1"/>
    </row>
    <row r="1301" spans="12:12" x14ac:dyDescent="0.2">
      <c r="L1301" s="1"/>
    </row>
    <row r="1302" spans="12:12" x14ac:dyDescent="0.2">
      <c r="L1302" s="1"/>
    </row>
    <row r="1303" spans="12:12" x14ac:dyDescent="0.2">
      <c r="L1303" s="1"/>
    </row>
    <row r="1304" spans="12:12" x14ac:dyDescent="0.2">
      <c r="L1304" s="1"/>
    </row>
    <row r="1305" spans="12:12" x14ac:dyDescent="0.2">
      <c r="L1305" s="1"/>
    </row>
    <row r="1306" spans="12:12" x14ac:dyDescent="0.2">
      <c r="L1306" s="1"/>
    </row>
    <row r="1307" spans="12:12" x14ac:dyDescent="0.2">
      <c r="L1307" s="1"/>
    </row>
    <row r="1308" spans="12:12" x14ac:dyDescent="0.2">
      <c r="L1308" s="1"/>
    </row>
    <row r="1309" spans="12:12" x14ac:dyDescent="0.2">
      <c r="L1309" s="1"/>
    </row>
    <row r="1310" spans="12:12" x14ac:dyDescent="0.2">
      <c r="L1310" s="1"/>
    </row>
    <row r="1311" spans="12:12" x14ac:dyDescent="0.2">
      <c r="L1311" s="1"/>
    </row>
    <row r="1312" spans="12:12" x14ac:dyDescent="0.2">
      <c r="L1312" s="1"/>
    </row>
    <row r="1313" spans="12:12" x14ac:dyDescent="0.2">
      <c r="L1313" s="1"/>
    </row>
    <row r="1314" spans="12:12" x14ac:dyDescent="0.2">
      <c r="L1314" s="1"/>
    </row>
    <row r="1315" spans="12:12" x14ac:dyDescent="0.2">
      <c r="L1315" s="1"/>
    </row>
    <row r="1316" spans="12:12" x14ac:dyDescent="0.2">
      <c r="L1316" s="1"/>
    </row>
    <row r="1317" spans="12:12" x14ac:dyDescent="0.2">
      <c r="L1317" s="1"/>
    </row>
    <row r="1318" spans="12:12" x14ac:dyDescent="0.2">
      <c r="L1318" s="1"/>
    </row>
    <row r="1319" spans="12:12" x14ac:dyDescent="0.2">
      <c r="L1319" s="1"/>
    </row>
    <row r="1320" spans="12:12" x14ac:dyDescent="0.2">
      <c r="L1320" s="1"/>
    </row>
    <row r="1321" spans="12:12" x14ac:dyDescent="0.2">
      <c r="L1321" s="1"/>
    </row>
    <row r="1322" spans="12:12" x14ac:dyDescent="0.2">
      <c r="L1322" s="1"/>
    </row>
    <row r="1323" spans="12:12" x14ac:dyDescent="0.2">
      <c r="L1323" s="1"/>
    </row>
    <row r="1324" spans="12:12" x14ac:dyDescent="0.2">
      <c r="L1324" s="1"/>
    </row>
    <row r="1325" spans="12:12" x14ac:dyDescent="0.2">
      <c r="L1325" s="1"/>
    </row>
    <row r="1326" spans="12:12" x14ac:dyDescent="0.2">
      <c r="L1326" s="1"/>
    </row>
    <row r="1327" spans="12:12" x14ac:dyDescent="0.2">
      <c r="L1327" s="1"/>
    </row>
    <row r="1328" spans="12:12" x14ac:dyDescent="0.2">
      <c r="L1328" s="1"/>
    </row>
    <row r="1329" spans="12:12" x14ac:dyDescent="0.2">
      <c r="L1329" s="1"/>
    </row>
    <row r="1330" spans="12:12" x14ac:dyDescent="0.2">
      <c r="L1330" s="1"/>
    </row>
    <row r="1331" spans="12:12" x14ac:dyDescent="0.2">
      <c r="L1331" s="1"/>
    </row>
    <row r="1332" spans="12:12" x14ac:dyDescent="0.2">
      <c r="L1332" s="1"/>
    </row>
    <row r="1333" spans="12:12" x14ac:dyDescent="0.2">
      <c r="L1333" s="1"/>
    </row>
    <row r="1334" spans="12:12" x14ac:dyDescent="0.2">
      <c r="L1334" s="1"/>
    </row>
    <row r="1335" spans="12:12" x14ac:dyDescent="0.2">
      <c r="L1335" s="1"/>
    </row>
    <row r="1336" spans="12:12" x14ac:dyDescent="0.2">
      <c r="L1336" s="1"/>
    </row>
    <row r="1337" spans="12:12" x14ac:dyDescent="0.2">
      <c r="L1337" s="1"/>
    </row>
    <row r="1338" spans="12:12" x14ac:dyDescent="0.2">
      <c r="L1338" s="1"/>
    </row>
    <row r="1339" spans="12:12" x14ac:dyDescent="0.2">
      <c r="L1339" s="1"/>
    </row>
    <row r="1340" spans="12:12" x14ac:dyDescent="0.2">
      <c r="L1340" s="1"/>
    </row>
    <row r="1341" spans="12:12" x14ac:dyDescent="0.2">
      <c r="L1341" s="1"/>
    </row>
    <row r="1342" spans="12:12" x14ac:dyDescent="0.2">
      <c r="L1342" s="1"/>
    </row>
    <row r="1343" spans="12:12" x14ac:dyDescent="0.2">
      <c r="L1343" s="1"/>
    </row>
    <row r="1344" spans="12:12" x14ac:dyDescent="0.2">
      <c r="L1344" s="1"/>
    </row>
    <row r="1345" spans="12:13" x14ac:dyDescent="0.2">
      <c r="L1345" s="1"/>
    </row>
    <row r="1346" spans="12:13" x14ac:dyDescent="0.2">
      <c r="L1346" s="1"/>
    </row>
    <row r="1347" spans="12:13" x14ac:dyDescent="0.2">
      <c r="L1347" s="1"/>
    </row>
    <row r="1348" spans="12:13" x14ac:dyDescent="0.2">
      <c r="L1348" s="1"/>
    </row>
    <row r="1349" spans="12:13" x14ac:dyDescent="0.2">
      <c r="L1349" s="1"/>
    </row>
    <row r="1350" spans="12:13" x14ac:dyDescent="0.2">
      <c r="L1350" s="1"/>
    </row>
    <row r="1351" spans="12:13" x14ac:dyDescent="0.2">
      <c r="L1351" s="1"/>
    </row>
    <row r="1352" spans="12:13" x14ac:dyDescent="0.2">
      <c r="L1352" s="1"/>
    </row>
    <row r="1353" spans="12:13" x14ac:dyDescent="0.2">
      <c r="L1353" s="1"/>
    </row>
    <row r="1354" spans="12:13" x14ac:dyDescent="0.2">
      <c r="L1354" s="1"/>
    </row>
    <row r="1355" spans="12:13" x14ac:dyDescent="0.2">
      <c r="L1355" s="1"/>
      <c r="M1355" s="1"/>
    </row>
  </sheetData>
  <mergeCells count="12">
    <mergeCell ref="D2:I2"/>
    <mergeCell ref="O2:Q2"/>
    <mergeCell ref="A4:A12"/>
    <mergeCell ref="L4:L14"/>
    <mergeCell ref="A13:A23"/>
    <mergeCell ref="L15:L25"/>
    <mergeCell ref="X6:X7"/>
    <mergeCell ref="B42:B48"/>
    <mergeCell ref="T6:T7"/>
    <mergeCell ref="U6:U7"/>
    <mergeCell ref="V6:V7"/>
    <mergeCell ref="W6:W7"/>
  </mergeCells>
  <phoneticPr fontId="8" type="noConversion"/>
  <conditionalFormatting sqref="D4:I23">
    <cfRule type="colorScale" priority="1">
      <colorScale>
        <cfvo type="num" val="-2"/>
        <cfvo type="percentile" val="50"/>
        <cfvo type="num" val="7"/>
        <color rgb="FF00B050"/>
        <color theme="0"/>
        <color rgb="FFFF0000"/>
      </colorScale>
    </cfRule>
  </conditionalFormatting>
  <conditionalFormatting sqref="O4:Q25">
    <cfRule type="colorScale" priority="2">
      <colorScale>
        <cfvo type="num" val="-2"/>
        <cfvo type="percentile" val="50"/>
        <cfvo type="num" val="11"/>
        <color rgb="FF00B050"/>
        <color theme="0" tint="-4.9989318521683403E-2"/>
        <color rgb="FFFF0000"/>
      </colorScale>
    </cfRule>
  </conditionalFormatting>
  <hyperlinks>
    <hyperlink ref="P30" r:id="rId1" location=":~:text=Isoprene%20synthase%20requires%20Mg2,number%20of%201.7%20s%E2%88%921." xr:uid="{7FA1EA1F-DB48-45FE-8DD6-1EA6B57E241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45ED3-BCD9-4D64-9F4A-803296820158}">
  <dimension ref="A2:DJ32"/>
  <sheetViews>
    <sheetView topLeftCell="A11" zoomScale="70" zoomScaleNormal="70" workbookViewId="0">
      <selection activeCell="N26" sqref="N26"/>
    </sheetView>
  </sheetViews>
  <sheetFormatPr baseColWidth="10" defaultColWidth="8.83203125" defaultRowHeight="15" x14ac:dyDescent="0.2"/>
  <cols>
    <col min="12" max="12" width="11.83203125" customWidth="1"/>
    <col min="18" max="18" width="7.6640625" customWidth="1"/>
    <col min="19" max="19" width="13.83203125" customWidth="1"/>
    <col min="20" max="20" width="24.6640625" customWidth="1"/>
    <col min="21" max="21" width="18.33203125" customWidth="1"/>
    <col min="22" max="22" width="15.6640625" customWidth="1"/>
    <col min="27" max="27" width="7.6640625" customWidth="1"/>
    <col min="28" max="28" width="13.83203125" customWidth="1"/>
    <col min="29" max="29" width="24.6640625" customWidth="1"/>
    <col min="30" max="30" width="18.33203125" customWidth="1"/>
    <col min="31" max="31" width="15.6640625" customWidth="1"/>
    <col min="36" max="36" width="7.6640625" customWidth="1"/>
    <col min="37" max="37" width="13.83203125" customWidth="1"/>
    <col min="38" max="38" width="24.6640625" customWidth="1"/>
    <col min="39" max="39" width="18.33203125" customWidth="1"/>
    <col min="40" max="40" width="15.6640625" customWidth="1"/>
    <col min="45" max="45" width="7.6640625" customWidth="1"/>
    <col min="46" max="46" width="13.83203125" customWidth="1"/>
    <col min="47" max="47" width="24.6640625" customWidth="1"/>
    <col min="48" max="48" width="18.33203125" customWidth="1"/>
    <col min="49" max="49" width="15.6640625" customWidth="1"/>
    <col min="54" max="54" width="7.6640625" customWidth="1"/>
    <col min="55" max="55" width="13.83203125" customWidth="1"/>
    <col min="56" max="56" width="24.6640625" customWidth="1"/>
    <col min="57" max="57" width="18.33203125" customWidth="1"/>
    <col min="58" max="58" width="15.6640625" customWidth="1"/>
    <col min="63" max="63" width="7.6640625" customWidth="1"/>
    <col min="64" max="64" width="13.83203125" customWidth="1"/>
    <col min="65" max="65" width="24.6640625" customWidth="1"/>
    <col min="66" max="66" width="18.33203125" customWidth="1"/>
    <col min="67" max="67" width="15.6640625" customWidth="1"/>
    <col min="72" max="72" width="7.6640625" customWidth="1"/>
    <col min="73" max="73" width="13.83203125" customWidth="1"/>
    <col min="74" max="74" width="24.6640625" customWidth="1"/>
    <col min="75" max="75" width="18.33203125" customWidth="1"/>
    <col min="76" max="76" width="15.6640625" customWidth="1"/>
    <col min="81" max="81" width="7.6640625" customWidth="1"/>
    <col min="82" max="82" width="13.83203125" customWidth="1"/>
    <col min="83" max="83" width="24.6640625" customWidth="1"/>
    <col min="84" max="84" width="18.33203125" customWidth="1"/>
    <col min="85" max="85" width="15.6640625" customWidth="1"/>
    <col min="90" max="90" width="7.6640625" customWidth="1"/>
    <col min="91" max="91" width="13.83203125" customWidth="1"/>
    <col min="92" max="92" width="24.6640625" customWidth="1"/>
    <col min="93" max="93" width="18.33203125" customWidth="1"/>
    <col min="94" max="94" width="15.6640625" customWidth="1"/>
    <col min="99" max="99" width="7.6640625" customWidth="1"/>
    <col min="100" max="100" width="13.83203125" customWidth="1"/>
    <col min="101" max="101" width="24.6640625" customWidth="1"/>
    <col min="102" max="102" width="18.33203125" customWidth="1"/>
    <col min="103" max="103" width="15.6640625" customWidth="1"/>
    <col min="108" max="108" width="7.6640625" customWidth="1"/>
    <col min="109" max="109" width="13.83203125" customWidth="1"/>
    <col min="110" max="110" width="24.6640625" customWidth="1"/>
    <col min="111" max="111" width="18.33203125" customWidth="1"/>
    <col min="112" max="112" width="15.6640625" customWidth="1"/>
  </cols>
  <sheetData>
    <row r="2" spans="1:114" ht="15" customHeight="1" x14ac:dyDescent="0.2">
      <c r="L2" t="s">
        <v>3600</v>
      </c>
      <c r="R2" s="199" t="s">
        <v>3601</v>
      </c>
      <c r="S2" s="200"/>
      <c r="T2" s="200"/>
      <c r="U2" s="200"/>
      <c r="V2" s="200"/>
      <c r="W2" s="200"/>
      <c r="X2" s="201"/>
      <c r="AA2" s="199" t="s">
        <v>3605</v>
      </c>
      <c r="AB2" s="200"/>
      <c r="AC2" s="200"/>
      <c r="AD2" s="200"/>
      <c r="AE2" s="200"/>
      <c r="AF2" s="200"/>
      <c r="AG2" s="201"/>
      <c r="AJ2" s="199" t="s">
        <v>3628</v>
      </c>
      <c r="AK2" s="200"/>
      <c r="AL2" s="200"/>
      <c r="AM2" s="200"/>
      <c r="AN2" s="200"/>
      <c r="AO2" s="200"/>
      <c r="AP2" s="201"/>
      <c r="AS2" s="199" t="s">
        <v>3629</v>
      </c>
      <c r="AT2" s="200"/>
      <c r="AU2" s="200"/>
      <c r="AV2" s="200"/>
      <c r="AW2" s="200"/>
      <c r="AX2" s="200"/>
      <c r="AY2" s="201"/>
      <c r="BB2" s="199" t="s">
        <v>3632</v>
      </c>
      <c r="BC2" s="200"/>
      <c r="BD2" s="200"/>
      <c r="BE2" s="200"/>
      <c r="BF2" s="200"/>
      <c r="BG2" s="200"/>
      <c r="BH2" s="201"/>
      <c r="BK2" s="199" t="s">
        <v>3633</v>
      </c>
      <c r="BL2" s="200"/>
      <c r="BM2" s="200"/>
      <c r="BN2" s="200"/>
      <c r="BO2" s="200"/>
      <c r="BP2" s="200"/>
      <c r="BQ2" s="201"/>
      <c r="BT2" s="199" t="s">
        <v>3634</v>
      </c>
      <c r="BU2" s="200"/>
      <c r="BV2" s="200"/>
      <c r="BW2" s="200"/>
      <c r="BX2" s="200"/>
      <c r="BY2" s="200"/>
      <c r="BZ2" s="201"/>
      <c r="CC2" s="199" t="s">
        <v>3635</v>
      </c>
      <c r="CD2" s="200"/>
      <c r="CE2" s="200"/>
      <c r="CF2" s="200"/>
      <c r="CG2" s="200"/>
      <c r="CH2" s="200"/>
      <c r="CI2" s="201"/>
      <c r="CL2" s="199" t="s">
        <v>3637</v>
      </c>
      <c r="CM2" s="200"/>
      <c r="CN2" s="200"/>
      <c r="CO2" s="200"/>
      <c r="CP2" s="200"/>
      <c r="CQ2" s="200"/>
      <c r="CR2" s="201"/>
      <c r="CU2" s="199" t="s">
        <v>3639</v>
      </c>
      <c r="CV2" s="200"/>
      <c r="CW2" s="200"/>
      <c r="CX2" s="200"/>
      <c r="CY2" s="200"/>
      <c r="CZ2" s="200"/>
      <c r="DA2" s="201"/>
      <c r="DD2" s="199" t="s">
        <v>3640</v>
      </c>
      <c r="DE2" s="200"/>
      <c r="DF2" s="200"/>
      <c r="DG2" s="200"/>
      <c r="DH2" s="200"/>
      <c r="DI2" s="200"/>
      <c r="DJ2" s="201"/>
    </row>
    <row r="3" spans="1:114" ht="15" customHeight="1" x14ac:dyDescent="0.2">
      <c r="R3" s="202"/>
      <c r="S3" s="203"/>
      <c r="T3" s="203"/>
      <c r="U3" s="203"/>
      <c r="V3" s="203"/>
      <c r="W3" s="203"/>
      <c r="X3" s="204"/>
      <c r="AA3" s="202"/>
      <c r="AB3" s="203"/>
      <c r="AC3" s="203"/>
      <c r="AD3" s="203"/>
      <c r="AE3" s="203"/>
      <c r="AF3" s="203"/>
      <c r="AG3" s="204"/>
      <c r="AJ3" s="202"/>
      <c r="AK3" s="203"/>
      <c r="AL3" s="203"/>
      <c r="AM3" s="203"/>
      <c r="AN3" s="203"/>
      <c r="AO3" s="203"/>
      <c r="AP3" s="204"/>
      <c r="AS3" s="202"/>
      <c r="AT3" s="203"/>
      <c r="AU3" s="203"/>
      <c r="AV3" s="203"/>
      <c r="AW3" s="203"/>
      <c r="AX3" s="203"/>
      <c r="AY3" s="204"/>
      <c r="BB3" s="202"/>
      <c r="BC3" s="203"/>
      <c r="BD3" s="203"/>
      <c r="BE3" s="203"/>
      <c r="BF3" s="203"/>
      <c r="BG3" s="203"/>
      <c r="BH3" s="204"/>
      <c r="BK3" s="202"/>
      <c r="BL3" s="203"/>
      <c r="BM3" s="203"/>
      <c r="BN3" s="203"/>
      <c r="BO3" s="203"/>
      <c r="BP3" s="203"/>
      <c r="BQ3" s="204"/>
      <c r="BT3" s="202"/>
      <c r="BU3" s="203"/>
      <c r="BV3" s="203"/>
      <c r="BW3" s="203"/>
      <c r="BX3" s="203"/>
      <c r="BY3" s="203"/>
      <c r="BZ3" s="204"/>
      <c r="CC3" s="202"/>
      <c r="CD3" s="203"/>
      <c r="CE3" s="203"/>
      <c r="CF3" s="203"/>
      <c r="CG3" s="203"/>
      <c r="CH3" s="203"/>
      <c r="CI3" s="204"/>
      <c r="CL3" s="202"/>
      <c r="CM3" s="203"/>
      <c r="CN3" s="203"/>
      <c r="CO3" s="203"/>
      <c r="CP3" s="203"/>
      <c r="CQ3" s="203"/>
      <c r="CR3" s="204"/>
      <c r="CU3" s="202"/>
      <c r="CV3" s="203"/>
      <c r="CW3" s="203"/>
      <c r="CX3" s="203"/>
      <c r="CY3" s="203"/>
      <c r="CZ3" s="203"/>
      <c r="DA3" s="204"/>
      <c r="DD3" s="202"/>
      <c r="DE3" s="203"/>
      <c r="DF3" s="203"/>
      <c r="DG3" s="203"/>
      <c r="DH3" s="203"/>
      <c r="DI3" s="203"/>
      <c r="DJ3" s="204"/>
    </row>
    <row r="4" spans="1:114" x14ac:dyDescent="0.2">
      <c r="A4" s="155" t="s">
        <v>3592</v>
      </c>
      <c r="B4" s="155"/>
      <c r="C4" s="155"/>
      <c r="D4" s="155"/>
      <c r="E4" s="155"/>
      <c r="F4" s="155"/>
      <c r="G4" s="155"/>
      <c r="H4" s="155"/>
      <c r="R4" s="205" t="s">
        <v>3602</v>
      </c>
      <c r="S4" s="206"/>
      <c r="T4" s="206"/>
      <c r="U4" s="206"/>
      <c r="V4" s="207"/>
      <c r="W4" s="166"/>
      <c r="X4" s="167"/>
      <c r="AA4" s="205" t="s">
        <v>3602</v>
      </c>
      <c r="AB4" s="206"/>
      <c r="AC4" s="206"/>
      <c r="AD4" s="206"/>
      <c r="AE4" s="207"/>
      <c r="AF4" s="166"/>
      <c r="AG4" s="167"/>
      <c r="AJ4" s="205" t="s">
        <v>3602</v>
      </c>
      <c r="AK4" s="206"/>
      <c r="AL4" s="206"/>
      <c r="AM4" s="206"/>
      <c r="AN4" s="207"/>
      <c r="AO4" s="166"/>
      <c r="AP4" s="167"/>
      <c r="AS4" s="205" t="s">
        <v>3602</v>
      </c>
      <c r="AT4" s="206"/>
      <c r="AU4" s="206"/>
      <c r="AV4" s="206"/>
      <c r="AW4" s="207"/>
      <c r="AX4" s="166"/>
      <c r="AY4" s="167"/>
      <c r="BB4" s="205" t="s">
        <v>3602</v>
      </c>
      <c r="BC4" s="206"/>
      <c r="BD4" s="206"/>
      <c r="BE4" s="206"/>
      <c r="BF4" s="207"/>
      <c r="BG4" s="166"/>
      <c r="BH4" s="167"/>
      <c r="BK4" s="205" t="s">
        <v>3602</v>
      </c>
      <c r="BL4" s="206"/>
      <c r="BM4" s="206"/>
      <c r="BN4" s="206"/>
      <c r="BO4" s="207"/>
      <c r="BP4" s="166"/>
      <c r="BQ4" s="167"/>
      <c r="BT4" s="205" t="s">
        <v>3602</v>
      </c>
      <c r="BU4" s="206"/>
      <c r="BV4" s="206"/>
      <c r="BW4" s="206"/>
      <c r="BX4" s="207"/>
      <c r="BY4" s="166"/>
      <c r="BZ4" s="167"/>
      <c r="CC4" s="205" t="s">
        <v>3602</v>
      </c>
      <c r="CD4" s="206"/>
      <c r="CE4" s="206"/>
      <c r="CF4" s="206"/>
      <c r="CG4" s="207"/>
      <c r="CH4" s="166"/>
      <c r="CI4" s="167"/>
      <c r="CL4" s="205" t="s">
        <v>3602</v>
      </c>
      <c r="CM4" s="206"/>
      <c r="CN4" s="206"/>
      <c r="CO4" s="206"/>
      <c r="CP4" s="207"/>
      <c r="CQ4" s="166"/>
      <c r="CR4" s="167"/>
      <c r="CU4" s="205" t="s">
        <v>3602</v>
      </c>
      <c r="CV4" s="206"/>
      <c r="CW4" s="206"/>
      <c r="CX4" s="206"/>
      <c r="CY4" s="207"/>
      <c r="CZ4" s="166"/>
      <c r="DA4" s="167"/>
      <c r="DD4" s="205" t="s">
        <v>3602</v>
      </c>
      <c r="DE4" s="206"/>
      <c r="DF4" s="206"/>
      <c r="DG4" s="206"/>
      <c r="DH4" s="207"/>
      <c r="DI4" s="166"/>
      <c r="DJ4" s="167"/>
    </row>
    <row r="5" spans="1:114" ht="98.25" customHeight="1" x14ac:dyDescent="0.2">
      <c r="R5" s="168"/>
      <c r="S5" s="165"/>
      <c r="T5" s="177" t="s">
        <v>3562</v>
      </c>
      <c r="U5" s="178" t="s">
        <v>3570</v>
      </c>
      <c r="V5" s="179" t="s">
        <v>3571</v>
      </c>
      <c r="W5" s="160"/>
      <c r="X5" s="159"/>
      <c r="AA5" s="168"/>
      <c r="AB5" s="165"/>
      <c r="AC5" s="177" t="s">
        <v>3562</v>
      </c>
      <c r="AD5" s="178" t="s">
        <v>3570</v>
      </c>
      <c r="AE5" s="179" t="s">
        <v>3571</v>
      </c>
      <c r="AF5" s="208" t="s">
        <v>3607</v>
      </c>
      <c r="AG5" s="209"/>
      <c r="AJ5" s="168"/>
      <c r="AK5" s="165"/>
      <c r="AL5" s="177" t="s">
        <v>3562</v>
      </c>
      <c r="AM5" s="178" t="s">
        <v>3570</v>
      </c>
      <c r="AN5" s="179" t="s">
        <v>3571</v>
      </c>
      <c r="AO5" s="208" t="s">
        <v>3630</v>
      </c>
      <c r="AP5" s="209"/>
      <c r="AS5" s="168"/>
      <c r="AT5" s="165"/>
      <c r="AU5" s="177" t="s">
        <v>3562</v>
      </c>
      <c r="AV5" s="178" t="s">
        <v>3570</v>
      </c>
      <c r="AW5" s="179" t="s">
        <v>3571</v>
      </c>
      <c r="AX5" s="208" t="s">
        <v>3631</v>
      </c>
      <c r="AY5" s="209"/>
      <c r="BB5" s="168"/>
      <c r="BC5" s="165"/>
      <c r="BD5" s="177" t="s">
        <v>3562</v>
      </c>
      <c r="BE5" s="178" t="s">
        <v>3570</v>
      </c>
      <c r="BF5" s="179" t="s">
        <v>3571</v>
      </c>
      <c r="BG5" s="160"/>
      <c r="BH5" s="159"/>
      <c r="BK5" s="168"/>
      <c r="BL5" s="165"/>
      <c r="BM5" s="177" t="s">
        <v>3562</v>
      </c>
      <c r="BN5" s="178" t="s">
        <v>3570</v>
      </c>
      <c r="BO5" s="179" t="s">
        <v>3571</v>
      </c>
      <c r="BP5" s="160"/>
      <c r="BQ5" s="159"/>
      <c r="BT5" s="168"/>
      <c r="BU5" s="165"/>
      <c r="BV5" s="177" t="s">
        <v>3562</v>
      </c>
      <c r="BW5" s="178" t="s">
        <v>3570</v>
      </c>
      <c r="BX5" s="179" t="s">
        <v>3571</v>
      </c>
      <c r="BY5" s="160"/>
      <c r="BZ5" s="159"/>
      <c r="CC5" s="168"/>
      <c r="CD5" s="165"/>
      <c r="CE5" s="177" t="s">
        <v>3562</v>
      </c>
      <c r="CF5" s="178" t="s">
        <v>3570</v>
      </c>
      <c r="CG5" s="179" t="s">
        <v>3571</v>
      </c>
      <c r="CH5" s="208" t="s">
        <v>3636</v>
      </c>
      <c r="CI5" s="209"/>
      <c r="CL5" s="168"/>
      <c r="CM5" s="165"/>
      <c r="CN5" s="177" t="s">
        <v>3562</v>
      </c>
      <c r="CO5" s="178" t="s">
        <v>3570</v>
      </c>
      <c r="CP5" s="179" t="s">
        <v>3571</v>
      </c>
      <c r="CQ5" s="208" t="s">
        <v>3638</v>
      </c>
      <c r="CR5" s="209"/>
      <c r="CU5" s="168"/>
      <c r="CV5" s="165"/>
      <c r="CW5" s="177" t="s">
        <v>3562</v>
      </c>
      <c r="CX5" s="178" t="s">
        <v>3570</v>
      </c>
      <c r="CY5" s="179" t="s">
        <v>3571</v>
      </c>
      <c r="CZ5" s="208"/>
      <c r="DA5" s="209"/>
      <c r="DD5" s="168"/>
      <c r="DE5" s="165"/>
      <c r="DF5" s="177" t="s">
        <v>3562</v>
      </c>
      <c r="DG5" s="178" t="s">
        <v>3570</v>
      </c>
      <c r="DH5" s="179" t="s">
        <v>3571</v>
      </c>
      <c r="DI5" s="208"/>
      <c r="DJ5" s="209"/>
    </row>
    <row r="6" spans="1:114" ht="18" customHeight="1" x14ac:dyDescent="0.3">
      <c r="C6" s="149" t="s">
        <v>3572</v>
      </c>
      <c r="D6" s="149" t="s">
        <v>3573</v>
      </c>
      <c r="E6" s="149" t="s">
        <v>3574</v>
      </c>
      <c r="F6" s="150" t="s">
        <v>3406</v>
      </c>
      <c r="G6" s="149" t="s">
        <v>3575</v>
      </c>
      <c r="H6" s="149" t="s">
        <v>3576</v>
      </c>
      <c r="R6" s="169" t="s">
        <v>3459</v>
      </c>
      <c r="S6" s="173" t="s">
        <v>1268</v>
      </c>
      <c r="T6" s="158">
        <v>1.0925922163058658E-6</v>
      </c>
      <c r="U6" s="158">
        <f>T6*0.8</f>
        <v>8.7407377304469271E-7</v>
      </c>
      <c r="V6" s="158">
        <f>1.3*T6</f>
        <v>1.4203698811976256E-6</v>
      </c>
      <c r="W6" s="160"/>
      <c r="X6" s="159"/>
      <c r="AA6" s="181" t="s">
        <v>3459</v>
      </c>
      <c r="AB6" s="182" t="s">
        <v>1268</v>
      </c>
      <c r="AC6" s="148">
        <v>1.0925922163058658E-6</v>
      </c>
      <c r="AD6" s="183">
        <v>7.4327643053971002E-5</v>
      </c>
      <c r="AE6" s="183">
        <v>1.2078241996270287E-4</v>
      </c>
      <c r="AF6" s="160" t="s">
        <v>3606</v>
      </c>
      <c r="AG6" s="159"/>
      <c r="AJ6" s="169" t="s">
        <v>3459</v>
      </c>
      <c r="AK6" s="173" t="s">
        <v>1268</v>
      </c>
      <c r="AL6" s="158">
        <v>1.0925922163058658E-6</v>
      </c>
      <c r="AM6" s="158">
        <f>AL6*0.8</f>
        <v>8.7407377304469271E-7</v>
      </c>
      <c r="AN6" s="158">
        <f>1.3*AL6</f>
        <v>1.4203698811976256E-6</v>
      </c>
      <c r="AO6" s="160"/>
      <c r="AP6" s="159"/>
      <c r="AS6" s="169" t="s">
        <v>3459</v>
      </c>
      <c r="AT6" s="173" t="s">
        <v>1268</v>
      </c>
      <c r="AU6" s="158">
        <v>1.0925922163058658E-6</v>
      </c>
      <c r="AV6" s="158">
        <f>AU6*0.8</f>
        <v>8.7407377304469271E-7</v>
      </c>
      <c r="AW6" s="158">
        <f>1.3*AU6</f>
        <v>1.4203698811976256E-6</v>
      </c>
      <c r="AX6" s="160"/>
      <c r="AY6" s="159"/>
      <c r="BB6" s="181" t="s">
        <v>3459</v>
      </c>
      <c r="BC6" s="182" t="s">
        <v>1268</v>
      </c>
      <c r="BD6" s="148">
        <v>1.0925922163058658E-6</v>
      </c>
      <c r="BE6" s="183">
        <v>7.4327643053971002E-5</v>
      </c>
      <c r="BF6" s="183">
        <v>1.2078241996270287E-4</v>
      </c>
      <c r="BG6" s="160"/>
      <c r="BH6" s="159"/>
      <c r="BK6" s="181" t="s">
        <v>3459</v>
      </c>
      <c r="BL6" s="182" t="s">
        <v>1268</v>
      </c>
      <c r="BM6" s="148">
        <v>1.0925922163058658E-6</v>
      </c>
      <c r="BN6" s="183">
        <v>7.4327643053971002E-5</v>
      </c>
      <c r="BO6" s="183">
        <v>1.2078241996270287E-4</v>
      </c>
      <c r="BP6" s="160"/>
      <c r="BQ6" s="159"/>
      <c r="BT6" s="181" t="s">
        <v>3459</v>
      </c>
      <c r="BU6" s="182" t="s">
        <v>1268</v>
      </c>
      <c r="BV6" s="148">
        <v>1.0925922163058658E-6</v>
      </c>
      <c r="BW6" s="183">
        <v>7.4327643053971002E-5</v>
      </c>
      <c r="BX6" s="183">
        <v>1.2078241996270287E-4</v>
      </c>
      <c r="BY6" s="160"/>
      <c r="BZ6" s="159"/>
      <c r="CC6" s="169" t="s">
        <v>3459</v>
      </c>
      <c r="CD6" s="173" t="s">
        <v>1268</v>
      </c>
      <c r="CE6" s="158">
        <v>1.0925922163058658E-6</v>
      </c>
      <c r="CF6" s="158">
        <f>CE6*0.8</f>
        <v>8.7407377304469271E-7</v>
      </c>
      <c r="CG6" s="158">
        <f>1.3*CE6</f>
        <v>1.4203698811976256E-6</v>
      </c>
      <c r="CH6" s="160"/>
      <c r="CI6" s="159"/>
      <c r="CL6" s="169" t="s">
        <v>3459</v>
      </c>
      <c r="CM6" s="173" t="s">
        <v>1268</v>
      </c>
      <c r="CN6" s="158">
        <v>1.0925922163058658E-6</v>
      </c>
      <c r="CO6" s="158">
        <f>CN6*0.8</f>
        <v>8.7407377304469271E-7</v>
      </c>
      <c r="CP6" s="158">
        <f>1.3*CN6</f>
        <v>1.4203698811976256E-6</v>
      </c>
      <c r="CQ6" s="160"/>
      <c r="CR6" s="159"/>
      <c r="CU6" s="169" t="s">
        <v>3459</v>
      </c>
      <c r="CV6" s="173" t="s">
        <v>1268</v>
      </c>
      <c r="CW6" s="158">
        <v>1.0925922163058658E-6</v>
      </c>
      <c r="CX6" s="158">
        <f>CW6*0.8</f>
        <v>8.7407377304469271E-7</v>
      </c>
      <c r="CY6" s="158">
        <f>1.3*CW6</f>
        <v>1.4203698811976256E-6</v>
      </c>
      <c r="CZ6" s="160"/>
      <c r="DA6" s="159"/>
      <c r="DD6" s="181" t="s">
        <v>3459</v>
      </c>
      <c r="DE6" s="182" t="s">
        <v>1268</v>
      </c>
      <c r="DF6" s="148">
        <v>1.0925922163058658E-6</v>
      </c>
      <c r="DG6" s="183">
        <v>7.4327643053971002E-5</v>
      </c>
      <c r="DH6" s="183">
        <v>1.2078241996270287E-4</v>
      </c>
      <c r="DI6" s="160"/>
      <c r="DJ6" s="159"/>
    </row>
    <row r="7" spans="1:114" ht="20" x14ac:dyDescent="0.2">
      <c r="B7" s="151" t="s">
        <v>3577</v>
      </c>
      <c r="K7">
        <v>1</v>
      </c>
      <c r="L7" t="s">
        <v>3593</v>
      </c>
      <c r="R7" s="170" t="s">
        <v>3468</v>
      </c>
      <c r="S7" s="174" t="s">
        <v>730</v>
      </c>
      <c r="T7" s="158">
        <v>2.1602835040910041E-6</v>
      </c>
      <c r="U7" s="158">
        <f>T7*0.8</f>
        <v>1.7282268032728034E-6</v>
      </c>
      <c r="V7" s="158">
        <f t="shared" ref="V7:V13" si="0">1.3*T7</f>
        <v>2.8083685553183053E-6</v>
      </c>
      <c r="W7" s="160"/>
      <c r="X7" s="159"/>
      <c r="AA7" s="170" t="s">
        <v>3468</v>
      </c>
      <c r="AB7" s="174" t="s">
        <v>730</v>
      </c>
      <c r="AC7" s="158">
        <v>2.1602835040910041E-6</v>
      </c>
      <c r="AD7" s="158">
        <f>AC7*0.8</f>
        <v>1.7282268032728034E-6</v>
      </c>
      <c r="AE7" s="158">
        <f t="shared" ref="AE7:AE13" si="1">1.3*AC7</f>
        <v>2.8083685553183053E-6</v>
      </c>
      <c r="AF7" s="186"/>
      <c r="AG7" s="159"/>
      <c r="AJ7" s="170" t="s">
        <v>3468</v>
      </c>
      <c r="AK7" s="174" t="s">
        <v>730</v>
      </c>
      <c r="AL7" s="158">
        <v>2.1602835040910041E-6</v>
      </c>
      <c r="AM7" s="158">
        <f>AL7*0.8</f>
        <v>1.7282268032728034E-6</v>
      </c>
      <c r="AN7" s="158">
        <f t="shared" ref="AN7" si="2">1.3*AL7</f>
        <v>2.8083685553183053E-6</v>
      </c>
      <c r="AO7" s="160"/>
      <c r="AP7" s="159"/>
      <c r="AS7" s="170" t="s">
        <v>3468</v>
      </c>
      <c r="AT7" s="174" t="s">
        <v>730</v>
      </c>
      <c r="AU7" s="158">
        <v>2.1602835040910041E-6</v>
      </c>
      <c r="AV7" s="158">
        <f>AU7*0.8</f>
        <v>1.7282268032728034E-6</v>
      </c>
      <c r="AW7" s="158">
        <f t="shared" ref="AW7:AW13" si="3">1.3*AU7</f>
        <v>2.8083685553183053E-6</v>
      </c>
      <c r="AX7" s="160"/>
      <c r="AY7" s="159"/>
      <c r="BB7" s="170" t="s">
        <v>3468</v>
      </c>
      <c r="BC7" s="174" t="s">
        <v>730</v>
      </c>
      <c r="BD7" s="158">
        <v>2.1602835040910041E-6</v>
      </c>
      <c r="BE7" s="158">
        <f>BD7*0.8</f>
        <v>1.7282268032728034E-6</v>
      </c>
      <c r="BF7" s="158">
        <f t="shared" ref="BF7:BF13" si="4">1.3*BD7</f>
        <v>2.8083685553183053E-6</v>
      </c>
      <c r="BG7" s="160"/>
      <c r="BH7" s="159"/>
      <c r="BK7" s="170" t="s">
        <v>3468</v>
      </c>
      <c r="BL7" s="174" t="s">
        <v>730</v>
      </c>
      <c r="BM7" s="158">
        <v>2.1602835040910041E-6</v>
      </c>
      <c r="BN7" s="158">
        <f>BM7*0.8</f>
        <v>1.7282268032728034E-6</v>
      </c>
      <c r="BO7" s="158">
        <f t="shared" ref="BO7:BO13" si="5">1.3*BM7</f>
        <v>2.8083685553183053E-6</v>
      </c>
      <c r="BP7" s="160"/>
      <c r="BQ7" s="159"/>
      <c r="BT7" s="170" t="s">
        <v>3468</v>
      </c>
      <c r="BU7" s="174" t="s">
        <v>730</v>
      </c>
      <c r="BV7" s="158">
        <v>2.1602835040910041E-6</v>
      </c>
      <c r="BW7" s="158">
        <f>BV7*0.8</f>
        <v>1.7282268032728034E-6</v>
      </c>
      <c r="BX7" s="158">
        <f t="shared" ref="BX7:BX9" si="6">1.3*BV7</f>
        <v>2.8083685553183053E-6</v>
      </c>
      <c r="BY7" s="160"/>
      <c r="BZ7" s="159"/>
      <c r="CC7" s="170" t="s">
        <v>3468</v>
      </c>
      <c r="CD7" s="174" t="s">
        <v>730</v>
      </c>
      <c r="CE7" s="158">
        <v>2.1602835040910041E-6</v>
      </c>
      <c r="CF7" s="158">
        <f>CE7*0.8</f>
        <v>1.7282268032728034E-6</v>
      </c>
      <c r="CG7" s="158">
        <f t="shared" ref="CG7:CG12" si="7">1.3*CE7</f>
        <v>2.8083685553183053E-6</v>
      </c>
      <c r="CH7" s="160"/>
      <c r="CI7" s="159"/>
      <c r="CL7" s="170" t="s">
        <v>3468</v>
      </c>
      <c r="CM7" s="174" t="s">
        <v>730</v>
      </c>
      <c r="CN7" s="158">
        <v>2.1602835040910041E-6</v>
      </c>
      <c r="CO7" s="158">
        <f>CN7*0.8</f>
        <v>1.7282268032728034E-6</v>
      </c>
      <c r="CP7" s="158">
        <f t="shared" ref="CP7:CP13" si="8">1.3*CN7</f>
        <v>2.8083685553183053E-6</v>
      </c>
      <c r="CQ7" s="160"/>
      <c r="CR7" s="159"/>
      <c r="CU7" s="170" t="s">
        <v>3468</v>
      </c>
      <c r="CV7" s="174" t="s">
        <v>730</v>
      </c>
      <c r="CW7" s="158">
        <v>2.1602835040910041E-6</v>
      </c>
      <c r="CX7" s="158">
        <f>CW7*0.8</f>
        <v>1.7282268032728034E-6</v>
      </c>
      <c r="CY7" s="158">
        <f t="shared" ref="CY7:CY11" si="9">1.3*CW7</f>
        <v>2.8083685553183053E-6</v>
      </c>
      <c r="CZ7" s="160"/>
      <c r="DA7" s="159"/>
      <c r="DD7" s="170" t="s">
        <v>3468</v>
      </c>
      <c r="DE7" s="174" t="s">
        <v>730</v>
      </c>
      <c r="DF7" s="158">
        <v>2.1602835040910041E-6</v>
      </c>
      <c r="DG7" s="158">
        <f>DF7*0.8</f>
        <v>1.7282268032728034E-6</v>
      </c>
      <c r="DH7" s="158">
        <f t="shared" ref="DH7:DH9" si="10">1.3*DF7</f>
        <v>2.8083685553183053E-6</v>
      </c>
      <c r="DI7" s="160"/>
      <c r="DJ7" s="159"/>
    </row>
    <row r="8" spans="1:114" ht="22" x14ac:dyDescent="0.3">
      <c r="B8" s="152" t="s">
        <v>3578</v>
      </c>
      <c r="C8" s="152">
        <v>8.0365239385671661</v>
      </c>
      <c r="D8" s="153">
        <v>26.8</v>
      </c>
      <c r="E8" s="153">
        <v>26.8</v>
      </c>
      <c r="G8" s="212" t="s">
        <v>3579</v>
      </c>
      <c r="K8">
        <v>2</v>
      </c>
      <c r="L8" t="s">
        <v>3594</v>
      </c>
      <c r="R8" s="170" t="s">
        <v>3471</v>
      </c>
      <c r="S8" s="174" t="s">
        <v>712</v>
      </c>
      <c r="T8" s="158">
        <v>2.0395611449455005E-6</v>
      </c>
      <c r="U8" s="158">
        <f t="shared" ref="U8:U15" si="11">T8*0.8</f>
        <v>1.6316489159564004E-6</v>
      </c>
      <c r="V8" s="158">
        <f t="shared" si="0"/>
        <v>2.6514294884291509E-6</v>
      </c>
      <c r="W8" s="160"/>
      <c r="X8" s="159"/>
      <c r="AA8" s="170" t="s">
        <v>3471</v>
      </c>
      <c r="AB8" s="174" t="s">
        <v>712</v>
      </c>
      <c r="AC8" s="158">
        <v>2.0395611449455005E-6</v>
      </c>
      <c r="AD8" s="158">
        <f t="shared" ref="AD8:AD15" si="12">AC8*0.8</f>
        <v>1.6316489159564004E-6</v>
      </c>
      <c r="AE8" s="158">
        <f t="shared" si="1"/>
        <v>2.6514294884291509E-6</v>
      </c>
      <c r="AF8" s="186"/>
      <c r="AG8" s="159"/>
      <c r="AJ8" s="170" t="s">
        <v>3471</v>
      </c>
      <c r="AK8" s="174" t="s">
        <v>712</v>
      </c>
      <c r="AL8" s="158">
        <v>2.0395611449455005E-6</v>
      </c>
      <c r="AM8" s="158">
        <f t="shared" ref="AM8:AM15" si="13">AL8*0.8</f>
        <v>1.6316489159564004E-6</v>
      </c>
      <c r="AN8" s="158">
        <f t="shared" ref="AN8:AN13" si="14">1.3*AL8</f>
        <v>2.6514294884291509E-6</v>
      </c>
      <c r="AO8" s="160"/>
      <c r="AP8" s="159"/>
      <c r="AS8" s="170" t="s">
        <v>3471</v>
      </c>
      <c r="AT8" s="174" t="s">
        <v>712</v>
      </c>
      <c r="AU8" s="158">
        <v>2.0395611449455005E-6</v>
      </c>
      <c r="AV8" s="158">
        <f t="shared" ref="AV8:AV15" si="15">AU8*0.8</f>
        <v>1.6316489159564004E-6</v>
      </c>
      <c r="AW8" s="158">
        <f t="shared" si="3"/>
        <v>2.6514294884291509E-6</v>
      </c>
      <c r="AX8" s="160"/>
      <c r="AY8" s="159"/>
      <c r="BB8" s="170" t="s">
        <v>3471</v>
      </c>
      <c r="BC8" s="174" t="s">
        <v>712</v>
      </c>
      <c r="BD8" s="158">
        <v>2.0395611449455005E-6</v>
      </c>
      <c r="BE8" s="158">
        <f t="shared" ref="BE8:BE15" si="16">BD8*0.8</f>
        <v>1.6316489159564004E-6</v>
      </c>
      <c r="BF8" s="158">
        <f t="shared" si="4"/>
        <v>2.6514294884291509E-6</v>
      </c>
      <c r="BG8" s="160"/>
      <c r="BH8" s="159"/>
      <c r="BK8" s="170" t="s">
        <v>3471</v>
      </c>
      <c r="BL8" s="174" t="s">
        <v>712</v>
      </c>
      <c r="BM8" s="158">
        <v>2.0395611449455005E-6</v>
      </c>
      <c r="BN8" s="158">
        <f t="shared" ref="BN8:BN15" si="17">BM8*0.8</f>
        <v>1.6316489159564004E-6</v>
      </c>
      <c r="BO8" s="158">
        <f t="shared" si="5"/>
        <v>2.6514294884291509E-6</v>
      </c>
      <c r="BP8" s="160"/>
      <c r="BQ8" s="159"/>
      <c r="BT8" s="170" t="s">
        <v>3471</v>
      </c>
      <c r="BU8" s="174" t="s">
        <v>712</v>
      </c>
      <c r="BV8" s="158">
        <v>2.0395611449455005E-6</v>
      </c>
      <c r="BW8" s="158">
        <f t="shared" ref="BW8:BW9" si="18">BV8*0.8</f>
        <v>1.6316489159564004E-6</v>
      </c>
      <c r="BX8" s="158">
        <f t="shared" si="6"/>
        <v>2.6514294884291509E-6</v>
      </c>
      <c r="BY8" s="160"/>
      <c r="BZ8" s="159"/>
      <c r="CC8" s="170" t="s">
        <v>3471</v>
      </c>
      <c r="CD8" s="174" t="s">
        <v>712</v>
      </c>
      <c r="CE8" s="158">
        <v>2.0395611449455005E-6</v>
      </c>
      <c r="CF8" s="158">
        <f t="shared" ref="CF8:CF15" si="19">CE8*0.8</f>
        <v>1.6316489159564004E-6</v>
      </c>
      <c r="CG8" s="158">
        <f t="shared" si="7"/>
        <v>2.6514294884291509E-6</v>
      </c>
      <c r="CH8" s="160"/>
      <c r="CI8" s="159"/>
      <c r="CL8" s="170" t="s">
        <v>3471</v>
      </c>
      <c r="CM8" s="174" t="s">
        <v>712</v>
      </c>
      <c r="CN8" s="158">
        <v>2.0395611449455005E-6</v>
      </c>
      <c r="CO8" s="158">
        <f t="shared" ref="CO8:CO15" si="20">CN8*0.8</f>
        <v>1.6316489159564004E-6</v>
      </c>
      <c r="CP8" s="158">
        <f t="shared" si="8"/>
        <v>2.6514294884291509E-6</v>
      </c>
      <c r="CQ8" s="160"/>
      <c r="CR8" s="159"/>
      <c r="CU8" s="170" t="s">
        <v>3471</v>
      </c>
      <c r="CV8" s="174" t="s">
        <v>712</v>
      </c>
      <c r="CW8" s="158">
        <v>2.0395611449455005E-6</v>
      </c>
      <c r="CX8" s="158">
        <f t="shared" ref="CX8:CX11" si="21">CW8*0.8</f>
        <v>1.6316489159564004E-6</v>
      </c>
      <c r="CY8" s="158">
        <f t="shared" si="9"/>
        <v>2.6514294884291509E-6</v>
      </c>
      <c r="CZ8" s="160"/>
      <c r="DA8" s="159"/>
      <c r="DD8" s="170" t="s">
        <v>3471</v>
      </c>
      <c r="DE8" s="174" t="s">
        <v>712</v>
      </c>
      <c r="DF8" s="158">
        <v>2.0395611449455005E-6</v>
      </c>
      <c r="DG8" s="158">
        <f t="shared" ref="DG8:DG9" si="22">DF8*0.8</f>
        <v>1.6316489159564004E-6</v>
      </c>
      <c r="DH8" s="158">
        <f t="shared" si="10"/>
        <v>2.6514294884291509E-6</v>
      </c>
      <c r="DI8" s="160"/>
      <c r="DJ8" s="159"/>
    </row>
    <row r="9" spans="1:114" ht="22" x14ac:dyDescent="0.3">
      <c r="B9" s="152" t="s">
        <v>3580</v>
      </c>
      <c r="C9" s="152">
        <v>4.2573467131654015</v>
      </c>
      <c r="D9" s="153">
        <v>29</v>
      </c>
      <c r="E9" s="153">
        <v>29</v>
      </c>
      <c r="G9" s="212"/>
      <c r="K9">
        <v>3</v>
      </c>
      <c r="L9" t="s">
        <v>3595</v>
      </c>
      <c r="R9" s="170" t="s">
        <v>3474</v>
      </c>
      <c r="S9" s="174" t="s">
        <v>752</v>
      </c>
      <c r="T9" s="158">
        <v>6.8243714241989983E-7</v>
      </c>
      <c r="U9" s="158">
        <f t="shared" si="11"/>
        <v>5.459497139359199E-7</v>
      </c>
      <c r="V9" s="158">
        <f t="shared" si="0"/>
        <v>8.8716828514586976E-7</v>
      </c>
      <c r="W9" s="160"/>
      <c r="X9" s="159"/>
      <c r="AA9" s="170" t="s">
        <v>3474</v>
      </c>
      <c r="AB9" s="174" t="s">
        <v>752</v>
      </c>
      <c r="AC9" s="158">
        <v>6.8243714241989983E-7</v>
      </c>
      <c r="AD9" s="158">
        <f t="shared" si="12"/>
        <v>5.459497139359199E-7</v>
      </c>
      <c r="AE9" s="158">
        <f t="shared" si="1"/>
        <v>8.8716828514586976E-7</v>
      </c>
      <c r="AF9" s="186"/>
      <c r="AG9" s="159"/>
      <c r="AJ9" s="170" t="s">
        <v>3474</v>
      </c>
      <c r="AK9" s="174" t="s">
        <v>752</v>
      </c>
      <c r="AL9" s="158">
        <v>6.8243714241989983E-7</v>
      </c>
      <c r="AM9" s="158">
        <f t="shared" si="13"/>
        <v>5.459497139359199E-7</v>
      </c>
      <c r="AN9" s="158">
        <f t="shared" si="14"/>
        <v>8.8716828514586976E-7</v>
      </c>
      <c r="AO9" s="160"/>
      <c r="AP9" s="159"/>
      <c r="AS9" s="170" t="s">
        <v>3474</v>
      </c>
      <c r="AT9" s="174" t="s">
        <v>752</v>
      </c>
      <c r="AU9" s="158">
        <v>6.8243714241989983E-7</v>
      </c>
      <c r="AV9" s="158">
        <f t="shared" si="15"/>
        <v>5.459497139359199E-7</v>
      </c>
      <c r="AW9" s="158">
        <f t="shared" si="3"/>
        <v>8.8716828514586976E-7</v>
      </c>
      <c r="AX9" s="160"/>
      <c r="AY9" s="159"/>
      <c r="BB9" s="170" t="s">
        <v>3474</v>
      </c>
      <c r="BC9" s="174" t="s">
        <v>752</v>
      </c>
      <c r="BD9" s="158">
        <v>6.8243714241989983E-7</v>
      </c>
      <c r="BE9" s="158">
        <f t="shared" si="16"/>
        <v>5.459497139359199E-7</v>
      </c>
      <c r="BF9" s="158">
        <f t="shared" si="4"/>
        <v>8.8716828514586976E-7</v>
      </c>
      <c r="BG9" s="160"/>
      <c r="BH9" s="159"/>
      <c r="BK9" s="170" t="s">
        <v>3474</v>
      </c>
      <c r="BL9" s="174" t="s">
        <v>752</v>
      </c>
      <c r="BM9" s="158">
        <v>6.8243714241989983E-7</v>
      </c>
      <c r="BN9" s="158">
        <f t="shared" si="17"/>
        <v>5.459497139359199E-7</v>
      </c>
      <c r="BO9" s="158">
        <f t="shared" si="5"/>
        <v>8.8716828514586976E-7</v>
      </c>
      <c r="BP9" s="160"/>
      <c r="BQ9" s="159"/>
      <c r="BT9" s="170" t="s">
        <v>3474</v>
      </c>
      <c r="BU9" s="174" t="s">
        <v>752</v>
      </c>
      <c r="BV9" s="158">
        <v>6.8243714241989983E-7</v>
      </c>
      <c r="BW9" s="158">
        <f t="shared" si="18"/>
        <v>5.459497139359199E-7</v>
      </c>
      <c r="BX9" s="158">
        <f t="shared" si="6"/>
        <v>8.8716828514586976E-7</v>
      </c>
      <c r="BY9" s="160"/>
      <c r="BZ9" s="159"/>
      <c r="CC9" s="170" t="s">
        <v>3474</v>
      </c>
      <c r="CD9" s="174" t="s">
        <v>752</v>
      </c>
      <c r="CE9" s="158">
        <v>6.8243714241989983E-7</v>
      </c>
      <c r="CF9" s="158">
        <f t="shared" si="19"/>
        <v>5.459497139359199E-7</v>
      </c>
      <c r="CG9" s="158">
        <f t="shared" si="7"/>
        <v>8.8716828514586976E-7</v>
      </c>
      <c r="CH9" s="160"/>
      <c r="CI9" s="159"/>
      <c r="CL9" s="170" t="s">
        <v>3474</v>
      </c>
      <c r="CM9" s="174" t="s">
        <v>752</v>
      </c>
      <c r="CN9" s="158">
        <v>6.8243714241989983E-7</v>
      </c>
      <c r="CO9" s="158">
        <f t="shared" si="20"/>
        <v>5.459497139359199E-7</v>
      </c>
      <c r="CP9" s="158">
        <f t="shared" si="8"/>
        <v>8.8716828514586976E-7</v>
      </c>
      <c r="CQ9" s="160"/>
      <c r="CR9" s="159"/>
      <c r="CU9" s="170" t="s">
        <v>3474</v>
      </c>
      <c r="CV9" s="174" t="s">
        <v>752</v>
      </c>
      <c r="CW9" s="158">
        <v>6.8243714241989983E-7</v>
      </c>
      <c r="CX9" s="158">
        <f t="shared" si="21"/>
        <v>5.459497139359199E-7</v>
      </c>
      <c r="CY9" s="158">
        <f t="shared" si="9"/>
        <v>8.8716828514586976E-7</v>
      </c>
      <c r="CZ9" s="160"/>
      <c r="DA9" s="159"/>
      <c r="DD9" s="170" t="s">
        <v>3474</v>
      </c>
      <c r="DE9" s="174" t="s">
        <v>752</v>
      </c>
      <c r="DF9" s="158">
        <v>6.8243714241989983E-7</v>
      </c>
      <c r="DG9" s="158">
        <f t="shared" si="22"/>
        <v>5.459497139359199E-7</v>
      </c>
      <c r="DH9" s="158">
        <f t="shared" si="10"/>
        <v>8.8716828514586976E-7</v>
      </c>
      <c r="DI9" s="160"/>
      <c r="DJ9" s="159"/>
    </row>
    <row r="10" spans="1:114" ht="22" x14ac:dyDescent="0.3">
      <c r="B10" s="152" t="s">
        <v>3581</v>
      </c>
      <c r="C10" s="152">
        <v>1.6253588300286892</v>
      </c>
      <c r="D10" s="153">
        <v>48.4</v>
      </c>
      <c r="E10" s="153">
        <v>48.4</v>
      </c>
      <c r="G10" s="212"/>
      <c r="K10">
        <v>4</v>
      </c>
      <c r="L10" t="s">
        <v>3596</v>
      </c>
      <c r="R10" s="170" t="s">
        <v>3477</v>
      </c>
      <c r="S10" s="174" t="s">
        <v>104</v>
      </c>
      <c r="T10" s="158">
        <v>4.7077407255037966E-6</v>
      </c>
      <c r="U10" s="158">
        <f t="shared" si="11"/>
        <v>3.7661925804030376E-6</v>
      </c>
      <c r="V10" s="158">
        <f t="shared" si="0"/>
        <v>6.1200629431549359E-6</v>
      </c>
      <c r="W10" s="160"/>
      <c r="X10" s="159"/>
      <c r="AA10" s="170" t="s">
        <v>3477</v>
      </c>
      <c r="AB10" s="174" t="s">
        <v>104</v>
      </c>
      <c r="AC10" s="158">
        <v>4.7077407255037966E-6</v>
      </c>
      <c r="AD10" s="158">
        <f t="shared" si="12"/>
        <v>3.7661925804030376E-6</v>
      </c>
      <c r="AE10" s="158">
        <f t="shared" si="1"/>
        <v>6.1200629431549359E-6</v>
      </c>
      <c r="AF10" s="160"/>
      <c r="AG10" s="159"/>
      <c r="AJ10" s="184" t="s">
        <v>3477</v>
      </c>
      <c r="AK10" s="185" t="s">
        <v>104</v>
      </c>
      <c r="AL10" s="148">
        <v>4.7077407255037966E-6</v>
      </c>
      <c r="AM10" s="183">
        <v>1.7401969352973283E-4</v>
      </c>
      <c r="AN10" s="183">
        <v>2.8278200198581584E-4</v>
      </c>
      <c r="AO10" s="160" t="s">
        <v>3606</v>
      </c>
      <c r="AP10" s="159"/>
      <c r="AS10" s="170" t="s">
        <v>3477</v>
      </c>
      <c r="AT10" s="174" t="s">
        <v>104</v>
      </c>
      <c r="AU10" s="158">
        <v>4.7077407255037966E-6</v>
      </c>
      <c r="AV10" s="158">
        <f t="shared" si="15"/>
        <v>3.7661925804030376E-6</v>
      </c>
      <c r="AW10" s="158">
        <f t="shared" si="3"/>
        <v>6.1200629431549359E-6</v>
      </c>
      <c r="AX10" s="160"/>
      <c r="AY10" s="159"/>
      <c r="BB10" s="184" t="s">
        <v>3477</v>
      </c>
      <c r="BC10" s="185" t="s">
        <v>104</v>
      </c>
      <c r="BD10" s="148">
        <v>4.7077407255037966E-6</v>
      </c>
      <c r="BE10" s="183">
        <v>1.7401969352973283E-4</v>
      </c>
      <c r="BF10" s="183">
        <v>2.8278200198581584E-4</v>
      </c>
      <c r="BG10" s="160"/>
      <c r="BH10" s="159"/>
      <c r="BK10" s="170" t="s">
        <v>3477</v>
      </c>
      <c r="BL10" s="174" t="s">
        <v>104</v>
      </c>
      <c r="BM10" s="158">
        <v>4.7077407255037966E-6</v>
      </c>
      <c r="BN10" s="158">
        <f t="shared" si="17"/>
        <v>3.7661925804030376E-6</v>
      </c>
      <c r="BO10" s="158">
        <f t="shared" si="5"/>
        <v>6.1200629431549359E-6</v>
      </c>
      <c r="BP10" s="160"/>
      <c r="BQ10" s="159"/>
      <c r="BT10" s="184" t="s">
        <v>3477</v>
      </c>
      <c r="BU10" s="185" t="s">
        <v>104</v>
      </c>
      <c r="BV10" s="148">
        <v>4.7077407255037966E-6</v>
      </c>
      <c r="BW10" s="183">
        <v>1.7401969352973283E-4</v>
      </c>
      <c r="BX10" s="183">
        <v>2.8278200198581584E-4</v>
      </c>
      <c r="BY10" s="160"/>
      <c r="BZ10" s="159"/>
      <c r="CC10" s="170" t="s">
        <v>3477</v>
      </c>
      <c r="CD10" s="174" t="s">
        <v>104</v>
      </c>
      <c r="CE10" s="158">
        <v>4.7077407255037966E-6</v>
      </c>
      <c r="CF10" s="158">
        <f t="shared" si="19"/>
        <v>3.7661925804030376E-6</v>
      </c>
      <c r="CG10" s="158">
        <f t="shared" si="7"/>
        <v>6.1200629431549359E-6</v>
      </c>
      <c r="CH10" s="160"/>
      <c r="CI10" s="159"/>
      <c r="CL10" s="170" t="s">
        <v>3477</v>
      </c>
      <c r="CM10" s="174" t="s">
        <v>104</v>
      </c>
      <c r="CN10" s="158">
        <v>4.7077407255037966E-6</v>
      </c>
      <c r="CO10" s="158">
        <f t="shared" si="20"/>
        <v>3.7661925804030376E-6</v>
      </c>
      <c r="CP10" s="158">
        <f t="shared" si="8"/>
        <v>6.1200629431549359E-6</v>
      </c>
      <c r="CQ10" s="160"/>
      <c r="CR10" s="159"/>
      <c r="CU10" s="170" t="s">
        <v>3477</v>
      </c>
      <c r="CV10" s="174" t="s">
        <v>104</v>
      </c>
      <c r="CW10" s="158">
        <v>4.7077407255037966E-6</v>
      </c>
      <c r="CX10" s="158">
        <f t="shared" si="21"/>
        <v>3.7661925804030376E-6</v>
      </c>
      <c r="CY10" s="158">
        <f t="shared" si="9"/>
        <v>6.1200629431549359E-6</v>
      </c>
      <c r="CZ10" s="160"/>
      <c r="DA10" s="159"/>
      <c r="DD10" s="184" t="s">
        <v>3477</v>
      </c>
      <c r="DE10" s="185" t="s">
        <v>104</v>
      </c>
      <c r="DF10" s="148">
        <v>4.7077407255037966E-6</v>
      </c>
      <c r="DG10" s="183">
        <v>1.7401969352973283E-4</v>
      </c>
      <c r="DH10" s="183">
        <v>2.8278200198581584E-4</v>
      </c>
      <c r="DI10" s="160"/>
      <c r="DJ10" s="159"/>
    </row>
    <row r="11" spans="1:114" ht="22" x14ac:dyDescent="0.3">
      <c r="B11" s="152" t="s">
        <v>3582</v>
      </c>
      <c r="C11" s="152">
        <v>6.7384051247817052</v>
      </c>
      <c r="D11" s="152">
        <v>6.7384051247817052</v>
      </c>
      <c r="E11" s="153">
        <v>487</v>
      </c>
      <c r="G11" s="212"/>
      <c r="K11">
        <v>5</v>
      </c>
      <c r="L11" t="s">
        <v>3597</v>
      </c>
      <c r="R11" s="170" t="s">
        <v>3481</v>
      </c>
      <c r="S11" s="174" t="s">
        <v>555</v>
      </c>
      <c r="T11" s="158">
        <v>6.4111390078708838E-6</v>
      </c>
      <c r="U11" s="158">
        <f t="shared" si="11"/>
        <v>5.1289112062967075E-6</v>
      </c>
      <c r="V11" s="158">
        <f t="shared" si="0"/>
        <v>8.334480710232149E-6</v>
      </c>
      <c r="W11" s="160"/>
      <c r="X11" s="159"/>
      <c r="AA11" s="170" t="s">
        <v>3481</v>
      </c>
      <c r="AB11" s="174" t="s">
        <v>555</v>
      </c>
      <c r="AC11" s="158">
        <v>6.4111390078708838E-6</v>
      </c>
      <c r="AD11" s="158">
        <f t="shared" si="12"/>
        <v>5.1289112062967075E-6</v>
      </c>
      <c r="AE11" s="158">
        <f t="shared" si="1"/>
        <v>8.334480710232149E-6</v>
      </c>
      <c r="AF11" s="160"/>
      <c r="AG11" s="159"/>
      <c r="AJ11" s="170" t="s">
        <v>3481</v>
      </c>
      <c r="AK11" s="174" t="s">
        <v>555</v>
      </c>
      <c r="AL11" s="158">
        <v>6.4111390078708838E-6</v>
      </c>
      <c r="AM11" s="158">
        <f t="shared" si="13"/>
        <v>5.1289112062967075E-6</v>
      </c>
      <c r="AN11" s="158">
        <f t="shared" si="14"/>
        <v>8.334480710232149E-6</v>
      </c>
      <c r="AO11" s="160"/>
      <c r="AP11" s="159"/>
      <c r="AS11" s="184" t="s">
        <v>3481</v>
      </c>
      <c r="AT11" s="185" t="s">
        <v>555</v>
      </c>
      <c r="AU11" s="148">
        <v>6.4111390078708838E-6</v>
      </c>
      <c r="AV11" s="148">
        <v>2.5610306165695983E-5</v>
      </c>
      <c r="AW11" s="148">
        <v>4.161674751925597E-5</v>
      </c>
      <c r="AX11" s="160" t="s">
        <v>3606</v>
      </c>
      <c r="AY11" s="159"/>
      <c r="BB11" s="170" t="s">
        <v>3481</v>
      </c>
      <c r="BC11" s="174" t="s">
        <v>555</v>
      </c>
      <c r="BD11" s="158">
        <v>6.4111390078708838E-6</v>
      </c>
      <c r="BE11" s="158">
        <f t="shared" si="16"/>
        <v>5.1289112062967075E-6</v>
      </c>
      <c r="BF11" s="158">
        <f t="shared" si="4"/>
        <v>8.334480710232149E-6</v>
      </c>
      <c r="BG11" s="160"/>
      <c r="BH11" s="159"/>
      <c r="BK11" s="184" t="s">
        <v>3481</v>
      </c>
      <c r="BL11" s="185" t="s">
        <v>555</v>
      </c>
      <c r="BM11" s="148">
        <v>6.4111390078708838E-6</v>
      </c>
      <c r="BN11" s="148">
        <v>2.5610306165695983E-5</v>
      </c>
      <c r="BO11" s="148">
        <v>4.161674751925597E-5</v>
      </c>
      <c r="BP11" s="160"/>
      <c r="BQ11" s="159"/>
      <c r="BT11" s="184" t="s">
        <v>3481</v>
      </c>
      <c r="BU11" s="185" t="s">
        <v>555</v>
      </c>
      <c r="BV11" s="148">
        <v>6.4111390078708838E-6</v>
      </c>
      <c r="BW11" s="148">
        <v>2.5610306165695983E-5</v>
      </c>
      <c r="BX11" s="148">
        <v>4.161674751925597E-5</v>
      </c>
      <c r="BY11" s="160"/>
      <c r="BZ11" s="159"/>
      <c r="CC11" s="170" t="s">
        <v>3481</v>
      </c>
      <c r="CD11" s="174" t="s">
        <v>555</v>
      </c>
      <c r="CE11" s="158">
        <v>6.4111390078708838E-6</v>
      </c>
      <c r="CF11" s="158">
        <f t="shared" si="19"/>
        <v>5.1289112062967075E-6</v>
      </c>
      <c r="CG11" s="158">
        <f t="shared" si="7"/>
        <v>8.334480710232149E-6</v>
      </c>
      <c r="CH11" s="160"/>
      <c r="CI11" s="159"/>
      <c r="CL11" s="170" t="s">
        <v>3481</v>
      </c>
      <c r="CM11" s="174" t="s">
        <v>555</v>
      </c>
      <c r="CN11" s="158">
        <v>6.4111390078708838E-6</v>
      </c>
      <c r="CO11" s="158">
        <f t="shared" si="20"/>
        <v>5.1289112062967075E-6</v>
      </c>
      <c r="CP11" s="158">
        <f t="shared" si="8"/>
        <v>8.334480710232149E-6</v>
      </c>
      <c r="CQ11" s="160"/>
      <c r="CR11" s="159"/>
      <c r="CU11" s="170" t="s">
        <v>3481</v>
      </c>
      <c r="CV11" s="174" t="s">
        <v>555</v>
      </c>
      <c r="CW11" s="158">
        <v>6.4111390078708838E-6</v>
      </c>
      <c r="CX11" s="158">
        <f t="shared" si="21"/>
        <v>5.1289112062967075E-6</v>
      </c>
      <c r="CY11" s="158">
        <f t="shared" si="9"/>
        <v>8.334480710232149E-6</v>
      </c>
      <c r="CZ11" s="160"/>
      <c r="DA11" s="159"/>
      <c r="DD11" s="184" t="s">
        <v>3481</v>
      </c>
      <c r="DE11" s="185" t="s">
        <v>555</v>
      </c>
      <c r="DF11" s="148">
        <v>6.4111390078708838E-6</v>
      </c>
      <c r="DG11" s="148">
        <v>2.5610306165695983E-5</v>
      </c>
      <c r="DH11" s="148">
        <v>4.161674751925597E-5</v>
      </c>
      <c r="DI11" s="160"/>
      <c r="DJ11" s="159"/>
    </row>
    <row r="12" spans="1:114" ht="22" x14ac:dyDescent="0.3">
      <c r="B12" s="152" t="s">
        <v>3583</v>
      </c>
      <c r="C12" s="152">
        <v>2.2546702996474828</v>
      </c>
      <c r="D12" s="152">
        <v>48.4</v>
      </c>
      <c r="E12" s="153">
        <v>48.4</v>
      </c>
      <c r="G12" s="212"/>
      <c r="K12">
        <v>6</v>
      </c>
      <c r="L12" t="s">
        <v>3598</v>
      </c>
      <c r="R12" s="171" t="s">
        <v>3549</v>
      </c>
      <c r="S12" s="174" t="s">
        <v>1269</v>
      </c>
      <c r="T12" s="158">
        <v>7.8481334387772879E-7</v>
      </c>
      <c r="U12" s="158">
        <f t="shared" si="11"/>
        <v>6.2785067510218305E-7</v>
      </c>
      <c r="V12" s="158">
        <f t="shared" si="0"/>
        <v>1.0202573470410474E-6</v>
      </c>
      <c r="W12" s="160"/>
      <c r="X12" s="159"/>
      <c r="AA12" s="171" t="s">
        <v>3549</v>
      </c>
      <c r="AB12" s="174" t="s">
        <v>1269</v>
      </c>
      <c r="AC12" s="158">
        <v>7.8481334387772879E-7</v>
      </c>
      <c r="AD12" s="158">
        <f t="shared" si="12"/>
        <v>6.2785067510218305E-7</v>
      </c>
      <c r="AE12" s="158">
        <f t="shared" si="1"/>
        <v>1.0202573470410474E-6</v>
      </c>
      <c r="AF12" s="160"/>
      <c r="AG12" s="159"/>
      <c r="AJ12" s="171" t="s">
        <v>3549</v>
      </c>
      <c r="AK12" s="174" t="s">
        <v>1269</v>
      </c>
      <c r="AL12" s="158">
        <v>7.8481334387772879E-7</v>
      </c>
      <c r="AM12" s="158">
        <f t="shared" si="13"/>
        <v>6.2785067510218305E-7</v>
      </c>
      <c r="AN12" s="158">
        <f t="shared" si="14"/>
        <v>1.0202573470410474E-6</v>
      </c>
      <c r="AO12" s="160"/>
      <c r="AP12" s="159"/>
      <c r="AS12" s="171" t="s">
        <v>3549</v>
      </c>
      <c r="AT12" s="174" t="s">
        <v>1269</v>
      </c>
      <c r="AU12" s="158">
        <v>7.8481334387772879E-7</v>
      </c>
      <c r="AV12" s="158">
        <f t="shared" si="15"/>
        <v>6.2785067510218305E-7</v>
      </c>
      <c r="AW12" s="158">
        <f t="shared" si="3"/>
        <v>1.0202573470410474E-6</v>
      </c>
      <c r="AX12" s="160"/>
      <c r="AY12" s="159"/>
      <c r="BB12" s="171" t="s">
        <v>3549</v>
      </c>
      <c r="BC12" s="174" t="s">
        <v>1269</v>
      </c>
      <c r="BD12" s="158">
        <v>7.8481334387772879E-7</v>
      </c>
      <c r="BE12" s="158">
        <f t="shared" si="16"/>
        <v>6.2785067510218305E-7</v>
      </c>
      <c r="BF12" s="158">
        <f t="shared" si="4"/>
        <v>1.0202573470410474E-6</v>
      </c>
      <c r="BG12" s="160"/>
      <c r="BH12" s="159"/>
      <c r="BK12" s="171" t="s">
        <v>3549</v>
      </c>
      <c r="BL12" s="174" t="s">
        <v>1269</v>
      </c>
      <c r="BM12" s="158">
        <v>7.8481334387772879E-7</v>
      </c>
      <c r="BN12" s="158">
        <f t="shared" si="17"/>
        <v>6.2785067510218305E-7</v>
      </c>
      <c r="BO12" s="158">
        <f t="shared" si="5"/>
        <v>1.0202573470410474E-6</v>
      </c>
      <c r="BP12" s="160"/>
      <c r="BQ12" s="159"/>
      <c r="BT12" s="171" t="s">
        <v>3549</v>
      </c>
      <c r="BU12" s="174" t="s">
        <v>1269</v>
      </c>
      <c r="BV12" s="158">
        <v>7.8481334387772879E-7</v>
      </c>
      <c r="BW12" s="158">
        <f t="shared" ref="BW12:BW15" si="23">BV12*0.8</f>
        <v>6.2785067510218305E-7</v>
      </c>
      <c r="BX12" s="158">
        <f t="shared" ref="BX12:BX13" si="24">1.3*BV12</f>
        <v>1.0202573470410474E-6</v>
      </c>
      <c r="BY12" s="160"/>
      <c r="BZ12" s="159"/>
      <c r="CC12" s="171" t="s">
        <v>3549</v>
      </c>
      <c r="CD12" s="174" t="s">
        <v>1269</v>
      </c>
      <c r="CE12" s="158">
        <v>7.8481334387772879E-7</v>
      </c>
      <c r="CF12" s="158">
        <f t="shared" si="19"/>
        <v>6.2785067510218305E-7</v>
      </c>
      <c r="CG12" s="158">
        <f t="shared" si="7"/>
        <v>1.0202573470410474E-6</v>
      </c>
      <c r="CH12" s="160"/>
      <c r="CI12" s="159"/>
      <c r="CL12" s="194" t="s">
        <v>3549</v>
      </c>
      <c r="CM12" s="185" t="s">
        <v>1269</v>
      </c>
      <c r="CN12" s="148">
        <v>7.8481334387772879E-7</v>
      </c>
      <c r="CO12" s="183">
        <v>1.2181038970203087E-4</v>
      </c>
      <c r="CP12" s="183">
        <v>1.9794188326580016E-4</v>
      </c>
      <c r="CQ12" s="160" t="s">
        <v>3606</v>
      </c>
      <c r="CR12" s="159"/>
      <c r="CU12" s="194" t="s">
        <v>3549</v>
      </c>
      <c r="CV12" s="185" t="s">
        <v>1269</v>
      </c>
      <c r="CW12" s="148">
        <v>7.8481334387772879E-7</v>
      </c>
      <c r="CX12" s="183">
        <v>1.2181038970203087E-4</v>
      </c>
      <c r="CY12" s="183">
        <v>1.9794188326580016E-4</v>
      </c>
      <c r="CZ12" s="160"/>
      <c r="DA12" s="159"/>
      <c r="DD12" s="194" t="s">
        <v>3549</v>
      </c>
      <c r="DE12" s="185" t="s">
        <v>1269</v>
      </c>
      <c r="DF12" s="148">
        <v>7.8481334387772879E-7</v>
      </c>
      <c r="DG12" s="183">
        <v>1.2181038970203087E-4</v>
      </c>
      <c r="DH12" s="183">
        <v>1.9794188326580016E-4</v>
      </c>
      <c r="DI12" s="160"/>
      <c r="DJ12" s="159"/>
    </row>
    <row r="13" spans="1:114" ht="22" x14ac:dyDescent="0.3">
      <c r="B13" s="152" t="s">
        <v>3584</v>
      </c>
      <c r="C13" s="152">
        <v>0.97</v>
      </c>
      <c r="D13" s="152">
        <v>0.97</v>
      </c>
      <c r="E13" s="153">
        <v>1.85</v>
      </c>
      <c r="G13" s="212"/>
      <c r="K13">
        <v>7</v>
      </c>
      <c r="L13" t="s">
        <v>3608</v>
      </c>
      <c r="R13" s="171" t="s">
        <v>3552</v>
      </c>
      <c r="S13" s="174" t="s">
        <v>1270</v>
      </c>
      <c r="T13" s="158">
        <v>2.6563484005104571E-8</v>
      </c>
      <c r="U13" s="180">
        <f t="shared" si="11"/>
        <v>2.1250787204083659E-8</v>
      </c>
      <c r="V13" s="180">
        <f t="shared" si="0"/>
        <v>3.4532529206635945E-8</v>
      </c>
      <c r="W13" s="160" t="s">
        <v>3604</v>
      </c>
      <c r="X13" s="159"/>
      <c r="AA13" s="171" t="s">
        <v>3552</v>
      </c>
      <c r="AB13" s="174" t="s">
        <v>1270</v>
      </c>
      <c r="AC13" s="158">
        <v>2.6563484005104571E-8</v>
      </c>
      <c r="AD13" s="180">
        <f t="shared" si="12"/>
        <v>2.1250787204083659E-8</v>
      </c>
      <c r="AE13" s="180">
        <f t="shared" si="1"/>
        <v>3.4532529206635945E-8</v>
      </c>
      <c r="AF13" s="160" t="s">
        <v>3604</v>
      </c>
      <c r="AG13" s="159"/>
      <c r="AJ13" s="171" t="s">
        <v>3552</v>
      </c>
      <c r="AK13" s="174" t="s">
        <v>1270</v>
      </c>
      <c r="AL13" s="158">
        <v>2.6563484005104571E-8</v>
      </c>
      <c r="AM13" s="180">
        <f t="shared" si="13"/>
        <v>2.1250787204083659E-8</v>
      </c>
      <c r="AN13" s="180">
        <f t="shared" si="14"/>
        <v>3.4532529206635945E-8</v>
      </c>
      <c r="AO13" s="160" t="s">
        <v>3604</v>
      </c>
      <c r="AP13" s="159"/>
      <c r="AS13" s="171" t="s">
        <v>3552</v>
      </c>
      <c r="AT13" s="174" t="s">
        <v>1270</v>
      </c>
      <c r="AU13" s="158">
        <v>2.6563484005104571E-8</v>
      </c>
      <c r="AV13" s="180">
        <f t="shared" si="15"/>
        <v>2.1250787204083659E-8</v>
      </c>
      <c r="AW13" s="180">
        <f t="shared" si="3"/>
        <v>3.4532529206635945E-8</v>
      </c>
      <c r="AX13" s="160" t="s">
        <v>3604</v>
      </c>
      <c r="AY13" s="159"/>
      <c r="BB13" s="171" t="s">
        <v>3552</v>
      </c>
      <c r="BC13" s="174" t="s">
        <v>1270</v>
      </c>
      <c r="BD13" s="158">
        <v>2.6563484005104571E-8</v>
      </c>
      <c r="BE13" s="180">
        <f t="shared" si="16"/>
        <v>2.1250787204083659E-8</v>
      </c>
      <c r="BF13" s="180">
        <f t="shared" si="4"/>
        <v>3.4532529206635945E-8</v>
      </c>
      <c r="BG13" s="160" t="s">
        <v>3604</v>
      </c>
      <c r="BH13" s="159"/>
      <c r="BK13" s="171" t="s">
        <v>3552</v>
      </c>
      <c r="BL13" s="174" t="s">
        <v>1270</v>
      </c>
      <c r="BM13" s="158">
        <v>2.6563484005104571E-8</v>
      </c>
      <c r="BN13" s="180">
        <f t="shared" si="17"/>
        <v>2.1250787204083659E-8</v>
      </c>
      <c r="BO13" s="180">
        <f t="shared" si="5"/>
        <v>3.4532529206635945E-8</v>
      </c>
      <c r="BP13" s="160" t="s">
        <v>3604</v>
      </c>
      <c r="BQ13" s="159"/>
      <c r="BT13" s="171" t="s">
        <v>3552</v>
      </c>
      <c r="BU13" s="174" t="s">
        <v>1270</v>
      </c>
      <c r="BV13" s="158">
        <v>2.6563484005104571E-8</v>
      </c>
      <c r="BW13" s="180">
        <f t="shared" si="23"/>
        <v>2.1250787204083659E-8</v>
      </c>
      <c r="BX13" s="180">
        <f t="shared" si="24"/>
        <v>3.4532529206635945E-8</v>
      </c>
      <c r="BY13" s="160" t="s">
        <v>3604</v>
      </c>
      <c r="BZ13" s="159"/>
      <c r="CC13" s="194" t="s">
        <v>3552</v>
      </c>
      <c r="CD13" s="185" t="s">
        <v>1270</v>
      </c>
      <c r="CE13" s="148">
        <v>2.6563484005104571E-8</v>
      </c>
      <c r="CF13" s="148">
        <v>8.4776246678141814E-6</v>
      </c>
      <c r="CG13" s="148">
        <v>1.3776140085198045E-5</v>
      </c>
      <c r="CH13" s="160" t="s">
        <v>3606</v>
      </c>
      <c r="CI13" s="159"/>
      <c r="CL13" s="171" t="s">
        <v>3552</v>
      </c>
      <c r="CM13" s="174" t="s">
        <v>1270</v>
      </c>
      <c r="CN13" s="158">
        <v>2.6563484005104571E-8</v>
      </c>
      <c r="CO13" s="180">
        <f t="shared" si="20"/>
        <v>2.1250787204083659E-8</v>
      </c>
      <c r="CP13" s="180">
        <f t="shared" si="8"/>
        <v>3.4532529206635945E-8</v>
      </c>
      <c r="CQ13" s="160" t="s">
        <v>3604</v>
      </c>
      <c r="CR13" s="159"/>
      <c r="CU13" s="194" t="s">
        <v>3552</v>
      </c>
      <c r="CV13" s="185" t="s">
        <v>1270</v>
      </c>
      <c r="CW13" s="148">
        <v>2.6563484005104571E-8</v>
      </c>
      <c r="CX13" s="148">
        <v>8.4776246678141814E-6</v>
      </c>
      <c r="CY13" s="148">
        <v>1.3776140085198045E-5</v>
      </c>
      <c r="CZ13" s="160"/>
      <c r="DA13" s="159"/>
      <c r="DD13" s="194" t="s">
        <v>3552</v>
      </c>
      <c r="DE13" s="185" t="s">
        <v>1270</v>
      </c>
      <c r="DF13" s="148">
        <v>2.6563484005104571E-8</v>
      </c>
      <c r="DG13" s="148">
        <v>8.4776246678141814E-6</v>
      </c>
      <c r="DH13" s="148">
        <v>1.3776140085198045E-5</v>
      </c>
      <c r="DI13" s="160"/>
      <c r="DJ13" s="159"/>
    </row>
    <row r="14" spans="1:114" ht="22" x14ac:dyDescent="0.3">
      <c r="B14" s="152"/>
      <c r="C14" s="152"/>
      <c r="D14" s="152"/>
      <c r="E14" s="153"/>
      <c r="G14" s="212"/>
      <c r="K14">
        <v>8</v>
      </c>
      <c r="L14" t="s">
        <v>3609</v>
      </c>
      <c r="R14" s="171" t="s">
        <v>3556</v>
      </c>
      <c r="S14" s="174" t="s">
        <v>129</v>
      </c>
      <c r="T14" s="158">
        <v>7.5184683955760873E-6</v>
      </c>
      <c r="U14" s="158">
        <f t="shared" si="11"/>
        <v>6.0147747164608704E-6</v>
      </c>
      <c r="V14" s="161">
        <v>7.8182000000000008E-6</v>
      </c>
      <c r="W14" s="160"/>
      <c r="X14" s="159"/>
      <c r="AA14" s="171" t="s">
        <v>3556</v>
      </c>
      <c r="AB14" s="174" t="s">
        <v>129</v>
      </c>
      <c r="AC14" s="158">
        <v>7.5184683955760873E-6</v>
      </c>
      <c r="AD14" s="158">
        <f t="shared" si="12"/>
        <v>6.0147747164608704E-6</v>
      </c>
      <c r="AE14" s="161">
        <v>7.8182000000000008E-6</v>
      </c>
      <c r="AF14" s="160"/>
      <c r="AG14" s="159"/>
      <c r="AJ14" s="171" t="s">
        <v>3556</v>
      </c>
      <c r="AK14" s="174" t="s">
        <v>129</v>
      </c>
      <c r="AL14" s="158">
        <v>7.5184683955760873E-6</v>
      </c>
      <c r="AM14" s="158">
        <f t="shared" si="13"/>
        <v>6.0147747164608704E-6</v>
      </c>
      <c r="AN14" s="161">
        <v>7.8182000000000008E-6</v>
      </c>
      <c r="AO14" s="160"/>
      <c r="AP14" s="159"/>
      <c r="AS14" s="171" t="s">
        <v>3556</v>
      </c>
      <c r="AT14" s="174" t="s">
        <v>129</v>
      </c>
      <c r="AU14" s="158">
        <v>7.5184683955760873E-6</v>
      </c>
      <c r="AV14" s="158">
        <f t="shared" si="15"/>
        <v>6.0147747164608704E-6</v>
      </c>
      <c r="AW14" s="161">
        <v>7.8182000000000008E-6</v>
      </c>
      <c r="AX14" s="160"/>
      <c r="AY14" s="159"/>
      <c r="BB14" s="171" t="s">
        <v>3556</v>
      </c>
      <c r="BC14" s="174" t="s">
        <v>129</v>
      </c>
      <c r="BD14" s="158">
        <v>7.5184683955760873E-6</v>
      </c>
      <c r="BE14" s="158">
        <f t="shared" si="16"/>
        <v>6.0147747164608704E-6</v>
      </c>
      <c r="BF14" s="161">
        <v>7.8182000000000008E-6</v>
      </c>
      <c r="BG14" s="160"/>
      <c r="BH14" s="159"/>
      <c r="BK14" s="171" t="s">
        <v>3556</v>
      </c>
      <c r="BL14" s="174" t="s">
        <v>129</v>
      </c>
      <c r="BM14" s="158">
        <v>7.5184683955760873E-6</v>
      </c>
      <c r="BN14" s="158">
        <f t="shared" si="17"/>
        <v>6.0147747164608704E-6</v>
      </c>
      <c r="BO14" s="161">
        <v>7.8182000000000008E-6</v>
      </c>
      <c r="BP14" s="160"/>
      <c r="BQ14" s="159"/>
      <c r="BT14" s="171" t="s">
        <v>3556</v>
      </c>
      <c r="BU14" s="174" t="s">
        <v>129</v>
      </c>
      <c r="BV14" s="158">
        <v>7.5184683955760873E-6</v>
      </c>
      <c r="BW14" s="158">
        <f t="shared" si="23"/>
        <v>6.0147747164608704E-6</v>
      </c>
      <c r="BX14" s="161">
        <v>7.8182000000000008E-6</v>
      </c>
      <c r="BY14" s="160"/>
      <c r="BZ14" s="159"/>
      <c r="CC14" s="171" t="s">
        <v>3556</v>
      </c>
      <c r="CD14" s="174" t="s">
        <v>129</v>
      </c>
      <c r="CE14" s="158">
        <v>7.5184683955760873E-6</v>
      </c>
      <c r="CF14" s="158">
        <f t="shared" si="19"/>
        <v>6.0147747164608704E-6</v>
      </c>
      <c r="CG14" s="161">
        <v>7.8182000000000008E-6</v>
      </c>
      <c r="CH14" s="160"/>
      <c r="CI14" s="159"/>
      <c r="CL14" s="171" t="s">
        <v>3556</v>
      </c>
      <c r="CM14" s="174" t="s">
        <v>129</v>
      </c>
      <c r="CN14" s="158">
        <v>7.5184683955760873E-6</v>
      </c>
      <c r="CO14" s="158">
        <f t="shared" si="20"/>
        <v>6.0147747164608704E-6</v>
      </c>
      <c r="CP14" s="161">
        <v>7.8182000000000008E-6</v>
      </c>
      <c r="CQ14" s="160"/>
      <c r="CR14" s="159"/>
      <c r="CU14" s="171" t="s">
        <v>3556</v>
      </c>
      <c r="CV14" s="174" t="s">
        <v>129</v>
      </c>
      <c r="CW14" s="158">
        <v>7.5184683955760873E-6</v>
      </c>
      <c r="CX14" s="158">
        <f t="shared" ref="CX14:CX15" si="25">CW14*0.8</f>
        <v>6.0147747164608704E-6</v>
      </c>
      <c r="CY14" s="161">
        <v>7.8182000000000008E-6</v>
      </c>
      <c r="CZ14" s="160"/>
      <c r="DA14" s="159"/>
      <c r="DD14" s="171" t="s">
        <v>3556</v>
      </c>
      <c r="DE14" s="174" t="s">
        <v>129</v>
      </c>
      <c r="DF14" s="158">
        <v>7.5184683955760873E-6</v>
      </c>
      <c r="DG14" s="158">
        <f t="shared" ref="DG14:DG15" si="26">DF14*0.8</f>
        <v>6.0147747164608704E-6</v>
      </c>
      <c r="DH14" s="161">
        <v>7.8182000000000008E-6</v>
      </c>
      <c r="DI14" s="160"/>
      <c r="DJ14" s="159"/>
    </row>
    <row r="15" spans="1:114" ht="22" x14ac:dyDescent="0.3">
      <c r="B15" s="152" t="s">
        <v>3585</v>
      </c>
      <c r="C15" s="152">
        <v>0.48017066000252412</v>
      </c>
      <c r="D15" s="153">
        <v>3.7</v>
      </c>
      <c r="E15" s="153">
        <v>3.7</v>
      </c>
      <c r="G15" s="212"/>
      <c r="K15">
        <v>9</v>
      </c>
      <c r="L15" t="s">
        <v>3610</v>
      </c>
      <c r="R15" s="172" t="s">
        <v>3463</v>
      </c>
      <c r="S15" s="175" t="s">
        <v>786</v>
      </c>
      <c r="T15" s="162">
        <v>5.6633996157644354E-8</v>
      </c>
      <c r="U15" s="180">
        <f t="shared" si="11"/>
        <v>4.5307196926115483E-8</v>
      </c>
      <c r="V15" s="180" t="s">
        <v>3603</v>
      </c>
      <c r="W15" s="160"/>
      <c r="X15" s="159"/>
      <c r="AA15" s="172" t="s">
        <v>3463</v>
      </c>
      <c r="AB15" s="175" t="s">
        <v>786</v>
      </c>
      <c r="AC15" s="162">
        <v>5.6633996157644354E-8</v>
      </c>
      <c r="AD15" s="180">
        <f t="shared" si="12"/>
        <v>4.5307196926115483E-8</v>
      </c>
      <c r="AE15" s="180" t="s">
        <v>3603</v>
      </c>
      <c r="AF15" s="160"/>
      <c r="AG15" s="159"/>
      <c r="AJ15" s="172" t="s">
        <v>3463</v>
      </c>
      <c r="AK15" s="175" t="s">
        <v>786</v>
      </c>
      <c r="AL15" s="162">
        <v>5.6633996157644354E-8</v>
      </c>
      <c r="AM15" s="180">
        <f t="shared" si="13"/>
        <v>4.5307196926115483E-8</v>
      </c>
      <c r="AN15" s="180" t="s">
        <v>3603</v>
      </c>
      <c r="AO15" s="160"/>
      <c r="AP15" s="159"/>
      <c r="AS15" s="172" t="s">
        <v>3463</v>
      </c>
      <c r="AT15" s="175" t="s">
        <v>786</v>
      </c>
      <c r="AU15" s="162">
        <v>5.6633996157644354E-8</v>
      </c>
      <c r="AV15" s="180">
        <f t="shared" si="15"/>
        <v>4.5307196926115483E-8</v>
      </c>
      <c r="AW15" s="180" t="s">
        <v>3603</v>
      </c>
      <c r="AX15" s="160"/>
      <c r="AY15" s="159"/>
      <c r="BB15" s="172" t="s">
        <v>3463</v>
      </c>
      <c r="BC15" s="175" t="s">
        <v>786</v>
      </c>
      <c r="BD15" s="162">
        <v>5.6633996157644354E-8</v>
      </c>
      <c r="BE15" s="180">
        <f t="shared" si="16"/>
        <v>4.5307196926115483E-8</v>
      </c>
      <c r="BF15" s="180" t="s">
        <v>3603</v>
      </c>
      <c r="BG15" s="160"/>
      <c r="BH15" s="159"/>
      <c r="BK15" s="172" t="s">
        <v>3463</v>
      </c>
      <c r="BL15" s="175" t="s">
        <v>786</v>
      </c>
      <c r="BM15" s="162">
        <v>5.6633996157644354E-8</v>
      </c>
      <c r="BN15" s="180">
        <f t="shared" si="17"/>
        <v>4.5307196926115483E-8</v>
      </c>
      <c r="BO15" s="180" t="s">
        <v>3603</v>
      </c>
      <c r="BP15" s="160"/>
      <c r="BQ15" s="159"/>
      <c r="BT15" s="172" t="s">
        <v>3463</v>
      </c>
      <c r="BU15" s="175" t="s">
        <v>786</v>
      </c>
      <c r="BV15" s="162">
        <v>5.6633996157644354E-8</v>
      </c>
      <c r="BW15" s="180">
        <f t="shared" si="23"/>
        <v>4.5307196926115483E-8</v>
      </c>
      <c r="BX15" s="180" t="s">
        <v>3603</v>
      </c>
      <c r="BY15" s="160"/>
      <c r="BZ15" s="159"/>
      <c r="CC15" s="172" t="s">
        <v>3463</v>
      </c>
      <c r="CD15" s="175" t="s">
        <v>786</v>
      </c>
      <c r="CE15" s="162">
        <v>5.6633996157644354E-8</v>
      </c>
      <c r="CF15" s="180">
        <f t="shared" si="19"/>
        <v>4.5307196926115483E-8</v>
      </c>
      <c r="CG15" s="180" t="s">
        <v>3603</v>
      </c>
      <c r="CH15" s="160"/>
      <c r="CI15" s="159"/>
      <c r="CL15" s="172" t="s">
        <v>3463</v>
      </c>
      <c r="CM15" s="175" t="s">
        <v>786</v>
      </c>
      <c r="CN15" s="162">
        <v>5.6633996157644354E-8</v>
      </c>
      <c r="CO15" s="180">
        <f t="shared" si="20"/>
        <v>4.5307196926115483E-8</v>
      </c>
      <c r="CP15" s="180" t="s">
        <v>3603</v>
      </c>
      <c r="CQ15" s="160"/>
      <c r="CR15" s="159"/>
      <c r="CU15" s="172" t="s">
        <v>3463</v>
      </c>
      <c r="CV15" s="175" t="s">
        <v>786</v>
      </c>
      <c r="CW15" s="162">
        <v>5.6633996157644354E-8</v>
      </c>
      <c r="CX15" s="180">
        <f t="shared" si="25"/>
        <v>4.5307196926115483E-8</v>
      </c>
      <c r="CY15" s="180" t="s">
        <v>3603</v>
      </c>
      <c r="CZ15" s="160"/>
      <c r="DA15" s="159"/>
      <c r="DD15" s="172" t="s">
        <v>3463</v>
      </c>
      <c r="DE15" s="175" t="s">
        <v>786</v>
      </c>
      <c r="DF15" s="162">
        <v>5.6633996157644354E-8</v>
      </c>
      <c r="DG15" s="180">
        <f t="shared" si="26"/>
        <v>4.5307196926115483E-8</v>
      </c>
      <c r="DH15" s="180" t="s">
        <v>3603</v>
      </c>
      <c r="DI15" s="160"/>
      <c r="DJ15" s="159"/>
    </row>
    <row r="16" spans="1:114" ht="22" x14ac:dyDescent="0.3">
      <c r="B16" s="152" t="s">
        <v>3586</v>
      </c>
      <c r="C16" s="152">
        <v>0.23710250037943942</v>
      </c>
      <c r="D16" s="153">
        <v>3.7</v>
      </c>
      <c r="E16" s="153">
        <v>3.7</v>
      </c>
      <c r="G16" s="212"/>
      <c r="R16" s="210" t="s">
        <v>3599</v>
      </c>
      <c r="S16" s="175" t="s">
        <v>1150</v>
      </c>
      <c r="T16" s="158">
        <v>1.5352450681521146E-7</v>
      </c>
      <c r="U16" s="158">
        <f>0.8*T16</f>
        <v>1.2281960545216917E-7</v>
      </c>
      <c r="V16" s="161">
        <f>1.3*T16</f>
        <v>1.995818588597749E-7</v>
      </c>
      <c r="W16" s="160"/>
      <c r="X16" s="159"/>
      <c r="AA16" s="210" t="s">
        <v>3599</v>
      </c>
      <c r="AB16" s="175" t="s">
        <v>1150</v>
      </c>
      <c r="AC16" s="158">
        <v>1.5352450681521146E-7</v>
      </c>
      <c r="AD16" s="158">
        <f>0.8*AC16</f>
        <v>1.2281960545216917E-7</v>
      </c>
      <c r="AE16" s="161">
        <f>1.3*AC16</f>
        <v>1.995818588597749E-7</v>
      </c>
      <c r="AF16" s="160"/>
      <c r="AG16" s="159"/>
      <c r="AJ16" s="210" t="s">
        <v>3599</v>
      </c>
      <c r="AK16" s="175" t="s">
        <v>1150</v>
      </c>
      <c r="AL16" s="158">
        <v>1.5352450681521146E-7</v>
      </c>
      <c r="AM16" s="158">
        <f>0.8*AL16</f>
        <v>1.2281960545216917E-7</v>
      </c>
      <c r="AN16" s="161">
        <f>1.3*AL16</f>
        <v>1.995818588597749E-7</v>
      </c>
      <c r="AO16" s="160"/>
      <c r="AP16" s="159"/>
      <c r="AS16" s="210" t="s">
        <v>3599</v>
      </c>
      <c r="AT16" s="175" t="s">
        <v>1150</v>
      </c>
      <c r="AU16" s="158">
        <v>1.5352450681521146E-7</v>
      </c>
      <c r="AV16" s="158">
        <f>0.8*AU16</f>
        <v>1.2281960545216917E-7</v>
      </c>
      <c r="AW16" s="161">
        <f>1.3*AU16</f>
        <v>1.995818588597749E-7</v>
      </c>
      <c r="AX16" s="160"/>
      <c r="AY16" s="159"/>
      <c r="BB16" s="210" t="s">
        <v>3599</v>
      </c>
      <c r="BC16" s="175" t="s">
        <v>1150</v>
      </c>
      <c r="BD16" s="158">
        <v>1.5352450681521146E-7</v>
      </c>
      <c r="BE16" s="158">
        <f>0.8*BD16</f>
        <v>1.2281960545216917E-7</v>
      </c>
      <c r="BF16" s="161">
        <f>1.3*BD16</f>
        <v>1.995818588597749E-7</v>
      </c>
      <c r="BG16" s="160"/>
      <c r="BH16" s="159"/>
      <c r="BK16" s="210" t="s">
        <v>3599</v>
      </c>
      <c r="BL16" s="175" t="s">
        <v>1150</v>
      </c>
      <c r="BM16" s="158">
        <v>1.5352450681521146E-7</v>
      </c>
      <c r="BN16" s="158">
        <f>0.8*BM16</f>
        <v>1.2281960545216917E-7</v>
      </c>
      <c r="BO16" s="161">
        <f>1.3*BM16</f>
        <v>1.995818588597749E-7</v>
      </c>
      <c r="BP16" s="160"/>
      <c r="BQ16" s="159"/>
      <c r="BT16" s="210" t="s">
        <v>3599</v>
      </c>
      <c r="BU16" s="175" t="s">
        <v>1150</v>
      </c>
      <c r="BV16" s="158">
        <v>1.5352450681521146E-7</v>
      </c>
      <c r="BW16" s="158">
        <f>0.8*BV16</f>
        <v>1.2281960545216917E-7</v>
      </c>
      <c r="BX16" s="161">
        <f>1.3*BV16</f>
        <v>1.995818588597749E-7</v>
      </c>
      <c r="BY16" s="160"/>
      <c r="BZ16" s="159"/>
      <c r="CC16" s="210" t="s">
        <v>3599</v>
      </c>
      <c r="CD16" s="175" t="s">
        <v>1150</v>
      </c>
      <c r="CE16" s="158">
        <v>1.5352450681521146E-7</v>
      </c>
      <c r="CF16" s="158">
        <f>0.8*CE16</f>
        <v>1.2281960545216917E-7</v>
      </c>
      <c r="CG16" s="161">
        <f>1.3*CE16</f>
        <v>1.995818588597749E-7</v>
      </c>
      <c r="CH16" s="160"/>
      <c r="CI16" s="159"/>
      <c r="CL16" s="210" t="s">
        <v>3599</v>
      </c>
      <c r="CM16" s="175" t="s">
        <v>1150</v>
      </c>
      <c r="CN16" s="158">
        <v>1.5352450681521146E-7</v>
      </c>
      <c r="CO16" s="158">
        <f>0.8*CN16</f>
        <v>1.2281960545216917E-7</v>
      </c>
      <c r="CP16" s="161">
        <f>1.3*CN16</f>
        <v>1.995818588597749E-7</v>
      </c>
      <c r="CQ16" s="160"/>
      <c r="CR16" s="159"/>
      <c r="CU16" s="210" t="s">
        <v>3599</v>
      </c>
      <c r="CV16" s="175" t="s">
        <v>1150</v>
      </c>
      <c r="CW16" s="158">
        <v>1.5352450681521146E-7</v>
      </c>
      <c r="CX16" s="158">
        <f>0.8*CW16</f>
        <v>1.2281960545216917E-7</v>
      </c>
      <c r="CY16" s="161">
        <f>1.3*CW16</f>
        <v>1.995818588597749E-7</v>
      </c>
      <c r="CZ16" s="160"/>
      <c r="DA16" s="159"/>
      <c r="DD16" s="210" t="s">
        <v>3599</v>
      </c>
      <c r="DE16" s="175" t="s">
        <v>1150</v>
      </c>
      <c r="DF16" s="158">
        <v>1.5352450681521146E-7</v>
      </c>
      <c r="DG16" s="158">
        <f>0.8*DF16</f>
        <v>1.2281960545216917E-7</v>
      </c>
      <c r="DH16" s="161">
        <f>1.3*DF16</f>
        <v>1.995818588597749E-7</v>
      </c>
      <c r="DI16" s="160"/>
      <c r="DJ16" s="159"/>
    </row>
    <row r="17" spans="2:114" ht="22" x14ac:dyDescent="0.3">
      <c r="B17" s="152" t="s">
        <v>3587</v>
      </c>
      <c r="C17" s="153">
        <v>0.08</v>
      </c>
      <c r="D17" s="153">
        <v>0.08</v>
      </c>
      <c r="E17" s="153">
        <v>0.8</v>
      </c>
      <c r="G17" s="212"/>
      <c r="K17">
        <v>10</v>
      </c>
      <c r="L17" t="s">
        <v>3611</v>
      </c>
      <c r="R17" s="210"/>
      <c r="S17" s="175" t="s">
        <v>2949</v>
      </c>
      <c r="T17" s="158">
        <v>4.9239647698288045E-8</v>
      </c>
      <c r="U17" s="158">
        <f t="shared" ref="U17:U22" si="27">0.8*T17</f>
        <v>3.939171815863044E-8</v>
      </c>
      <c r="V17" s="161">
        <f t="shared" ref="V17:V22" si="28">1.3*T17</f>
        <v>6.4011542007774463E-8</v>
      </c>
      <c r="W17" s="160"/>
      <c r="X17" s="159"/>
      <c r="AA17" s="210"/>
      <c r="AB17" s="175" t="s">
        <v>2949</v>
      </c>
      <c r="AC17" s="158">
        <v>4.9239647698288045E-8</v>
      </c>
      <c r="AD17" s="158">
        <f t="shared" ref="AD17:AD22" si="29">0.8*AC17</f>
        <v>3.939171815863044E-8</v>
      </c>
      <c r="AE17" s="161">
        <f t="shared" ref="AE17:AE22" si="30">1.3*AC17</f>
        <v>6.4011542007774463E-8</v>
      </c>
      <c r="AF17" s="160"/>
      <c r="AG17" s="159"/>
      <c r="AJ17" s="210"/>
      <c r="AK17" s="175" t="s">
        <v>2949</v>
      </c>
      <c r="AL17" s="158">
        <v>4.9239647698288045E-8</v>
      </c>
      <c r="AM17" s="158">
        <f t="shared" ref="AM17:AM22" si="31">0.8*AL17</f>
        <v>3.939171815863044E-8</v>
      </c>
      <c r="AN17" s="161">
        <f t="shared" ref="AN17:AN22" si="32">1.3*AL17</f>
        <v>6.4011542007774463E-8</v>
      </c>
      <c r="AO17" s="160"/>
      <c r="AP17" s="159"/>
      <c r="AS17" s="210"/>
      <c r="AT17" s="175" t="s">
        <v>2949</v>
      </c>
      <c r="AU17" s="158">
        <v>4.9239647698288045E-8</v>
      </c>
      <c r="AV17" s="158">
        <f t="shared" ref="AV17:AV22" si="33">0.8*AU17</f>
        <v>3.939171815863044E-8</v>
      </c>
      <c r="AW17" s="161">
        <f t="shared" ref="AW17:AW22" si="34">1.3*AU17</f>
        <v>6.4011542007774463E-8</v>
      </c>
      <c r="AX17" s="160"/>
      <c r="AY17" s="159"/>
      <c r="BB17" s="210"/>
      <c r="BC17" s="175" t="s">
        <v>2949</v>
      </c>
      <c r="BD17" s="158">
        <v>4.9239647698288045E-8</v>
      </c>
      <c r="BE17" s="158">
        <f t="shared" ref="BE17:BE22" si="35">0.8*BD17</f>
        <v>3.939171815863044E-8</v>
      </c>
      <c r="BF17" s="161">
        <f t="shared" ref="BF17:BF22" si="36">1.3*BD17</f>
        <v>6.4011542007774463E-8</v>
      </c>
      <c r="BG17" s="160"/>
      <c r="BH17" s="159"/>
      <c r="BK17" s="210"/>
      <c r="BL17" s="175" t="s">
        <v>2949</v>
      </c>
      <c r="BM17" s="158">
        <v>4.9239647698288045E-8</v>
      </c>
      <c r="BN17" s="158">
        <f t="shared" ref="BN17:BN22" si="37">0.8*BM17</f>
        <v>3.939171815863044E-8</v>
      </c>
      <c r="BO17" s="161">
        <f t="shared" ref="BO17:BO22" si="38">1.3*BM17</f>
        <v>6.4011542007774463E-8</v>
      </c>
      <c r="BP17" s="160"/>
      <c r="BQ17" s="159"/>
      <c r="BT17" s="210"/>
      <c r="BU17" s="175" t="s">
        <v>2949</v>
      </c>
      <c r="BV17" s="158">
        <v>4.9239647698288045E-8</v>
      </c>
      <c r="BW17" s="158">
        <f t="shared" ref="BW17:BW22" si="39">0.8*BV17</f>
        <v>3.939171815863044E-8</v>
      </c>
      <c r="BX17" s="161">
        <f t="shared" ref="BX17:BX22" si="40">1.3*BV17</f>
        <v>6.4011542007774463E-8</v>
      </c>
      <c r="BY17" s="160"/>
      <c r="BZ17" s="159"/>
      <c r="CC17" s="210"/>
      <c r="CD17" s="175" t="s">
        <v>2949</v>
      </c>
      <c r="CE17" s="158">
        <v>4.9239647698288045E-8</v>
      </c>
      <c r="CF17" s="158">
        <f t="shared" ref="CF17:CF22" si="41">0.8*CE17</f>
        <v>3.939171815863044E-8</v>
      </c>
      <c r="CG17" s="161">
        <f t="shared" ref="CG17:CG22" si="42">1.3*CE17</f>
        <v>6.4011542007774463E-8</v>
      </c>
      <c r="CH17" s="160"/>
      <c r="CI17" s="159"/>
      <c r="CL17" s="210"/>
      <c r="CM17" s="175" t="s">
        <v>2949</v>
      </c>
      <c r="CN17" s="158">
        <v>4.9239647698288045E-8</v>
      </c>
      <c r="CO17" s="158">
        <f t="shared" ref="CO17:CO22" si="43">0.8*CN17</f>
        <v>3.939171815863044E-8</v>
      </c>
      <c r="CP17" s="161">
        <f t="shared" ref="CP17:CP22" si="44">1.3*CN17</f>
        <v>6.4011542007774463E-8</v>
      </c>
      <c r="CQ17" s="160"/>
      <c r="CR17" s="159"/>
      <c r="CU17" s="210"/>
      <c r="CV17" s="175" t="s">
        <v>2949</v>
      </c>
      <c r="CW17" s="158">
        <v>4.9239647698288045E-8</v>
      </c>
      <c r="CX17" s="158">
        <f t="shared" ref="CX17:CX22" si="45">0.8*CW17</f>
        <v>3.939171815863044E-8</v>
      </c>
      <c r="CY17" s="161">
        <f t="shared" ref="CY17:CY22" si="46">1.3*CW17</f>
        <v>6.4011542007774463E-8</v>
      </c>
      <c r="CZ17" s="160"/>
      <c r="DA17" s="159"/>
      <c r="DD17" s="210"/>
      <c r="DE17" s="175" t="s">
        <v>2949</v>
      </c>
      <c r="DF17" s="158">
        <v>4.9239647698288045E-8</v>
      </c>
      <c r="DG17" s="158">
        <f t="shared" ref="DG17:DG22" si="47">0.8*DF17</f>
        <v>3.939171815863044E-8</v>
      </c>
      <c r="DH17" s="161">
        <f t="shared" ref="DH17:DH22" si="48">1.3*DF17</f>
        <v>6.4011542007774463E-8</v>
      </c>
      <c r="DI17" s="160"/>
      <c r="DJ17" s="159"/>
    </row>
    <row r="18" spans="2:114" ht="22" x14ac:dyDescent="0.3">
      <c r="B18" s="152" t="s">
        <v>3588</v>
      </c>
      <c r="C18" s="153">
        <v>1.7</v>
      </c>
      <c r="D18" s="153">
        <v>1.7</v>
      </c>
      <c r="E18" s="153">
        <v>1.7</v>
      </c>
      <c r="F18" s="150"/>
      <c r="G18" s="212"/>
      <c r="K18">
        <v>11</v>
      </c>
      <c r="L18" t="s">
        <v>3612</v>
      </c>
      <c r="R18" s="210"/>
      <c r="S18" s="175" t="s">
        <v>1151</v>
      </c>
      <c r="T18" s="158">
        <v>4.111556433792616E-7</v>
      </c>
      <c r="U18" s="158">
        <f t="shared" si="27"/>
        <v>3.2892451470340933E-7</v>
      </c>
      <c r="V18" s="161">
        <f t="shared" si="28"/>
        <v>5.3450233639304015E-7</v>
      </c>
      <c r="W18" s="160"/>
      <c r="X18" s="159"/>
      <c r="AA18" s="210"/>
      <c r="AB18" s="175" t="s">
        <v>1151</v>
      </c>
      <c r="AC18" s="158">
        <v>4.111556433792616E-7</v>
      </c>
      <c r="AD18" s="158">
        <f t="shared" si="29"/>
        <v>3.2892451470340933E-7</v>
      </c>
      <c r="AE18" s="161">
        <f t="shared" si="30"/>
        <v>5.3450233639304015E-7</v>
      </c>
      <c r="AF18" s="160"/>
      <c r="AG18" s="159"/>
      <c r="AJ18" s="210"/>
      <c r="AK18" s="175" t="s">
        <v>1151</v>
      </c>
      <c r="AL18" s="158">
        <v>4.111556433792616E-7</v>
      </c>
      <c r="AM18" s="158">
        <f t="shared" si="31"/>
        <v>3.2892451470340933E-7</v>
      </c>
      <c r="AN18" s="161">
        <f t="shared" si="32"/>
        <v>5.3450233639304015E-7</v>
      </c>
      <c r="AO18" s="160"/>
      <c r="AP18" s="159"/>
      <c r="AS18" s="210"/>
      <c r="AT18" s="175" t="s">
        <v>1151</v>
      </c>
      <c r="AU18" s="158">
        <v>4.111556433792616E-7</v>
      </c>
      <c r="AV18" s="158">
        <f t="shared" si="33"/>
        <v>3.2892451470340933E-7</v>
      </c>
      <c r="AW18" s="161">
        <f t="shared" si="34"/>
        <v>5.3450233639304015E-7</v>
      </c>
      <c r="AX18" s="160"/>
      <c r="AY18" s="159"/>
      <c r="BB18" s="210"/>
      <c r="BC18" s="175" t="s">
        <v>1151</v>
      </c>
      <c r="BD18" s="158">
        <v>4.111556433792616E-7</v>
      </c>
      <c r="BE18" s="158">
        <f t="shared" si="35"/>
        <v>3.2892451470340933E-7</v>
      </c>
      <c r="BF18" s="161">
        <f t="shared" si="36"/>
        <v>5.3450233639304015E-7</v>
      </c>
      <c r="BG18" s="160"/>
      <c r="BH18" s="159"/>
      <c r="BK18" s="210"/>
      <c r="BL18" s="175" t="s">
        <v>1151</v>
      </c>
      <c r="BM18" s="158">
        <v>4.111556433792616E-7</v>
      </c>
      <c r="BN18" s="158">
        <f t="shared" si="37"/>
        <v>3.2892451470340933E-7</v>
      </c>
      <c r="BO18" s="161">
        <f t="shared" si="38"/>
        <v>5.3450233639304015E-7</v>
      </c>
      <c r="BP18" s="160"/>
      <c r="BQ18" s="159"/>
      <c r="BT18" s="210"/>
      <c r="BU18" s="175" t="s">
        <v>1151</v>
      </c>
      <c r="BV18" s="158">
        <v>4.111556433792616E-7</v>
      </c>
      <c r="BW18" s="158">
        <f t="shared" si="39"/>
        <v>3.2892451470340933E-7</v>
      </c>
      <c r="BX18" s="161">
        <f t="shared" si="40"/>
        <v>5.3450233639304015E-7</v>
      </c>
      <c r="BY18" s="160"/>
      <c r="BZ18" s="159"/>
      <c r="CC18" s="210"/>
      <c r="CD18" s="175" t="s">
        <v>1151</v>
      </c>
      <c r="CE18" s="158">
        <v>4.111556433792616E-7</v>
      </c>
      <c r="CF18" s="158">
        <f t="shared" si="41"/>
        <v>3.2892451470340933E-7</v>
      </c>
      <c r="CG18" s="161">
        <f t="shared" si="42"/>
        <v>5.3450233639304015E-7</v>
      </c>
      <c r="CH18" s="160"/>
      <c r="CI18" s="159"/>
      <c r="CL18" s="210"/>
      <c r="CM18" s="175" t="s">
        <v>1151</v>
      </c>
      <c r="CN18" s="158">
        <v>4.111556433792616E-7</v>
      </c>
      <c r="CO18" s="158">
        <f t="shared" si="43"/>
        <v>3.2892451470340933E-7</v>
      </c>
      <c r="CP18" s="161">
        <f t="shared" si="44"/>
        <v>5.3450233639304015E-7</v>
      </c>
      <c r="CQ18" s="160"/>
      <c r="CR18" s="159"/>
      <c r="CU18" s="210"/>
      <c r="CV18" s="175" t="s">
        <v>1151</v>
      </c>
      <c r="CW18" s="158">
        <v>4.111556433792616E-7</v>
      </c>
      <c r="CX18" s="158">
        <f t="shared" si="45"/>
        <v>3.2892451470340933E-7</v>
      </c>
      <c r="CY18" s="161">
        <f t="shared" si="46"/>
        <v>5.3450233639304015E-7</v>
      </c>
      <c r="CZ18" s="160"/>
      <c r="DA18" s="159"/>
      <c r="DD18" s="210"/>
      <c r="DE18" s="175" t="s">
        <v>1151</v>
      </c>
      <c r="DF18" s="158">
        <v>4.111556433792616E-7</v>
      </c>
      <c r="DG18" s="158">
        <f t="shared" si="47"/>
        <v>3.2892451470340933E-7</v>
      </c>
      <c r="DH18" s="161">
        <f t="shared" si="48"/>
        <v>5.3450233639304015E-7</v>
      </c>
      <c r="DI18" s="160"/>
      <c r="DJ18" s="159"/>
    </row>
    <row r="19" spans="2:114" ht="22" x14ac:dyDescent="0.3">
      <c r="B19" s="152" t="s">
        <v>3589</v>
      </c>
      <c r="C19" s="152">
        <v>1.7230000000000001</v>
      </c>
      <c r="D19" s="152">
        <v>4.5999999999999996</v>
      </c>
      <c r="E19" s="152">
        <v>6.3760000000000003</v>
      </c>
      <c r="F19" s="150">
        <v>7.37</v>
      </c>
      <c r="G19" s="212"/>
      <c r="K19">
        <v>12</v>
      </c>
      <c r="L19" t="s">
        <v>3613</v>
      </c>
      <c r="R19" s="210"/>
      <c r="S19" s="175" t="s">
        <v>1152</v>
      </c>
      <c r="T19" s="158">
        <v>9.3751426606283341E-8</v>
      </c>
      <c r="U19" s="158">
        <f t="shared" si="27"/>
        <v>7.5001141285026672E-8</v>
      </c>
      <c r="V19" s="161">
        <f t="shared" si="28"/>
        <v>1.2187685458816835E-7</v>
      </c>
      <c r="W19" s="160"/>
      <c r="X19" s="159"/>
      <c r="AA19" s="210"/>
      <c r="AB19" s="175" t="s">
        <v>1152</v>
      </c>
      <c r="AC19" s="158">
        <v>9.3751426606283341E-8</v>
      </c>
      <c r="AD19" s="158">
        <f t="shared" si="29"/>
        <v>7.5001141285026672E-8</v>
      </c>
      <c r="AE19" s="161">
        <f t="shared" si="30"/>
        <v>1.2187685458816835E-7</v>
      </c>
      <c r="AF19" s="160"/>
      <c r="AG19" s="159"/>
      <c r="AJ19" s="210"/>
      <c r="AK19" s="175" t="s">
        <v>1152</v>
      </c>
      <c r="AL19" s="158">
        <v>9.3751426606283341E-8</v>
      </c>
      <c r="AM19" s="158">
        <f t="shared" si="31"/>
        <v>7.5001141285026672E-8</v>
      </c>
      <c r="AN19" s="161">
        <f t="shared" si="32"/>
        <v>1.2187685458816835E-7</v>
      </c>
      <c r="AO19" s="160"/>
      <c r="AP19" s="159"/>
      <c r="AS19" s="210"/>
      <c r="AT19" s="175" t="s">
        <v>1152</v>
      </c>
      <c r="AU19" s="158">
        <v>9.3751426606283341E-8</v>
      </c>
      <c r="AV19" s="158">
        <f t="shared" si="33"/>
        <v>7.5001141285026672E-8</v>
      </c>
      <c r="AW19" s="161">
        <f t="shared" si="34"/>
        <v>1.2187685458816835E-7</v>
      </c>
      <c r="AX19" s="160"/>
      <c r="AY19" s="159"/>
      <c r="BB19" s="210"/>
      <c r="BC19" s="175" t="s">
        <v>1152</v>
      </c>
      <c r="BD19" s="158">
        <v>9.3751426606283341E-8</v>
      </c>
      <c r="BE19" s="158">
        <f t="shared" si="35"/>
        <v>7.5001141285026672E-8</v>
      </c>
      <c r="BF19" s="161">
        <f t="shared" si="36"/>
        <v>1.2187685458816835E-7</v>
      </c>
      <c r="BG19" s="160"/>
      <c r="BH19" s="159"/>
      <c r="BK19" s="210"/>
      <c r="BL19" s="175" t="s">
        <v>1152</v>
      </c>
      <c r="BM19" s="158">
        <v>9.3751426606283341E-8</v>
      </c>
      <c r="BN19" s="158">
        <f t="shared" si="37"/>
        <v>7.5001141285026672E-8</v>
      </c>
      <c r="BO19" s="161">
        <f t="shared" si="38"/>
        <v>1.2187685458816835E-7</v>
      </c>
      <c r="BP19" s="160"/>
      <c r="BQ19" s="159"/>
      <c r="BT19" s="210"/>
      <c r="BU19" s="175" t="s">
        <v>1152</v>
      </c>
      <c r="BV19" s="158">
        <v>9.3751426606283341E-8</v>
      </c>
      <c r="BW19" s="158">
        <f t="shared" si="39"/>
        <v>7.5001141285026672E-8</v>
      </c>
      <c r="BX19" s="161">
        <f t="shared" si="40"/>
        <v>1.2187685458816835E-7</v>
      </c>
      <c r="BY19" s="160"/>
      <c r="BZ19" s="159"/>
      <c r="CC19" s="210"/>
      <c r="CD19" s="175" t="s">
        <v>1152</v>
      </c>
      <c r="CE19" s="158">
        <v>9.3751426606283341E-8</v>
      </c>
      <c r="CF19" s="158">
        <f t="shared" si="41"/>
        <v>7.5001141285026672E-8</v>
      </c>
      <c r="CG19" s="161">
        <f t="shared" si="42"/>
        <v>1.2187685458816835E-7</v>
      </c>
      <c r="CH19" s="160"/>
      <c r="CI19" s="159"/>
      <c r="CL19" s="210"/>
      <c r="CM19" s="175" t="s">
        <v>1152</v>
      </c>
      <c r="CN19" s="158">
        <v>9.3751426606283341E-8</v>
      </c>
      <c r="CO19" s="158">
        <f t="shared" si="43"/>
        <v>7.5001141285026672E-8</v>
      </c>
      <c r="CP19" s="161">
        <f t="shared" si="44"/>
        <v>1.2187685458816835E-7</v>
      </c>
      <c r="CQ19" s="160"/>
      <c r="CR19" s="159"/>
      <c r="CU19" s="210"/>
      <c r="CV19" s="175" t="s">
        <v>1152</v>
      </c>
      <c r="CW19" s="158">
        <v>9.3751426606283341E-8</v>
      </c>
      <c r="CX19" s="158">
        <f t="shared" si="45"/>
        <v>7.5001141285026672E-8</v>
      </c>
      <c r="CY19" s="161">
        <f t="shared" si="46"/>
        <v>1.2187685458816835E-7</v>
      </c>
      <c r="CZ19" s="160"/>
      <c r="DA19" s="159"/>
      <c r="DD19" s="210"/>
      <c r="DE19" s="175" t="s">
        <v>1152</v>
      </c>
      <c r="DF19" s="158">
        <v>9.3751426606283341E-8</v>
      </c>
      <c r="DG19" s="158">
        <f t="shared" si="47"/>
        <v>7.5001141285026672E-8</v>
      </c>
      <c r="DH19" s="161">
        <f t="shared" si="48"/>
        <v>1.2187685458816835E-7</v>
      </c>
      <c r="DI19" s="160"/>
      <c r="DJ19" s="159"/>
    </row>
    <row r="20" spans="2:114" ht="22" x14ac:dyDescent="0.3">
      <c r="B20" s="152" t="s">
        <v>3590</v>
      </c>
      <c r="C20" s="150">
        <v>41.9</v>
      </c>
      <c r="D20" s="152">
        <v>41.9</v>
      </c>
      <c r="E20" s="152">
        <v>41.9</v>
      </c>
      <c r="F20" s="150">
        <v>41.9</v>
      </c>
      <c r="G20" s="212"/>
      <c r="R20" s="210"/>
      <c r="S20" s="175" t="s">
        <v>1153</v>
      </c>
      <c r="T20" s="158">
        <v>5.2364648992620197E-7</v>
      </c>
      <c r="U20" s="158">
        <f t="shared" si="27"/>
        <v>4.1891719194096162E-7</v>
      </c>
      <c r="V20" s="161">
        <f t="shared" si="28"/>
        <v>6.8074043690406255E-7</v>
      </c>
      <c r="W20" s="160"/>
      <c r="X20" s="159"/>
      <c r="AA20" s="210"/>
      <c r="AB20" s="175" t="s">
        <v>1153</v>
      </c>
      <c r="AC20" s="158">
        <v>5.2364648992620197E-7</v>
      </c>
      <c r="AD20" s="158">
        <f t="shared" si="29"/>
        <v>4.1891719194096162E-7</v>
      </c>
      <c r="AE20" s="161">
        <f t="shared" si="30"/>
        <v>6.8074043690406255E-7</v>
      </c>
      <c r="AF20" s="160"/>
      <c r="AG20" s="159"/>
      <c r="AJ20" s="210"/>
      <c r="AK20" s="175" t="s">
        <v>1153</v>
      </c>
      <c r="AL20" s="158">
        <v>5.2364648992620197E-7</v>
      </c>
      <c r="AM20" s="158">
        <f t="shared" si="31"/>
        <v>4.1891719194096162E-7</v>
      </c>
      <c r="AN20" s="161">
        <f t="shared" si="32"/>
        <v>6.8074043690406255E-7</v>
      </c>
      <c r="AO20" s="160"/>
      <c r="AP20" s="159"/>
      <c r="AS20" s="210"/>
      <c r="AT20" s="175" t="s">
        <v>1153</v>
      </c>
      <c r="AU20" s="158">
        <v>5.2364648992620197E-7</v>
      </c>
      <c r="AV20" s="158">
        <f t="shared" si="33"/>
        <v>4.1891719194096162E-7</v>
      </c>
      <c r="AW20" s="161">
        <f t="shared" si="34"/>
        <v>6.8074043690406255E-7</v>
      </c>
      <c r="AX20" s="160"/>
      <c r="AY20" s="159"/>
      <c r="BB20" s="210"/>
      <c r="BC20" s="175" t="s">
        <v>1153</v>
      </c>
      <c r="BD20" s="158">
        <v>5.2364648992620197E-7</v>
      </c>
      <c r="BE20" s="158">
        <f t="shared" si="35"/>
        <v>4.1891719194096162E-7</v>
      </c>
      <c r="BF20" s="161">
        <f t="shared" si="36"/>
        <v>6.8074043690406255E-7</v>
      </c>
      <c r="BG20" s="160"/>
      <c r="BH20" s="159"/>
      <c r="BK20" s="210"/>
      <c r="BL20" s="175" t="s">
        <v>1153</v>
      </c>
      <c r="BM20" s="158">
        <v>5.2364648992620197E-7</v>
      </c>
      <c r="BN20" s="158">
        <f t="shared" si="37"/>
        <v>4.1891719194096162E-7</v>
      </c>
      <c r="BO20" s="161">
        <f t="shared" si="38"/>
        <v>6.8074043690406255E-7</v>
      </c>
      <c r="BP20" s="160"/>
      <c r="BQ20" s="159"/>
      <c r="BT20" s="210"/>
      <c r="BU20" s="175" t="s">
        <v>1153</v>
      </c>
      <c r="BV20" s="158">
        <v>5.2364648992620197E-7</v>
      </c>
      <c r="BW20" s="158">
        <f t="shared" si="39"/>
        <v>4.1891719194096162E-7</v>
      </c>
      <c r="BX20" s="161">
        <f t="shared" si="40"/>
        <v>6.8074043690406255E-7</v>
      </c>
      <c r="BY20" s="160"/>
      <c r="BZ20" s="159"/>
      <c r="CC20" s="210"/>
      <c r="CD20" s="175" t="s">
        <v>1153</v>
      </c>
      <c r="CE20" s="158">
        <v>5.2364648992620197E-7</v>
      </c>
      <c r="CF20" s="158">
        <f t="shared" si="41"/>
        <v>4.1891719194096162E-7</v>
      </c>
      <c r="CG20" s="161">
        <f t="shared" si="42"/>
        <v>6.8074043690406255E-7</v>
      </c>
      <c r="CH20" s="160"/>
      <c r="CI20" s="159"/>
      <c r="CL20" s="210"/>
      <c r="CM20" s="175" t="s">
        <v>1153</v>
      </c>
      <c r="CN20" s="158">
        <v>5.2364648992620197E-7</v>
      </c>
      <c r="CO20" s="158">
        <f t="shared" si="43"/>
        <v>4.1891719194096162E-7</v>
      </c>
      <c r="CP20" s="161">
        <f t="shared" si="44"/>
        <v>6.8074043690406255E-7</v>
      </c>
      <c r="CQ20" s="160"/>
      <c r="CR20" s="159"/>
      <c r="CU20" s="210"/>
      <c r="CV20" s="175" t="s">
        <v>1153</v>
      </c>
      <c r="CW20" s="158">
        <v>5.2364648992620197E-7</v>
      </c>
      <c r="CX20" s="158">
        <f t="shared" si="45"/>
        <v>4.1891719194096162E-7</v>
      </c>
      <c r="CY20" s="161">
        <f t="shared" si="46"/>
        <v>6.8074043690406255E-7</v>
      </c>
      <c r="CZ20" s="160"/>
      <c r="DA20" s="159"/>
      <c r="DD20" s="210"/>
      <c r="DE20" s="175" t="s">
        <v>1153</v>
      </c>
      <c r="DF20" s="158">
        <v>5.2364648992620197E-7</v>
      </c>
      <c r="DG20" s="158">
        <f t="shared" si="47"/>
        <v>4.1891719194096162E-7</v>
      </c>
      <c r="DH20" s="161">
        <f t="shared" si="48"/>
        <v>6.8074043690406255E-7</v>
      </c>
      <c r="DI20" s="160"/>
      <c r="DJ20" s="159"/>
    </row>
    <row r="21" spans="2:114" ht="22" x14ac:dyDescent="0.3">
      <c r="B21" s="152" t="s">
        <v>3591</v>
      </c>
      <c r="C21" s="153">
        <f>C19/C20*100</f>
        <v>4.1121718377088303</v>
      </c>
      <c r="D21" s="153">
        <f t="shared" ref="D21:E21" si="49">D19/D20*100</f>
        <v>10.978520286396181</v>
      </c>
      <c r="E21" s="153">
        <f t="shared" si="49"/>
        <v>15.217183770883056</v>
      </c>
      <c r="F21" s="153">
        <f>F19/F20*100</f>
        <v>17.589498806682581</v>
      </c>
      <c r="G21" s="154">
        <f>41.9*0.000001*100</f>
        <v>4.1899999999999993E-3</v>
      </c>
      <c r="H21" s="153">
        <v>0.42</v>
      </c>
      <c r="R21" s="210"/>
      <c r="S21" s="175" t="s">
        <v>1154</v>
      </c>
      <c r="T21" s="158">
        <v>2.0463281994826946E-7</v>
      </c>
      <c r="U21" s="158">
        <f t="shared" si="27"/>
        <v>1.6370625595861558E-7</v>
      </c>
      <c r="V21" s="161">
        <f t="shared" si="28"/>
        <v>2.6602266593275033E-7</v>
      </c>
      <c r="W21" s="160"/>
      <c r="X21" s="159"/>
      <c r="AA21" s="210"/>
      <c r="AB21" s="175" t="s">
        <v>1154</v>
      </c>
      <c r="AC21" s="158">
        <v>2.0463281994826946E-7</v>
      </c>
      <c r="AD21" s="158">
        <f t="shared" si="29"/>
        <v>1.6370625595861558E-7</v>
      </c>
      <c r="AE21" s="161">
        <f t="shared" si="30"/>
        <v>2.6602266593275033E-7</v>
      </c>
      <c r="AF21" s="160"/>
      <c r="AG21" s="159"/>
      <c r="AJ21" s="210"/>
      <c r="AK21" s="175" t="s">
        <v>1154</v>
      </c>
      <c r="AL21" s="158">
        <v>2.0463281994826946E-7</v>
      </c>
      <c r="AM21" s="158">
        <f t="shared" si="31"/>
        <v>1.6370625595861558E-7</v>
      </c>
      <c r="AN21" s="161">
        <f t="shared" si="32"/>
        <v>2.6602266593275033E-7</v>
      </c>
      <c r="AO21" s="160"/>
      <c r="AP21" s="159"/>
      <c r="AS21" s="210"/>
      <c r="AT21" s="175" t="s">
        <v>1154</v>
      </c>
      <c r="AU21" s="158">
        <v>2.0463281994826946E-7</v>
      </c>
      <c r="AV21" s="158">
        <f t="shared" si="33"/>
        <v>1.6370625595861558E-7</v>
      </c>
      <c r="AW21" s="161">
        <f t="shared" si="34"/>
        <v>2.6602266593275033E-7</v>
      </c>
      <c r="AX21" s="160"/>
      <c r="AY21" s="159"/>
      <c r="BB21" s="210"/>
      <c r="BC21" s="175" t="s">
        <v>1154</v>
      </c>
      <c r="BD21" s="158">
        <v>2.0463281994826946E-7</v>
      </c>
      <c r="BE21" s="158">
        <f t="shared" si="35"/>
        <v>1.6370625595861558E-7</v>
      </c>
      <c r="BF21" s="161">
        <f t="shared" si="36"/>
        <v>2.6602266593275033E-7</v>
      </c>
      <c r="BG21" s="160"/>
      <c r="BH21" s="159"/>
      <c r="BK21" s="210"/>
      <c r="BL21" s="175" t="s">
        <v>1154</v>
      </c>
      <c r="BM21" s="158">
        <v>2.0463281994826946E-7</v>
      </c>
      <c r="BN21" s="158">
        <f t="shared" si="37"/>
        <v>1.6370625595861558E-7</v>
      </c>
      <c r="BO21" s="161">
        <f t="shared" si="38"/>
        <v>2.6602266593275033E-7</v>
      </c>
      <c r="BP21" s="160"/>
      <c r="BQ21" s="159"/>
      <c r="BT21" s="210"/>
      <c r="BU21" s="175" t="s">
        <v>1154</v>
      </c>
      <c r="BV21" s="158">
        <v>2.0463281994826946E-7</v>
      </c>
      <c r="BW21" s="158">
        <f t="shared" si="39"/>
        <v>1.6370625595861558E-7</v>
      </c>
      <c r="BX21" s="161">
        <f t="shared" si="40"/>
        <v>2.6602266593275033E-7</v>
      </c>
      <c r="BY21" s="160"/>
      <c r="BZ21" s="159"/>
      <c r="CC21" s="210"/>
      <c r="CD21" s="175" t="s">
        <v>1154</v>
      </c>
      <c r="CE21" s="158">
        <v>2.0463281994826946E-7</v>
      </c>
      <c r="CF21" s="158">
        <f t="shared" si="41"/>
        <v>1.6370625595861558E-7</v>
      </c>
      <c r="CG21" s="161">
        <f t="shared" si="42"/>
        <v>2.6602266593275033E-7</v>
      </c>
      <c r="CH21" s="160"/>
      <c r="CI21" s="159"/>
      <c r="CL21" s="210"/>
      <c r="CM21" s="175" t="s">
        <v>1154</v>
      </c>
      <c r="CN21" s="158">
        <v>2.0463281994826946E-7</v>
      </c>
      <c r="CO21" s="158">
        <f t="shared" si="43"/>
        <v>1.6370625595861558E-7</v>
      </c>
      <c r="CP21" s="161">
        <f t="shared" si="44"/>
        <v>2.6602266593275033E-7</v>
      </c>
      <c r="CQ21" s="160"/>
      <c r="CR21" s="159"/>
      <c r="CU21" s="210"/>
      <c r="CV21" s="175" t="s">
        <v>1154</v>
      </c>
      <c r="CW21" s="158">
        <v>2.0463281994826946E-7</v>
      </c>
      <c r="CX21" s="158">
        <f t="shared" si="45"/>
        <v>1.6370625595861558E-7</v>
      </c>
      <c r="CY21" s="161">
        <f t="shared" si="46"/>
        <v>2.6602266593275033E-7</v>
      </c>
      <c r="CZ21" s="160"/>
      <c r="DA21" s="159"/>
      <c r="DD21" s="210"/>
      <c r="DE21" s="175" t="s">
        <v>1154</v>
      </c>
      <c r="DF21" s="158">
        <v>2.0463281994826946E-7</v>
      </c>
      <c r="DG21" s="158">
        <f t="shared" si="47"/>
        <v>1.6370625595861558E-7</v>
      </c>
      <c r="DH21" s="161">
        <f t="shared" si="48"/>
        <v>2.6602266593275033E-7</v>
      </c>
      <c r="DI21" s="160"/>
      <c r="DJ21" s="159"/>
    </row>
    <row r="22" spans="2:114" x14ac:dyDescent="0.2">
      <c r="R22" s="211"/>
      <c r="S22" s="176" t="s">
        <v>1357</v>
      </c>
      <c r="T22" s="163">
        <v>8.7477286710060879E-7</v>
      </c>
      <c r="U22" s="163">
        <f t="shared" si="27"/>
        <v>6.9981829368048703E-7</v>
      </c>
      <c r="V22" s="164">
        <f t="shared" si="28"/>
        <v>1.1372047272307915E-6</v>
      </c>
      <c r="W22" s="168"/>
      <c r="X22" s="165"/>
      <c r="AA22" s="211"/>
      <c r="AB22" s="176" t="s">
        <v>1357</v>
      </c>
      <c r="AC22" s="163">
        <v>8.7477286710060879E-7</v>
      </c>
      <c r="AD22" s="163">
        <f t="shared" si="29"/>
        <v>6.9981829368048703E-7</v>
      </c>
      <c r="AE22" s="164">
        <f t="shared" si="30"/>
        <v>1.1372047272307915E-6</v>
      </c>
      <c r="AF22" s="168"/>
      <c r="AG22" s="165"/>
      <c r="AJ22" s="211"/>
      <c r="AK22" s="176" t="s">
        <v>1357</v>
      </c>
      <c r="AL22" s="163">
        <v>8.7477286710060879E-7</v>
      </c>
      <c r="AM22" s="163">
        <f t="shared" si="31"/>
        <v>6.9981829368048703E-7</v>
      </c>
      <c r="AN22" s="164">
        <f t="shared" si="32"/>
        <v>1.1372047272307915E-6</v>
      </c>
      <c r="AO22" s="168"/>
      <c r="AP22" s="165"/>
      <c r="AS22" s="211"/>
      <c r="AT22" s="176" t="s">
        <v>1357</v>
      </c>
      <c r="AU22" s="163">
        <v>8.7477286710060879E-7</v>
      </c>
      <c r="AV22" s="163">
        <f t="shared" si="33"/>
        <v>6.9981829368048703E-7</v>
      </c>
      <c r="AW22" s="164">
        <f t="shared" si="34"/>
        <v>1.1372047272307915E-6</v>
      </c>
      <c r="AX22" s="168"/>
      <c r="AY22" s="165"/>
      <c r="BB22" s="211"/>
      <c r="BC22" s="176" t="s">
        <v>1357</v>
      </c>
      <c r="BD22" s="163">
        <v>8.7477286710060879E-7</v>
      </c>
      <c r="BE22" s="163">
        <f t="shared" si="35"/>
        <v>6.9981829368048703E-7</v>
      </c>
      <c r="BF22" s="164">
        <f t="shared" si="36"/>
        <v>1.1372047272307915E-6</v>
      </c>
      <c r="BG22" s="168"/>
      <c r="BH22" s="165"/>
      <c r="BK22" s="211"/>
      <c r="BL22" s="176" t="s">
        <v>1357</v>
      </c>
      <c r="BM22" s="163">
        <v>8.7477286710060879E-7</v>
      </c>
      <c r="BN22" s="163">
        <f t="shared" si="37"/>
        <v>6.9981829368048703E-7</v>
      </c>
      <c r="BO22" s="164">
        <f t="shared" si="38"/>
        <v>1.1372047272307915E-6</v>
      </c>
      <c r="BP22" s="168"/>
      <c r="BQ22" s="165"/>
      <c r="BT22" s="211"/>
      <c r="BU22" s="176" t="s">
        <v>1357</v>
      </c>
      <c r="BV22" s="163">
        <v>8.7477286710060879E-7</v>
      </c>
      <c r="BW22" s="163">
        <f t="shared" si="39"/>
        <v>6.9981829368048703E-7</v>
      </c>
      <c r="BX22" s="164">
        <f t="shared" si="40"/>
        <v>1.1372047272307915E-6</v>
      </c>
      <c r="BY22" s="168"/>
      <c r="BZ22" s="165"/>
      <c r="CC22" s="211"/>
      <c r="CD22" s="176" t="s">
        <v>1357</v>
      </c>
      <c r="CE22" s="163">
        <v>8.7477286710060879E-7</v>
      </c>
      <c r="CF22" s="163">
        <f t="shared" si="41"/>
        <v>6.9981829368048703E-7</v>
      </c>
      <c r="CG22" s="164">
        <f t="shared" si="42"/>
        <v>1.1372047272307915E-6</v>
      </c>
      <c r="CH22" s="168"/>
      <c r="CI22" s="165"/>
      <c r="CL22" s="211"/>
      <c r="CM22" s="176" t="s">
        <v>1357</v>
      </c>
      <c r="CN22" s="163">
        <v>8.7477286710060879E-7</v>
      </c>
      <c r="CO22" s="163">
        <f t="shared" si="43"/>
        <v>6.9981829368048703E-7</v>
      </c>
      <c r="CP22" s="164">
        <f t="shared" si="44"/>
        <v>1.1372047272307915E-6</v>
      </c>
      <c r="CQ22" s="168"/>
      <c r="CR22" s="165"/>
      <c r="CU22" s="211"/>
      <c r="CV22" s="176" t="s">
        <v>1357</v>
      </c>
      <c r="CW22" s="163">
        <v>8.7477286710060879E-7</v>
      </c>
      <c r="CX22" s="163">
        <f t="shared" si="45"/>
        <v>6.9981829368048703E-7</v>
      </c>
      <c r="CY22" s="164">
        <f t="shared" si="46"/>
        <v>1.1372047272307915E-6</v>
      </c>
      <c r="CZ22" s="168"/>
      <c r="DA22" s="165"/>
      <c r="DD22" s="211"/>
      <c r="DE22" s="176" t="s">
        <v>1357</v>
      </c>
      <c r="DF22" s="163">
        <v>8.7477286710060879E-7</v>
      </c>
      <c r="DG22" s="163">
        <f t="shared" si="47"/>
        <v>6.9981829368048703E-7</v>
      </c>
      <c r="DH22" s="164">
        <f t="shared" si="48"/>
        <v>1.1372047272307915E-6</v>
      </c>
      <c r="DI22" s="168"/>
      <c r="DJ22" s="165"/>
    </row>
    <row r="25" spans="2:114" x14ac:dyDescent="0.2">
      <c r="K25" t="s">
        <v>3642</v>
      </c>
      <c r="L25" t="s">
        <v>3643</v>
      </c>
      <c r="M25" t="s">
        <v>3645</v>
      </c>
    </row>
    <row r="26" spans="2:114" x14ac:dyDescent="0.2">
      <c r="J26" s="169" t="s">
        <v>3644</v>
      </c>
      <c r="K26" s="173" t="s">
        <v>1268</v>
      </c>
      <c r="L26">
        <v>83893.994789999997</v>
      </c>
      <c r="M26">
        <f>L26/3600</f>
        <v>23.303887441666667</v>
      </c>
      <c r="N26" t="s">
        <v>3647</v>
      </c>
    </row>
    <row r="27" spans="2:114" x14ac:dyDescent="0.2">
      <c r="J27" s="170" t="s">
        <v>3468</v>
      </c>
      <c r="K27" s="174" t="s">
        <v>730</v>
      </c>
      <c r="L27">
        <v>44552.569465</v>
      </c>
      <c r="M27">
        <f t="shared" ref="M27:M32" si="50">L27/3600</f>
        <v>12.375713740277778</v>
      </c>
    </row>
    <row r="28" spans="2:114" x14ac:dyDescent="0.2">
      <c r="J28" s="170" t="s">
        <v>3471</v>
      </c>
      <c r="K28" s="174" t="s">
        <v>712</v>
      </c>
      <c r="L28">
        <v>17009.164876578696</v>
      </c>
      <c r="M28">
        <f t="shared" si="50"/>
        <v>4.7247680212718599</v>
      </c>
    </row>
    <row r="29" spans="2:114" x14ac:dyDescent="0.2">
      <c r="J29" s="170" t="s">
        <v>3474</v>
      </c>
      <c r="K29" s="174" t="s">
        <v>752</v>
      </c>
      <c r="L29">
        <v>70516.517124999998</v>
      </c>
      <c r="M29">
        <f t="shared" si="50"/>
        <v>19.58792142361111</v>
      </c>
    </row>
    <row r="30" spans="2:114" x14ac:dyDescent="0.2">
      <c r="J30" s="170" t="s">
        <v>3477</v>
      </c>
      <c r="K30" s="174" t="s">
        <v>104</v>
      </c>
      <c r="L30">
        <v>10222.119961</v>
      </c>
      <c r="M30">
        <f t="shared" si="50"/>
        <v>2.8394777669444444</v>
      </c>
      <c r="DI30" t="s">
        <v>3641</v>
      </c>
    </row>
    <row r="31" spans="2:114" x14ac:dyDescent="0.2">
      <c r="J31" s="170" t="s">
        <v>3481</v>
      </c>
      <c r="K31" s="174" t="s">
        <v>555</v>
      </c>
      <c r="L31">
        <v>7506.1686201839275</v>
      </c>
      <c r="M31">
        <f t="shared" si="50"/>
        <v>2.0850468389399799</v>
      </c>
    </row>
    <row r="32" spans="2:114" x14ac:dyDescent="0.2">
      <c r="J32" s="171" t="s">
        <v>3549</v>
      </c>
      <c r="K32" s="174" t="s">
        <v>1269</v>
      </c>
      <c r="L32">
        <v>148570.84636362863</v>
      </c>
      <c r="M32">
        <f t="shared" si="50"/>
        <v>41.269679545452398</v>
      </c>
    </row>
  </sheetData>
  <mergeCells count="41">
    <mergeCell ref="AJ4:AN4"/>
    <mergeCell ref="AJ16:AJ22"/>
    <mergeCell ref="R2:X3"/>
    <mergeCell ref="G8:G20"/>
    <mergeCell ref="R16:R22"/>
    <mergeCell ref="R4:V4"/>
    <mergeCell ref="BK2:BQ3"/>
    <mergeCell ref="BK4:BO4"/>
    <mergeCell ref="BK16:BK22"/>
    <mergeCell ref="AO5:AP5"/>
    <mergeCell ref="AF5:AG5"/>
    <mergeCell ref="AX5:AY5"/>
    <mergeCell ref="AS2:AY3"/>
    <mergeCell ref="AS4:AW4"/>
    <mergeCell ref="AS16:AS22"/>
    <mergeCell ref="BB2:BH3"/>
    <mergeCell ref="BB4:BF4"/>
    <mergeCell ref="BB16:BB22"/>
    <mergeCell ref="AA2:AG3"/>
    <mergeCell ref="AA4:AE4"/>
    <mergeCell ref="AA16:AA22"/>
    <mergeCell ref="AJ2:AP3"/>
    <mergeCell ref="BT2:BZ3"/>
    <mergeCell ref="BT4:BX4"/>
    <mergeCell ref="BT16:BT22"/>
    <mergeCell ref="CC2:CI3"/>
    <mergeCell ref="CC4:CG4"/>
    <mergeCell ref="CC16:CC22"/>
    <mergeCell ref="CL2:CR3"/>
    <mergeCell ref="CL4:CP4"/>
    <mergeCell ref="CL16:CL22"/>
    <mergeCell ref="CH5:CI5"/>
    <mergeCell ref="CQ5:CR5"/>
    <mergeCell ref="CU2:DA3"/>
    <mergeCell ref="CU4:CY4"/>
    <mergeCell ref="CZ5:DA5"/>
    <mergeCell ref="CU16:CU22"/>
    <mergeCell ref="DD2:DJ3"/>
    <mergeCell ref="DD4:DH4"/>
    <mergeCell ref="DI5:DJ5"/>
    <mergeCell ref="DD16:DD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4581-282A-406D-83CB-9816D459FF98}">
  <dimension ref="A1:JV1641"/>
  <sheetViews>
    <sheetView topLeftCell="AT1617" zoomScaleNormal="100" workbookViewId="0">
      <selection activeCell="BN1638" sqref="BN1638"/>
    </sheetView>
  </sheetViews>
  <sheetFormatPr baseColWidth="10" defaultColWidth="8.83203125" defaultRowHeight="15" x14ac:dyDescent="0.2"/>
  <cols>
    <col min="1" max="1" width="3.33203125" style="2" bestFit="1" customWidth="1"/>
    <col min="2" max="2" width="16.6640625" style="2" customWidth="1"/>
    <col min="3" max="3" width="51.5" style="14" bestFit="1" customWidth="1"/>
    <col min="4" max="4" width="23.1640625" style="14" bestFit="1" customWidth="1"/>
    <col min="5" max="8" width="9" style="2" bestFit="1" customWidth="1"/>
    <col min="9" max="9" width="7.83203125" style="2" bestFit="1" customWidth="1"/>
    <col min="10" max="10" width="7.83203125" bestFit="1" customWidth="1"/>
    <col min="11" max="12" width="7.83203125" style="2" bestFit="1" customWidth="1"/>
    <col min="13" max="15" width="6.6640625" style="2" bestFit="1" customWidth="1"/>
    <col min="16" max="16" width="7.83203125" style="2" bestFit="1" customWidth="1"/>
    <col min="17" max="17" width="9.1640625" style="2"/>
    <col min="18" max="18" width="20.33203125" style="2" bestFit="1" customWidth="1"/>
    <col min="19" max="19" width="15.5" style="2" bestFit="1" customWidth="1"/>
    <col min="20" max="20" width="6.6640625" style="2" bestFit="1" customWidth="1"/>
    <col min="21" max="21" width="13.6640625" style="2" bestFit="1" customWidth="1"/>
    <col min="22" max="22" width="13.6640625" style="2" customWidth="1"/>
    <col min="23" max="23" width="13.6640625" style="2" bestFit="1" customWidth="1"/>
    <col min="24" max="38" width="9.1640625" style="2"/>
    <col min="39" max="39" width="24.6640625" style="2" customWidth="1"/>
    <col min="40" max="41" width="25" style="2" customWidth="1"/>
    <col min="42" max="42" width="8.1640625" style="2" bestFit="1" customWidth="1"/>
    <col min="43" max="45" width="25" style="2" customWidth="1"/>
    <col min="46" max="46" width="8.1640625" style="2" bestFit="1" customWidth="1"/>
    <col min="47" max="48" width="9.1640625" style="2"/>
    <col min="49" max="49" width="12" style="2" customWidth="1"/>
    <col min="50" max="50" width="9.1640625" style="2"/>
    <col min="52" max="52" width="10.5" style="2" bestFit="1" customWidth="1"/>
    <col min="53" max="53" width="10.5" style="2" customWidth="1"/>
    <col min="54" max="54" width="9.1640625" style="2"/>
    <col min="55" max="55" width="12.5" style="2" customWidth="1"/>
    <col min="56" max="56" width="11.1640625" style="2" customWidth="1"/>
    <col min="57" max="58" width="10.5" style="2" bestFit="1" customWidth="1"/>
    <col min="59" max="59" width="10.83203125" style="2" customWidth="1"/>
    <col min="60" max="60" width="12" style="2" customWidth="1"/>
    <col min="61" max="61" width="10.5" style="7" bestFit="1" customWidth="1"/>
    <col min="62" max="63" width="10.5" style="2" bestFit="1" customWidth="1"/>
    <col min="64" max="65" width="10.5" style="2" customWidth="1"/>
    <col min="66" max="66" width="13.6640625" style="2" bestFit="1" customWidth="1"/>
    <col min="67" max="67" width="10.5" style="2" bestFit="1" customWidth="1"/>
    <col min="68" max="68" width="12.83203125" style="2" bestFit="1" customWidth="1"/>
    <col min="69" max="69" width="7" style="2" bestFit="1" customWidth="1"/>
    <col min="70" max="70" width="16.5" style="2" customWidth="1"/>
    <col min="71" max="71" width="16.5" style="2" bestFit="1" customWidth="1"/>
    <col min="72" max="72" width="11.6640625" style="2" bestFit="1" customWidth="1"/>
    <col min="73" max="73" width="12.83203125" style="2" customWidth="1"/>
    <col min="74" max="74" width="17" style="2" customWidth="1"/>
    <col min="75" max="75" width="17.83203125" style="2" customWidth="1"/>
    <col min="76" max="76" width="12.5" style="2" customWidth="1"/>
    <col min="77" max="77" width="10.5" style="2" customWidth="1"/>
    <col min="78" max="78" width="24.33203125" style="2" bestFit="1" customWidth="1"/>
    <col min="79" max="79" width="20.6640625" style="2" customWidth="1"/>
    <col min="80" max="80" width="16.5" style="2" customWidth="1"/>
    <col min="81" max="81" width="24.33203125" style="2" bestFit="1" customWidth="1"/>
    <col min="82" max="82" width="22.33203125" style="2" customWidth="1"/>
    <col min="83" max="83" width="26.33203125" style="2" customWidth="1"/>
    <col min="84" max="84" width="26.6640625" style="2" customWidth="1"/>
    <col min="85" max="86" width="16.5" style="2" customWidth="1"/>
    <col min="87" max="87" width="9.1640625" style="2"/>
    <col min="88" max="88" width="46.83203125" style="2" bestFit="1" customWidth="1"/>
    <col min="89" max="89" width="14.33203125" style="2" bestFit="1" customWidth="1"/>
    <col min="90" max="90" width="14.33203125" style="2" customWidth="1"/>
    <col min="91" max="91" width="19" style="2" customWidth="1"/>
    <col min="92" max="92" width="60.83203125" style="2" bestFit="1" customWidth="1"/>
    <col min="93" max="93" width="14.33203125" style="2" customWidth="1"/>
    <col min="94" max="94" width="22.83203125" style="2" bestFit="1" customWidth="1"/>
    <col min="95" max="95" width="16" style="2" customWidth="1"/>
    <col min="96" max="96" width="76.6640625" style="2" bestFit="1" customWidth="1"/>
    <col min="97" max="97" width="10.1640625" style="2" bestFit="1" customWidth="1"/>
    <col min="98" max="282" width="9.1640625" style="2"/>
  </cols>
  <sheetData>
    <row r="1" spans="1:97" ht="16" thickBot="1" x14ac:dyDescent="0.25">
      <c r="E1" s="213" t="s">
        <v>3279</v>
      </c>
      <c r="F1" s="213"/>
      <c r="G1" s="213"/>
      <c r="H1" s="213"/>
      <c r="I1" s="214" t="s">
        <v>1367</v>
      </c>
      <c r="J1" s="214"/>
      <c r="K1" s="214"/>
      <c r="L1" s="214"/>
      <c r="M1" s="215" t="s">
        <v>3280</v>
      </c>
      <c r="N1" s="215"/>
      <c r="O1" s="215"/>
      <c r="P1" s="215"/>
      <c r="AM1" s="219" t="s">
        <v>3281</v>
      </c>
      <c r="AN1" s="219"/>
      <c r="AO1" s="219"/>
      <c r="AP1" s="219"/>
      <c r="AQ1" s="220" t="s">
        <v>3280</v>
      </c>
      <c r="AR1" s="220"/>
      <c r="AS1" s="220"/>
      <c r="AT1" s="220"/>
      <c r="AV1" s="20"/>
      <c r="AW1" s="21"/>
      <c r="AX1" s="21"/>
      <c r="AY1" s="22"/>
      <c r="AZ1" s="21"/>
      <c r="BA1" s="21"/>
      <c r="BB1" s="221" t="s">
        <v>1367</v>
      </c>
      <c r="BC1" s="221"/>
      <c r="BD1" s="221"/>
      <c r="BE1" s="221"/>
      <c r="BF1" s="222" t="s">
        <v>3280</v>
      </c>
      <c r="BG1" s="222"/>
      <c r="BH1" s="222"/>
      <c r="BI1" s="222"/>
      <c r="BJ1" s="223" t="s">
        <v>1366</v>
      </c>
      <c r="BK1" s="223"/>
      <c r="BL1" s="224" t="s">
        <v>3282</v>
      </c>
      <c r="BM1" s="224"/>
      <c r="CI1" s="24"/>
    </row>
    <row r="2" spans="1:97" ht="15" customHeight="1" x14ac:dyDescent="0.2">
      <c r="A2" s="25" t="s">
        <v>1368</v>
      </c>
      <c r="B2" s="15" t="s">
        <v>3283</v>
      </c>
      <c r="C2" s="15" t="s">
        <v>3284</v>
      </c>
      <c r="D2" s="15" t="s">
        <v>3285</v>
      </c>
      <c r="E2" s="26" t="s">
        <v>3286</v>
      </c>
      <c r="F2" s="26" t="s">
        <v>3287</v>
      </c>
      <c r="G2" s="26" t="s">
        <v>3288</v>
      </c>
      <c r="H2" s="26" t="s">
        <v>3289</v>
      </c>
      <c r="I2" s="16" t="s">
        <v>3286</v>
      </c>
      <c r="J2" s="16" t="s">
        <v>3287</v>
      </c>
      <c r="K2" s="16" t="s">
        <v>3288</v>
      </c>
      <c r="L2" s="16" t="s">
        <v>3289</v>
      </c>
      <c r="M2" s="17" t="s">
        <v>3286</v>
      </c>
      <c r="N2" s="17" t="s">
        <v>3287</v>
      </c>
      <c r="O2" s="17" t="s">
        <v>3288</v>
      </c>
      <c r="P2" s="17" t="s">
        <v>3289</v>
      </c>
      <c r="R2" s="27"/>
      <c r="S2" s="28"/>
      <c r="T2" s="28"/>
      <c r="U2" s="28"/>
      <c r="V2" s="28"/>
      <c r="W2" s="221" t="s">
        <v>3290</v>
      </c>
      <c r="X2" s="221"/>
      <c r="Y2" s="221"/>
      <c r="Z2" s="221"/>
      <c r="AA2" s="225" t="s">
        <v>3291</v>
      </c>
      <c r="AB2" s="225"/>
      <c r="AC2" s="225"/>
      <c r="AD2" s="225"/>
      <c r="AE2" s="221" t="s">
        <v>3292</v>
      </c>
      <c r="AF2" s="221"/>
      <c r="AG2" s="221"/>
      <c r="AH2" s="221"/>
      <c r="AI2" s="225" t="s">
        <v>3293</v>
      </c>
      <c r="AJ2" s="225"/>
      <c r="AK2" s="225"/>
      <c r="AL2" s="225"/>
      <c r="AM2" s="23" t="s">
        <v>3294</v>
      </c>
      <c r="AN2" s="23" t="s">
        <v>3295</v>
      </c>
      <c r="AO2" s="23" t="s">
        <v>3296</v>
      </c>
      <c r="AP2" s="23" t="s">
        <v>3297</v>
      </c>
      <c r="AQ2" s="29" t="s">
        <v>3298</v>
      </c>
      <c r="AR2" s="29" t="s">
        <v>3299</v>
      </c>
      <c r="AS2" s="29" t="s">
        <v>3300</v>
      </c>
      <c r="AT2" s="30" t="s">
        <v>3297</v>
      </c>
      <c r="AV2" s="31" t="s">
        <v>1368</v>
      </c>
      <c r="AW2" s="32" t="s">
        <v>1369</v>
      </c>
      <c r="AX2" s="32" t="s">
        <v>1370</v>
      </c>
      <c r="AY2" s="32" t="s">
        <v>1371</v>
      </c>
      <c r="AZ2" s="32" t="s">
        <v>1372</v>
      </c>
      <c r="BA2" s="32"/>
      <c r="BB2" s="13" t="s">
        <v>1375</v>
      </c>
      <c r="BC2" s="13" t="s">
        <v>3301</v>
      </c>
      <c r="BD2" s="13" t="s">
        <v>1374</v>
      </c>
      <c r="BE2" s="13" t="s">
        <v>3297</v>
      </c>
      <c r="BF2" s="33" t="s">
        <v>1375</v>
      </c>
      <c r="BG2" s="34" t="s">
        <v>3301</v>
      </c>
      <c r="BH2" s="34" t="s">
        <v>1374</v>
      </c>
      <c r="BI2" s="34" t="s">
        <v>3297</v>
      </c>
      <c r="BJ2" s="35" t="s">
        <v>1373</v>
      </c>
      <c r="BK2" s="35" t="s">
        <v>1374</v>
      </c>
      <c r="BL2" s="36" t="s">
        <v>1373</v>
      </c>
      <c r="BM2" s="36" t="s">
        <v>1374</v>
      </c>
      <c r="BN2" s="20"/>
      <c r="BO2" s="37" t="s">
        <v>3302</v>
      </c>
      <c r="BP2" s="37" t="s">
        <v>1370</v>
      </c>
      <c r="BQ2" s="38" t="s">
        <v>3303</v>
      </c>
      <c r="BR2" s="39" t="s">
        <v>3304</v>
      </c>
      <c r="BS2" s="39" t="s">
        <v>3305</v>
      </c>
      <c r="BT2" s="40" t="s">
        <v>3306</v>
      </c>
      <c r="BU2" s="40" t="s">
        <v>3307</v>
      </c>
      <c r="BV2" s="41" t="s">
        <v>3308</v>
      </c>
      <c r="BW2" s="41" t="s">
        <v>3309</v>
      </c>
      <c r="BX2" s="42" t="s">
        <v>3310</v>
      </c>
      <c r="BY2" s="43" t="s">
        <v>3302</v>
      </c>
      <c r="BZ2" s="39" t="s">
        <v>3311</v>
      </c>
      <c r="CA2" s="39" t="s">
        <v>3312</v>
      </c>
      <c r="CB2" s="39" t="s">
        <v>3313</v>
      </c>
      <c r="CC2" s="40" t="s">
        <v>3314</v>
      </c>
      <c r="CD2" s="40" t="s">
        <v>3315</v>
      </c>
      <c r="CE2" s="41" t="s">
        <v>3316</v>
      </c>
      <c r="CF2" s="41" t="s">
        <v>3317</v>
      </c>
      <c r="CG2" s="44" t="s">
        <v>3318</v>
      </c>
      <c r="CK2" s="45" t="s">
        <v>3319</v>
      </c>
      <c r="CL2" s="45"/>
      <c r="CM2" s="46" t="s">
        <v>3320</v>
      </c>
      <c r="CN2" s="46" t="s">
        <v>3302</v>
      </c>
      <c r="CO2" s="46" t="s">
        <v>1370</v>
      </c>
      <c r="CP2" s="32" t="s">
        <v>3306</v>
      </c>
      <c r="CQ2" s="32" t="s">
        <v>3315</v>
      </c>
      <c r="CR2" s="46" t="s">
        <v>3321</v>
      </c>
    </row>
    <row r="3" spans="1:97" ht="60" customHeight="1" x14ac:dyDescent="0.2">
      <c r="A3" s="2">
        <v>1</v>
      </c>
      <c r="B3" s="47" t="s">
        <v>3322</v>
      </c>
      <c r="C3" s="47" t="s">
        <v>3323</v>
      </c>
      <c r="D3" s="47" t="s">
        <v>3324</v>
      </c>
      <c r="E3" s="10">
        <v>77.744373121178995</v>
      </c>
      <c r="F3" s="10">
        <v>78.78018702398704</v>
      </c>
      <c r="G3" s="10">
        <v>78.522629283659725</v>
      </c>
      <c r="H3" s="10">
        <v>80.700211098127582</v>
      </c>
      <c r="I3" s="48">
        <f>(((E3*406.8)/10)/$S$22)*(0.000000000000001)*6.0221408E+23</f>
        <v>4585.6590274077862</v>
      </c>
      <c r="J3" s="48">
        <f>(((F3*442.8)/10)/$S$22)*(0.000000000000001)*6.0221408E+23</f>
        <v>5057.9725546435448</v>
      </c>
      <c r="K3" s="48">
        <f t="shared" ref="K3:K44" si="0">(((G3*427.5)/10)/$S$22)*(0.000000000000001)*6.0221408E+23</f>
        <v>4867.2404436634561</v>
      </c>
      <c r="L3" s="48">
        <f t="shared" ref="L3:L44" si="1">(((H3*415.6)/10)/$S$22)*(0.000000000000001)*6.0221408E+23</f>
        <v>4862.9752407839806</v>
      </c>
      <c r="M3" s="49">
        <f>((((E3*406.8)/10)/$S$22)/$S$24)*(0.000000001)</f>
        <v>2.3931145190618102</v>
      </c>
      <c r="N3" s="49">
        <f>((((F3*442.8)/10)/$S$22)/$S$24)*(0.000000001)</f>
        <v>2.6396004336973196</v>
      </c>
      <c r="O3" s="49">
        <f t="shared" ref="O3:O44" si="2">((((G3*427.5)/10)/$S$22)/$S$24)*(0.000000001)</f>
        <v>2.5400632065921944</v>
      </c>
      <c r="P3" s="49">
        <f t="shared" ref="P3:P44" si="3">((((H3*415.6)/10)/$S$22)/$S$24)*(0.000000001)</f>
        <v>2.5378373282884188</v>
      </c>
      <c r="R3" s="50" t="s">
        <v>3325</v>
      </c>
      <c r="S3" s="51" t="s">
        <v>1370</v>
      </c>
      <c r="T3" s="15" t="s">
        <v>3284</v>
      </c>
      <c r="U3" s="15" t="s">
        <v>1372</v>
      </c>
      <c r="V3" s="15" t="s">
        <v>3535</v>
      </c>
      <c r="W3" s="18" t="s">
        <v>3286</v>
      </c>
      <c r="X3" s="18" t="s">
        <v>3287</v>
      </c>
      <c r="Y3" s="18" t="s">
        <v>3288</v>
      </c>
      <c r="Z3" s="18" t="s">
        <v>3289</v>
      </c>
      <c r="AA3" s="19" t="s">
        <v>3286</v>
      </c>
      <c r="AB3" s="19" t="s">
        <v>3287</v>
      </c>
      <c r="AC3" s="19" t="s">
        <v>3288</v>
      </c>
      <c r="AD3" s="19" t="s">
        <v>3289</v>
      </c>
      <c r="AE3" s="18" t="s">
        <v>3286</v>
      </c>
      <c r="AF3" s="18" t="s">
        <v>3287</v>
      </c>
      <c r="AG3" s="18" t="s">
        <v>3288</v>
      </c>
      <c r="AH3" s="18" t="s">
        <v>3289</v>
      </c>
      <c r="AI3" s="19" t="s">
        <v>3286</v>
      </c>
      <c r="AJ3" s="19" t="s">
        <v>3287</v>
      </c>
      <c r="AK3" s="19" t="s">
        <v>3288</v>
      </c>
      <c r="AL3" s="19" t="s">
        <v>3289</v>
      </c>
      <c r="AM3" s="16" t="s">
        <v>1373</v>
      </c>
      <c r="AN3" s="16" t="s">
        <v>3301</v>
      </c>
      <c r="AO3" s="16" t="s">
        <v>3326</v>
      </c>
      <c r="AP3" s="16" t="s">
        <v>3297</v>
      </c>
      <c r="AQ3" s="17" t="s">
        <v>1373</v>
      </c>
      <c r="AR3" s="17" t="s">
        <v>3301</v>
      </c>
      <c r="AS3" s="17" t="s">
        <v>3326</v>
      </c>
      <c r="AT3" s="52" t="s">
        <v>3297</v>
      </c>
      <c r="AU3" s="2">
        <v>-1634</v>
      </c>
      <c r="AV3" s="53">
        <v>1</v>
      </c>
      <c r="AW3" s="4" t="s">
        <v>2943</v>
      </c>
      <c r="AX3" t="s">
        <v>2944</v>
      </c>
      <c r="AY3" s="4">
        <v>51303</v>
      </c>
      <c r="AZ3" s="9">
        <v>15.193833332546548</v>
      </c>
      <c r="BA3" s="7">
        <f>AZ3/$AZ$1637</f>
        <v>3.8942439065216451E-4</v>
      </c>
      <c r="BB3" s="54">
        <f t="shared" ref="BB3:BB34" si="4">IFERROR(IF(MATCH(AX3,$S$4:$S$20,0),VLOOKUP(AX3,$S$4:$AT$20,20,FALSE)),AVERAGE((2^(($AE$23*AZ3)+$AE$24)),(2^(($AF$23*AZ3)+$AF$24)),(2^(($AG$23*AZ3)+$AG$24)),(2^(($AH$23*AZ3)+$AH$24))))</f>
        <v>1.5297784927773361</v>
      </c>
      <c r="BC3" s="55">
        <f t="shared" ref="BC3:BC66" si="5">IFERROR(IF(MATCH(AX3,$S$4:$S$20,0),VLOOKUP(AX3,$S$4:$AT$20,21,FALSE)),_xlfn.VAR.S((2^(($AE$23*AZ3)+$AE$24)),(2^(($AF$23*AZ3)+$AF$24)),(2^(($AG$23*AZ3)+$AG$24)),(2^(($AH$23*AZ3)+$AH$24))))</f>
        <v>2.4889211769077688E-2</v>
      </c>
      <c r="BD3" s="55">
        <f t="shared" ref="BD3:BD66" si="6">SQRT(BC3)</f>
        <v>0.15776315085937428</v>
      </c>
      <c r="BE3" s="55">
        <f t="shared" ref="BE3:BE66" si="7">_xlfn.CONFIDENCE.NORM(0.05,BD3,4)</f>
        <v>0.15460504688596641</v>
      </c>
      <c r="BF3" s="56">
        <f t="shared" ref="BF3:BF66" si="8">IFERROR(IF(MATCH(AX3,$S$4:$S$20,0),VLOOKUP(AX3,$S$4:$AT$20,24,FALSE)),AVERAGE((2^(($AI$23*AZ3)+$AI$24)),(2^(($AJ$23*AZ3)+$AJ$24)),(2^(($AK$23*AZ3)+$AK$24)),(2^(($AL$23*AZ3)+$AL$24))))</f>
        <v>7.9834438193792387E-4</v>
      </c>
      <c r="BG3" s="56">
        <f>IFERROR(IF(MATCH(AX3,$S$4:$S$20,0),VLOOKUP(AX3,$S$4:$AT$20,25,FALSE)),_xlfn.VAR.S((2^(($AI$23*AZ3)+$AI$24)),(2^(($AJ$23*AZ3)+$AJ$24)),(2^(($AK$23*AZ3)+$AK$24)),(2^(($AL$23*AZ3)+$AL$24))))</f>
        <v>6.7785154157841033E-9</v>
      </c>
      <c r="BH3" s="56">
        <f>SQRT(BG3)</f>
        <v>8.2331740026457006E-5</v>
      </c>
      <c r="BI3" s="56">
        <f t="shared" ref="BI3:BI66" si="9">_xlfn.CONFIDENCE.NORM(0.05,BH3,4)</f>
        <v>8.0683622618185239E-5</v>
      </c>
      <c r="BJ3" s="57">
        <f>(((BF3*0.000001)*AY3)*1000000000000000)*$S$24</f>
        <v>1.3032280151097691E-4</v>
      </c>
      <c r="BK3" s="57">
        <f>((((BH3*0.000001)*AY3)*1000000000000000)*$S$24)</f>
        <v>1.3439943032448879E-5</v>
      </c>
      <c r="BL3" s="58">
        <f>((BJ3/$S$26)*0.000000001)/0.45</f>
        <v>0.22994333792349284</v>
      </c>
      <c r="BM3" s="58">
        <f>((BK3/$S$26)*0.000000001)/0.45</f>
        <v>2.3713619769926315E-2</v>
      </c>
      <c r="BN3" s="226" t="s">
        <v>3327</v>
      </c>
      <c r="BO3" s="59" t="s">
        <v>3328</v>
      </c>
      <c r="BP3" s="59" t="s">
        <v>213</v>
      </c>
      <c r="BQ3" s="60">
        <f t="shared" ref="BQ3:BQ21" si="10">VLOOKUP($BP3,$AX$2:$BM$1636,2,FALSE)</f>
        <v>50115</v>
      </c>
      <c r="BR3" s="61">
        <f t="shared" ref="BR3:BR19" si="11">AM4</f>
        <v>4843.4618166246919</v>
      </c>
      <c r="BS3" s="61">
        <f t="shared" ref="BS3:BS19" si="12">AN4</f>
        <v>37807.777226559396</v>
      </c>
      <c r="BT3" s="62">
        <f>(VLOOKUP($BP3,$AX$2:$BM$1636,14,FALSE))</f>
        <v>0.25352098193953787</v>
      </c>
      <c r="BU3" s="62">
        <f>(VLOOKUP($BP3,$AX$2:$BM$1636,15,FALSE))</f>
        <v>53612.270354134256</v>
      </c>
      <c r="BV3" s="63">
        <f t="shared" ref="BV3:BV21" si="13">((VLOOKUP($BP3,$AX$2:$BM$1636,14,FALSE)*0.000001)/BQ3)/0.000000001</f>
        <v>5.0587844345911966E-3</v>
      </c>
      <c r="BW3" s="63">
        <f t="shared" ref="BW3:BW21" si="14">(((VLOOKUP($BP3,$AX$2:$BM$1636,15,FALSE)*0.000001)/BQ3)/0.000000001)^2</f>
        <v>1144439.7361374761</v>
      </c>
      <c r="BX3" s="64">
        <f>VLOOKUP(BP3,$AX$2:$BM$1636,12,FALSE)</f>
        <v>1.5580338781546181</v>
      </c>
      <c r="BY3" s="2" t="s">
        <v>3328</v>
      </c>
      <c r="BZ3" s="65">
        <f t="shared" ref="BZ3:CA13" si="15">BR3</f>
        <v>4843.4618166246919</v>
      </c>
      <c r="CA3" s="65">
        <f t="shared" si="15"/>
        <v>37807.777226559396</v>
      </c>
      <c r="CB3" s="65">
        <f t="shared" ref="CB3:CB13" si="16">SQRT(CA3)</f>
        <v>194.44222079208876</v>
      </c>
      <c r="CC3" s="66">
        <f t="shared" ref="CC3:CF13" si="17">BT3</f>
        <v>0.25352098193953787</v>
      </c>
      <c r="CD3" s="66">
        <f t="shared" si="17"/>
        <v>53612.270354134256</v>
      </c>
      <c r="CE3" s="67">
        <f t="shared" si="17"/>
        <v>5.0587844345911966E-3</v>
      </c>
      <c r="CF3" s="67">
        <f t="shared" si="17"/>
        <v>1144439.7361374761</v>
      </c>
      <c r="CG3" s="68">
        <f t="shared" ref="CG3:CG14" si="18">SQRT(CF3)</f>
        <v>1069.7849018085253</v>
      </c>
      <c r="CI3" s="9"/>
      <c r="CJ3" s="69" t="s">
        <v>3329</v>
      </c>
      <c r="CK3" s="8"/>
      <c r="CL3" s="8"/>
      <c r="CM3" s="216" t="s">
        <v>3330</v>
      </c>
      <c r="CN3" s="2" t="s">
        <v>3331</v>
      </c>
      <c r="CO3" s="2" t="s">
        <v>1426</v>
      </c>
      <c r="CP3" s="9">
        <f>VLOOKUP(CO3,$AX$2:$BM$1636,14,FALSE)</f>
        <v>5.6106352245146164E-4</v>
      </c>
      <c r="CQ3" s="9">
        <f>VLOOKUP(CO3,$AX$2:$BM$1636,15,FALSE)</f>
        <v>15.834170193772426</v>
      </c>
      <c r="CR3" s="2" t="s">
        <v>3332</v>
      </c>
    </row>
    <row r="4" spans="1:97" x14ac:dyDescent="0.2">
      <c r="A4" s="2">
        <v>2</v>
      </c>
      <c r="B4" s="47" t="s">
        <v>3333</v>
      </c>
      <c r="C4" s="47" t="s">
        <v>3334</v>
      </c>
      <c r="D4" s="47" t="s">
        <v>3335</v>
      </c>
      <c r="E4" s="10">
        <v>118.08958868242468</v>
      </c>
      <c r="F4" s="10">
        <v>125.33173890236341</v>
      </c>
      <c r="G4" s="10">
        <v>123.78440739061701</v>
      </c>
      <c r="H4" s="10">
        <v>128.0196419988016</v>
      </c>
      <c r="I4" s="48">
        <f t="shared" ref="I4:I44" si="19">(((E4*406.8)/10)/$S$22)*(0.000000000000001)*6.0221408E+23</f>
        <v>6965.3733980255538</v>
      </c>
      <c r="J4" s="48">
        <f t="shared" ref="J4:J44" si="20">(((F4*442.8)/10)/$S$22)*(0.000000000000001)*6.0221408E+23</f>
        <v>8046.750325699114</v>
      </c>
      <c r="K4" s="48">
        <f t="shared" si="0"/>
        <v>7672.8005600788056</v>
      </c>
      <c r="L4" s="48">
        <f t="shared" si="1"/>
        <v>7714.432724558832</v>
      </c>
      <c r="M4" s="49">
        <f t="shared" ref="M4:M44" si="21">((((E4*406.8)/10)/$S$22)/$S$24)*(0.000000001)</f>
        <v>3.635014315254177</v>
      </c>
      <c r="N4" s="49">
        <f t="shared" ref="N4:N44" si="22">((((F4*442.8)/10)/$S$22)/$S$24)*(0.000000001)</f>
        <v>4.1993517007263224</v>
      </c>
      <c r="O4" s="49">
        <f t="shared" si="2"/>
        <v>4.0041988103441515</v>
      </c>
      <c r="P4" s="49">
        <f t="shared" si="3"/>
        <v>4.0259253575387088</v>
      </c>
      <c r="R4" s="70" t="s">
        <v>3322</v>
      </c>
      <c r="S4" s="59" t="s">
        <v>213</v>
      </c>
      <c r="T4" s="59" t="s">
        <v>3328</v>
      </c>
      <c r="U4" s="71">
        <v>27.134867625076975</v>
      </c>
      <c r="V4" s="12">
        <f>U4/$AZ$1637</f>
        <v>6.9547816268902547E-4</v>
      </c>
      <c r="W4" s="54">
        <f t="shared" ref="W4:AD4" si="23">AVERAGE(I3)</f>
        <v>4585.6590274077862</v>
      </c>
      <c r="X4" s="54">
        <f t="shared" si="23"/>
        <v>5057.9725546435448</v>
      </c>
      <c r="Y4" s="54">
        <f t="shared" si="23"/>
        <v>4867.2404436634561</v>
      </c>
      <c r="Z4" s="54">
        <f t="shared" si="23"/>
        <v>4862.9752407839806</v>
      </c>
      <c r="AA4" s="72">
        <f t="shared" si="23"/>
        <v>2.3931145190618102</v>
      </c>
      <c r="AB4" s="72">
        <f t="shared" si="23"/>
        <v>2.6396004336973196</v>
      </c>
      <c r="AC4" s="72">
        <f t="shared" si="23"/>
        <v>2.5400632065921944</v>
      </c>
      <c r="AD4" s="72">
        <f t="shared" si="23"/>
        <v>2.5378373282884188</v>
      </c>
      <c r="AE4" s="73">
        <f>LOG(W4,2)</f>
        <v>12.162913370118067</v>
      </c>
      <c r="AF4" s="73">
        <f t="shared" ref="AF4:AL19" si="24">LOG(X4,2)</f>
        <v>12.30434349339375</v>
      </c>
      <c r="AG4" s="73">
        <f t="shared" si="24"/>
        <v>12.248888330762489</v>
      </c>
      <c r="AH4" s="73">
        <f t="shared" si="24"/>
        <v>12.247623530960249</v>
      </c>
      <c r="AI4" s="72">
        <f t="shared" si="24"/>
        <v>1.2588894366296122</v>
      </c>
      <c r="AJ4" s="72">
        <f t="shared" si="24"/>
        <v>1.4003195599052944</v>
      </c>
      <c r="AK4" s="72">
        <f t="shared" si="24"/>
        <v>1.3448643972740351</v>
      </c>
      <c r="AL4" s="72">
        <f t="shared" si="24"/>
        <v>1.343599597471794</v>
      </c>
      <c r="AM4" s="54">
        <f>AVERAGE(W4:Z4)</f>
        <v>4843.4618166246919</v>
      </c>
      <c r="AN4" s="54">
        <f>_xlfn.VAR.S(W4:Z4)</f>
        <v>37807.777226559396</v>
      </c>
      <c r="AO4" s="54">
        <f>SQRT(AN4)</f>
        <v>194.44222079208876</v>
      </c>
      <c r="AP4" s="54">
        <f>_xlfn.CONFIDENCE.NORM(0.05,AO4,4)</f>
        <v>190.54987491323956</v>
      </c>
      <c r="AQ4" s="72">
        <f>AVERAGE(AA4:AD4)</f>
        <v>2.5276538719099357</v>
      </c>
      <c r="AR4" s="74">
        <f>_xlfn.VAR.S(AA4:AD4)</f>
        <v>1.0296854843959253E-2</v>
      </c>
      <c r="AS4" s="74">
        <f>SQRT(AR4)</f>
        <v>0.10147341939621062</v>
      </c>
      <c r="AT4" s="75">
        <f>_xlfn.CONFIDENCE.NORM(0.05,AS4,4)</f>
        <v>9.9442123702350463E-2</v>
      </c>
      <c r="AU4" s="2">
        <v>-1633</v>
      </c>
      <c r="AV4" s="53">
        <v>2</v>
      </c>
      <c r="AW4" s="4" t="s">
        <v>1416</v>
      </c>
      <c r="AX4" t="s">
        <v>1417</v>
      </c>
      <c r="AY4" s="4">
        <v>65912</v>
      </c>
      <c r="AZ4" s="9">
        <v>16.0382474266946</v>
      </c>
      <c r="BA4" s="7">
        <f t="shared" ref="BA4:BA67" si="25">AZ4/$AZ$1637</f>
        <v>4.1106708192529498E-4</v>
      </c>
      <c r="BB4" s="54">
        <f t="shared" si="4"/>
        <v>2.649492754550161</v>
      </c>
      <c r="BC4" s="55">
        <f t="shared" si="5"/>
        <v>6.6981417641555657E-2</v>
      </c>
      <c r="BD4" s="55">
        <f t="shared" si="6"/>
        <v>0.25880768466480214</v>
      </c>
      <c r="BE4" s="55">
        <f t="shared" si="7"/>
        <v>0.25362687043260568</v>
      </c>
      <c r="BF4" s="56">
        <f t="shared" si="8"/>
        <v>1.3826888438862573E-3</v>
      </c>
      <c r="BG4" s="56">
        <f t="shared" ref="BG4:BG67" si="26">IFERROR(IF(MATCH(AX4,$S$4:$S$20,0),VLOOKUP(AX4,$S$4:$AT$20,25,FALSE)),_xlfn.VAR.S((2^(($AI$23*AZ4)+$AI$24)),(2^(($AJ$23*AZ4)+$AJ$24)),(2^(($AK$23*AZ4)+$AK$24)),(2^(($AL$23*AZ4)+$AL$24))))</f>
        <v>1.8242223830424938E-8</v>
      </c>
      <c r="BH4" s="56">
        <f t="shared" ref="BH4:BH67" si="27">SQRT(BG4)</f>
        <v>1.3506377689974814E-4</v>
      </c>
      <c r="BI4" s="56">
        <f t="shared" si="9"/>
        <v>1.3236006916972961E-4</v>
      </c>
      <c r="BJ4" s="57">
        <f t="shared" ref="BJ4:BJ67" si="28">(((BF4*0.000001)*AY4)*1000000000000000)*$S$24</f>
        <v>2.899855254761064E-4</v>
      </c>
      <c r="BK4" s="57">
        <f t="shared" ref="BK4:BK67" si="29">((((BH4*0.000001)*AY4)*1000000000000000)*$S$24)</f>
        <v>2.8326358811847753E-5</v>
      </c>
      <c r="BL4" s="58">
        <f t="shared" ref="BL4:BM67" si="30">((BJ4/$S$26)*0.000000001)/0.45</f>
        <v>0.51165443732313853</v>
      </c>
      <c r="BM4" s="58">
        <f t="shared" si="30"/>
        <v>4.9979415888064663E-2</v>
      </c>
      <c r="BN4" s="226"/>
      <c r="BO4" s="47" t="s">
        <v>3336</v>
      </c>
      <c r="BP4" s="47" t="s">
        <v>216</v>
      </c>
      <c r="BQ4" s="60">
        <f t="shared" si="10"/>
        <v>34897</v>
      </c>
      <c r="BR4" s="61">
        <f t="shared" si="11"/>
        <v>8588.3531909479516</v>
      </c>
      <c r="BS4" s="61">
        <f t="shared" si="12"/>
        <v>241393.54062412225</v>
      </c>
      <c r="BT4" s="62">
        <f t="shared" ref="BT4:BT23" si="31">(VLOOKUP($BP4,$AX$2:$BM$1636,14,FALSE))</f>
        <v>0.23507761452072054</v>
      </c>
      <c r="BU4" s="62">
        <f t="shared" ref="BU4:BU23" si="32">(VLOOKUP($BP4,$AX$2:$BM$1636,15,FALSE))</f>
        <v>94331.514569909792</v>
      </c>
      <c r="BV4" s="63">
        <f t="shared" si="13"/>
        <v>6.7363273209937961E-3</v>
      </c>
      <c r="BW4" s="63">
        <f t="shared" si="14"/>
        <v>7306971.7450380288</v>
      </c>
      <c r="BX4" s="64">
        <f t="shared" ref="BX4:BX23" si="33">VLOOKUP(BP4,$AX$2:$BM$1636,12,FALSE)</f>
        <v>2.0746933015529878</v>
      </c>
      <c r="BY4" s="7" t="s">
        <v>3336</v>
      </c>
      <c r="BZ4" s="65">
        <f t="shared" si="15"/>
        <v>8588.3531909479516</v>
      </c>
      <c r="CA4" s="65">
        <f t="shared" si="15"/>
        <v>241393.54062412225</v>
      </c>
      <c r="CB4" s="65">
        <f t="shared" si="16"/>
        <v>491.31816638927796</v>
      </c>
      <c r="CC4" s="66">
        <f t="shared" si="17"/>
        <v>0.23507761452072054</v>
      </c>
      <c r="CD4" s="66">
        <f t="shared" si="17"/>
        <v>94331.514569909792</v>
      </c>
      <c r="CE4" s="67">
        <f t="shared" si="17"/>
        <v>6.7363273209937961E-3</v>
      </c>
      <c r="CF4" s="67">
        <f t="shared" si="17"/>
        <v>7306971.7450380288</v>
      </c>
      <c r="CG4" s="68">
        <f t="shared" si="18"/>
        <v>2703.1410886296758</v>
      </c>
      <c r="CI4" s="9"/>
      <c r="CJ4" s="69" t="s">
        <v>3337</v>
      </c>
      <c r="CK4" s="8"/>
      <c r="CL4" s="8"/>
      <c r="CM4" s="216"/>
      <c r="CN4" s="2" t="s">
        <v>3338</v>
      </c>
      <c r="CO4" s="2" t="s">
        <v>531</v>
      </c>
      <c r="CP4" s="9">
        <f t="shared" ref="CP4:CP13" si="34">VLOOKUP(CO4,$AX$2:$BM$1636,14,FALSE)</f>
        <v>1.0970123259935658E-2</v>
      </c>
      <c r="CQ4" s="9">
        <f t="shared" ref="CQ4:CQ13" si="35">VLOOKUP(CO4,$AX$2:$BM$1636,15,FALSE)</f>
        <v>779.84212548926666</v>
      </c>
      <c r="CR4" s="2" t="s">
        <v>3339</v>
      </c>
    </row>
    <row r="5" spans="1:97" x14ac:dyDescent="0.2">
      <c r="A5" s="2">
        <v>2</v>
      </c>
      <c r="B5" s="47" t="s">
        <v>3333</v>
      </c>
      <c r="C5" s="47" t="s">
        <v>3334</v>
      </c>
      <c r="D5" s="47" t="s">
        <v>3340</v>
      </c>
      <c r="E5" s="10">
        <v>148.37740578071879</v>
      </c>
      <c r="F5" s="10">
        <v>147.04633697371264</v>
      </c>
      <c r="G5" s="10">
        <v>161.42454199259103</v>
      </c>
      <c r="H5" s="10">
        <v>167.75319132718545</v>
      </c>
      <c r="I5" s="48">
        <f t="shared" si="19"/>
        <v>8751.8641281107157</v>
      </c>
      <c r="J5" s="48">
        <f t="shared" si="20"/>
        <v>9440.9059532626579</v>
      </c>
      <c r="K5" s="48">
        <f t="shared" si="0"/>
        <v>10005.93162192658</v>
      </c>
      <c r="L5" s="48">
        <f t="shared" si="1"/>
        <v>10108.766815921359</v>
      </c>
      <c r="M5" s="49">
        <f t="shared" si="21"/>
        <v>4.5673289245139266</v>
      </c>
      <c r="N5" s="49">
        <f t="shared" si="22"/>
        <v>4.9269186772967668</v>
      </c>
      <c r="O5" s="49">
        <f t="shared" si="2"/>
        <v>5.221788209296534</v>
      </c>
      <c r="P5" s="49">
        <f t="shared" si="3"/>
        <v>5.2754547366917368</v>
      </c>
      <c r="R5" s="76" t="s">
        <v>3333</v>
      </c>
      <c r="S5" s="47" t="s">
        <v>216</v>
      </c>
      <c r="T5" s="47" t="s">
        <v>3336</v>
      </c>
      <c r="U5" s="71">
        <v>29.156189327608768</v>
      </c>
      <c r="V5" s="12">
        <f t="shared" ref="V5:V20" si="36">U5/$AZ$1637</f>
        <v>7.4728549498575994E-4</v>
      </c>
      <c r="W5" s="54">
        <f t="shared" ref="W5:AD5" si="37">AVERAGE(I4:I5)</f>
        <v>7858.6187630681343</v>
      </c>
      <c r="X5" s="54">
        <f t="shared" si="37"/>
        <v>8743.8281394808855</v>
      </c>
      <c r="Y5" s="54">
        <f t="shared" si="37"/>
        <v>8839.366091002692</v>
      </c>
      <c r="Z5" s="54">
        <f t="shared" si="37"/>
        <v>8911.5997702400964</v>
      </c>
      <c r="AA5" s="72">
        <f t="shared" si="37"/>
        <v>4.1011716198840515</v>
      </c>
      <c r="AB5" s="72">
        <f t="shared" si="37"/>
        <v>4.563135189011545</v>
      </c>
      <c r="AC5" s="72">
        <f t="shared" si="37"/>
        <v>4.6129935098203427</v>
      </c>
      <c r="AD5" s="72">
        <f t="shared" si="37"/>
        <v>4.6506900471152228</v>
      </c>
      <c r="AE5" s="73">
        <f t="shared" ref="AE5:AL20" si="38">LOG(W5,2)</f>
        <v>12.94006005022724</v>
      </c>
      <c r="AF5" s="73">
        <f t="shared" si="24"/>
        <v>13.094049329684337</v>
      </c>
      <c r="AG5" s="73">
        <f t="shared" si="24"/>
        <v>13.109727196116044</v>
      </c>
      <c r="AH5" s="73">
        <f t="shared" si="24"/>
        <v>13.121468725771845</v>
      </c>
      <c r="AI5" s="72">
        <f t="shared" si="24"/>
        <v>2.0360361167387859</v>
      </c>
      <c r="AJ5" s="72">
        <f t="shared" si="24"/>
        <v>2.1900253961958822</v>
      </c>
      <c r="AK5" s="72">
        <f t="shared" si="24"/>
        <v>2.2057032626275892</v>
      </c>
      <c r="AL5" s="72">
        <f t="shared" si="24"/>
        <v>2.2174447922833904</v>
      </c>
      <c r="AM5" s="54">
        <f t="shared" ref="AM5:AM20" si="39">AVERAGE(W5:Z5)</f>
        <v>8588.3531909479516</v>
      </c>
      <c r="AN5" s="54">
        <f t="shared" ref="AN5:AN20" si="40">_xlfn.VAR.S(W5:Z5)</f>
        <v>241393.54062412225</v>
      </c>
      <c r="AO5" s="54">
        <f t="shared" ref="AO5:AO20" si="41">SQRT(AN5)</f>
        <v>491.31816638927796</v>
      </c>
      <c r="AP5" s="54">
        <f t="shared" ref="AP5:AP20" si="42">_xlfn.CONFIDENCE.NORM(0.05,AO5,4)</f>
        <v>481.48295553662115</v>
      </c>
      <c r="AQ5" s="72">
        <f t="shared" ref="AQ5:AQ20" si="43">AVERAGE(AA5:AD5)</f>
        <v>4.4819975914577901</v>
      </c>
      <c r="AR5" s="74">
        <f t="shared" ref="AR5:AR20" si="44">_xlfn.VAR.S(AA5:AD5)</f>
        <v>6.5742935195086838E-2</v>
      </c>
      <c r="AS5" s="74">
        <f t="shared" ref="AS5:AS20" si="45">SQRT(AR5)</f>
        <v>0.2564038517555593</v>
      </c>
      <c r="AT5" s="75">
        <f t="shared" ref="AT5:AT20" si="46">_xlfn.CONFIDENCE.NORM(0.05,AS5,4)</f>
        <v>0.2512711574691216</v>
      </c>
      <c r="AU5" s="2">
        <v>-1632</v>
      </c>
      <c r="AV5" s="53">
        <v>3</v>
      </c>
      <c r="AW5" s="4" t="s">
        <v>2986</v>
      </c>
      <c r="AX5" t="s">
        <v>2987</v>
      </c>
      <c r="AY5" s="4">
        <v>19795</v>
      </c>
      <c r="AZ5" s="9">
        <v>16.044806763111772</v>
      </c>
      <c r="BA5" s="7">
        <f t="shared" si="25"/>
        <v>4.112352004988921E-4</v>
      </c>
      <c r="BB5" s="54">
        <f t="shared" si="4"/>
        <v>2.6608211865794775</v>
      </c>
      <c r="BC5" s="55">
        <f t="shared" si="5"/>
        <v>6.7496840635010227E-2</v>
      </c>
      <c r="BD5" s="55">
        <f t="shared" si="6"/>
        <v>0.25980154086342566</v>
      </c>
      <c r="BE5" s="55">
        <f t="shared" si="7"/>
        <v>0.25460083161016267</v>
      </c>
      <c r="BF5" s="56">
        <f t="shared" si="8"/>
        <v>1.3886008044148373E-3</v>
      </c>
      <c r="BG5" s="56">
        <f t="shared" si="26"/>
        <v>1.8382598010981455E-8</v>
      </c>
      <c r="BH5" s="56">
        <f t="shared" si="27"/>
        <v>1.3558243990643279E-4</v>
      </c>
      <c r="BI5" s="56">
        <f t="shared" si="9"/>
        <v>1.3286834957633719E-4</v>
      </c>
      <c r="BJ5" s="57">
        <f t="shared" si="28"/>
        <v>8.7462178546773067E-5</v>
      </c>
      <c r="BK5" s="57">
        <f t="shared" si="29"/>
        <v>8.5397729348865752E-6</v>
      </c>
      <c r="BL5" s="58">
        <f t="shared" si="30"/>
        <v>0.15431946707661554</v>
      </c>
      <c r="BM5" s="58">
        <f t="shared" si="30"/>
        <v>1.5067692460487239E-2</v>
      </c>
      <c r="BN5" s="226"/>
      <c r="BO5" s="47" t="s">
        <v>3341</v>
      </c>
      <c r="BP5" s="77" t="s">
        <v>214</v>
      </c>
      <c r="BQ5" s="60">
        <f t="shared" si="10"/>
        <v>53859</v>
      </c>
      <c r="BR5" s="61">
        <f t="shared" si="11"/>
        <v>15848.382398832258</v>
      </c>
      <c r="BS5" s="61">
        <f t="shared" si="12"/>
        <v>643719.63860675192</v>
      </c>
      <c r="BT5" s="62">
        <f t="shared" si="31"/>
        <v>0.49285479914184183</v>
      </c>
      <c r="BU5" s="62">
        <f t="shared" si="32"/>
        <v>237745.63749850512</v>
      </c>
      <c r="BV5" s="63">
        <f t="shared" si="13"/>
        <v>9.1508345706723445E-3</v>
      </c>
      <c r="BW5" s="63">
        <f t="shared" si="14"/>
        <v>19485364.848058391</v>
      </c>
      <c r="BX5" s="64">
        <f t="shared" si="33"/>
        <v>2.8183272995399187</v>
      </c>
      <c r="BY5" s="47" t="s">
        <v>3341</v>
      </c>
      <c r="BZ5" s="65">
        <f t="shared" si="15"/>
        <v>15848.382398832258</v>
      </c>
      <c r="CA5" s="65">
        <f t="shared" si="15"/>
        <v>643719.63860675192</v>
      </c>
      <c r="CB5" s="65">
        <f t="shared" si="16"/>
        <v>802.3214060504381</v>
      </c>
      <c r="CC5" s="66">
        <f t="shared" si="17"/>
        <v>0.49285479914184183</v>
      </c>
      <c r="CD5" s="66">
        <f t="shared" si="17"/>
        <v>237745.63749850512</v>
      </c>
      <c r="CE5" s="67">
        <f t="shared" si="17"/>
        <v>9.1508345706723445E-3</v>
      </c>
      <c r="CF5" s="67">
        <f t="shared" si="17"/>
        <v>19485364.848058391</v>
      </c>
      <c r="CG5" s="68">
        <f t="shared" si="18"/>
        <v>4414.2230174809238</v>
      </c>
      <c r="CI5" s="9"/>
      <c r="CJ5" s="69" t="s">
        <v>3342</v>
      </c>
      <c r="CK5" s="8">
        <f>SUM(BJ3:BJ2430)</f>
        <v>1844.061026326819</v>
      </c>
      <c r="CL5" s="8"/>
      <c r="CM5" s="216"/>
      <c r="CN5" s="2" t="s">
        <v>3343</v>
      </c>
      <c r="CO5" s="2" t="s">
        <v>3005</v>
      </c>
      <c r="CP5" s="9">
        <f t="shared" si="34"/>
        <v>5.6663906114503941E-4</v>
      </c>
      <c r="CQ5" s="9">
        <f t="shared" si="35"/>
        <v>16.223918777584522</v>
      </c>
      <c r="CR5" s="2" t="s">
        <v>3344</v>
      </c>
    </row>
    <row r="6" spans="1:97" x14ac:dyDescent="0.2">
      <c r="A6" s="2">
        <v>3</v>
      </c>
      <c r="B6" s="47" t="s">
        <v>3345</v>
      </c>
      <c r="C6" s="47" t="s">
        <v>3346</v>
      </c>
      <c r="D6" s="47" t="s">
        <v>3347</v>
      </c>
      <c r="E6" s="10">
        <v>194.27699231775026</v>
      </c>
      <c r="F6" s="10">
        <v>185.95067016154266</v>
      </c>
      <c r="G6" s="10">
        <v>199.92054856844675</v>
      </c>
      <c r="H6" s="10">
        <v>209.04344949976743</v>
      </c>
      <c r="I6" s="48">
        <f t="shared" si="19"/>
        <v>11459.196439218962</v>
      </c>
      <c r="J6" s="48">
        <f t="shared" si="20"/>
        <v>11938.704663245888</v>
      </c>
      <c r="K6" s="48">
        <f t="shared" si="0"/>
        <v>12392.114074486535</v>
      </c>
      <c r="L6" s="48">
        <f t="shared" si="1"/>
        <v>12596.907806465848</v>
      </c>
      <c r="M6" s="49">
        <f t="shared" si="21"/>
        <v>5.9802024554316366</v>
      </c>
      <c r="N6" s="49">
        <f t="shared" si="22"/>
        <v>6.2304430612136699</v>
      </c>
      <c r="O6" s="49">
        <f t="shared" si="2"/>
        <v>6.4670634986762083</v>
      </c>
      <c r="P6" s="49">
        <f t="shared" si="3"/>
        <v>6.5739390536364271</v>
      </c>
      <c r="R6" s="76" t="s">
        <v>3345</v>
      </c>
      <c r="S6" s="77" t="s">
        <v>214</v>
      </c>
      <c r="T6" s="47" t="s">
        <v>3341</v>
      </c>
      <c r="U6" s="71">
        <v>29.503264338051959</v>
      </c>
      <c r="V6" s="12">
        <f t="shared" si="36"/>
        <v>7.5618117466673353E-4</v>
      </c>
      <c r="W6" s="54">
        <f t="shared" ref="W6:AD6" si="47">AVERAGE(I6:I7)</f>
        <v>14842.231522114462</v>
      </c>
      <c r="X6" s="54">
        <f t="shared" si="47"/>
        <v>15608.811978386724</v>
      </c>
      <c r="Y6" s="54">
        <f t="shared" si="47"/>
        <v>16678.021392078772</v>
      </c>
      <c r="Z6" s="54">
        <f t="shared" si="47"/>
        <v>16264.464702749076</v>
      </c>
      <c r="AA6" s="78">
        <f t="shared" si="47"/>
        <v>7.7457044971194708</v>
      </c>
      <c r="AB6" s="78">
        <f t="shared" si="47"/>
        <v>8.1457592785520987</v>
      </c>
      <c r="AC6" s="78">
        <f t="shared" si="47"/>
        <v>8.7037468124116391</v>
      </c>
      <c r="AD6" s="78">
        <f t="shared" si="47"/>
        <v>8.4879242857530244</v>
      </c>
      <c r="AE6" s="73">
        <f t="shared" si="38"/>
        <v>13.857420396296442</v>
      </c>
      <c r="AF6" s="73">
        <f t="shared" si="24"/>
        <v>13.930073114295466</v>
      </c>
      <c r="AG6" s="73">
        <f t="shared" si="24"/>
        <v>14.025660523418747</v>
      </c>
      <c r="AH6" s="73">
        <f t="shared" si="24"/>
        <v>13.989435720625226</v>
      </c>
      <c r="AI6" s="72">
        <f t="shared" si="24"/>
        <v>2.9533964628079867</v>
      </c>
      <c r="AJ6" s="72">
        <f t="shared" si="24"/>
        <v>3.0260491808070107</v>
      </c>
      <c r="AK6" s="72">
        <f t="shared" si="24"/>
        <v>3.1216365899302922</v>
      </c>
      <c r="AL6" s="72">
        <f t="shared" si="24"/>
        <v>3.0854117871367697</v>
      </c>
      <c r="AM6" s="54">
        <f t="shared" si="39"/>
        <v>15848.382398832258</v>
      </c>
      <c r="AN6" s="54">
        <f t="shared" si="40"/>
        <v>643719.63860675192</v>
      </c>
      <c r="AO6" s="54">
        <f t="shared" si="41"/>
        <v>802.3214060504381</v>
      </c>
      <c r="AP6" s="54">
        <f t="shared" si="42"/>
        <v>786.26052994219742</v>
      </c>
      <c r="AQ6" s="72">
        <f t="shared" si="43"/>
        <v>8.2707837184590574</v>
      </c>
      <c r="AR6" s="74">
        <f t="shared" si="44"/>
        <v>0.1753154553154577</v>
      </c>
      <c r="AS6" s="74">
        <f t="shared" si="45"/>
        <v>0.41870688472421574</v>
      </c>
      <c r="AT6" s="75">
        <f t="shared" si="46"/>
        <v>0.41032520706921338</v>
      </c>
      <c r="AU6" s="2">
        <v>-1631</v>
      </c>
      <c r="AV6" s="53">
        <v>4</v>
      </c>
      <c r="AW6" s="4" t="s">
        <v>2669</v>
      </c>
      <c r="AX6" t="s">
        <v>2670</v>
      </c>
      <c r="AY6" s="4">
        <v>29489</v>
      </c>
      <c r="AZ6" s="9">
        <v>16.202952808676162</v>
      </c>
      <c r="BA6" s="7">
        <f t="shared" si="25"/>
        <v>4.1528855070223017E-4</v>
      </c>
      <c r="BB6" s="54">
        <f t="shared" si="4"/>
        <v>2.949108285504813</v>
      </c>
      <c r="BC6" s="55">
        <f t="shared" si="5"/>
        <v>8.1188879052019089E-2</v>
      </c>
      <c r="BD6" s="55">
        <f t="shared" si="6"/>
        <v>0.28493662286904975</v>
      </c>
      <c r="BE6" s="55">
        <f t="shared" si="7"/>
        <v>0.27923275934990466</v>
      </c>
      <c r="BF6" s="56">
        <f t="shared" si="8"/>
        <v>1.5390489816502089E-3</v>
      </c>
      <c r="BG6" s="56">
        <f t="shared" si="26"/>
        <v>2.2111590891282807E-8</v>
      </c>
      <c r="BH6" s="56">
        <f t="shared" si="27"/>
        <v>1.486996667490644E-4</v>
      </c>
      <c r="BI6" s="56">
        <f t="shared" si="9"/>
        <v>1.457229956706372E-4</v>
      </c>
      <c r="BJ6" s="57">
        <f t="shared" si="28"/>
        <v>1.4441086171756615E-4</v>
      </c>
      <c r="BK6" s="57">
        <f t="shared" si="29"/>
        <v>1.395267289629891E-5</v>
      </c>
      <c r="BL6" s="58">
        <f t="shared" si="30"/>
        <v>0.25480050452221276</v>
      </c>
      <c r="BM6" s="58">
        <f t="shared" si="30"/>
        <v>2.461828737206349E-2</v>
      </c>
      <c r="BN6" s="226"/>
      <c r="BO6" s="47" t="s">
        <v>3348</v>
      </c>
      <c r="BP6" s="77" t="s">
        <v>933</v>
      </c>
      <c r="BQ6" s="60">
        <f t="shared" si="10"/>
        <v>25531</v>
      </c>
      <c r="BR6" s="61">
        <f t="shared" si="11"/>
        <v>2614.404264383224</v>
      </c>
      <c r="BS6" s="61">
        <f t="shared" si="12"/>
        <v>18443.505323311369</v>
      </c>
      <c r="BT6" s="62">
        <f t="shared" si="31"/>
        <v>9.489043349750248E-2</v>
      </c>
      <c r="BU6" s="62">
        <f t="shared" si="32"/>
        <v>19076.357377583354</v>
      </c>
      <c r="BV6" s="63">
        <f t="shared" si="13"/>
        <v>3.7166751595120624E-3</v>
      </c>
      <c r="BW6" s="63">
        <f t="shared" si="14"/>
        <v>558284.08634488354</v>
      </c>
      <c r="BX6" s="64">
        <f t="shared" si="33"/>
        <v>1.1446832509840803</v>
      </c>
      <c r="BY6" s="47" t="s">
        <v>3348</v>
      </c>
      <c r="BZ6" s="65">
        <f t="shared" si="15"/>
        <v>2614.404264383224</v>
      </c>
      <c r="CA6" s="65">
        <f t="shared" si="15"/>
        <v>18443.505323311369</v>
      </c>
      <c r="CB6" s="65">
        <f t="shared" si="16"/>
        <v>135.80686773249491</v>
      </c>
      <c r="CC6" s="66">
        <f t="shared" si="17"/>
        <v>9.489043349750248E-2</v>
      </c>
      <c r="CD6" s="66">
        <f t="shared" si="17"/>
        <v>19076.357377583354</v>
      </c>
      <c r="CE6" s="67">
        <f t="shared" si="17"/>
        <v>3.7166751595120624E-3</v>
      </c>
      <c r="CF6" s="67">
        <f t="shared" si="17"/>
        <v>558284.08634488354</v>
      </c>
      <c r="CG6" s="68">
        <f t="shared" si="18"/>
        <v>747.18410471910033</v>
      </c>
      <c r="CI6" s="9"/>
      <c r="CJ6" s="79" t="s">
        <v>3349</v>
      </c>
      <c r="CK6" s="80">
        <f>SUM(BX4:BX8)/SUM(BX4:BX13)</f>
        <v>0.34487971332283096</v>
      </c>
      <c r="CL6" s="80"/>
      <c r="CM6" s="216"/>
      <c r="CN6" s="2" t="s">
        <v>3350</v>
      </c>
      <c r="CO6" s="2" t="s">
        <v>3351</v>
      </c>
      <c r="CP6" s="9" t="e">
        <f t="shared" si="34"/>
        <v>#N/A</v>
      </c>
      <c r="CQ6" s="9" t="e">
        <f t="shared" si="35"/>
        <v>#N/A</v>
      </c>
      <c r="CR6" s="2" t="s">
        <v>3352</v>
      </c>
      <c r="CS6" s="81"/>
    </row>
    <row r="7" spans="1:97" x14ac:dyDescent="0.2">
      <c r="A7" s="2">
        <v>3</v>
      </c>
      <c r="B7" s="47" t="s">
        <v>3345</v>
      </c>
      <c r="C7" s="47" t="s">
        <v>3346</v>
      </c>
      <c r="D7" s="47" t="s">
        <v>3353</v>
      </c>
      <c r="E7" s="10">
        <v>308.98763268358823</v>
      </c>
      <c r="F7" s="10">
        <v>300.27779928740415</v>
      </c>
      <c r="G7" s="10">
        <v>338.208646450093</v>
      </c>
      <c r="H7" s="10">
        <v>330.76836113914277</v>
      </c>
      <c r="I7" s="48">
        <f t="shared" si="19"/>
        <v>18225.266605009961</v>
      </c>
      <c r="J7" s="48">
        <f t="shared" si="20"/>
        <v>19278.919293527561</v>
      </c>
      <c r="K7" s="48">
        <f t="shared" si="0"/>
        <v>20963.92870967101</v>
      </c>
      <c r="L7" s="48">
        <f t="shared" si="1"/>
        <v>19932.021599032305</v>
      </c>
      <c r="M7" s="49">
        <f t="shared" si="21"/>
        <v>9.5112065388073042</v>
      </c>
      <c r="N7" s="49">
        <f t="shared" si="22"/>
        <v>10.061075495890526</v>
      </c>
      <c r="O7" s="49">
        <f t="shared" si="2"/>
        <v>10.940430126147071</v>
      </c>
      <c r="P7" s="49">
        <f t="shared" si="3"/>
        <v>10.401909517869623</v>
      </c>
      <c r="R7" s="76" t="s">
        <v>3354</v>
      </c>
      <c r="S7" s="77" t="s">
        <v>933</v>
      </c>
      <c r="T7" s="47" t="s">
        <v>3348</v>
      </c>
      <c r="U7" s="71">
        <v>27.924167074684188</v>
      </c>
      <c r="V7" s="12">
        <f t="shared" si="36"/>
        <v>7.1570824225340767E-4</v>
      </c>
      <c r="W7" s="54">
        <f t="shared" ref="W7:AD7" si="48">AVERAGE(I8:I10)</f>
        <v>2735.9084961278368</v>
      </c>
      <c r="X7" s="54">
        <f t="shared" si="48"/>
        <v>2718.2979717575413</v>
      </c>
      <c r="Y7" s="54">
        <f t="shared" si="48"/>
        <v>2454.95478826728</v>
      </c>
      <c r="Z7" s="54">
        <f t="shared" si="48"/>
        <v>2548.4558013802375</v>
      </c>
      <c r="AA7" s="78">
        <f t="shared" si="48"/>
        <v>1.4277865636706999</v>
      </c>
      <c r="AB7" s="78">
        <f t="shared" si="48"/>
        <v>1.4185961722118154</v>
      </c>
      <c r="AC7" s="78">
        <f t="shared" si="48"/>
        <v>1.2811654578608727</v>
      </c>
      <c r="AD7" s="78">
        <f t="shared" si="48"/>
        <v>1.3299607631136694</v>
      </c>
      <c r="AE7" s="73">
        <f t="shared" si="38"/>
        <v>11.417804264012297</v>
      </c>
      <c r="AF7" s="73">
        <f t="shared" si="24"/>
        <v>11.408487893385072</v>
      </c>
      <c r="AG7" s="73">
        <f t="shared" si="24"/>
        <v>11.261480740019486</v>
      </c>
      <c r="AH7" s="73">
        <f t="shared" si="24"/>
        <v>11.315407617037224</v>
      </c>
      <c r="AI7" s="72">
        <f t="shared" si="24"/>
        <v>0.5137803305238412</v>
      </c>
      <c r="AJ7" s="72">
        <f t="shared" si="24"/>
        <v>0.50446395989661663</v>
      </c>
      <c r="AK7" s="72">
        <f t="shared" si="24"/>
        <v>0.35745680653103251</v>
      </c>
      <c r="AL7" s="72">
        <f t="shared" si="24"/>
        <v>0.41138368354876803</v>
      </c>
      <c r="AM7" s="54">
        <f t="shared" si="39"/>
        <v>2614.404264383224</v>
      </c>
      <c r="AN7" s="54">
        <f t="shared" si="40"/>
        <v>18443.505323311369</v>
      </c>
      <c r="AO7" s="54">
        <f t="shared" si="41"/>
        <v>135.80686773249491</v>
      </c>
      <c r="AP7" s="54">
        <f t="shared" si="42"/>
        <v>133.08828480444237</v>
      </c>
      <c r="AQ7" s="72">
        <f t="shared" si="43"/>
        <v>1.3643772392142641</v>
      </c>
      <c r="AR7" s="74">
        <f t="shared" si="44"/>
        <v>5.023043168867313E-3</v>
      </c>
      <c r="AS7" s="74">
        <f t="shared" si="45"/>
        <v>7.0873430627191411E-2</v>
      </c>
      <c r="AT7" s="75">
        <f t="shared" si="46"/>
        <v>6.9454685745046568E-2</v>
      </c>
      <c r="AU7" s="2">
        <v>-1630</v>
      </c>
      <c r="AV7" s="53">
        <v>5</v>
      </c>
      <c r="AW7" s="4" t="s">
        <v>2839</v>
      </c>
      <c r="AX7" t="s">
        <v>1067</v>
      </c>
      <c r="AY7" s="4">
        <v>59667</v>
      </c>
      <c r="AZ7" s="9">
        <v>16.224906090719767</v>
      </c>
      <c r="BA7" s="7">
        <f t="shared" si="25"/>
        <v>4.1585122262942131E-4</v>
      </c>
      <c r="BB7" s="54">
        <f t="shared" si="4"/>
        <v>2.9915232307940722</v>
      </c>
      <c r="BC7" s="55">
        <f t="shared" si="5"/>
        <v>8.3295874654808269E-2</v>
      </c>
      <c r="BD7" s="55">
        <f t="shared" si="6"/>
        <v>0.2886102469677892</v>
      </c>
      <c r="BE7" s="55">
        <f t="shared" si="7"/>
        <v>0.2828328448130385</v>
      </c>
      <c r="BF7" s="56">
        <f t="shared" si="8"/>
        <v>1.5611840380925356E-3</v>
      </c>
      <c r="BG7" s="56">
        <f t="shared" si="26"/>
        <v>2.2685425945080572E-8</v>
      </c>
      <c r="BH7" s="56">
        <f t="shared" si="27"/>
        <v>1.5061681826768409E-4</v>
      </c>
      <c r="BI7" s="56">
        <f t="shared" si="9"/>
        <v>1.4760176963533761E-4</v>
      </c>
      <c r="BJ7" s="57">
        <f t="shared" si="28"/>
        <v>2.9639827851881111E-4</v>
      </c>
      <c r="BK7" s="57">
        <f t="shared" si="29"/>
        <v>2.8595325446106119E-5</v>
      </c>
      <c r="BL7" s="58">
        <f t="shared" si="30"/>
        <v>0.52296918672095871</v>
      </c>
      <c r="BM7" s="58">
        <f t="shared" si="30"/>
        <v>5.045398430552004E-2</v>
      </c>
      <c r="BN7" s="226"/>
      <c r="BO7" s="47" t="s">
        <v>3355</v>
      </c>
      <c r="BP7" s="77" t="s">
        <v>215</v>
      </c>
      <c r="BQ7" s="60">
        <f t="shared" si="10"/>
        <v>65392</v>
      </c>
      <c r="BR7" s="61">
        <f t="shared" si="11"/>
        <v>14969.289101267465</v>
      </c>
      <c r="BS7" s="61">
        <f t="shared" si="12"/>
        <v>195550.59892839301</v>
      </c>
      <c r="BT7" s="62">
        <f t="shared" si="31"/>
        <v>0.58155854564009679</v>
      </c>
      <c r="BU7" s="62">
        <f t="shared" si="32"/>
        <v>159096.30276432031</v>
      </c>
      <c r="BV7" s="63">
        <f t="shared" si="13"/>
        <v>8.8934203823112425E-3</v>
      </c>
      <c r="BW7" s="63">
        <f t="shared" si="14"/>
        <v>5919307.9375722297</v>
      </c>
      <c r="BX7" s="64">
        <f t="shared" si="33"/>
        <v>2.7390473793595129</v>
      </c>
      <c r="BY7" s="47" t="s">
        <v>3355</v>
      </c>
      <c r="BZ7" s="65">
        <f t="shared" si="15"/>
        <v>14969.289101267465</v>
      </c>
      <c r="CA7" s="65">
        <f t="shared" si="15"/>
        <v>195550.59892839301</v>
      </c>
      <c r="CB7" s="65">
        <f t="shared" si="16"/>
        <v>442.21103438108935</v>
      </c>
      <c r="CC7" s="66">
        <f t="shared" si="17"/>
        <v>0.58155854564009679</v>
      </c>
      <c r="CD7" s="66">
        <f t="shared" si="17"/>
        <v>159096.30276432031</v>
      </c>
      <c r="CE7" s="67">
        <f t="shared" si="17"/>
        <v>8.8934203823112425E-3</v>
      </c>
      <c r="CF7" s="67">
        <f t="shared" si="17"/>
        <v>5919307.9375722297</v>
      </c>
      <c r="CG7" s="68">
        <f t="shared" si="18"/>
        <v>2432.9627900097917</v>
      </c>
      <c r="CI7" s="9"/>
      <c r="CJ7" s="79" t="s">
        <v>3356</v>
      </c>
      <c r="CK7" s="80">
        <f>SUM(BX9:BX13)/SUM(BX4:BX13)</f>
        <v>0.65512028667716904</v>
      </c>
      <c r="CL7" s="80"/>
      <c r="CM7" s="216"/>
      <c r="CN7" s="2" t="s">
        <v>3357</v>
      </c>
      <c r="CO7" s="59" t="s">
        <v>213</v>
      </c>
      <c r="CP7" s="9">
        <f t="shared" si="34"/>
        <v>0.25352098193953787</v>
      </c>
      <c r="CQ7" s="9">
        <f t="shared" si="35"/>
        <v>53612.270354134256</v>
      </c>
      <c r="CR7" s="2" t="s">
        <v>3358</v>
      </c>
      <c r="CS7" s="82"/>
    </row>
    <row r="8" spans="1:97" x14ac:dyDescent="0.2">
      <c r="A8" s="2">
        <v>4</v>
      </c>
      <c r="B8" s="47" t="s">
        <v>3354</v>
      </c>
      <c r="C8" s="47" t="s">
        <v>3359</v>
      </c>
      <c r="D8" s="47" t="s">
        <v>3360</v>
      </c>
      <c r="E8" s="10">
        <v>41.947634088106113</v>
      </c>
      <c r="F8" s="10">
        <v>38.926537864102855</v>
      </c>
      <c r="G8" s="10">
        <v>38.381422007723174</v>
      </c>
      <c r="H8" s="10">
        <v>39.841292560861227</v>
      </c>
      <c r="I8" s="48">
        <f t="shared" si="19"/>
        <v>2474.2311142530857</v>
      </c>
      <c r="J8" s="48">
        <f t="shared" si="20"/>
        <v>2499.2243304014501</v>
      </c>
      <c r="K8" s="48">
        <f t="shared" si="0"/>
        <v>2379.0799058250554</v>
      </c>
      <c r="L8" s="48">
        <f t="shared" si="1"/>
        <v>2400.8266725437907</v>
      </c>
      <c r="M8" s="49">
        <f t="shared" si="21"/>
        <v>1.2912251799891608</v>
      </c>
      <c r="N8" s="49">
        <f t="shared" si="22"/>
        <v>1.3042683714007368</v>
      </c>
      <c r="O8" s="49">
        <f t="shared" si="2"/>
        <v>1.2415686885155426</v>
      </c>
      <c r="P8" s="49">
        <f t="shared" si="3"/>
        <v>1.2529176577402943</v>
      </c>
      <c r="R8" s="76" t="s">
        <v>3361</v>
      </c>
      <c r="S8" s="77" t="s">
        <v>215</v>
      </c>
      <c r="T8" s="47" t="s">
        <v>3355</v>
      </c>
      <c r="U8" s="71">
        <v>29.385634764373524</v>
      </c>
      <c r="V8" s="12">
        <f t="shared" si="36"/>
        <v>7.5316627881722635E-4</v>
      </c>
      <c r="W8" s="54">
        <f t="shared" ref="W8:AD8" si="49">AVERAGE(I11:I12)</f>
        <v>14376.122102239427</v>
      </c>
      <c r="X8" s="54">
        <f t="shared" si="49"/>
        <v>15248.694240038454</v>
      </c>
      <c r="Y8" s="54">
        <f t="shared" si="49"/>
        <v>15358.025831411465</v>
      </c>
      <c r="Z8" s="54">
        <f t="shared" si="49"/>
        <v>14894.314231380507</v>
      </c>
      <c r="AA8" s="78">
        <f t="shared" si="49"/>
        <v>7.5024563154497201</v>
      </c>
      <c r="AB8" s="78">
        <f t="shared" si="49"/>
        <v>7.9578248981147217</v>
      </c>
      <c r="AC8" s="78">
        <f t="shared" si="49"/>
        <v>8.0148816956531093</v>
      </c>
      <c r="AD8" s="78">
        <f t="shared" si="49"/>
        <v>7.7728848624697271</v>
      </c>
      <c r="AE8" s="73">
        <f t="shared" si="38"/>
        <v>13.811386946956466</v>
      </c>
      <c r="AF8" s="73">
        <f t="shared" si="24"/>
        <v>13.896398088187258</v>
      </c>
      <c r="AG8" s="73">
        <f t="shared" si="24"/>
        <v>13.906705159001875</v>
      </c>
      <c r="AH8" s="73">
        <f t="shared" si="24"/>
        <v>13.862474079655035</v>
      </c>
      <c r="AI8" s="72">
        <f t="shared" si="24"/>
        <v>2.9073630134680104</v>
      </c>
      <c r="AJ8" s="72">
        <f t="shared" si="24"/>
        <v>2.9923741546988034</v>
      </c>
      <c r="AK8" s="72">
        <f t="shared" si="24"/>
        <v>3.0026812255134212</v>
      </c>
      <c r="AL8" s="72">
        <f t="shared" si="24"/>
        <v>2.9584501461665798</v>
      </c>
      <c r="AM8" s="54">
        <f t="shared" si="39"/>
        <v>14969.289101267465</v>
      </c>
      <c r="AN8" s="54">
        <f t="shared" si="40"/>
        <v>195550.59892839301</v>
      </c>
      <c r="AO8" s="54">
        <f t="shared" si="41"/>
        <v>442.21103438108935</v>
      </c>
      <c r="AP8" s="54">
        <f t="shared" si="42"/>
        <v>433.35885047656927</v>
      </c>
      <c r="AQ8" s="72">
        <f t="shared" si="43"/>
        <v>7.8120119429218198</v>
      </c>
      <c r="AR8" s="74">
        <f t="shared" si="44"/>
        <v>5.3257723133230545E-2</v>
      </c>
      <c r="AS8" s="74">
        <f t="shared" si="45"/>
        <v>0.23077634873017328</v>
      </c>
      <c r="AT8" s="75">
        <f t="shared" si="46"/>
        <v>0.22615666599739767</v>
      </c>
      <c r="AU8" s="2">
        <v>-1629</v>
      </c>
      <c r="AV8" s="53">
        <v>6</v>
      </c>
      <c r="AW8" s="4" t="s">
        <v>1688</v>
      </c>
      <c r="AX8" t="s">
        <v>1689</v>
      </c>
      <c r="AY8" s="4">
        <v>12793</v>
      </c>
      <c r="AZ8" s="9">
        <v>16.434747665472035</v>
      </c>
      <c r="BA8" s="7">
        <f t="shared" si="25"/>
        <v>4.2122955116527191E-4</v>
      </c>
      <c r="BB8" s="54">
        <f t="shared" si="4"/>
        <v>3.4290326796541133</v>
      </c>
      <c r="BC8" s="55">
        <f t="shared" si="5"/>
        <v>0.10638524030466674</v>
      </c>
      <c r="BD8" s="55">
        <f t="shared" si="6"/>
        <v>0.32616750344672096</v>
      </c>
      <c r="BE8" s="55">
        <f t="shared" si="7"/>
        <v>0.31963827984145843</v>
      </c>
      <c r="BF8" s="56">
        <f t="shared" si="8"/>
        <v>1.7895067738292912E-3</v>
      </c>
      <c r="BG8" s="56">
        <f t="shared" si="26"/>
        <v>2.8973757711082863E-8</v>
      </c>
      <c r="BH8" s="56">
        <f t="shared" si="27"/>
        <v>1.7021679620731576E-4</v>
      </c>
      <c r="BI8" s="56">
        <f t="shared" si="9"/>
        <v>1.6680939506506643E-4</v>
      </c>
      <c r="BJ8" s="57">
        <f t="shared" si="28"/>
        <v>7.2843888124992054E-5</v>
      </c>
      <c r="BK8" s="57">
        <f t="shared" si="29"/>
        <v>6.9288663453268929E-6</v>
      </c>
      <c r="BL8" s="58">
        <f t="shared" si="30"/>
        <v>0.12852675501589281</v>
      </c>
      <c r="BM8" s="58">
        <f t="shared" si="30"/>
        <v>1.2225386785719317E-2</v>
      </c>
      <c r="BN8" s="226"/>
      <c r="BO8" s="47" t="s">
        <v>3362</v>
      </c>
      <c r="BP8" s="77" t="s">
        <v>625</v>
      </c>
      <c r="BQ8" s="60">
        <f t="shared" si="10"/>
        <v>21505</v>
      </c>
      <c r="BR8" s="61">
        <f t="shared" si="11"/>
        <v>17117.177132901594</v>
      </c>
      <c r="BS8" s="61">
        <f t="shared" si="12"/>
        <v>3132274.9090114241</v>
      </c>
      <c r="BT8" s="62">
        <f t="shared" si="31"/>
        <v>0.20451433424918447</v>
      </c>
      <c r="BU8" s="62">
        <f t="shared" si="32"/>
        <v>209399.32350988159</v>
      </c>
      <c r="BV8" s="63">
        <f t="shared" si="13"/>
        <v>9.5100829690390361E-3</v>
      </c>
      <c r="BW8" s="63">
        <f t="shared" si="14"/>
        <v>94813822.269902557</v>
      </c>
      <c r="BX8" s="64">
        <f t="shared" si="33"/>
        <v>2.9289707125109881</v>
      </c>
      <c r="BY8" s="47" t="s">
        <v>3362</v>
      </c>
      <c r="BZ8" s="65">
        <f t="shared" si="15"/>
        <v>17117.177132901594</v>
      </c>
      <c r="CA8" s="65">
        <f t="shared" si="15"/>
        <v>3132274.9090114241</v>
      </c>
      <c r="CB8" s="65">
        <f t="shared" si="16"/>
        <v>1769.8234118158298</v>
      </c>
      <c r="CC8" s="66">
        <f t="shared" si="17"/>
        <v>0.20451433424918447</v>
      </c>
      <c r="CD8" s="66">
        <f t="shared" si="17"/>
        <v>209399.32350988159</v>
      </c>
      <c r="CE8" s="67">
        <f t="shared" si="17"/>
        <v>9.5100829690390361E-3</v>
      </c>
      <c r="CF8" s="67">
        <f t="shared" si="17"/>
        <v>94813822.269902557</v>
      </c>
      <c r="CG8" s="68">
        <f t="shared" si="18"/>
        <v>9737.238944891029</v>
      </c>
      <c r="CI8" s="9"/>
      <c r="CJ8" s="69" t="s">
        <v>3363</v>
      </c>
      <c r="CK8" s="80">
        <f>SUM(BF1536:BF1636)/SUM(BF3:BF1636)</f>
        <v>0.90439582014012332</v>
      </c>
      <c r="CL8" s="80"/>
      <c r="CM8" s="216"/>
      <c r="CN8" s="2" t="s">
        <v>3364</v>
      </c>
      <c r="CO8" s="2" t="s">
        <v>420</v>
      </c>
      <c r="CP8" s="9">
        <f t="shared" si="34"/>
        <v>1.4286314356858953E-2</v>
      </c>
      <c r="CQ8" s="9">
        <f t="shared" si="35"/>
        <v>1976.4385657123607</v>
      </c>
      <c r="CR8" s="2" t="s">
        <v>3365</v>
      </c>
    </row>
    <row r="9" spans="1:97" x14ac:dyDescent="0.2">
      <c r="A9" s="2">
        <v>4</v>
      </c>
      <c r="B9" s="47" t="s">
        <v>3354</v>
      </c>
      <c r="C9" s="47" t="s">
        <v>3359</v>
      </c>
      <c r="D9" s="47" t="s">
        <v>3366</v>
      </c>
      <c r="E9" s="10">
        <v>29.884187247083055</v>
      </c>
      <c r="F9" s="10">
        <v>27.41335456122771</v>
      </c>
      <c r="G9" s="10">
        <v>27.02021246957133</v>
      </c>
      <c r="H9" s="10">
        <v>28.084049541976729</v>
      </c>
      <c r="I9" s="48">
        <f t="shared" si="19"/>
        <v>1762.6831052162565</v>
      </c>
      <c r="J9" s="48">
        <f t="shared" si="20"/>
        <v>1760.0363776641473</v>
      </c>
      <c r="K9" s="48">
        <f t="shared" si="0"/>
        <v>1674.8531235905109</v>
      </c>
      <c r="L9" s="48">
        <f t="shared" si="1"/>
        <v>1692.3380462724999</v>
      </c>
      <c r="M9" s="49">
        <f t="shared" si="21"/>
        <v>0.91989014150110759</v>
      </c>
      <c r="N9" s="49">
        <f t="shared" si="22"/>
        <v>0.91850889573139449</v>
      </c>
      <c r="O9" s="49">
        <f t="shared" si="2"/>
        <v>0.87405437329827207</v>
      </c>
      <c r="P9" s="49">
        <f t="shared" si="3"/>
        <v>0.88317921709604441</v>
      </c>
      <c r="R9" s="76" t="s">
        <v>3367</v>
      </c>
      <c r="S9" s="77" t="s">
        <v>625</v>
      </c>
      <c r="T9" s="47" t="s">
        <v>3362</v>
      </c>
      <c r="U9" s="71">
        <v>30.614972619032741</v>
      </c>
      <c r="V9" s="12">
        <f t="shared" si="36"/>
        <v>7.8467472928382546E-4</v>
      </c>
      <c r="W9" s="54">
        <f t="shared" ref="W9:AD9" si="50">AVERAGE(I13:I14)</f>
        <v>18220.324587670751</v>
      </c>
      <c r="X9" s="54">
        <f t="shared" si="50"/>
        <v>18874.857842897585</v>
      </c>
      <c r="Y9" s="54">
        <f t="shared" si="50"/>
        <v>14980.26462602615</v>
      </c>
      <c r="Z9" s="54">
        <f t="shared" si="50"/>
        <v>16393.261475011881</v>
      </c>
      <c r="AA9" s="78">
        <f t="shared" si="50"/>
        <v>9.5086274518369862</v>
      </c>
      <c r="AB9" s="78">
        <f t="shared" si="50"/>
        <v>9.8502082424998214</v>
      </c>
      <c r="AC9" s="78">
        <f t="shared" si="50"/>
        <v>7.8177397319914714</v>
      </c>
      <c r="AD9" s="78">
        <f t="shared" si="50"/>
        <v>8.5551393629901664</v>
      </c>
      <c r="AE9" s="73">
        <f t="shared" si="38"/>
        <v>14.153261039943628</v>
      </c>
      <c r="AF9" s="73">
        <f t="shared" si="24"/>
        <v>14.204178158285497</v>
      </c>
      <c r="AG9" s="73">
        <f t="shared" si="24"/>
        <v>13.870775488745553</v>
      </c>
      <c r="AH9" s="73">
        <f t="shared" si="24"/>
        <v>14.000815289857986</v>
      </c>
      <c r="AI9" s="72">
        <f t="shared" si="24"/>
        <v>3.2492371064551735</v>
      </c>
      <c r="AJ9" s="72">
        <f t="shared" si="24"/>
        <v>3.3001542247970428</v>
      </c>
      <c r="AK9" s="72">
        <f t="shared" si="24"/>
        <v>2.9667515552570967</v>
      </c>
      <c r="AL9" s="72">
        <f t="shared" si="24"/>
        <v>3.0967913563695308</v>
      </c>
      <c r="AM9" s="54">
        <f t="shared" si="39"/>
        <v>17117.177132901594</v>
      </c>
      <c r="AN9" s="54">
        <f t="shared" si="40"/>
        <v>3132274.9090114241</v>
      </c>
      <c r="AO9" s="54">
        <f t="shared" si="41"/>
        <v>1769.8234118158298</v>
      </c>
      <c r="AP9" s="54">
        <f t="shared" si="42"/>
        <v>1734.3950730774129</v>
      </c>
      <c r="AQ9" s="72">
        <f t="shared" si="43"/>
        <v>8.9329286973296114</v>
      </c>
      <c r="AR9" s="74">
        <f t="shared" si="44"/>
        <v>0.85306734316053401</v>
      </c>
      <c r="AS9" s="74">
        <f t="shared" si="45"/>
        <v>0.92361644807816956</v>
      </c>
      <c r="AT9" s="75">
        <f t="shared" si="46"/>
        <v>0.90512748688101041</v>
      </c>
      <c r="AU9" s="2">
        <v>-1628</v>
      </c>
      <c r="AV9" s="53">
        <v>7</v>
      </c>
      <c r="AW9" s="4" t="s">
        <v>3203</v>
      </c>
      <c r="AX9" t="s">
        <v>3204</v>
      </c>
      <c r="AY9" s="5">
        <v>89562.934999999998</v>
      </c>
      <c r="AZ9" s="9">
        <v>16.492145279277604</v>
      </c>
      <c r="BA9" s="7">
        <f t="shared" si="25"/>
        <v>4.2270067634427738E-4</v>
      </c>
      <c r="BB9" s="54">
        <f t="shared" si="4"/>
        <v>3.5594777956782662</v>
      </c>
      <c r="BC9" s="55">
        <f t="shared" si="5"/>
        <v>0.11374022616954854</v>
      </c>
      <c r="BD9" s="55">
        <f t="shared" si="6"/>
        <v>0.33725394907924877</v>
      </c>
      <c r="BE9" s="55">
        <f t="shared" si="7"/>
        <v>0.33050279691961637</v>
      </c>
      <c r="BF9" s="56">
        <f t="shared" si="8"/>
        <v>1.8575820710182689E-3</v>
      </c>
      <c r="BG9" s="56">
        <f t="shared" si="26"/>
        <v>3.0976869964316737E-8</v>
      </c>
      <c r="BH9" s="56">
        <f t="shared" si="27"/>
        <v>1.7600247147218342E-4</v>
      </c>
      <c r="BI9" s="56">
        <f t="shared" si="9"/>
        <v>1.7247925263775887E-4</v>
      </c>
      <c r="BJ9" s="57">
        <f t="shared" si="28"/>
        <v>5.2937533185586669E-4</v>
      </c>
      <c r="BK9" s="57">
        <f t="shared" si="29"/>
        <v>5.0157335278309484E-5</v>
      </c>
      <c r="BL9" s="58">
        <f t="shared" si="30"/>
        <v>0.93403709412310221</v>
      </c>
      <c r="BM9" s="58">
        <f t="shared" si="30"/>
        <v>8.84982901036762E-2</v>
      </c>
      <c r="BN9" s="226"/>
      <c r="BO9" s="47" t="s">
        <v>3368</v>
      </c>
      <c r="BP9" s="77" t="s">
        <v>101</v>
      </c>
      <c r="BQ9" s="60">
        <f t="shared" si="10"/>
        <v>36102</v>
      </c>
      <c r="BR9" s="61">
        <f t="shared" si="11"/>
        <v>75032.216621009269</v>
      </c>
      <c r="BS9" s="61">
        <f t="shared" si="12"/>
        <v>7572418.889904392</v>
      </c>
      <c r="BT9" s="62">
        <f t="shared" si="31"/>
        <v>0.71882534863446046</v>
      </c>
      <c r="BU9" s="62">
        <f>(VLOOKUP($BP9,$AX$2:$BM$1636,15,FALSE))</f>
        <v>546580.92161239183</v>
      </c>
      <c r="BV9" s="63">
        <f t="shared" si="13"/>
        <v>1.9910956418881513E-2</v>
      </c>
      <c r="BW9" s="63">
        <f t="shared" si="14"/>
        <v>229216783.21244353</v>
      </c>
      <c r="BX9" s="64">
        <f t="shared" si="33"/>
        <v>6.1322922627329648</v>
      </c>
      <c r="BY9" s="47" t="s">
        <v>3368</v>
      </c>
      <c r="BZ9" s="65">
        <f t="shared" si="15"/>
        <v>75032.216621009269</v>
      </c>
      <c r="CA9" s="65">
        <f t="shared" si="15"/>
        <v>7572418.889904392</v>
      </c>
      <c r="CB9" s="65">
        <f t="shared" si="16"/>
        <v>2751.8028435744432</v>
      </c>
      <c r="CC9" s="66">
        <f t="shared" si="17"/>
        <v>0.71882534863446046</v>
      </c>
      <c r="CD9" s="66">
        <f t="shared" si="17"/>
        <v>546580.92161239183</v>
      </c>
      <c r="CE9" s="67">
        <f t="shared" si="17"/>
        <v>1.9910956418881513E-2</v>
      </c>
      <c r="CF9" s="67">
        <f t="shared" si="17"/>
        <v>229216783.21244353</v>
      </c>
      <c r="CG9" s="68">
        <f t="shared" si="18"/>
        <v>15139.906975026086</v>
      </c>
      <c r="CI9" s="9"/>
      <c r="CJ9" s="69" t="s">
        <v>3369</v>
      </c>
      <c r="CK9" s="82">
        <f>SUM(BZ4:BZ13)</f>
        <v>267719.4989558396</v>
      </c>
      <c r="CL9" s="80"/>
      <c r="CM9" s="216"/>
      <c r="CN9" s="2" t="s">
        <v>3370</v>
      </c>
      <c r="CO9" s="2" t="s">
        <v>1044</v>
      </c>
      <c r="CP9" s="9">
        <f t="shared" si="34"/>
        <v>7.6718248160633712E-3</v>
      </c>
      <c r="CQ9" s="9">
        <f t="shared" si="35"/>
        <v>650.43270318081284</v>
      </c>
      <c r="CR9" s="2" t="s">
        <v>3371</v>
      </c>
    </row>
    <row r="10" spans="1:97" x14ac:dyDescent="0.2">
      <c r="A10" s="2">
        <v>4</v>
      </c>
      <c r="B10" s="47" t="s">
        <v>3354</v>
      </c>
      <c r="C10" s="47" t="s">
        <v>3359</v>
      </c>
      <c r="D10" s="47" t="s">
        <v>3372</v>
      </c>
      <c r="E10" s="10">
        <v>67.320363559336428</v>
      </c>
      <c r="F10" s="10">
        <v>60.676231301190285</v>
      </c>
      <c r="G10" s="10">
        <v>53.414873754727807</v>
      </c>
      <c r="H10" s="10">
        <v>58.948173160511971</v>
      </c>
      <c r="I10" s="48">
        <f t="shared" si="19"/>
        <v>3970.8112689141676</v>
      </c>
      <c r="J10" s="48">
        <f t="shared" si="20"/>
        <v>3895.6332072070272</v>
      </c>
      <c r="K10" s="48">
        <f t="shared" si="0"/>
        <v>3310.9313353862749</v>
      </c>
      <c r="L10" s="48">
        <f t="shared" si="1"/>
        <v>3552.2026853244215</v>
      </c>
      <c r="M10" s="49">
        <f t="shared" si="21"/>
        <v>2.0722443695218318</v>
      </c>
      <c r="N10" s="49">
        <f t="shared" si="22"/>
        <v>2.0330112495033155</v>
      </c>
      <c r="O10" s="49">
        <f t="shared" si="2"/>
        <v>1.7278733117688034</v>
      </c>
      <c r="P10" s="49">
        <f t="shared" si="3"/>
        <v>1.8537854145046695</v>
      </c>
      <c r="R10" s="76" t="s">
        <v>3373</v>
      </c>
      <c r="S10" s="77" t="s">
        <v>101</v>
      </c>
      <c r="T10" s="47" t="s">
        <v>3368</v>
      </c>
      <c r="U10" s="71">
        <v>30.593138856548002</v>
      </c>
      <c r="V10" s="12">
        <f t="shared" si="36"/>
        <v>7.8411512069360544E-4</v>
      </c>
      <c r="W10" s="54">
        <f t="shared" ref="W10:AD10" si="51">AVERAGE(I15:I16)</f>
        <v>72401.515674901821</v>
      </c>
      <c r="X10" s="54">
        <f t="shared" si="51"/>
        <v>72924.747872031498</v>
      </c>
      <c r="Y10" s="54">
        <f t="shared" si="51"/>
        <v>77146.234179162901</v>
      </c>
      <c r="Z10" s="54">
        <f t="shared" si="51"/>
        <v>77656.368757940887</v>
      </c>
      <c r="AA10" s="78">
        <f t="shared" si="51"/>
        <v>37.784125973629862</v>
      </c>
      <c r="AB10" s="78">
        <f t="shared" si="51"/>
        <v>38.057184777240792</v>
      </c>
      <c r="AC10" s="78">
        <f t="shared" si="51"/>
        <v>40.260248745415417</v>
      </c>
      <c r="AD10" s="78">
        <f t="shared" si="51"/>
        <v>40.52647230452709</v>
      </c>
      <c r="AE10" s="73">
        <f t="shared" si="38"/>
        <v>16.143732278981911</v>
      </c>
      <c r="AF10" s="73">
        <f t="shared" si="24"/>
        <v>16.15412087274834</v>
      </c>
      <c r="AG10" s="73">
        <f t="shared" si="24"/>
        <v>16.235308114263201</v>
      </c>
      <c r="AH10" s="73">
        <f t="shared" si="24"/>
        <v>16.244816627390836</v>
      </c>
      <c r="AI10" s="72">
        <f t="shared" si="24"/>
        <v>5.2397083454934572</v>
      </c>
      <c r="AJ10" s="72">
        <f t="shared" si="24"/>
        <v>5.2500969392598869</v>
      </c>
      <c r="AK10" s="72">
        <f t="shared" si="24"/>
        <v>5.3312841807747491</v>
      </c>
      <c r="AL10" s="72">
        <f t="shared" si="24"/>
        <v>5.3407926939023822</v>
      </c>
      <c r="AM10" s="54">
        <f t="shared" si="39"/>
        <v>75032.216621009269</v>
      </c>
      <c r="AN10" s="54">
        <f t="shared" si="40"/>
        <v>7572418.889904392</v>
      </c>
      <c r="AO10" s="54">
        <f t="shared" si="41"/>
        <v>2751.8028435744432</v>
      </c>
      <c r="AP10" s="54">
        <f t="shared" si="42"/>
        <v>2696.7172329804075</v>
      </c>
      <c r="AQ10" s="72">
        <f t="shared" si="43"/>
        <v>39.157007950203294</v>
      </c>
      <c r="AR10" s="74">
        <f t="shared" si="44"/>
        <v>2.0623296011230825</v>
      </c>
      <c r="AS10" s="74">
        <f t="shared" si="45"/>
        <v>1.4360813351349855</v>
      </c>
      <c r="AT10" s="75">
        <f t="shared" si="46"/>
        <v>1.4073338478673831</v>
      </c>
      <c r="AU10" s="2">
        <v>-1627</v>
      </c>
      <c r="AV10" s="53">
        <v>8</v>
      </c>
      <c r="AW10" s="4" t="s">
        <v>1474</v>
      </c>
      <c r="AX10" t="s">
        <v>1475</v>
      </c>
      <c r="AY10" s="4">
        <v>28270</v>
      </c>
      <c r="AZ10" s="9">
        <v>16.559352192907369</v>
      </c>
      <c r="BA10" s="7">
        <f t="shared" si="25"/>
        <v>4.2442321803701932E-4</v>
      </c>
      <c r="BB10" s="54">
        <f t="shared" si="4"/>
        <v>3.7185370480184932</v>
      </c>
      <c r="BC10" s="55">
        <f t="shared" si="5"/>
        <v>0.12299596429753368</v>
      </c>
      <c r="BD10" s="55">
        <f t="shared" si="6"/>
        <v>0.35070780472857127</v>
      </c>
      <c r="BE10" s="55">
        <f t="shared" si="7"/>
        <v>0.34368733318255279</v>
      </c>
      <c r="BF10" s="56">
        <f t="shared" si="8"/>
        <v>1.9405902065755447E-3</v>
      </c>
      <c r="BG10" s="56">
        <f t="shared" si="26"/>
        <v>3.3497647406652375E-8</v>
      </c>
      <c r="BH10" s="56">
        <f t="shared" si="27"/>
        <v>1.8302362526912303E-4</v>
      </c>
      <c r="BI10" s="56">
        <f t="shared" si="9"/>
        <v>1.7935985692371799E-4</v>
      </c>
      <c r="BJ10" s="57">
        <f t="shared" si="28"/>
        <v>1.7456091751870474E-4</v>
      </c>
      <c r="BK10" s="57">
        <f t="shared" si="29"/>
        <v>1.6463430479202508E-5</v>
      </c>
      <c r="BL10" s="58">
        <f t="shared" si="30"/>
        <v>0.30799767638403336</v>
      </c>
      <c r="BM10" s="58">
        <f t="shared" si="30"/>
        <v>2.9048302477907777E-2</v>
      </c>
      <c r="BN10" s="226"/>
      <c r="BO10" s="47" t="s">
        <v>3374</v>
      </c>
      <c r="BP10" s="77" t="s">
        <v>102</v>
      </c>
      <c r="BQ10" s="60">
        <f t="shared" si="10"/>
        <v>41388</v>
      </c>
      <c r="BR10" s="61">
        <f t="shared" si="11"/>
        <v>21317.323681485123</v>
      </c>
      <c r="BS10" s="61">
        <f t="shared" si="12"/>
        <v>187897.52738363683</v>
      </c>
      <c r="BT10" s="62">
        <f t="shared" si="31"/>
        <v>0.43924721202274314</v>
      </c>
      <c r="BU10" s="62">
        <f t="shared" si="32"/>
        <v>98705.389037049375</v>
      </c>
      <c r="BV10" s="63">
        <f t="shared" si="13"/>
        <v>1.0612912245644706E-2</v>
      </c>
      <c r="BW10" s="63">
        <f t="shared" si="14"/>
        <v>5687649.8020823374</v>
      </c>
      <c r="BX10" s="64">
        <f t="shared" si="33"/>
        <v>3.2686264928647204</v>
      </c>
      <c r="BY10" s="47" t="s">
        <v>3374</v>
      </c>
      <c r="BZ10" s="65">
        <f t="shared" si="15"/>
        <v>21317.323681485123</v>
      </c>
      <c r="CA10" s="65">
        <f t="shared" si="15"/>
        <v>187897.52738363683</v>
      </c>
      <c r="CB10" s="65">
        <f t="shared" si="16"/>
        <v>433.47148393364569</v>
      </c>
      <c r="CC10" s="66">
        <f t="shared" si="17"/>
        <v>0.43924721202274314</v>
      </c>
      <c r="CD10" s="66">
        <f t="shared" si="17"/>
        <v>98705.389037049375</v>
      </c>
      <c r="CE10" s="67">
        <f t="shared" si="17"/>
        <v>1.0612912245644706E-2</v>
      </c>
      <c r="CF10" s="67">
        <f t="shared" si="17"/>
        <v>5687649.8020823374</v>
      </c>
      <c r="CG10" s="68">
        <f t="shared" si="18"/>
        <v>2384.8794103858454</v>
      </c>
      <c r="CI10" s="9"/>
      <c r="CJ10" s="69" t="s">
        <v>3375</v>
      </c>
      <c r="CK10" s="83"/>
      <c r="CL10" s="80"/>
      <c r="CM10" s="216"/>
      <c r="CN10" s="2" t="s">
        <v>3376</v>
      </c>
      <c r="CO10" s="2" t="s">
        <v>1355</v>
      </c>
      <c r="CP10" s="9">
        <f t="shared" si="34"/>
        <v>1.103127465459501E-3</v>
      </c>
      <c r="CQ10" s="9">
        <f t="shared" si="35"/>
        <v>38.004170679776067</v>
      </c>
      <c r="CR10" s="2" t="s">
        <v>3377</v>
      </c>
    </row>
    <row r="11" spans="1:97" x14ac:dyDescent="0.2">
      <c r="A11" s="2">
        <v>5</v>
      </c>
      <c r="B11" s="47" t="s">
        <v>3361</v>
      </c>
      <c r="C11" s="47" t="s">
        <v>3378</v>
      </c>
      <c r="D11" s="47" t="s">
        <v>3379</v>
      </c>
      <c r="E11" s="10">
        <v>260.55205745864868</v>
      </c>
      <c r="F11" s="10">
        <v>256.76372545812109</v>
      </c>
      <c r="G11" s="10">
        <v>271.98866779556977</v>
      </c>
      <c r="H11" s="10">
        <v>262.24290341045958</v>
      </c>
      <c r="I11" s="48">
        <f t="shared" si="19"/>
        <v>15368.35202893209</v>
      </c>
      <c r="J11" s="48">
        <f t="shared" si="20"/>
        <v>16485.158584350356</v>
      </c>
      <c r="K11" s="48">
        <f t="shared" si="0"/>
        <v>16859.270457315502</v>
      </c>
      <c r="L11" s="48">
        <f t="shared" si="1"/>
        <v>15802.694057462744</v>
      </c>
      <c r="M11" s="49">
        <f t="shared" si="21"/>
        <v>8.0202706207924646</v>
      </c>
      <c r="N11" s="49">
        <f t="shared" si="22"/>
        <v>8.6030976401545374</v>
      </c>
      <c r="O11" s="49">
        <f t="shared" si="2"/>
        <v>8.7983351293780636</v>
      </c>
      <c r="P11" s="49">
        <f t="shared" si="3"/>
        <v>8.2469403772010743</v>
      </c>
      <c r="R11" s="76" t="s">
        <v>3380</v>
      </c>
      <c r="S11" s="77" t="s">
        <v>102</v>
      </c>
      <c r="T11" s="47" t="s">
        <v>3374</v>
      </c>
      <c r="U11" s="71">
        <v>29.680756423456479</v>
      </c>
      <c r="V11" s="12">
        <f t="shared" si="36"/>
        <v>7.6073037207409066E-4</v>
      </c>
      <c r="W11" s="54">
        <f t="shared" ref="W11:AD11" si="52">AVERAGE(I17:I19)</f>
        <v>21391.141228800694</v>
      </c>
      <c r="X11" s="54">
        <f t="shared" si="52"/>
        <v>21807.719578052885</v>
      </c>
      <c r="Y11" s="54">
        <f t="shared" si="52"/>
        <v>21316.807985110117</v>
      </c>
      <c r="Z11" s="54">
        <f t="shared" si="52"/>
        <v>20753.625933976786</v>
      </c>
      <c r="AA11" s="78">
        <f t="shared" si="52"/>
        <v>11.163379210704747</v>
      </c>
      <c r="AB11" s="78">
        <f t="shared" si="52"/>
        <v>11.380778648814685</v>
      </c>
      <c r="AC11" s="78">
        <f t="shared" si="52"/>
        <v>11.124586975245968</v>
      </c>
      <c r="AD11" s="78">
        <f t="shared" si="52"/>
        <v>10.830679570577013</v>
      </c>
      <c r="AE11" s="73">
        <f t="shared" si="38"/>
        <v>14.384725832656013</v>
      </c>
      <c r="AF11" s="73">
        <f t="shared" si="24"/>
        <v>14.412551295541748</v>
      </c>
      <c r="AG11" s="73">
        <f t="shared" si="24"/>
        <v>14.379703802223325</v>
      </c>
      <c r="AH11" s="73">
        <f t="shared" si="24"/>
        <v>14.341075796007445</v>
      </c>
      <c r="AI11" s="72">
        <f t="shared" si="24"/>
        <v>3.4807018991675589</v>
      </c>
      <c r="AJ11" s="72">
        <f t="shared" si="24"/>
        <v>3.508527362053294</v>
      </c>
      <c r="AK11" s="72">
        <f t="shared" si="24"/>
        <v>3.4756798687348711</v>
      </c>
      <c r="AL11" s="72">
        <f t="shared" si="24"/>
        <v>3.4370518625189908</v>
      </c>
      <c r="AM11" s="54">
        <f t="shared" si="39"/>
        <v>21317.323681485123</v>
      </c>
      <c r="AN11" s="54">
        <f t="shared" si="40"/>
        <v>187897.52738363683</v>
      </c>
      <c r="AO11" s="54">
        <f t="shared" si="41"/>
        <v>433.47148393364569</v>
      </c>
      <c r="AP11" s="54">
        <f t="shared" si="42"/>
        <v>424.79424841753899</v>
      </c>
      <c r="AQ11" s="72">
        <f t="shared" si="43"/>
        <v>11.124856101335602</v>
      </c>
      <c r="AR11" s="74">
        <f t="shared" si="44"/>
        <v>5.1173427980553889E-2</v>
      </c>
      <c r="AS11" s="74">
        <f t="shared" si="45"/>
        <v>0.22621544593717266</v>
      </c>
      <c r="AT11" s="75">
        <f t="shared" si="46"/>
        <v>0.221687063391763</v>
      </c>
      <c r="AU11" s="2">
        <v>-1626</v>
      </c>
      <c r="AV11" s="53">
        <v>9</v>
      </c>
      <c r="AW11" s="4" t="s">
        <v>3259</v>
      </c>
      <c r="AX11" t="s">
        <v>3260</v>
      </c>
      <c r="AY11" s="5">
        <v>33171.999999999993</v>
      </c>
      <c r="AZ11" s="9">
        <v>16.573015949224278</v>
      </c>
      <c r="BA11" s="7">
        <f t="shared" si="25"/>
        <v>4.2477342590499257E-4</v>
      </c>
      <c r="BB11" s="54">
        <f t="shared" si="4"/>
        <v>3.7517345767762973</v>
      </c>
      <c r="BC11" s="55">
        <f t="shared" si="5"/>
        <v>0.12496727359704191</v>
      </c>
      <c r="BD11" s="55">
        <f t="shared" si="6"/>
        <v>0.35350710544067132</v>
      </c>
      <c r="BE11" s="55">
        <f t="shared" si="7"/>
        <v>0.34643059747135951</v>
      </c>
      <c r="BF11" s="56">
        <f t="shared" si="8"/>
        <v>1.9579149766014979E-3</v>
      </c>
      <c r="BG11" s="56">
        <f t="shared" si="26"/>
        <v>3.4034528630532678E-8</v>
      </c>
      <c r="BH11" s="56">
        <f t="shared" si="27"/>
        <v>1.8448449428212844E-4</v>
      </c>
      <c r="BI11" s="56">
        <f t="shared" si="9"/>
        <v>1.8079148224952861E-4</v>
      </c>
      <c r="BJ11" s="57">
        <f t="shared" si="28"/>
        <v>2.0665830227819179E-4</v>
      </c>
      <c r="BK11" s="57">
        <f t="shared" si="29"/>
        <v>1.94723738469851E-5</v>
      </c>
      <c r="BL11" s="58">
        <f t="shared" si="30"/>
        <v>0.3646307421610106</v>
      </c>
      <c r="BM11" s="58">
        <f t="shared" si="30"/>
        <v>3.4357323413529761E-2</v>
      </c>
      <c r="BN11" s="226"/>
      <c r="BO11" s="47" t="s">
        <v>3381</v>
      </c>
      <c r="BP11" s="77" t="s">
        <v>790</v>
      </c>
      <c r="BQ11" s="60">
        <f t="shared" si="10"/>
        <v>25938</v>
      </c>
      <c r="BR11" s="61">
        <f t="shared" si="11"/>
        <v>23295.586447442725</v>
      </c>
      <c r="BS11" s="61">
        <f t="shared" si="12"/>
        <v>113952.15855501864</v>
      </c>
      <c r="BT11" s="62">
        <f t="shared" si="31"/>
        <v>0.28776736713026074</v>
      </c>
      <c r="BU11" s="62">
        <f t="shared" si="32"/>
        <v>48172.99585038807</v>
      </c>
      <c r="BV11" s="63">
        <f t="shared" si="13"/>
        <v>1.1094431611159715E-2</v>
      </c>
      <c r="BW11" s="63">
        <f t="shared" si="14"/>
        <v>3449326.774423263</v>
      </c>
      <c r="BX11" s="64">
        <f t="shared" si="33"/>
        <v>3.4169276300568865</v>
      </c>
      <c r="BY11" s="47" t="s">
        <v>3381</v>
      </c>
      <c r="BZ11" s="65">
        <f t="shared" si="15"/>
        <v>23295.586447442725</v>
      </c>
      <c r="CA11" s="65">
        <f t="shared" si="15"/>
        <v>113952.15855501864</v>
      </c>
      <c r="CB11" s="65">
        <f t="shared" si="16"/>
        <v>337.56800582255812</v>
      </c>
      <c r="CC11" s="66">
        <f t="shared" si="17"/>
        <v>0.28776736713026074</v>
      </c>
      <c r="CD11" s="66">
        <f t="shared" si="17"/>
        <v>48172.99585038807</v>
      </c>
      <c r="CE11" s="67">
        <f t="shared" si="17"/>
        <v>1.1094431611159715E-2</v>
      </c>
      <c r="CF11" s="67">
        <f t="shared" si="17"/>
        <v>3449326.774423263</v>
      </c>
      <c r="CG11" s="68">
        <f t="shared" si="18"/>
        <v>1857.236327025525</v>
      </c>
      <c r="CI11" s="9"/>
      <c r="CJ11" s="69" t="s">
        <v>3382</v>
      </c>
      <c r="CK11" s="84">
        <f>BX9/SUM(BX4:BX13)</f>
        <v>0.18067259821396001</v>
      </c>
      <c r="CL11" s="82"/>
      <c r="CM11" s="216"/>
      <c r="CN11" s="2" t="s">
        <v>3383</v>
      </c>
      <c r="CO11" s="2" t="s">
        <v>1122</v>
      </c>
      <c r="CP11" s="9">
        <f t="shared" si="34"/>
        <v>2.9465652450679863E-3</v>
      </c>
      <c r="CQ11" s="9">
        <f t="shared" si="35"/>
        <v>209.11339582989632</v>
      </c>
      <c r="CR11" s="2" t="s">
        <v>3384</v>
      </c>
      <c r="CS11" s="10"/>
    </row>
    <row r="12" spans="1:97" x14ac:dyDescent="0.2">
      <c r="A12" s="2">
        <v>5</v>
      </c>
      <c r="B12" s="47" t="s">
        <v>3361</v>
      </c>
      <c r="C12" s="47" t="s">
        <v>3378</v>
      </c>
      <c r="D12" s="47" t="s">
        <v>3385</v>
      </c>
      <c r="E12" s="10">
        <v>226.90791026770472</v>
      </c>
      <c r="F12" s="10">
        <v>218.24675398742551</v>
      </c>
      <c r="G12" s="10">
        <v>223.54985463711307</v>
      </c>
      <c r="H12" s="10">
        <v>232.09409939956396</v>
      </c>
      <c r="I12" s="48">
        <f t="shared" si="19"/>
        <v>13383.892175546767</v>
      </c>
      <c r="J12" s="48">
        <f t="shared" si="20"/>
        <v>14012.22989572655</v>
      </c>
      <c r="K12" s="48">
        <f t="shared" si="0"/>
        <v>13856.781205507428</v>
      </c>
      <c r="L12" s="48">
        <f t="shared" si="1"/>
        <v>13985.934405298269</v>
      </c>
      <c r="M12" s="49">
        <f t="shared" si="21"/>
        <v>6.9846420101069766</v>
      </c>
      <c r="N12" s="49">
        <f t="shared" si="22"/>
        <v>7.3125521560749061</v>
      </c>
      <c r="O12" s="49">
        <f t="shared" si="2"/>
        <v>7.231428261928154</v>
      </c>
      <c r="P12" s="49">
        <f t="shared" si="3"/>
        <v>7.2988293477383808</v>
      </c>
      <c r="R12" s="76" t="s">
        <v>3386</v>
      </c>
      <c r="S12" s="77" t="s">
        <v>790</v>
      </c>
      <c r="T12" s="47" t="s">
        <v>3381</v>
      </c>
      <c r="U12" s="71">
        <v>30.530396503549536</v>
      </c>
      <c r="V12" s="12">
        <f t="shared" si="36"/>
        <v>7.825070075828625E-4</v>
      </c>
      <c r="W12" s="54">
        <f t="shared" ref="W12:AD12" si="53">AVERAGE(I20:I22)</f>
        <v>23273.562881550955</v>
      </c>
      <c r="X12" s="54">
        <f t="shared" si="53"/>
        <v>23597.737858190405</v>
      </c>
      <c r="Y12" s="54">
        <f t="shared" si="53"/>
        <v>22830.837940793524</v>
      </c>
      <c r="Z12" s="54">
        <f t="shared" si="53"/>
        <v>23480.207109236013</v>
      </c>
      <c r="AA12" s="78">
        <f t="shared" si="53"/>
        <v>12.145757220336115</v>
      </c>
      <c r="AB12" s="78">
        <f t="shared" si="53"/>
        <v>12.314934178037424</v>
      </c>
      <c r="AC12" s="78">
        <f t="shared" si="53"/>
        <v>11.9147126796616</v>
      </c>
      <c r="AD12" s="78">
        <f t="shared" si="53"/>
        <v>12.25359849213538</v>
      </c>
      <c r="AE12" s="73">
        <f t="shared" si="38"/>
        <v>14.506404465156457</v>
      </c>
      <c r="AF12" s="73">
        <f t="shared" si="24"/>
        <v>14.526360945187699</v>
      </c>
      <c r="AG12" s="73">
        <f t="shared" si="24"/>
        <v>14.478696190090716</v>
      </c>
      <c r="AH12" s="73">
        <f t="shared" si="24"/>
        <v>14.519157513472285</v>
      </c>
      <c r="AI12" s="72">
        <f t="shared" si="24"/>
        <v>3.6023805316680035</v>
      </c>
      <c r="AJ12" s="72">
        <f t="shared" si="24"/>
        <v>3.622337011699245</v>
      </c>
      <c r="AK12" s="72">
        <f t="shared" si="24"/>
        <v>3.5746722566022622</v>
      </c>
      <c r="AL12" s="72">
        <f t="shared" si="24"/>
        <v>3.6151335799838304</v>
      </c>
      <c r="AM12" s="54">
        <f t="shared" si="39"/>
        <v>23295.586447442725</v>
      </c>
      <c r="AN12" s="54">
        <f t="shared" si="40"/>
        <v>113952.15855501864</v>
      </c>
      <c r="AO12" s="54">
        <f t="shared" si="41"/>
        <v>337.56800582255812</v>
      </c>
      <c r="AP12" s="54">
        <f t="shared" si="42"/>
        <v>330.81056687261054</v>
      </c>
      <c r="AQ12" s="72">
        <f t="shared" si="43"/>
        <v>12.15725064254263</v>
      </c>
      <c r="AR12" s="74">
        <f t="shared" si="44"/>
        <v>3.1034589226594116E-2</v>
      </c>
      <c r="AS12" s="74">
        <f t="shared" si="45"/>
        <v>0.17616636803486105</v>
      </c>
      <c r="AT12" s="75">
        <f t="shared" si="46"/>
        <v>0.17263986831777789</v>
      </c>
      <c r="AU12" s="2">
        <v>-1625</v>
      </c>
      <c r="AV12" s="53">
        <v>10</v>
      </c>
      <c r="AW12" s="4" t="s">
        <v>2982</v>
      </c>
      <c r="AX12" t="s">
        <v>2983</v>
      </c>
      <c r="AY12" s="4">
        <v>31146</v>
      </c>
      <c r="AZ12" s="9">
        <v>16.596403317606654</v>
      </c>
      <c r="BA12" s="7">
        <f t="shared" si="25"/>
        <v>4.2537285407311364E-4</v>
      </c>
      <c r="BB12" s="54">
        <f t="shared" si="4"/>
        <v>3.8092459355047508</v>
      </c>
      <c r="BC12" s="55">
        <f t="shared" si="5"/>
        <v>0.12841449013487438</v>
      </c>
      <c r="BD12" s="55">
        <f t="shared" si="6"/>
        <v>0.35834967578452526</v>
      </c>
      <c r="BE12" s="55">
        <f t="shared" si="7"/>
        <v>0.35117622920463726</v>
      </c>
      <c r="BF12" s="56">
        <f t="shared" si="8"/>
        <v>1.9879283872719015E-3</v>
      </c>
      <c r="BG12" s="56">
        <f t="shared" si="26"/>
        <v>3.4973369549242342E-8</v>
      </c>
      <c r="BH12" s="56">
        <f t="shared" si="27"/>
        <v>1.8701168292179594E-4</v>
      </c>
      <c r="BI12" s="56">
        <f t="shared" si="9"/>
        <v>1.8326808160747213E-4</v>
      </c>
      <c r="BJ12" s="57">
        <f t="shared" si="28"/>
        <v>1.970109598022531E-4</v>
      </c>
      <c r="BK12" s="57">
        <f t="shared" si="29"/>
        <v>1.8533540434632542E-5</v>
      </c>
      <c r="BL12" s="58">
        <f t="shared" si="30"/>
        <v>0.34760883881571158</v>
      </c>
      <c r="BM12" s="58">
        <f t="shared" si="30"/>
        <v>3.27008328678422E-2</v>
      </c>
      <c r="BN12" s="226"/>
      <c r="BO12" s="47" t="s">
        <v>3387</v>
      </c>
      <c r="BP12" s="77" t="s">
        <v>1019</v>
      </c>
      <c r="BQ12" s="60">
        <f t="shared" si="10"/>
        <v>45743</v>
      </c>
      <c r="BR12" s="61">
        <f t="shared" si="11"/>
        <v>38160.143804970641</v>
      </c>
      <c r="BS12" s="61">
        <f t="shared" si="12"/>
        <v>2101318.0336850197</v>
      </c>
      <c r="BT12" s="62">
        <f t="shared" si="31"/>
        <v>0.64952800176409797</v>
      </c>
      <c r="BU12" s="62">
        <f t="shared" si="32"/>
        <v>364818.1438264476</v>
      </c>
      <c r="BV12" s="63">
        <f t="shared" si="13"/>
        <v>1.4199505973899787E-2</v>
      </c>
      <c r="BW12" s="63">
        <f t="shared" si="14"/>
        <v>63606803.478572302</v>
      </c>
      <c r="BX12" s="64">
        <f t="shared" si="33"/>
        <v>4.3732465074255629</v>
      </c>
      <c r="BY12" s="47" t="s">
        <v>3387</v>
      </c>
      <c r="BZ12" s="65">
        <f t="shared" si="15"/>
        <v>38160.143804970641</v>
      </c>
      <c r="CA12" s="65">
        <f t="shared" si="15"/>
        <v>2101318.0336850197</v>
      </c>
      <c r="CB12" s="65">
        <f t="shared" si="16"/>
        <v>1449.5923681107802</v>
      </c>
      <c r="CC12" s="66">
        <f t="shared" si="17"/>
        <v>0.64952800176409797</v>
      </c>
      <c r="CD12" s="66">
        <f t="shared" si="17"/>
        <v>364818.1438264476</v>
      </c>
      <c r="CE12" s="67">
        <f t="shared" si="17"/>
        <v>1.4199505973899787E-2</v>
      </c>
      <c r="CF12" s="67">
        <f t="shared" si="17"/>
        <v>63606803.478572302</v>
      </c>
      <c r="CG12" s="68">
        <f t="shared" si="18"/>
        <v>7975.3873560205402</v>
      </c>
      <c r="CI12" s="9"/>
      <c r="CJ12" s="69" t="s">
        <v>3388</v>
      </c>
      <c r="CK12" s="84">
        <f>BT13/SUM(BT4:BT13)</f>
        <v>0.18532214892637081</v>
      </c>
      <c r="CL12" s="83"/>
      <c r="CM12" s="216"/>
      <c r="CN12" s="2" t="s">
        <v>3389</v>
      </c>
      <c r="CO12" s="2" t="s">
        <v>812</v>
      </c>
      <c r="CP12" s="9">
        <f t="shared" si="34"/>
        <v>1.0100783800381537E-3</v>
      </c>
      <c r="CQ12" s="9">
        <f t="shared" si="35"/>
        <v>33.311647379961428</v>
      </c>
      <c r="CR12" s="2" t="s">
        <v>3390</v>
      </c>
    </row>
    <row r="13" spans="1:97" x14ac:dyDescent="0.2">
      <c r="A13" s="2">
        <v>6</v>
      </c>
      <c r="B13" s="47" t="s">
        <v>3367</v>
      </c>
      <c r="C13" s="47" t="s">
        <v>3391</v>
      </c>
      <c r="D13" s="47" t="s">
        <v>3392</v>
      </c>
      <c r="E13" s="10">
        <v>434.0800625973153</v>
      </c>
      <c r="F13" s="10">
        <v>431.61668142607078</v>
      </c>
      <c r="G13" s="10">
        <v>347.79527691024526</v>
      </c>
      <c r="H13" s="10">
        <v>402.64077769686565</v>
      </c>
      <c r="I13" s="48">
        <f t="shared" si="19"/>
        <v>25603.694232179172</v>
      </c>
      <c r="J13" s="48">
        <f t="shared" si="20"/>
        <v>27711.349912315891</v>
      </c>
      <c r="K13" s="48">
        <f t="shared" si="0"/>
        <v>21558.15786271618</v>
      </c>
      <c r="L13" s="48">
        <f t="shared" si="1"/>
        <v>24263.036071727136</v>
      </c>
      <c r="M13" s="49">
        <f t="shared" si="21"/>
        <v>13.361781162190704</v>
      </c>
      <c r="N13" s="49">
        <f t="shared" si="22"/>
        <v>14.461701888780249</v>
      </c>
      <c r="O13" s="49">
        <f t="shared" si="2"/>
        <v>11.250540059158393</v>
      </c>
      <c r="P13" s="49">
        <f t="shared" si="3"/>
        <v>12.662132869611456</v>
      </c>
      <c r="R13" s="76" t="s">
        <v>3393</v>
      </c>
      <c r="S13" s="77" t="s">
        <v>1019</v>
      </c>
      <c r="T13" s="47" t="s">
        <v>3387</v>
      </c>
      <c r="U13" s="71">
        <v>30.661642385045777</v>
      </c>
      <c r="V13" s="12">
        <f t="shared" si="36"/>
        <v>7.8587089517519226E-4</v>
      </c>
      <c r="W13" s="54">
        <f t="shared" ref="W13:AD13" si="54">AVERAGE(I23:I24)</f>
        <v>36950.969109585189</v>
      </c>
      <c r="X13" s="54">
        <f t="shared" si="54"/>
        <v>37019.000049159833</v>
      </c>
      <c r="Y13" s="54">
        <f t="shared" si="54"/>
        <v>38711.747429739247</v>
      </c>
      <c r="Z13" s="54">
        <f t="shared" si="54"/>
        <v>39958.858631398303</v>
      </c>
      <c r="AA13" s="78">
        <f t="shared" si="54"/>
        <v>19.283575194106817</v>
      </c>
      <c r="AB13" s="78">
        <f t="shared" si="54"/>
        <v>19.319078450731091</v>
      </c>
      <c r="AC13" s="78">
        <f t="shared" si="54"/>
        <v>20.202471286822174</v>
      </c>
      <c r="AD13" s="78">
        <f t="shared" si="54"/>
        <v>20.853300296510234</v>
      </c>
      <c r="AE13" s="73">
        <f t="shared" si="38"/>
        <v>15.173324581843964</v>
      </c>
      <c r="AF13" s="73">
        <f t="shared" si="24"/>
        <v>15.175978305454803</v>
      </c>
      <c r="AG13" s="73">
        <f t="shared" si="24"/>
        <v>15.240483811212734</v>
      </c>
      <c r="AH13" s="73">
        <f t="shared" si="24"/>
        <v>15.286227754713355</v>
      </c>
      <c r="AI13" s="72">
        <f t="shared" si="24"/>
        <v>4.2693006483555118</v>
      </c>
      <c r="AJ13" s="72">
        <f t="shared" si="24"/>
        <v>4.2719543719663484</v>
      </c>
      <c r="AK13" s="72">
        <f t="shared" si="24"/>
        <v>4.3364598777242778</v>
      </c>
      <c r="AL13" s="72">
        <f t="shared" si="24"/>
        <v>4.382203821224901</v>
      </c>
      <c r="AM13" s="54">
        <f t="shared" si="39"/>
        <v>38160.143804970641</v>
      </c>
      <c r="AN13" s="54">
        <f t="shared" si="40"/>
        <v>2101318.0336850197</v>
      </c>
      <c r="AO13" s="54">
        <f t="shared" si="41"/>
        <v>1449.5923681107802</v>
      </c>
      <c r="AP13" s="54">
        <f t="shared" si="42"/>
        <v>1420.5744168806284</v>
      </c>
      <c r="AQ13" s="72">
        <f t="shared" si="43"/>
        <v>19.914606307042579</v>
      </c>
      <c r="AR13" s="74">
        <f t="shared" si="44"/>
        <v>0.57228878186070409</v>
      </c>
      <c r="AS13" s="74">
        <f t="shared" si="45"/>
        <v>0.75649770776962977</v>
      </c>
      <c r="AT13" s="75">
        <f t="shared" si="46"/>
        <v>0.74135413080779033</v>
      </c>
      <c r="AU13" s="2">
        <v>-1624</v>
      </c>
      <c r="AV13" s="53">
        <v>11</v>
      </c>
      <c r="AW13" s="4" t="s">
        <v>1682</v>
      </c>
      <c r="AX13" t="s">
        <v>1683</v>
      </c>
      <c r="AY13" s="4">
        <v>19004</v>
      </c>
      <c r="AZ13" s="9">
        <v>16.620802117430831</v>
      </c>
      <c r="BA13" s="7">
        <f t="shared" si="25"/>
        <v>4.2599820565794512E-4</v>
      </c>
      <c r="BB13" s="54">
        <f t="shared" si="4"/>
        <v>3.8701843873905242</v>
      </c>
      <c r="BC13" s="55">
        <f t="shared" si="5"/>
        <v>0.13211141895625331</v>
      </c>
      <c r="BD13" s="55">
        <f t="shared" si="6"/>
        <v>0.36347134544039822</v>
      </c>
      <c r="BE13" s="55">
        <f t="shared" si="7"/>
        <v>0.35619537323774858</v>
      </c>
      <c r="BF13" s="56">
        <f t="shared" si="8"/>
        <v>2.0197302925390333E-3</v>
      </c>
      <c r="BG13" s="56">
        <f t="shared" si="26"/>
        <v>3.5980218992257188E-8</v>
      </c>
      <c r="BH13" s="56">
        <f t="shared" si="27"/>
        <v>1.8968452491507362E-4</v>
      </c>
      <c r="BI13" s="56">
        <f t="shared" si="9"/>
        <v>1.8588741862906737E-4</v>
      </c>
      <c r="BJ13" s="57">
        <f t="shared" si="28"/>
        <v>1.221309606344133E-4</v>
      </c>
      <c r="BK13" s="57">
        <f t="shared" si="29"/>
        <v>1.1470023166428557E-5</v>
      </c>
      <c r="BL13" s="58">
        <f t="shared" si="30"/>
        <v>0.21548954155742489</v>
      </c>
      <c r="BM13" s="58">
        <f t="shared" si="30"/>
        <v>2.0237866147515438E-2</v>
      </c>
      <c r="BN13" s="226"/>
      <c r="BO13" s="47" t="s">
        <v>3394</v>
      </c>
      <c r="BP13" s="77" t="s">
        <v>83</v>
      </c>
      <c r="BQ13" s="60">
        <f t="shared" si="10"/>
        <v>51445</v>
      </c>
      <c r="BR13" s="61">
        <f t="shared" si="11"/>
        <v>50776.622312599335</v>
      </c>
      <c r="BS13" s="61">
        <f t="shared" si="12"/>
        <v>2898635.6720883567</v>
      </c>
      <c r="BT13" s="62">
        <f t="shared" si="31"/>
        <v>0.84264240168853366</v>
      </c>
      <c r="BU13" s="62">
        <f t="shared" si="32"/>
        <v>481887.74239720148</v>
      </c>
      <c r="BV13" s="63">
        <f t="shared" si="13"/>
        <v>1.637948103194739E-2</v>
      </c>
      <c r="BW13" s="63">
        <f t="shared" si="14"/>
        <v>87741572.953225911</v>
      </c>
      <c r="BX13" s="64">
        <f t="shared" si="33"/>
        <v>5.044647915784787</v>
      </c>
      <c r="BY13" s="47" t="s">
        <v>3394</v>
      </c>
      <c r="BZ13" s="65">
        <f t="shared" si="15"/>
        <v>50776.622312599335</v>
      </c>
      <c r="CA13" s="65">
        <f t="shared" si="15"/>
        <v>2898635.6720883567</v>
      </c>
      <c r="CB13" s="65">
        <f t="shared" si="16"/>
        <v>1702.5380089996102</v>
      </c>
      <c r="CC13" s="66">
        <f t="shared" si="17"/>
        <v>0.84264240168853366</v>
      </c>
      <c r="CD13" s="66">
        <f t="shared" si="17"/>
        <v>481887.74239720148</v>
      </c>
      <c r="CE13" s="67">
        <f t="shared" si="17"/>
        <v>1.637948103194739E-2</v>
      </c>
      <c r="CF13" s="67">
        <f t="shared" si="17"/>
        <v>87741572.953225911</v>
      </c>
      <c r="CG13" s="68">
        <f t="shared" si="18"/>
        <v>9367.04718431726</v>
      </c>
      <c r="CI13" s="9"/>
      <c r="CJ13" s="79" t="s">
        <v>3349</v>
      </c>
      <c r="CK13" s="82">
        <f>SUM(BX4:BX8)</f>
        <v>11.705721943947488</v>
      </c>
      <c r="CL13" s="84"/>
      <c r="CM13" s="216"/>
      <c r="CN13" s="2" t="s">
        <v>3395</v>
      </c>
      <c r="CO13" s="2" t="s">
        <v>1608</v>
      </c>
      <c r="CP13" s="9">
        <f t="shared" si="34"/>
        <v>2.466688817401611E-4</v>
      </c>
      <c r="CQ13" s="9">
        <f t="shared" si="35"/>
        <v>6.1772639260784761</v>
      </c>
      <c r="CR13" s="2" t="s">
        <v>3377</v>
      </c>
    </row>
    <row r="14" spans="1:97" ht="16" thickBot="1" x14ac:dyDescent="0.25">
      <c r="A14" s="2">
        <v>6</v>
      </c>
      <c r="B14" s="47" t="s">
        <v>3367</v>
      </c>
      <c r="C14" s="47" t="s">
        <v>3391</v>
      </c>
      <c r="D14" s="47" t="s">
        <v>3396</v>
      </c>
      <c r="E14" s="10">
        <v>183.72763076431323</v>
      </c>
      <c r="F14" s="10">
        <v>156.35204116002174</v>
      </c>
      <c r="G14" s="10">
        <v>135.55448951929552</v>
      </c>
      <c r="H14" s="10">
        <v>141.44575209882566</v>
      </c>
      <c r="I14" s="48">
        <f t="shared" si="19"/>
        <v>10836.954943162331</v>
      </c>
      <c r="J14" s="48">
        <f t="shared" si="20"/>
        <v>10038.36577347928</v>
      </c>
      <c r="K14" s="48">
        <f t="shared" si="0"/>
        <v>8402.3713893361219</v>
      </c>
      <c r="L14" s="48">
        <f t="shared" si="1"/>
        <v>8523.4868782966241</v>
      </c>
      <c r="M14" s="49">
        <f t="shared" si="21"/>
        <v>5.6554737414832665</v>
      </c>
      <c r="N14" s="49">
        <f t="shared" si="22"/>
        <v>5.2387145962193937</v>
      </c>
      <c r="O14" s="49">
        <f t="shared" si="2"/>
        <v>4.3849394048245509</v>
      </c>
      <c r="P14" s="49">
        <f t="shared" si="3"/>
        <v>4.4481458563688756</v>
      </c>
      <c r="R14" s="76" t="s">
        <v>3397</v>
      </c>
      <c r="S14" s="77" t="s">
        <v>83</v>
      </c>
      <c r="T14" s="47" t="s">
        <v>3394</v>
      </c>
      <c r="U14" s="71">
        <v>30.70396562773977</v>
      </c>
      <c r="V14" s="12">
        <f t="shared" si="36"/>
        <v>7.8695565783092232E-4</v>
      </c>
      <c r="W14" s="54">
        <f t="shared" ref="W14:AD14" si="55">AVERAGE(I25:I27)</f>
        <v>48821.784986844337</v>
      </c>
      <c r="X14" s="54">
        <f t="shared" si="55"/>
        <v>49974.42764280711</v>
      </c>
      <c r="Y14" s="54">
        <f t="shared" si="55"/>
        <v>51691.247673680693</v>
      </c>
      <c r="Z14" s="54">
        <f t="shared" si="55"/>
        <v>52619.028947065206</v>
      </c>
      <c r="AA14" s="78">
        <f t="shared" si="55"/>
        <v>25.478589184285038</v>
      </c>
      <c r="AB14" s="78">
        <f t="shared" si="55"/>
        <v>26.080117963199459</v>
      </c>
      <c r="AC14" s="78">
        <f t="shared" si="55"/>
        <v>26.976073575673823</v>
      </c>
      <c r="AD14" s="78">
        <f t="shared" si="55"/>
        <v>27.460254109503268</v>
      </c>
      <c r="AE14" s="73">
        <f t="shared" si="38"/>
        <v>15.575237422406978</v>
      </c>
      <c r="AF14" s="73">
        <f t="shared" si="24"/>
        <v>15.608902423425558</v>
      </c>
      <c r="AG14" s="73">
        <f t="shared" si="24"/>
        <v>15.657632404640744</v>
      </c>
      <c r="AH14" s="73">
        <f t="shared" si="24"/>
        <v>15.683297004218588</v>
      </c>
      <c r="AI14" s="72">
        <f t="shared" si="24"/>
        <v>4.6712134889185224</v>
      </c>
      <c r="AJ14" s="72">
        <f t="shared" si="24"/>
        <v>4.7048784899371041</v>
      </c>
      <c r="AK14" s="72">
        <f t="shared" si="24"/>
        <v>4.7536084711522895</v>
      </c>
      <c r="AL14" s="72">
        <f t="shared" si="24"/>
        <v>4.7792730707301327</v>
      </c>
      <c r="AM14" s="54">
        <f t="shared" si="39"/>
        <v>50776.622312599335</v>
      </c>
      <c r="AN14" s="54">
        <f t="shared" si="40"/>
        <v>2898635.6720883567</v>
      </c>
      <c r="AO14" s="54">
        <f t="shared" si="41"/>
        <v>1702.5380089996102</v>
      </c>
      <c r="AP14" s="54">
        <f t="shared" si="42"/>
        <v>1668.4565899748827</v>
      </c>
      <c r="AQ14" s="72">
        <f t="shared" si="43"/>
        <v>26.498758708165397</v>
      </c>
      <c r="AR14" s="74">
        <f t="shared" si="44"/>
        <v>0.7894362734461241</v>
      </c>
      <c r="AS14" s="74">
        <f t="shared" si="45"/>
        <v>0.8885022641761382</v>
      </c>
      <c r="AT14" s="75">
        <f t="shared" si="46"/>
        <v>0.87071621898376161</v>
      </c>
      <c r="AU14" s="2">
        <v>-1623</v>
      </c>
      <c r="AV14" s="53">
        <v>12</v>
      </c>
      <c r="AW14" s="4" t="s">
        <v>3185</v>
      </c>
      <c r="AX14" t="s">
        <v>3186</v>
      </c>
      <c r="AY14" s="5">
        <v>26288.599999999995</v>
      </c>
      <c r="AZ14" s="9">
        <v>16.84646980992321</v>
      </c>
      <c r="BA14" s="7">
        <f t="shared" si="25"/>
        <v>4.3178216430190874E-4</v>
      </c>
      <c r="BB14" s="54">
        <f t="shared" si="4"/>
        <v>4.4821153888720096</v>
      </c>
      <c r="BC14" s="55">
        <f t="shared" si="5"/>
        <v>0.17172201753370164</v>
      </c>
      <c r="BD14" s="55">
        <f t="shared" si="6"/>
        <v>0.41439355392392585</v>
      </c>
      <c r="BE14" s="55">
        <f t="shared" si="7"/>
        <v>0.40609822055822564</v>
      </c>
      <c r="BF14" s="56">
        <f t="shared" si="8"/>
        <v>2.3390782762327082E-3</v>
      </c>
      <c r="BG14" s="56">
        <f t="shared" si="26"/>
        <v>4.6768067783003646E-8</v>
      </c>
      <c r="BH14" s="56">
        <f t="shared" si="27"/>
        <v>2.1625926057166581E-4</v>
      </c>
      <c r="BI14" s="56">
        <f t="shared" si="9"/>
        <v>2.1193018102186391E-4</v>
      </c>
      <c r="BJ14" s="57">
        <f t="shared" si="28"/>
        <v>1.9565889029346591E-4</v>
      </c>
      <c r="BK14" s="57">
        <f t="shared" si="29"/>
        <v>1.8089624177642534E-5</v>
      </c>
      <c r="BL14" s="58">
        <f t="shared" si="30"/>
        <v>0.3452232288353359</v>
      </c>
      <c r="BM14" s="58">
        <f t="shared" si="30"/>
        <v>3.1917580937195301E-2</v>
      </c>
      <c r="BN14" s="226"/>
      <c r="BO14" s="47" t="s">
        <v>3398</v>
      </c>
      <c r="BP14" s="77" t="s">
        <v>771</v>
      </c>
      <c r="BQ14" s="60">
        <f t="shared" si="10"/>
        <v>55399</v>
      </c>
      <c r="BR14" s="61">
        <f t="shared" si="11"/>
        <v>4884.8573250397858</v>
      </c>
      <c r="BS14" s="61">
        <f t="shared" si="12"/>
        <v>21107.707859192116</v>
      </c>
      <c r="BT14" s="62">
        <f t="shared" si="31"/>
        <v>0.2814466609553547</v>
      </c>
      <c r="BU14" s="62">
        <f t="shared" si="32"/>
        <v>44282.114890210301</v>
      </c>
      <c r="BV14" s="63">
        <f t="shared" si="13"/>
        <v>5.0803563413663547E-3</v>
      </c>
      <c r="BW14" s="63">
        <f t="shared" si="14"/>
        <v>638929.37868537754</v>
      </c>
      <c r="BX14" s="64">
        <f t="shared" si="33"/>
        <v>1.5646777195767334</v>
      </c>
      <c r="BY14" s="85" t="s">
        <v>3399</v>
      </c>
      <c r="BZ14" s="85"/>
      <c r="CA14" s="85"/>
      <c r="CB14" s="85"/>
      <c r="CC14" s="86">
        <f>SUM(BT20,BT21,BT23)</f>
        <v>0.265052168721925</v>
      </c>
      <c r="CD14" s="86">
        <f>SQRT(SUM(BU20^2,BU21^2,BU23^2))</f>
        <v>53617.944169712588</v>
      </c>
      <c r="CE14" s="87">
        <f>SUM(BV20,BV21,BV23)</f>
        <v>5.2250529176745136E-3</v>
      </c>
      <c r="CF14" s="87">
        <f>SUM(BW20,BW21,BW23)</f>
        <v>1144564.4292062609</v>
      </c>
      <c r="CG14" s="88">
        <f t="shared" si="18"/>
        <v>1069.8431797260105</v>
      </c>
      <c r="CI14" s="9"/>
      <c r="CJ14" s="79" t="s">
        <v>3356</v>
      </c>
      <c r="CK14" s="82">
        <f>SUM(BX9:BX13)</f>
        <v>22.235740808864918</v>
      </c>
      <c r="CL14" s="84"/>
      <c r="CM14" s="217" t="s">
        <v>3400</v>
      </c>
      <c r="CN14" s="89" t="s">
        <v>3401</v>
      </c>
      <c r="CO14" s="90" t="s">
        <v>864</v>
      </c>
      <c r="CP14" s="91">
        <f>VLOOKUP(CO14,$AX$2:$BM$1636,14,FALSE)</f>
        <v>1.1364533995374915</v>
      </c>
      <c r="CQ14" s="91">
        <f>VLOOKUP(CO14,$AX$2:$BM$1636,15,FALSE)</f>
        <v>382720.25612203276</v>
      </c>
      <c r="CR14" s="89" t="s">
        <v>3402</v>
      </c>
    </row>
    <row r="15" spans="1:97" x14ac:dyDescent="0.2">
      <c r="A15" s="2">
        <v>7</v>
      </c>
      <c r="B15" s="47" t="s">
        <v>3373</v>
      </c>
      <c r="C15" s="47" t="s">
        <v>3403</v>
      </c>
      <c r="D15" s="47" t="s">
        <v>3404</v>
      </c>
      <c r="E15" s="10">
        <v>1033.2642251476104</v>
      </c>
      <c r="F15" s="10">
        <v>928.17866093585724</v>
      </c>
      <c r="G15" s="10">
        <v>1022.6732624833339</v>
      </c>
      <c r="H15" s="10">
        <v>1074.4138273752644</v>
      </c>
      <c r="I15" s="48">
        <f t="shared" si="19"/>
        <v>60945.856677759737</v>
      </c>
      <c r="J15" s="48">
        <f t="shared" si="20"/>
        <v>59592.422538803032</v>
      </c>
      <c r="K15" s="48">
        <f t="shared" si="0"/>
        <v>63390.601018093468</v>
      </c>
      <c r="L15" s="48">
        <f t="shared" si="1"/>
        <v>64743.917888005279</v>
      </c>
      <c r="M15" s="49">
        <f t="shared" si="21"/>
        <v>31.80576960050481</v>
      </c>
      <c r="N15" s="49">
        <f t="shared" si="22"/>
        <v>31.099453917377765</v>
      </c>
      <c r="O15" s="49">
        <f t="shared" si="2"/>
        <v>33.081606539378583</v>
      </c>
      <c r="P15" s="49">
        <f t="shared" si="3"/>
        <v>33.787861023395024</v>
      </c>
      <c r="R15" s="76" t="s">
        <v>3405</v>
      </c>
      <c r="S15" s="77" t="s">
        <v>771</v>
      </c>
      <c r="T15" s="47" t="s">
        <v>3398</v>
      </c>
      <c r="U15" s="71">
        <v>28.248393131110074</v>
      </c>
      <c r="V15" s="12">
        <f t="shared" si="36"/>
        <v>7.240182935547301E-4</v>
      </c>
      <c r="W15" s="54">
        <f t="shared" ref="W15:AD15" si="56">AVERAGE(I28:I31)</f>
        <v>5043.0154297332574</v>
      </c>
      <c r="X15" s="54">
        <f t="shared" si="56"/>
        <v>4923.6580584845342</v>
      </c>
      <c r="Y15" s="54">
        <f t="shared" si="56"/>
        <v>4879.6711228224794</v>
      </c>
      <c r="Z15" s="54">
        <f t="shared" si="56"/>
        <v>4693.0846891188703</v>
      </c>
      <c r="AA15" s="78">
        <f t="shared" si="56"/>
        <v>2.6317947698718385</v>
      </c>
      <c r="AB15" s="78">
        <f t="shared" si="56"/>
        <v>2.5695058259304839</v>
      </c>
      <c r="AC15" s="78">
        <f t="shared" si="56"/>
        <v>2.5465503960233002</v>
      </c>
      <c r="AD15" s="78">
        <f t="shared" si="56"/>
        <v>2.4491766704830296</v>
      </c>
      <c r="AE15" s="73">
        <f t="shared" si="38"/>
        <v>12.300070924069082</v>
      </c>
      <c r="AF15" s="73">
        <f t="shared" si="24"/>
        <v>12.265514856708187</v>
      </c>
      <c r="AG15" s="73">
        <f t="shared" si="24"/>
        <v>12.252568201822847</v>
      </c>
      <c r="AH15" s="73">
        <f t="shared" si="24"/>
        <v>12.196320779434698</v>
      </c>
      <c r="AI15" s="72">
        <f t="shared" si="24"/>
        <v>1.3960469905806281</v>
      </c>
      <c r="AJ15" s="72">
        <f t="shared" si="24"/>
        <v>1.3614909232197325</v>
      </c>
      <c r="AK15" s="72">
        <f t="shared" si="24"/>
        <v>1.3485442683343931</v>
      </c>
      <c r="AL15" s="72">
        <f t="shared" si="24"/>
        <v>1.2922968459462436</v>
      </c>
      <c r="AM15" s="54">
        <f t="shared" si="39"/>
        <v>4884.8573250397858</v>
      </c>
      <c r="AN15" s="54">
        <f t="shared" si="40"/>
        <v>21107.707859192116</v>
      </c>
      <c r="AO15" s="54">
        <f t="shared" si="41"/>
        <v>145.28491958628092</v>
      </c>
      <c r="AP15" s="54">
        <f t="shared" si="42"/>
        <v>142.3766049429542</v>
      </c>
      <c r="AQ15" s="72">
        <f t="shared" si="43"/>
        <v>2.5492569155771632</v>
      </c>
      <c r="AR15" s="74">
        <f t="shared" si="44"/>
        <v>5.7486321560877227E-3</v>
      </c>
      <c r="AS15" s="74">
        <f t="shared" si="45"/>
        <v>7.5819734608396791E-2</v>
      </c>
      <c r="AT15" s="75">
        <f t="shared" si="46"/>
        <v>7.4301974574921381E-2</v>
      </c>
      <c r="AU15" s="2">
        <v>-1622</v>
      </c>
      <c r="AV15" s="53">
        <v>13</v>
      </c>
      <c r="AW15" s="4" t="s">
        <v>2076</v>
      </c>
      <c r="AX15" t="s">
        <v>1307</v>
      </c>
      <c r="AY15" s="4">
        <v>21261</v>
      </c>
      <c r="AZ15" s="9">
        <v>16.893443745365179</v>
      </c>
      <c r="BA15" s="7">
        <f t="shared" si="25"/>
        <v>4.3298612618471009E-4</v>
      </c>
      <c r="BB15" s="54">
        <f t="shared" si="4"/>
        <v>4.6211845841536121</v>
      </c>
      <c r="BC15" s="55">
        <f t="shared" si="5"/>
        <v>0.1813442404791574</v>
      </c>
      <c r="BD15" s="55">
        <f t="shared" si="6"/>
        <v>0.4258453245946906</v>
      </c>
      <c r="BE15" s="55">
        <f t="shared" si="7"/>
        <v>0.41732074959518112</v>
      </c>
      <c r="BF15" s="56">
        <f t="shared" si="8"/>
        <v>2.4116542153493122E-3</v>
      </c>
      <c r="BG15" s="56">
        <f t="shared" si="26"/>
        <v>4.9388656461144419E-8</v>
      </c>
      <c r="BH15" s="56">
        <f t="shared" si="27"/>
        <v>2.2223558774675224E-4</v>
      </c>
      <c r="BI15" s="56">
        <f t="shared" si="9"/>
        <v>2.1778687403336262E-4</v>
      </c>
      <c r="BJ15" s="57">
        <f t="shared" si="28"/>
        <v>1.6314963184469196E-4</v>
      </c>
      <c r="BK15" s="57">
        <f t="shared" si="29"/>
        <v>1.5034350319753316E-5</v>
      </c>
      <c r="BL15" s="58">
        <f t="shared" si="30"/>
        <v>0.28786344747352283</v>
      </c>
      <c r="BM15" s="58">
        <f t="shared" si="30"/>
        <v>2.6526813849562823E-2</v>
      </c>
      <c r="BN15" s="226"/>
      <c r="BO15" s="47" t="s">
        <v>3406</v>
      </c>
      <c r="BP15" s="77" t="s">
        <v>103</v>
      </c>
      <c r="BQ15" s="60">
        <f t="shared" si="10"/>
        <v>32791</v>
      </c>
      <c r="BR15" s="61">
        <f t="shared" si="11"/>
        <v>875.99847330303226</v>
      </c>
      <c r="BS15" s="61">
        <f t="shared" si="12"/>
        <v>1663.2354027880499</v>
      </c>
      <c r="BT15" s="62">
        <f t="shared" si="31"/>
        <v>7.0546353341997839E-2</v>
      </c>
      <c r="BU15" s="62">
        <f t="shared" si="32"/>
        <v>7357.6210011879821</v>
      </c>
      <c r="BV15" s="63">
        <f t="shared" si="13"/>
        <v>2.1513937770119189E-3</v>
      </c>
      <c r="BW15" s="63">
        <f t="shared" si="14"/>
        <v>50346.061713569979</v>
      </c>
      <c r="BX15" s="64">
        <f t="shared" si="33"/>
        <v>0.66259877904966791</v>
      </c>
      <c r="CI15" s="9"/>
      <c r="CK15" s="7"/>
      <c r="CL15" s="82"/>
      <c r="CM15" s="217"/>
      <c r="CN15" s="89" t="s">
        <v>3407</v>
      </c>
      <c r="CO15" s="90" t="s">
        <v>788</v>
      </c>
      <c r="CP15" s="91">
        <f t="shared" ref="CP15:CP26" si="57">VLOOKUP(CO15,$AX$2:$BM$1636,14,FALSE)</f>
        <v>8.798166379106126E-2</v>
      </c>
      <c r="CQ15" s="91">
        <f t="shared" ref="CQ15:CQ26" si="58">VLOOKUP(CO15,$AX$2:$BM$1636,15,FALSE)</f>
        <v>13156.81970690124</v>
      </c>
      <c r="CR15" s="89"/>
    </row>
    <row r="16" spans="1:97" x14ac:dyDescent="0.2">
      <c r="A16" s="2">
        <v>7</v>
      </c>
      <c r="B16" s="47" t="s">
        <v>3373</v>
      </c>
      <c r="C16" s="47" t="s">
        <v>3403</v>
      </c>
      <c r="D16" s="47" t="s">
        <v>3408</v>
      </c>
      <c r="E16" s="10">
        <v>1421.6982635703309</v>
      </c>
      <c r="F16" s="10">
        <v>1343.4925329939861</v>
      </c>
      <c r="G16" s="10">
        <v>1466.5093522638847</v>
      </c>
      <c r="H16" s="10">
        <v>1502.9734886537428</v>
      </c>
      <c r="I16" s="48">
        <f t="shared" si="19"/>
        <v>83857.174672043911</v>
      </c>
      <c r="J16" s="48">
        <f t="shared" si="20"/>
        <v>86257.073205259949</v>
      </c>
      <c r="K16" s="48">
        <f t="shared" si="0"/>
        <v>90901.867340232333</v>
      </c>
      <c r="L16" s="48">
        <f t="shared" si="1"/>
        <v>90568.819627876495</v>
      </c>
      <c r="M16" s="49">
        <f t="shared" si="21"/>
        <v>43.762482346754915</v>
      </c>
      <c r="N16" s="49">
        <f t="shared" si="22"/>
        <v>45.014915637103819</v>
      </c>
      <c r="O16" s="49">
        <f t="shared" si="2"/>
        <v>47.438890951452251</v>
      </c>
      <c r="P16" s="49">
        <f t="shared" si="3"/>
        <v>47.265083585659163</v>
      </c>
      <c r="R16" s="76" t="s">
        <v>3409</v>
      </c>
      <c r="S16" s="77" t="s">
        <v>103</v>
      </c>
      <c r="T16" s="47" t="s">
        <v>3406</v>
      </c>
      <c r="U16" s="71">
        <v>25.267697204371423</v>
      </c>
      <c r="V16" s="12">
        <f t="shared" si="36"/>
        <v>6.4762179310720017E-4</v>
      </c>
      <c r="W16" s="54">
        <f t="shared" ref="W16:AD16" si="59">AVERAGE(I32:I34)</f>
        <v>832.43437295150716</v>
      </c>
      <c r="X16" s="54">
        <f t="shared" si="59"/>
        <v>896.09142795634887</v>
      </c>
      <c r="Y16" s="54">
        <f t="shared" si="59"/>
        <v>922.46660437948924</v>
      </c>
      <c r="Z16" s="54">
        <f t="shared" si="59"/>
        <v>853.00148792478376</v>
      </c>
      <c r="AA16" s="78">
        <f t="shared" si="59"/>
        <v>0.43442191671247743</v>
      </c>
      <c r="AB16" s="78">
        <f t="shared" si="59"/>
        <v>0.46764257739882548</v>
      </c>
      <c r="AC16" s="78">
        <f t="shared" si="59"/>
        <v>0.48140697140714189</v>
      </c>
      <c r="AD16" s="78">
        <f t="shared" si="59"/>
        <v>0.44515526194455518</v>
      </c>
      <c r="AE16" s="73">
        <f t="shared" si="38"/>
        <v>9.7011927279652674</v>
      </c>
      <c r="AF16" s="73">
        <f t="shared" si="24"/>
        <v>9.8075021273366207</v>
      </c>
      <c r="AG16" s="73">
        <f t="shared" si="24"/>
        <v>9.8493528726895452</v>
      </c>
      <c r="AH16" s="73">
        <f t="shared" si="24"/>
        <v>9.736404447871438</v>
      </c>
      <c r="AI16" s="72">
        <f t="shared" si="24"/>
        <v>-1.2028312055231885</v>
      </c>
      <c r="AJ16" s="72">
        <f t="shared" si="24"/>
        <v>-1.096521806151834</v>
      </c>
      <c r="AK16" s="72">
        <f t="shared" si="24"/>
        <v>-1.0546710607989087</v>
      </c>
      <c r="AL16" s="72">
        <f t="shared" si="24"/>
        <v>-1.1676194856170172</v>
      </c>
      <c r="AM16" s="54">
        <f t="shared" si="39"/>
        <v>875.99847330303226</v>
      </c>
      <c r="AN16" s="54">
        <f t="shared" si="40"/>
        <v>1663.2354027880499</v>
      </c>
      <c r="AO16" s="54">
        <f t="shared" si="41"/>
        <v>40.782783166282925</v>
      </c>
      <c r="AP16" s="54">
        <f t="shared" si="42"/>
        <v>39.96639309761045</v>
      </c>
      <c r="AQ16" s="72">
        <f t="shared" si="43"/>
        <v>0.45715668186574998</v>
      </c>
      <c r="AR16" s="74">
        <f t="shared" si="44"/>
        <v>4.5297805822374059E-4</v>
      </c>
      <c r="AS16" s="74">
        <f t="shared" si="45"/>
        <v>2.1283281190261537E-2</v>
      </c>
      <c r="AT16" s="75">
        <f t="shared" si="46"/>
        <v>2.085723230287569E-2</v>
      </c>
      <c r="AU16" s="2">
        <v>-1621</v>
      </c>
      <c r="AV16" s="53">
        <v>14</v>
      </c>
      <c r="AW16" s="4" t="s">
        <v>3211</v>
      </c>
      <c r="AX16" t="s">
        <v>3212</v>
      </c>
      <c r="AY16" s="5">
        <v>94950.115000000005</v>
      </c>
      <c r="AZ16" s="9">
        <v>16.93225705145236</v>
      </c>
      <c r="BA16" s="7">
        <f t="shared" si="25"/>
        <v>4.3398092767695889E-4</v>
      </c>
      <c r="BB16" s="54">
        <f t="shared" si="4"/>
        <v>4.7393438621676802</v>
      </c>
      <c r="BC16" s="55">
        <f t="shared" si="5"/>
        <v>0.18969708993274423</v>
      </c>
      <c r="BD16" s="55">
        <f t="shared" si="6"/>
        <v>0.43554229408031575</v>
      </c>
      <c r="BE16" s="55">
        <f t="shared" si="7"/>
        <v>0.42682360507068573</v>
      </c>
      <c r="BF16" s="56">
        <f t="shared" si="8"/>
        <v>2.473317911251527E-3</v>
      </c>
      <c r="BG16" s="56">
        <f t="shared" si="26"/>
        <v>5.1663534400717949E-8</v>
      </c>
      <c r="BH16" s="56">
        <f t="shared" si="27"/>
        <v>2.2729613811219484E-4</v>
      </c>
      <c r="BI16" s="56">
        <f t="shared" si="9"/>
        <v>2.2274612226247186E-4</v>
      </c>
      <c r="BJ16" s="57">
        <f t="shared" si="28"/>
        <v>7.4724464219993797E-4</v>
      </c>
      <c r="BK16" s="57">
        <f t="shared" si="29"/>
        <v>6.8671245465218335E-5</v>
      </c>
      <c r="BL16" s="58">
        <f t="shared" si="30"/>
        <v>1.3184486926367012</v>
      </c>
      <c r="BM16" s="58">
        <f t="shared" si="30"/>
        <v>0.1211644870932721</v>
      </c>
      <c r="BN16" s="226"/>
      <c r="BO16" s="47" t="s">
        <v>3410</v>
      </c>
      <c r="BP16" s="77" t="s">
        <v>263</v>
      </c>
      <c r="BQ16" s="60">
        <f t="shared" si="10"/>
        <v>26267</v>
      </c>
      <c r="BR16" s="61">
        <f t="shared" si="11"/>
        <v>751.67377564540629</v>
      </c>
      <c r="BS16" s="61">
        <f t="shared" si="12"/>
        <v>1056.2117622393396</v>
      </c>
      <c r="BT16" s="62">
        <f t="shared" si="31"/>
        <v>5.2347194010170253E-2</v>
      </c>
      <c r="BU16" s="62">
        <f t="shared" si="32"/>
        <v>4696.6896702898812</v>
      </c>
      <c r="BV16" s="63">
        <f t="shared" si="13"/>
        <v>1.9928881870853255E-3</v>
      </c>
      <c r="BW16" s="63">
        <f t="shared" si="14"/>
        <v>31971.483095635303</v>
      </c>
      <c r="BX16" s="64">
        <f t="shared" si="33"/>
        <v>0.61378130477781301</v>
      </c>
      <c r="BY16" s="7"/>
      <c r="BZ16" s="7"/>
      <c r="CA16" s="7"/>
      <c r="CB16" s="7"/>
      <c r="CC16" s="7"/>
      <c r="CD16" s="7"/>
      <c r="CE16" s="7"/>
      <c r="CF16" s="7"/>
      <c r="CG16" s="7"/>
      <c r="CH16" s="7"/>
      <c r="CI16" s="9"/>
      <c r="CK16" s="7"/>
      <c r="CL16" s="82"/>
      <c r="CM16" s="217"/>
      <c r="CN16" s="89" t="s">
        <v>3411</v>
      </c>
      <c r="CO16" s="90" t="s">
        <v>1010</v>
      </c>
      <c r="CP16" s="91">
        <f t="shared" si="57"/>
        <v>0.45813748900269463</v>
      </c>
      <c r="CQ16" s="91">
        <f t="shared" si="58"/>
        <v>197433.4821469509</v>
      </c>
      <c r="CR16" s="89"/>
    </row>
    <row r="17" spans="1:96" x14ac:dyDescent="0.2">
      <c r="A17" s="2">
        <v>8</v>
      </c>
      <c r="B17" s="47" t="s">
        <v>3380</v>
      </c>
      <c r="C17" s="47" t="s">
        <v>3412</v>
      </c>
      <c r="D17" s="47" t="s">
        <v>3413</v>
      </c>
      <c r="E17" s="10">
        <v>412.90816647586382</v>
      </c>
      <c r="F17" s="10">
        <v>385.94030280652316</v>
      </c>
      <c r="G17" s="10">
        <v>389.0492034458656</v>
      </c>
      <c r="H17" s="10">
        <v>386.92835663666187</v>
      </c>
      <c r="I17" s="48">
        <f t="shared" si="19"/>
        <v>24354.89521716434</v>
      </c>
      <c r="J17" s="48">
        <f t="shared" si="20"/>
        <v>24778.761425532593</v>
      </c>
      <c r="K17" s="48">
        <f t="shared" si="0"/>
        <v>24115.290520217204</v>
      </c>
      <c r="L17" s="48">
        <f t="shared" si="1"/>
        <v>23316.209371414872</v>
      </c>
      <c r="M17" s="49">
        <f t="shared" si="21"/>
        <v>12.710071334582468</v>
      </c>
      <c r="N17" s="49">
        <f t="shared" si="22"/>
        <v>12.931274082393211</v>
      </c>
      <c r="O17" s="49">
        <f t="shared" si="2"/>
        <v>12.585029006822714</v>
      </c>
      <c r="P17" s="49">
        <f t="shared" si="3"/>
        <v>12.168013112776086</v>
      </c>
      <c r="R17" s="76" t="s">
        <v>3414</v>
      </c>
      <c r="S17" s="77" t="s">
        <v>263</v>
      </c>
      <c r="T17" s="47" t="s">
        <v>3410</v>
      </c>
      <c r="U17" s="71">
        <v>24.146444582734031</v>
      </c>
      <c r="V17" s="12">
        <f t="shared" si="36"/>
        <v>6.1888361299218238E-4</v>
      </c>
      <c r="W17" s="54">
        <f t="shared" ref="W17:AD17" si="60">AVERAGE(I35:I36)</f>
        <v>704.06435726479003</v>
      </c>
      <c r="X17" s="54">
        <f t="shared" si="60"/>
        <v>767.92946230636073</v>
      </c>
      <c r="Y17" s="54">
        <f t="shared" si="60"/>
        <v>758.80070077491484</v>
      </c>
      <c r="Z17" s="54">
        <f t="shared" si="60"/>
        <v>775.9005822355598</v>
      </c>
      <c r="AA17" s="78">
        <f t="shared" si="60"/>
        <v>0.36742955061723076</v>
      </c>
      <c r="AB17" s="78">
        <f t="shared" si="60"/>
        <v>0.40075878622391453</v>
      </c>
      <c r="AC17" s="78">
        <f t="shared" si="60"/>
        <v>0.39599476612748241</v>
      </c>
      <c r="AD17" s="78">
        <f t="shared" si="60"/>
        <v>0.40491866874499516</v>
      </c>
      <c r="AE17" s="73">
        <f t="shared" si="38"/>
        <v>9.4595634988405628</v>
      </c>
      <c r="AF17" s="73">
        <f t="shared" si="24"/>
        <v>9.5848299889315491</v>
      </c>
      <c r="AG17" s="73">
        <f t="shared" si="24"/>
        <v>9.5675772008963165</v>
      </c>
      <c r="AH17" s="73">
        <f t="shared" si="24"/>
        <v>9.5997279984960162</v>
      </c>
      <c r="AI17" s="72">
        <f t="shared" si="24"/>
        <v>-1.4444604346478933</v>
      </c>
      <c r="AJ17" s="72">
        <f t="shared" si="24"/>
        <v>-1.3191939445569059</v>
      </c>
      <c r="AK17" s="72">
        <f t="shared" si="24"/>
        <v>-1.3364467325921383</v>
      </c>
      <c r="AL17" s="72">
        <f t="shared" si="24"/>
        <v>-1.3042959349924397</v>
      </c>
      <c r="AM17" s="54">
        <f t="shared" si="39"/>
        <v>751.67377564540629</v>
      </c>
      <c r="AN17" s="54">
        <f t="shared" si="40"/>
        <v>1056.2117622393396</v>
      </c>
      <c r="AO17" s="54">
        <f t="shared" si="41"/>
        <v>32.499411721434889</v>
      </c>
      <c r="AP17" s="54">
        <f t="shared" si="42"/>
        <v>31.848838246375625</v>
      </c>
      <c r="AQ17" s="72">
        <f t="shared" si="43"/>
        <v>0.39227544292840577</v>
      </c>
      <c r="AR17" s="74">
        <f t="shared" si="44"/>
        <v>2.8765666743880698E-4</v>
      </c>
      <c r="AS17" s="74">
        <f t="shared" si="45"/>
        <v>1.6960444199336497E-2</v>
      </c>
      <c r="AT17" s="75">
        <f t="shared" si="46"/>
        <v>1.66209298962504E-2</v>
      </c>
      <c r="AU17" s="2">
        <v>-1620</v>
      </c>
      <c r="AV17" s="53">
        <v>15</v>
      </c>
      <c r="AW17" s="4" t="s">
        <v>1537</v>
      </c>
      <c r="AX17" t="s">
        <v>1538</v>
      </c>
      <c r="AY17" s="4">
        <v>57781</v>
      </c>
      <c r="AZ17" s="9">
        <v>17.088871035643148</v>
      </c>
      <c r="BA17" s="7">
        <f t="shared" si="25"/>
        <v>4.3799501049768198E-4</v>
      </c>
      <c r="BB17" s="54">
        <f t="shared" si="4"/>
        <v>5.2476212214643683</v>
      </c>
      <c r="BC17" s="55">
        <f t="shared" si="5"/>
        <v>0.22745995096856253</v>
      </c>
      <c r="BD17" s="55">
        <f t="shared" si="6"/>
        <v>0.47692761606826933</v>
      </c>
      <c r="BE17" s="55">
        <f t="shared" si="7"/>
        <v>0.46738047536317701</v>
      </c>
      <c r="BF17" s="56">
        <f t="shared" si="8"/>
        <v>2.7385722445923324E-3</v>
      </c>
      <c r="BG17" s="56">
        <f t="shared" si="26"/>
        <v>6.1948156430951428E-8</v>
      </c>
      <c r="BH17" s="56">
        <f t="shared" si="27"/>
        <v>2.48893865796149E-4</v>
      </c>
      <c r="BI17" s="56">
        <f t="shared" si="9"/>
        <v>2.4391150646669877E-4</v>
      </c>
      <c r="BJ17" s="57">
        <f t="shared" si="28"/>
        <v>5.0349669970757278E-4</v>
      </c>
      <c r="BK17" s="57">
        <f t="shared" si="29"/>
        <v>4.5760063570817151E-5</v>
      </c>
      <c r="BL17" s="58">
        <f t="shared" si="30"/>
        <v>0.88837648072252473</v>
      </c>
      <c r="BM17" s="58">
        <f t="shared" si="30"/>
        <v>8.0739683609231269E-2</v>
      </c>
      <c r="BN17" s="218" t="s">
        <v>3415</v>
      </c>
      <c r="BO17" s="47" t="s">
        <v>3401</v>
      </c>
      <c r="BP17" s="77" t="s">
        <v>864</v>
      </c>
      <c r="BQ17" s="60">
        <f t="shared" si="10"/>
        <v>60926</v>
      </c>
      <c r="BR17" s="61">
        <f t="shared" si="11"/>
        <v>65850.86210894151</v>
      </c>
      <c r="BS17" s="61">
        <f t="shared" si="12"/>
        <v>1303604.2920733818</v>
      </c>
      <c r="BT17" s="62">
        <f t="shared" si="31"/>
        <v>1.1364533995374915</v>
      </c>
      <c r="BU17" s="62">
        <f t="shared" si="32"/>
        <v>382720.25612203276</v>
      </c>
      <c r="BV17" s="63">
        <f t="shared" si="13"/>
        <v>1.8653011842850203E-2</v>
      </c>
      <c r="BW17" s="63">
        <f t="shared" si="14"/>
        <v>39460043.97740972</v>
      </c>
      <c r="BX17" s="64">
        <f t="shared" si="33"/>
        <v>5.7448631695112828</v>
      </c>
      <c r="BY17" s="7"/>
      <c r="BZ17" s="7"/>
      <c r="CA17" s="7"/>
      <c r="CB17" s="7"/>
      <c r="CC17" s="7"/>
      <c r="CD17" s="7"/>
      <c r="CE17" s="7"/>
      <c r="CF17" s="7"/>
      <c r="CG17" s="7"/>
      <c r="CH17" s="7"/>
      <c r="CI17" s="9"/>
      <c r="CK17" s="92"/>
      <c r="CL17" s="7"/>
      <c r="CM17" s="217"/>
      <c r="CN17" s="89" t="s">
        <v>3416</v>
      </c>
      <c r="CO17" s="89" t="s">
        <v>1018</v>
      </c>
      <c r="CP17" s="91">
        <f t="shared" si="57"/>
        <v>5.0748481526509343E-3</v>
      </c>
      <c r="CQ17" s="91">
        <f t="shared" si="58"/>
        <v>324.04856559807138</v>
      </c>
      <c r="CR17" s="228" t="s">
        <v>3417</v>
      </c>
    </row>
    <row r="18" spans="1:96" x14ac:dyDescent="0.2">
      <c r="A18" s="2">
        <v>8</v>
      </c>
      <c r="B18" s="47" t="s">
        <v>3380</v>
      </c>
      <c r="C18" s="47" t="s">
        <v>3412</v>
      </c>
      <c r="D18" s="47" t="s">
        <v>3418</v>
      </c>
      <c r="E18" s="10">
        <v>291.61651929302286</v>
      </c>
      <c r="F18" s="10">
        <v>282.92287980898459</v>
      </c>
      <c r="G18" s="10">
        <v>286.32051223681435</v>
      </c>
      <c r="H18" s="10">
        <v>285.17588828094699</v>
      </c>
      <c r="I18" s="48">
        <f t="shared" si="19"/>
        <v>17200.652221517426</v>
      </c>
      <c r="J18" s="48">
        <f t="shared" si="20"/>
        <v>18164.670778438773</v>
      </c>
      <c r="K18" s="48">
        <f t="shared" si="0"/>
        <v>17747.632621612447</v>
      </c>
      <c r="L18" s="48">
        <f t="shared" si="1"/>
        <v>17184.630190031818</v>
      </c>
      <c r="M18" s="49">
        <f t="shared" si="21"/>
        <v>8.9764917807059721</v>
      </c>
      <c r="N18" s="49">
        <f t="shared" si="22"/>
        <v>9.4795834391622282</v>
      </c>
      <c r="O18" s="49">
        <f t="shared" si="2"/>
        <v>9.2619440416102439</v>
      </c>
      <c r="P18" s="49">
        <f t="shared" si="3"/>
        <v>8.9681303748657388</v>
      </c>
      <c r="R18" s="76" t="s">
        <v>3419</v>
      </c>
      <c r="S18" s="77" t="s">
        <v>864</v>
      </c>
      <c r="T18" s="47" t="s">
        <v>3401</v>
      </c>
      <c r="U18" s="71">
        <v>30.085331691096442</v>
      </c>
      <c r="V18" s="12">
        <f t="shared" si="36"/>
        <v>7.7109980772770809E-4</v>
      </c>
      <c r="W18" s="54">
        <f t="shared" ref="W18:AD18" si="61">AVERAGE(I37:I39)</f>
        <v>64625.157185372671</v>
      </c>
      <c r="X18" s="54">
        <f t="shared" si="61"/>
        <v>65361.741011454556</v>
      </c>
      <c r="Y18" s="54">
        <f t="shared" si="61"/>
        <v>67299.420925217608</v>
      </c>
      <c r="Z18" s="54">
        <f t="shared" si="61"/>
        <v>66117.12931372122</v>
      </c>
      <c r="AA18" s="78">
        <f t="shared" si="61"/>
        <v>33.725883462467493</v>
      </c>
      <c r="AB18" s="78">
        <f t="shared" si="61"/>
        <v>34.110283924465882</v>
      </c>
      <c r="AC18" s="78">
        <f t="shared" si="61"/>
        <v>35.121499522312469</v>
      </c>
      <c r="AD18" s="78">
        <f t="shared" si="61"/>
        <v>34.504497864682385</v>
      </c>
      <c r="AE18" s="73">
        <f t="shared" si="38"/>
        <v>15.979808263994924</v>
      </c>
      <c r="AF18" s="73">
        <f t="shared" si="24"/>
        <v>15.996158791967245</v>
      </c>
      <c r="AG18" s="73">
        <f t="shared" si="24"/>
        <v>16.038306470835103</v>
      </c>
      <c r="AH18" s="73">
        <f t="shared" si="24"/>
        <v>16.012736466327805</v>
      </c>
      <c r="AI18" s="72">
        <f t="shared" si="24"/>
        <v>5.0757843305064689</v>
      </c>
      <c r="AJ18" s="72">
        <f t="shared" si="24"/>
        <v>5.0921348584787891</v>
      </c>
      <c r="AK18" s="72">
        <f t="shared" si="24"/>
        <v>5.1342825373466461</v>
      </c>
      <c r="AL18" s="72">
        <f t="shared" si="24"/>
        <v>5.1087125328393492</v>
      </c>
      <c r="AM18" s="54">
        <f t="shared" si="39"/>
        <v>65850.86210894151</v>
      </c>
      <c r="AN18" s="54">
        <f t="shared" si="40"/>
        <v>1303604.2920733818</v>
      </c>
      <c r="AO18" s="54">
        <f t="shared" si="41"/>
        <v>1141.754917691788</v>
      </c>
      <c r="AP18" s="54">
        <f t="shared" si="42"/>
        <v>1118.8992589236989</v>
      </c>
      <c r="AQ18" s="72">
        <f t="shared" si="43"/>
        <v>34.365541193482052</v>
      </c>
      <c r="AR18" s="74">
        <f t="shared" si="44"/>
        <v>0.35503341254381354</v>
      </c>
      <c r="AS18" s="74">
        <f t="shared" si="45"/>
        <v>0.59584680291482095</v>
      </c>
      <c r="AT18" s="75">
        <f t="shared" si="46"/>
        <v>0.5839191370081922</v>
      </c>
      <c r="AU18" s="2">
        <v>-1619</v>
      </c>
      <c r="AV18" s="53">
        <v>16</v>
      </c>
      <c r="AW18" s="4" t="s">
        <v>2205</v>
      </c>
      <c r="AX18" t="s">
        <v>591</v>
      </c>
      <c r="AY18" s="4">
        <v>15778</v>
      </c>
      <c r="AZ18" s="9">
        <v>17.186888010029964</v>
      </c>
      <c r="BA18" s="7">
        <f t="shared" si="25"/>
        <v>4.4050722711140453E-4</v>
      </c>
      <c r="BB18" s="54">
        <f t="shared" si="4"/>
        <v>5.5931048881121903</v>
      </c>
      <c r="BC18" s="55">
        <f t="shared" si="5"/>
        <v>0.25479601833120818</v>
      </c>
      <c r="BD18" s="55">
        <f t="shared" si="6"/>
        <v>0.50477323456301459</v>
      </c>
      <c r="BE18" s="55">
        <f t="shared" si="7"/>
        <v>0.4946686800516486</v>
      </c>
      <c r="BF18" s="56">
        <f t="shared" si="8"/>
        <v>2.9188695527463098E-3</v>
      </c>
      <c r="BG18" s="56">
        <f t="shared" si="26"/>
        <v>6.9393066930480919E-8</v>
      </c>
      <c r="BH18" s="56">
        <f t="shared" si="27"/>
        <v>2.6342563833173287E-4</v>
      </c>
      <c r="BI18" s="56">
        <f t="shared" si="9"/>
        <v>2.5815238186733511E-4</v>
      </c>
      <c r="BJ18" s="57">
        <f t="shared" si="28"/>
        <v>1.4653926544632432E-4</v>
      </c>
      <c r="BK18" s="57">
        <f t="shared" si="29"/>
        <v>1.3225051288962585E-5</v>
      </c>
      <c r="BL18" s="58">
        <f t="shared" si="30"/>
        <v>0.25855588924510975</v>
      </c>
      <c r="BM18" s="58">
        <f t="shared" si="30"/>
        <v>2.3334461831203867E-2</v>
      </c>
      <c r="BN18" s="218"/>
      <c r="BO18" s="47" t="s">
        <v>3407</v>
      </c>
      <c r="BP18" s="77" t="s">
        <v>788</v>
      </c>
      <c r="BQ18" s="60">
        <f t="shared" si="10"/>
        <v>36122</v>
      </c>
      <c r="BR18" s="61">
        <f t="shared" si="11"/>
        <v>1122.8048956297966</v>
      </c>
      <c r="BS18" s="61">
        <f t="shared" si="12"/>
        <v>4382.7478667884234</v>
      </c>
      <c r="BT18" s="62">
        <f t="shared" si="31"/>
        <v>8.798166379106126E-2</v>
      </c>
      <c r="BU18" s="62">
        <f t="shared" si="32"/>
        <v>13156.81970690124</v>
      </c>
      <c r="BV18" s="63">
        <f t="shared" si="13"/>
        <v>2.4356808535258637E-3</v>
      </c>
      <c r="BW18" s="63">
        <f t="shared" si="14"/>
        <v>132665.58311978503</v>
      </c>
      <c r="BX18" s="64">
        <f t="shared" si="33"/>
        <v>0.75015516775474511</v>
      </c>
      <c r="BY18" s="7"/>
      <c r="CB18" s="7"/>
      <c r="CC18" s="7"/>
      <c r="CD18" s="7"/>
      <c r="CE18" s="7"/>
      <c r="CF18" s="7"/>
      <c r="CG18" s="7"/>
      <c r="CH18" s="7"/>
      <c r="CI18" s="9"/>
      <c r="CL18" s="7"/>
      <c r="CM18" s="217"/>
      <c r="CN18" s="89" t="s">
        <v>3420</v>
      </c>
      <c r="CO18" s="89" t="s">
        <v>1017</v>
      </c>
      <c r="CP18" s="91">
        <f t="shared" si="57"/>
        <v>7.482673567785981E-3</v>
      </c>
      <c r="CQ18" s="91">
        <f t="shared" si="58"/>
        <v>517.00252247368155</v>
      </c>
      <c r="CR18" s="228"/>
    </row>
    <row r="19" spans="1:96" x14ac:dyDescent="0.2">
      <c r="A19" s="2">
        <v>8</v>
      </c>
      <c r="B19" s="47" t="s">
        <v>3380</v>
      </c>
      <c r="C19" s="47" t="s">
        <v>3412</v>
      </c>
      <c r="D19" s="47" t="s">
        <v>3421</v>
      </c>
      <c r="E19" s="10">
        <v>383.45908400551713</v>
      </c>
      <c r="F19" s="10">
        <v>350.13180501946078</v>
      </c>
      <c r="G19" s="10">
        <v>356.3351057453882</v>
      </c>
      <c r="H19" s="10">
        <v>361.10397288949849</v>
      </c>
      <c r="I19" s="48">
        <f t="shared" si="19"/>
        <v>22617.876247720316</v>
      </c>
      <c r="J19" s="48">
        <f t="shared" si="20"/>
        <v>22479.726530187287</v>
      </c>
      <c r="K19" s="48">
        <f t="shared" si="0"/>
        <v>22087.500813500701</v>
      </c>
      <c r="L19" s="48">
        <f t="shared" si="1"/>
        <v>21760.038240483671</v>
      </c>
      <c r="M19" s="49">
        <f t="shared" si="21"/>
        <v>11.803574516825805</v>
      </c>
      <c r="N19" s="49">
        <f t="shared" si="22"/>
        <v>11.731478424888618</v>
      </c>
      <c r="O19" s="49">
        <f t="shared" si="2"/>
        <v>11.526787877304947</v>
      </c>
      <c r="P19" s="49">
        <f t="shared" si="3"/>
        <v>11.355895224089217</v>
      </c>
      <c r="R19" s="76" t="s">
        <v>3422</v>
      </c>
      <c r="S19" s="77" t="s">
        <v>788</v>
      </c>
      <c r="T19" s="47" t="s">
        <v>3407</v>
      </c>
      <c r="U19" s="71">
        <v>25.017885285844031</v>
      </c>
      <c r="V19" s="12">
        <f t="shared" si="36"/>
        <v>6.4121900771256307E-4</v>
      </c>
      <c r="W19" s="54">
        <f t="shared" ref="W19:AD19" si="62">AVERAGE(I40:I41)</f>
        <v>1026.4511086895609</v>
      </c>
      <c r="X19" s="54">
        <f t="shared" si="62"/>
        <v>1136.4089163441267</v>
      </c>
      <c r="Y19" s="54">
        <f t="shared" si="62"/>
        <v>1175.4793375355516</v>
      </c>
      <c r="Z19" s="54">
        <f t="shared" si="62"/>
        <v>1152.8802199499473</v>
      </c>
      <c r="AA19" s="78">
        <f t="shared" si="62"/>
        <v>0.53567328853507445</v>
      </c>
      <c r="AB19" s="78">
        <f t="shared" si="62"/>
        <v>0.59305688910580812</v>
      </c>
      <c r="AC19" s="78">
        <f t="shared" si="62"/>
        <v>0.61344654120602415</v>
      </c>
      <c r="AD19" s="78">
        <f t="shared" si="62"/>
        <v>0.60165275625846182</v>
      </c>
      <c r="AE19" s="73">
        <f t="shared" si="38"/>
        <v>10.003449196150557</v>
      </c>
      <c r="AF19" s="73">
        <f t="shared" si="24"/>
        <v>10.150266340833145</v>
      </c>
      <c r="AG19" s="73">
        <f t="shared" si="24"/>
        <v>10.199033464319132</v>
      </c>
      <c r="AH19" s="73">
        <f t="shared" si="24"/>
        <v>10.171026914684854</v>
      </c>
      <c r="AI19" s="72">
        <f t="shared" si="24"/>
        <v>-0.90057473733789739</v>
      </c>
      <c r="AJ19" s="72">
        <f t="shared" si="24"/>
        <v>-0.75375759265530939</v>
      </c>
      <c r="AK19" s="72">
        <f t="shared" si="24"/>
        <v>-0.70499046916932151</v>
      </c>
      <c r="AL19" s="72">
        <f t="shared" si="24"/>
        <v>-0.73299701880360235</v>
      </c>
      <c r="AM19" s="54">
        <f t="shared" si="39"/>
        <v>1122.8048956297966</v>
      </c>
      <c r="AN19" s="54">
        <f t="shared" si="40"/>
        <v>4382.7478667884234</v>
      </c>
      <c r="AO19" s="54">
        <f t="shared" si="41"/>
        <v>66.202325237021881</v>
      </c>
      <c r="AP19" s="54">
        <f t="shared" si="42"/>
        <v>64.877086578684981</v>
      </c>
      <c r="AQ19" s="72">
        <f t="shared" si="43"/>
        <v>0.58595736877634208</v>
      </c>
      <c r="AR19" s="74">
        <f t="shared" si="44"/>
        <v>1.1936305679004721E-3</v>
      </c>
      <c r="AS19" s="74">
        <f t="shared" si="45"/>
        <v>3.454895899879578E-2</v>
      </c>
      <c r="AT19" s="75">
        <f t="shared" si="46"/>
        <v>3.3857357670495358E-2</v>
      </c>
      <c r="AU19" s="2">
        <v>-1618</v>
      </c>
      <c r="AV19" s="53">
        <v>17</v>
      </c>
      <c r="AW19" s="4" t="s">
        <v>1454</v>
      </c>
      <c r="AX19" t="s">
        <v>1455</v>
      </c>
      <c r="AY19" s="4">
        <v>54505</v>
      </c>
      <c r="AZ19" s="9">
        <v>17.229350836605501</v>
      </c>
      <c r="BA19" s="7">
        <f t="shared" si="25"/>
        <v>4.4159556736120346E-4</v>
      </c>
      <c r="BB19" s="54">
        <f t="shared" si="4"/>
        <v>5.7497512233002466</v>
      </c>
      <c r="BC19" s="55">
        <f t="shared" si="5"/>
        <v>0.26762777121930442</v>
      </c>
      <c r="BD19" s="55">
        <f t="shared" si="6"/>
        <v>0.51732752799295767</v>
      </c>
      <c r="BE19" s="55">
        <f t="shared" si="7"/>
        <v>0.50697166153866668</v>
      </c>
      <c r="BF19" s="56">
        <f t="shared" si="8"/>
        <v>3.0006184609960955E-3</v>
      </c>
      <c r="BG19" s="56">
        <f t="shared" si="26"/>
        <v>7.2887763169578495E-8</v>
      </c>
      <c r="BH19" s="56">
        <f t="shared" si="27"/>
        <v>2.699773382518957E-4</v>
      </c>
      <c r="BI19" s="56">
        <f t="shared" si="9"/>
        <v>2.6457292980785167E-4</v>
      </c>
      <c r="BJ19" s="57">
        <f t="shared" si="28"/>
        <v>5.2039665101483428E-4</v>
      </c>
      <c r="BK19" s="57">
        <f t="shared" si="29"/>
        <v>4.6822115008099466E-5</v>
      </c>
      <c r="BL19" s="58">
        <f t="shared" si="30"/>
        <v>0.91819498653487031</v>
      </c>
      <c r="BM19" s="58">
        <f t="shared" si="30"/>
        <v>8.2613581727624383E-2</v>
      </c>
      <c r="BN19" s="218"/>
      <c r="BO19" s="47" t="s">
        <v>3411</v>
      </c>
      <c r="BP19" s="77" t="s">
        <v>1010</v>
      </c>
      <c r="BQ19" s="60">
        <f t="shared" si="10"/>
        <v>40145</v>
      </c>
      <c r="BR19" s="61">
        <f t="shared" si="11"/>
        <v>24648.600787633521</v>
      </c>
      <c r="BS19" s="61">
        <f t="shared" si="12"/>
        <v>799037.02334761003</v>
      </c>
      <c r="BT19" s="62">
        <f t="shared" si="31"/>
        <v>0.45813748900269463</v>
      </c>
      <c r="BU19" s="62">
        <f t="shared" si="32"/>
        <v>197433.4821469509</v>
      </c>
      <c r="BV19" s="63">
        <f t="shared" si="13"/>
        <v>1.1412068476838823E-2</v>
      </c>
      <c r="BW19" s="63">
        <f t="shared" si="14"/>
        <v>24186815.180492178</v>
      </c>
      <c r="BX19" s="64">
        <f t="shared" si="33"/>
        <v>3.5147552809634797</v>
      </c>
      <c r="BY19" s="7"/>
      <c r="CD19" s="7"/>
      <c r="CE19" s="7"/>
      <c r="CF19" s="7"/>
      <c r="CG19" s="7"/>
      <c r="CH19" s="7"/>
      <c r="CI19" s="9"/>
      <c r="CL19" s="84"/>
      <c r="CM19" s="217"/>
      <c r="CN19" s="89" t="s">
        <v>3423</v>
      </c>
      <c r="CO19" s="89" t="s">
        <v>293</v>
      </c>
      <c r="CP19" s="91">
        <f t="shared" si="57"/>
        <v>5.1922453079690086E-3</v>
      </c>
      <c r="CQ19" s="91">
        <f t="shared" si="58"/>
        <v>303.55587958111551</v>
      </c>
      <c r="CR19" s="228"/>
    </row>
    <row r="20" spans="1:96" ht="16" thickBot="1" x14ac:dyDescent="0.25">
      <c r="A20" s="2">
        <v>9</v>
      </c>
      <c r="B20" s="47" t="s">
        <v>3386</v>
      </c>
      <c r="C20" s="47" t="s">
        <v>3424</v>
      </c>
      <c r="D20" s="47" t="s">
        <v>3425</v>
      </c>
      <c r="E20" s="10">
        <v>422.10955122975207</v>
      </c>
      <c r="F20" s="10">
        <v>378.64981662639599</v>
      </c>
      <c r="G20" s="10">
        <v>386.50605682509246</v>
      </c>
      <c r="H20" s="10">
        <v>421.87515714080178</v>
      </c>
      <c r="I20" s="48">
        <f t="shared" si="19"/>
        <v>24897.627911086147</v>
      </c>
      <c r="J20" s="48">
        <f t="shared" si="20"/>
        <v>24310.685880118315</v>
      </c>
      <c r="K20" s="48">
        <f t="shared" si="0"/>
        <v>23957.653082452889</v>
      </c>
      <c r="L20" s="48">
        <f t="shared" si="1"/>
        <v>25422.095134087835</v>
      </c>
      <c r="M20" s="49">
        <f t="shared" si="21"/>
        <v>12.99330684817625</v>
      </c>
      <c r="N20" s="49">
        <f t="shared" si="22"/>
        <v>12.686999840227871</v>
      </c>
      <c r="O20" s="49">
        <f t="shared" si="2"/>
        <v>12.502762872597133</v>
      </c>
      <c r="P20" s="49">
        <f t="shared" si="3"/>
        <v>13.267010173834732</v>
      </c>
      <c r="R20" s="93" t="s">
        <v>3426</v>
      </c>
      <c r="S20" s="94" t="s">
        <v>1010</v>
      </c>
      <c r="T20" s="95" t="s">
        <v>3411</v>
      </c>
      <c r="U20" s="96">
        <v>30.116319964035217</v>
      </c>
      <c r="V20" s="12">
        <f t="shared" si="36"/>
        <v>7.7189405030246995E-4</v>
      </c>
      <c r="W20" s="97">
        <f t="shared" ref="W20:AD20" si="63">AVERAGE(I42:I44)</f>
        <v>25730.104335507349</v>
      </c>
      <c r="X20" s="97">
        <f t="shared" si="63"/>
        <v>24292.973611829599</v>
      </c>
      <c r="Y20" s="97">
        <f t="shared" si="63"/>
        <v>23638.537341681989</v>
      </c>
      <c r="Z20" s="97">
        <f t="shared" si="63"/>
        <v>24932.787861515139</v>
      </c>
      <c r="AA20" s="98">
        <f t="shared" si="63"/>
        <v>13.427750710258428</v>
      </c>
      <c r="AB20" s="98">
        <f t="shared" si="63"/>
        <v>12.677756351744776</v>
      </c>
      <c r="AC20" s="98">
        <f t="shared" si="63"/>
        <v>12.336226174614223</v>
      </c>
      <c r="AD20" s="98">
        <f t="shared" si="63"/>
        <v>13.01165574576288</v>
      </c>
      <c r="AE20" s="99">
        <f t="shared" si="38"/>
        <v>14.651169686757729</v>
      </c>
      <c r="AF20" s="99">
        <f t="shared" si="38"/>
        <v>14.568251475223807</v>
      </c>
      <c r="AG20" s="99">
        <f t="shared" si="38"/>
        <v>14.528853149617138</v>
      </c>
      <c r="AH20" s="99">
        <f t="shared" si="38"/>
        <v>14.605756586450752</v>
      </c>
      <c r="AI20" s="100">
        <f t="shared" si="38"/>
        <v>3.7471457532692747</v>
      </c>
      <c r="AJ20" s="100">
        <f t="shared" si="38"/>
        <v>3.6642275417353511</v>
      </c>
      <c r="AK20" s="100">
        <f t="shared" si="38"/>
        <v>3.6248292161286821</v>
      </c>
      <c r="AL20" s="100">
        <f t="shared" si="38"/>
        <v>3.7017326529622974</v>
      </c>
      <c r="AM20" s="97">
        <f t="shared" si="39"/>
        <v>24648.600787633521</v>
      </c>
      <c r="AN20" s="97">
        <f t="shared" si="40"/>
        <v>799037.02334761003</v>
      </c>
      <c r="AO20" s="97">
        <f t="shared" si="41"/>
        <v>893.88870859162887</v>
      </c>
      <c r="AP20" s="97">
        <f t="shared" si="42"/>
        <v>875.99483751330592</v>
      </c>
      <c r="AQ20" s="100">
        <f t="shared" si="43"/>
        <v>12.863347245595078</v>
      </c>
      <c r="AR20" s="101">
        <f t="shared" si="44"/>
        <v>0.21761576183272444</v>
      </c>
      <c r="AS20" s="101">
        <f t="shared" si="45"/>
        <v>0.46649304585676776</v>
      </c>
      <c r="AT20" s="102">
        <f t="shared" si="46"/>
        <v>0.45715478445882823</v>
      </c>
      <c r="AU20" s="2">
        <v>-1617</v>
      </c>
      <c r="AV20" s="53">
        <v>18</v>
      </c>
      <c r="AW20" s="4" t="s">
        <v>2572</v>
      </c>
      <c r="AX20" t="s">
        <v>2573</v>
      </c>
      <c r="AY20" s="4">
        <v>48700</v>
      </c>
      <c r="AZ20" s="9">
        <v>17.3593034526506</v>
      </c>
      <c r="BA20" s="7">
        <f t="shared" si="25"/>
        <v>4.4492630801166284E-4</v>
      </c>
      <c r="BB20" s="54">
        <f t="shared" si="4"/>
        <v>6.2569383943782277</v>
      </c>
      <c r="BC20" s="55">
        <f t="shared" si="5"/>
        <v>0.31101597393246005</v>
      </c>
      <c r="BD20" s="55">
        <f t="shared" si="6"/>
        <v>0.55768806149357375</v>
      </c>
      <c r="BE20" s="55">
        <f t="shared" si="7"/>
        <v>0.54652425756768164</v>
      </c>
      <c r="BF20" s="56">
        <f t="shared" si="8"/>
        <v>3.2653038586094303E-3</v>
      </c>
      <c r="BG20" s="56">
        <f t="shared" si="26"/>
        <v>8.4704433126145134E-8</v>
      </c>
      <c r="BH20" s="56">
        <f t="shared" si="27"/>
        <v>2.9104026031830224E-4</v>
      </c>
      <c r="BI20" s="56">
        <f t="shared" si="9"/>
        <v>2.8521421413751707E-4</v>
      </c>
      <c r="BJ20" s="57">
        <f t="shared" si="28"/>
        <v>5.0598767103920809E-4</v>
      </c>
      <c r="BK20" s="57">
        <f t="shared" si="29"/>
        <v>4.5099258713342615E-5</v>
      </c>
      <c r="BL20" s="58">
        <f t="shared" si="30"/>
        <v>0.89277158469532947</v>
      </c>
      <c r="BM20" s="58">
        <f t="shared" si="30"/>
        <v>7.9573750457994072E-2</v>
      </c>
      <c r="BN20" s="218" t="s">
        <v>3427</v>
      </c>
      <c r="BO20" s="3" t="s">
        <v>3428</v>
      </c>
      <c r="BP20" s="3" t="s">
        <v>1426</v>
      </c>
      <c r="BQ20" s="60">
        <f t="shared" si="10"/>
        <v>60791</v>
      </c>
      <c r="BR20" s="103"/>
      <c r="BS20" s="103"/>
      <c r="BT20" s="62">
        <f t="shared" si="31"/>
        <v>5.6106352245146164E-4</v>
      </c>
      <c r="BU20" s="62">
        <f t="shared" si="32"/>
        <v>15.834170193772426</v>
      </c>
      <c r="BV20" s="63">
        <f t="shared" si="13"/>
        <v>9.229384653179938E-6</v>
      </c>
      <c r="BW20" s="104">
        <f t="shared" si="14"/>
        <v>6.7844093232127756E-2</v>
      </c>
      <c r="BX20" s="64">
        <f t="shared" si="33"/>
        <v>2.8425196112031384E-3</v>
      </c>
      <c r="CM20" s="217"/>
      <c r="CN20" s="89" t="s">
        <v>3429</v>
      </c>
      <c r="CO20" s="89" t="s">
        <v>295</v>
      </c>
      <c r="CP20" s="91">
        <f t="shared" si="57"/>
        <v>2.6227878714499479E-3</v>
      </c>
      <c r="CQ20" s="91">
        <f t="shared" si="58"/>
        <v>114.00817815185513</v>
      </c>
      <c r="CR20" s="228"/>
    </row>
    <row r="21" spans="1:96" ht="16" x14ac:dyDescent="0.2">
      <c r="A21" s="2">
        <v>9</v>
      </c>
      <c r="B21" s="47" t="s">
        <v>3386</v>
      </c>
      <c r="C21" s="47" t="s">
        <v>3424</v>
      </c>
      <c r="D21" s="47" t="s">
        <v>3430</v>
      </c>
      <c r="E21" s="10">
        <v>375.93335761491448</v>
      </c>
      <c r="F21" s="10">
        <v>356.17207254990791</v>
      </c>
      <c r="G21" s="10">
        <v>352.10618532477793</v>
      </c>
      <c r="H21" s="10">
        <v>343.86582569280569</v>
      </c>
      <c r="I21" s="48">
        <f t="shared" si="19"/>
        <v>22173.980261742308</v>
      </c>
      <c r="J21" s="48">
        <f t="shared" si="20"/>
        <v>22867.533522602829</v>
      </c>
      <c r="K21" s="48">
        <f t="shared" si="0"/>
        <v>21825.37035898073</v>
      </c>
      <c r="L21" s="48">
        <f t="shared" si="1"/>
        <v>20721.271651477167</v>
      </c>
      <c r="M21" s="49">
        <f t="shared" si="21"/>
        <v>11.571918843639448</v>
      </c>
      <c r="N21" s="49">
        <f t="shared" si="22"/>
        <v>11.933862976072298</v>
      </c>
      <c r="O21" s="49">
        <f t="shared" si="2"/>
        <v>11.389990048933782</v>
      </c>
      <c r="P21" s="49">
        <f t="shared" si="3"/>
        <v>10.813794864858403</v>
      </c>
      <c r="AD21" s="53"/>
      <c r="AE21" s="18" t="s">
        <v>3286</v>
      </c>
      <c r="AF21" s="18" t="s">
        <v>3287</v>
      </c>
      <c r="AG21" s="18" t="s">
        <v>3288</v>
      </c>
      <c r="AH21" s="18" t="s">
        <v>3289</v>
      </c>
      <c r="AI21" s="19" t="s">
        <v>3286</v>
      </c>
      <c r="AJ21" s="19" t="s">
        <v>3287</v>
      </c>
      <c r="AK21" s="19" t="s">
        <v>3288</v>
      </c>
      <c r="AL21" s="105" t="s">
        <v>3289</v>
      </c>
      <c r="AM21" s="15"/>
      <c r="AN21" s="15"/>
      <c r="AO21" s="15"/>
      <c r="AP21" s="15"/>
      <c r="AQ21" s="15"/>
      <c r="AR21" s="15"/>
      <c r="AS21" s="15"/>
      <c r="AT21" s="15"/>
      <c r="AU21" s="2">
        <v>-1616</v>
      </c>
      <c r="AV21" s="53">
        <v>19</v>
      </c>
      <c r="AW21" s="4" t="s">
        <v>2130</v>
      </c>
      <c r="AX21" t="s">
        <v>2131</v>
      </c>
      <c r="AY21" s="4">
        <v>57575</v>
      </c>
      <c r="AZ21" s="9">
        <v>17.401412878714179</v>
      </c>
      <c r="BA21" s="7">
        <f t="shared" si="25"/>
        <v>4.4600559045649492E-4</v>
      </c>
      <c r="BB21" s="54">
        <f t="shared" si="4"/>
        <v>6.4306998136220024</v>
      </c>
      <c r="BC21" s="55">
        <f t="shared" si="5"/>
        <v>0.32651969684570858</v>
      </c>
      <c r="BD21" s="55">
        <f t="shared" si="6"/>
        <v>0.57141902037446091</v>
      </c>
      <c r="BE21" s="55">
        <f t="shared" si="7"/>
        <v>0.5599803500075512</v>
      </c>
      <c r="BF21" s="56">
        <f t="shared" si="8"/>
        <v>3.3559846032438865E-3</v>
      </c>
      <c r="BG21" s="56">
        <f t="shared" si="26"/>
        <v>8.8926833809000945E-8</v>
      </c>
      <c r="BH21" s="56">
        <f t="shared" si="27"/>
        <v>2.9820602577580648E-4</v>
      </c>
      <c r="BI21" s="56">
        <f t="shared" si="9"/>
        <v>2.922365352467018E-4</v>
      </c>
      <c r="BJ21" s="57">
        <f t="shared" si="28"/>
        <v>6.1481050354931295E-4</v>
      </c>
      <c r="BK21" s="57">
        <f t="shared" si="29"/>
        <v>5.4630821813499011E-5</v>
      </c>
      <c r="BL21" s="58">
        <f t="shared" si="30"/>
        <v>1.084780082514148</v>
      </c>
      <c r="BM21" s="58">
        <f t="shared" si="30"/>
        <v>9.6391371085139288E-2</v>
      </c>
      <c r="BN21" s="218"/>
      <c r="BO21" s="3" t="s">
        <v>3431</v>
      </c>
      <c r="BP21" s="3" t="s">
        <v>531</v>
      </c>
      <c r="BQ21" s="60">
        <f t="shared" si="10"/>
        <v>69856</v>
      </c>
      <c r="BR21" s="65"/>
      <c r="BS21" s="65"/>
      <c r="BT21" s="62">
        <f t="shared" si="31"/>
        <v>1.0970123259935658E-2</v>
      </c>
      <c r="BU21" s="62">
        <f t="shared" si="32"/>
        <v>779.84212548926666</v>
      </c>
      <c r="BV21" s="63">
        <f t="shared" si="13"/>
        <v>1.570390984301371E-4</v>
      </c>
      <c r="BW21" s="104">
        <f t="shared" si="14"/>
        <v>124.62522469157959</v>
      </c>
      <c r="BX21" s="64">
        <f t="shared" si="33"/>
        <v>4.8365815684095939E-2</v>
      </c>
      <c r="CM21" s="217"/>
      <c r="CN21" s="89" t="s">
        <v>3432</v>
      </c>
      <c r="CO21" s="89" t="s">
        <v>995</v>
      </c>
      <c r="CP21" s="91">
        <f t="shared" si="57"/>
        <v>3.5822129099054171E-4</v>
      </c>
      <c r="CQ21" s="91">
        <f t="shared" si="58"/>
        <v>10.76101275655274</v>
      </c>
      <c r="CR21" s="228" t="s">
        <v>3433</v>
      </c>
    </row>
    <row r="22" spans="1:96" x14ac:dyDescent="0.2">
      <c r="A22" s="2">
        <v>9</v>
      </c>
      <c r="B22" s="47" t="s">
        <v>3386</v>
      </c>
      <c r="C22" s="47" t="s">
        <v>3424</v>
      </c>
      <c r="D22" s="47" t="s">
        <v>3434</v>
      </c>
      <c r="E22" s="10">
        <v>385.68349495558056</v>
      </c>
      <c r="F22" s="10">
        <v>367.81410680466246</v>
      </c>
      <c r="G22" s="10">
        <v>366.36959177257245</v>
      </c>
      <c r="H22" s="10">
        <v>403.20862714073269</v>
      </c>
      <c r="I22" s="48">
        <f t="shared" si="19"/>
        <v>22749.080471824411</v>
      </c>
      <c r="J22" s="48">
        <f t="shared" si="20"/>
        <v>23614.99417185007</v>
      </c>
      <c r="K22" s="48">
        <f t="shared" si="0"/>
        <v>22709.490380946962</v>
      </c>
      <c r="L22" s="48">
        <f t="shared" si="1"/>
        <v>24297.254542143044</v>
      </c>
      <c r="M22" s="49">
        <f t="shared" si="21"/>
        <v>11.872045969192648</v>
      </c>
      <c r="N22" s="49">
        <f t="shared" si="22"/>
        <v>12.323939717812102</v>
      </c>
      <c r="O22" s="49">
        <f t="shared" si="2"/>
        <v>11.851385117453885</v>
      </c>
      <c r="P22" s="49">
        <f t="shared" si="3"/>
        <v>12.679990437713</v>
      </c>
      <c r="R22" s="2" t="s">
        <v>3435</v>
      </c>
      <c r="S22" s="7">
        <v>415335503.1767149</v>
      </c>
      <c r="U22" s="7"/>
      <c r="V22" s="7"/>
      <c r="AD22" s="106" t="s">
        <v>3436</v>
      </c>
      <c r="AE22" s="107">
        <f>(CORREL(AE4:AE20,$U$4:$U$20))^2</f>
        <v>0.90380132741522623</v>
      </c>
      <c r="AF22" s="107">
        <f>(CORREL(AF4:AF20,$U$4:$U$20))^2</f>
        <v>0.89935310421679171</v>
      </c>
      <c r="AG22" s="107">
        <f>(CORREL(AG4:AG20,$U$4:$U$20))^2</f>
        <v>0.88132298648635343</v>
      </c>
      <c r="AH22" s="107">
        <f t="shared" ref="AH22" si="64">(CORREL(AH4:AH20,$U$4:$U$20))^2</f>
        <v>0.88805524815992853</v>
      </c>
      <c r="AI22" s="108">
        <f>(CORREL(AI4:AI20,$U$4:$U$20))^2</f>
        <v>0.90380132741522623</v>
      </c>
      <c r="AJ22" s="108">
        <f>(CORREL(AJ4:AJ20,$U$4:$U$20))^2</f>
        <v>0.89935310421679193</v>
      </c>
      <c r="AK22" s="108">
        <f>(CORREL(AK4:AK20,$U$4:$U$20))^2</f>
        <v>0.88132298648635388</v>
      </c>
      <c r="AL22" s="109">
        <f t="shared" ref="AL22" si="65">(CORREL(AL4:AL20,$U$4:$U$20))^2</f>
        <v>0.88805524815992898</v>
      </c>
      <c r="AM22" s="8"/>
      <c r="AN22" s="11"/>
      <c r="AO22" s="11"/>
      <c r="AP22" s="11"/>
      <c r="AR22" s="11"/>
      <c r="AS22" s="11"/>
      <c r="AT22" s="11"/>
      <c r="AU22" s="2">
        <v>-1615</v>
      </c>
      <c r="AV22" s="53">
        <v>20</v>
      </c>
      <c r="AW22" s="4" t="s">
        <v>1946</v>
      </c>
      <c r="AX22" t="s">
        <v>1947</v>
      </c>
      <c r="AY22" s="4">
        <v>42466</v>
      </c>
      <c r="AZ22" s="9">
        <v>17.405609629127049</v>
      </c>
      <c r="BA22" s="7">
        <f t="shared" si="25"/>
        <v>4.4611315494904138E-4</v>
      </c>
      <c r="BB22" s="54">
        <f t="shared" si="4"/>
        <v>6.4482796668843934</v>
      </c>
      <c r="BC22" s="55">
        <f t="shared" si="5"/>
        <v>0.3281062232603526</v>
      </c>
      <c r="BD22" s="55">
        <f t="shared" si="6"/>
        <v>0.57280557195295556</v>
      </c>
      <c r="BE22" s="55">
        <f t="shared" si="7"/>
        <v>0.56133914558582954</v>
      </c>
      <c r="BF22" s="56">
        <f t="shared" si="8"/>
        <v>3.3651589883941474E-3</v>
      </c>
      <c r="BG22" s="56">
        <f t="shared" si="26"/>
        <v>8.93589203635692E-8</v>
      </c>
      <c r="BH22" s="56">
        <f t="shared" si="27"/>
        <v>2.9892962443285744E-4</v>
      </c>
      <c r="BI22" s="56">
        <f t="shared" si="9"/>
        <v>2.9294564890024253E-4</v>
      </c>
      <c r="BJ22" s="57">
        <f t="shared" si="28"/>
        <v>4.5470980076372884E-4</v>
      </c>
      <c r="BK22" s="57">
        <f t="shared" si="29"/>
        <v>4.0392216366901835E-5</v>
      </c>
      <c r="BL22" s="58">
        <f t="shared" si="30"/>
        <v>0.8022962072782901</v>
      </c>
      <c r="BM22" s="58">
        <f t="shared" si="30"/>
        <v>7.1268580400729309E-2</v>
      </c>
      <c r="BN22" s="218"/>
      <c r="BO22" s="3" t="s">
        <v>3437</v>
      </c>
      <c r="BP22" s="3" t="s">
        <v>3351</v>
      </c>
      <c r="BQ22" s="60"/>
      <c r="BR22" s="103"/>
      <c r="BS22" s="103"/>
      <c r="BT22" s="62"/>
      <c r="BU22" s="62"/>
      <c r="BV22" s="63"/>
      <c r="BW22" s="104"/>
      <c r="BX22" s="64"/>
      <c r="CM22" s="217"/>
      <c r="CN22" s="89" t="s">
        <v>3438</v>
      </c>
      <c r="CO22" s="89" t="s">
        <v>996</v>
      </c>
      <c r="CP22" s="91">
        <f t="shared" si="57"/>
        <v>6.0344374481587386E-3</v>
      </c>
      <c r="CQ22" s="91">
        <f t="shared" si="58"/>
        <v>289.95064669526766</v>
      </c>
      <c r="CR22" s="228"/>
    </row>
    <row r="23" spans="1:96" ht="16" thickBot="1" x14ac:dyDescent="0.25">
      <c r="A23" s="2">
        <v>10</v>
      </c>
      <c r="B23" s="47" t="s">
        <v>3393</v>
      </c>
      <c r="C23" s="47" t="s">
        <v>3439</v>
      </c>
      <c r="D23" s="47" t="s">
        <v>3440</v>
      </c>
      <c r="E23" s="10">
        <v>610.69935668801236</v>
      </c>
      <c r="F23" s="10">
        <v>571.80732556723945</v>
      </c>
      <c r="G23" s="10">
        <v>623.69808402352828</v>
      </c>
      <c r="H23" s="10">
        <v>668.2574591744866</v>
      </c>
      <c r="I23" s="48">
        <f t="shared" si="19"/>
        <v>36021.372423486879</v>
      </c>
      <c r="J23" s="48">
        <f t="shared" si="20"/>
        <v>36712.095623517736</v>
      </c>
      <c r="K23" s="48">
        <f t="shared" si="0"/>
        <v>38660.047006684246</v>
      </c>
      <c r="L23" s="48">
        <f t="shared" si="1"/>
        <v>40269.033181130551</v>
      </c>
      <c r="M23" s="49">
        <f t="shared" si="21"/>
        <v>18.798447252173641</v>
      </c>
      <c r="N23" s="49">
        <f t="shared" si="22"/>
        <v>19.158914462833454</v>
      </c>
      <c r="O23" s="49">
        <f t="shared" si="2"/>
        <v>20.175490424896971</v>
      </c>
      <c r="P23" s="49">
        <f t="shared" si="3"/>
        <v>21.015170861672448</v>
      </c>
      <c r="R23" s="2" t="s">
        <v>3441</v>
      </c>
      <c r="S23" s="7">
        <v>3.1819061948428966</v>
      </c>
      <c r="AD23" s="106" t="s">
        <v>3442</v>
      </c>
      <c r="AE23" s="110">
        <f>SLOPE(AE4:AE20,$U$4:$U$20)</f>
        <v>0.95250696452934092</v>
      </c>
      <c r="AF23" s="110">
        <f t="shared" ref="AF23:AL23" si="66">SLOPE(AF4:AF20,$U$4:$U$20)</f>
        <v>0.93394232081719153</v>
      </c>
      <c r="AG23" s="110">
        <f t="shared" si="66"/>
        <v>0.92972058800502677</v>
      </c>
      <c r="AH23" s="110">
        <f t="shared" si="66"/>
        <v>0.94039494410851332</v>
      </c>
      <c r="AI23" s="111">
        <f t="shared" si="66"/>
        <v>0.95250696452934114</v>
      </c>
      <c r="AJ23" s="111">
        <f t="shared" si="66"/>
        <v>0.93394232081719175</v>
      </c>
      <c r="AK23" s="111">
        <f t="shared" si="66"/>
        <v>0.92972058800502677</v>
      </c>
      <c r="AL23" s="112">
        <f t="shared" si="66"/>
        <v>0.94039494410851354</v>
      </c>
      <c r="AM23" s="8"/>
      <c r="AO23" s="10"/>
      <c r="AU23" s="2">
        <v>-1614</v>
      </c>
      <c r="AV23" s="53">
        <v>21</v>
      </c>
      <c r="AW23" s="4" t="s">
        <v>2253</v>
      </c>
      <c r="AX23" t="s">
        <v>2254</v>
      </c>
      <c r="AY23" s="5">
        <v>91639.95</v>
      </c>
      <c r="AZ23" s="9">
        <v>17.428681855389517</v>
      </c>
      <c r="BA23" s="7">
        <f t="shared" si="25"/>
        <v>4.4670450589100571E-4</v>
      </c>
      <c r="BB23" s="54">
        <f t="shared" si="4"/>
        <v>6.5457893506837657</v>
      </c>
      <c r="BC23" s="55">
        <f t="shared" si="5"/>
        <v>0.33696589504807667</v>
      </c>
      <c r="BD23" s="55">
        <f t="shared" si="6"/>
        <v>0.58048763556864558</v>
      </c>
      <c r="BE23" s="55">
        <f t="shared" si="7"/>
        <v>0.56886742959267855</v>
      </c>
      <c r="BF23" s="56">
        <f t="shared" si="8"/>
        <v>3.4160462956829558E-3</v>
      </c>
      <c r="BG23" s="56">
        <f t="shared" si="26"/>
        <v>9.1771830115354891E-8</v>
      </c>
      <c r="BH23" s="56">
        <f t="shared" si="27"/>
        <v>3.0293865734725057E-4</v>
      </c>
      <c r="BI23" s="56">
        <f t="shared" si="9"/>
        <v>2.9687442896276562E-4</v>
      </c>
      <c r="BJ23" s="57">
        <f t="shared" si="28"/>
        <v>9.9608399857936203E-4</v>
      </c>
      <c r="BK23" s="57">
        <f t="shared" si="29"/>
        <v>8.8333799666606813E-5</v>
      </c>
      <c r="BL23" s="58">
        <f t="shared" si="30"/>
        <v>1.7575042650247679</v>
      </c>
      <c r="BM23" s="58">
        <f t="shared" si="30"/>
        <v>0.15585736733179309</v>
      </c>
      <c r="BN23" s="229"/>
      <c r="BO23" s="113" t="s">
        <v>3443</v>
      </c>
      <c r="BP23" s="114" t="s">
        <v>213</v>
      </c>
      <c r="BQ23" s="115">
        <f>VLOOKUP($BP23,$AX$2:$BM$1636,2,FALSE)</f>
        <v>50115</v>
      </c>
      <c r="BR23" s="116"/>
      <c r="BS23" s="116"/>
      <c r="BT23" s="117">
        <f t="shared" si="31"/>
        <v>0.25352098193953787</v>
      </c>
      <c r="BU23" s="117">
        <f t="shared" si="32"/>
        <v>53612.270354134256</v>
      </c>
      <c r="BV23" s="118">
        <f>((VLOOKUP($BP23,$AX$2:$BM$1636,14,FALSE)*0.000001)/BQ23)/0.000000001</f>
        <v>5.0587844345911966E-3</v>
      </c>
      <c r="BW23" s="119">
        <f>(((VLOOKUP($BP23,$AX$2:$BM$1636,15,FALSE)*0.000001)/BQ23)/0.000000001)^2</f>
        <v>1144439.7361374761</v>
      </c>
      <c r="BX23" s="120">
        <f t="shared" si="33"/>
        <v>1.5580338781546181</v>
      </c>
      <c r="CM23" s="217"/>
      <c r="CN23" s="89" t="s">
        <v>3444</v>
      </c>
      <c r="CO23" s="89" t="s">
        <v>1120</v>
      </c>
      <c r="CP23" s="91">
        <f t="shared" si="57"/>
        <v>5.7308007963704204E-3</v>
      </c>
      <c r="CQ23" s="91">
        <f t="shared" si="58"/>
        <v>341.91894203522651</v>
      </c>
      <c r="CR23" s="89" t="s">
        <v>3445</v>
      </c>
    </row>
    <row r="24" spans="1:96" ht="16" thickBot="1" x14ac:dyDescent="0.25">
      <c r="A24" s="2">
        <v>10</v>
      </c>
      <c r="B24" s="47" t="s">
        <v>3393</v>
      </c>
      <c r="C24" s="47" t="s">
        <v>3439</v>
      </c>
      <c r="D24" s="47" t="s">
        <v>3446</v>
      </c>
      <c r="E24" s="10">
        <v>642.21976026982531</v>
      </c>
      <c r="F24" s="10">
        <v>581.36767323198785</v>
      </c>
      <c r="G24" s="10">
        <v>625.36623796017705</v>
      </c>
      <c r="H24" s="10">
        <v>657.96287596101183</v>
      </c>
      <c r="I24" s="48">
        <f t="shared" si="19"/>
        <v>37880.565795683506</v>
      </c>
      <c r="J24" s="48">
        <f t="shared" si="20"/>
        <v>37325.904474801937</v>
      </c>
      <c r="K24" s="48">
        <f t="shared" si="0"/>
        <v>38763.447852794256</v>
      </c>
      <c r="L24" s="48">
        <f t="shared" si="1"/>
        <v>39648.684081666055</v>
      </c>
      <c r="M24" s="49">
        <f t="shared" si="21"/>
        <v>19.768703136039992</v>
      </c>
      <c r="N24" s="49">
        <f t="shared" si="22"/>
        <v>19.479242438628731</v>
      </c>
      <c r="O24" s="49">
        <f t="shared" si="2"/>
        <v>20.229452148747381</v>
      </c>
      <c r="P24" s="49">
        <f t="shared" si="3"/>
        <v>20.69142973134802</v>
      </c>
      <c r="R24" s="2" t="s">
        <v>3447</v>
      </c>
      <c r="S24" s="7">
        <v>3.1819061948428967E-15</v>
      </c>
      <c r="AD24" s="121" t="s">
        <v>3448</v>
      </c>
      <c r="AE24" s="122">
        <f>INTERCEPT(AE4:AE20,$U$4:$U$20)</f>
        <v>-14.078607106865537</v>
      </c>
      <c r="AF24" s="122">
        <f t="shared" ref="AF24:AL24" si="67">INTERCEPT(AF4:AF20,$U$4:$U$20)</f>
        <v>-13.493883384666637</v>
      </c>
      <c r="AG24" s="122">
        <f t="shared" si="67"/>
        <v>-13.386457121550009</v>
      </c>
      <c r="AH24" s="122">
        <f t="shared" si="67"/>
        <v>-13.688474574153224</v>
      </c>
      <c r="AI24" s="123">
        <f t="shared" si="67"/>
        <v>-24.982631040354001</v>
      </c>
      <c r="AJ24" s="123">
        <f t="shared" si="67"/>
        <v>-24.397907318155095</v>
      </c>
      <c r="AK24" s="123">
        <f t="shared" si="67"/>
        <v>-24.290481055038462</v>
      </c>
      <c r="AL24" s="124">
        <f t="shared" si="67"/>
        <v>-24.592498507641686</v>
      </c>
      <c r="AM24" s="10"/>
      <c r="AN24" s="9"/>
      <c r="AO24" s="10"/>
      <c r="AU24" s="2">
        <v>-1613</v>
      </c>
      <c r="AV24" s="53">
        <v>22</v>
      </c>
      <c r="AW24" s="4" t="s">
        <v>2635</v>
      </c>
      <c r="AX24" t="s">
        <v>2636</v>
      </c>
      <c r="AY24" s="4">
        <v>14514</v>
      </c>
      <c r="AZ24" s="9">
        <v>17.516043677400571</v>
      </c>
      <c r="BA24" s="7">
        <f t="shared" si="25"/>
        <v>4.4894362643144506E-4</v>
      </c>
      <c r="BB24" s="54">
        <f t="shared" si="4"/>
        <v>6.9285567961630274</v>
      </c>
      <c r="BC24" s="55">
        <f t="shared" si="5"/>
        <v>0.37271550267852654</v>
      </c>
      <c r="BD24" s="55">
        <f t="shared" si="6"/>
        <v>0.61050430193285821</v>
      </c>
      <c r="BE24" s="55">
        <f t="shared" si="7"/>
        <v>0.59828322209758433</v>
      </c>
      <c r="BF24" s="56">
        <f t="shared" si="8"/>
        <v>3.6158008621969061E-3</v>
      </c>
      <c r="BG24" s="56">
        <f t="shared" si="26"/>
        <v>1.0150814754796727E-7</v>
      </c>
      <c r="BH24" s="56">
        <f t="shared" si="27"/>
        <v>3.1860343304485479E-4</v>
      </c>
      <c r="BI24" s="56">
        <f t="shared" si="9"/>
        <v>3.122256270593669E-4</v>
      </c>
      <c r="BJ24" s="57">
        <f t="shared" si="28"/>
        <v>1.6698558980804643E-4</v>
      </c>
      <c r="BK24" s="57">
        <f t="shared" si="29"/>
        <v>1.4713803168224995E-5</v>
      </c>
      <c r="BL24" s="58">
        <f t="shared" si="30"/>
        <v>0.29463166430128679</v>
      </c>
      <c r="BM24" s="58">
        <f t="shared" si="30"/>
        <v>2.5961236060183565E-2</v>
      </c>
      <c r="CM24" s="217"/>
      <c r="CN24" s="125" t="s">
        <v>3449</v>
      </c>
      <c r="CO24" s="125" t="s">
        <v>87</v>
      </c>
      <c r="CP24" s="91">
        <f t="shared" si="57"/>
        <v>3.5226542631560656E-3</v>
      </c>
      <c r="CQ24" s="91">
        <f t="shared" si="58"/>
        <v>201.21834255489892</v>
      </c>
      <c r="CR24" s="125" t="s">
        <v>3450</v>
      </c>
    </row>
    <row r="25" spans="1:96" x14ac:dyDescent="0.2">
      <c r="A25" s="2">
        <v>11</v>
      </c>
      <c r="B25" s="47" t="s">
        <v>3397</v>
      </c>
      <c r="C25" s="47" t="s">
        <v>3451</v>
      </c>
      <c r="D25" s="47" t="s">
        <v>3452</v>
      </c>
      <c r="E25" s="10">
        <v>768.41478428850473</v>
      </c>
      <c r="F25" s="10">
        <v>725.22900122253941</v>
      </c>
      <c r="G25" s="10">
        <v>798.45732743435155</v>
      </c>
      <c r="H25" s="10">
        <v>823.59710595293313</v>
      </c>
      <c r="I25" s="48">
        <f t="shared" si="19"/>
        <v>45324.0286197159</v>
      </c>
      <c r="J25" s="48">
        <f t="shared" si="20"/>
        <v>46562.3213473492</v>
      </c>
      <c r="K25" s="48">
        <f t="shared" si="0"/>
        <v>49492.532688747247</v>
      </c>
      <c r="L25" s="48">
        <f t="shared" si="1"/>
        <v>49629.762799014308</v>
      </c>
      <c r="M25" s="49">
        <f t="shared" si="21"/>
        <v>23.653217629992287</v>
      </c>
      <c r="N25" s="49">
        <f t="shared" si="22"/>
        <v>24.29944454909732</v>
      </c>
      <c r="O25" s="49">
        <f t="shared" si="2"/>
        <v>25.828631796362675</v>
      </c>
      <c r="P25" s="49">
        <f t="shared" si="3"/>
        <v>25.900247973529304</v>
      </c>
      <c r="R25" s="2" t="s">
        <v>3453</v>
      </c>
      <c r="S25" s="7">
        <v>0.5231016845740416</v>
      </c>
      <c r="AM25" s="10"/>
      <c r="AN25" s="9"/>
      <c r="AO25" s="10"/>
      <c r="AR25" s="11">
        <f>36641.7*BA3-13.662</f>
        <v>0.6071716949594137</v>
      </c>
      <c r="AS25" s="135">
        <f>2^AR25</f>
        <v>1.5232700130933332</v>
      </c>
      <c r="AU25" s="2">
        <v>-1612</v>
      </c>
      <c r="AV25" s="53">
        <v>23</v>
      </c>
      <c r="AW25" s="4" t="s">
        <v>2675</v>
      </c>
      <c r="AX25" t="s">
        <v>2676</v>
      </c>
      <c r="AY25" s="4">
        <v>21621</v>
      </c>
      <c r="AZ25" s="9">
        <v>17.541827661855862</v>
      </c>
      <c r="BA25" s="7">
        <f t="shared" si="25"/>
        <v>4.4960448088570434E-4</v>
      </c>
      <c r="BB25" s="54">
        <f t="shared" si="4"/>
        <v>7.0457476708625801</v>
      </c>
      <c r="BC25" s="55">
        <f t="shared" si="5"/>
        <v>0.3839679666012526</v>
      </c>
      <c r="BD25" s="55">
        <f t="shared" si="6"/>
        <v>0.61965148801665326</v>
      </c>
      <c r="BE25" s="55">
        <f t="shared" si="7"/>
        <v>0.60724729973964653</v>
      </c>
      <c r="BF25" s="56">
        <f t="shared" si="8"/>
        <v>3.6769591781704311E-3</v>
      </c>
      <c r="BG25" s="56">
        <f t="shared" si="26"/>
        <v>1.0457272833394924E-7</v>
      </c>
      <c r="BH25" s="56">
        <f t="shared" si="27"/>
        <v>3.2337706834893108E-4</v>
      </c>
      <c r="BI25" s="56">
        <f t="shared" si="9"/>
        <v>3.1690370369502613E-4</v>
      </c>
      <c r="BJ25" s="57">
        <f t="shared" si="28"/>
        <v>2.5296006096655802E-4</v>
      </c>
      <c r="BK25" s="57">
        <f t="shared" si="29"/>
        <v>2.2247046801709371E-5</v>
      </c>
      <c r="BL25" s="58">
        <f t="shared" si="30"/>
        <v>0.44632620006316631</v>
      </c>
      <c r="BM25" s="58">
        <f t="shared" si="30"/>
        <v>3.9252994420123345E-2</v>
      </c>
      <c r="BN25" s="126"/>
      <c r="BO25" s="2" t="s">
        <v>3454</v>
      </c>
      <c r="BQ25" s="60"/>
      <c r="BV25" s="127"/>
      <c r="BW25" s="128"/>
      <c r="CM25" s="217"/>
      <c r="CN25" s="89" t="s">
        <v>3455</v>
      </c>
      <c r="CO25" s="89" t="s">
        <v>151</v>
      </c>
      <c r="CP25" s="91">
        <f t="shared" si="57"/>
        <v>1.6242958311035681E-3</v>
      </c>
      <c r="CQ25" s="91">
        <f t="shared" si="58"/>
        <v>57.067017583525114</v>
      </c>
      <c r="CR25" s="89" t="s">
        <v>3456</v>
      </c>
    </row>
    <row r="26" spans="1:96" ht="16" x14ac:dyDescent="0.2">
      <c r="A26" s="2">
        <v>11</v>
      </c>
      <c r="B26" s="47" t="s">
        <v>3397</v>
      </c>
      <c r="C26" s="47" t="s">
        <v>3451</v>
      </c>
      <c r="D26" s="47" t="s">
        <v>3457</v>
      </c>
      <c r="E26" s="10">
        <v>828.55684217721091</v>
      </c>
      <c r="F26" s="10">
        <v>766.33303693298467</v>
      </c>
      <c r="G26" s="10">
        <v>821.46244415872786</v>
      </c>
      <c r="H26" s="10">
        <v>871.94250266237827</v>
      </c>
      <c r="I26" s="48">
        <f t="shared" si="19"/>
        <v>48871.436099024482</v>
      </c>
      <c r="J26" s="48">
        <f t="shared" si="20"/>
        <v>49201.348904433042</v>
      </c>
      <c r="K26" s="48">
        <f t="shared" si="0"/>
        <v>50918.509321898324</v>
      </c>
      <c r="L26" s="48">
        <f t="shared" si="1"/>
        <v>52543.044734770825</v>
      </c>
      <c r="M26" s="49">
        <f t="shared" si="21"/>
        <v>25.504500573844467</v>
      </c>
      <c r="N26" s="49">
        <f t="shared" si="22"/>
        <v>25.676671928044335</v>
      </c>
      <c r="O26" s="49">
        <f t="shared" si="2"/>
        <v>26.572805177820083</v>
      </c>
      <c r="P26" s="49">
        <f t="shared" si="3"/>
        <v>27.420600284268041</v>
      </c>
      <c r="R26" s="2" t="s">
        <v>3458</v>
      </c>
      <c r="S26" s="7">
        <f>S25/(S22*1000)</f>
        <v>1.2594677810422454E-12</v>
      </c>
      <c r="AD26" s="53"/>
      <c r="AE26" s="18" t="s">
        <v>3286</v>
      </c>
      <c r="AF26" s="18" t="s">
        <v>3287</v>
      </c>
      <c r="AG26" s="18" t="s">
        <v>3288</v>
      </c>
      <c r="AH26" s="18" t="s">
        <v>3289</v>
      </c>
      <c r="AI26" s="19" t="s">
        <v>3286</v>
      </c>
      <c r="AJ26" s="19" t="s">
        <v>3287</v>
      </c>
      <c r="AK26" s="19" t="s">
        <v>3288</v>
      </c>
      <c r="AL26" s="105" t="s">
        <v>3289</v>
      </c>
      <c r="AM26" s="10"/>
      <c r="AN26" s="9"/>
      <c r="AO26" s="10"/>
      <c r="AR26" s="11"/>
      <c r="AU26" s="2">
        <v>-1611</v>
      </c>
      <c r="AV26" s="53">
        <v>24</v>
      </c>
      <c r="AW26" s="4" t="s">
        <v>2227</v>
      </c>
      <c r="AX26" t="s">
        <v>2228</v>
      </c>
      <c r="AY26" s="4">
        <v>28308</v>
      </c>
      <c r="AZ26" s="9">
        <v>17.571609464872392</v>
      </c>
      <c r="BA26" s="7">
        <f t="shared" si="25"/>
        <v>4.5036780112480372E-4</v>
      </c>
      <c r="BB26" s="54">
        <f t="shared" si="4"/>
        <v>7.183578416676653</v>
      </c>
      <c r="BC26" s="55">
        <f t="shared" si="5"/>
        <v>0.39738488656417864</v>
      </c>
      <c r="BD26" s="55">
        <f t="shared" si="6"/>
        <v>0.63038471314283839</v>
      </c>
      <c r="BE26" s="55">
        <f t="shared" si="7"/>
        <v>0.61776566708228808</v>
      </c>
      <c r="BF26" s="56">
        <f t="shared" si="8"/>
        <v>3.748888808570194E-3</v>
      </c>
      <c r="BG26" s="56">
        <f t="shared" si="26"/>
        <v>1.0822679338208494E-7</v>
      </c>
      <c r="BH26" s="56">
        <f t="shared" si="27"/>
        <v>3.2897840868677833E-4</v>
      </c>
      <c r="BI26" s="56">
        <f t="shared" si="9"/>
        <v>3.2239291635869212E-4</v>
      </c>
      <c r="BJ26" s="57">
        <f t="shared" si="28"/>
        <v>3.3767516332278787E-4</v>
      </c>
      <c r="BK26" s="57">
        <f t="shared" si="29"/>
        <v>2.9632203982424071E-5</v>
      </c>
      <c r="BL26" s="58">
        <f t="shared" si="30"/>
        <v>0.59579868824230586</v>
      </c>
      <c r="BM26" s="58">
        <f t="shared" si="30"/>
        <v>5.2283467012290225E-2</v>
      </c>
      <c r="BN26" s="126"/>
      <c r="BO26" s="2" t="s">
        <v>3459</v>
      </c>
      <c r="BP26" s="2" t="s">
        <v>3460</v>
      </c>
      <c r="BQ26" s="60"/>
      <c r="BV26" s="127"/>
      <c r="BW26" s="128"/>
      <c r="CM26" s="217"/>
      <c r="CN26" s="89" t="s">
        <v>3461</v>
      </c>
      <c r="CO26" s="89" t="s">
        <v>789</v>
      </c>
      <c r="CP26" s="91">
        <f t="shared" si="57"/>
        <v>2.0455892037898214E-3</v>
      </c>
      <c r="CQ26" s="91">
        <f t="shared" si="58"/>
        <v>90.754506086304886</v>
      </c>
      <c r="CR26" s="89" t="s">
        <v>3456</v>
      </c>
    </row>
    <row r="27" spans="1:96" ht="16" x14ac:dyDescent="0.2">
      <c r="A27" s="2">
        <v>11</v>
      </c>
      <c r="B27" s="47" t="s">
        <v>3397</v>
      </c>
      <c r="C27" s="47" t="s">
        <v>3451</v>
      </c>
      <c r="D27" s="47" t="s">
        <v>3462</v>
      </c>
      <c r="E27" s="10">
        <v>886.1735741085289</v>
      </c>
      <c r="F27" s="10">
        <v>843.56021503027273</v>
      </c>
      <c r="G27" s="10">
        <v>881.86705727079641</v>
      </c>
      <c r="H27" s="10">
        <v>924.07073292659209</v>
      </c>
      <c r="I27" s="48">
        <f t="shared" si="19"/>
        <v>52269.890241792622</v>
      </c>
      <c r="J27" s="48">
        <f t="shared" si="20"/>
        <v>54159.612676639095</v>
      </c>
      <c r="K27" s="48">
        <f t="shared" si="0"/>
        <v>54662.701010396522</v>
      </c>
      <c r="L27" s="48">
        <f t="shared" si="1"/>
        <v>55684.279307410485</v>
      </c>
      <c r="M27" s="49">
        <f t="shared" si="21"/>
        <v>27.278049349018367</v>
      </c>
      <c r="N27" s="49">
        <f t="shared" si="22"/>
        <v>28.264237412456726</v>
      </c>
      <c r="O27" s="49">
        <f t="shared" si="2"/>
        <v>28.526783752838714</v>
      </c>
      <c r="P27" s="49">
        <f t="shared" si="3"/>
        <v>29.059914070712463</v>
      </c>
      <c r="AD27" s="106" t="s">
        <v>3436</v>
      </c>
      <c r="AE27" s="107">
        <f>(CORREL(AE4:AE20,$V$4:$V$20))^2</f>
        <v>0.9038013274152259</v>
      </c>
      <c r="AF27" s="107">
        <f t="shared" ref="AF27:AL27" si="68">(CORREL(AF4:AF20,$V$4:$V$20))^2</f>
        <v>0.89935310421679193</v>
      </c>
      <c r="AG27" s="107">
        <f t="shared" si="68"/>
        <v>0.88132298648635321</v>
      </c>
      <c r="AH27" s="107">
        <f t="shared" si="68"/>
        <v>0.88805524815992853</v>
      </c>
      <c r="AI27" s="107">
        <f t="shared" si="68"/>
        <v>0.90380132741522623</v>
      </c>
      <c r="AJ27" s="107">
        <f t="shared" si="68"/>
        <v>0.89935310421679193</v>
      </c>
      <c r="AK27" s="107">
        <f t="shared" si="68"/>
        <v>0.88132298648635343</v>
      </c>
      <c r="AL27" s="107">
        <f t="shared" si="68"/>
        <v>0.8880552481599292</v>
      </c>
      <c r="AM27" s="10"/>
      <c r="AN27" s="9"/>
      <c r="AO27" s="10"/>
      <c r="AR27" s="11" t="s">
        <v>3538</v>
      </c>
      <c r="AU27" s="2">
        <v>-1610</v>
      </c>
      <c r="AV27" s="53">
        <v>25</v>
      </c>
      <c r="AW27" s="4" t="s">
        <v>2359</v>
      </c>
      <c r="AX27" t="s">
        <v>2360</v>
      </c>
      <c r="AY27" s="4">
        <v>22993</v>
      </c>
      <c r="AZ27" s="9">
        <v>17.697420108049617</v>
      </c>
      <c r="BA27" s="7">
        <f t="shared" si="25"/>
        <v>4.5359238125442105E-4</v>
      </c>
      <c r="BB27" s="54">
        <f t="shared" si="4"/>
        <v>7.7962210113752706</v>
      </c>
      <c r="BC27" s="55">
        <f t="shared" si="5"/>
        <v>0.45938391181550592</v>
      </c>
      <c r="BD27" s="55">
        <f t="shared" si="6"/>
        <v>0.67777865989975361</v>
      </c>
      <c r="BE27" s="55">
        <f t="shared" si="7"/>
        <v>0.66421088144666951</v>
      </c>
      <c r="BF27" s="56">
        <f t="shared" si="8"/>
        <v>4.0686081508950747E-3</v>
      </c>
      <c r="BG27" s="56">
        <f t="shared" si="26"/>
        <v>1.2511207493816228E-7</v>
      </c>
      <c r="BH27" s="56">
        <f t="shared" si="27"/>
        <v>3.5371185297945881E-4</v>
      </c>
      <c r="BI27" s="56">
        <f t="shared" si="9"/>
        <v>3.4663124637233288E-4</v>
      </c>
      <c r="BJ27" s="57">
        <f t="shared" si="28"/>
        <v>2.9766575652723275E-4</v>
      </c>
      <c r="BK27" s="57">
        <f t="shared" si="29"/>
        <v>2.5878114186694807E-5</v>
      </c>
      <c r="BL27" s="58">
        <f t="shared" si="30"/>
        <v>0.52520554229820238</v>
      </c>
      <c r="BM27" s="58">
        <f t="shared" si="30"/>
        <v>4.5659699502029923E-2</v>
      </c>
      <c r="BN27" s="126"/>
      <c r="BO27" s="2" t="s">
        <v>3463</v>
      </c>
      <c r="BP27" s="2" t="s">
        <v>3464</v>
      </c>
      <c r="BQ27" s="60"/>
      <c r="BV27" s="127"/>
      <c r="BW27" s="128"/>
      <c r="CP27" s="32" t="s">
        <v>3465</v>
      </c>
      <c r="CQ27" s="25" t="s">
        <v>3465</v>
      </c>
    </row>
    <row r="28" spans="1:96" x14ac:dyDescent="0.2">
      <c r="A28" s="2">
        <v>12</v>
      </c>
      <c r="B28" s="47" t="s">
        <v>3405</v>
      </c>
      <c r="C28" s="47" t="s">
        <v>3466</v>
      </c>
      <c r="D28" s="47" t="s">
        <v>3467</v>
      </c>
      <c r="E28" s="10">
        <v>55.01669947697053</v>
      </c>
      <c r="F28" s="10">
        <v>47.400551259130978</v>
      </c>
      <c r="G28" s="10">
        <v>52.938566548182436</v>
      </c>
      <c r="H28" s="10">
        <v>51.362529423441707</v>
      </c>
      <c r="I28" s="48">
        <f t="shared" si="19"/>
        <v>3245.0943326987008</v>
      </c>
      <c r="J28" s="48">
        <f t="shared" si="20"/>
        <v>3043.28659781754</v>
      </c>
      <c r="K28" s="48">
        <f t="shared" si="0"/>
        <v>3281.4073405779591</v>
      </c>
      <c r="L28" s="48">
        <f t="shared" si="1"/>
        <v>3095.0936248050416</v>
      </c>
      <c r="M28" s="49">
        <f t="shared" si="21"/>
        <v>1.6935150033814026</v>
      </c>
      <c r="N28" s="49">
        <f t="shared" si="22"/>
        <v>1.5881977485404801</v>
      </c>
      <c r="O28" s="49">
        <f t="shared" si="2"/>
        <v>1.7124656462153474</v>
      </c>
      <c r="P28" s="49">
        <f t="shared" si="3"/>
        <v>1.6152342437818852</v>
      </c>
      <c r="S28" s="77"/>
      <c r="AD28" s="106" t="s">
        <v>3442</v>
      </c>
      <c r="AE28" s="110">
        <f>SLOPE(AE4:AE20,$V$4:$V$20)</f>
        <v>37163.137221354198</v>
      </c>
      <c r="AF28" s="110">
        <f t="shared" ref="AF28:AL28" si="69">SLOPE(AF4:AF20,$V$4:$V$20)</f>
        <v>36438.816636379735</v>
      </c>
      <c r="AG28" s="110">
        <f t="shared" si="69"/>
        <v>36274.100952764857</v>
      </c>
      <c r="AH28" s="110">
        <f t="shared" si="69"/>
        <v>36690.573036850335</v>
      </c>
      <c r="AI28" s="110">
        <f t="shared" si="69"/>
        <v>37163.137221354213</v>
      </c>
      <c r="AJ28" s="110">
        <f t="shared" si="69"/>
        <v>36438.816636379735</v>
      </c>
      <c r="AK28" s="110">
        <f t="shared" si="69"/>
        <v>36274.100952764849</v>
      </c>
      <c r="AL28" s="110">
        <f t="shared" si="69"/>
        <v>36690.573036850343</v>
      </c>
      <c r="AM28" s="10"/>
      <c r="AN28" s="9"/>
      <c r="AO28" s="10"/>
      <c r="AR28" s="11" t="s">
        <v>3539</v>
      </c>
      <c r="AU28" s="2">
        <v>-1609</v>
      </c>
      <c r="AV28" s="53">
        <v>26</v>
      </c>
      <c r="AW28" s="4" t="s">
        <v>2794</v>
      </c>
      <c r="AX28" t="s">
        <v>2795</v>
      </c>
      <c r="AY28" s="4">
        <v>57978</v>
      </c>
      <c r="AZ28" s="9">
        <v>17.699500157677477</v>
      </c>
      <c r="BA28" s="7">
        <f t="shared" si="25"/>
        <v>4.5364569380834522E-4</v>
      </c>
      <c r="BB28" s="54">
        <f t="shared" si="4"/>
        <v>7.8067772513245117</v>
      </c>
      <c r="BC28" s="55">
        <f t="shared" si="5"/>
        <v>0.46048567109397814</v>
      </c>
      <c r="BD28" s="55">
        <f t="shared" si="6"/>
        <v>0.67859094533745301</v>
      </c>
      <c r="BE28" s="55">
        <f t="shared" si="7"/>
        <v>0.66500690654819805</v>
      </c>
      <c r="BF28" s="56">
        <f t="shared" si="8"/>
        <v>4.0741171281082171E-3</v>
      </c>
      <c r="BG28" s="56">
        <f t="shared" si="26"/>
        <v>1.2541213635926479E-7</v>
      </c>
      <c r="BH28" s="56">
        <f t="shared" si="27"/>
        <v>3.5413575978608089E-4</v>
      </c>
      <c r="BI28" s="56">
        <f t="shared" si="9"/>
        <v>3.4704666740922321E-4</v>
      </c>
      <c r="BJ28" s="57">
        <f t="shared" si="28"/>
        <v>7.5159539856207329E-4</v>
      </c>
      <c r="BK28" s="57">
        <f t="shared" si="29"/>
        <v>6.5331162348072813E-5</v>
      </c>
      <c r="BL28" s="58">
        <f t="shared" si="30"/>
        <v>1.3261252268179975</v>
      </c>
      <c r="BM28" s="58">
        <f t="shared" si="30"/>
        <v>0.11527119864340973</v>
      </c>
      <c r="BN28" s="126"/>
      <c r="BO28" s="2" t="s">
        <v>3468</v>
      </c>
      <c r="BP28" s="2" t="s">
        <v>3469</v>
      </c>
      <c r="BQ28" s="60"/>
      <c r="BV28" s="127"/>
      <c r="BW28" s="128"/>
      <c r="CM28" s="230" t="s">
        <v>3327</v>
      </c>
      <c r="CN28" s="2" t="s">
        <v>3336</v>
      </c>
      <c r="CO28" s="47" t="s">
        <v>216</v>
      </c>
      <c r="CP28" s="8">
        <f t="shared" ref="CP28:CP41" si="70">VLOOKUP(CO28,$AX$2:$BJ$1636,4,FALSE)</f>
        <v>7.4728549498575994E-4</v>
      </c>
      <c r="CQ28" s="9">
        <f t="shared" ref="CQ28:CQ41" si="71">VLOOKUP(CO28,$AX$2:$BJ$1636,6,FALSE)</f>
        <v>8588.3531909479516</v>
      </c>
    </row>
    <row r="29" spans="1:96" ht="16" thickBot="1" x14ac:dyDescent="0.25">
      <c r="A29" s="2">
        <v>12</v>
      </c>
      <c r="B29" s="47" t="s">
        <v>3405</v>
      </c>
      <c r="C29" s="47" t="s">
        <v>3466</v>
      </c>
      <c r="D29" s="47" t="s">
        <v>3470</v>
      </c>
      <c r="E29" s="10">
        <v>73.178729669661053</v>
      </c>
      <c r="F29" s="10">
        <v>66.739391974102219</v>
      </c>
      <c r="G29" s="10">
        <v>67.464227047486986</v>
      </c>
      <c r="H29" s="10">
        <v>70.533228785366433</v>
      </c>
      <c r="I29" s="48">
        <f t="shared" si="19"/>
        <v>4316.3599994672677</v>
      </c>
      <c r="J29" s="48">
        <f t="shared" si="20"/>
        <v>4284.9100220569981</v>
      </c>
      <c r="K29" s="48">
        <f t="shared" si="0"/>
        <v>4181.7832309183041</v>
      </c>
      <c r="L29" s="48">
        <f t="shared" si="1"/>
        <v>4250.3153407952777</v>
      </c>
      <c r="M29" s="49">
        <f t="shared" si="21"/>
        <v>2.2525756325284183</v>
      </c>
      <c r="N29" s="49">
        <f t="shared" si="22"/>
        <v>2.2361628558446647</v>
      </c>
      <c r="O29" s="49">
        <f t="shared" si="2"/>
        <v>2.1823441528614702</v>
      </c>
      <c r="P29" s="49">
        <f t="shared" si="3"/>
        <v>2.2181089548644737</v>
      </c>
      <c r="S29" s="77"/>
      <c r="AD29" s="121" t="s">
        <v>3448</v>
      </c>
      <c r="AE29" s="122">
        <f>INTERCEPT(AE4:AE20,$V$4:$V$20)</f>
        <v>-14.078607106865537</v>
      </c>
      <c r="AF29" s="122">
        <f t="shared" ref="AF29:AL29" si="72">INTERCEPT(AF4:AF20,$V$4:$V$20)</f>
        <v>-13.493883384666647</v>
      </c>
      <c r="AG29" s="122">
        <f t="shared" si="72"/>
        <v>-13.386457121550013</v>
      </c>
      <c r="AH29" s="122">
        <f t="shared" si="72"/>
        <v>-13.688474574153224</v>
      </c>
      <c r="AI29" s="122">
        <f t="shared" si="72"/>
        <v>-24.982631040354004</v>
      </c>
      <c r="AJ29" s="122">
        <f t="shared" si="72"/>
        <v>-24.397907318155102</v>
      </c>
      <c r="AK29" s="122">
        <f t="shared" si="72"/>
        <v>-24.290481055038459</v>
      </c>
      <c r="AL29" s="122">
        <f t="shared" si="72"/>
        <v>-24.592498507641686</v>
      </c>
      <c r="AM29" s="10"/>
      <c r="AN29" s="9"/>
      <c r="AO29" s="10"/>
      <c r="AR29" s="11"/>
      <c r="AU29" s="2">
        <v>-1608</v>
      </c>
      <c r="AV29" s="53">
        <v>27</v>
      </c>
      <c r="AW29" s="4" t="s">
        <v>2614</v>
      </c>
      <c r="AX29" t="s">
        <v>2615</v>
      </c>
      <c r="AY29" s="4">
        <v>15931</v>
      </c>
      <c r="AZ29" s="9">
        <v>17.7467067516185</v>
      </c>
      <c r="BA29" s="7">
        <f t="shared" si="25"/>
        <v>4.5485561882712691E-4</v>
      </c>
      <c r="BB29" s="54">
        <f t="shared" si="4"/>
        <v>8.0502318214478752</v>
      </c>
      <c r="BC29" s="55">
        <f t="shared" si="5"/>
        <v>0.48620643669689484</v>
      </c>
      <c r="BD29" s="55">
        <f t="shared" si="6"/>
        <v>0.69728504694772775</v>
      </c>
      <c r="BE29" s="55">
        <f t="shared" si="7"/>
        <v>0.68332678948793346</v>
      </c>
      <c r="BF29" s="56">
        <f t="shared" si="8"/>
        <v>4.2011685863636104E-3</v>
      </c>
      <c r="BG29" s="56">
        <f t="shared" si="26"/>
        <v>1.3241712340999223E-7</v>
      </c>
      <c r="BH29" s="56">
        <f t="shared" si="27"/>
        <v>3.6389163690581322E-4</v>
      </c>
      <c r="BI29" s="56">
        <f t="shared" si="9"/>
        <v>3.5660725130536004E-4</v>
      </c>
      <c r="BJ29" s="57">
        <f t="shared" si="28"/>
        <v>2.1296121662828937E-4</v>
      </c>
      <c r="BK29" s="57">
        <f t="shared" si="29"/>
        <v>1.8446011894847238E-5</v>
      </c>
      <c r="BL29" s="58">
        <f t="shared" si="30"/>
        <v>0.37575169066352754</v>
      </c>
      <c r="BM29" s="58">
        <f t="shared" si="30"/>
        <v>3.2546396312086397E-2</v>
      </c>
      <c r="BN29" s="126"/>
      <c r="BO29" s="2" t="s">
        <v>3471</v>
      </c>
      <c r="BP29" s="2" t="s">
        <v>3472</v>
      </c>
      <c r="BQ29" s="60"/>
      <c r="CM29" s="230"/>
      <c r="CN29" s="2" t="s">
        <v>3341</v>
      </c>
      <c r="CO29" s="77" t="s">
        <v>214</v>
      </c>
      <c r="CP29" s="8">
        <f t="shared" si="70"/>
        <v>7.5618117466673353E-4</v>
      </c>
      <c r="CQ29" s="9">
        <f t="shared" si="71"/>
        <v>15848.382398832258</v>
      </c>
    </row>
    <row r="30" spans="1:96" x14ac:dyDescent="0.2">
      <c r="A30" s="2">
        <v>12</v>
      </c>
      <c r="B30" s="47" t="s">
        <v>3405</v>
      </c>
      <c r="C30" s="47" t="s">
        <v>3466</v>
      </c>
      <c r="D30" s="47" t="s">
        <v>3473</v>
      </c>
      <c r="E30" s="10">
        <v>144.2035479027715</v>
      </c>
      <c r="F30" s="10">
        <v>123.44946694894719</v>
      </c>
      <c r="G30" s="10">
        <v>128.0028762317275</v>
      </c>
      <c r="H30" s="10">
        <v>124.54651305748791</v>
      </c>
      <c r="I30" s="48">
        <f t="shared" si="19"/>
        <v>8505.674104463691</v>
      </c>
      <c r="J30" s="48">
        <f t="shared" si="20"/>
        <v>7925.9016676747851</v>
      </c>
      <c r="K30" s="48">
        <f t="shared" si="0"/>
        <v>7934.2831714113299</v>
      </c>
      <c r="L30" s="48">
        <f t="shared" si="1"/>
        <v>7505.1428129237602</v>
      </c>
      <c r="M30" s="49">
        <f t="shared" si="21"/>
        <v>4.4388499171310105</v>
      </c>
      <c r="N30" s="49">
        <f t="shared" si="22"/>
        <v>4.136284500047287</v>
      </c>
      <c r="O30" s="49">
        <f t="shared" si="2"/>
        <v>4.140658549265428</v>
      </c>
      <c r="P30" s="49">
        <f t="shared" si="3"/>
        <v>3.9167033845935939</v>
      </c>
      <c r="S30" s="77"/>
      <c r="AM30" s="10"/>
      <c r="AN30" s="9"/>
      <c r="AO30" s="10"/>
      <c r="AR30" s="11"/>
      <c r="AU30" s="2">
        <v>-1607</v>
      </c>
      <c r="AV30" s="53">
        <v>28</v>
      </c>
      <c r="AW30" s="4" t="s">
        <v>2972</v>
      </c>
      <c r="AX30" t="s">
        <v>2973</v>
      </c>
      <c r="AY30" s="4">
        <v>16426</v>
      </c>
      <c r="AZ30" s="9">
        <v>17.761527426256308</v>
      </c>
      <c r="BA30" s="7">
        <f t="shared" si="25"/>
        <v>4.5523547900220982E-4</v>
      </c>
      <c r="BB30" s="54">
        <f t="shared" si="4"/>
        <v>8.1282202902170546</v>
      </c>
      <c r="BC30" s="55">
        <f t="shared" si="5"/>
        <v>0.49457154586959956</v>
      </c>
      <c r="BD30" s="55">
        <f t="shared" si="6"/>
        <v>0.70325780896453582</v>
      </c>
      <c r="BE30" s="55">
        <f t="shared" si="7"/>
        <v>0.68917998870851971</v>
      </c>
      <c r="BF30" s="56">
        <f t="shared" si="8"/>
        <v>4.2418683714578386E-3</v>
      </c>
      <c r="BG30" s="56">
        <f t="shared" si="26"/>
        <v>1.3469534025381974E-7</v>
      </c>
      <c r="BH30" s="56">
        <f t="shared" si="27"/>
        <v>3.6700863784633152E-4</v>
      </c>
      <c r="BI30" s="56">
        <f t="shared" si="9"/>
        <v>3.5966185609695672E-4</v>
      </c>
      <c r="BJ30" s="57">
        <f t="shared" si="28"/>
        <v>2.217054547896076E-4</v>
      </c>
      <c r="BK30" s="57">
        <f t="shared" si="29"/>
        <v>1.9182070220031592E-5</v>
      </c>
      <c r="BL30" s="58">
        <f t="shared" si="30"/>
        <v>0.39118014437308163</v>
      </c>
      <c r="BM30" s="58">
        <f t="shared" si="30"/>
        <v>3.3845107713598208E-2</v>
      </c>
      <c r="BN30" s="126"/>
      <c r="BO30" s="2" t="s">
        <v>3474</v>
      </c>
      <c r="BP30" s="2" t="s">
        <v>3475</v>
      </c>
      <c r="CM30" s="230"/>
      <c r="CN30" s="2" t="s">
        <v>3348</v>
      </c>
      <c r="CO30" s="77" t="s">
        <v>933</v>
      </c>
      <c r="CP30" s="8">
        <f t="shared" si="70"/>
        <v>7.1570824225340767E-4</v>
      </c>
      <c r="CQ30" s="9">
        <f t="shared" si="71"/>
        <v>2614.404264383224</v>
      </c>
    </row>
    <row r="31" spans="1:96" x14ac:dyDescent="0.2">
      <c r="A31" s="2">
        <v>12</v>
      </c>
      <c r="B31" s="47" t="s">
        <v>3405</v>
      </c>
      <c r="C31" s="47" t="s">
        <v>3466</v>
      </c>
      <c r="D31" s="47" t="s">
        <v>3476</v>
      </c>
      <c r="E31" s="10">
        <v>69.594242142626655</v>
      </c>
      <c r="F31" s="10">
        <v>69.163304269358107</v>
      </c>
      <c r="G31" s="10">
        <v>66.487018165777499</v>
      </c>
      <c r="H31" s="10">
        <v>65.081358907256828</v>
      </c>
      <c r="I31" s="48">
        <f t="shared" si="19"/>
        <v>4104.933282303371</v>
      </c>
      <c r="J31" s="48">
        <f t="shared" si="20"/>
        <v>4440.5339463888149</v>
      </c>
      <c r="K31" s="48">
        <f t="shared" si="0"/>
        <v>4121.2107483823247</v>
      </c>
      <c r="L31" s="48">
        <f t="shared" si="1"/>
        <v>3921.7869779514017</v>
      </c>
      <c r="M31" s="49">
        <f t="shared" si="21"/>
        <v>2.1422385264465227</v>
      </c>
      <c r="N31" s="49">
        <f t="shared" si="22"/>
        <v>2.3173781992895033</v>
      </c>
      <c r="O31" s="49">
        <f t="shared" si="2"/>
        <v>2.1507332357509563</v>
      </c>
      <c r="P31" s="49">
        <f t="shared" si="3"/>
        <v>2.0466600986921653</v>
      </c>
      <c r="S31" s="77"/>
      <c r="AD31" s="2" t="s">
        <v>3536</v>
      </c>
      <c r="AE31" s="2">
        <f>AVERAGE(AE28:AH28)</f>
        <v>36641.656961837281</v>
      </c>
      <c r="AM31" s="10"/>
      <c r="AN31" s="9"/>
      <c r="AO31" s="10"/>
      <c r="AR31" s="11"/>
      <c r="AU31" s="2">
        <v>-1606</v>
      </c>
      <c r="AV31" s="53">
        <v>29</v>
      </c>
      <c r="AW31" s="4" t="s">
        <v>2653</v>
      </c>
      <c r="AX31" t="s">
        <v>2654</v>
      </c>
      <c r="AY31" s="4">
        <v>31145</v>
      </c>
      <c r="AZ31" s="9">
        <v>17.795211051947152</v>
      </c>
      <c r="BA31" s="7">
        <f t="shared" si="25"/>
        <v>4.5609880461086415E-4</v>
      </c>
      <c r="BB31" s="54">
        <f t="shared" si="4"/>
        <v>8.3082899040090012</v>
      </c>
      <c r="BC31" s="55">
        <f t="shared" si="5"/>
        <v>0.51411757082350229</v>
      </c>
      <c r="BD31" s="55">
        <f t="shared" si="6"/>
        <v>0.71701992358894906</v>
      </c>
      <c r="BE31" s="55">
        <f t="shared" si="7"/>
        <v>0.70266661321600066</v>
      </c>
      <c r="BF31" s="56">
        <f t="shared" si="8"/>
        <v>4.3358411689623615E-3</v>
      </c>
      <c r="BG31" s="56">
        <f t="shared" si="26"/>
        <v>1.4001865192381708E-7</v>
      </c>
      <c r="BH31" s="56">
        <f t="shared" si="27"/>
        <v>3.7419066252889995E-4</v>
      </c>
      <c r="BI31" s="56">
        <f t="shared" si="9"/>
        <v>3.6670011095391264E-4</v>
      </c>
      <c r="BJ31" s="57">
        <f t="shared" si="28"/>
        <v>4.2968389091859187E-4</v>
      </c>
      <c r="BK31" s="57">
        <f t="shared" si="29"/>
        <v>3.7082469941882509E-5</v>
      </c>
      <c r="BL31" s="58">
        <f t="shared" si="30"/>
        <v>0.75814014880161207</v>
      </c>
      <c r="BM31" s="58">
        <f t="shared" si="30"/>
        <v>6.5428818426419788E-2</v>
      </c>
      <c r="BO31" s="2" t="s">
        <v>3477</v>
      </c>
      <c r="BP31" s="2" t="s">
        <v>3478</v>
      </c>
      <c r="CM31" s="230"/>
      <c r="CN31" s="2" t="s">
        <v>3355</v>
      </c>
      <c r="CO31" s="77" t="s">
        <v>215</v>
      </c>
      <c r="CP31" s="8">
        <f t="shared" si="70"/>
        <v>7.5316627881722635E-4</v>
      </c>
      <c r="CQ31" s="9">
        <f t="shared" si="71"/>
        <v>14969.289101267465</v>
      </c>
    </row>
    <row r="32" spans="1:96" x14ac:dyDescent="0.2">
      <c r="A32" s="2">
        <v>13</v>
      </c>
      <c r="B32" s="47" t="s">
        <v>3409</v>
      </c>
      <c r="C32" s="47" t="s">
        <v>3479</v>
      </c>
      <c r="D32" s="47" t="s">
        <v>3480</v>
      </c>
      <c r="E32" s="10">
        <v>8.044064764116051</v>
      </c>
      <c r="F32" s="10">
        <v>8.457113023504645</v>
      </c>
      <c r="G32" s="10">
        <v>8.011794448234836</v>
      </c>
      <c r="H32" s="10">
        <v>8.892760109152583</v>
      </c>
      <c r="I32" s="48">
        <f t="shared" si="19"/>
        <v>474.46955608126018</v>
      </c>
      <c r="J32" s="48">
        <f t="shared" si="20"/>
        <v>542.97720252149907</v>
      </c>
      <c r="K32" s="48">
        <f t="shared" si="0"/>
        <v>496.61263664386399</v>
      </c>
      <c r="L32" s="48">
        <f t="shared" si="1"/>
        <v>535.87557758004232</v>
      </c>
      <c r="M32" s="49">
        <f t="shared" si="21"/>
        <v>0.24761107983048983</v>
      </c>
      <c r="N32" s="49">
        <f t="shared" si="22"/>
        <v>0.28336311511767637</v>
      </c>
      <c r="O32" s="49">
        <f t="shared" si="2"/>
        <v>0.25916687307076425</v>
      </c>
      <c r="P32" s="49">
        <f t="shared" si="3"/>
        <v>0.27965699530921373</v>
      </c>
      <c r="S32" s="77"/>
      <c r="AD32" s="2" t="s">
        <v>3537</v>
      </c>
      <c r="AE32" s="2">
        <f>AVERAGE(AE29:AH29)</f>
        <v>-13.661855546808857</v>
      </c>
      <c r="AM32" s="10"/>
      <c r="AN32" s="9"/>
      <c r="AO32" s="10"/>
      <c r="AR32" s="11"/>
      <c r="AU32" s="2">
        <v>-1605</v>
      </c>
      <c r="AV32" s="53">
        <v>30</v>
      </c>
      <c r="AW32" s="4" t="s">
        <v>2644</v>
      </c>
      <c r="AX32" t="s">
        <v>2645</v>
      </c>
      <c r="AY32" s="4">
        <v>46028</v>
      </c>
      <c r="AZ32" s="9">
        <v>17.836210656562372</v>
      </c>
      <c r="BA32" s="7">
        <f t="shared" si="25"/>
        <v>4.5714964186139922E-4</v>
      </c>
      <c r="BB32" s="54">
        <f t="shared" si="4"/>
        <v>8.5328620683506493</v>
      </c>
      <c r="BC32" s="55">
        <f t="shared" si="5"/>
        <v>0.53894458981280713</v>
      </c>
      <c r="BD32" s="55">
        <f t="shared" si="6"/>
        <v>0.73412845593452314</v>
      </c>
      <c r="BE32" s="55">
        <f t="shared" si="7"/>
        <v>0.71943266682883256</v>
      </c>
      <c r="BF32" s="56">
        <f t="shared" si="8"/>
        <v>4.4530384799379482E-3</v>
      </c>
      <c r="BG32" s="56">
        <f t="shared" si="26"/>
        <v>1.467802292894782E-7</v>
      </c>
      <c r="BH32" s="56">
        <f t="shared" si="27"/>
        <v>3.8311907977739532E-4</v>
      </c>
      <c r="BI32" s="56">
        <f t="shared" si="9"/>
        <v>3.7544979907691122E-4</v>
      </c>
      <c r="BJ32" s="57">
        <f t="shared" si="28"/>
        <v>6.5217766957896951E-4</v>
      </c>
      <c r="BK32" s="57">
        <f t="shared" si="29"/>
        <v>5.6110386143337957E-5</v>
      </c>
      <c r="BL32" s="58">
        <f t="shared" si="30"/>
        <v>1.1507112226214826</v>
      </c>
      <c r="BM32" s="58">
        <f t="shared" si="30"/>
        <v>9.9001934675939984E-2</v>
      </c>
      <c r="BO32" s="2" t="s">
        <v>3481</v>
      </c>
      <c r="BP32" s="2" t="s">
        <v>3482</v>
      </c>
      <c r="CM32" s="230"/>
      <c r="CN32" s="2" t="s">
        <v>3362</v>
      </c>
      <c r="CO32" s="77" t="s">
        <v>625</v>
      </c>
      <c r="CP32" s="8">
        <f t="shared" si="70"/>
        <v>7.8467472928382546E-4</v>
      </c>
      <c r="CQ32" s="9">
        <f t="shared" si="71"/>
        <v>17117.177132901594</v>
      </c>
    </row>
    <row r="33" spans="1:96" x14ac:dyDescent="0.2">
      <c r="A33" s="2">
        <v>13</v>
      </c>
      <c r="B33" s="47" t="s">
        <v>3409</v>
      </c>
      <c r="C33" s="47" t="s">
        <v>3479</v>
      </c>
      <c r="D33" s="47" t="s">
        <v>3483</v>
      </c>
      <c r="E33" s="10">
        <v>21.081882730778236</v>
      </c>
      <c r="F33" s="10">
        <v>19.471125522044801</v>
      </c>
      <c r="G33" s="10">
        <v>22.033808908093818</v>
      </c>
      <c r="H33" s="10">
        <v>21.186089876299974</v>
      </c>
      <c r="I33" s="48">
        <f t="shared" si="19"/>
        <v>1243.4896826354329</v>
      </c>
      <c r="J33" s="48">
        <f t="shared" si="20"/>
        <v>1250.116586655671</v>
      </c>
      <c r="K33" s="48">
        <f t="shared" si="0"/>
        <v>1365.7699293029589</v>
      </c>
      <c r="L33" s="48">
        <f t="shared" si="1"/>
        <v>1276.6686618972349</v>
      </c>
      <c r="M33" s="49">
        <f t="shared" si="21"/>
        <v>0.64893905020683695</v>
      </c>
      <c r="N33" s="49">
        <f t="shared" si="22"/>
        <v>0.65239742775572895</v>
      </c>
      <c r="O33" s="49">
        <f t="shared" si="2"/>
        <v>0.71275335300290343</v>
      </c>
      <c r="P33" s="49">
        <f t="shared" si="3"/>
        <v>0.66625413982089277</v>
      </c>
      <c r="S33" s="77"/>
      <c r="AM33" s="10"/>
      <c r="AN33" s="9"/>
      <c r="AO33" s="10"/>
      <c r="AR33" s="11"/>
      <c r="AU33" s="2">
        <v>-1604</v>
      </c>
      <c r="AV33" s="53">
        <v>31</v>
      </c>
      <c r="AW33" s="4" t="s">
        <v>1680</v>
      </c>
      <c r="AX33" t="s">
        <v>1681</v>
      </c>
      <c r="AY33" s="4">
        <v>23389</v>
      </c>
      <c r="AZ33" s="9">
        <v>17.859288071942565</v>
      </c>
      <c r="BA33" s="7">
        <f t="shared" si="25"/>
        <v>4.5774112580265107E-4</v>
      </c>
      <c r="BB33" s="54">
        <f t="shared" si="4"/>
        <v>8.6619265611196496</v>
      </c>
      <c r="BC33" s="55">
        <f t="shared" si="5"/>
        <v>0.55343782087703774</v>
      </c>
      <c r="BD33" s="55">
        <f t="shared" si="6"/>
        <v>0.74393401648065383</v>
      </c>
      <c r="BE33" s="55">
        <f t="shared" si="7"/>
        <v>0.72904193958815411</v>
      </c>
      <c r="BF33" s="56">
        <f t="shared" si="8"/>
        <v>4.5203932722796365E-3</v>
      </c>
      <c r="BG33" s="56">
        <f t="shared" si="26"/>
        <v>1.5072742501045533E-7</v>
      </c>
      <c r="BH33" s="56">
        <f t="shared" si="27"/>
        <v>3.8823630048007531E-4</v>
      </c>
      <c r="BI33" s="56">
        <f t="shared" si="9"/>
        <v>3.8046458321600897E-4</v>
      </c>
      <c r="BJ33" s="57">
        <f t="shared" si="28"/>
        <v>3.3641491799399174E-4</v>
      </c>
      <c r="BK33" s="57">
        <f t="shared" si="29"/>
        <v>2.8893168209329132E-5</v>
      </c>
      <c r="BL33" s="58">
        <f t="shared" si="30"/>
        <v>0.5935750941041652</v>
      </c>
      <c r="BM33" s="58">
        <f t="shared" si="30"/>
        <v>5.0979502160859322E-2</v>
      </c>
      <c r="CM33" s="230"/>
      <c r="CN33" s="2" t="s">
        <v>3368</v>
      </c>
      <c r="CO33" s="77" t="s">
        <v>101</v>
      </c>
      <c r="CP33" s="8">
        <f t="shared" si="70"/>
        <v>7.8411512069360544E-4</v>
      </c>
      <c r="CQ33" s="9">
        <f t="shared" si="71"/>
        <v>75032.216621009269</v>
      </c>
    </row>
    <row r="34" spans="1:96" x14ac:dyDescent="0.2">
      <c r="A34" s="2">
        <v>13</v>
      </c>
      <c r="B34" s="47" t="s">
        <v>3409</v>
      </c>
      <c r="C34" s="47" t="s">
        <v>3479</v>
      </c>
      <c r="D34" s="47" t="s">
        <v>3484</v>
      </c>
      <c r="E34" s="10">
        <v>13.21284488118456</v>
      </c>
      <c r="F34" s="10">
        <v>13.942836982637848</v>
      </c>
      <c r="G34" s="10">
        <v>14.600538974618505</v>
      </c>
      <c r="H34" s="10">
        <v>12.387374949377298</v>
      </c>
      <c r="I34" s="48">
        <f t="shared" si="19"/>
        <v>779.34388013782848</v>
      </c>
      <c r="J34" s="48">
        <f t="shared" si="20"/>
        <v>895.18049469187645</v>
      </c>
      <c r="K34" s="48">
        <f t="shared" si="0"/>
        <v>905.01724719164474</v>
      </c>
      <c r="L34" s="48">
        <f t="shared" si="1"/>
        <v>746.46022429707386</v>
      </c>
      <c r="M34" s="49">
        <f t="shared" si="21"/>
        <v>0.40671562010010548</v>
      </c>
      <c r="N34" s="49">
        <f t="shared" si="22"/>
        <v>0.46716718932307105</v>
      </c>
      <c r="O34" s="49">
        <f t="shared" si="2"/>
        <v>0.47230068814775805</v>
      </c>
      <c r="P34" s="49">
        <f t="shared" si="3"/>
        <v>0.3895546507035591</v>
      </c>
      <c r="S34" s="77"/>
      <c r="AM34" s="10"/>
      <c r="AN34" s="9"/>
      <c r="AO34" s="10"/>
      <c r="AR34" s="11"/>
      <c r="AU34" s="2">
        <v>-1603</v>
      </c>
      <c r="AV34" s="53">
        <v>32</v>
      </c>
      <c r="AW34" s="4" t="s">
        <v>1883</v>
      </c>
      <c r="AX34" t="s">
        <v>1884</v>
      </c>
      <c r="AY34" s="4">
        <v>47572</v>
      </c>
      <c r="AZ34" s="9">
        <v>17.915299763731312</v>
      </c>
      <c r="BA34" s="7">
        <f t="shared" si="25"/>
        <v>4.5917672921272048E-4</v>
      </c>
      <c r="BB34" s="54">
        <f t="shared" si="4"/>
        <v>8.9833600935872369</v>
      </c>
      <c r="BC34" s="55">
        <f t="shared" si="5"/>
        <v>0.59024093039116543</v>
      </c>
      <c r="BD34" s="55">
        <f t="shared" si="6"/>
        <v>0.76827139110549048</v>
      </c>
      <c r="BE34" s="55">
        <f t="shared" si="7"/>
        <v>0.7528921284596235</v>
      </c>
      <c r="BF34" s="56">
        <f t="shared" si="8"/>
        <v>4.6881395545182343E-3</v>
      </c>
      <c r="BG34" s="56">
        <f t="shared" si="26"/>
        <v>1.6075066108176268E-7</v>
      </c>
      <c r="BH34" s="56">
        <f t="shared" si="27"/>
        <v>4.0093722835596432E-4</v>
      </c>
      <c r="BI34" s="56">
        <f t="shared" si="9"/>
        <v>3.9291126381950061E-4</v>
      </c>
      <c r="BJ34" s="57">
        <f t="shared" si="28"/>
        <v>7.0964200367439382E-4</v>
      </c>
      <c r="BK34" s="57">
        <f t="shared" si="29"/>
        <v>6.0689724520673465E-5</v>
      </c>
      <c r="BL34" s="58">
        <f t="shared" si="30"/>
        <v>1.2521020816289119</v>
      </c>
      <c r="BM34" s="58">
        <f t="shared" si="30"/>
        <v>0.10708178209908632</v>
      </c>
      <c r="BO34" s="2" t="s">
        <v>3485</v>
      </c>
      <c r="CM34" s="230"/>
      <c r="CN34" s="2" t="s">
        <v>3374</v>
      </c>
      <c r="CO34" s="77" t="s">
        <v>102</v>
      </c>
      <c r="CP34" s="8">
        <f t="shared" si="70"/>
        <v>7.6073037207409066E-4</v>
      </c>
      <c r="CQ34" s="9">
        <f t="shared" si="71"/>
        <v>21317.323681485123</v>
      </c>
    </row>
    <row r="35" spans="1:96" x14ac:dyDescent="0.2">
      <c r="A35" s="2">
        <v>14</v>
      </c>
      <c r="B35" s="47" t="s">
        <v>3414</v>
      </c>
      <c r="C35" s="47" t="s">
        <v>3486</v>
      </c>
      <c r="D35" s="47" t="s">
        <v>3487</v>
      </c>
      <c r="E35" s="10">
        <v>7.2495781425595789</v>
      </c>
      <c r="F35" s="10">
        <v>7.6237506745328947</v>
      </c>
      <c r="G35" s="10">
        <v>7.5441693578491495</v>
      </c>
      <c r="H35" s="10">
        <v>6.6245382737279117</v>
      </c>
      <c r="I35" s="48">
        <f t="shared" si="19"/>
        <v>427.60771126817673</v>
      </c>
      <c r="J35" s="48">
        <f t="shared" si="20"/>
        <v>489.47232967968972</v>
      </c>
      <c r="K35" s="48">
        <f t="shared" si="0"/>
        <v>467.62680449381105</v>
      </c>
      <c r="L35" s="48">
        <f t="shared" si="1"/>
        <v>399.19307729682191</v>
      </c>
      <c r="M35" s="49">
        <f t="shared" si="21"/>
        <v>0.22315532318963768</v>
      </c>
      <c r="N35" s="49">
        <f t="shared" si="22"/>
        <v>0.2554405663034286</v>
      </c>
      <c r="O35" s="49">
        <f t="shared" si="2"/>
        <v>0.24404005806973872</v>
      </c>
      <c r="P35" s="49">
        <f t="shared" si="3"/>
        <v>0.20832659896390399</v>
      </c>
      <c r="S35" s="77"/>
      <c r="AM35" s="10"/>
      <c r="AN35" s="9"/>
      <c r="AO35" s="10"/>
      <c r="AR35" s="11"/>
      <c r="AU35" s="2">
        <v>-1602</v>
      </c>
      <c r="AV35" s="53">
        <v>33</v>
      </c>
      <c r="AW35" s="4" t="s">
        <v>2122</v>
      </c>
      <c r="AX35" t="s">
        <v>2123</v>
      </c>
      <c r="AY35" s="4">
        <v>45269</v>
      </c>
      <c r="AZ35" s="9">
        <v>17.917865419448216</v>
      </c>
      <c r="BA35" s="7">
        <f t="shared" si="25"/>
        <v>4.592424880566087E-4</v>
      </c>
      <c r="BB35" s="54">
        <f t="shared" ref="BB35:BB66" si="73">IFERROR(IF(MATCH(AX35,$S$4:$S$20,0),VLOOKUP(AX35,$S$4:$AT$20,20,FALSE)),AVERAGE((2^(($AE$23*AZ35)+$AE$24)),(2^(($AF$23*AZ35)+$AF$24)),(2^(($AG$23*AZ35)+$AG$24)),(2^(($AH$23*AZ35)+$AH$24))))</f>
        <v>8.9983659965474558</v>
      </c>
      <c r="BC35" s="55">
        <f t="shared" si="5"/>
        <v>0.59198361191464111</v>
      </c>
      <c r="BD35" s="55">
        <f t="shared" si="6"/>
        <v>0.76940471269328803</v>
      </c>
      <c r="BE35" s="55">
        <f t="shared" si="7"/>
        <v>0.75400276320711601</v>
      </c>
      <c r="BF35" s="56">
        <f t="shared" si="8"/>
        <v>4.695970674108917E-3</v>
      </c>
      <c r="BG35" s="56">
        <f t="shared" si="26"/>
        <v>1.6122527609494039E-7</v>
      </c>
      <c r="BH35" s="56">
        <f t="shared" si="27"/>
        <v>4.0152867406318614E-4</v>
      </c>
      <c r="BI35" s="56">
        <f t="shared" si="9"/>
        <v>3.9349086996198339E-4</v>
      </c>
      <c r="BJ35" s="57">
        <f t="shared" si="28"/>
        <v>6.7641565321373135E-4</v>
      </c>
      <c r="BK35" s="57">
        <f t="shared" si="29"/>
        <v>5.7836877442176717E-5</v>
      </c>
      <c r="BL35" s="58">
        <f t="shared" si="30"/>
        <v>1.1934770532888253</v>
      </c>
      <c r="BM35" s="58">
        <f t="shared" si="30"/>
        <v>0.10204817959661423</v>
      </c>
      <c r="BO35" s="2" t="s">
        <v>3416</v>
      </c>
      <c r="BP35" s="2" t="s">
        <v>3488</v>
      </c>
      <c r="CM35" s="230"/>
      <c r="CN35" s="2" t="s">
        <v>3381</v>
      </c>
      <c r="CO35" s="77" t="s">
        <v>790</v>
      </c>
      <c r="CP35" s="8">
        <f t="shared" si="70"/>
        <v>7.825070075828625E-4</v>
      </c>
      <c r="CQ35" s="9">
        <f t="shared" si="71"/>
        <v>23295.586447442725</v>
      </c>
    </row>
    <row r="36" spans="1:96" x14ac:dyDescent="0.2">
      <c r="A36" s="2">
        <v>14</v>
      </c>
      <c r="B36" s="47" t="s">
        <v>3414</v>
      </c>
      <c r="C36" s="47" t="s">
        <v>3486</v>
      </c>
      <c r="D36" s="47" t="s">
        <v>3489</v>
      </c>
      <c r="E36" s="10">
        <v>16.623562780200675</v>
      </c>
      <c r="F36" s="10">
        <v>16.297939689794674</v>
      </c>
      <c r="G36" s="10">
        <v>16.939119198276966</v>
      </c>
      <c r="H36" s="10">
        <v>19.127326655559816</v>
      </c>
      <c r="I36" s="48">
        <f t="shared" si="19"/>
        <v>980.52100326140339</v>
      </c>
      <c r="J36" s="48">
        <f t="shared" si="20"/>
        <v>1046.3865949330318</v>
      </c>
      <c r="K36" s="48">
        <f t="shared" si="0"/>
        <v>1049.9745970560186</v>
      </c>
      <c r="L36" s="48">
        <f t="shared" si="1"/>
        <v>1152.6080871742977</v>
      </c>
      <c r="M36" s="49">
        <f t="shared" si="21"/>
        <v>0.51170377804482381</v>
      </c>
      <c r="N36" s="49">
        <f t="shared" si="22"/>
        <v>0.54607700614440047</v>
      </c>
      <c r="O36" s="49">
        <f t="shared" si="2"/>
        <v>0.5479494741852261</v>
      </c>
      <c r="P36" s="49">
        <f t="shared" si="3"/>
        <v>0.60151073852608639</v>
      </c>
      <c r="S36" s="77"/>
      <c r="AM36" s="10"/>
      <c r="AN36" s="9"/>
      <c r="AO36" s="10"/>
      <c r="AQ36" s="11"/>
      <c r="AR36" s="11"/>
      <c r="AU36" s="2">
        <v>-1601</v>
      </c>
      <c r="AV36" s="53">
        <v>34</v>
      </c>
      <c r="AW36" s="4" t="s">
        <v>2974</v>
      </c>
      <c r="AX36" t="s">
        <v>2975</v>
      </c>
      <c r="AY36" s="4">
        <v>22604</v>
      </c>
      <c r="AZ36" s="9">
        <v>17.92788981968809</v>
      </c>
      <c r="BA36" s="7">
        <f t="shared" si="25"/>
        <v>4.5949941768520374E-4</v>
      </c>
      <c r="BB36" s="54">
        <f t="shared" si="73"/>
        <v>9.0572370051547004</v>
      </c>
      <c r="BC36" s="55">
        <f t="shared" si="5"/>
        <v>0.59884154379300014</v>
      </c>
      <c r="BD36" s="55">
        <f t="shared" si="6"/>
        <v>0.77384852768032075</v>
      </c>
      <c r="BE36" s="55">
        <f t="shared" si="7"/>
        <v>0.75835762187138767</v>
      </c>
      <c r="BF36" s="56">
        <f t="shared" si="8"/>
        <v>4.7266936442660447E-3</v>
      </c>
      <c r="BG36" s="56">
        <f t="shared" si="26"/>
        <v>1.6309301692133422E-7</v>
      </c>
      <c r="BH36" s="56">
        <f t="shared" si="27"/>
        <v>4.0384776453675491E-4</v>
      </c>
      <c r="BI36" s="56">
        <f t="shared" si="9"/>
        <v>3.9576353686452575E-4</v>
      </c>
      <c r="BJ36" s="57">
        <f t="shared" si="28"/>
        <v>3.3996180438776289E-4</v>
      </c>
      <c r="BK36" s="57">
        <f t="shared" si="29"/>
        <v>2.9046268927631818E-5</v>
      </c>
      <c r="BL36" s="58">
        <f t="shared" si="30"/>
        <v>0.59983326909091517</v>
      </c>
      <c r="BM36" s="58">
        <f t="shared" si="30"/>
        <v>5.124963516749239E-2</v>
      </c>
      <c r="BO36" s="2" t="s">
        <v>3420</v>
      </c>
      <c r="BP36" s="2" t="s">
        <v>3490</v>
      </c>
      <c r="CM36" s="230"/>
      <c r="CN36" s="2" t="s">
        <v>3387</v>
      </c>
      <c r="CO36" s="77" t="s">
        <v>1019</v>
      </c>
      <c r="CP36" s="8">
        <f t="shared" si="70"/>
        <v>7.8587089517519226E-4</v>
      </c>
      <c r="CQ36" s="9">
        <f t="shared" si="71"/>
        <v>38160.143804970641</v>
      </c>
    </row>
    <row r="37" spans="1:96" x14ac:dyDescent="0.2">
      <c r="A37" s="2">
        <v>15</v>
      </c>
      <c r="B37" s="47" t="s">
        <v>3419</v>
      </c>
      <c r="C37" s="47" t="s">
        <v>3491</v>
      </c>
      <c r="D37" s="47" t="s">
        <v>3492</v>
      </c>
      <c r="E37" s="10">
        <v>1129.1741083524057</v>
      </c>
      <c r="F37" s="10">
        <v>1086.5470898629433</v>
      </c>
      <c r="G37" s="10">
        <v>1133.4580502999981</v>
      </c>
      <c r="H37" s="10">
        <v>1166.7872644576598</v>
      </c>
      <c r="I37" s="48">
        <f t="shared" si="19"/>
        <v>66602.986629147606</v>
      </c>
      <c r="J37" s="48">
        <f t="shared" si="20"/>
        <v>69760.247689958385</v>
      </c>
      <c r="K37" s="48">
        <f t="shared" si="0"/>
        <v>70257.617631305024</v>
      </c>
      <c r="L37" s="48">
        <f t="shared" si="1"/>
        <v>70310.318908835194</v>
      </c>
      <c r="M37" s="49">
        <f t="shared" si="21"/>
        <v>34.758051866144321</v>
      </c>
      <c r="N37" s="49">
        <f t="shared" si="22"/>
        <v>36.405729384236167</v>
      </c>
      <c r="O37" s="49">
        <f t="shared" si="2"/>
        <v>36.665291471357683</v>
      </c>
      <c r="P37" s="49">
        <f t="shared" si="3"/>
        <v>36.692794648475022</v>
      </c>
      <c r="S37" s="77"/>
      <c r="AM37" s="10"/>
      <c r="AN37" s="9"/>
      <c r="AO37" s="10"/>
      <c r="AQ37" s="11"/>
      <c r="AR37" s="11"/>
      <c r="AU37" s="2">
        <v>-1600</v>
      </c>
      <c r="AV37" s="53">
        <v>35</v>
      </c>
      <c r="AW37" s="4" t="s">
        <v>2405</v>
      </c>
      <c r="AX37" t="s">
        <v>2406</v>
      </c>
      <c r="AY37" s="4">
        <v>31741</v>
      </c>
      <c r="AZ37" s="9">
        <v>17.964619138608381</v>
      </c>
      <c r="BA37" s="7">
        <f t="shared" si="25"/>
        <v>4.6044080570273348E-4</v>
      </c>
      <c r="BB37" s="54">
        <f t="shared" si="73"/>
        <v>9.2762502822870978</v>
      </c>
      <c r="BC37" s="55">
        <f t="shared" si="5"/>
        <v>0.62464836943334001</v>
      </c>
      <c r="BD37" s="55">
        <f t="shared" si="6"/>
        <v>0.79034699305642964</v>
      </c>
      <c r="BE37" s="55">
        <f t="shared" si="7"/>
        <v>0.77452582084006494</v>
      </c>
      <c r="BF37" s="56">
        <f t="shared" si="8"/>
        <v>4.8409899428439006E-3</v>
      </c>
      <c r="BG37" s="56">
        <f t="shared" si="26"/>
        <v>1.7012144221091378E-7</v>
      </c>
      <c r="BH37" s="56">
        <f t="shared" si="27"/>
        <v>4.1245780658258097E-4</v>
      </c>
      <c r="BI37" s="56">
        <f t="shared" si="9"/>
        <v>4.042012230221231E-4</v>
      </c>
      <c r="BJ37" s="57">
        <f t="shared" si="28"/>
        <v>4.8892490227075774E-4</v>
      </c>
      <c r="BK37" s="57">
        <f t="shared" si="29"/>
        <v>4.1656953465127688E-5</v>
      </c>
      <c r="BL37" s="58">
        <f t="shared" si="30"/>
        <v>0.86266580152197037</v>
      </c>
      <c r="BM37" s="58">
        <f t="shared" si="30"/>
        <v>7.3500099878441208E-2</v>
      </c>
      <c r="BO37" s="2" t="s">
        <v>3493</v>
      </c>
      <c r="BP37" s="2" t="s">
        <v>3494</v>
      </c>
      <c r="CM37" s="230"/>
      <c r="CN37" s="2" t="s">
        <v>3394</v>
      </c>
      <c r="CO37" s="77" t="s">
        <v>83</v>
      </c>
      <c r="CP37" s="8">
        <f t="shared" si="70"/>
        <v>7.8695565783092232E-4</v>
      </c>
      <c r="CQ37" s="9">
        <f t="shared" si="71"/>
        <v>50776.622312599335</v>
      </c>
    </row>
    <row r="38" spans="1:96" x14ac:dyDescent="0.2">
      <c r="A38" s="2">
        <v>15</v>
      </c>
      <c r="B38" s="47" t="s">
        <v>3419</v>
      </c>
      <c r="C38" s="47" t="s">
        <v>3491</v>
      </c>
      <c r="D38" s="47" t="s">
        <v>3495</v>
      </c>
      <c r="E38" s="10">
        <v>1027.1667380890515</v>
      </c>
      <c r="F38" s="10">
        <v>895.74063909790357</v>
      </c>
      <c r="G38" s="10">
        <v>981.11264542457093</v>
      </c>
      <c r="H38" s="10">
        <v>1002.3813786528523</v>
      </c>
      <c r="I38" s="48">
        <f t="shared" si="19"/>
        <v>60586.203683568114</v>
      </c>
      <c r="J38" s="48">
        <f t="shared" si="20"/>
        <v>57509.78437327873</v>
      </c>
      <c r="K38" s="48">
        <f t="shared" si="0"/>
        <v>60814.45808888421</v>
      </c>
      <c r="L38" s="48">
        <f t="shared" si="1"/>
        <v>60403.259915695962</v>
      </c>
      <c r="M38" s="49">
        <f t="shared" si="21"/>
        <v>31.618077755760176</v>
      </c>
      <c r="N38" s="49">
        <f t="shared" si="22"/>
        <v>30.012589062821441</v>
      </c>
      <c r="O38" s="49">
        <f t="shared" si="2"/>
        <v>31.737196715137003</v>
      </c>
      <c r="P38" s="49">
        <f t="shared" si="3"/>
        <v>31.52260502557025</v>
      </c>
      <c r="S38" s="77"/>
      <c r="AM38" s="10"/>
      <c r="AN38" s="9"/>
      <c r="AO38" s="10"/>
      <c r="AQ38" s="11"/>
      <c r="AR38" s="11"/>
      <c r="AU38" s="2">
        <v>-1599</v>
      </c>
      <c r="AV38" s="53">
        <v>36</v>
      </c>
      <c r="AW38" s="4" t="s">
        <v>3231</v>
      </c>
      <c r="AX38" t="s">
        <v>3232</v>
      </c>
      <c r="AY38" s="5">
        <v>25969.564999999991</v>
      </c>
      <c r="AZ38" s="9">
        <v>18.016594310350094</v>
      </c>
      <c r="BA38" s="7">
        <f t="shared" si="25"/>
        <v>4.6177295139247207E-4</v>
      </c>
      <c r="BB38" s="54">
        <f t="shared" si="73"/>
        <v>9.595253615283788</v>
      </c>
      <c r="BC38" s="55">
        <f t="shared" si="5"/>
        <v>0.66306051976493319</v>
      </c>
      <c r="BD38" s="55">
        <f t="shared" si="6"/>
        <v>0.8142852815598064</v>
      </c>
      <c r="BE38" s="55">
        <f t="shared" si="7"/>
        <v>0.79798491249913883</v>
      </c>
      <c r="BF38" s="56">
        <f t="shared" si="8"/>
        <v>5.0074679786639917E-3</v>
      </c>
      <c r="BG38" s="56">
        <f t="shared" si="26"/>
        <v>1.8058289657884902E-7</v>
      </c>
      <c r="BH38" s="56">
        <f t="shared" si="27"/>
        <v>4.2495046367647255E-4</v>
      </c>
      <c r="BI38" s="56">
        <f t="shared" si="9"/>
        <v>4.1644380200974124E-4</v>
      </c>
      <c r="BJ38" s="57">
        <f t="shared" si="28"/>
        <v>4.1378069814242336E-4</v>
      </c>
      <c r="BK38" s="57">
        <f t="shared" si="29"/>
        <v>3.5114812572982448E-5</v>
      </c>
      <c r="BL38" s="58">
        <f t="shared" si="30"/>
        <v>0.73008033740870748</v>
      </c>
      <c r="BM38" s="58">
        <f t="shared" si="30"/>
        <v>6.1957056784950407E-2</v>
      </c>
      <c r="BO38" s="2" t="s">
        <v>3496</v>
      </c>
      <c r="BP38" s="2" t="s">
        <v>3497</v>
      </c>
      <c r="CM38" s="231" t="s">
        <v>3498</v>
      </c>
      <c r="CN38" s="47" t="s">
        <v>3398</v>
      </c>
      <c r="CO38" s="77" t="s">
        <v>771</v>
      </c>
      <c r="CP38" s="8">
        <f t="shared" si="70"/>
        <v>7.240182935547301E-4</v>
      </c>
      <c r="CQ38" s="9">
        <f t="shared" si="71"/>
        <v>4884.8573250397858</v>
      </c>
    </row>
    <row r="39" spans="1:96" x14ac:dyDescent="0.2">
      <c r="A39" s="2">
        <v>15</v>
      </c>
      <c r="B39" s="47" t="s">
        <v>3419</v>
      </c>
      <c r="C39" s="47" t="s">
        <v>3491</v>
      </c>
      <c r="D39" s="47" t="s">
        <v>3499</v>
      </c>
      <c r="E39" s="10">
        <v>1130.5862690758477</v>
      </c>
      <c r="F39" s="10">
        <v>1071.8274083594338</v>
      </c>
      <c r="G39" s="10">
        <v>1142.6307153104872</v>
      </c>
      <c r="H39" s="10">
        <v>1122.4374387411303</v>
      </c>
      <c r="I39" s="48">
        <f t="shared" si="19"/>
        <v>66686.281243402307</v>
      </c>
      <c r="J39" s="48">
        <f t="shared" si="20"/>
        <v>68815.190971126562</v>
      </c>
      <c r="K39" s="48">
        <f t="shared" si="0"/>
        <v>70826.187055463597</v>
      </c>
      <c r="L39" s="48">
        <f t="shared" si="1"/>
        <v>67637.809116632532</v>
      </c>
      <c r="M39" s="49">
        <f t="shared" si="21"/>
        <v>34.801520765497976</v>
      </c>
      <c r="N39" s="49">
        <f t="shared" si="22"/>
        <v>35.912533326340039</v>
      </c>
      <c r="O39" s="49">
        <f t="shared" si="2"/>
        <v>36.962010380442742</v>
      </c>
      <c r="P39" s="49">
        <f t="shared" si="3"/>
        <v>35.298093920001897</v>
      </c>
      <c r="S39" s="77"/>
      <c r="AM39" s="10"/>
      <c r="AN39" s="9"/>
      <c r="AO39" s="10"/>
      <c r="AQ39" s="11"/>
      <c r="AR39" s="11"/>
      <c r="AU39" s="2">
        <v>-1598</v>
      </c>
      <c r="AV39" s="53">
        <v>37</v>
      </c>
      <c r="AW39" s="4" t="s">
        <v>2482</v>
      </c>
      <c r="AX39" t="s">
        <v>2483</v>
      </c>
      <c r="AY39" s="4">
        <v>26569</v>
      </c>
      <c r="AZ39" s="9">
        <v>18.020325295386506</v>
      </c>
      <c r="BA39" s="7">
        <f t="shared" si="25"/>
        <v>4.6186857812093067E-4</v>
      </c>
      <c r="BB39" s="54">
        <f t="shared" si="73"/>
        <v>9.6185705728327324</v>
      </c>
      <c r="BC39" s="55">
        <f t="shared" si="5"/>
        <v>0.66590624778559349</v>
      </c>
      <c r="BD39" s="55">
        <f t="shared" si="6"/>
        <v>0.81603078850346911</v>
      </c>
      <c r="BE39" s="55">
        <f t="shared" si="7"/>
        <v>0.79969547787131057</v>
      </c>
      <c r="BF39" s="56">
        <f t="shared" si="8"/>
        <v>5.0196363822276237E-3</v>
      </c>
      <c r="BG39" s="56">
        <f t="shared" si="26"/>
        <v>1.8135792358396689E-7</v>
      </c>
      <c r="BH39" s="56">
        <f t="shared" si="27"/>
        <v>4.2586139010711792E-4</v>
      </c>
      <c r="BI39" s="56">
        <f t="shared" si="9"/>
        <v>4.173364935080565E-4</v>
      </c>
      <c r="BJ39" s="57">
        <f t="shared" si="28"/>
        <v>4.243603894973572E-4</v>
      </c>
      <c r="BK39" s="57">
        <f t="shared" si="29"/>
        <v>3.600234989482302E-5</v>
      </c>
      <c r="BL39" s="58">
        <f t="shared" si="30"/>
        <v>0.74874728990012474</v>
      </c>
      <c r="BM39" s="58">
        <f t="shared" si="30"/>
        <v>6.352303980518581E-2</v>
      </c>
      <c r="BO39" s="2" t="s">
        <v>3500</v>
      </c>
      <c r="BP39" s="2" t="s">
        <v>3501</v>
      </c>
      <c r="CM39" s="231"/>
      <c r="CN39" s="47" t="s">
        <v>3406</v>
      </c>
      <c r="CO39" s="77" t="s">
        <v>103</v>
      </c>
      <c r="CP39" s="8">
        <f t="shared" si="70"/>
        <v>6.4762179310720017E-4</v>
      </c>
      <c r="CQ39" s="9">
        <f t="shared" si="71"/>
        <v>875.99847330303226</v>
      </c>
    </row>
    <row r="40" spans="1:96" x14ac:dyDescent="0.2">
      <c r="A40" s="2">
        <v>16</v>
      </c>
      <c r="B40" s="47" t="s">
        <v>3422</v>
      </c>
      <c r="C40" s="47" t="s">
        <v>3502</v>
      </c>
      <c r="D40" s="47" t="s">
        <v>3503</v>
      </c>
      <c r="E40" s="10">
        <v>20.137471093277249</v>
      </c>
      <c r="F40" s="10">
        <v>20.943379994163038</v>
      </c>
      <c r="G40" s="10">
        <v>21.65057756277448</v>
      </c>
      <c r="H40" s="10">
        <v>22.567643021006301</v>
      </c>
      <c r="I40" s="48">
        <f t="shared" si="19"/>
        <v>1187.7846897564611</v>
      </c>
      <c r="J40" s="48">
        <f t="shared" si="20"/>
        <v>1344.6406414304827</v>
      </c>
      <c r="K40" s="48">
        <f t="shared" si="0"/>
        <v>1342.0152598499071</v>
      </c>
      <c r="L40" s="48">
        <f t="shared" si="1"/>
        <v>1359.9207209081437</v>
      </c>
      <c r="M40" s="49">
        <f t="shared" si="21"/>
        <v>0.61986832635970013</v>
      </c>
      <c r="N40" s="49">
        <f t="shared" si="22"/>
        <v>0.70172662701153754</v>
      </c>
      <c r="O40" s="49">
        <f t="shared" si="2"/>
        <v>0.70035652104835944</v>
      </c>
      <c r="P40" s="49">
        <f t="shared" si="3"/>
        <v>0.70970083090063041</v>
      </c>
      <c r="S40" s="77"/>
      <c r="AN40" s="9"/>
      <c r="AO40" s="9"/>
      <c r="AR40" s="11"/>
      <c r="AU40" s="2">
        <v>-1597</v>
      </c>
      <c r="AV40" s="53">
        <v>38</v>
      </c>
      <c r="AW40" s="4" t="s">
        <v>2082</v>
      </c>
      <c r="AX40" t="s">
        <v>2083</v>
      </c>
      <c r="AY40" s="4">
        <v>40984</v>
      </c>
      <c r="AZ40" s="9">
        <v>18.031137584775198</v>
      </c>
      <c r="BA40" s="7">
        <f t="shared" si="25"/>
        <v>4.6214570168248291E-4</v>
      </c>
      <c r="BB40" s="54">
        <f t="shared" si="73"/>
        <v>9.686463005678112</v>
      </c>
      <c r="BC40" s="55">
        <f t="shared" si="5"/>
        <v>0.67422161361492705</v>
      </c>
      <c r="BD40" s="55">
        <f t="shared" si="6"/>
        <v>0.82110998874385099</v>
      </c>
      <c r="BE40" s="55">
        <f t="shared" si="7"/>
        <v>0.80467300264201835</v>
      </c>
      <c r="BF40" s="56">
        <f t="shared" si="8"/>
        <v>5.0550673564465146E-3</v>
      </c>
      <c r="BG40" s="56">
        <f t="shared" si="26"/>
        <v>1.8362259295096591E-7</v>
      </c>
      <c r="BH40" s="56">
        <f t="shared" si="27"/>
        <v>4.285120686176364E-4</v>
      </c>
      <c r="BI40" s="56">
        <f t="shared" si="9"/>
        <v>4.1993411071566174E-4</v>
      </c>
      <c r="BJ40" s="57">
        <f t="shared" si="28"/>
        <v>6.5921739960764681E-4</v>
      </c>
      <c r="BK40" s="57">
        <f t="shared" si="29"/>
        <v>5.5881077670384273E-5</v>
      </c>
      <c r="BL40" s="58">
        <f t="shared" si="30"/>
        <v>1.1631322188102267</v>
      </c>
      <c r="BM40" s="58">
        <f t="shared" si="30"/>
        <v>9.8597339662068476E-2</v>
      </c>
      <c r="BO40" s="2" t="s">
        <v>3504</v>
      </c>
      <c r="BP40" s="2" t="s">
        <v>3505</v>
      </c>
      <c r="CM40" s="231"/>
      <c r="CN40" s="47" t="s">
        <v>3410</v>
      </c>
      <c r="CO40" s="77" t="s">
        <v>263</v>
      </c>
      <c r="CP40" s="8">
        <f t="shared" si="70"/>
        <v>6.1888361299218238E-4</v>
      </c>
      <c r="CQ40" s="9">
        <f t="shared" si="71"/>
        <v>751.67377564540629</v>
      </c>
    </row>
    <row r="41" spans="1:96" x14ac:dyDescent="0.2">
      <c r="A41" s="2">
        <v>16</v>
      </c>
      <c r="B41" s="47" t="s">
        <v>3422</v>
      </c>
      <c r="C41" s="47" t="s">
        <v>3502</v>
      </c>
      <c r="D41" s="47" t="s">
        <v>3506</v>
      </c>
      <c r="E41" s="10">
        <v>14.667034652855135</v>
      </c>
      <c r="F41" s="10">
        <v>14.456775304475597</v>
      </c>
      <c r="G41" s="10">
        <v>16.27716786926862</v>
      </c>
      <c r="H41" s="10">
        <v>15.696042280347408</v>
      </c>
      <c r="I41" s="48">
        <f t="shared" si="19"/>
        <v>865.11752762266042</v>
      </c>
      <c r="J41" s="48">
        <f t="shared" si="20"/>
        <v>928.17719125777057</v>
      </c>
      <c r="K41" s="48">
        <f t="shared" si="0"/>
        <v>1008.9434152211961</v>
      </c>
      <c r="L41" s="48">
        <f t="shared" si="1"/>
        <v>945.83971899175083</v>
      </c>
      <c r="M41" s="49">
        <f t="shared" si="21"/>
        <v>0.45147825071044878</v>
      </c>
      <c r="N41" s="49">
        <f t="shared" si="22"/>
        <v>0.48438715120007875</v>
      </c>
      <c r="O41" s="49">
        <f t="shared" si="2"/>
        <v>0.52653656136368876</v>
      </c>
      <c r="P41" s="49">
        <f t="shared" si="3"/>
        <v>0.49360468161629328</v>
      </c>
      <c r="S41" s="77"/>
      <c r="AR41" s="11"/>
      <c r="AU41" s="2">
        <v>-1596</v>
      </c>
      <c r="AV41" s="53">
        <v>39</v>
      </c>
      <c r="AW41" s="4" t="s">
        <v>3205</v>
      </c>
      <c r="AX41" t="s">
        <v>3206</v>
      </c>
      <c r="AY41" s="5">
        <v>15988.425000000003</v>
      </c>
      <c r="AZ41" s="9">
        <v>18.09650927578096</v>
      </c>
      <c r="BA41" s="7">
        <f t="shared" si="25"/>
        <v>4.6382120584121875E-4</v>
      </c>
      <c r="BB41" s="54">
        <f t="shared" si="73"/>
        <v>10.107274784031771</v>
      </c>
      <c r="BC41" s="55">
        <f t="shared" si="5"/>
        <v>0.72673352168291139</v>
      </c>
      <c r="BD41" s="55">
        <f t="shared" si="6"/>
        <v>0.85248666950452157</v>
      </c>
      <c r="BE41" s="55">
        <f t="shared" si="7"/>
        <v>0.83542158476468098</v>
      </c>
      <c r="BF41" s="56">
        <f t="shared" si="8"/>
        <v>5.2746760911019618E-3</v>
      </c>
      <c r="BG41" s="56">
        <f t="shared" si="26"/>
        <v>1.9792408154986348E-7</v>
      </c>
      <c r="BH41" s="56">
        <f t="shared" si="27"/>
        <v>4.4488659403252811E-4</v>
      </c>
      <c r="BI41" s="56">
        <f t="shared" si="9"/>
        <v>4.3598085075422351E-4</v>
      </c>
      <c r="BJ41" s="57">
        <f t="shared" si="28"/>
        <v>2.6834212318463727E-4</v>
      </c>
      <c r="BK41" s="57">
        <f t="shared" si="29"/>
        <v>2.2633013128608936E-5</v>
      </c>
      <c r="BL41" s="58">
        <f t="shared" si="30"/>
        <v>0.47346652155383095</v>
      </c>
      <c r="BM41" s="58">
        <f t="shared" si="30"/>
        <v>3.993399869953089E-2</v>
      </c>
      <c r="BO41" s="2" t="s">
        <v>3507</v>
      </c>
      <c r="BP41" s="2" t="s">
        <v>3508</v>
      </c>
      <c r="CM41" s="2" t="s">
        <v>3509</v>
      </c>
      <c r="CN41" s="2" t="s">
        <v>3510</v>
      </c>
      <c r="CO41" s="77" t="s">
        <v>275</v>
      </c>
      <c r="CP41" s="8">
        <f t="shared" si="70"/>
        <v>6.2166867105030682E-4</v>
      </c>
      <c r="CQ41" s="9">
        <f t="shared" si="71"/>
        <v>598.8074481379623</v>
      </c>
      <c r="CR41" s="2" t="s">
        <v>3511</v>
      </c>
    </row>
    <row r="42" spans="1:96" x14ac:dyDescent="0.2">
      <c r="A42" s="2">
        <v>17</v>
      </c>
      <c r="B42" s="47" t="s">
        <v>3426</v>
      </c>
      <c r="C42" s="47" t="s">
        <v>3512</v>
      </c>
      <c r="D42" s="47" t="s">
        <v>3513</v>
      </c>
      <c r="E42" s="10">
        <v>314.3762963091765</v>
      </c>
      <c r="F42" s="10">
        <v>290.45745342188883</v>
      </c>
      <c r="G42" s="10">
        <v>285.96226977511861</v>
      </c>
      <c r="H42" s="10">
        <v>301.93540102040919</v>
      </c>
      <c r="I42" s="48">
        <f t="shared" si="19"/>
        <v>18543.110495291596</v>
      </c>
      <c r="J42" s="48">
        <f t="shared" si="20"/>
        <v>18648.417618661522</v>
      </c>
      <c r="K42" s="48">
        <f t="shared" si="0"/>
        <v>17725.42689296951</v>
      </c>
      <c r="L42" s="48">
        <f t="shared" si="1"/>
        <v>18194.554382181781</v>
      </c>
      <c r="M42" s="49">
        <f t="shared" si="21"/>
        <v>9.6770794971066163</v>
      </c>
      <c r="N42" s="49">
        <f t="shared" si="22"/>
        <v>9.7320360484749049</v>
      </c>
      <c r="O42" s="49">
        <f t="shared" si="2"/>
        <v>9.2503555542621569</v>
      </c>
      <c r="P42" s="49">
        <f t="shared" si="3"/>
        <v>9.4951787735671314</v>
      </c>
      <c r="S42" s="77"/>
      <c r="AR42" s="11"/>
      <c r="AU42" s="2">
        <v>-1595</v>
      </c>
      <c r="AV42" s="53">
        <v>40</v>
      </c>
      <c r="AW42" s="4" t="s">
        <v>3201</v>
      </c>
      <c r="AX42" t="s">
        <v>3202</v>
      </c>
      <c r="AY42" s="5">
        <v>20117.429999999997</v>
      </c>
      <c r="AZ42" s="9">
        <v>18.138211793307573</v>
      </c>
      <c r="BA42" s="7">
        <f t="shared" si="25"/>
        <v>4.6489005904771499E-4</v>
      </c>
      <c r="BB42" s="54">
        <f t="shared" si="73"/>
        <v>10.3852253692252</v>
      </c>
      <c r="BC42" s="55">
        <f t="shared" si="5"/>
        <v>0.76232870341990855</v>
      </c>
      <c r="BD42" s="55">
        <f t="shared" si="6"/>
        <v>0.87311437018291516</v>
      </c>
      <c r="BE42" s="55">
        <f t="shared" si="7"/>
        <v>0.85563635997144283</v>
      </c>
      <c r="BF42" s="56">
        <f t="shared" si="8"/>
        <v>5.4197299594843512E-3</v>
      </c>
      <c r="BG42" s="56">
        <f t="shared" si="26"/>
        <v>2.0761834147140988E-7</v>
      </c>
      <c r="BH42" s="56">
        <f t="shared" si="27"/>
        <v>4.5565155708217423E-4</v>
      </c>
      <c r="BI42" s="56">
        <f t="shared" si="9"/>
        <v>4.4653032069032894E-4</v>
      </c>
      <c r="BJ42" s="57">
        <f t="shared" si="28"/>
        <v>3.4692653549317856E-4</v>
      </c>
      <c r="BK42" s="57">
        <f t="shared" si="29"/>
        <v>2.9167065014735705E-5</v>
      </c>
      <c r="BL42" s="58">
        <f t="shared" si="30"/>
        <v>0.61212193615109922</v>
      </c>
      <c r="BM42" s="58">
        <f t="shared" si="30"/>
        <v>5.1462769439889269E-2</v>
      </c>
      <c r="BO42" s="2" t="s">
        <v>3514</v>
      </c>
      <c r="BP42" s="2" t="s">
        <v>3515</v>
      </c>
      <c r="CM42" s="227" t="s">
        <v>3485</v>
      </c>
    </row>
    <row r="43" spans="1:96" x14ac:dyDescent="0.2">
      <c r="A43" s="2">
        <v>17</v>
      </c>
      <c r="B43" s="47" t="s">
        <v>3426</v>
      </c>
      <c r="C43" s="47" t="s">
        <v>3512</v>
      </c>
      <c r="D43" s="47" t="s">
        <v>3516</v>
      </c>
      <c r="E43" s="10">
        <v>329.79653783330684</v>
      </c>
      <c r="F43" s="10">
        <v>276.71556919421357</v>
      </c>
      <c r="G43" s="10">
        <v>273.72589758209443</v>
      </c>
      <c r="H43" s="10">
        <v>298.52674066599394</v>
      </c>
      <c r="I43" s="48">
        <f t="shared" si="19"/>
        <v>19452.655030942031</v>
      </c>
      <c r="J43" s="48">
        <f t="shared" si="20"/>
        <v>17766.139016663441</v>
      </c>
      <c r="K43" s="48">
        <f t="shared" si="0"/>
        <v>16966.952983410807</v>
      </c>
      <c r="L43" s="48">
        <f t="shared" si="1"/>
        <v>17989.149332031328</v>
      </c>
      <c r="M43" s="49">
        <f t="shared" si="21"/>
        <v>10.151742837967529</v>
      </c>
      <c r="N43" s="49">
        <f t="shared" si="22"/>
        <v>9.2716019604453166</v>
      </c>
      <c r="O43" s="49">
        <f t="shared" si="2"/>
        <v>8.8545313304274025</v>
      </c>
      <c r="P43" s="49">
        <f t="shared" si="3"/>
        <v>9.3879841904405374</v>
      </c>
      <c r="AU43" s="2">
        <v>-1594</v>
      </c>
      <c r="AV43" s="53">
        <v>41</v>
      </c>
      <c r="AW43" s="4" t="s">
        <v>2248</v>
      </c>
      <c r="AX43" t="s">
        <v>2249</v>
      </c>
      <c r="AY43" s="4">
        <v>33298</v>
      </c>
      <c r="AZ43" s="9">
        <v>18.149487478237958</v>
      </c>
      <c r="BA43" s="7">
        <f t="shared" si="25"/>
        <v>4.6517905963348524E-4</v>
      </c>
      <c r="BB43" s="54">
        <f t="shared" si="73"/>
        <v>10.461682895824806</v>
      </c>
      <c r="BC43" s="55">
        <f t="shared" si="5"/>
        <v>0.77224615353674553</v>
      </c>
      <c r="BD43" s="55">
        <f t="shared" si="6"/>
        <v>0.87877537148963469</v>
      </c>
      <c r="BE43" s="55">
        <f t="shared" si="7"/>
        <v>0.86118403931024512</v>
      </c>
      <c r="BF43" s="56">
        <f t="shared" si="8"/>
        <v>5.4596307929094846E-3</v>
      </c>
      <c r="BG43" s="56">
        <f t="shared" si="26"/>
        <v>2.1031933454125711E-7</v>
      </c>
      <c r="BH43" s="56">
        <f t="shared" si="27"/>
        <v>4.5860585968918573E-4</v>
      </c>
      <c r="BI43" s="56">
        <f t="shared" si="9"/>
        <v>4.494254840449166E-4</v>
      </c>
      <c r="BJ43" s="57">
        <f t="shared" si="28"/>
        <v>5.7845395621632404E-4</v>
      </c>
      <c r="BK43" s="57">
        <f t="shared" si="29"/>
        <v>4.858980102202599E-5</v>
      </c>
      <c r="BL43" s="58">
        <f t="shared" si="30"/>
        <v>1.0206320918924392</v>
      </c>
      <c r="BM43" s="58">
        <f t="shared" si="30"/>
        <v>8.5732511168445991E-2</v>
      </c>
      <c r="CM43" s="227"/>
    </row>
    <row r="44" spans="1:96" x14ac:dyDescent="0.2">
      <c r="A44" s="2">
        <v>17</v>
      </c>
      <c r="B44" s="47" t="s">
        <v>3426</v>
      </c>
      <c r="C44" s="47" t="s">
        <v>3512</v>
      </c>
      <c r="D44" s="47" t="s">
        <v>3517</v>
      </c>
      <c r="E44" s="10">
        <v>664.49675072021807</v>
      </c>
      <c r="F44" s="10">
        <v>567.94879773762079</v>
      </c>
      <c r="G44" s="10">
        <v>584.38523068417544</v>
      </c>
      <c r="H44" s="10">
        <v>640.80342768017772</v>
      </c>
      <c r="I44" s="48">
        <f t="shared" si="19"/>
        <v>39194.547480288427</v>
      </c>
      <c r="J44" s="48">
        <f t="shared" si="20"/>
        <v>36464.364200163829</v>
      </c>
      <c r="K44" s="48">
        <f t="shared" si="0"/>
        <v>36223.232148665644</v>
      </c>
      <c r="L44" s="48">
        <f t="shared" si="1"/>
        <v>38614.659870332303</v>
      </c>
      <c r="M44" s="49">
        <f t="shared" si="21"/>
        <v>20.454429795701135</v>
      </c>
      <c r="N44" s="49">
        <f t="shared" si="22"/>
        <v>19.029631046314105</v>
      </c>
      <c r="O44" s="49">
        <f t="shared" si="2"/>
        <v>18.903791639153109</v>
      </c>
      <c r="P44" s="49">
        <f t="shared" si="3"/>
        <v>20.15180427328097</v>
      </c>
      <c r="AU44" s="2">
        <v>-1593</v>
      </c>
      <c r="AV44" s="53">
        <v>42</v>
      </c>
      <c r="AW44" s="4" t="s">
        <v>1408</v>
      </c>
      <c r="AX44" t="s">
        <v>1409</v>
      </c>
      <c r="AY44" s="4">
        <v>12678</v>
      </c>
      <c r="AZ44" s="9">
        <v>18.151502193020058</v>
      </c>
      <c r="BA44" s="7">
        <f t="shared" si="25"/>
        <v>4.6523069762760988E-4</v>
      </c>
      <c r="BB44" s="54">
        <f t="shared" si="73"/>
        <v>10.47540331899803</v>
      </c>
      <c r="BC44" s="55">
        <f t="shared" si="5"/>
        <v>0.77403159164650326</v>
      </c>
      <c r="BD44" s="55">
        <f t="shared" si="6"/>
        <v>0.87979065217044861</v>
      </c>
      <c r="BE44" s="55">
        <f t="shared" si="7"/>
        <v>0.8621789960945424</v>
      </c>
      <c r="BF44" s="56">
        <f t="shared" si="8"/>
        <v>5.4667910601049448E-3</v>
      </c>
      <c r="BG44" s="56">
        <f t="shared" si="26"/>
        <v>2.1080559420521226E-7</v>
      </c>
      <c r="BH44" s="56">
        <f t="shared" si="27"/>
        <v>4.5913570347470503E-4</v>
      </c>
      <c r="BI44" s="56">
        <f t="shared" si="9"/>
        <v>4.4994472141344171E-4</v>
      </c>
      <c r="BJ44" s="57">
        <f t="shared" si="28"/>
        <v>2.2053148155927674E-4</v>
      </c>
      <c r="BK44" s="57">
        <f t="shared" si="29"/>
        <v>1.8521629199066869E-5</v>
      </c>
      <c r="BL44" s="58">
        <f t="shared" si="30"/>
        <v>0.38910876990840387</v>
      </c>
      <c r="BM44" s="58">
        <f t="shared" si="30"/>
        <v>3.2679816520487716E-2</v>
      </c>
      <c r="BO44" s="2" t="s">
        <v>3518</v>
      </c>
      <c r="CM44" s="227"/>
    </row>
    <row r="45" spans="1:96" x14ac:dyDescent="0.2">
      <c r="K45" s="10"/>
      <c r="L45" s="10"/>
      <c r="M45" s="10"/>
      <c r="N45" s="10"/>
      <c r="O45" s="10"/>
      <c r="P45" s="10"/>
      <c r="AU45" s="2">
        <v>-1592</v>
      </c>
      <c r="AV45" s="53">
        <v>43</v>
      </c>
      <c r="AW45" s="4" t="s">
        <v>1920</v>
      </c>
      <c r="AX45" t="s">
        <v>378</v>
      </c>
      <c r="AY45" s="4">
        <v>23768</v>
      </c>
      <c r="AZ45" s="9">
        <v>18.266213115511373</v>
      </c>
      <c r="BA45" s="7">
        <f t="shared" si="25"/>
        <v>4.6817078720965359E-4</v>
      </c>
      <c r="BB45" s="54">
        <f t="shared" si="73"/>
        <v>11.287017405592465</v>
      </c>
      <c r="BC45" s="55">
        <f t="shared" si="5"/>
        <v>0.88272619115050854</v>
      </c>
      <c r="BD45" s="55">
        <f t="shared" si="6"/>
        <v>0.93953509309152927</v>
      </c>
      <c r="BE45" s="55">
        <f t="shared" si="7"/>
        <v>0.92072747233544194</v>
      </c>
      <c r="BF45" s="56">
        <f t="shared" si="8"/>
        <v>5.8903475092206567E-3</v>
      </c>
      <c r="BG45" s="56">
        <f t="shared" si="26"/>
        <v>2.4040830019631793E-7</v>
      </c>
      <c r="BH45" s="56">
        <f t="shared" si="27"/>
        <v>4.9031449111393592E-4</v>
      </c>
      <c r="BI45" s="56">
        <f t="shared" si="9"/>
        <v>4.804993718406993E-4</v>
      </c>
      <c r="BJ45" s="57">
        <f t="shared" si="28"/>
        <v>4.4547252979558623E-4</v>
      </c>
      <c r="BK45" s="57">
        <f t="shared" si="29"/>
        <v>3.708128194644657E-5</v>
      </c>
      <c r="BL45" s="58">
        <f t="shared" si="30"/>
        <v>0.78599783972409365</v>
      </c>
      <c r="BM45" s="58">
        <f t="shared" si="30"/>
        <v>6.542672231098326E-2</v>
      </c>
      <c r="BO45" s="2" t="s">
        <v>3519</v>
      </c>
      <c r="BP45" s="2" t="s">
        <v>3520</v>
      </c>
      <c r="CM45" s="227"/>
    </row>
    <row r="46" spans="1:96" x14ac:dyDescent="0.2">
      <c r="K46" s="10"/>
      <c r="L46" s="10"/>
      <c r="M46" s="10"/>
      <c r="N46" s="10"/>
      <c r="O46" s="10"/>
      <c r="P46" s="10"/>
      <c r="AU46" s="2">
        <v>-1591</v>
      </c>
      <c r="AV46" s="53">
        <v>44</v>
      </c>
      <c r="AW46" s="4" t="s">
        <v>1582</v>
      </c>
      <c r="AX46" t="s">
        <v>1280</v>
      </c>
      <c r="AY46" s="4">
        <v>52276</v>
      </c>
      <c r="AZ46" s="9">
        <v>18.276518232470377</v>
      </c>
      <c r="BA46" s="7">
        <f t="shared" si="25"/>
        <v>4.6843491172678662E-4</v>
      </c>
      <c r="BB46" s="54">
        <f t="shared" si="73"/>
        <v>11.362937918047024</v>
      </c>
      <c r="BC46" s="55">
        <f t="shared" si="5"/>
        <v>0.89320095606262206</v>
      </c>
      <c r="BD46" s="55">
        <f t="shared" si="6"/>
        <v>0.94509309386039964</v>
      </c>
      <c r="BE46" s="55">
        <f t="shared" si="7"/>
        <v>0.9261742130019579</v>
      </c>
      <c r="BF46" s="56">
        <f t="shared" si="8"/>
        <v>5.9299680914671098E-3</v>
      </c>
      <c r="BG46" s="56">
        <f t="shared" si="26"/>
        <v>2.4326107657558849E-7</v>
      </c>
      <c r="BH46" s="56">
        <f t="shared" si="27"/>
        <v>4.9321504090567682E-4</v>
      </c>
      <c r="BI46" s="56">
        <f t="shared" si="9"/>
        <v>4.8334185840428795E-4</v>
      </c>
      <c r="BJ46" s="57">
        <f t="shared" si="28"/>
        <v>9.8637504889262221E-4</v>
      </c>
      <c r="BK46" s="57">
        <f t="shared" si="29"/>
        <v>8.2040072152825307E-5</v>
      </c>
      <c r="BL46" s="58">
        <f t="shared" si="30"/>
        <v>1.7403736610719962</v>
      </c>
      <c r="BM46" s="58">
        <f t="shared" si="30"/>
        <v>0.14475262820923865</v>
      </c>
      <c r="BO46" s="2" t="s">
        <v>3521</v>
      </c>
      <c r="BP46" s="2" t="s">
        <v>3522</v>
      </c>
      <c r="CM46" s="227"/>
    </row>
    <row r="47" spans="1:96" x14ac:dyDescent="0.2">
      <c r="K47" s="10"/>
      <c r="L47" s="10"/>
      <c r="M47" s="10"/>
      <c r="N47" s="10"/>
      <c r="O47" s="10"/>
      <c r="P47" s="10"/>
      <c r="AU47" s="2">
        <v>-1590</v>
      </c>
      <c r="AV47" s="53">
        <v>45</v>
      </c>
      <c r="AW47" s="4" t="s">
        <v>2980</v>
      </c>
      <c r="AX47" t="s">
        <v>2981</v>
      </c>
      <c r="AY47" s="4">
        <v>41257</v>
      </c>
      <c r="AZ47" s="9">
        <v>18.286434427471768</v>
      </c>
      <c r="BA47" s="7">
        <f t="shared" si="25"/>
        <v>4.6868906800923924E-4</v>
      </c>
      <c r="BB47" s="54">
        <f t="shared" si="73"/>
        <v>11.436475260725393</v>
      </c>
      <c r="BC47" s="55">
        <f t="shared" si="5"/>
        <v>0.90339658488300234</v>
      </c>
      <c r="BD47" s="55">
        <f t="shared" si="6"/>
        <v>0.95047176964021518</v>
      </c>
      <c r="BE47" s="55">
        <f t="shared" si="7"/>
        <v>0.93144521840843608</v>
      </c>
      <c r="BF47" s="56">
        <f t="shared" si="8"/>
        <v>5.968344970647398E-3</v>
      </c>
      <c r="BG47" s="56">
        <f t="shared" si="26"/>
        <v>2.4603783092899341E-7</v>
      </c>
      <c r="BH47" s="56">
        <f t="shared" si="27"/>
        <v>4.9602200649668095E-4</v>
      </c>
      <c r="BI47" s="56">
        <f t="shared" si="9"/>
        <v>4.8609263413639355E-4</v>
      </c>
      <c r="BJ47" s="57">
        <f t="shared" si="28"/>
        <v>7.8349988069316954E-4</v>
      </c>
      <c r="BK47" s="57">
        <f t="shared" si="29"/>
        <v>6.5115737247537192E-5</v>
      </c>
      <c r="BL47" s="58">
        <f t="shared" si="30"/>
        <v>1.3824179325524331</v>
      </c>
      <c r="BM47" s="58">
        <f t="shared" si="30"/>
        <v>0.11489109964219625</v>
      </c>
      <c r="CM47" s="227"/>
    </row>
    <row r="48" spans="1:96" x14ac:dyDescent="0.2">
      <c r="K48" s="10"/>
      <c r="L48" s="10"/>
      <c r="M48" s="10"/>
      <c r="N48" s="10"/>
      <c r="O48" s="10"/>
      <c r="P48" s="10"/>
      <c r="AU48" s="2">
        <v>-1589</v>
      </c>
      <c r="AV48" s="53">
        <v>46</v>
      </c>
      <c r="AW48" s="4" t="s">
        <v>1684</v>
      </c>
      <c r="AX48" t="s">
        <v>1290</v>
      </c>
      <c r="AY48" s="4">
        <v>81291</v>
      </c>
      <c r="AZ48" s="9">
        <v>18.297029689456242</v>
      </c>
      <c r="BA48" s="7">
        <f t="shared" si="25"/>
        <v>4.6896062906639954E-4</v>
      </c>
      <c r="BB48" s="54">
        <f t="shared" si="73"/>
        <v>11.515574516944405</v>
      </c>
      <c r="BC48" s="55">
        <f t="shared" si="5"/>
        <v>0.91441780110397908</v>
      </c>
      <c r="BD48" s="55">
        <f t="shared" si="6"/>
        <v>0.95625195482361192</v>
      </c>
      <c r="BE48" s="55">
        <f t="shared" si="7"/>
        <v>0.93710969580015091</v>
      </c>
      <c r="BF48" s="56">
        <f t="shared" si="8"/>
        <v>6.0096244415747723E-3</v>
      </c>
      <c r="BG48" s="56">
        <f t="shared" si="26"/>
        <v>2.4903943197396794E-7</v>
      </c>
      <c r="BH48" s="56">
        <f t="shared" si="27"/>
        <v>4.9903850750615216E-4</v>
      </c>
      <c r="BI48" s="56">
        <f t="shared" si="9"/>
        <v>4.8904875080533973E-4</v>
      </c>
      <c r="BJ48" s="57">
        <f t="shared" si="28"/>
        <v>1.5544514802060541E-3</v>
      </c>
      <c r="BK48" s="57">
        <f t="shared" si="29"/>
        <v>1.2908146827050049E-4</v>
      </c>
      <c r="BL48" s="58">
        <f t="shared" si="30"/>
        <v>2.7426955057330313</v>
      </c>
      <c r="BM48" s="58">
        <f t="shared" si="30"/>
        <v>0.227753112533299</v>
      </c>
      <c r="BO48" s="2" t="s">
        <v>3523</v>
      </c>
      <c r="CM48" s="227"/>
      <c r="CN48" s="2" t="s">
        <v>3493</v>
      </c>
      <c r="CO48" s="2" t="s">
        <v>1235</v>
      </c>
      <c r="CP48" s="8">
        <f t="shared" ref="CP48:CP56" si="74">VLOOKUP(CO48,$AX$2:$BJ$1636,4,FALSE)</f>
        <v>6.4178284215439172E-4</v>
      </c>
      <c r="CQ48" s="9">
        <f t="shared" ref="CQ48:CQ56" si="75">VLOOKUP(CO48,$AX$2:$BJ$1636,6,FALSE)</f>
        <v>1297.2288839206628</v>
      </c>
    </row>
    <row r="49" spans="11:96" x14ac:dyDescent="0.2">
      <c r="K49" s="10"/>
      <c r="L49" s="10"/>
      <c r="M49" s="10"/>
      <c r="N49" s="10"/>
      <c r="O49" s="10"/>
      <c r="P49" s="10"/>
      <c r="AU49" s="2">
        <v>-1588</v>
      </c>
      <c r="AV49" s="53">
        <v>47</v>
      </c>
      <c r="AW49" s="4" t="s">
        <v>2078</v>
      </c>
      <c r="AX49" t="s">
        <v>2079</v>
      </c>
      <c r="AY49" s="4">
        <v>82744</v>
      </c>
      <c r="AZ49" s="9">
        <v>18.361489776841744</v>
      </c>
      <c r="BA49" s="7">
        <f t="shared" si="25"/>
        <v>4.7061276843781894E-4</v>
      </c>
      <c r="BB49" s="54">
        <f t="shared" si="73"/>
        <v>12.008732288194636</v>
      </c>
      <c r="BC49" s="55">
        <f t="shared" si="5"/>
        <v>0.9843970792795288</v>
      </c>
      <c r="BD49" s="55">
        <f t="shared" si="6"/>
        <v>0.99216786849783078</v>
      </c>
      <c r="BE49" s="55">
        <f t="shared" si="7"/>
        <v>0.97230664443681014</v>
      </c>
      <c r="BF49" s="56">
        <f t="shared" si="8"/>
        <v>6.2669883265721715E-3</v>
      </c>
      <c r="BG49" s="56">
        <f t="shared" si="26"/>
        <v>2.6809811572415712E-7</v>
      </c>
      <c r="BH49" s="56">
        <f t="shared" si="27"/>
        <v>5.1778191907805849E-4</v>
      </c>
      <c r="BI49" s="56">
        <f t="shared" si="9"/>
        <v>5.0741695661951354E-4</v>
      </c>
      <c r="BJ49" s="57">
        <f t="shared" si="28"/>
        <v>1.6499955372255252E-3</v>
      </c>
      <c r="BK49" s="57">
        <f t="shared" si="29"/>
        <v>1.3632351158409737E-4</v>
      </c>
      <c r="BL49" s="58">
        <f t="shared" si="30"/>
        <v>2.9112747500025713</v>
      </c>
      <c r="BM49" s="58">
        <f t="shared" si="30"/>
        <v>0.24053107305599936</v>
      </c>
      <c r="BO49" s="2" t="s">
        <v>3524</v>
      </c>
      <c r="BP49" s="2" t="s">
        <v>3525</v>
      </c>
      <c r="CM49" s="227"/>
      <c r="CN49" s="2" t="s">
        <v>3496</v>
      </c>
      <c r="CO49" s="2" t="s">
        <v>324</v>
      </c>
      <c r="CP49" s="8">
        <f t="shared" si="74"/>
        <v>6.9754139330147102E-4</v>
      </c>
      <c r="CQ49" s="9">
        <f t="shared" si="75"/>
        <v>8957.8918991074443</v>
      </c>
    </row>
    <row r="50" spans="11:96" x14ac:dyDescent="0.2">
      <c r="K50" s="10"/>
      <c r="L50" s="10"/>
      <c r="M50" s="10"/>
      <c r="N50" s="10"/>
      <c r="O50" s="10"/>
      <c r="P50" s="10"/>
      <c r="AU50" s="2">
        <v>-1587</v>
      </c>
      <c r="AV50" s="53">
        <v>48</v>
      </c>
      <c r="AW50" s="4" t="s">
        <v>3147</v>
      </c>
      <c r="AX50" t="s">
        <v>3148</v>
      </c>
      <c r="AY50" s="5">
        <v>85534.959999999977</v>
      </c>
      <c r="AZ50" s="9">
        <v>18.363990695302281</v>
      </c>
      <c r="BA50" s="7">
        <f t="shared" si="25"/>
        <v>4.7067686803837724E-4</v>
      </c>
      <c r="BB50" s="54">
        <f t="shared" si="73"/>
        <v>12.028285701073774</v>
      </c>
      <c r="BC50" s="55">
        <f t="shared" si="5"/>
        <v>0.98721644599330116</v>
      </c>
      <c r="BD50" s="55">
        <f t="shared" si="6"/>
        <v>0.99358766396996956</v>
      </c>
      <c r="BE50" s="55">
        <f t="shared" si="7"/>
        <v>0.97369801843221271</v>
      </c>
      <c r="BF50" s="56">
        <f t="shared" si="8"/>
        <v>6.2771926518346045E-3</v>
      </c>
      <c r="BG50" s="56">
        <f t="shared" si="26"/>
        <v>2.6886596329238722E-7</v>
      </c>
      <c r="BH50" s="56">
        <f t="shared" si="27"/>
        <v>5.1852286670154408E-4</v>
      </c>
      <c r="BI50" s="56">
        <f t="shared" si="9"/>
        <v>5.0814307194774471E-4</v>
      </c>
      <c r="BJ50" s="57">
        <f t="shared" si="28"/>
        <v>1.7084272362245594E-3</v>
      </c>
      <c r="BK50" s="57">
        <f t="shared" si="29"/>
        <v>1.4112337110113208E-4</v>
      </c>
      <c r="BL50" s="58">
        <f t="shared" si="30"/>
        <v>3.0143724409100754</v>
      </c>
      <c r="BM50" s="58">
        <f t="shared" si="30"/>
        <v>0.24900001100173438</v>
      </c>
      <c r="BO50" s="2" t="s">
        <v>3526</v>
      </c>
      <c r="BP50" s="2" t="s">
        <v>3527</v>
      </c>
      <c r="CM50" s="227"/>
      <c r="CN50" s="2" t="s">
        <v>3500</v>
      </c>
      <c r="CO50" s="2" t="s">
        <v>325</v>
      </c>
      <c r="CP50" s="8">
        <f t="shared" si="74"/>
        <v>6.9204410720475837E-4</v>
      </c>
      <c r="CQ50" s="9">
        <f t="shared" si="75"/>
        <v>7542.8113021140489</v>
      </c>
    </row>
    <row r="51" spans="11:96" x14ac:dyDescent="0.2">
      <c r="K51" s="10"/>
      <c r="L51" s="10"/>
      <c r="M51" s="10"/>
      <c r="N51" s="10"/>
      <c r="O51" s="10"/>
      <c r="P51" s="10"/>
      <c r="AU51" s="2">
        <v>-1586</v>
      </c>
      <c r="AV51" s="53">
        <v>49</v>
      </c>
      <c r="AW51" s="4" t="s">
        <v>1962</v>
      </c>
      <c r="AX51" t="s">
        <v>1963</v>
      </c>
      <c r="AY51" s="4">
        <v>24861</v>
      </c>
      <c r="AZ51" s="9">
        <v>18.419027477707207</v>
      </c>
      <c r="BA51" s="7">
        <f t="shared" si="25"/>
        <v>4.7208748410756783E-4</v>
      </c>
      <c r="BB51" s="54">
        <f t="shared" si="73"/>
        <v>12.466743503854891</v>
      </c>
      <c r="BC51" s="55">
        <f t="shared" si="5"/>
        <v>1.0513255544060274</v>
      </c>
      <c r="BD51" s="55">
        <f t="shared" si="6"/>
        <v>1.0253416769087402</v>
      </c>
      <c r="BE51" s="55">
        <f t="shared" si="7"/>
        <v>1.0048163792945173</v>
      </c>
      <c r="BF51" s="56">
        <f t="shared" si="8"/>
        <v>6.5060103043377768E-3</v>
      </c>
      <c r="BG51" s="56">
        <f t="shared" si="26"/>
        <v>2.8632592079123202E-7</v>
      </c>
      <c r="BH51" s="56">
        <f t="shared" si="27"/>
        <v>5.3509431018394511E-4</v>
      </c>
      <c r="BI51" s="56">
        <f t="shared" si="9"/>
        <v>5.2438278814641824E-4</v>
      </c>
      <c r="BJ51" s="57">
        <f t="shared" si="28"/>
        <v>5.1466035176284152E-4</v>
      </c>
      <c r="BK51" s="57">
        <f t="shared" si="29"/>
        <v>4.2328833343831501E-5</v>
      </c>
      <c r="BL51" s="58">
        <f t="shared" si="30"/>
        <v>0.90807378148066364</v>
      </c>
      <c r="BM51" s="58">
        <f t="shared" si="30"/>
        <v>7.4685573948991876E-2</v>
      </c>
      <c r="BO51" s="2" t="s">
        <v>3528</v>
      </c>
      <c r="BP51" s="2" t="s">
        <v>3529</v>
      </c>
      <c r="CM51" s="227"/>
      <c r="CN51" s="2" t="s">
        <v>3507</v>
      </c>
      <c r="CO51" s="2" t="s">
        <v>826</v>
      </c>
      <c r="CP51" s="8">
        <f t="shared" si="74"/>
        <v>6.049339407727931E-4</v>
      </c>
      <c r="CQ51" s="9">
        <f t="shared" si="75"/>
        <v>308.2512823615653</v>
      </c>
    </row>
    <row r="52" spans="11:96" x14ac:dyDescent="0.2">
      <c r="K52" s="10"/>
      <c r="L52" s="10"/>
      <c r="M52" s="10"/>
      <c r="N52" s="10"/>
      <c r="O52" s="10"/>
      <c r="P52" s="10"/>
      <c r="AU52" s="2">
        <v>-1585</v>
      </c>
      <c r="AV52" s="53">
        <v>50</v>
      </c>
      <c r="AW52" s="4" t="s">
        <v>2855</v>
      </c>
      <c r="AX52" t="s">
        <v>2856</v>
      </c>
      <c r="AY52" s="4">
        <v>13555</v>
      </c>
      <c r="AZ52" s="9">
        <v>18.421358098427788</v>
      </c>
      <c r="BA52" s="7">
        <f t="shared" si="25"/>
        <v>4.7214721890484311E-4</v>
      </c>
      <c r="BB52" s="54">
        <f t="shared" si="73"/>
        <v>12.485659435604546</v>
      </c>
      <c r="BC52" s="55">
        <f t="shared" si="5"/>
        <v>1.0541294849151703</v>
      </c>
      <c r="BD52" s="55">
        <f t="shared" si="6"/>
        <v>1.0267080816450069</v>
      </c>
      <c r="BE52" s="55">
        <f t="shared" si="7"/>
        <v>1.0061554313302112</v>
      </c>
      <c r="BF52" s="56">
        <f t="shared" si="8"/>
        <v>6.5158819477899223E-3</v>
      </c>
      <c r="BG52" s="56">
        <f t="shared" si="26"/>
        <v>2.8708956434721523E-7</v>
      </c>
      <c r="BH52" s="56">
        <f t="shared" si="27"/>
        <v>5.358073948231913E-4</v>
      </c>
      <c r="BI52" s="56">
        <f t="shared" si="9"/>
        <v>5.2508159825184384E-4</v>
      </c>
      <c r="BJ52" s="57">
        <f t="shared" si="28"/>
        <v>2.8103480019865928E-4</v>
      </c>
      <c r="BK52" s="57">
        <f t="shared" si="29"/>
        <v>2.3109768616998053E-5</v>
      </c>
      <c r="BL52" s="58">
        <f t="shared" si="30"/>
        <v>0.49586165491461276</v>
      </c>
      <c r="BM52" s="58">
        <f t="shared" si="30"/>
        <v>4.0775192620337644E-2</v>
      </c>
      <c r="CM52" s="227"/>
      <c r="CN52" s="2" t="s">
        <v>3530</v>
      </c>
      <c r="CO52" s="2" t="s">
        <v>343</v>
      </c>
      <c r="CP52" s="8">
        <f t="shared" si="74"/>
        <v>7.0085162696256536E-4</v>
      </c>
      <c r="CQ52" s="9">
        <f t="shared" si="75"/>
        <v>9909.8168853729621</v>
      </c>
      <c r="CR52" s="232" t="s">
        <v>3531</v>
      </c>
    </row>
    <row r="53" spans="11:96" x14ac:dyDescent="0.2">
      <c r="K53" s="10"/>
      <c r="L53" s="10"/>
      <c r="M53" s="10"/>
      <c r="N53" s="10"/>
      <c r="O53" s="10"/>
      <c r="P53" s="10"/>
      <c r="AU53" s="2">
        <v>-1584</v>
      </c>
      <c r="AV53" s="53">
        <v>51</v>
      </c>
      <c r="AW53" s="4" t="s">
        <v>1675</v>
      </c>
      <c r="AX53" t="s">
        <v>1676</v>
      </c>
      <c r="AY53" s="4">
        <v>17427</v>
      </c>
      <c r="AZ53" s="9">
        <v>18.438299133480353</v>
      </c>
      <c r="BA53" s="7">
        <f t="shared" si="25"/>
        <v>4.7258142481641053E-4</v>
      </c>
      <c r="BB53" s="54">
        <f t="shared" si="73"/>
        <v>12.624022706934854</v>
      </c>
      <c r="BC53" s="55">
        <f t="shared" si="5"/>
        <v>1.0747346888462401</v>
      </c>
      <c r="BD53" s="55">
        <f t="shared" si="6"/>
        <v>1.0366941153716656</v>
      </c>
      <c r="BE53" s="55">
        <f t="shared" si="7"/>
        <v>1.0159415645565377</v>
      </c>
      <c r="BF53" s="56">
        <f t="shared" si="8"/>
        <v>6.5880894868909391E-3</v>
      </c>
      <c r="BG53" s="56">
        <f t="shared" si="26"/>
        <v>2.9270134079830898E-7</v>
      </c>
      <c r="BH53" s="56">
        <f t="shared" si="27"/>
        <v>5.410187989324484E-4</v>
      </c>
      <c r="BI53" s="56">
        <f t="shared" si="9"/>
        <v>5.3018868043335778E-4</v>
      </c>
      <c r="BJ53" s="57">
        <f t="shared" si="28"/>
        <v>3.6531667229327094E-4</v>
      </c>
      <c r="BK53" s="57">
        <f t="shared" si="29"/>
        <v>3.0000076299415344E-5</v>
      </c>
      <c r="BL53" s="58">
        <f t="shared" si="30"/>
        <v>0.64456974567986169</v>
      </c>
      <c r="BM53" s="58">
        <f t="shared" si="30"/>
        <v>5.2932545972517279E-2</v>
      </c>
      <c r="CM53" s="227"/>
      <c r="CN53" s="2" t="s">
        <v>3532</v>
      </c>
      <c r="CO53" s="2" t="s">
        <v>936</v>
      </c>
      <c r="CP53" s="8">
        <f t="shared" si="74"/>
        <v>6.9542459603760202E-4</v>
      </c>
      <c r="CQ53" s="9">
        <f t="shared" si="75"/>
        <v>8389.1211131479631</v>
      </c>
      <c r="CR53" s="232"/>
    </row>
    <row r="54" spans="11:96" x14ac:dyDescent="0.2">
      <c r="K54" s="10"/>
      <c r="L54" s="10"/>
      <c r="M54" s="10"/>
      <c r="N54" s="10"/>
      <c r="O54" s="10"/>
      <c r="P54" s="10"/>
      <c r="AU54" s="2">
        <v>-1583</v>
      </c>
      <c r="AV54" s="53">
        <v>52</v>
      </c>
      <c r="AW54" s="4" t="s">
        <v>1725</v>
      </c>
      <c r="AX54" t="s">
        <v>1726</v>
      </c>
      <c r="AY54" s="4">
        <v>14350</v>
      </c>
      <c r="AZ54" s="9">
        <v>18.456046868373662</v>
      </c>
      <c r="BA54" s="7">
        <f t="shared" si="25"/>
        <v>4.7303630678694511E-4</v>
      </c>
      <c r="BB54" s="54">
        <f t="shared" si="73"/>
        <v>12.770619564457231</v>
      </c>
      <c r="BC54" s="55">
        <f t="shared" si="5"/>
        <v>1.0967488316689151</v>
      </c>
      <c r="BD54" s="55">
        <f t="shared" si="6"/>
        <v>1.0472577675381143</v>
      </c>
      <c r="BE54" s="55">
        <f t="shared" si="7"/>
        <v>1.0262937534522618</v>
      </c>
      <c r="BF54" s="56">
        <f t="shared" si="8"/>
        <v>6.6645938815894611E-3</v>
      </c>
      <c r="BG54" s="56">
        <f t="shared" si="26"/>
        <v>2.9869683828023901E-7</v>
      </c>
      <c r="BH54" s="56">
        <f t="shared" si="27"/>
        <v>5.4653164435395599E-4</v>
      </c>
      <c r="BI54" s="56">
        <f t="shared" si="9"/>
        <v>5.3559116967260352E-4</v>
      </c>
      <c r="BJ54" s="57">
        <f t="shared" si="28"/>
        <v>3.0430771520646157E-4</v>
      </c>
      <c r="BK54" s="57">
        <f t="shared" si="29"/>
        <v>2.4954828296562017E-5</v>
      </c>
      <c r="BL54" s="58">
        <f t="shared" si="30"/>
        <v>0.53692470526388769</v>
      </c>
      <c r="BM54" s="58">
        <f t="shared" si="30"/>
        <v>4.403064121772874E-2</v>
      </c>
      <c r="CM54" s="227" t="s">
        <v>3518</v>
      </c>
      <c r="CN54" s="2" t="s">
        <v>3519</v>
      </c>
      <c r="CO54" s="2" t="s">
        <v>100</v>
      </c>
      <c r="CP54" s="8">
        <f t="shared" si="74"/>
        <v>6.3655485655132445E-4</v>
      </c>
      <c r="CQ54" s="9">
        <f t="shared" si="75"/>
        <v>1064.2356575317133</v>
      </c>
    </row>
    <row r="55" spans="11:96" x14ac:dyDescent="0.2">
      <c r="K55" s="10"/>
      <c r="L55" s="10"/>
      <c r="M55" s="10"/>
      <c r="N55" s="10"/>
      <c r="O55" s="10"/>
      <c r="P55" s="10"/>
      <c r="AU55" s="2">
        <v>-1582</v>
      </c>
      <c r="AV55" s="53">
        <v>53</v>
      </c>
      <c r="AW55" s="4" t="s">
        <v>3074</v>
      </c>
      <c r="AX55" t="s">
        <v>3075</v>
      </c>
      <c r="AY55" s="4">
        <v>27009</v>
      </c>
      <c r="AZ55" s="9">
        <v>18.456902488042498</v>
      </c>
      <c r="BA55" s="7">
        <f t="shared" si="25"/>
        <v>4.7305823668184881E-4</v>
      </c>
      <c r="BB55" s="54">
        <f t="shared" si="73"/>
        <v>12.777729869922737</v>
      </c>
      <c r="BC55" s="55">
        <f t="shared" si="5"/>
        <v>1.0978213420241196</v>
      </c>
      <c r="BD55" s="55">
        <f t="shared" si="6"/>
        <v>1.0477696989434842</v>
      </c>
      <c r="BE55" s="55">
        <f t="shared" si="7"/>
        <v>1.0267954370108019</v>
      </c>
      <c r="BF55" s="56">
        <f t="shared" si="8"/>
        <v>6.6683045314966487E-3</v>
      </c>
      <c r="BG55" s="56">
        <f t="shared" si="26"/>
        <v>2.9898893382926008E-7</v>
      </c>
      <c r="BH55" s="56">
        <f t="shared" si="27"/>
        <v>5.4679880562164733E-4</v>
      </c>
      <c r="BI55" s="56">
        <f t="shared" si="9"/>
        <v>5.3585298290397313E-4</v>
      </c>
      <c r="BJ55" s="57">
        <f t="shared" si="28"/>
        <v>5.7307478771792075E-4</v>
      </c>
      <c r="BK55" s="57">
        <f t="shared" si="29"/>
        <v>4.6991946449948305E-5</v>
      </c>
      <c r="BL55" s="58">
        <f t="shared" si="30"/>
        <v>1.0111410132367094</v>
      </c>
      <c r="BM55" s="58">
        <f t="shared" si="30"/>
        <v>8.2913234652287712E-2</v>
      </c>
      <c r="CM55" s="227"/>
      <c r="CN55" s="2" t="s">
        <v>3521</v>
      </c>
      <c r="CO55" s="2" t="s">
        <v>15</v>
      </c>
      <c r="CP55" s="8">
        <f t="shared" si="74"/>
        <v>6.6815331674078431E-4</v>
      </c>
      <c r="CQ55" s="9">
        <f t="shared" si="75"/>
        <v>3389.490744831945</v>
      </c>
      <c r="CR55" s="2" t="s">
        <v>3533</v>
      </c>
    </row>
    <row r="56" spans="11:96" x14ac:dyDescent="0.2">
      <c r="K56" s="10"/>
      <c r="L56" s="10"/>
      <c r="M56" s="10"/>
      <c r="N56" s="10"/>
      <c r="O56" s="10"/>
      <c r="P56" s="10"/>
      <c r="AU56" s="2">
        <v>-1581</v>
      </c>
      <c r="AV56" s="53">
        <v>54</v>
      </c>
      <c r="AW56" s="4" t="s">
        <v>2748</v>
      </c>
      <c r="AX56" t="s">
        <v>2749</v>
      </c>
      <c r="AY56" s="4">
        <v>18383</v>
      </c>
      <c r="AZ56" s="9">
        <v>18.471939768890227</v>
      </c>
      <c r="BA56" s="7">
        <f t="shared" si="25"/>
        <v>4.7344364856593526E-4</v>
      </c>
      <c r="BB56" s="54">
        <f t="shared" si="73"/>
        <v>12.903339749270197</v>
      </c>
      <c r="BC56" s="55">
        <f t="shared" si="5"/>
        <v>1.1168407998665895</v>
      </c>
      <c r="BD56" s="55">
        <f t="shared" si="6"/>
        <v>1.0568068886350948</v>
      </c>
      <c r="BE56" s="55">
        <f t="shared" si="7"/>
        <v>1.0356517201693085</v>
      </c>
      <c r="BF56" s="56">
        <f t="shared" si="8"/>
        <v>6.7338564672614664E-3</v>
      </c>
      <c r="BG56" s="56">
        <f t="shared" si="26"/>
        <v>3.0416883624567144E-7</v>
      </c>
      <c r="BH56" s="56">
        <f t="shared" si="27"/>
        <v>5.5151503718907922E-4</v>
      </c>
      <c r="BI56" s="56">
        <f t="shared" si="9"/>
        <v>5.4047480491143177E-4</v>
      </c>
      <c r="BJ56" s="57">
        <f t="shared" si="28"/>
        <v>3.9388334230052162E-4</v>
      </c>
      <c r="BK56" s="57">
        <f t="shared" si="29"/>
        <v>3.2259758911281851E-5</v>
      </c>
      <c r="BL56" s="58">
        <f t="shared" si="30"/>
        <v>0.69497316993615266</v>
      </c>
      <c r="BM56" s="58">
        <f t="shared" si="30"/>
        <v>5.6919560956817605E-2</v>
      </c>
      <c r="CM56" s="227"/>
      <c r="CN56" s="2" t="s">
        <v>3534</v>
      </c>
      <c r="CO56" s="2" t="s">
        <v>765</v>
      </c>
      <c r="CP56" s="8">
        <f t="shared" si="74"/>
        <v>6.4149695870083776E-4</v>
      </c>
      <c r="CQ56" s="9">
        <f t="shared" si="75"/>
        <v>1283.335223071449</v>
      </c>
    </row>
    <row r="57" spans="11:96" x14ac:dyDescent="0.2">
      <c r="K57" s="10"/>
      <c r="L57" s="10"/>
      <c r="M57" s="10"/>
      <c r="N57" s="10"/>
      <c r="O57" s="10"/>
      <c r="P57" s="10"/>
      <c r="AU57" s="2">
        <v>-1580</v>
      </c>
      <c r="AV57" s="53">
        <v>55</v>
      </c>
      <c r="AW57" s="4" t="s">
        <v>2888</v>
      </c>
      <c r="AX57" t="s">
        <v>2889</v>
      </c>
      <c r="AY57" s="4">
        <v>13162</v>
      </c>
      <c r="AZ57" s="9">
        <v>18.529107688976271</v>
      </c>
      <c r="BA57" s="7">
        <f t="shared" si="25"/>
        <v>4.7490888659751683E-4</v>
      </c>
      <c r="BB57" s="54">
        <f t="shared" si="73"/>
        <v>13.392252030620801</v>
      </c>
      <c r="BC57" s="55">
        <f t="shared" si="5"/>
        <v>1.1921724499044541</v>
      </c>
      <c r="BD57" s="55">
        <f t="shared" si="6"/>
        <v>1.0918664982059181</v>
      </c>
      <c r="BE57" s="55">
        <f t="shared" si="7"/>
        <v>1.0700095062047332</v>
      </c>
      <c r="BF57" s="56">
        <f t="shared" si="8"/>
        <v>6.989004761553454E-3</v>
      </c>
      <c r="BG57" s="56">
        <f t="shared" si="26"/>
        <v>3.2468522526657707E-7</v>
      </c>
      <c r="BH57" s="56">
        <f t="shared" si="27"/>
        <v>5.6981156996552555E-4</v>
      </c>
      <c r="BI57" s="56">
        <f t="shared" si="9"/>
        <v>5.5840507755332747E-4</v>
      </c>
      <c r="BJ57" s="57">
        <f t="shared" si="28"/>
        <v>2.9270126202799959E-4</v>
      </c>
      <c r="BK57" s="57">
        <f t="shared" si="29"/>
        <v>2.3863850624991378E-5</v>
      </c>
      <c r="BL57" s="58">
        <f t="shared" si="30"/>
        <v>0.51644612013246316</v>
      </c>
      <c r="BM57" s="58">
        <f t="shared" si="30"/>
        <v>4.2105705254931597E-2</v>
      </c>
    </row>
    <row r="58" spans="11:96" x14ac:dyDescent="0.2">
      <c r="K58" s="10"/>
      <c r="L58" s="10"/>
      <c r="M58" s="10"/>
      <c r="N58" s="10"/>
      <c r="O58" s="10"/>
      <c r="P58" s="10"/>
      <c r="AU58" s="2">
        <v>-1579</v>
      </c>
      <c r="AV58" s="53">
        <v>56</v>
      </c>
      <c r="AW58" s="4" t="s">
        <v>2753</v>
      </c>
      <c r="AX58" t="s">
        <v>1346</v>
      </c>
      <c r="AY58" s="4">
        <v>13865</v>
      </c>
      <c r="AZ58" s="9">
        <v>18.5608925462376</v>
      </c>
      <c r="BA58" s="7">
        <f t="shared" si="25"/>
        <v>4.7572354596622562E-4</v>
      </c>
      <c r="BB58" s="54">
        <f t="shared" si="73"/>
        <v>13.672052427250909</v>
      </c>
      <c r="BC58" s="55">
        <f t="shared" si="5"/>
        <v>1.236209722879767</v>
      </c>
      <c r="BD58" s="55">
        <f t="shared" si="6"/>
        <v>1.1118496853800728</v>
      </c>
      <c r="BE58" s="55">
        <f t="shared" si="7"/>
        <v>1.0895926697835663</v>
      </c>
      <c r="BF58" s="56">
        <f t="shared" si="8"/>
        <v>7.1350239896758915E-3</v>
      </c>
      <c r="BG58" s="56">
        <f t="shared" si="26"/>
        <v>3.3667866790758363E-7</v>
      </c>
      <c r="BH58" s="56">
        <f t="shared" si="27"/>
        <v>5.8024018122462329E-4</v>
      </c>
      <c r="BI58" s="56">
        <f t="shared" si="9"/>
        <v>5.686249287916277E-4</v>
      </c>
      <c r="BJ58" s="57">
        <f t="shared" si="28"/>
        <v>3.1477677656396478E-4</v>
      </c>
      <c r="BK58" s="57">
        <f t="shared" si="29"/>
        <v>2.5598531153232231E-5</v>
      </c>
      <c r="BL58" s="58">
        <f t="shared" si="30"/>
        <v>0.55539646067092119</v>
      </c>
      <c r="BM58" s="58">
        <f t="shared" si="30"/>
        <v>4.5166399364250542E-2</v>
      </c>
    </row>
    <row r="59" spans="11:96" x14ac:dyDescent="0.2">
      <c r="K59" s="10"/>
      <c r="L59" s="10"/>
      <c r="M59" s="10"/>
      <c r="N59" s="10"/>
      <c r="O59" s="10"/>
      <c r="P59" s="10"/>
      <c r="AU59" s="2">
        <v>-1578</v>
      </c>
      <c r="AV59" s="53">
        <v>57</v>
      </c>
      <c r="AW59" s="4" t="s">
        <v>1436</v>
      </c>
      <c r="AX59" t="s">
        <v>45</v>
      </c>
      <c r="AY59" s="4">
        <v>20245</v>
      </c>
      <c r="AZ59" s="9">
        <v>18.56600695076126</v>
      </c>
      <c r="BA59" s="7">
        <f t="shared" si="25"/>
        <v>4.7585463032272631E-4</v>
      </c>
      <c r="BB59" s="54">
        <f t="shared" si="73"/>
        <v>13.717617130694826</v>
      </c>
      <c r="BC59" s="55">
        <f t="shared" si="5"/>
        <v>1.2434444651663206</v>
      </c>
      <c r="BD59" s="55">
        <f t="shared" si="6"/>
        <v>1.1150984105299051</v>
      </c>
      <c r="BE59" s="55">
        <f t="shared" si="7"/>
        <v>1.0927763619282367</v>
      </c>
      <c r="BF59" s="56">
        <f t="shared" si="8"/>
        <v>7.1588028081001733E-3</v>
      </c>
      <c r="BG59" s="56">
        <f t="shared" si="26"/>
        <v>3.386490321189453E-7</v>
      </c>
      <c r="BH59" s="56">
        <f t="shared" si="27"/>
        <v>5.8193559103988934E-4</v>
      </c>
      <c r="BI59" s="56">
        <f t="shared" si="9"/>
        <v>5.7028639988010628E-4</v>
      </c>
      <c r="BJ59" s="57">
        <f t="shared" si="28"/>
        <v>4.6115354661072772E-4</v>
      </c>
      <c r="BK59" s="57">
        <f t="shared" si="29"/>
        <v>3.7486947035809426E-5</v>
      </c>
      <c r="BL59" s="58">
        <f t="shared" si="30"/>
        <v>0.8136656408049685</v>
      </c>
      <c r="BM59" s="58">
        <f t="shared" si="30"/>
        <v>6.6142483356983112E-2</v>
      </c>
    </row>
    <row r="60" spans="11:96" x14ac:dyDescent="0.2">
      <c r="K60" s="10"/>
      <c r="L60" s="10"/>
      <c r="M60" s="10"/>
      <c r="N60" s="10"/>
      <c r="O60" s="10"/>
      <c r="P60" s="10"/>
      <c r="AU60" s="2">
        <v>-1577</v>
      </c>
      <c r="AV60" s="53">
        <v>58</v>
      </c>
      <c r="AW60" s="4" t="s">
        <v>2585</v>
      </c>
      <c r="AX60" t="s">
        <v>2586</v>
      </c>
      <c r="AY60" s="4">
        <v>31247</v>
      </c>
      <c r="AZ60" s="9">
        <v>18.578050765712796</v>
      </c>
      <c r="BA60" s="7">
        <f t="shared" si="25"/>
        <v>4.7616331840663351E-4</v>
      </c>
      <c r="BB60" s="54">
        <f t="shared" si="73"/>
        <v>13.825517390382583</v>
      </c>
      <c r="BC60" s="55">
        <f t="shared" si="5"/>
        <v>1.2606473947198358</v>
      </c>
      <c r="BD60" s="55">
        <f t="shared" si="6"/>
        <v>1.1227855515279113</v>
      </c>
      <c r="BE60" s="55">
        <f t="shared" si="7"/>
        <v>1.1003096216783232</v>
      </c>
      <c r="BF60" s="56">
        <f t="shared" si="8"/>
        <v>7.2151126376199821E-3</v>
      </c>
      <c r="BG60" s="56">
        <f t="shared" si="26"/>
        <v>3.4333420753779229E-7</v>
      </c>
      <c r="BH60" s="56">
        <f t="shared" si="27"/>
        <v>5.8594727368406821E-4</v>
      </c>
      <c r="BI60" s="56">
        <f t="shared" si="9"/>
        <v>5.7421777663010378E-4</v>
      </c>
      <c r="BJ60" s="57">
        <f t="shared" si="28"/>
        <v>7.173627390068397E-4</v>
      </c>
      <c r="BK60" s="57">
        <f t="shared" si="29"/>
        <v>5.8257821086802629E-5</v>
      </c>
      <c r="BL60" s="58">
        <f t="shared" si="30"/>
        <v>1.2657246529133155</v>
      </c>
      <c r="BM60" s="58">
        <f t="shared" si="30"/>
        <v>0.10279089833501405</v>
      </c>
    </row>
    <row r="61" spans="11:96" x14ac:dyDescent="0.2">
      <c r="K61" s="10"/>
      <c r="L61" s="10"/>
      <c r="M61" s="10"/>
      <c r="N61" s="10"/>
      <c r="O61" s="10"/>
      <c r="P61" s="10"/>
      <c r="AU61" s="2">
        <v>-1576</v>
      </c>
      <c r="AV61" s="53">
        <v>59</v>
      </c>
      <c r="AW61" s="4" t="s">
        <v>1937</v>
      </c>
      <c r="AX61" t="s">
        <v>1938</v>
      </c>
      <c r="AY61" s="4">
        <v>16070</v>
      </c>
      <c r="AZ61" s="9">
        <v>18.59390169512125</v>
      </c>
      <c r="BA61" s="7">
        <f t="shared" si="25"/>
        <v>4.7656958444832658E-4</v>
      </c>
      <c r="BB61" s="54">
        <f t="shared" si="73"/>
        <v>13.968820231824427</v>
      </c>
      <c r="BC61" s="55">
        <f t="shared" si="5"/>
        <v>1.2836477717824035</v>
      </c>
      <c r="BD61" s="55">
        <f t="shared" si="6"/>
        <v>1.1329818055831273</v>
      </c>
      <c r="BE61" s="55">
        <f t="shared" si="7"/>
        <v>1.1103017670410453</v>
      </c>
      <c r="BF61" s="56">
        <f t="shared" si="8"/>
        <v>7.289897986558401E-3</v>
      </c>
      <c r="BG61" s="56">
        <f t="shared" si="26"/>
        <v>3.4959830348160837E-7</v>
      </c>
      <c r="BH61" s="56">
        <f t="shared" si="27"/>
        <v>5.9126838532227337E-4</v>
      </c>
      <c r="BI61" s="56">
        <f t="shared" si="9"/>
        <v>5.7943237021440335E-4</v>
      </c>
      <c r="BJ61" s="57">
        <f t="shared" si="28"/>
        <v>3.7275604902067111E-4</v>
      </c>
      <c r="BK61" s="57">
        <f t="shared" si="29"/>
        <v>3.023346384681219E-5</v>
      </c>
      <c r="BL61" s="58">
        <f t="shared" si="30"/>
        <v>0.65769588398363865</v>
      </c>
      <c r="BM61" s="58">
        <f t="shared" si="30"/>
        <v>5.334433816126706E-2</v>
      </c>
    </row>
    <row r="62" spans="11:96" x14ac:dyDescent="0.2">
      <c r="K62" s="10"/>
      <c r="L62" s="10"/>
      <c r="M62" s="10"/>
      <c r="N62" s="10"/>
      <c r="O62" s="10"/>
      <c r="P62" s="10"/>
      <c r="AU62" s="2">
        <v>-1575</v>
      </c>
      <c r="AV62" s="53">
        <v>60</v>
      </c>
      <c r="AW62" s="4" t="s">
        <v>1518</v>
      </c>
      <c r="AX62" t="s">
        <v>1519</v>
      </c>
      <c r="AY62" s="4">
        <v>49424</v>
      </c>
      <c r="AZ62" s="9">
        <v>18.597397903323067</v>
      </c>
      <c r="BA62" s="7">
        <f t="shared" si="25"/>
        <v>4.7665919374696676E-4</v>
      </c>
      <c r="BB62" s="54">
        <f t="shared" si="73"/>
        <v>14.000627678089234</v>
      </c>
      <c r="BC62" s="55">
        <f t="shared" si="5"/>
        <v>1.2887765627630812</v>
      </c>
      <c r="BD62" s="55">
        <f t="shared" si="6"/>
        <v>1.1352429531880306</v>
      </c>
      <c r="BE62" s="55">
        <f t="shared" si="7"/>
        <v>1.1125176509757151</v>
      </c>
      <c r="BF62" s="56">
        <f t="shared" si="8"/>
        <v>7.3064973152515388E-3</v>
      </c>
      <c r="BG62" s="56">
        <f t="shared" si="26"/>
        <v>3.509951170508454E-7</v>
      </c>
      <c r="BH62" s="56">
        <f t="shared" si="27"/>
        <v>5.9244840876724908E-4</v>
      </c>
      <c r="BI62" s="56">
        <f t="shared" si="9"/>
        <v>5.8058877194093602E-4</v>
      </c>
      <c r="BJ62" s="57">
        <f t="shared" si="28"/>
        <v>1.149038266195772E-3</v>
      </c>
      <c r="BK62" s="57">
        <f t="shared" si="29"/>
        <v>9.3169936708165069E-5</v>
      </c>
      <c r="BL62" s="58">
        <f t="shared" si="30"/>
        <v>2.0273788720588879</v>
      </c>
      <c r="BM62" s="58">
        <f t="shared" si="30"/>
        <v>0.16439031383922131</v>
      </c>
    </row>
    <row r="63" spans="11:96" x14ac:dyDescent="0.2">
      <c r="K63" s="10"/>
      <c r="L63" s="10"/>
      <c r="M63" s="10"/>
      <c r="N63" s="10"/>
      <c r="O63" s="10"/>
      <c r="P63" s="10"/>
      <c r="AU63" s="2">
        <v>-1574</v>
      </c>
      <c r="AV63" s="53">
        <v>61</v>
      </c>
      <c r="AW63" s="4" t="s">
        <v>1972</v>
      </c>
      <c r="AX63" t="s">
        <v>1973</v>
      </c>
      <c r="AY63" s="4">
        <v>75703</v>
      </c>
      <c r="AZ63" s="9">
        <v>18.663192084364514</v>
      </c>
      <c r="BA63" s="7">
        <f t="shared" si="25"/>
        <v>4.7834552650445725E-4</v>
      </c>
      <c r="BB63" s="54">
        <f t="shared" si="73"/>
        <v>14.612895040363743</v>
      </c>
      <c r="BC63" s="55">
        <f t="shared" si="5"/>
        <v>1.389165260641626</v>
      </c>
      <c r="BD63" s="55">
        <f t="shared" si="6"/>
        <v>1.1786285507493979</v>
      </c>
      <c r="BE63" s="55">
        <f t="shared" si="7"/>
        <v>1.1550347553097293</v>
      </c>
      <c r="BF63" s="56">
        <f t="shared" si="8"/>
        <v>7.6260208353059857E-3</v>
      </c>
      <c r="BG63" s="56">
        <f t="shared" si="26"/>
        <v>3.7833573122754705E-7</v>
      </c>
      <c r="BH63" s="56">
        <f t="shared" si="27"/>
        <v>6.1509001880013224E-4</v>
      </c>
      <c r="BI63" s="56">
        <f t="shared" si="9"/>
        <v>6.027771420491618E-4</v>
      </c>
      <c r="BJ63" s="57">
        <f t="shared" si="28"/>
        <v>1.8369547142449E-3</v>
      </c>
      <c r="BK63" s="57">
        <f t="shared" si="29"/>
        <v>1.48162788185531E-4</v>
      </c>
      <c r="BL63" s="58">
        <f t="shared" si="30"/>
        <v>3.2411480854498853</v>
      </c>
      <c r="BM63" s="58">
        <f t="shared" si="30"/>
        <v>0.26142045502730277</v>
      </c>
    </row>
    <row r="64" spans="11:96" x14ac:dyDescent="0.2">
      <c r="K64" s="10"/>
      <c r="L64" s="10"/>
      <c r="M64" s="10"/>
      <c r="N64" s="10"/>
      <c r="O64" s="10"/>
      <c r="P64" s="10"/>
      <c r="AU64" s="2">
        <v>-1573</v>
      </c>
      <c r="AV64" s="53">
        <v>62</v>
      </c>
      <c r="AW64" s="4" t="s">
        <v>2095</v>
      </c>
      <c r="AX64" t="s">
        <v>2096</v>
      </c>
      <c r="AY64" s="4">
        <v>21500</v>
      </c>
      <c r="AZ64" s="9">
        <v>18.683140834889766</v>
      </c>
      <c r="BA64" s="7">
        <f t="shared" si="25"/>
        <v>4.7885682143889141E-4</v>
      </c>
      <c r="BB64" s="54">
        <f t="shared" si="73"/>
        <v>14.803771611031223</v>
      </c>
      <c r="BC64" s="55">
        <f t="shared" si="5"/>
        <v>1.4211046010289443</v>
      </c>
      <c r="BD64" s="55">
        <f t="shared" si="6"/>
        <v>1.1921009189783154</v>
      </c>
      <c r="BE64" s="55">
        <f t="shared" si="7"/>
        <v>1.1682374335672994</v>
      </c>
      <c r="BF64" s="56">
        <f t="shared" si="8"/>
        <v>7.7256334514824113E-3</v>
      </c>
      <c r="BG64" s="56">
        <f t="shared" si="26"/>
        <v>3.8703433177761175E-7</v>
      </c>
      <c r="BH64" s="56">
        <f t="shared" si="27"/>
        <v>6.2212083374342303E-4</v>
      </c>
      <c r="BI64" s="56">
        <f t="shared" si="9"/>
        <v>6.0966721408456978E-4</v>
      </c>
      <c r="BJ64" s="57">
        <f t="shared" si="28"/>
        <v>5.2851818017468405E-4</v>
      </c>
      <c r="BK64" s="57">
        <f t="shared" si="29"/>
        <v>4.2559897898824049E-5</v>
      </c>
      <c r="BL64" s="58">
        <f t="shared" si="30"/>
        <v>0.93252472394388009</v>
      </c>
      <c r="BM64" s="58">
        <f t="shared" si="30"/>
        <v>7.5093267418091511E-2</v>
      </c>
    </row>
    <row r="65" spans="11:65" x14ac:dyDescent="0.2">
      <c r="K65" s="10"/>
      <c r="L65" s="10"/>
      <c r="M65" s="10"/>
      <c r="N65" s="10"/>
      <c r="O65" s="10"/>
      <c r="P65" s="10"/>
      <c r="AU65" s="2">
        <v>-1572</v>
      </c>
      <c r="AV65" s="53">
        <v>63</v>
      </c>
      <c r="AW65" s="4" t="s">
        <v>2170</v>
      </c>
      <c r="AX65" t="s">
        <v>2171</v>
      </c>
      <c r="AY65" s="4">
        <v>101746</v>
      </c>
      <c r="AZ65" s="9">
        <v>18.699432377252865</v>
      </c>
      <c r="BA65" s="7">
        <f t="shared" si="25"/>
        <v>4.7927438057743639E-4</v>
      </c>
      <c r="BB65" s="54">
        <f t="shared" si="73"/>
        <v>14.961502953711106</v>
      </c>
      <c r="BC65" s="55">
        <f t="shared" si="5"/>
        <v>1.4477267204160629</v>
      </c>
      <c r="BD65" s="55">
        <f t="shared" si="6"/>
        <v>1.203215159651865</v>
      </c>
      <c r="BE65" s="55">
        <f t="shared" si="7"/>
        <v>1.179129189285133</v>
      </c>
      <c r="BF65" s="56">
        <f t="shared" si="8"/>
        <v>7.8079485917975089E-3</v>
      </c>
      <c r="BG65" s="56">
        <f t="shared" si="26"/>
        <v>3.9428480030754528E-7</v>
      </c>
      <c r="BH65" s="56">
        <f t="shared" si="27"/>
        <v>6.2792101438600165E-4</v>
      </c>
      <c r="BI65" s="56">
        <f t="shared" si="9"/>
        <v>6.1535128666621007E-4</v>
      </c>
      <c r="BJ65" s="57">
        <f t="shared" si="28"/>
        <v>2.5277939026737599E-3</v>
      </c>
      <c r="BK65" s="57">
        <f t="shared" si="29"/>
        <v>2.0328705970133024E-4</v>
      </c>
      <c r="BL65" s="58">
        <f t="shared" si="30"/>
        <v>4.4600742220424046</v>
      </c>
      <c r="BM65" s="58">
        <f t="shared" si="30"/>
        <v>0.35868247553317845</v>
      </c>
    </row>
    <row r="66" spans="11:65" x14ac:dyDescent="0.2">
      <c r="K66" s="10"/>
      <c r="L66" s="10"/>
      <c r="M66" s="10"/>
      <c r="N66" s="10"/>
      <c r="O66" s="10"/>
      <c r="P66" s="10"/>
      <c r="AU66" s="2">
        <v>-1571</v>
      </c>
      <c r="AV66" s="53">
        <v>64</v>
      </c>
      <c r="AW66" s="4" t="s">
        <v>2929</v>
      </c>
      <c r="AX66" t="s">
        <v>2930</v>
      </c>
      <c r="AY66" s="4">
        <v>42452</v>
      </c>
      <c r="AZ66" s="9">
        <v>18.707981422540932</v>
      </c>
      <c r="BA66" s="7">
        <f t="shared" si="25"/>
        <v>4.7949349623305118E-4</v>
      </c>
      <c r="BB66" s="54">
        <f t="shared" si="73"/>
        <v>15.044944304860872</v>
      </c>
      <c r="BC66" s="55">
        <f t="shared" si="5"/>
        <v>1.4618936079344984</v>
      </c>
      <c r="BD66" s="55">
        <f t="shared" si="6"/>
        <v>1.2090879239883667</v>
      </c>
      <c r="BE66" s="55">
        <f t="shared" si="7"/>
        <v>1.1848843925797503</v>
      </c>
      <c r="BF66" s="56">
        <f t="shared" si="8"/>
        <v>7.8514940686271531E-3</v>
      </c>
      <c r="BG66" s="56">
        <f t="shared" si="26"/>
        <v>3.9814311716901528E-7</v>
      </c>
      <c r="BH66" s="56">
        <f t="shared" si="27"/>
        <v>6.3098582961031331E-4</v>
      </c>
      <c r="BI66" s="56">
        <f t="shared" si="9"/>
        <v>6.1835475039567051E-4</v>
      </c>
      <c r="BJ66" s="57">
        <f t="shared" si="28"/>
        <v>1.0605663282232671E-3</v>
      </c>
      <c r="BK66" s="57">
        <f t="shared" si="29"/>
        <v>8.52324816934789E-5</v>
      </c>
      <c r="BL66" s="58">
        <f t="shared" si="30"/>
        <v>1.8712777716060676</v>
      </c>
      <c r="BM66" s="58">
        <f t="shared" si="30"/>
        <v>0.15038535937589378</v>
      </c>
    </row>
    <row r="67" spans="11:65" x14ac:dyDescent="0.2">
      <c r="K67" s="10"/>
      <c r="L67" s="10"/>
      <c r="M67" s="10"/>
      <c r="N67" s="10"/>
      <c r="O67" s="10"/>
      <c r="P67" s="10"/>
      <c r="AU67" s="2">
        <v>-1570</v>
      </c>
      <c r="AV67" s="53">
        <v>65</v>
      </c>
      <c r="AW67" s="4" t="s">
        <v>3077</v>
      </c>
      <c r="AX67" t="s">
        <v>3078</v>
      </c>
      <c r="AY67" s="4">
        <v>31784</v>
      </c>
      <c r="AZ67" s="9">
        <v>18.741229958764947</v>
      </c>
      <c r="BA67" s="7">
        <f t="shared" si="25"/>
        <v>4.8034567031418829E-4</v>
      </c>
      <c r="BB67" s="54">
        <f t="shared" ref="BB67:BB130" si="76">IFERROR(IF(MATCH(AX67,$S$4:$S$20,0),VLOOKUP(AX67,$S$4:$AT$20,20,FALSE)),AVERAGE((2^(($AE$23*AZ67)+$AE$24)),(2^(($AF$23*AZ67)+$AF$24)),(2^(($AG$23*AZ67)+$AG$24)),(2^(($AH$23*AZ67)+$AH$24))))</f>
        <v>15.373908900052315</v>
      </c>
      <c r="BC67" s="55">
        <f t="shared" ref="BC67:BC130" si="77">IFERROR(IF(MATCH(AX67,$S$4:$S$20,0),VLOOKUP(AX67,$S$4:$AT$20,21,FALSE)),_xlfn.VAR.S((2^(($AE$23*AZ67)+$AE$24)),(2^(($AF$23*AZ67)+$AF$24)),(2^(($AG$23*AZ67)+$AG$24)),(2^(($AH$23*AZ67)+$AH$24))))</f>
        <v>1.5183069899201023</v>
      </c>
      <c r="BD67" s="55">
        <f t="shared" ref="BD67:BD130" si="78">SQRT(BC67)</f>
        <v>1.2321960030450116</v>
      </c>
      <c r="BE67" s="55">
        <f t="shared" ref="BE67:BE130" si="79">_xlfn.CONFIDENCE.NORM(0.05,BD67,4)</f>
        <v>1.2075298939312145</v>
      </c>
      <c r="BF67" s="56">
        <f t="shared" ref="BF67:BF130" si="80">IFERROR(IF(MATCH(AX67,$S$4:$S$20,0),VLOOKUP(AX67,$S$4:$AT$20,24,FALSE)),AVERAGE((2^(($AI$23*AZ67)+$AI$24)),(2^(($AJ$23*AZ67)+$AJ$24)),(2^(($AK$23*AZ67)+$AK$24)),(2^(($AL$23*AZ67)+$AL$24))))</f>
        <v>8.0231705810552886E-3</v>
      </c>
      <c r="BG67" s="56">
        <f t="shared" si="26"/>
        <v>4.1350716256322008E-7</v>
      </c>
      <c r="BH67" s="56">
        <f t="shared" si="27"/>
        <v>6.4304522590811607E-4</v>
      </c>
      <c r="BI67" s="56">
        <f t="shared" ref="BI67:BI130" si="81">_xlfn.CONFIDENCE.NORM(0.05,BH67,4)</f>
        <v>6.30172741605165E-4</v>
      </c>
      <c r="BJ67" s="57">
        <f t="shared" si="28"/>
        <v>8.1141297871890092E-4</v>
      </c>
      <c r="BK67" s="57">
        <f t="shared" si="29"/>
        <v>6.5033547141215566E-5</v>
      </c>
      <c r="BL67" s="58">
        <f t="shared" si="30"/>
        <v>1.4316681854429965</v>
      </c>
      <c r="BM67" s="58">
        <f t="shared" si="30"/>
        <v>0.11474608229164238</v>
      </c>
    </row>
    <row r="68" spans="11:65" x14ac:dyDescent="0.2">
      <c r="K68" s="10"/>
      <c r="L68" s="10"/>
      <c r="M68" s="10"/>
      <c r="N68" s="10"/>
      <c r="O68" s="10"/>
      <c r="P68" s="10"/>
      <c r="AU68" s="2">
        <v>-1569</v>
      </c>
      <c r="AV68" s="53">
        <v>66</v>
      </c>
      <c r="AW68" s="4" t="s">
        <v>3179</v>
      </c>
      <c r="AX68" t="s">
        <v>3180</v>
      </c>
      <c r="AY68" s="5">
        <v>47907.600000000013</v>
      </c>
      <c r="AZ68" s="9">
        <v>18.743806641136413</v>
      </c>
      <c r="BA68" s="7">
        <f t="shared" ref="BA68:BA131" si="82">AZ68/$AZ$1637</f>
        <v>4.8041171177590837E-4</v>
      </c>
      <c r="BB68" s="54">
        <f t="shared" si="76"/>
        <v>15.399701217228809</v>
      </c>
      <c r="BC68" s="55">
        <f t="shared" si="77"/>
        <v>1.5227677708189618</v>
      </c>
      <c r="BD68" s="55">
        <f t="shared" si="78"/>
        <v>1.2340047693663756</v>
      </c>
      <c r="BE68" s="55">
        <f t="shared" si="79"/>
        <v>1.2093024523543756</v>
      </c>
      <c r="BF68" s="56">
        <f t="shared" si="80"/>
        <v>8.0366307987353152E-3</v>
      </c>
      <c r="BG68" s="56">
        <f t="shared" ref="BG68:BG131" si="83">IFERROR(IF(MATCH(AX68,$S$4:$S$20,0),VLOOKUP(AX68,$S$4:$AT$20,25,FALSE)),_xlfn.VAR.S((2^(($AI$23*AZ68)+$AI$24)),(2^(($AJ$23*AZ68)+$AJ$24)),(2^(($AK$23*AZ68)+$AK$24)),(2^(($AL$23*AZ68)+$AL$24))))</f>
        <v>4.1472204523486932E-7</v>
      </c>
      <c r="BH68" s="56">
        <f t="shared" ref="BH68:BH131" si="84">SQRT(BG68)</f>
        <v>6.4398916546388367E-4</v>
      </c>
      <c r="BI68" s="56">
        <f t="shared" si="81"/>
        <v>6.3109778537160863E-4</v>
      </c>
      <c r="BJ68" s="57">
        <f t="shared" ref="BJ68:BJ131" si="85">(((BF68*0.000001)*AY68)*1000000000000000)*$S$24</f>
        <v>1.2250838207477814E-3</v>
      </c>
      <c r="BK68" s="57">
        <f t="shared" ref="BK68:BK131" si="86">((((BH68*0.000001)*AY68)*1000000000000000)*$S$24)</f>
        <v>9.8168091468233377E-5</v>
      </c>
      <c r="BL68" s="58">
        <f t="shared" ref="BL68:BM131" si="87">((BJ68/$S$26)*0.000000001)/0.45</f>
        <v>2.1615546912186629</v>
      </c>
      <c r="BM68" s="58">
        <f t="shared" si="87"/>
        <v>0.17320912663071505</v>
      </c>
    </row>
    <row r="69" spans="11:65" x14ac:dyDescent="0.2">
      <c r="K69" s="10"/>
      <c r="L69" s="10"/>
      <c r="M69" s="10"/>
      <c r="N69" s="10"/>
      <c r="O69" s="10"/>
      <c r="P69" s="10"/>
      <c r="AU69" s="2">
        <v>-1568</v>
      </c>
      <c r="AV69" s="53">
        <v>67</v>
      </c>
      <c r="AW69" s="4" t="s">
        <v>1768</v>
      </c>
      <c r="AX69" t="s">
        <v>266</v>
      </c>
      <c r="AY69" s="4">
        <v>16944</v>
      </c>
      <c r="AZ69" s="9">
        <v>18.763413390038291</v>
      </c>
      <c r="BA69" s="7">
        <f t="shared" si="82"/>
        <v>4.8091424106372333E-4</v>
      </c>
      <c r="BB69" s="54">
        <f t="shared" si="76"/>
        <v>15.597385415603039</v>
      </c>
      <c r="BC69" s="55">
        <f t="shared" si="77"/>
        <v>1.5571386525022337</v>
      </c>
      <c r="BD69" s="55">
        <f t="shared" si="78"/>
        <v>1.2478536182189937</v>
      </c>
      <c r="BE69" s="55">
        <f t="shared" si="79"/>
        <v>1.2228740748436109</v>
      </c>
      <c r="BF69" s="56">
        <f t="shared" si="80"/>
        <v>8.1397961065985819E-3</v>
      </c>
      <c r="BG69" s="56">
        <f t="shared" si="83"/>
        <v>4.2408287005752122E-7</v>
      </c>
      <c r="BH69" s="56">
        <f t="shared" si="84"/>
        <v>6.5121645407461963E-4</v>
      </c>
      <c r="BI69" s="56">
        <f t="shared" si="81"/>
        <v>6.381803980630682E-4</v>
      </c>
      <c r="BJ69" s="57">
        <f t="shared" si="85"/>
        <v>4.388507463690948E-4</v>
      </c>
      <c r="BK69" s="57">
        <f t="shared" si="86"/>
        <v>3.5109826238375554E-5</v>
      </c>
      <c r="BL69" s="58">
        <f t="shared" si="87"/>
        <v>0.77431427425097388</v>
      </c>
      <c r="BM69" s="58">
        <f t="shared" si="87"/>
        <v>6.1948258827799252E-2</v>
      </c>
    </row>
    <row r="70" spans="11:65" x14ac:dyDescent="0.2">
      <c r="K70" s="10"/>
      <c r="L70" s="10"/>
      <c r="M70" s="10"/>
      <c r="N70" s="10"/>
      <c r="O70" s="10"/>
      <c r="P70" s="10"/>
      <c r="AU70" s="2">
        <v>-1567</v>
      </c>
      <c r="AV70" s="53">
        <v>68</v>
      </c>
      <c r="AW70" s="4" t="s">
        <v>1606</v>
      </c>
      <c r="AX70" t="s">
        <v>1285</v>
      </c>
      <c r="AY70" s="4">
        <v>47381</v>
      </c>
      <c r="AZ70" s="9">
        <v>18.772999653575035</v>
      </c>
      <c r="BA70" s="7">
        <f t="shared" si="82"/>
        <v>4.8115994106284277E-4</v>
      </c>
      <c r="BB70" s="54">
        <f t="shared" si="76"/>
        <v>15.694960241585834</v>
      </c>
      <c r="BC70" s="55">
        <f t="shared" si="77"/>
        <v>1.5742217937747898</v>
      </c>
      <c r="BD70" s="55">
        <f t="shared" si="78"/>
        <v>1.2546799567119855</v>
      </c>
      <c r="BE70" s="55">
        <f t="shared" si="79"/>
        <v>1.2295637636398826</v>
      </c>
      <c r="BF70" s="56">
        <f t="shared" si="80"/>
        <v>8.1907174095909568E-3</v>
      </c>
      <c r="BG70" s="56">
        <f t="shared" si="83"/>
        <v>4.28735421433618E-7</v>
      </c>
      <c r="BH70" s="56">
        <f t="shared" si="84"/>
        <v>6.547789103457884E-4</v>
      </c>
      <c r="BI70" s="56">
        <f t="shared" si="81"/>
        <v>6.4167154105706299E-4</v>
      </c>
      <c r="BJ70" s="57">
        <f t="shared" si="85"/>
        <v>1.2348480978833605E-3</v>
      </c>
      <c r="BK70" s="57">
        <f t="shared" si="86"/>
        <v>9.8715710912924197E-5</v>
      </c>
      <c r="BL70" s="58">
        <f t="shared" si="87"/>
        <v>2.1787829156807961</v>
      </c>
      <c r="BM70" s="58">
        <f t="shared" si="87"/>
        <v>0.17417535388768057</v>
      </c>
    </row>
    <row r="71" spans="11:65" x14ac:dyDescent="0.2">
      <c r="K71" s="10"/>
      <c r="L71" s="10"/>
      <c r="M71" s="10"/>
      <c r="N71" s="10"/>
      <c r="O71" s="10"/>
      <c r="P71" s="10"/>
      <c r="AU71" s="2">
        <v>-1566</v>
      </c>
      <c r="AV71" s="53">
        <v>69</v>
      </c>
      <c r="AW71" s="4" t="s">
        <v>1698</v>
      </c>
      <c r="AX71" t="s">
        <v>1699</v>
      </c>
      <c r="AY71" s="4">
        <v>16148</v>
      </c>
      <c r="AZ71" s="9">
        <v>18.777512182465973</v>
      </c>
      <c r="BA71" s="7">
        <f t="shared" si="82"/>
        <v>4.8127559909167539E-4</v>
      </c>
      <c r="BB71" s="54">
        <f t="shared" si="76"/>
        <v>15.74110259075163</v>
      </c>
      <c r="BC71" s="55">
        <f t="shared" si="77"/>
        <v>1.5823273803633546</v>
      </c>
      <c r="BD71" s="55">
        <f t="shared" si="78"/>
        <v>1.2579059505238674</v>
      </c>
      <c r="BE71" s="55">
        <f t="shared" si="79"/>
        <v>1.2327251794827014</v>
      </c>
      <c r="BF71" s="56">
        <f t="shared" si="80"/>
        <v>8.2147976835651674E-3</v>
      </c>
      <c r="BG71" s="56">
        <f t="shared" si="83"/>
        <v>4.3094295794197142E-7</v>
      </c>
      <c r="BH71" s="56">
        <f t="shared" si="84"/>
        <v>6.5646245737435087E-4</v>
      </c>
      <c r="BI71" s="56">
        <f t="shared" si="81"/>
        <v>6.4332138682819391E-4</v>
      </c>
      <c r="BJ71" s="57">
        <f t="shared" si="85"/>
        <v>4.2208798013400339E-4</v>
      </c>
      <c r="BK71" s="57">
        <f t="shared" si="86"/>
        <v>3.3729974046870391E-5</v>
      </c>
      <c r="BL71" s="58">
        <f t="shared" si="87"/>
        <v>0.74473781966099573</v>
      </c>
      <c r="BM71" s="58">
        <f t="shared" si="87"/>
        <v>5.9513628701090233E-2</v>
      </c>
    </row>
    <row r="72" spans="11:65" x14ac:dyDescent="0.2">
      <c r="K72" s="10"/>
      <c r="L72" s="10"/>
      <c r="M72" s="10"/>
      <c r="N72" s="10"/>
      <c r="O72" s="10"/>
      <c r="P72" s="10"/>
      <c r="AU72" s="2">
        <v>-1565</v>
      </c>
      <c r="AV72" s="53">
        <v>70</v>
      </c>
      <c r="AW72" s="4" t="s">
        <v>2421</v>
      </c>
      <c r="AX72" t="s">
        <v>751</v>
      </c>
      <c r="AY72" s="4">
        <v>27850</v>
      </c>
      <c r="AZ72" s="9">
        <v>18.809778593904589</v>
      </c>
      <c r="BA72" s="7">
        <f t="shared" si="82"/>
        <v>4.8210260089813191E-4</v>
      </c>
      <c r="BB72" s="54">
        <f t="shared" si="76"/>
        <v>16.075016267030165</v>
      </c>
      <c r="BC72" s="55">
        <f t="shared" si="77"/>
        <v>1.6415013257420841</v>
      </c>
      <c r="BD72" s="55">
        <f t="shared" si="78"/>
        <v>1.2812108826192838</v>
      </c>
      <c r="BE72" s="55">
        <f t="shared" si="79"/>
        <v>1.2555635932672853</v>
      </c>
      <c r="BF72" s="56">
        <f t="shared" si="80"/>
        <v>8.3890569693165495E-3</v>
      </c>
      <c r="BG72" s="56">
        <f t="shared" si="83"/>
        <v>4.4705883596510557E-7</v>
      </c>
      <c r="BH72" s="56">
        <f t="shared" si="84"/>
        <v>6.6862458522335658E-4</v>
      </c>
      <c r="BI72" s="56">
        <f t="shared" si="81"/>
        <v>6.552400531079053E-4</v>
      </c>
      <c r="BJ72" s="57">
        <f t="shared" si="85"/>
        <v>7.4340540665669881E-4</v>
      </c>
      <c r="BK72" s="57">
        <f t="shared" si="86"/>
        <v>5.9250894766438924E-5</v>
      </c>
      <c r="BL72" s="58">
        <f t="shared" si="87"/>
        <v>1.3116746928020477</v>
      </c>
      <c r="BM72" s="58">
        <f t="shared" si="87"/>
        <v>0.1045430911520193</v>
      </c>
    </row>
    <row r="73" spans="11:65" x14ac:dyDescent="0.2">
      <c r="K73" s="10"/>
      <c r="L73" s="10"/>
      <c r="M73" s="10"/>
      <c r="N73" s="10"/>
      <c r="O73" s="10"/>
      <c r="P73" s="10"/>
      <c r="AU73" s="2">
        <v>-1564</v>
      </c>
      <c r="AV73" s="53">
        <v>71</v>
      </c>
      <c r="AW73" s="4" t="s">
        <v>1664</v>
      </c>
      <c r="AX73" t="s">
        <v>1665</v>
      </c>
      <c r="AY73" s="4">
        <v>39847</v>
      </c>
      <c r="AZ73" s="9">
        <v>18.810929302058419</v>
      </c>
      <c r="BA73" s="7">
        <f t="shared" si="82"/>
        <v>4.8213209403602644E-4</v>
      </c>
      <c r="BB73" s="54">
        <f t="shared" si="76"/>
        <v>16.087054474854085</v>
      </c>
      <c r="BC73" s="55">
        <f t="shared" si="77"/>
        <v>1.6436515800224765</v>
      </c>
      <c r="BD73" s="55">
        <f t="shared" si="78"/>
        <v>1.2820497572335001</v>
      </c>
      <c r="BE73" s="55">
        <f t="shared" si="79"/>
        <v>1.2563856752829896</v>
      </c>
      <c r="BF73" s="56">
        <f t="shared" si="80"/>
        <v>8.3953393400193668E-3</v>
      </c>
      <c r="BG73" s="56">
        <f t="shared" si="83"/>
        <v>4.476444524130165E-7</v>
      </c>
      <c r="BH73" s="56">
        <f t="shared" si="84"/>
        <v>6.6906236810406285E-4</v>
      </c>
      <c r="BI73" s="56">
        <f t="shared" si="81"/>
        <v>6.5566907244752151E-4</v>
      </c>
      <c r="BJ73" s="57">
        <f t="shared" si="85"/>
        <v>1.0644401732678021E-3</v>
      </c>
      <c r="BK73" s="57">
        <f t="shared" si="86"/>
        <v>8.4830027017110635E-5</v>
      </c>
      <c r="BL73" s="58">
        <f t="shared" si="87"/>
        <v>1.8781128369193596</v>
      </c>
      <c r="BM73" s="58">
        <f t="shared" si="87"/>
        <v>0.14967526282660157</v>
      </c>
    </row>
    <row r="74" spans="11:65" x14ac:dyDescent="0.2">
      <c r="K74" s="10"/>
      <c r="L74" s="10"/>
      <c r="M74" s="10"/>
      <c r="N74" s="10"/>
      <c r="O74" s="10"/>
      <c r="P74" s="10"/>
      <c r="AU74" s="2">
        <v>-1563</v>
      </c>
      <c r="AV74" s="53">
        <v>72</v>
      </c>
      <c r="AW74" s="4" t="s">
        <v>3052</v>
      </c>
      <c r="AX74" t="s">
        <v>3053</v>
      </c>
      <c r="AY74" s="4">
        <v>34413</v>
      </c>
      <c r="AZ74" s="9">
        <v>18.835820147384965</v>
      </c>
      <c r="BA74" s="7">
        <f t="shared" si="82"/>
        <v>4.8277005695571596E-4</v>
      </c>
      <c r="BB74" s="54">
        <f t="shared" si="76"/>
        <v>16.349669823019923</v>
      </c>
      <c r="BC74" s="55">
        <f t="shared" si="77"/>
        <v>1.6908516239436036</v>
      </c>
      <c r="BD74" s="55">
        <f t="shared" si="78"/>
        <v>1.3003275064165964</v>
      </c>
      <c r="BE74" s="55">
        <f t="shared" si="79"/>
        <v>1.2742975403416523</v>
      </c>
      <c r="BF74" s="56">
        <f t="shared" si="80"/>
        <v>8.5323902194824643E-3</v>
      </c>
      <c r="BG74" s="56">
        <f t="shared" si="83"/>
        <v>4.6049926791756137E-7</v>
      </c>
      <c r="BH74" s="56">
        <f t="shared" si="84"/>
        <v>6.7860096368746882E-4</v>
      </c>
      <c r="BI74" s="56">
        <f t="shared" si="81"/>
        <v>6.6501672435080583E-4</v>
      </c>
      <c r="BJ74" s="57">
        <f t="shared" si="85"/>
        <v>9.3428766663772441E-4</v>
      </c>
      <c r="BK74" s="57">
        <f t="shared" si="86"/>
        <v>7.4306084770245351E-5</v>
      </c>
      <c r="BL74" s="58">
        <f t="shared" si="87"/>
        <v>1.648469969618745</v>
      </c>
      <c r="BM74" s="58">
        <f t="shared" si="87"/>
        <v>0.13110667482587141</v>
      </c>
    </row>
    <row r="75" spans="11:65" x14ac:dyDescent="0.2">
      <c r="K75" s="10"/>
      <c r="L75" s="10"/>
      <c r="M75" s="10"/>
      <c r="N75" s="10"/>
      <c r="O75" s="10"/>
      <c r="P75" s="10"/>
      <c r="AU75" s="2">
        <v>-1562</v>
      </c>
      <c r="AV75" s="53">
        <v>73</v>
      </c>
      <c r="AW75" s="4" t="s">
        <v>2638</v>
      </c>
      <c r="AX75" t="s">
        <v>2639</v>
      </c>
      <c r="AY75" s="4">
        <v>54724</v>
      </c>
      <c r="AZ75" s="9">
        <v>18.847153206023698</v>
      </c>
      <c r="BA75" s="7">
        <f t="shared" si="82"/>
        <v>4.830605280539582E-4</v>
      </c>
      <c r="BB75" s="54">
        <f t="shared" si="76"/>
        <v>16.470657585671965</v>
      </c>
      <c r="BC75" s="55">
        <f t="shared" si="77"/>
        <v>1.7127841860898201</v>
      </c>
      <c r="BD75" s="55">
        <f t="shared" si="78"/>
        <v>1.3087338102493646</v>
      </c>
      <c r="BE75" s="55">
        <f t="shared" si="79"/>
        <v>1.2825355667193157</v>
      </c>
      <c r="BF75" s="56">
        <f t="shared" si="80"/>
        <v>8.5955300145917207E-3</v>
      </c>
      <c r="BG75" s="56">
        <f t="shared" si="83"/>
        <v>4.6647254710355163E-7</v>
      </c>
      <c r="BH75" s="56">
        <f t="shared" si="84"/>
        <v>6.8298795531367292E-4</v>
      </c>
      <c r="BI75" s="56">
        <f t="shared" si="81"/>
        <v>6.6931589714472523E-4</v>
      </c>
      <c r="BJ75" s="57">
        <f t="shared" si="85"/>
        <v>1.4967107141007267E-3</v>
      </c>
      <c r="BK75" s="57">
        <f t="shared" si="86"/>
        <v>1.1892639413560097E-4</v>
      </c>
      <c r="BL75" s="58">
        <f t="shared" si="87"/>
        <v>2.6408169062969971</v>
      </c>
      <c r="BM75" s="58">
        <f t="shared" si="87"/>
        <v>0.2098353604871028</v>
      </c>
    </row>
    <row r="76" spans="11:65" x14ac:dyDescent="0.2">
      <c r="K76" s="10"/>
      <c r="L76" s="10"/>
      <c r="M76" s="10"/>
      <c r="N76" s="10"/>
      <c r="O76" s="10"/>
      <c r="P76" s="10"/>
      <c r="AU76" s="2">
        <v>-1561</v>
      </c>
      <c r="AV76" s="53">
        <v>74</v>
      </c>
      <c r="AW76" s="4" t="s">
        <v>1695</v>
      </c>
      <c r="AX76" t="s">
        <v>223</v>
      </c>
      <c r="AY76" s="4">
        <v>24490</v>
      </c>
      <c r="AZ76" s="9">
        <v>18.879037740699005</v>
      </c>
      <c r="BA76" s="7">
        <f t="shared" si="82"/>
        <v>4.8387774219705145E-4</v>
      </c>
      <c r="BB76" s="54">
        <f t="shared" si="76"/>
        <v>16.815870366422082</v>
      </c>
      <c r="BC76" s="55">
        <f t="shared" si="77"/>
        <v>1.7760106316959974</v>
      </c>
      <c r="BD76" s="55">
        <f t="shared" si="78"/>
        <v>1.3326704887915832</v>
      </c>
      <c r="BE76" s="55">
        <f t="shared" si="79"/>
        <v>1.3059930806454461</v>
      </c>
      <c r="BF76" s="56">
        <f t="shared" si="80"/>
        <v>8.7756859557205948E-3</v>
      </c>
      <c r="BG76" s="56">
        <f t="shared" si="83"/>
        <v>4.8369211356483577E-7</v>
      </c>
      <c r="BH76" s="56">
        <f t="shared" si="84"/>
        <v>6.9547977221831245E-4</v>
      </c>
      <c r="BI76" s="56">
        <f t="shared" si="81"/>
        <v>6.8155765276200629E-4</v>
      </c>
      <c r="BJ76" s="57">
        <f t="shared" si="85"/>
        <v>6.8384429881426247E-4</v>
      </c>
      <c r="BK76" s="57">
        <f t="shared" si="86"/>
        <v>5.4195179678473596E-5</v>
      </c>
      <c r="BL76" s="58">
        <f t="shared" si="87"/>
        <v>1.206584257445213</v>
      </c>
      <c r="BM76" s="58">
        <f t="shared" si="87"/>
        <v>9.5622718128738377E-2</v>
      </c>
    </row>
    <row r="77" spans="11:65" x14ac:dyDescent="0.2">
      <c r="K77" s="10"/>
      <c r="L77" s="10"/>
      <c r="M77" s="10"/>
      <c r="N77" s="10"/>
      <c r="O77" s="10"/>
      <c r="P77" s="10"/>
      <c r="AU77" s="2">
        <v>-1560</v>
      </c>
      <c r="AV77" s="53">
        <v>75</v>
      </c>
      <c r="AW77" s="4" t="s">
        <v>2993</v>
      </c>
      <c r="AX77" t="s">
        <v>2994</v>
      </c>
      <c r="AY77" s="4">
        <v>27622</v>
      </c>
      <c r="AZ77" s="9">
        <v>18.901990331937508</v>
      </c>
      <c r="BA77" s="7">
        <f t="shared" si="82"/>
        <v>4.8446602684262515E-4</v>
      </c>
      <c r="BB77" s="54">
        <f t="shared" si="76"/>
        <v>17.068847932590639</v>
      </c>
      <c r="BC77" s="55">
        <f t="shared" si="77"/>
        <v>1.8229491339912185</v>
      </c>
      <c r="BD77" s="55">
        <f t="shared" si="78"/>
        <v>1.3501663356754303</v>
      </c>
      <c r="BE77" s="55">
        <f t="shared" si="79"/>
        <v>1.3231386955311299</v>
      </c>
      <c r="BF77" s="56">
        <f t="shared" si="80"/>
        <v>8.9077071729494611E-3</v>
      </c>
      <c r="BG77" s="56">
        <f t="shared" si="83"/>
        <v>4.9647569885286993E-7</v>
      </c>
      <c r="BH77" s="56">
        <f t="shared" si="84"/>
        <v>7.0461031702130921E-4</v>
      </c>
      <c r="BI77" s="56">
        <f t="shared" si="81"/>
        <v>6.9050542224855774E-4</v>
      </c>
      <c r="BJ77" s="57">
        <f t="shared" si="85"/>
        <v>7.8290384308852125E-4</v>
      </c>
      <c r="BK77" s="57">
        <f t="shared" si="86"/>
        <v>6.1928632628495821E-5</v>
      </c>
      <c r="BL77" s="58">
        <f t="shared" si="87"/>
        <v>1.3813662756301468</v>
      </c>
      <c r="BM77" s="58">
        <f t="shared" si="87"/>
        <v>0.10926772855197281</v>
      </c>
    </row>
    <row r="78" spans="11:65" x14ac:dyDescent="0.2">
      <c r="K78" s="10"/>
      <c r="L78" s="10"/>
      <c r="M78" s="10"/>
      <c r="N78" s="10"/>
      <c r="O78" s="10"/>
      <c r="P78" s="10"/>
      <c r="AU78" s="2">
        <v>-1559</v>
      </c>
      <c r="AV78" s="53">
        <v>76</v>
      </c>
      <c r="AW78" s="4" t="s">
        <v>3039</v>
      </c>
      <c r="AX78" t="s">
        <v>3040</v>
      </c>
      <c r="AY78" s="4">
        <v>27127</v>
      </c>
      <c r="AZ78" s="9">
        <v>18.902235740825187</v>
      </c>
      <c r="BA78" s="7">
        <f t="shared" si="82"/>
        <v>4.8447231677647219E-4</v>
      </c>
      <c r="BB78" s="54">
        <f t="shared" si="76"/>
        <v>17.071573229980203</v>
      </c>
      <c r="BC78" s="55">
        <f t="shared" si="77"/>
        <v>1.8234575728171711</v>
      </c>
      <c r="BD78" s="55">
        <f t="shared" si="78"/>
        <v>1.3503546100255188</v>
      </c>
      <c r="BE78" s="55">
        <f t="shared" si="79"/>
        <v>1.3233232010038229</v>
      </c>
      <c r="BF78" s="56">
        <f t="shared" si="80"/>
        <v>8.9091294219027194E-3</v>
      </c>
      <c r="BG78" s="56">
        <f t="shared" si="83"/>
        <v>4.9661417091262854E-7</v>
      </c>
      <c r="BH78" s="56">
        <f t="shared" si="84"/>
        <v>7.0470857161852982E-4</v>
      </c>
      <c r="BI78" s="56">
        <f t="shared" si="81"/>
        <v>6.9060170998449177E-4</v>
      </c>
      <c r="BJ78" s="57">
        <f t="shared" si="85"/>
        <v>7.6899657844212578E-4</v>
      </c>
      <c r="BK78" s="57">
        <f t="shared" si="86"/>
        <v>6.082732158331917E-5</v>
      </c>
      <c r="BL78" s="58">
        <f t="shared" si="87"/>
        <v>1.356828107196834</v>
      </c>
      <c r="BM78" s="58">
        <f t="shared" si="87"/>
        <v>0.10732456024309789</v>
      </c>
    </row>
    <row r="79" spans="11:65" x14ac:dyDescent="0.2">
      <c r="K79" s="10"/>
      <c r="L79" s="10"/>
      <c r="M79" s="10"/>
      <c r="N79" s="10"/>
      <c r="O79" s="10"/>
      <c r="P79" s="10"/>
      <c r="AU79" s="2">
        <v>-1558</v>
      </c>
      <c r="AV79" s="53">
        <v>77</v>
      </c>
      <c r="AW79" s="4" t="s">
        <v>2245</v>
      </c>
      <c r="AX79" t="s">
        <v>2246</v>
      </c>
      <c r="AY79" s="4">
        <v>35681</v>
      </c>
      <c r="AZ79" s="9">
        <v>18.946219037028737</v>
      </c>
      <c r="BA79" s="7">
        <f t="shared" si="82"/>
        <v>4.8559962730753157E-4</v>
      </c>
      <c r="BB79" s="54">
        <f t="shared" si="76"/>
        <v>17.567108694532333</v>
      </c>
      <c r="BC79" s="55">
        <f t="shared" si="77"/>
        <v>1.9168848679696318</v>
      </c>
      <c r="BD79" s="55">
        <f t="shared" si="78"/>
        <v>1.3845161132936055</v>
      </c>
      <c r="BE79" s="55">
        <f t="shared" si="79"/>
        <v>1.3568008590354217</v>
      </c>
      <c r="BF79" s="56">
        <f t="shared" si="80"/>
        <v>9.1677341519626598E-3</v>
      </c>
      <c r="BG79" s="56">
        <f t="shared" si="83"/>
        <v>5.2205886423285128E-7</v>
      </c>
      <c r="BH79" s="56">
        <f t="shared" si="84"/>
        <v>7.2253641031635996E-4</v>
      </c>
      <c r="BI79" s="56">
        <f t="shared" si="81"/>
        <v>7.0807267086945994E-4</v>
      </c>
      <c r="BJ79" s="57">
        <f t="shared" si="85"/>
        <v>1.0408458157099339E-3</v>
      </c>
      <c r="BK79" s="57">
        <f t="shared" si="86"/>
        <v>8.2032156136951014E-5</v>
      </c>
      <c r="BL79" s="58">
        <f t="shared" si="87"/>
        <v>1.8364826289272487</v>
      </c>
      <c r="BM79" s="58">
        <f t="shared" si="87"/>
        <v>0.14473866108228856</v>
      </c>
    </row>
    <row r="80" spans="11:65" x14ac:dyDescent="0.2">
      <c r="K80" s="10"/>
      <c r="L80" s="10"/>
      <c r="M80" s="10"/>
      <c r="N80" s="10"/>
      <c r="O80" s="10"/>
      <c r="P80" s="10"/>
      <c r="AU80" s="2">
        <v>-1557</v>
      </c>
      <c r="AV80" s="53">
        <v>78</v>
      </c>
      <c r="AW80" s="4" t="s">
        <v>2822</v>
      </c>
      <c r="AX80" t="s">
        <v>2823</v>
      </c>
      <c r="AY80" s="4">
        <v>44717</v>
      </c>
      <c r="AZ80" s="9">
        <v>18.962559038993142</v>
      </c>
      <c r="BA80" s="7">
        <f t="shared" si="82"/>
        <v>4.860184284862054E-4</v>
      </c>
      <c r="BB80" s="54">
        <f t="shared" si="76"/>
        <v>17.754845168507067</v>
      </c>
      <c r="BC80" s="55">
        <f t="shared" si="77"/>
        <v>1.9527867111714412</v>
      </c>
      <c r="BD80" s="55">
        <f t="shared" si="78"/>
        <v>1.3974214508055331</v>
      </c>
      <c r="BE80" s="55">
        <f t="shared" si="79"/>
        <v>1.3694478574012776</v>
      </c>
      <c r="BF80" s="56">
        <f t="shared" si="80"/>
        <v>9.2657080481771716E-3</v>
      </c>
      <c r="BG80" s="56">
        <f t="shared" si="83"/>
        <v>5.3183664264771336E-7</v>
      </c>
      <c r="BH80" s="56">
        <f t="shared" si="84"/>
        <v>7.2927130935455931E-4</v>
      </c>
      <c r="BI80" s="56">
        <f t="shared" si="81"/>
        <v>7.1467275064665211E-4</v>
      </c>
      <c r="BJ80" s="57">
        <f t="shared" si="85"/>
        <v>1.3183740429983455E-3</v>
      </c>
      <c r="BK80" s="57">
        <f t="shared" si="86"/>
        <v>1.0376458653320214E-4</v>
      </c>
      <c r="BL80" s="58">
        <f t="shared" si="87"/>
        <v>2.3261572385182037</v>
      </c>
      <c r="BM80" s="58">
        <f t="shared" si="87"/>
        <v>0.18308365926039363</v>
      </c>
    </row>
    <row r="81" spans="2:65" x14ac:dyDescent="0.2">
      <c r="K81" s="10"/>
      <c r="L81" s="10"/>
      <c r="M81" s="10"/>
      <c r="N81" s="10"/>
      <c r="O81" s="10"/>
      <c r="P81" s="10"/>
      <c r="AU81" s="2">
        <v>-1556</v>
      </c>
      <c r="AV81" s="53">
        <v>79</v>
      </c>
      <c r="AW81" s="4" t="s">
        <v>1749</v>
      </c>
      <c r="AX81" t="s">
        <v>1750</v>
      </c>
      <c r="AY81" s="4">
        <v>23698</v>
      </c>
      <c r="AZ81" s="9">
        <v>18.966619979153133</v>
      </c>
      <c r="BA81" s="7">
        <f t="shared" si="82"/>
        <v>4.8612251210438566E-4</v>
      </c>
      <c r="BB81" s="54">
        <f t="shared" si="76"/>
        <v>17.801813316059917</v>
      </c>
      <c r="BC81" s="55">
        <f t="shared" si="77"/>
        <v>1.9618119992318876</v>
      </c>
      <c r="BD81" s="55">
        <f t="shared" si="78"/>
        <v>1.4006469930827994</v>
      </c>
      <c r="BE81" s="55">
        <f t="shared" si="79"/>
        <v>1.3726088307483042</v>
      </c>
      <c r="BF81" s="56">
        <f t="shared" si="80"/>
        <v>9.2902192809509992E-3</v>
      </c>
      <c r="BG81" s="56">
        <f t="shared" si="83"/>
        <v>5.3429465758275402E-7</v>
      </c>
      <c r="BH81" s="56">
        <f t="shared" si="84"/>
        <v>7.3095462074109223E-4</v>
      </c>
      <c r="BI81" s="56">
        <f t="shared" si="81"/>
        <v>7.1632236549283741E-4</v>
      </c>
      <c r="BJ81" s="57">
        <f t="shared" si="85"/>
        <v>7.0052724765915072E-4</v>
      </c>
      <c r="BK81" s="57">
        <f t="shared" si="86"/>
        <v>5.5117496492405607E-5</v>
      </c>
      <c r="BL81" s="58">
        <f t="shared" si="87"/>
        <v>1.2360198811374905</v>
      </c>
      <c r="BM81" s="58">
        <f t="shared" si="87"/>
        <v>9.7250066561703291E-2</v>
      </c>
    </row>
    <row r="82" spans="2:65" x14ac:dyDescent="0.2">
      <c r="K82" s="10"/>
      <c r="L82" s="10"/>
      <c r="M82" s="10"/>
      <c r="N82" s="10"/>
      <c r="O82" s="10"/>
      <c r="P82" s="10"/>
      <c r="AU82" s="2">
        <v>-1555</v>
      </c>
      <c r="AV82" s="53">
        <v>80</v>
      </c>
      <c r="AW82" s="4" t="s">
        <v>2693</v>
      </c>
      <c r="AX82" t="s">
        <v>1343</v>
      </c>
      <c r="AY82" s="4">
        <v>67132</v>
      </c>
      <c r="AZ82" s="9">
        <v>18.968805518739256</v>
      </c>
      <c r="BA82" s="7">
        <f t="shared" si="82"/>
        <v>4.8617852841066888E-4</v>
      </c>
      <c r="BB82" s="54">
        <f t="shared" si="76"/>
        <v>17.827142308879139</v>
      </c>
      <c r="BC82" s="55">
        <f t="shared" si="77"/>
        <v>1.9666863431836228</v>
      </c>
      <c r="BD82" s="55">
        <f t="shared" si="78"/>
        <v>1.4023859465866102</v>
      </c>
      <c r="BE82" s="55">
        <f t="shared" si="79"/>
        <v>1.3743129738674336</v>
      </c>
      <c r="BF82" s="56">
        <f t="shared" si="80"/>
        <v>9.3034377038879457E-3</v>
      </c>
      <c r="BG82" s="56">
        <f t="shared" si="83"/>
        <v>5.3562217313146234E-7</v>
      </c>
      <c r="BH82" s="56">
        <f t="shared" si="84"/>
        <v>7.3186212713287899E-4</v>
      </c>
      <c r="BI82" s="56">
        <f t="shared" si="81"/>
        <v>7.1721170541465837E-4</v>
      </c>
      <c r="BJ82" s="57">
        <f t="shared" si="85"/>
        <v>1.9872861781638743E-3</v>
      </c>
      <c r="BK82" s="57">
        <f t="shared" si="86"/>
        <v>1.5633140521433003E-4</v>
      </c>
      <c r="BL82" s="58">
        <f t="shared" si="87"/>
        <v>3.5063949816773468</v>
      </c>
      <c r="BM82" s="58">
        <f t="shared" si="87"/>
        <v>0.27583327491793813</v>
      </c>
    </row>
    <row r="83" spans="2:65" x14ac:dyDescent="0.2">
      <c r="K83" s="10"/>
      <c r="L83" s="10"/>
      <c r="M83" s="10"/>
      <c r="N83" s="10"/>
      <c r="O83" s="10"/>
      <c r="P83" s="10"/>
      <c r="AU83" s="2">
        <v>-1554</v>
      </c>
      <c r="AV83" s="53">
        <v>81</v>
      </c>
      <c r="AW83" s="4" t="s">
        <v>2719</v>
      </c>
      <c r="AX83" t="s">
        <v>980</v>
      </c>
      <c r="AY83" s="4">
        <v>23601</v>
      </c>
      <c r="AZ83" s="9">
        <v>18.970454206193509</v>
      </c>
      <c r="BA83" s="7">
        <f t="shared" si="82"/>
        <v>4.862207849691815E-4</v>
      </c>
      <c r="BB83" s="54">
        <f t="shared" si="76"/>
        <v>17.846273378582893</v>
      </c>
      <c r="BC83" s="55">
        <f t="shared" si="77"/>
        <v>1.9703712861210585</v>
      </c>
      <c r="BD83" s="55">
        <f t="shared" si="78"/>
        <v>1.4036991437345321</v>
      </c>
      <c r="BE83" s="55">
        <f t="shared" si="79"/>
        <v>1.3755998834246974</v>
      </c>
      <c r="BF83" s="56">
        <f t="shared" si="80"/>
        <v>9.3134216212266661E-3</v>
      </c>
      <c r="BG83" s="56">
        <f t="shared" si="83"/>
        <v>5.3662575824855232E-7</v>
      </c>
      <c r="BH83" s="56">
        <f t="shared" si="84"/>
        <v>7.3254744436695182E-4</v>
      </c>
      <c r="BI83" s="56">
        <f t="shared" si="81"/>
        <v>7.1788330396304202E-4</v>
      </c>
      <c r="BJ83" s="57">
        <f t="shared" si="85"/>
        <v>6.9940227569560351E-4</v>
      </c>
      <c r="BK83" s="57">
        <f t="shared" si="86"/>
        <v>5.5011506026693101E-5</v>
      </c>
      <c r="BL83" s="58">
        <f t="shared" si="87"/>
        <v>1.2340349651798128</v>
      </c>
      <c r="BM83" s="58">
        <f t="shared" si="87"/>
        <v>9.7063055530698522E-2</v>
      </c>
    </row>
    <row r="84" spans="2:65" x14ac:dyDescent="0.2">
      <c r="K84" s="10"/>
      <c r="L84" s="10"/>
      <c r="M84" s="10"/>
      <c r="N84" s="10"/>
      <c r="O84" s="10"/>
      <c r="P84" s="10"/>
      <c r="AU84" s="2">
        <v>-1553</v>
      </c>
      <c r="AV84" s="53">
        <v>82</v>
      </c>
      <c r="AW84" s="4" t="s">
        <v>1456</v>
      </c>
      <c r="AX84" t="s">
        <v>1457</v>
      </c>
      <c r="AY84" s="4">
        <v>37066</v>
      </c>
      <c r="AZ84" s="9">
        <v>18.987162217344199</v>
      </c>
      <c r="BA84" s="7">
        <f t="shared" si="82"/>
        <v>4.8664901837933941E-4</v>
      </c>
      <c r="BB84" s="54">
        <f t="shared" si="76"/>
        <v>18.041312260318431</v>
      </c>
      <c r="BC84" s="55">
        <f t="shared" si="77"/>
        <v>2.008102378701214</v>
      </c>
      <c r="BD84" s="55">
        <f t="shared" si="78"/>
        <v>1.41707529041375</v>
      </c>
      <c r="BE84" s="55">
        <f t="shared" si="79"/>
        <v>1.3887082662962935</v>
      </c>
      <c r="BF84" s="56">
        <f t="shared" si="80"/>
        <v>9.4152064196325654E-3</v>
      </c>
      <c r="BG84" s="56">
        <f t="shared" si="83"/>
        <v>5.4690172821826973E-7</v>
      </c>
      <c r="BH84" s="56">
        <f t="shared" si="84"/>
        <v>7.3952804424056134E-4</v>
      </c>
      <c r="BI84" s="56">
        <f t="shared" si="81"/>
        <v>7.2472416613442181E-4</v>
      </c>
      <c r="BJ84" s="57">
        <f t="shared" si="85"/>
        <v>1.1104344824368136E-3</v>
      </c>
      <c r="BK84" s="57">
        <f t="shared" si="86"/>
        <v>8.7220333198581595E-5</v>
      </c>
      <c r="BL84" s="58">
        <f t="shared" si="87"/>
        <v>1.9592658266739331</v>
      </c>
      <c r="BM84" s="58">
        <f t="shared" si="87"/>
        <v>0.15389275182817355</v>
      </c>
    </row>
    <row r="85" spans="2:65" x14ac:dyDescent="0.2">
      <c r="K85" s="10"/>
      <c r="L85" s="10"/>
      <c r="M85" s="10"/>
      <c r="N85" s="10"/>
      <c r="O85" s="10"/>
      <c r="P85" s="10"/>
      <c r="AU85" s="2">
        <v>-1552</v>
      </c>
      <c r="AV85" s="53">
        <v>83</v>
      </c>
      <c r="AW85" s="4" t="s">
        <v>2262</v>
      </c>
      <c r="AX85" t="s">
        <v>2263</v>
      </c>
      <c r="AY85" s="4">
        <v>42969</v>
      </c>
      <c r="AZ85" s="9">
        <v>18.989372323471621</v>
      </c>
      <c r="BA85" s="7">
        <f t="shared" si="82"/>
        <v>4.8670566433649259E-4</v>
      </c>
      <c r="BB85" s="54">
        <f t="shared" si="76"/>
        <v>18.067270795997651</v>
      </c>
      <c r="BC85" s="55">
        <f t="shared" si="77"/>
        <v>2.0131465962600026</v>
      </c>
      <c r="BD85" s="55">
        <f t="shared" si="78"/>
        <v>1.4188539728456917</v>
      </c>
      <c r="BE85" s="55">
        <f t="shared" si="79"/>
        <v>1.3904513430495635</v>
      </c>
      <c r="BF85" s="56">
        <f t="shared" si="80"/>
        <v>9.4287533816409218E-3</v>
      </c>
      <c r="BG85" s="56">
        <f t="shared" si="83"/>
        <v>5.482755084247398E-7</v>
      </c>
      <c r="BH85" s="56">
        <f t="shared" si="84"/>
        <v>7.4045628393899104E-4</v>
      </c>
      <c r="BI85" s="56">
        <f t="shared" si="81"/>
        <v>7.2563382432339312E-4</v>
      </c>
      <c r="BJ85" s="57">
        <f t="shared" si="85"/>
        <v>1.2891305344989988E-3</v>
      </c>
      <c r="BK85" s="57">
        <f t="shared" si="86"/>
        <v>1.0123764685011737E-4</v>
      </c>
      <c r="BL85" s="58">
        <f t="shared" si="87"/>
        <v>2.2745595911459024</v>
      </c>
      <c r="BM85" s="58">
        <f t="shared" si="87"/>
        <v>0.17862509223510681</v>
      </c>
    </row>
    <row r="86" spans="2:65" x14ac:dyDescent="0.2">
      <c r="K86" s="10"/>
      <c r="L86" s="10"/>
      <c r="M86" s="10"/>
      <c r="N86" s="10"/>
      <c r="O86" s="10"/>
      <c r="P86" s="10"/>
      <c r="AU86" s="2">
        <v>-1551</v>
      </c>
      <c r="AV86" s="53">
        <v>84</v>
      </c>
      <c r="AW86" s="4" t="s">
        <v>1580</v>
      </c>
      <c r="AX86" t="s">
        <v>1581</v>
      </c>
      <c r="AY86" s="4">
        <v>23936</v>
      </c>
      <c r="AZ86" s="9">
        <v>19.002351722103882</v>
      </c>
      <c r="BA86" s="7">
        <f t="shared" si="82"/>
        <v>4.8703833182683372E-4</v>
      </c>
      <c r="BB86" s="54">
        <f t="shared" si="76"/>
        <v>18.220474348265988</v>
      </c>
      <c r="BC86" s="55">
        <f t="shared" si="77"/>
        <v>2.043023918377266</v>
      </c>
      <c r="BD86" s="55">
        <f t="shared" si="78"/>
        <v>1.4293438768810205</v>
      </c>
      <c r="BE86" s="55">
        <f t="shared" si="79"/>
        <v>1.4007312601048263</v>
      </c>
      <c r="BF86" s="56">
        <f t="shared" si="80"/>
        <v>9.5087056072891522E-3</v>
      </c>
      <c r="BG86" s="56">
        <f t="shared" si="83"/>
        <v>5.5641252338660467E-7</v>
      </c>
      <c r="BH86" s="56">
        <f t="shared" si="84"/>
        <v>7.4593064247730476E-4</v>
      </c>
      <c r="BI86" s="56">
        <f t="shared" si="81"/>
        <v>7.3099859711017018E-4</v>
      </c>
      <c r="BJ86" s="57">
        <f t="shared" si="85"/>
        <v>7.2420305084878447E-4</v>
      </c>
      <c r="BK86" s="57">
        <f t="shared" si="86"/>
        <v>5.6811649168058083E-5</v>
      </c>
      <c r="BL86" s="58">
        <f t="shared" si="87"/>
        <v>1.2777937929190408</v>
      </c>
      <c r="BM86" s="58">
        <f t="shared" si="87"/>
        <v>0.10023925277221256</v>
      </c>
    </row>
    <row r="87" spans="2:65" x14ac:dyDescent="0.2">
      <c r="B87" s="47"/>
      <c r="C87" s="47"/>
      <c r="D87" s="47"/>
      <c r="H87" s="10"/>
      <c r="K87" s="10"/>
      <c r="L87" s="10"/>
      <c r="M87" s="10"/>
      <c r="N87" s="10"/>
      <c r="O87" s="10"/>
      <c r="P87" s="10"/>
      <c r="AU87" s="2">
        <v>-1550</v>
      </c>
      <c r="AV87" s="53">
        <v>85</v>
      </c>
      <c r="AW87" s="4" t="s">
        <v>2141</v>
      </c>
      <c r="AX87" t="s">
        <v>2142</v>
      </c>
      <c r="AY87" s="4">
        <v>11625</v>
      </c>
      <c r="AZ87" s="9">
        <v>19.014080421489531</v>
      </c>
      <c r="BA87" s="7">
        <f t="shared" si="82"/>
        <v>4.8733894336517507E-4</v>
      </c>
      <c r="BB87" s="54">
        <f t="shared" si="76"/>
        <v>18.360032306183953</v>
      </c>
      <c r="BC87" s="55">
        <f t="shared" si="77"/>
        <v>2.0703991911723789</v>
      </c>
      <c r="BD87" s="55">
        <f t="shared" si="78"/>
        <v>1.4388881788284935</v>
      </c>
      <c r="BE87" s="55">
        <f t="shared" si="79"/>
        <v>1.4100845041421377</v>
      </c>
      <c r="BF87" s="56">
        <f t="shared" si="80"/>
        <v>9.5815366166049337E-3</v>
      </c>
      <c r="BG87" s="56">
        <f t="shared" si="83"/>
        <v>5.6386811138892138E-7</v>
      </c>
      <c r="BH87" s="56">
        <f t="shared" si="84"/>
        <v>7.5091152034638636E-4</v>
      </c>
      <c r="BI87" s="56">
        <f t="shared" si="81"/>
        <v>7.3587976772756646E-4</v>
      </c>
      <c r="BJ87" s="57">
        <f t="shared" si="85"/>
        <v>3.5441777707918794E-4</v>
      </c>
      <c r="BK87" s="57">
        <f t="shared" si="86"/>
        <v>2.7775961463540376E-5</v>
      </c>
      <c r="BL87" s="58">
        <f t="shared" si="87"/>
        <v>0.62533958552255764</v>
      </c>
      <c r="BM87" s="58">
        <f t="shared" si="87"/>
        <v>4.9008287259868485E-2</v>
      </c>
    </row>
    <row r="88" spans="2:65" x14ac:dyDescent="0.2">
      <c r="B88" s="47"/>
      <c r="C88" s="47"/>
      <c r="D88" s="47"/>
      <c r="H88" s="10"/>
      <c r="K88" s="10"/>
      <c r="L88" s="10"/>
      <c r="M88" s="10"/>
      <c r="N88" s="10"/>
      <c r="O88" s="10"/>
      <c r="P88" s="10"/>
      <c r="AU88" s="2">
        <v>-1549</v>
      </c>
      <c r="AV88" s="53">
        <v>86</v>
      </c>
      <c r="AW88" s="4" t="s">
        <v>1918</v>
      </c>
      <c r="AX88" t="s">
        <v>1919</v>
      </c>
      <c r="AY88" s="4">
        <v>25378</v>
      </c>
      <c r="AZ88" s="9">
        <v>19.049325662059136</v>
      </c>
      <c r="BA88" s="7">
        <f t="shared" si="82"/>
        <v>4.882422938253125E-4</v>
      </c>
      <c r="BB88" s="54">
        <f t="shared" si="76"/>
        <v>18.785875888723695</v>
      </c>
      <c r="BC88" s="55">
        <f t="shared" si="77"/>
        <v>2.1548648231389316</v>
      </c>
      <c r="BD88" s="55">
        <f t="shared" si="78"/>
        <v>1.4679457834466951</v>
      </c>
      <c r="BE88" s="55">
        <f t="shared" si="79"/>
        <v>1.4385604334064777</v>
      </c>
      <c r="BF88" s="56">
        <f t="shared" si="80"/>
        <v>9.8037712952267347E-3</v>
      </c>
      <c r="BG88" s="56">
        <f t="shared" si="83"/>
        <v>5.8687211785170721E-7</v>
      </c>
      <c r="BH88" s="56">
        <f t="shared" si="84"/>
        <v>7.660757911928214E-4</v>
      </c>
      <c r="BI88" s="56">
        <f t="shared" si="81"/>
        <v>7.5074048008297821E-4</v>
      </c>
      <c r="BJ88" s="57">
        <f t="shared" si="85"/>
        <v>7.9165860470088842E-4</v>
      </c>
      <c r="BK88" s="57">
        <f t="shared" si="86"/>
        <v>6.1860938376450783E-5</v>
      </c>
      <c r="BL88" s="58">
        <f t="shared" si="87"/>
        <v>1.3968132970610252</v>
      </c>
      <c r="BM88" s="58">
        <f t="shared" si="87"/>
        <v>0.10914828788546627</v>
      </c>
    </row>
    <row r="89" spans="2:65" x14ac:dyDescent="0.2">
      <c r="B89" s="47"/>
      <c r="C89" s="47"/>
      <c r="D89" s="47"/>
      <c r="H89" s="10"/>
      <c r="K89" s="10"/>
      <c r="L89" s="10"/>
      <c r="M89" s="10"/>
      <c r="N89" s="10"/>
      <c r="O89" s="10"/>
      <c r="P89" s="10"/>
      <c r="AU89" s="2">
        <v>-1548</v>
      </c>
      <c r="AV89" s="53">
        <v>87</v>
      </c>
      <c r="AW89" s="4" t="s">
        <v>2803</v>
      </c>
      <c r="AX89" t="s">
        <v>2804</v>
      </c>
      <c r="AY89" s="4">
        <v>23774</v>
      </c>
      <c r="AZ89" s="9">
        <v>19.054422372831112</v>
      </c>
      <c r="BA89" s="7">
        <f t="shared" si="82"/>
        <v>4.8837292468345518E-4</v>
      </c>
      <c r="BB89" s="54">
        <f t="shared" si="76"/>
        <v>18.848268011554595</v>
      </c>
      <c r="BC89" s="55">
        <f t="shared" si="77"/>
        <v>2.1673578926951955</v>
      </c>
      <c r="BD89" s="55">
        <f t="shared" si="78"/>
        <v>1.4721949234714795</v>
      </c>
      <c r="BE89" s="55">
        <f t="shared" si="79"/>
        <v>1.4427245141134002</v>
      </c>
      <c r="BF89" s="56">
        <f t="shared" si="80"/>
        <v>9.8363318266856403E-3</v>
      </c>
      <c r="BG89" s="56">
        <f t="shared" si="83"/>
        <v>5.9027457452102042E-7</v>
      </c>
      <c r="BH89" s="56">
        <f t="shared" si="84"/>
        <v>7.6829328678638107E-4</v>
      </c>
      <c r="BI89" s="56">
        <f t="shared" si="81"/>
        <v>7.5291358583260478E-4</v>
      </c>
      <c r="BJ89" s="57">
        <f t="shared" si="85"/>
        <v>7.4408543172338058E-4</v>
      </c>
      <c r="BK89" s="57">
        <f t="shared" si="86"/>
        <v>5.8118804048241014E-5</v>
      </c>
      <c r="BL89" s="58">
        <f t="shared" si="87"/>
        <v>1.3128745383539504</v>
      </c>
      <c r="BM89" s="58">
        <f t="shared" si="87"/>
        <v>0.10254561476602628</v>
      </c>
    </row>
    <row r="90" spans="2:65" x14ac:dyDescent="0.2">
      <c r="B90" s="47"/>
      <c r="C90" s="47"/>
      <c r="D90" s="47"/>
      <c r="H90" s="10"/>
      <c r="K90" s="10"/>
      <c r="L90" s="10"/>
      <c r="M90" s="10"/>
      <c r="N90" s="10"/>
      <c r="O90" s="10"/>
      <c r="P90" s="10"/>
      <c r="AU90" s="2">
        <v>-1547</v>
      </c>
      <c r="AV90" s="53">
        <v>88</v>
      </c>
      <c r="AW90" s="4" t="s">
        <v>1488</v>
      </c>
      <c r="AX90" t="s">
        <v>85</v>
      </c>
      <c r="AY90" s="4">
        <v>17263</v>
      </c>
      <c r="AZ90" s="9">
        <v>19.064737502810218</v>
      </c>
      <c r="BA90" s="7">
        <f t="shared" si="82"/>
        <v>4.8863730583853906E-4</v>
      </c>
      <c r="BB90" s="54">
        <f t="shared" si="76"/>
        <v>18.975177023333572</v>
      </c>
      <c r="BC90" s="55">
        <f t="shared" si="77"/>
        <v>2.1928619396182865</v>
      </c>
      <c r="BD90" s="55">
        <f t="shared" si="78"/>
        <v>1.4808315027775059</v>
      </c>
      <c r="BE90" s="55">
        <f t="shared" si="79"/>
        <v>1.4511882063081178</v>
      </c>
      <c r="BF90" s="56">
        <f t="shared" si="80"/>
        <v>9.9025617397412932E-3</v>
      </c>
      <c r="BG90" s="56">
        <f t="shared" si="83"/>
        <v>5.9722053877399186E-7</v>
      </c>
      <c r="BH90" s="56">
        <f t="shared" si="84"/>
        <v>7.728004521051937E-4</v>
      </c>
      <c r="BI90" s="56">
        <f t="shared" si="81"/>
        <v>7.5733052668122518E-4</v>
      </c>
      <c r="BJ90" s="57">
        <f t="shared" si="85"/>
        <v>5.439402561856529E-4</v>
      </c>
      <c r="BK90" s="57">
        <f t="shared" si="86"/>
        <v>4.2449346638405249E-5</v>
      </c>
      <c r="BL90" s="58">
        <f t="shared" si="87"/>
        <v>0.95973564631937347</v>
      </c>
      <c r="BM90" s="58">
        <f t="shared" si="87"/>
        <v>7.4898209258371026E-2</v>
      </c>
    </row>
    <row r="91" spans="2:65" x14ac:dyDescent="0.2">
      <c r="B91" s="47"/>
      <c r="C91" s="47"/>
      <c r="D91" s="47"/>
      <c r="H91" s="10"/>
      <c r="K91" s="10"/>
      <c r="L91" s="10"/>
      <c r="M91" s="10"/>
      <c r="N91" s="10"/>
      <c r="O91" s="10"/>
      <c r="P91" s="10"/>
      <c r="AU91" s="2">
        <v>-1546</v>
      </c>
      <c r="AV91" s="53">
        <v>89</v>
      </c>
      <c r="AW91" s="4" t="s">
        <v>1801</v>
      </c>
      <c r="AX91" t="s">
        <v>1295</v>
      </c>
      <c r="AY91" s="4">
        <v>72585</v>
      </c>
      <c r="AZ91" s="9">
        <v>19.090784390280028</v>
      </c>
      <c r="BA91" s="7">
        <f t="shared" si="82"/>
        <v>4.8930489860853402E-4</v>
      </c>
      <c r="BB91" s="54">
        <f t="shared" si="76"/>
        <v>19.299453288963871</v>
      </c>
      <c r="BC91" s="55">
        <f t="shared" si="77"/>
        <v>2.2585909385875627</v>
      </c>
      <c r="BD91" s="55">
        <f t="shared" si="78"/>
        <v>1.5028609179120878</v>
      </c>
      <c r="BE91" s="55">
        <f t="shared" si="79"/>
        <v>1.472776636440249</v>
      </c>
      <c r="BF91" s="56">
        <f t="shared" si="80"/>
        <v>1.0071791557054087E-2</v>
      </c>
      <c r="BG91" s="56">
        <f t="shared" si="83"/>
        <v>6.151216694691511E-7</v>
      </c>
      <c r="BH91" s="56">
        <f t="shared" si="84"/>
        <v>7.8429692685178301E-4</v>
      </c>
      <c r="BI91" s="56">
        <f t="shared" si="81"/>
        <v>7.6859686490746983E-4</v>
      </c>
      <c r="BJ91" s="57">
        <f t="shared" si="85"/>
        <v>2.3261674934259942E-3</v>
      </c>
      <c r="BK91" s="57">
        <f t="shared" si="86"/>
        <v>1.8114016817184265E-4</v>
      </c>
      <c r="BL91" s="58">
        <f t="shared" si="87"/>
        <v>4.1043218209397141</v>
      </c>
      <c r="BM91" s="58">
        <f t="shared" si="87"/>
        <v>0.31960619644865479</v>
      </c>
    </row>
    <row r="92" spans="2:65" x14ac:dyDescent="0.2">
      <c r="B92" s="47"/>
      <c r="C92" s="47"/>
      <c r="D92" s="47"/>
      <c r="H92" s="10"/>
      <c r="K92" s="10"/>
      <c r="L92" s="10"/>
      <c r="M92" s="10"/>
      <c r="N92" s="10"/>
      <c r="O92" s="10"/>
      <c r="P92" s="10"/>
      <c r="AU92" s="2">
        <v>-1545</v>
      </c>
      <c r="AV92" s="53">
        <v>90</v>
      </c>
      <c r="AW92" s="4" t="s">
        <v>1982</v>
      </c>
      <c r="AX92" t="s">
        <v>1983</v>
      </c>
      <c r="AY92" s="4">
        <v>129967</v>
      </c>
      <c r="AZ92" s="9">
        <v>19.145527538129809</v>
      </c>
      <c r="BA92" s="7">
        <f t="shared" si="82"/>
        <v>4.9070798869957225E-4</v>
      </c>
      <c r="BB92" s="54">
        <f t="shared" si="76"/>
        <v>19.999167684629626</v>
      </c>
      <c r="BC92" s="55">
        <f t="shared" si="77"/>
        <v>2.4031503113154011</v>
      </c>
      <c r="BD92" s="55">
        <f t="shared" si="78"/>
        <v>1.5502097636498748</v>
      </c>
      <c r="BE92" s="55">
        <f t="shared" si="79"/>
        <v>1.5191776526180518</v>
      </c>
      <c r="BF92" s="56">
        <f t="shared" si="80"/>
        <v>1.0436950996396622E-2</v>
      </c>
      <c r="BG92" s="56">
        <f t="shared" si="83"/>
        <v>6.5449205795807444E-7</v>
      </c>
      <c r="BH92" s="56">
        <f t="shared" si="84"/>
        <v>8.0900683430863208E-4</v>
      </c>
      <c r="BI92" s="56">
        <f t="shared" si="81"/>
        <v>7.9281212924584075E-4</v>
      </c>
      <c r="BJ92" s="57">
        <f t="shared" si="85"/>
        <v>4.3161259638237869E-3</v>
      </c>
      <c r="BK92" s="57">
        <f t="shared" si="86"/>
        <v>3.3455895344108806E-4</v>
      </c>
      <c r="BL92" s="58">
        <f t="shared" si="87"/>
        <v>7.615431831676057</v>
      </c>
      <c r="BM92" s="58">
        <f t="shared" si="87"/>
        <v>0.59030040479873014</v>
      </c>
    </row>
    <row r="93" spans="2:65" x14ac:dyDescent="0.2">
      <c r="B93" s="47"/>
      <c r="C93" s="47"/>
      <c r="D93" s="47"/>
      <c r="H93" s="10"/>
      <c r="K93" s="10"/>
      <c r="L93" s="10"/>
      <c r="M93" s="10"/>
      <c r="N93" s="10"/>
      <c r="O93" s="10"/>
      <c r="P93" s="10"/>
      <c r="AU93" s="2">
        <v>-1544</v>
      </c>
      <c r="AV93" s="53">
        <v>91</v>
      </c>
      <c r="AW93" s="4" t="s">
        <v>1610</v>
      </c>
      <c r="AX93" t="s">
        <v>1611</v>
      </c>
      <c r="AY93" s="4">
        <v>17377</v>
      </c>
      <c r="AZ93" s="9">
        <v>19.147433508477416</v>
      </c>
      <c r="BA93" s="7">
        <f t="shared" si="82"/>
        <v>4.9075683952773212E-4</v>
      </c>
      <c r="BB93" s="54">
        <f t="shared" si="76"/>
        <v>20.023981160868406</v>
      </c>
      <c r="BC93" s="55">
        <f t="shared" si="77"/>
        <v>2.4083448404209431</v>
      </c>
      <c r="BD93" s="55">
        <f t="shared" si="78"/>
        <v>1.5518842870591039</v>
      </c>
      <c r="BE93" s="55">
        <f t="shared" si="79"/>
        <v>1.5208186554047307</v>
      </c>
      <c r="BF93" s="56">
        <f t="shared" si="80"/>
        <v>1.0449900387073196E-2</v>
      </c>
      <c r="BG93" s="56">
        <f t="shared" si="83"/>
        <v>6.5590677514343026E-7</v>
      </c>
      <c r="BH93" s="56">
        <f t="shared" si="84"/>
        <v>8.0988071661413838E-4</v>
      </c>
      <c r="BI93" s="56">
        <f t="shared" si="81"/>
        <v>7.9366851816860034E-4</v>
      </c>
      <c r="BJ93" s="57">
        <f t="shared" si="85"/>
        <v>5.7779572445800355E-4</v>
      </c>
      <c r="BK93" s="57">
        <f t="shared" si="86"/>
        <v>4.4779911582649561E-5</v>
      </c>
      <c r="BL93" s="58">
        <f t="shared" si="87"/>
        <v>1.019470698752631</v>
      </c>
      <c r="BM93" s="58">
        <f t="shared" si="87"/>
        <v>7.9010290001830796E-2</v>
      </c>
    </row>
    <row r="94" spans="2:65" x14ac:dyDescent="0.2">
      <c r="B94" s="47"/>
      <c r="C94" s="47"/>
      <c r="D94" s="47"/>
      <c r="H94" s="10"/>
      <c r="K94" s="10"/>
      <c r="L94" s="10"/>
      <c r="M94" s="10"/>
      <c r="N94" s="10"/>
      <c r="O94" s="10"/>
      <c r="P94" s="10"/>
      <c r="AU94" s="2">
        <v>-1543</v>
      </c>
      <c r="AV94" s="53">
        <v>92</v>
      </c>
      <c r="AW94" s="4" t="s">
        <v>2814</v>
      </c>
      <c r="AX94" t="s">
        <v>1053</v>
      </c>
      <c r="AY94" s="4">
        <v>36295</v>
      </c>
      <c r="AZ94" s="9">
        <v>19.179577073900152</v>
      </c>
      <c r="BA94" s="7">
        <f t="shared" si="82"/>
        <v>4.9158069273871365E-4</v>
      </c>
      <c r="BB94" s="54">
        <f t="shared" si="76"/>
        <v>20.447120995918347</v>
      </c>
      <c r="BC94" s="55">
        <f t="shared" si="77"/>
        <v>2.4976398750202553</v>
      </c>
      <c r="BD94" s="55">
        <f t="shared" si="78"/>
        <v>1.580392316806259</v>
      </c>
      <c r="BE94" s="55">
        <f t="shared" si="79"/>
        <v>1.5487560111920411</v>
      </c>
      <c r="BF94" s="56">
        <f t="shared" si="80"/>
        <v>1.0670724062972153E-2</v>
      </c>
      <c r="BG94" s="56">
        <f t="shared" si="83"/>
        <v>6.8022605749756403E-7</v>
      </c>
      <c r="BH94" s="56">
        <f t="shared" si="84"/>
        <v>8.2475818122499636E-4</v>
      </c>
      <c r="BI94" s="56">
        <f t="shared" si="81"/>
        <v>8.0824816557787576E-4</v>
      </c>
      <c r="BJ94" s="57">
        <f t="shared" si="85"/>
        <v>1.2323329546643212E-3</v>
      </c>
      <c r="BK94" s="57">
        <f t="shared" si="86"/>
        <v>9.5249083413134061E-5</v>
      </c>
      <c r="BL94" s="58">
        <f t="shared" si="87"/>
        <v>2.1743451624984194</v>
      </c>
      <c r="BM94" s="58">
        <f t="shared" si="87"/>
        <v>0.16805878879395078</v>
      </c>
    </row>
    <row r="95" spans="2:65" x14ac:dyDescent="0.2">
      <c r="B95" s="47"/>
      <c r="C95" s="47"/>
      <c r="D95" s="47"/>
      <c r="H95" s="10"/>
      <c r="K95" s="10"/>
      <c r="L95" s="10"/>
      <c r="M95" s="10"/>
      <c r="N95" s="10"/>
      <c r="O95" s="10"/>
      <c r="P95" s="10"/>
      <c r="AU95" s="2">
        <v>-1542</v>
      </c>
      <c r="AV95" s="53">
        <v>93</v>
      </c>
      <c r="AW95" s="4" t="s">
        <v>1741</v>
      </c>
      <c r="AX95" t="s">
        <v>250</v>
      </c>
      <c r="AY95" s="4">
        <v>11355</v>
      </c>
      <c r="AZ95" s="9">
        <v>19.184234506323421</v>
      </c>
      <c r="BA95" s="7">
        <f t="shared" si="82"/>
        <v>4.9170006470652049E-4</v>
      </c>
      <c r="BB95" s="54">
        <f t="shared" si="76"/>
        <v>20.509169014129618</v>
      </c>
      <c r="BC95" s="55">
        <f t="shared" si="77"/>
        <v>2.5108468715274177</v>
      </c>
      <c r="BD95" s="55">
        <f t="shared" si="78"/>
        <v>1.5845651995192302</v>
      </c>
      <c r="BE95" s="55">
        <f t="shared" si="79"/>
        <v>1.5528453611066078</v>
      </c>
      <c r="BF95" s="56">
        <f t="shared" si="80"/>
        <v>1.0703105016805159E-2</v>
      </c>
      <c r="BG95" s="56">
        <f t="shared" si="83"/>
        <v>6.8382295041047434E-7</v>
      </c>
      <c r="BH95" s="56">
        <f t="shared" si="84"/>
        <v>8.2693588047107636E-4</v>
      </c>
      <c r="BI95" s="56">
        <f t="shared" si="81"/>
        <v>8.1038227162361413E-4</v>
      </c>
      <c r="BJ95" s="57">
        <f t="shared" si="85"/>
        <v>3.8670901576303497E-4</v>
      </c>
      <c r="BK95" s="57">
        <f t="shared" si="86"/>
        <v>2.9877643911183734E-5</v>
      </c>
      <c r="BL95" s="58">
        <f t="shared" si="87"/>
        <v>0.68231468982172827</v>
      </c>
      <c r="BM95" s="58">
        <f t="shared" si="87"/>
        <v>5.2716524587974295E-2</v>
      </c>
    </row>
    <row r="96" spans="2:65" x14ac:dyDescent="0.2">
      <c r="B96" s="47"/>
      <c r="C96" s="47"/>
      <c r="D96" s="47"/>
      <c r="H96" s="10"/>
      <c r="K96" s="10"/>
      <c r="L96" s="10"/>
      <c r="M96" s="10"/>
      <c r="N96" s="10"/>
      <c r="O96" s="10"/>
      <c r="P96" s="10"/>
      <c r="AU96" s="2">
        <v>-1541</v>
      </c>
      <c r="AV96" s="53">
        <v>94</v>
      </c>
      <c r="AW96" s="4" t="s">
        <v>2816</v>
      </c>
      <c r="AX96" t="s">
        <v>2817</v>
      </c>
      <c r="AY96" s="4">
        <v>14991</v>
      </c>
      <c r="AZ96" s="9">
        <v>19.199787351017694</v>
      </c>
      <c r="BA96" s="7">
        <f t="shared" si="82"/>
        <v>4.9209869071059815E-4</v>
      </c>
      <c r="BB96" s="54">
        <f t="shared" si="76"/>
        <v>20.717737256036788</v>
      </c>
      <c r="BC96" s="55">
        <f t="shared" si="77"/>
        <v>2.5554519822665696</v>
      </c>
      <c r="BD96" s="55">
        <f t="shared" si="78"/>
        <v>1.598578112657173</v>
      </c>
      <c r="BE96" s="55">
        <f t="shared" si="79"/>
        <v>1.5665777636410356</v>
      </c>
      <c r="BF96" s="56">
        <f t="shared" si="80"/>
        <v>1.0811950372497776E-2</v>
      </c>
      <c r="BG96" s="56">
        <f t="shared" si="83"/>
        <v>6.9597104226542569E-7</v>
      </c>
      <c r="BH96" s="56">
        <f t="shared" si="84"/>
        <v>8.3424878919026652E-4</v>
      </c>
      <c r="BI96" s="56">
        <f t="shared" si="81"/>
        <v>8.1754879047953499E-4</v>
      </c>
      <c r="BJ96" s="57">
        <f t="shared" si="85"/>
        <v>5.1572955452195226E-4</v>
      </c>
      <c r="BK96" s="57">
        <f t="shared" si="86"/>
        <v>3.9793630342957142E-5</v>
      </c>
      <c r="BL96" s="58">
        <f t="shared" si="87"/>
        <v>0.90996029748934715</v>
      </c>
      <c r="BM96" s="58">
        <f t="shared" si="87"/>
        <v>7.0212427012493542E-2</v>
      </c>
    </row>
    <row r="97" spans="2:65" x14ac:dyDescent="0.2">
      <c r="B97" s="47"/>
      <c r="C97" s="47"/>
      <c r="D97" s="47"/>
      <c r="H97" s="10"/>
      <c r="K97" s="10"/>
      <c r="L97" s="10"/>
      <c r="M97" s="10"/>
      <c r="N97" s="10"/>
      <c r="O97" s="10"/>
      <c r="P97" s="10"/>
      <c r="AU97" s="2">
        <v>-1540</v>
      </c>
      <c r="AV97" s="53">
        <v>95</v>
      </c>
      <c r="AW97" s="4" t="s">
        <v>1650</v>
      </c>
      <c r="AX97" t="s">
        <v>198</v>
      </c>
      <c r="AY97" s="4">
        <v>27133</v>
      </c>
      <c r="AZ97" s="9">
        <v>19.200577770434787</v>
      </c>
      <c r="BA97" s="7">
        <f t="shared" si="82"/>
        <v>4.9211894949540412E-4</v>
      </c>
      <c r="BB97" s="54">
        <f t="shared" si="76"/>
        <v>20.728393473453721</v>
      </c>
      <c r="BC97" s="55">
        <f t="shared" si="77"/>
        <v>2.5577396812344451</v>
      </c>
      <c r="BD97" s="55">
        <f t="shared" si="78"/>
        <v>1.5992934944013388</v>
      </c>
      <c r="BE97" s="55">
        <f t="shared" si="79"/>
        <v>1.567278824867917</v>
      </c>
      <c r="BF97" s="56">
        <f t="shared" si="80"/>
        <v>1.0817511524878771E-2</v>
      </c>
      <c r="BG97" s="56">
        <f t="shared" si="83"/>
        <v>6.9659409143487316E-7</v>
      </c>
      <c r="BH97" s="56">
        <f t="shared" si="84"/>
        <v>8.3462212493731151E-4</v>
      </c>
      <c r="BI97" s="56">
        <f t="shared" si="81"/>
        <v>8.179146527887098E-4</v>
      </c>
      <c r="BJ97" s="57">
        <f t="shared" si="85"/>
        <v>9.3392618803469195E-4</v>
      </c>
      <c r="BK97" s="57">
        <f t="shared" si="86"/>
        <v>7.2056818039845189E-5</v>
      </c>
      <c r="BL97" s="58">
        <f t="shared" si="87"/>
        <v>1.6478321718150954</v>
      </c>
      <c r="BM97" s="58">
        <f t="shared" si="87"/>
        <v>0.12713803776564897</v>
      </c>
    </row>
    <row r="98" spans="2:65" x14ac:dyDescent="0.2">
      <c r="B98" s="47"/>
      <c r="C98" s="47"/>
      <c r="D98" s="47"/>
      <c r="H98" s="10"/>
      <c r="K98" s="10"/>
      <c r="L98" s="10"/>
      <c r="M98" s="10"/>
      <c r="N98" s="10"/>
      <c r="O98" s="10"/>
      <c r="P98" s="10"/>
      <c r="AU98" s="2">
        <v>-1539</v>
      </c>
      <c r="AV98" s="53">
        <v>96</v>
      </c>
      <c r="AW98" s="4" t="s">
        <v>1804</v>
      </c>
      <c r="AX98" t="s">
        <v>1296</v>
      </c>
      <c r="AY98" s="4">
        <v>60960</v>
      </c>
      <c r="AZ98" s="9">
        <v>19.236764777226849</v>
      </c>
      <c r="BA98" s="7">
        <f t="shared" si="82"/>
        <v>4.9304643782314148E-4</v>
      </c>
      <c r="BB98" s="54">
        <f t="shared" si="76"/>
        <v>21.222172152543827</v>
      </c>
      <c r="BC98" s="55">
        <f t="shared" si="77"/>
        <v>2.6646717415382208</v>
      </c>
      <c r="BD98" s="55">
        <f t="shared" si="78"/>
        <v>1.632382228994858</v>
      </c>
      <c r="BE98" s="55">
        <f t="shared" si="79"/>
        <v>1.5997051889165681</v>
      </c>
      <c r="BF98" s="56">
        <f t="shared" si="80"/>
        <v>1.1075199442595947E-2</v>
      </c>
      <c r="BG98" s="56">
        <f t="shared" si="83"/>
        <v>7.2571677422353217E-7</v>
      </c>
      <c r="BH98" s="56">
        <f t="shared" si="84"/>
        <v>8.5189011863240447E-4</v>
      </c>
      <c r="BI98" s="56">
        <f t="shared" si="81"/>
        <v>8.348369756525332E-4</v>
      </c>
      <c r="BJ98" s="57">
        <f t="shared" si="85"/>
        <v>2.1482453788178946E-3</v>
      </c>
      <c r="BK98" s="57">
        <f t="shared" si="86"/>
        <v>1.6524027581608369E-4</v>
      </c>
      <c r="BL98" s="58">
        <f t="shared" si="87"/>
        <v>3.7903936023236744</v>
      </c>
      <c r="BM98" s="58">
        <f t="shared" si="87"/>
        <v>0.29155220836277485</v>
      </c>
    </row>
    <row r="99" spans="2:65" x14ac:dyDescent="0.2">
      <c r="B99" s="47"/>
      <c r="C99" s="47"/>
      <c r="D99" s="47"/>
      <c r="H99" s="10"/>
      <c r="K99" s="10"/>
      <c r="L99" s="10"/>
      <c r="M99" s="10"/>
      <c r="N99" s="10"/>
      <c r="O99" s="10"/>
      <c r="P99" s="10"/>
      <c r="AU99" s="2">
        <v>-1538</v>
      </c>
      <c r="AV99" s="53">
        <v>97</v>
      </c>
      <c r="AW99" s="4" t="s">
        <v>3094</v>
      </c>
      <c r="AX99" t="s">
        <v>1364</v>
      </c>
      <c r="AY99" s="4">
        <v>33662</v>
      </c>
      <c r="AZ99" s="9">
        <v>19.237294000970888</v>
      </c>
      <c r="BA99" s="7">
        <f t="shared" si="82"/>
        <v>4.9306000205209745E-4</v>
      </c>
      <c r="BB99" s="54">
        <f t="shared" si="76"/>
        <v>21.229480113847956</v>
      </c>
      <c r="BC99" s="55">
        <f t="shared" si="77"/>
        <v>2.6662679298384382</v>
      </c>
      <c r="BD99" s="55">
        <f t="shared" si="78"/>
        <v>1.6328710695699273</v>
      </c>
      <c r="BE99" s="55">
        <f t="shared" si="79"/>
        <v>1.6001842438772269</v>
      </c>
      <c r="BF99" s="56">
        <f t="shared" si="80"/>
        <v>1.1079013243010928E-2</v>
      </c>
      <c r="BG99" s="56">
        <f t="shared" si="83"/>
        <v>7.2615149216879348E-7</v>
      </c>
      <c r="BH99" s="56">
        <f t="shared" si="84"/>
        <v>8.5214522950538985E-4</v>
      </c>
      <c r="BI99" s="56">
        <f t="shared" si="81"/>
        <v>8.3508697971409118E-4</v>
      </c>
      <c r="BJ99" s="57">
        <f t="shared" si="85"/>
        <v>1.1866656448689299E-3</v>
      </c>
      <c r="BK99" s="57">
        <f t="shared" si="86"/>
        <v>9.1272701468328617E-5</v>
      </c>
      <c r="BL99" s="58">
        <f t="shared" si="87"/>
        <v>2.0937691349223551</v>
      </c>
      <c r="BM99" s="58">
        <f t="shared" si="87"/>
        <v>0.16104280596787368</v>
      </c>
    </row>
    <row r="100" spans="2:65" x14ac:dyDescent="0.2">
      <c r="B100" s="47"/>
      <c r="C100" s="47"/>
      <c r="D100" s="47"/>
      <c r="H100" s="10"/>
      <c r="K100" s="10"/>
      <c r="L100" s="10"/>
      <c r="M100" s="10"/>
      <c r="N100" s="10"/>
      <c r="O100" s="10"/>
      <c r="P100" s="10"/>
      <c r="AU100" s="2">
        <v>-1537</v>
      </c>
      <c r="AV100" s="53">
        <v>98</v>
      </c>
      <c r="AW100" s="4" t="s">
        <v>3024</v>
      </c>
      <c r="AX100" t="s">
        <v>1186</v>
      </c>
      <c r="AY100" s="4">
        <v>35218</v>
      </c>
      <c r="AZ100" s="9">
        <v>19.243094935129523</v>
      </c>
      <c r="BA100" s="7">
        <f t="shared" si="82"/>
        <v>4.9320868245423806E-4</v>
      </c>
      <c r="BB100" s="54">
        <f t="shared" si="76"/>
        <v>21.309749406589663</v>
      </c>
      <c r="BC100" s="55">
        <f t="shared" si="77"/>
        <v>2.6838261663748018</v>
      </c>
      <c r="BD100" s="55">
        <f t="shared" si="78"/>
        <v>1.6382387391265052</v>
      </c>
      <c r="BE100" s="55">
        <f t="shared" si="79"/>
        <v>1.6054444633831293</v>
      </c>
      <c r="BF100" s="56">
        <f t="shared" si="80"/>
        <v>1.1120903320041713E-2</v>
      </c>
      <c r="BG100" s="56">
        <f t="shared" si="83"/>
        <v>7.3093343456775942E-7</v>
      </c>
      <c r="BH100" s="56">
        <f t="shared" si="84"/>
        <v>8.5494645128672206E-4</v>
      </c>
      <c r="BI100" s="56">
        <f t="shared" si="81"/>
        <v>8.3783212661615132E-4</v>
      </c>
      <c r="BJ100" s="57">
        <f t="shared" si="85"/>
        <v>1.2462125671343892E-3</v>
      </c>
      <c r="BK100" s="57">
        <f t="shared" si="86"/>
        <v>9.580561768758059E-5</v>
      </c>
      <c r="BL100" s="58">
        <f t="shared" si="87"/>
        <v>2.1988345410526642</v>
      </c>
      <c r="BM100" s="58">
        <f t="shared" si="87"/>
        <v>0.16904074549877413</v>
      </c>
    </row>
    <row r="101" spans="2:65" x14ac:dyDescent="0.2">
      <c r="B101" s="47"/>
      <c r="C101" s="47"/>
      <c r="D101" s="47"/>
      <c r="H101" s="10"/>
      <c r="K101" s="10"/>
      <c r="L101" s="10"/>
      <c r="M101" s="10"/>
      <c r="N101" s="10"/>
      <c r="O101" s="10"/>
      <c r="P101" s="10"/>
      <c r="AU101" s="2">
        <v>-1536</v>
      </c>
      <c r="AV101" s="53">
        <v>99</v>
      </c>
      <c r="AW101" s="4" t="s">
        <v>1865</v>
      </c>
      <c r="AX101" t="s">
        <v>1866</v>
      </c>
      <c r="AY101" s="4">
        <v>42421</v>
      </c>
      <c r="AZ101" s="9">
        <v>19.266190234778428</v>
      </c>
      <c r="BA101" s="7">
        <f t="shared" si="82"/>
        <v>4.9380062477688005E-4</v>
      </c>
      <c r="BB101" s="54">
        <f t="shared" si="76"/>
        <v>21.632347205111166</v>
      </c>
      <c r="BC101" s="55">
        <f t="shared" si="77"/>
        <v>2.7548713792476431</v>
      </c>
      <c r="BD101" s="55">
        <f t="shared" si="78"/>
        <v>1.659780521408672</v>
      </c>
      <c r="BE101" s="55">
        <f t="shared" si="79"/>
        <v>1.6265550221010543</v>
      </c>
      <c r="BF101" s="56">
        <f t="shared" si="80"/>
        <v>1.1289257196953395E-2</v>
      </c>
      <c r="BG101" s="56">
        <f t="shared" si="83"/>
        <v>7.5028242300277628E-7</v>
      </c>
      <c r="BH101" s="56">
        <f t="shared" si="84"/>
        <v>8.6618844543365756E-4</v>
      </c>
      <c r="BI101" s="56">
        <f t="shared" si="81"/>
        <v>8.4884907843735312E-4</v>
      </c>
      <c r="BJ101" s="57">
        <f t="shared" si="85"/>
        <v>1.5238199026964298E-3</v>
      </c>
      <c r="BK101" s="57">
        <f t="shared" si="86"/>
        <v>1.1691780686808076E-4</v>
      </c>
      <c r="BL101" s="58">
        <f t="shared" si="87"/>
        <v>2.6886487303663134</v>
      </c>
      <c r="BM101" s="58">
        <f t="shared" si="87"/>
        <v>0.20629138157129256</v>
      </c>
    </row>
    <row r="102" spans="2:65" x14ac:dyDescent="0.2">
      <c r="B102" s="47"/>
      <c r="C102" s="47"/>
      <c r="D102" s="47"/>
      <c r="H102" s="10"/>
      <c r="K102" s="10"/>
      <c r="L102" s="10"/>
      <c r="M102" s="10"/>
      <c r="N102" s="10"/>
      <c r="O102" s="10"/>
      <c r="P102" s="10"/>
      <c r="AU102" s="2">
        <v>-1535</v>
      </c>
      <c r="AV102" s="53">
        <v>100</v>
      </c>
      <c r="AW102" s="4" t="s">
        <v>1552</v>
      </c>
      <c r="AX102" t="s">
        <v>1277</v>
      </c>
      <c r="AY102" s="4">
        <v>28636</v>
      </c>
      <c r="AZ102" s="9">
        <v>19.266289382000483</v>
      </c>
      <c r="BA102" s="7">
        <f t="shared" si="82"/>
        <v>4.9380316596222076E-4</v>
      </c>
      <c r="BB102" s="54">
        <f t="shared" si="76"/>
        <v>21.633742580901743</v>
      </c>
      <c r="BC102" s="55">
        <f t="shared" si="77"/>
        <v>2.7551803456353698</v>
      </c>
      <c r="BD102" s="55">
        <f t="shared" si="78"/>
        <v>1.659873593270093</v>
      </c>
      <c r="BE102" s="55">
        <f t="shared" si="79"/>
        <v>1.6266462308492338</v>
      </c>
      <c r="BF102" s="56">
        <f t="shared" si="80"/>
        <v>1.1289985400695545E-2</v>
      </c>
      <c r="BG102" s="56">
        <f t="shared" si="83"/>
        <v>7.5036656923613384E-7</v>
      </c>
      <c r="BH102" s="56">
        <f t="shared" si="84"/>
        <v>8.6623701677781802E-4</v>
      </c>
      <c r="BI102" s="56">
        <f t="shared" si="81"/>
        <v>8.4889667747997069E-4</v>
      </c>
      <c r="BJ102" s="57">
        <f t="shared" si="85"/>
        <v>1.0287103425856495E-3</v>
      </c>
      <c r="BK102" s="57">
        <f t="shared" si="86"/>
        <v>7.8928975252260433E-5</v>
      </c>
      <c r="BL102" s="58">
        <f t="shared" si="87"/>
        <v>1.8150706337496911</v>
      </c>
      <c r="BM102" s="58">
        <f t="shared" si="87"/>
        <v>0.13926336617968452</v>
      </c>
    </row>
    <row r="103" spans="2:65" x14ac:dyDescent="0.2">
      <c r="B103" s="47"/>
      <c r="C103" s="47"/>
      <c r="D103" s="47"/>
      <c r="H103" s="10"/>
      <c r="K103" s="10"/>
      <c r="L103" s="10"/>
      <c r="M103" s="10"/>
      <c r="N103" s="10"/>
      <c r="O103" s="10"/>
      <c r="P103" s="10"/>
      <c r="AU103" s="2">
        <v>-1534</v>
      </c>
      <c r="AV103" s="53">
        <v>101</v>
      </c>
      <c r="AW103" s="4" t="s">
        <v>2449</v>
      </c>
      <c r="AX103" t="s">
        <v>772</v>
      </c>
      <c r="AY103" s="4">
        <v>15641</v>
      </c>
      <c r="AZ103" s="9">
        <v>19.269709599465862</v>
      </c>
      <c r="BA103" s="7">
        <f t="shared" si="82"/>
        <v>4.9389082758606519E-4</v>
      </c>
      <c r="BB103" s="54">
        <f t="shared" si="76"/>
        <v>21.681933106248717</v>
      </c>
      <c r="BC103" s="55">
        <f t="shared" si="77"/>
        <v>2.7658595535703294</v>
      </c>
      <c r="BD103" s="55">
        <f t="shared" si="78"/>
        <v>1.6630873559649022</v>
      </c>
      <c r="BE103" s="55">
        <f t="shared" si="79"/>
        <v>1.6297956604175761</v>
      </c>
      <c r="BF103" s="56">
        <f t="shared" si="80"/>
        <v>1.1315134554873768E-2</v>
      </c>
      <c r="BG103" s="56">
        <f t="shared" si="83"/>
        <v>7.5327502516827568E-7</v>
      </c>
      <c r="BH103" s="56">
        <f t="shared" si="84"/>
        <v>8.6791418076228926E-4</v>
      </c>
      <c r="BI103" s="56">
        <f t="shared" si="81"/>
        <v>8.5054026798283644E-4</v>
      </c>
      <c r="BJ103" s="57">
        <f t="shared" si="85"/>
        <v>5.6313382064204776E-4</v>
      </c>
      <c r="BK103" s="57">
        <f t="shared" si="86"/>
        <v>4.3194522012251344E-5</v>
      </c>
      <c r="BL103" s="58">
        <f t="shared" si="87"/>
        <v>0.99360103462121574</v>
      </c>
      <c r="BM103" s="58">
        <f t="shared" si="87"/>
        <v>7.6213006905551203E-2</v>
      </c>
    </row>
    <row r="104" spans="2:65" x14ac:dyDescent="0.2">
      <c r="B104" s="47"/>
      <c r="C104" s="47"/>
      <c r="D104" s="47"/>
      <c r="H104" s="10"/>
      <c r="K104" s="10"/>
      <c r="L104" s="10"/>
      <c r="M104" s="10"/>
      <c r="N104" s="10"/>
      <c r="O104" s="10"/>
      <c r="P104" s="10"/>
      <c r="AU104" s="2">
        <v>-1533</v>
      </c>
      <c r="AV104" s="53">
        <v>102</v>
      </c>
      <c r="AW104" s="4" t="s">
        <v>3111</v>
      </c>
      <c r="AX104" t="s">
        <v>3112</v>
      </c>
      <c r="AY104" s="4">
        <v>17059</v>
      </c>
      <c r="AZ104" s="9">
        <v>19.276169852360852</v>
      </c>
      <c r="BA104" s="7">
        <f t="shared" si="82"/>
        <v>4.9405640660697637E-4</v>
      </c>
      <c r="BB104" s="54">
        <f t="shared" si="76"/>
        <v>21.773250520953443</v>
      </c>
      <c r="BC104" s="55">
        <f t="shared" si="77"/>
        <v>2.7861426387730668</v>
      </c>
      <c r="BD104" s="55">
        <f t="shared" si="78"/>
        <v>1.669174238590168</v>
      </c>
      <c r="BE104" s="55">
        <f t="shared" si="79"/>
        <v>1.635760695779398</v>
      </c>
      <c r="BF104" s="56">
        <f t="shared" si="80"/>
        <v>1.1362790307224075E-2</v>
      </c>
      <c r="BG104" s="56">
        <f t="shared" si="83"/>
        <v>7.5879907337848467E-7</v>
      </c>
      <c r="BH104" s="56">
        <f t="shared" si="84"/>
        <v>8.7109073774118654E-4</v>
      </c>
      <c r="BI104" s="56">
        <f t="shared" si="81"/>
        <v>8.5365323661957539E-4</v>
      </c>
      <c r="BJ104" s="57">
        <f t="shared" si="85"/>
        <v>6.1677382341665695E-4</v>
      </c>
      <c r="BK104" s="57">
        <f t="shared" si="86"/>
        <v>4.72829252615788E-5</v>
      </c>
      <c r="BL104" s="58">
        <f t="shared" si="87"/>
        <v>1.0882441910083975</v>
      </c>
      <c r="BM104" s="58">
        <f t="shared" si="87"/>
        <v>8.3426641657321207E-2</v>
      </c>
    </row>
    <row r="105" spans="2:65" x14ac:dyDescent="0.2">
      <c r="B105" s="47"/>
      <c r="C105" s="47"/>
      <c r="D105" s="47"/>
      <c r="H105" s="10"/>
      <c r="K105" s="10"/>
      <c r="L105" s="10"/>
      <c r="M105" s="10"/>
      <c r="N105" s="10"/>
      <c r="O105" s="10"/>
      <c r="P105" s="10"/>
      <c r="AU105" s="2">
        <v>-1532</v>
      </c>
      <c r="AV105" s="53">
        <v>103</v>
      </c>
      <c r="AW105" s="4" t="s">
        <v>3149</v>
      </c>
      <c r="AX105" t="s">
        <v>3150</v>
      </c>
      <c r="AY105" s="5">
        <v>44148.88</v>
      </c>
      <c r="AZ105" s="9">
        <v>19.277108771762236</v>
      </c>
      <c r="BA105" s="7">
        <f t="shared" si="82"/>
        <v>4.9408047150934517E-4</v>
      </c>
      <c r="BB105" s="54">
        <f t="shared" si="76"/>
        <v>21.78655437426038</v>
      </c>
      <c r="BC105" s="55">
        <f t="shared" si="77"/>
        <v>2.7891027493961196</v>
      </c>
      <c r="BD105" s="55">
        <f t="shared" si="78"/>
        <v>1.6700607023087872</v>
      </c>
      <c r="BE105" s="55">
        <f t="shared" si="79"/>
        <v>1.6366294142604454</v>
      </c>
      <c r="BF105" s="56">
        <f t="shared" si="80"/>
        <v>1.1369733179408415E-2</v>
      </c>
      <c r="BG105" s="56">
        <f t="shared" si="83"/>
        <v>7.5960525220314877E-7</v>
      </c>
      <c r="BH105" s="56">
        <f t="shared" si="84"/>
        <v>8.7155335591296344E-4</v>
      </c>
      <c r="BI105" s="56">
        <f t="shared" si="81"/>
        <v>8.5410659409721368E-4</v>
      </c>
      <c r="BJ105" s="57">
        <f t="shared" si="85"/>
        <v>1.597192770190121E-3</v>
      </c>
      <c r="BK105" s="57">
        <f t="shared" si="86"/>
        <v>1.224337191500876E-4</v>
      </c>
      <c r="BL105" s="58">
        <f t="shared" si="87"/>
        <v>2.8181088238335059</v>
      </c>
      <c r="BM105" s="58">
        <f t="shared" si="87"/>
        <v>0.2160237328337922</v>
      </c>
    </row>
    <row r="106" spans="2:65" x14ac:dyDescent="0.2">
      <c r="B106" s="47"/>
      <c r="C106" s="47"/>
      <c r="D106" s="47"/>
      <c r="H106" s="10"/>
      <c r="K106" s="10"/>
      <c r="L106" s="10"/>
      <c r="M106" s="10"/>
      <c r="N106" s="10"/>
      <c r="O106" s="10"/>
      <c r="P106" s="10"/>
      <c r="AU106" s="2">
        <v>-1531</v>
      </c>
      <c r="AV106" s="53">
        <v>104</v>
      </c>
      <c r="AW106" s="4" t="s">
        <v>1690</v>
      </c>
      <c r="AX106" t="s">
        <v>1291</v>
      </c>
      <c r="AY106" s="4">
        <v>24628</v>
      </c>
      <c r="AZ106" s="9">
        <v>19.278712607001708</v>
      </c>
      <c r="BA106" s="7">
        <f t="shared" si="82"/>
        <v>4.9412157848657519E-4</v>
      </c>
      <c r="BB106" s="54">
        <f t="shared" si="76"/>
        <v>21.80929844202501</v>
      </c>
      <c r="BC106" s="55">
        <f t="shared" si="77"/>
        <v>2.7941663169843167</v>
      </c>
      <c r="BD106" s="55">
        <f t="shared" si="78"/>
        <v>1.671575997968479</v>
      </c>
      <c r="BE106" s="55">
        <f t="shared" si="79"/>
        <v>1.6381143767199082</v>
      </c>
      <c r="BF106" s="56">
        <f t="shared" si="80"/>
        <v>1.1381602609399782E-2</v>
      </c>
      <c r="BG106" s="56">
        <f t="shared" si="83"/>
        <v>7.6098430234238778E-7</v>
      </c>
      <c r="BH106" s="56">
        <f t="shared" si="84"/>
        <v>8.7234414214940872E-4</v>
      </c>
      <c r="BI106" s="56">
        <f t="shared" si="81"/>
        <v>8.5488155036866497E-4</v>
      </c>
      <c r="BJ106" s="57">
        <f t="shared" si="85"/>
        <v>8.9190774488399774E-4</v>
      </c>
      <c r="BK106" s="57">
        <f t="shared" si="86"/>
        <v>6.836036393896519E-5</v>
      </c>
      <c r="BL106" s="58">
        <f t="shared" si="87"/>
        <v>1.5736942545788291</v>
      </c>
      <c r="BM106" s="58">
        <f t="shared" si="87"/>
        <v>0.12061596346565981</v>
      </c>
    </row>
    <row r="107" spans="2:65" x14ac:dyDescent="0.2">
      <c r="B107" s="47"/>
      <c r="C107" s="47"/>
      <c r="D107" s="47"/>
      <c r="H107" s="10"/>
      <c r="K107" s="10"/>
      <c r="L107" s="10"/>
      <c r="M107" s="10"/>
      <c r="N107" s="10"/>
      <c r="O107" s="10"/>
      <c r="P107" s="10"/>
      <c r="AU107" s="2">
        <v>-1530</v>
      </c>
      <c r="AV107" s="53">
        <v>105</v>
      </c>
      <c r="AW107" s="4" t="s">
        <v>2996</v>
      </c>
      <c r="AX107" t="s">
        <v>2997</v>
      </c>
      <c r="AY107" s="4">
        <v>65392</v>
      </c>
      <c r="AZ107" s="9">
        <v>19.291254652596106</v>
      </c>
      <c r="BA107" s="7">
        <f t="shared" si="82"/>
        <v>4.9444303643311381E-4</v>
      </c>
      <c r="BB107" s="54">
        <f t="shared" si="76"/>
        <v>21.987978665900407</v>
      </c>
      <c r="BC107" s="55">
        <f t="shared" si="77"/>
        <v>2.8340781837964868</v>
      </c>
      <c r="BD107" s="55">
        <f t="shared" si="78"/>
        <v>1.6834720620778021</v>
      </c>
      <c r="BE107" s="55">
        <f t="shared" si="79"/>
        <v>1.6497723053259348</v>
      </c>
      <c r="BF107" s="56">
        <f t="shared" si="80"/>
        <v>1.1474850327005848E-2</v>
      </c>
      <c r="BG107" s="56">
        <f t="shared" si="83"/>
        <v>7.7185420079352096E-7</v>
      </c>
      <c r="BH107" s="56">
        <f t="shared" si="84"/>
        <v>8.7855233241595858E-4</v>
      </c>
      <c r="BI107" s="56">
        <f t="shared" si="81"/>
        <v>8.6096546503446991E-4</v>
      </c>
      <c r="BJ107" s="57">
        <f t="shared" si="85"/>
        <v>2.3875859908831063E-3</v>
      </c>
      <c r="BK107" s="57">
        <f t="shared" si="86"/>
        <v>1.828014467602521E-4</v>
      </c>
      <c r="BL107" s="58">
        <f t="shared" si="87"/>
        <v>4.2126894600005143</v>
      </c>
      <c r="BM107" s="58">
        <f t="shared" si="87"/>
        <v>0.32253737916887532</v>
      </c>
    </row>
    <row r="108" spans="2:65" x14ac:dyDescent="0.2">
      <c r="B108" s="47"/>
      <c r="C108" s="47"/>
      <c r="D108" s="47"/>
      <c r="H108" s="10"/>
      <c r="K108" s="10"/>
      <c r="L108" s="10"/>
      <c r="M108" s="10"/>
      <c r="N108" s="10"/>
      <c r="O108" s="10"/>
      <c r="P108" s="10"/>
      <c r="AU108" s="2">
        <v>-1529</v>
      </c>
      <c r="AV108" s="53">
        <v>106</v>
      </c>
      <c r="AW108" s="4" t="s">
        <v>1876</v>
      </c>
      <c r="AX108" t="s">
        <v>345</v>
      </c>
      <c r="AY108" s="4">
        <v>65015</v>
      </c>
      <c r="AZ108" s="9">
        <v>19.305270599441073</v>
      </c>
      <c r="BA108" s="7">
        <f t="shared" si="82"/>
        <v>4.9480227109365352E-4</v>
      </c>
      <c r="BB108" s="54">
        <f t="shared" si="76"/>
        <v>22.189389572815742</v>
      </c>
      <c r="BC108" s="55">
        <f t="shared" si="77"/>
        <v>2.8793472851588944</v>
      </c>
      <c r="BD108" s="55">
        <f t="shared" si="78"/>
        <v>1.6968639559961471</v>
      </c>
      <c r="BE108" s="55">
        <f t="shared" si="79"/>
        <v>1.6628961202083035</v>
      </c>
      <c r="BF108" s="56">
        <f t="shared" si="80"/>
        <v>1.1579960489526794E-2</v>
      </c>
      <c r="BG108" s="56">
        <f t="shared" si="83"/>
        <v>7.8418312885644797E-7</v>
      </c>
      <c r="BH108" s="56">
        <f t="shared" si="84"/>
        <v>8.8554115028972424E-4</v>
      </c>
      <c r="BI108" s="56">
        <f t="shared" si="81"/>
        <v>8.6781438069801517E-4</v>
      </c>
      <c r="BJ108" s="57">
        <f t="shared" si="85"/>
        <v>2.3955653163682485E-3</v>
      </c>
      <c r="BK108" s="57">
        <f t="shared" si="86"/>
        <v>1.8319334230626499E-4</v>
      </c>
      <c r="BL108" s="58">
        <f t="shared" si="87"/>
        <v>4.2267682912960272</v>
      </c>
      <c r="BM108" s="58">
        <f t="shared" si="87"/>
        <v>0.32322884504378557</v>
      </c>
    </row>
    <row r="109" spans="2:65" x14ac:dyDescent="0.2">
      <c r="B109" s="47"/>
      <c r="C109" s="47"/>
      <c r="D109" s="47"/>
      <c r="H109" s="10"/>
      <c r="K109" s="10"/>
      <c r="L109" s="10"/>
      <c r="M109" s="10"/>
      <c r="N109" s="10"/>
      <c r="O109" s="10"/>
      <c r="P109" s="10"/>
      <c r="AU109" s="2">
        <v>-1528</v>
      </c>
      <c r="AV109" s="53">
        <v>107</v>
      </c>
      <c r="AW109" s="4" t="s">
        <v>3175</v>
      </c>
      <c r="AX109" t="s">
        <v>3176</v>
      </c>
      <c r="AY109" s="5">
        <v>18026.844999999998</v>
      </c>
      <c r="AZ109" s="9">
        <v>19.311256064590086</v>
      </c>
      <c r="BA109" s="7">
        <f t="shared" si="82"/>
        <v>4.9495568110332049E-4</v>
      </c>
      <c r="BB109" s="54">
        <f t="shared" si="76"/>
        <v>22.275962685696175</v>
      </c>
      <c r="BC109" s="55">
        <f t="shared" si="77"/>
        <v>2.8988963809549007</v>
      </c>
      <c r="BD109" s="55">
        <f t="shared" si="78"/>
        <v>1.7026145720493822</v>
      </c>
      <c r="BE109" s="55">
        <f t="shared" si="79"/>
        <v>1.6685316203849325</v>
      </c>
      <c r="BF109" s="56">
        <f t="shared" si="80"/>
        <v>1.1625140336557784E-2</v>
      </c>
      <c r="BG109" s="56">
        <f t="shared" si="83"/>
        <v>7.89507276862694E-7</v>
      </c>
      <c r="BH109" s="56">
        <f t="shared" si="84"/>
        <v>8.8854222007887394E-4</v>
      </c>
      <c r="BI109" s="56">
        <f t="shared" si="81"/>
        <v>8.7075537504892754E-4</v>
      </c>
      <c r="BJ109" s="57">
        <f t="shared" si="85"/>
        <v>6.6681490834759013E-4</v>
      </c>
      <c r="BK109" s="57">
        <f t="shared" si="86"/>
        <v>5.0966541640932694E-5</v>
      </c>
      <c r="BL109" s="58">
        <f t="shared" si="87"/>
        <v>1.1765373674051818</v>
      </c>
      <c r="BM109" s="58">
        <f t="shared" si="87"/>
        <v>8.9926064905423667E-2</v>
      </c>
    </row>
    <row r="110" spans="2:65" x14ac:dyDescent="0.2">
      <c r="B110" s="47"/>
      <c r="C110" s="47"/>
      <c r="D110" s="47"/>
      <c r="H110" s="10"/>
      <c r="K110" s="10"/>
      <c r="L110" s="10"/>
      <c r="M110" s="10"/>
      <c r="N110" s="10"/>
      <c r="O110" s="10"/>
      <c r="P110" s="10"/>
      <c r="AU110" s="2">
        <v>-1527</v>
      </c>
      <c r="AV110" s="53">
        <v>108</v>
      </c>
      <c r="AW110" s="4" t="s">
        <v>1705</v>
      </c>
      <c r="AX110" t="s">
        <v>1706</v>
      </c>
      <c r="AY110" s="4">
        <v>78534</v>
      </c>
      <c r="AZ110" s="9">
        <v>19.325877825622154</v>
      </c>
      <c r="BA110" s="7">
        <f t="shared" si="82"/>
        <v>4.9533044303834688E-4</v>
      </c>
      <c r="BB110" s="54">
        <f t="shared" si="76"/>
        <v>22.488873429990424</v>
      </c>
      <c r="BC110" s="55">
        <f t="shared" si="77"/>
        <v>2.9472057679385806</v>
      </c>
      <c r="BD110" s="55">
        <f t="shared" si="78"/>
        <v>1.7167427786184455</v>
      </c>
      <c r="BE110" s="55">
        <f t="shared" si="79"/>
        <v>1.6823770084056857</v>
      </c>
      <c r="BF110" s="56">
        <f t="shared" si="80"/>
        <v>1.1736251910791598E-2</v>
      </c>
      <c r="BG110" s="56">
        <f t="shared" si="83"/>
        <v>8.0266421921324242E-7</v>
      </c>
      <c r="BH110" s="56">
        <f t="shared" si="84"/>
        <v>8.9591529689655503E-4</v>
      </c>
      <c r="BI110" s="56">
        <f t="shared" si="81"/>
        <v>8.7798085755787854E-4</v>
      </c>
      <c r="BJ110" s="57">
        <f t="shared" si="85"/>
        <v>2.9327464179364012E-3</v>
      </c>
      <c r="BK110" s="57">
        <f t="shared" si="86"/>
        <v>2.238783214368289E-4</v>
      </c>
      <c r="BL110" s="58">
        <f t="shared" si="87"/>
        <v>5.1745779925292821</v>
      </c>
      <c r="BM110" s="58">
        <f t="shared" si="87"/>
        <v>0.39501398007897387</v>
      </c>
    </row>
    <row r="111" spans="2:65" x14ac:dyDescent="0.2">
      <c r="B111" s="47"/>
      <c r="C111" s="47"/>
      <c r="D111" s="47"/>
      <c r="H111" s="10"/>
      <c r="K111" s="10"/>
      <c r="L111" s="10"/>
      <c r="M111" s="10"/>
      <c r="N111" s="10"/>
      <c r="O111" s="10"/>
      <c r="P111" s="10"/>
      <c r="AU111" s="2">
        <v>-1526</v>
      </c>
      <c r="AV111" s="53">
        <v>109</v>
      </c>
      <c r="AW111" s="4" t="s">
        <v>2211</v>
      </c>
      <c r="AX111" t="s">
        <v>2212</v>
      </c>
      <c r="AY111" s="4">
        <v>37671</v>
      </c>
      <c r="AZ111" s="9">
        <v>19.365916570016743</v>
      </c>
      <c r="BA111" s="7">
        <f t="shared" si="82"/>
        <v>4.9635665303401281E-4</v>
      </c>
      <c r="BB111" s="54">
        <f t="shared" si="76"/>
        <v>23.082360795133894</v>
      </c>
      <c r="BC111" s="55">
        <f t="shared" si="77"/>
        <v>3.0836010698095389</v>
      </c>
      <c r="BD111" s="55">
        <f t="shared" si="78"/>
        <v>1.7560185277523523</v>
      </c>
      <c r="BE111" s="55">
        <f t="shared" si="79"/>
        <v>1.7208665352898296</v>
      </c>
      <c r="BF111" s="56">
        <f t="shared" si="80"/>
        <v>1.2045974727493792E-2</v>
      </c>
      <c r="BG111" s="56">
        <f t="shared" si="83"/>
        <v>8.3981114314763442E-7</v>
      </c>
      <c r="BH111" s="56">
        <f t="shared" si="84"/>
        <v>9.1641210333977719E-4</v>
      </c>
      <c r="BI111" s="56">
        <f t="shared" si="81"/>
        <v>8.9806735877128049E-4</v>
      </c>
      <c r="BJ111" s="57">
        <f t="shared" si="85"/>
        <v>1.4438978469475301E-3</v>
      </c>
      <c r="BK111" s="57">
        <f t="shared" si="86"/>
        <v>1.0984627586083768E-4</v>
      </c>
      <c r="BL111" s="58">
        <f t="shared" si="87"/>
        <v>2.5476331593416099</v>
      </c>
      <c r="BM111" s="58">
        <f t="shared" si="87"/>
        <v>0.19381427529992387</v>
      </c>
    </row>
    <row r="112" spans="2:65" x14ac:dyDescent="0.2">
      <c r="B112" s="47"/>
      <c r="C112" s="47"/>
      <c r="D112" s="47"/>
      <c r="H112" s="10"/>
      <c r="K112" s="10"/>
      <c r="L112" s="10"/>
      <c r="M112" s="10"/>
      <c r="N112" s="10"/>
      <c r="O112" s="10"/>
      <c r="P112" s="10"/>
      <c r="AU112" s="2">
        <v>-1525</v>
      </c>
      <c r="AV112" s="53">
        <v>110</v>
      </c>
      <c r="AW112" s="4" t="s">
        <v>3003</v>
      </c>
      <c r="AX112" t="s">
        <v>1169</v>
      </c>
      <c r="AY112" s="4">
        <v>33230</v>
      </c>
      <c r="AZ112" s="9">
        <v>19.430255158575768</v>
      </c>
      <c r="BA112" s="7">
        <f t="shared" si="82"/>
        <v>4.9800567833899287E-4</v>
      </c>
      <c r="BB112" s="54">
        <f t="shared" si="76"/>
        <v>24.069023125700284</v>
      </c>
      <c r="BC112" s="55">
        <f t="shared" si="77"/>
        <v>3.3159520140600987</v>
      </c>
      <c r="BD112" s="55">
        <f t="shared" si="78"/>
        <v>1.8209755665741643</v>
      </c>
      <c r="BE112" s="55">
        <f t="shared" si="79"/>
        <v>1.7845232636063904</v>
      </c>
      <c r="BF112" s="56">
        <f t="shared" si="80"/>
        <v>1.256088347552266E-2</v>
      </c>
      <c r="BG112" s="56">
        <f t="shared" si="83"/>
        <v>9.0309134953132147E-7</v>
      </c>
      <c r="BH112" s="56">
        <f t="shared" si="84"/>
        <v>9.5031118562885573E-4</v>
      </c>
      <c r="BI112" s="56">
        <f t="shared" si="81"/>
        <v>9.3128784896905732E-4</v>
      </c>
      <c r="BJ112" s="57">
        <f t="shared" si="85"/>
        <v>1.3281217843113527E-3</v>
      </c>
      <c r="BK112" s="57">
        <f t="shared" si="86"/>
        <v>1.0048090884434509E-4</v>
      </c>
      <c r="BL112" s="58">
        <f t="shared" si="87"/>
        <v>2.3433562869482576</v>
      </c>
      <c r="BM112" s="58">
        <f t="shared" si="87"/>
        <v>0.1772898933216136</v>
      </c>
    </row>
    <row r="113" spans="2:65" x14ac:dyDescent="0.2">
      <c r="B113" s="47"/>
      <c r="C113" s="47"/>
      <c r="D113" s="47"/>
      <c r="H113" s="10"/>
      <c r="K113" s="10"/>
      <c r="L113" s="10"/>
      <c r="M113" s="10"/>
      <c r="N113" s="10"/>
      <c r="O113" s="10"/>
      <c r="P113" s="10"/>
      <c r="AU113" s="2">
        <v>-1524</v>
      </c>
      <c r="AV113" s="53">
        <v>111</v>
      </c>
      <c r="AW113" s="4" t="s">
        <v>2859</v>
      </c>
      <c r="AX113" t="s">
        <v>2860</v>
      </c>
      <c r="AY113" s="4">
        <v>16908</v>
      </c>
      <c r="AZ113" s="9">
        <v>19.434265781860919</v>
      </c>
      <c r="BA113" s="7">
        <f t="shared" si="82"/>
        <v>4.9810847231433612E-4</v>
      </c>
      <c r="BB113" s="54">
        <f t="shared" si="76"/>
        <v>24.131906202950585</v>
      </c>
      <c r="BC113" s="55">
        <f t="shared" si="77"/>
        <v>3.330995467950606</v>
      </c>
      <c r="BD113" s="55">
        <f t="shared" si="78"/>
        <v>1.8251014952463893</v>
      </c>
      <c r="BE113" s="55">
        <f t="shared" si="79"/>
        <v>1.7885665994065614</v>
      </c>
      <c r="BF113" s="56">
        <f t="shared" si="80"/>
        <v>1.2593700221004932E-2</v>
      </c>
      <c r="BG113" s="56">
        <f t="shared" si="83"/>
        <v>9.0718839708145198E-7</v>
      </c>
      <c r="BH113" s="56">
        <f t="shared" si="84"/>
        <v>9.5246438100406248E-4</v>
      </c>
      <c r="BI113" s="56">
        <f t="shared" si="81"/>
        <v>9.3339794166259901E-4</v>
      </c>
      <c r="BJ113" s="57">
        <f t="shared" si="85"/>
        <v>6.7753691524364179E-4</v>
      </c>
      <c r="BK113" s="57">
        <f t="shared" si="86"/>
        <v>5.1242269329914397E-5</v>
      </c>
      <c r="BL113" s="58">
        <f t="shared" si="87"/>
        <v>1.1954554233887247</v>
      </c>
      <c r="BM113" s="58">
        <f t="shared" si="87"/>
        <v>9.0412562620537942E-2</v>
      </c>
    </row>
    <row r="114" spans="2:65" x14ac:dyDescent="0.2">
      <c r="B114" s="47"/>
      <c r="C114" s="47"/>
      <c r="D114" s="47"/>
      <c r="H114" s="10"/>
      <c r="K114" s="10"/>
      <c r="L114" s="10"/>
      <c r="M114" s="10"/>
      <c r="N114" s="10"/>
      <c r="O114" s="10"/>
      <c r="P114" s="10"/>
      <c r="AU114" s="2">
        <v>-1523</v>
      </c>
      <c r="AV114" s="53">
        <v>112</v>
      </c>
      <c r="AW114" s="4" t="s">
        <v>2656</v>
      </c>
      <c r="AX114" t="s">
        <v>928</v>
      </c>
      <c r="AY114" s="4">
        <v>32577</v>
      </c>
      <c r="AZ114" s="9">
        <v>19.451445906371198</v>
      </c>
      <c r="BA114" s="7">
        <f t="shared" si="82"/>
        <v>4.9854880619008108E-4</v>
      </c>
      <c r="BB114" s="54">
        <f t="shared" si="76"/>
        <v>24.403140263638637</v>
      </c>
      <c r="BC114" s="55">
        <f t="shared" si="77"/>
        <v>3.3962031554136871</v>
      </c>
      <c r="BD114" s="55">
        <f t="shared" si="78"/>
        <v>1.8428790398215742</v>
      </c>
      <c r="BE114" s="55">
        <f t="shared" si="79"/>
        <v>1.8059882729570202</v>
      </c>
      <c r="BF114" s="56">
        <f t="shared" si="80"/>
        <v>1.2735248941661476E-2</v>
      </c>
      <c r="BG114" s="56">
        <f t="shared" si="83"/>
        <v>9.2494754987413232E-7</v>
      </c>
      <c r="BH114" s="56">
        <f t="shared" si="84"/>
        <v>9.6174193517498878E-4</v>
      </c>
      <c r="BI114" s="56">
        <f t="shared" si="81"/>
        <v>9.4248977768241642E-4</v>
      </c>
      <c r="BJ114" s="57">
        <f t="shared" si="85"/>
        <v>1.3200971660585466E-3</v>
      </c>
      <c r="BK114" s="57">
        <f t="shared" si="86"/>
        <v>9.9691243486484262E-5</v>
      </c>
      <c r="BL114" s="58">
        <f t="shared" si="87"/>
        <v>2.3291975404724412</v>
      </c>
      <c r="BM114" s="58">
        <f t="shared" si="87"/>
        <v>0.17589659693660784</v>
      </c>
    </row>
    <row r="115" spans="2:65" x14ac:dyDescent="0.2">
      <c r="B115" s="47"/>
      <c r="C115" s="47"/>
      <c r="D115" s="47"/>
      <c r="H115" s="10"/>
      <c r="K115" s="10"/>
      <c r="L115" s="10"/>
      <c r="M115" s="10"/>
      <c r="N115" s="10"/>
      <c r="O115" s="10"/>
      <c r="P115" s="10"/>
      <c r="AU115" s="2">
        <v>-1522</v>
      </c>
      <c r="AV115" s="53">
        <v>113</v>
      </c>
      <c r="AW115" s="4" t="s">
        <v>1720</v>
      </c>
      <c r="AX115" t="s">
        <v>1721</v>
      </c>
      <c r="AY115" s="4">
        <v>31717</v>
      </c>
      <c r="AZ115" s="9">
        <v>19.4624649948253</v>
      </c>
      <c r="BA115" s="7">
        <f t="shared" si="82"/>
        <v>4.9883123009936473E-4</v>
      </c>
      <c r="BB115" s="54">
        <f t="shared" si="76"/>
        <v>24.578708640374344</v>
      </c>
      <c r="BC115" s="55">
        <f t="shared" si="77"/>
        <v>3.4386886264039549</v>
      </c>
      <c r="BD115" s="55">
        <f t="shared" si="78"/>
        <v>1.854370142771921</v>
      </c>
      <c r="BE115" s="55">
        <f t="shared" si="79"/>
        <v>1.8172493469196813</v>
      </c>
      <c r="BF115" s="56">
        <f t="shared" si="80"/>
        <v>1.2826872681879221E-2</v>
      </c>
      <c r="BG115" s="56">
        <f t="shared" si="83"/>
        <v>9.3651836307329542E-7</v>
      </c>
      <c r="BH115" s="56">
        <f t="shared" si="84"/>
        <v>9.6773878865802181E-4</v>
      </c>
      <c r="BI115" s="56">
        <f t="shared" si="81"/>
        <v>9.4836658610607065E-4</v>
      </c>
      <c r="BJ115" s="57">
        <f t="shared" si="85"/>
        <v>1.2944946454037617E-3</v>
      </c>
      <c r="BK115" s="57">
        <f t="shared" si="86"/>
        <v>9.7664700596669375E-5</v>
      </c>
      <c r="BL115" s="58">
        <f t="shared" si="87"/>
        <v>2.2840241019769487</v>
      </c>
      <c r="BM115" s="58">
        <f t="shared" si="87"/>
        <v>0.17232093687462011</v>
      </c>
    </row>
    <row r="116" spans="2:65" x14ac:dyDescent="0.2">
      <c r="B116" s="47"/>
      <c r="C116" s="47"/>
      <c r="D116" s="47"/>
      <c r="H116" s="10"/>
      <c r="K116" s="10"/>
      <c r="L116" s="10"/>
      <c r="M116" s="10"/>
      <c r="N116" s="10"/>
      <c r="O116" s="10"/>
      <c r="P116" s="10"/>
      <c r="AU116" s="2">
        <v>-1521</v>
      </c>
      <c r="AV116" s="53">
        <v>114</v>
      </c>
      <c r="AW116" s="4" t="s">
        <v>2007</v>
      </c>
      <c r="AX116" t="s">
        <v>434</v>
      </c>
      <c r="AY116" s="4">
        <v>24467</v>
      </c>
      <c r="AZ116" s="9">
        <v>19.463330123410863</v>
      </c>
      <c r="BA116" s="7">
        <f t="shared" si="82"/>
        <v>4.9885340371183594E-4</v>
      </c>
      <c r="BB116" s="54">
        <f t="shared" si="76"/>
        <v>24.592546196234355</v>
      </c>
      <c r="BC116" s="55">
        <f t="shared" si="77"/>
        <v>3.4420463820173199</v>
      </c>
      <c r="BD116" s="55">
        <f t="shared" si="78"/>
        <v>1.8552752846996372</v>
      </c>
      <c r="BE116" s="55">
        <f t="shared" si="79"/>
        <v>1.8181363697092916</v>
      </c>
      <c r="BF116" s="56">
        <f t="shared" si="80"/>
        <v>1.2834094077024171E-2</v>
      </c>
      <c r="BG116" s="56">
        <f t="shared" si="83"/>
        <v>9.3743283952995201E-7</v>
      </c>
      <c r="BH116" s="56">
        <f t="shared" si="84"/>
        <v>9.6821115441310217E-4</v>
      </c>
      <c r="BI116" s="56">
        <f t="shared" si="81"/>
        <v>9.4882949603981447E-4</v>
      </c>
      <c r="BJ116" s="57">
        <f t="shared" si="85"/>
        <v>9.9915602734374051E-4</v>
      </c>
      <c r="BK116" s="57">
        <f t="shared" si="86"/>
        <v>7.5376883235189811E-5</v>
      </c>
      <c r="BL116" s="58">
        <f t="shared" si="87"/>
        <v>1.7629245946991472</v>
      </c>
      <c r="BM116" s="58">
        <f t="shared" si="87"/>
        <v>0.13299600631980754</v>
      </c>
    </row>
    <row r="117" spans="2:65" x14ac:dyDescent="0.2">
      <c r="B117" s="47"/>
      <c r="C117" s="47"/>
      <c r="D117" s="47"/>
      <c r="H117" s="10"/>
      <c r="K117" s="10"/>
      <c r="L117" s="10"/>
      <c r="M117" s="10"/>
      <c r="N117" s="10"/>
      <c r="O117" s="10"/>
      <c r="P117" s="10"/>
      <c r="AU117" s="2">
        <v>-1520</v>
      </c>
      <c r="AV117" s="53">
        <v>115</v>
      </c>
      <c r="AW117" s="4" t="s">
        <v>3130</v>
      </c>
      <c r="AX117" t="s">
        <v>3131</v>
      </c>
      <c r="AY117" s="4">
        <v>7038</v>
      </c>
      <c r="AZ117" s="9">
        <v>19.464414129038012</v>
      </c>
      <c r="BA117" s="7">
        <f t="shared" si="82"/>
        <v>4.9888118723568915E-4</v>
      </c>
      <c r="BB117" s="54">
        <f t="shared" si="76"/>
        <v>24.609895643461662</v>
      </c>
      <c r="BC117" s="55">
        <f t="shared" si="77"/>
        <v>3.4462582203121155</v>
      </c>
      <c r="BD117" s="55">
        <f t="shared" si="78"/>
        <v>1.8564100356096214</v>
      </c>
      <c r="BE117" s="55">
        <f t="shared" si="79"/>
        <v>1.8192484051667881</v>
      </c>
      <c r="BF117" s="56">
        <f t="shared" si="80"/>
        <v>1.2843148220345591E-2</v>
      </c>
      <c r="BG117" s="56">
        <f t="shared" si="83"/>
        <v>9.3857992329761267E-7</v>
      </c>
      <c r="BH117" s="56">
        <f t="shared" si="84"/>
        <v>9.6880334603964525E-4</v>
      </c>
      <c r="BI117" s="56">
        <f t="shared" si="81"/>
        <v>9.4940983316979977E-4</v>
      </c>
      <c r="BJ117" s="57">
        <f t="shared" si="85"/>
        <v>2.8761274651479906E-4</v>
      </c>
      <c r="BK117" s="57">
        <f t="shared" si="86"/>
        <v>2.1695629950433741E-5</v>
      </c>
      <c r="BL117" s="58">
        <f t="shared" si="87"/>
        <v>0.50746787358915002</v>
      </c>
      <c r="BM117" s="58">
        <f t="shared" si="87"/>
        <v>3.8280066966910935E-2</v>
      </c>
    </row>
    <row r="118" spans="2:65" x14ac:dyDescent="0.2">
      <c r="B118" s="47"/>
      <c r="C118" s="47"/>
      <c r="D118" s="47"/>
      <c r="H118" s="10"/>
      <c r="K118" s="10"/>
      <c r="L118" s="10"/>
      <c r="M118" s="10"/>
      <c r="N118" s="10"/>
      <c r="O118" s="10"/>
      <c r="P118" s="10"/>
      <c r="AU118" s="2">
        <v>-1519</v>
      </c>
      <c r="AV118" s="53">
        <v>116</v>
      </c>
      <c r="AW118" s="4" t="s">
        <v>1621</v>
      </c>
      <c r="AX118" t="s">
        <v>177</v>
      </c>
      <c r="AY118" s="4">
        <v>64915</v>
      </c>
      <c r="AZ118" s="9">
        <v>19.498536304108825</v>
      </c>
      <c r="BA118" s="7">
        <f t="shared" si="82"/>
        <v>4.9975575305090142E-4</v>
      </c>
      <c r="BB118" s="54">
        <f t="shared" si="76"/>
        <v>25.16232115020447</v>
      </c>
      <c r="BC118" s="55">
        <f t="shared" si="77"/>
        <v>3.5814722606311133</v>
      </c>
      <c r="BD118" s="55">
        <f t="shared" si="78"/>
        <v>1.8924778098120763</v>
      </c>
      <c r="BE118" s="55">
        <f t="shared" si="79"/>
        <v>1.8545941743864554</v>
      </c>
      <c r="BF118" s="56">
        <f t="shared" si="80"/>
        <v>1.3131442115069308E-2</v>
      </c>
      <c r="BG118" s="56">
        <f t="shared" si="83"/>
        <v>9.7540513356287467E-7</v>
      </c>
      <c r="BH118" s="56">
        <f t="shared" si="84"/>
        <v>9.87626008954237E-4</v>
      </c>
      <c r="BI118" s="56">
        <f t="shared" si="81"/>
        <v>9.6785570387266848E-4</v>
      </c>
      <c r="BJ118" s="57">
        <f t="shared" si="85"/>
        <v>2.7123445494092774E-3</v>
      </c>
      <c r="BK118" s="57">
        <f t="shared" si="86"/>
        <v>2.039975502132977E-4</v>
      </c>
      <c r="BL118" s="58">
        <f t="shared" si="87"/>
        <v>4.7856979136320144</v>
      </c>
      <c r="BM118" s="58">
        <f t="shared" si="87"/>
        <v>0.35993607473447403</v>
      </c>
    </row>
    <row r="119" spans="2:65" x14ac:dyDescent="0.2">
      <c r="B119" s="47"/>
      <c r="C119" s="47"/>
      <c r="D119" s="47"/>
      <c r="H119" s="10"/>
      <c r="K119" s="10"/>
      <c r="L119" s="10"/>
      <c r="M119" s="10"/>
      <c r="N119" s="10"/>
      <c r="O119" s="10"/>
      <c r="P119" s="10"/>
      <c r="AU119" s="2">
        <v>-1518</v>
      </c>
      <c r="AV119" s="53">
        <v>117</v>
      </c>
      <c r="AW119" s="4" t="s">
        <v>1691</v>
      </c>
      <c r="AX119" t="s">
        <v>1692</v>
      </c>
      <c r="AY119" s="4">
        <v>51626</v>
      </c>
      <c r="AZ119" s="9">
        <v>19.509112606939524</v>
      </c>
      <c r="BA119" s="7">
        <f t="shared" si="82"/>
        <v>5.0002682817691158E-4</v>
      </c>
      <c r="BB119" s="54">
        <f t="shared" si="76"/>
        <v>25.336052393510865</v>
      </c>
      <c r="BC119" s="55">
        <f t="shared" si="77"/>
        <v>3.6244366158107653</v>
      </c>
      <c r="BD119" s="55">
        <f t="shared" si="78"/>
        <v>1.9037953187805576</v>
      </c>
      <c r="BE119" s="55">
        <f t="shared" si="79"/>
        <v>1.8656851293729217</v>
      </c>
      <c r="BF119" s="56">
        <f t="shared" si="80"/>
        <v>1.3222107111809411E-2</v>
      </c>
      <c r="BG119" s="56">
        <f t="shared" si="83"/>
        <v>9.8710636968946339E-7</v>
      </c>
      <c r="BH119" s="56">
        <f t="shared" si="84"/>
        <v>9.9353226907306015E-4</v>
      </c>
      <c r="BI119" s="56">
        <f t="shared" si="81"/>
        <v>9.7364373243077787E-4</v>
      </c>
      <c r="BJ119" s="57">
        <f t="shared" si="85"/>
        <v>2.171983492759569E-3</v>
      </c>
      <c r="BK119" s="57">
        <f t="shared" si="86"/>
        <v>1.6320664094630354E-4</v>
      </c>
      <c r="BL119" s="58">
        <f t="shared" si="87"/>
        <v>3.8322774560505075</v>
      </c>
      <c r="BM119" s="58">
        <f t="shared" si="87"/>
        <v>0.28796403511409385</v>
      </c>
    </row>
    <row r="120" spans="2:65" x14ac:dyDescent="0.2">
      <c r="B120" s="47"/>
      <c r="C120" s="47"/>
      <c r="D120" s="47"/>
      <c r="H120" s="10"/>
      <c r="K120" s="10"/>
      <c r="L120" s="10"/>
      <c r="M120" s="10"/>
      <c r="N120" s="10"/>
      <c r="O120" s="10"/>
      <c r="P120" s="10"/>
      <c r="AU120" s="2">
        <v>-1517</v>
      </c>
      <c r="AV120" s="53">
        <v>118</v>
      </c>
      <c r="AW120" s="4" t="s">
        <v>2935</v>
      </c>
      <c r="AX120" t="s">
        <v>2936</v>
      </c>
      <c r="AY120" s="4">
        <v>34112</v>
      </c>
      <c r="AZ120" s="9">
        <v>19.520743994309367</v>
      </c>
      <c r="BA120" s="7">
        <f t="shared" si="82"/>
        <v>5.003249455670265E-4</v>
      </c>
      <c r="BB120" s="54">
        <f t="shared" si="76"/>
        <v>25.528500349318257</v>
      </c>
      <c r="BC120" s="55">
        <f t="shared" si="77"/>
        <v>3.6722750640470845</v>
      </c>
      <c r="BD120" s="55">
        <f t="shared" si="78"/>
        <v>1.9163181009548191</v>
      </c>
      <c r="BE120" s="55">
        <f t="shared" si="79"/>
        <v>1.8779572303968179</v>
      </c>
      <c r="BF120" s="56">
        <f t="shared" si="80"/>
        <v>1.3322539785598244E-2</v>
      </c>
      <c r="BG120" s="56">
        <f t="shared" si="83"/>
        <v>1.0001350530340865E-6</v>
      </c>
      <c r="BH120" s="56">
        <f t="shared" si="84"/>
        <v>1.0000675242372819E-3</v>
      </c>
      <c r="BI120" s="56">
        <f t="shared" si="81"/>
        <v>9.8004816480660485E-4</v>
      </c>
      <c r="BJ120" s="57">
        <f t="shared" si="85"/>
        <v>1.4460442437944059E-3</v>
      </c>
      <c r="BK120" s="57">
        <f t="shared" si="86"/>
        <v>1.0854851327915218E-4</v>
      </c>
      <c r="BL120" s="58">
        <f t="shared" si="87"/>
        <v>2.5514202913688284</v>
      </c>
      <c r="BM120" s="58">
        <f t="shared" si="87"/>
        <v>0.1915244852063627</v>
      </c>
    </row>
    <row r="121" spans="2:65" x14ac:dyDescent="0.2">
      <c r="B121" s="47"/>
      <c r="C121" s="47"/>
      <c r="D121" s="47"/>
      <c r="H121" s="10"/>
      <c r="K121" s="10"/>
      <c r="L121" s="10"/>
      <c r="M121" s="10"/>
      <c r="N121" s="10"/>
      <c r="O121" s="10"/>
      <c r="P121" s="10"/>
      <c r="AU121" s="2">
        <v>-1516</v>
      </c>
      <c r="AV121" s="53">
        <v>119</v>
      </c>
      <c r="AW121" s="4" t="s">
        <v>1534</v>
      </c>
      <c r="AX121" t="s">
        <v>1535</v>
      </c>
      <c r="AY121" s="4">
        <v>118165</v>
      </c>
      <c r="AZ121" s="9">
        <v>19.529978242766045</v>
      </c>
      <c r="BA121" s="7">
        <f t="shared" si="82"/>
        <v>5.0056162327038588E-4</v>
      </c>
      <c r="BB121" s="54">
        <f t="shared" si="76"/>
        <v>25.682326758109312</v>
      </c>
      <c r="BC121" s="55">
        <f t="shared" si="77"/>
        <v>3.7106980577993363</v>
      </c>
      <c r="BD121" s="55">
        <f t="shared" si="78"/>
        <v>1.9263172266787567</v>
      </c>
      <c r="BE121" s="55">
        <f t="shared" si="79"/>
        <v>1.8877561935447209</v>
      </c>
      <c r="BF121" s="56">
        <f t="shared" si="80"/>
        <v>1.3402817060923932E-2</v>
      </c>
      <c r="BG121" s="56">
        <f t="shared" si="83"/>
        <v>1.01059946058089E-6</v>
      </c>
      <c r="BH121" s="56">
        <f t="shared" si="84"/>
        <v>1.0052857606575804E-3</v>
      </c>
      <c r="BI121" s="56">
        <f t="shared" si="81"/>
        <v>9.8516194252990506E-4</v>
      </c>
      <c r="BJ121" s="57">
        <f t="shared" si="85"/>
        <v>5.0393244564656825E-3</v>
      </c>
      <c r="BK121" s="57">
        <f t="shared" si="86"/>
        <v>3.779773383752525E-4</v>
      </c>
      <c r="BL121" s="58">
        <f t="shared" si="87"/>
        <v>8.891453168320739</v>
      </c>
      <c r="BM121" s="58">
        <f t="shared" si="87"/>
        <v>0.66690839851322936</v>
      </c>
    </row>
    <row r="122" spans="2:65" x14ac:dyDescent="0.2">
      <c r="B122" s="47"/>
      <c r="C122" s="47"/>
      <c r="D122" s="47"/>
      <c r="H122" s="10"/>
      <c r="K122" s="10"/>
      <c r="L122" s="10"/>
      <c r="M122" s="10"/>
      <c r="N122" s="10"/>
      <c r="O122" s="10"/>
      <c r="P122" s="10"/>
      <c r="AU122" s="2">
        <v>-1515</v>
      </c>
      <c r="AV122" s="53">
        <v>120</v>
      </c>
      <c r="AW122" s="4" t="s">
        <v>3215</v>
      </c>
      <c r="AX122" t="s">
        <v>3216</v>
      </c>
      <c r="AY122" s="5">
        <v>13314.325000000001</v>
      </c>
      <c r="AZ122" s="9">
        <v>19.533036898528028</v>
      </c>
      <c r="BA122" s="7">
        <f t="shared" si="82"/>
        <v>5.0064001791446646E-4</v>
      </c>
      <c r="BB122" s="54">
        <f t="shared" si="76"/>
        <v>25.733482706098545</v>
      </c>
      <c r="BC122" s="55">
        <f t="shared" si="77"/>
        <v>3.7235122289249145</v>
      </c>
      <c r="BD122" s="55">
        <f t="shared" si="78"/>
        <v>1.9296404403216976</v>
      </c>
      <c r="BE122" s="55">
        <f t="shared" si="79"/>
        <v>1.8910128830712689</v>
      </c>
      <c r="BF122" s="56">
        <f t="shared" si="80"/>
        <v>1.342951377804524E-2</v>
      </c>
      <c r="BG122" s="56">
        <f t="shared" si="83"/>
        <v>1.0140893684703065E-6</v>
      </c>
      <c r="BH122" s="56">
        <f t="shared" si="84"/>
        <v>1.0070200437281805E-3</v>
      </c>
      <c r="BI122" s="56">
        <f t="shared" si="81"/>
        <v>9.8686150870859186E-4</v>
      </c>
      <c r="BJ122" s="57">
        <f t="shared" si="85"/>
        <v>5.6894045408382901E-4</v>
      </c>
      <c r="BK122" s="57">
        <f t="shared" si="86"/>
        <v>4.2662336881240608E-5</v>
      </c>
      <c r="BL122" s="58">
        <f t="shared" si="87"/>
        <v>1.003846338284281</v>
      </c>
      <c r="BM122" s="58">
        <f t="shared" si="87"/>
        <v>7.5274012163272327E-2</v>
      </c>
    </row>
    <row r="123" spans="2:65" x14ac:dyDescent="0.2">
      <c r="B123" s="47"/>
      <c r="C123" s="47"/>
      <c r="D123" s="47"/>
      <c r="H123" s="10"/>
      <c r="K123" s="10"/>
      <c r="L123" s="10"/>
      <c r="M123" s="10"/>
      <c r="N123" s="10"/>
      <c r="O123" s="10"/>
      <c r="P123" s="10"/>
      <c r="AU123" s="2">
        <v>-1514</v>
      </c>
      <c r="AV123" s="53">
        <v>121</v>
      </c>
      <c r="AW123" s="4" t="s">
        <v>1570</v>
      </c>
      <c r="AX123" t="s">
        <v>147</v>
      </c>
      <c r="AY123" s="4">
        <v>13453</v>
      </c>
      <c r="AZ123" s="9">
        <v>19.543766920715306</v>
      </c>
      <c r="BA123" s="7">
        <f t="shared" si="82"/>
        <v>5.0091503293276437E-4</v>
      </c>
      <c r="BB123" s="54">
        <f t="shared" si="76"/>
        <v>25.913749221605087</v>
      </c>
      <c r="BC123" s="55">
        <f t="shared" si="77"/>
        <v>3.7688120088877244</v>
      </c>
      <c r="BD123" s="55">
        <f t="shared" si="78"/>
        <v>1.9413428365149017</v>
      </c>
      <c r="BE123" s="55">
        <f t="shared" si="79"/>
        <v>1.9024810206070184</v>
      </c>
      <c r="BF123" s="56">
        <f t="shared" si="80"/>
        <v>1.3523589332503383E-2</v>
      </c>
      <c r="BG123" s="56">
        <f t="shared" si="83"/>
        <v>1.026426651774387E-6</v>
      </c>
      <c r="BH123" s="56">
        <f t="shared" si="84"/>
        <v>1.0131271646611727E-3</v>
      </c>
      <c r="BI123" s="56">
        <f t="shared" si="81"/>
        <v>9.9284637724753955E-4</v>
      </c>
      <c r="BJ123" s="57">
        <f t="shared" si="85"/>
        <v>5.7889325383799232E-4</v>
      </c>
      <c r="BK123" s="57">
        <f t="shared" si="86"/>
        <v>4.3368107865620809E-5</v>
      </c>
      <c r="BL123" s="58">
        <f t="shared" si="87"/>
        <v>1.0214071946395957</v>
      </c>
      <c r="BM123" s="58">
        <f t="shared" si="87"/>
        <v>7.6519284165380577E-2</v>
      </c>
    </row>
    <row r="124" spans="2:65" x14ac:dyDescent="0.2">
      <c r="B124" s="47"/>
      <c r="C124" s="47"/>
      <c r="D124" s="47"/>
      <c r="H124" s="10"/>
      <c r="K124" s="10"/>
      <c r="L124" s="10"/>
      <c r="M124" s="10"/>
      <c r="N124" s="10"/>
      <c r="O124" s="10"/>
      <c r="P124" s="10"/>
      <c r="AU124" s="2">
        <v>-1513</v>
      </c>
      <c r="AV124" s="53">
        <v>122</v>
      </c>
      <c r="AW124" s="4" t="s">
        <v>1703</v>
      </c>
      <c r="AX124" t="s">
        <v>1704</v>
      </c>
      <c r="AY124" s="4">
        <v>97640</v>
      </c>
      <c r="AZ124" s="9">
        <v>19.544182137260485</v>
      </c>
      <c r="BA124" s="7">
        <f t="shared" si="82"/>
        <v>5.0092567510887337E-4</v>
      </c>
      <c r="BB124" s="54">
        <f t="shared" si="76"/>
        <v>25.92075026615511</v>
      </c>
      <c r="BC124" s="55">
        <f t="shared" si="77"/>
        <v>3.7705758583339448</v>
      </c>
      <c r="BD124" s="55">
        <f t="shared" si="78"/>
        <v>1.9417970692979081</v>
      </c>
      <c r="BE124" s="55">
        <f t="shared" si="79"/>
        <v>1.9029261605546632</v>
      </c>
      <c r="BF124" s="56">
        <f t="shared" si="80"/>
        <v>1.3527242962496605E-2</v>
      </c>
      <c r="BG124" s="56">
        <f t="shared" si="83"/>
        <v>1.0269070318191025E-6</v>
      </c>
      <c r="BH124" s="56">
        <f t="shared" si="84"/>
        <v>1.0133642147910605E-3</v>
      </c>
      <c r="BI124" s="56">
        <f t="shared" si="81"/>
        <v>9.930786821060948E-4</v>
      </c>
      <c r="BJ124" s="57">
        <f t="shared" si="85"/>
        <v>4.2026617112429221E-3</v>
      </c>
      <c r="BK124" s="57">
        <f t="shared" si="86"/>
        <v>3.1483333276806342E-4</v>
      </c>
      <c r="BL124" s="58">
        <f t="shared" si="87"/>
        <v>7.4152339486429728</v>
      </c>
      <c r="BM124" s="58">
        <f t="shared" si="87"/>
        <v>0.5554962492129103</v>
      </c>
    </row>
    <row r="125" spans="2:65" x14ac:dyDescent="0.2">
      <c r="B125" s="47"/>
      <c r="C125" s="47"/>
      <c r="D125" s="47"/>
      <c r="H125" s="10"/>
      <c r="K125" s="10"/>
      <c r="L125" s="10"/>
      <c r="M125" s="10"/>
      <c r="N125" s="10"/>
      <c r="O125" s="10"/>
      <c r="P125" s="10"/>
      <c r="AU125" s="2">
        <v>-1512</v>
      </c>
      <c r="AV125" s="53">
        <v>123</v>
      </c>
      <c r="AW125" s="4" t="s">
        <v>2451</v>
      </c>
      <c r="AX125" t="s">
        <v>2452</v>
      </c>
      <c r="AY125" s="4">
        <v>7541</v>
      </c>
      <c r="AZ125" s="9">
        <v>19.605082782183597</v>
      </c>
      <c r="BA125" s="7">
        <f t="shared" si="82"/>
        <v>5.0248658446074208E-4</v>
      </c>
      <c r="BB125" s="54">
        <f t="shared" si="76"/>
        <v>26.96836442895766</v>
      </c>
      <c r="BC125" s="55">
        <f t="shared" si="77"/>
        <v>4.0383119598519963</v>
      </c>
      <c r="BD125" s="55">
        <f t="shared" si="78"/>
        <v>2.0095551646700311</v>
      </c>
      <c r="BE125" s="55">
        <f t="shared" si="79"/>
        <v>1.969327873849859</v>
      </c>
      <c r="BF125" s="56">
        <f t="shared" si="80"/>
        <v>1.4073960598586266E-2</v>
      </c>
      <c r="BG125" s="56">
        <f t="shared" si="83"/>
        <v>1.0998242984782726E-6</v>
      </c>
      <c r="BH125" s="56">
        <f t="shared" si="84"/>
        <v>1.0487250824111497E-3</v>
      </c>
      <c r="BI125" s="56">
        <f t="shared" si="81"/>
        <v>1.0277316956048264E-3</v>
      </c>
      <c r="BJ125" s="57">
        <f t="shared" si="85"/>
        <v>3.3770123102862287E-4</v>
      </c>
      <c r="BK125" s="57">
        <f t="shared" si="86"/>
        <v>2.5163901011376588E-5</v>
      </c>
      <c r="BL125" s="58">
        <f t="shared" si="87"/>
        <v>0.59584468245991185</v>
      </c>
      <c r="BM125" s="58">
        <f t="shared" si="87"/>
        <v>4.4399531982474448E-2</v>
      </c>
    </row>
    <row r="126" spans="2:65" x14ac:dyDescent="0.2">
      <c r="B126" s="47"/>
      <c r="C126" s="47"/>
      <c r="D126" s="47"/>
      <c r="H126" s="10"/>
      <c r="K126" s="10"/>
      <c r="L126" s="10"/>
      <c r="M126" s="10"/>
      <c r="N126" s="10"/>
      <c r="O126" s="10"/>
      <c r="P126" s="10"/>
      <c r="AU126" s="2">
        <v>-1511</v>
      </c>
      <c r="AV126" s="53">
        <v>124</v>
      </c>
      <c r="AW126" s="4" t="s">
        <v>3239</v>
      </c>
      <c r="AX126" t="s">
        <v>3240</v>
      </c>
      <c r="AY126" s="5">
        <v>42104.52</v>
      </c>
      <c r="AZ126" s="9">
        <v>19.612450990403193</v>
      </c>
      <c r="BA126" s="7">
        <f t="shared" si="82"/>
        <v>5.0267543476160514E-4</v>
      </c>
      <c r="BB126" s="54">
        <f t="shared" si="76"/>
        <v>27.097950577720056</v>
      </c>
      <c r="BC126" s="55">
        <f t="shared" si="77"/>
        <v>4.0719518046801539</v>
      </c>
      <c r="BD126" s="55">
        <f t="shared" si="78"/>
        <v>2.0179077790325688</v>
      </c>
      <c r="BE126" s="55">
        <f t="shared" si="79"/>
        <v>1.9775132855135218</v>
      </c>
      <c r="BF126" s="56">
        <f t="shared" si="80"/>
        <v>1.414158762715927E-2</v>
      </c>
      <c r="BG126" s="56">
        <f t="shared" si="83"/>
        <v>1.1089860272171142E-6</v>
      </c>
      <c r="BH126" s="56">
        <f t="shared" si="84"/>
        <v>1.0530840551528232E-3</v>
      </c>
      <c r="BI126" s="56">
        <f t="shared" si="81"/>
        <v>1.0320034103964626E-3</v>
      </c>
      <c r="BJ126" s="57">
        <f t="shared" si="85"/>
        <v>1.8945857294778367E-3</v>
      </c>
      <c r="BK126" s="57">
        <f t="shared" si="86"/>
        <v>1.4108444365903015E-4</v>
      </c>
      <c r="BL126" s="58">
        <f t="shared" si="87"/>
        <v>3.3428330389418113</v>
      </c>
      <c r="BM126" s="58">
        <f t="shared" si="87"/>
        <v>0.24893132688913117</v>
      </c>
    </row>
    <row r="127" spans="2:65" x14ac:dyDescent="0.2">
      <c r="B127" s="47"/>
      <c r="C127" s="47"/>
      <c r="D127" s="47"/>
      <c r="H127" s="10"/>
      <c r="K127" s="10"/>
      <c r="L127" s="10"/>
      <c r="M127" s="10"/>
      <c r="N127" s="10"/>
      <c r="O127" s="10"/>
      <c r="P127" s="10"/>
      <c r="AU127" s="2">
        <v>-1510</v>
      </c>
      <c r="AV127" s="53">
        <v>125</v>
      </c>
      <c r="AW127" s="4" t="s">
        <v>1404</v>
      </c>
      <c r="AX127" t="s">
        <v>1405</v>
      </c>
      <c r="AY127" s="4">
        <v>78989</v>
      </c>
      <c r="AZ127" s="9">
        <v>19.624031477245218</v>
      </c>
      <c r="BA127" s="7">
        <f t="shared" si="82"/>
        <v>5.0297224754960968E-4</v>
      </c>
      <c r="BB127" s="54">
        <f t="shared" si="76"/>
        <v>27.302878553936772</v>
      </c>
      <c r="BC127" s="55">
        <f t="shared" si="77"/>
        <v>4.1253830557876965</v>
      </c>
      <c r="BD127" s="55">
        <f t="shared" si="78"/>
        <v>2.0311039007858995</v>
      </c>
      <c r="BE127" s="55">
        <f t="shared" si="79"/>
        <v>1.9904452471995886</v>
      </c>
      <c r="BF127" s="56">
        <f t="shared" si="80"/>
        <v>1.4248533240061369E-2</v>
      </c>
      <c r="BG127" s="56">
        <f t="shared" si="83"/>
        <v>1.1235378966245309E-6</v>
      </c>
      <c r="BH127" s="56">
        <f t="shared" si="84"/>
        <v>1.0599707055501727E-3</v>
      </c>
      <c r="BI127" s="56">
        <f t="shared" si="81"/>
        <v>1.0387522037729241E-3</v>
      </c>
      <c r="BJ127" s="57">
        <f t="shared" si="85"/>
        <v>3.5811634860760961E-3</v>
      </c>
      <c r="BK127" s="57">
        <f t="shared" si="86"/>
        <v>2.664083609921274E-4</v>
      </c>
      <c r="BL127" s="58">
        <f t="shared" si="87"/>
        <v>6.3186539584073484</v>
      </c>
      <c r="BM127" s="58">
        <f t="shared" si="87"/>
        <v>0.47005456502634241</v>
      </c>
    </row>
    <row r="128" spans="2:65" x14ac:dyDescent="0.2">
      <c r="B128" s="47"/>
      <c r="C128" s="47"/>
      <c r="D128" s="47"/>
      <c r="H128" s="10"/>
      <c r="K128" s="10"/>
      <c r="L128" s="10"/>
      <c r="M128" s="10"/>
      <c r="N128" s="10"/>
      <c r="O128" s="10"/>
      <c r="P128" s="10"/>
      <c r="AU128" s="2">
        <v>-1509</v>
      </c>
      <c r="AV128" s="53">
        <v>126</v>
      </c>
      <c r="AW128" s="4" t="s">
        <v>1796</v>
      </c>
      <c r="AX128" t="s">
        <v>1797</v>
      </c>
      <c r="AY128" s="4">
        <v>76050</v>
      </c>
      <c r="AZ128" s="9">
        <v>19.628244977839678</v>
      </c>
      <c r="BA128" s="7">
        <f t="shared" si="82"/>
        <v>5.0308024135641265E-4</v>
      </c>
      <c r="BB128" s="54">
        <f t="shared" si="76"/>
        <v>27.377824479181644</v>
      </c>
      <c r="BC128" s="55">
        <f t="shared" si="77"/>
        <v>4.1449950395344359</v>
      </c>
      <c r="BD128" s="55">
        <f t="shared" si="78"/>
        <v>2.035926088917384</v>
      </c>
      <c r="BE128" s="55">
        <f t="shared" si="79"/>
        <v>1.9951709047317818</v>
      </c>
      <c r="BF128" s="56">
        <f t="shared" si="80"/>
        <v>1.4287645215194282E-2</v>
      </c>
      <c r="BG128" s="56">
        <f t="shared" si="83"/>
        <v>1.1288791720090128E-6</v>
      </c>
      <c r="BH128" s="56">
        <f t="shared" si="84"/>
        <v>1.0624872573395941E-3</v>
      </c>
      <c r="BI128" s="56">
        <f t="shared" si="81"/>
        <v>1.0412183792091721E-3</v>
      </c>
      <c r="BJ128" s="57">
        <f t="shared" si="85"/>
        <v>3.4573810556567529E-3</v>
      </c>
      <c r="BK128" s="57">
        <f t="shared" si="86"/>
        <v>2.5710488048066101E-4</v>
      </c>
      <c r="BL128" s="58">
        <f t="shared" si="87"/>
        <v>6.1002505409170569</v>
      </c>
      <c r="BM128" s="58">
        <f t="shared" si="87"/>
        <v>0.45363937644606506</v>
      </c>
    </row>
    <row r="129" spans="2:65" x14ac:dyDescent="0.2">
      <c r="B129" s="47"/>
      <c r="C129" s="47"/>
      <c r="D129" s="47"/>
      <c r="H129" s="10"/>
      <c r="K129" s="10"/>
      <c r="L129" s="10"/>
      <c r="M129" s="10"/>
      <c r="N129" s="10"/>
      <c r="O129" s="10"/>
      <c r="P129" s="10"/>
      <c r="AU129" s="2">
        <v>-1508</v>
      </c>
      <c r="AV129" s="53">
        <v>127</v>
      </c>
      <c r="AW129" s="4" t="s">
        <v>1597</v>
      </c>
      <c r="AX129" t="s">
        <v>1283</v>
      </c>
      <c r="AY129" s="4">
        <v>23404</v>
      </c>
      <c r="AZ129" s="9">
        <v>19.63404881210765</v>
      </c>
      <c r="BA129" s="7">
        <f t="shared" si="82"/>
        <v>5.0322899608958515E-4</v>
      </c>
      <c r="BB129" s="54">
        <f t="shared" si="76"/>
        <v>27.481394811845696</v>
      </c>
      <c r="BC129" s="55">
        <f t="shared" si="77"/>
        <v>4.1721601602171132</v>
      </c>
      <c r="BD129" s="55">
        <f t="shared" si="78"/>
        <v>2.0425866346907084</v>
      </c>
      <c r="BE129" s="55">
        <f t="shared" si="79"/>
        <v>2.0016981196483301</v>
      </c>
      <c r="BF129" s="56">
        <f t="shared" si="80"/>
        <v>1.4341695388868573E-2</v>
      </c>
      <c r="BG129" s="56">
        <f t="shared" si="83"/>
        <v>1.136277525602044E-6</v>
      </c>
      <c r="BH129" s="56">
        <f t="shared" si="84"/>
        <v>1.0659631914855428E-3</v>
      </c>
      <c r="BI129" s="56">
        <f t="shared" si="81"/>
        <v>1.0446247320785183E-3</v>
      </c>
      <c r="BJ129" s="57">
        <f t="shared" si="85"/>
        <v>1.0680164837335521E-3</v>
      </c>
      <c r="BK129" s="57">
        <f t="shared" si="86"/>
        <v>7.938156742914892E-5</v>
      </c>
      <c r="BL129" s="58">
        <f t="shared" si="87"/>
        <v>1.8844229281421609</v>
      </c>
      <c r="BM129" s="58">
        <f t="shared" si="87"/>
        <v>0.14006192602236128</v>
      </c>
    </row>
    <row r="130" spans="2:65" x14ac:dyDescent="0.2">
      <c r="B130" s="47"/>
      <c r="C130" s="47"/>
      <c r="D130" s="47"/>
      <c r="H130" s="10"/>
      <c r="K130" s="10"/>
      <c r="L130" s="10"/>
      <c r="M130" s="10"/>
      <c r="N130" s="10"/>
      <c r="O130" s="10"/>
      <c r="P130" s="10"/>
      <c r="AU130" s="2">
        <v>-1507</v>
      </c>
      <c r="AV130" s="53">
        <v>128</v>
      </c>
      <c r="AW130" s="4" t="s">
        <v>2084</v>
      </c>
      <c r="AX130" t="s">
        <v>2085</v>
      </c>
      <c r="AY130" s="4">
        <v>100578</v>
      </c>
      <c r="AZ130" s="9">
        <v>19.646958262823013</v>
      </c>
      <c r="BA130" s="7">
        <f t="shared" si="82"/>
        <v>5.0355987078515763E-4</v>
      </c>
      <c r="BB130" s="54">
        <f t="shared" si="76"/>
        <v>27.713173245889188</v>
      </c>
      <c r="BC130" s="55">
        <f t="shared" si="77"/>
        <v>4.2332154778013917</v>
      </c>
      <c r="BD130" s="55">
        <f t="shared" si="78"/>
        <v>2.057477941024251</v>
      </c>
      <c r="BE130" s="55">
        <f t="shared" si="79"/>
        <v>2.016291331696578</v>
      </c>
      <c r="BF130" s="56">
        <f t="shared" si="80"/>
        <v>1.4462653430537094E-2</v>
      </c>
      <c r="BG130" s="56">
        <f t="shared" si="83"/>
        <v>1.1529057907034103E-6</v>
      </c>
      <c r="BH130" s="56">
        <f t="shared" si="84"/>
        <v>1.0737345066185637E-3</v>
      </c>
      <c r="BI130" s="56">
        <f t="shared" si="81"/>
        <v>1.0522404809651343E-3</v>
      </c>
      <c r="BJ130" s="57">
        <f t="shared" si="85"/>
        <v>4.6284795246319017E-3</v>
      </c>
      <c r="BK130" s="57">
        <f t="shared" si="86"/>
        <v>3.4362699781503359E-4</v>
      </c>
      <c r="BL130" s="58">
        <f t="shared" si="87"/>
        <v>8.1665527372411297</v>
      </c>
      <c r="BM130" s="58">
        <f t="shared" si="87"/>
        <v>0.60630018662975327</v>
      </c>
    </row>
    <row r="131" spans="2:65" x14ac:dyDescent="0.2">
      <c r="B131" s="47"/>
      <c r="C131" s="47"/>
      <c r="D131" s="47"/>
      <c r="H131" s="10"/>
      <c r="K131" s="10"/>
      <c r="L131" s="10"/>
      <c r="M131" s="10"/>
      <c r="N131" s="10"/>
      <c r="O131" s="10"/>
      <c r="P131" s="10"/>
      <c r="AU131" s="2">
        <v>-1506</v>
      </c>
      <c r="AV131" s="53">
        <v>129</v>
      </c>
      <c r="AW131" s="4" t="s">
        <v>2625</v>
      </c>
      <c r="AX131" t="s">
        <v>2626</v>
      </c>
      <c r="AY131" s="4">
        <v>17241</v>
      </c>
      <c r="AZ131" s="9">
        <v>19.650340065398517</v>
      </c>
      <c r="BA131" s="7">
        <f t="shared" si="82"/>
        <v>5.0364654781908627E-4</v>
      </c>
      <c r="BB131" s="54">
        <f t="shared" ref="BB131:BB194" si="88">IFERROR(IF(MATCH(AX131,$S$4:$S$20,0),VLOOKUP(AX131,$S$4:$AT$20,20,FALSE)),AVERAGE((2^(($AE$23*AZ131)+$AE$24)),(2^(($AF$23*AZ131)+$AF$24)),(2^(($AG$23*AZ131)+$AG$24)),(2^(($AH$23*AZ131)+$AH$24))))</f>
        <v>27.77421317261232</v>
      </c>
      <c r="BC131" s="55">
        <f t="shared" ref="BC131:BC194" si="89">IFERROR(IF(MATCH(AX131,$S$4:$S$20,0),VLOOKUP(AX131,$S$4:$AT$20,21,FALSE)),_xlfn.VAR.S((2^(($AE$23*AZ131)+$AE$24)),(2^(($AF$23*AZ131)+$AF$24)),(2^(($AG$23*AZ131)+$AG$24)),(2^(($AH$23*AZ131)+$AH$24))))</f>
        <v>4.249355035867544</v>
      </c>
      <c r="BD131" s="55">
        <f t="shared" ref="BD131:BD194" si="90">SQRT(BC131)</f>
        <v>2.0613963800947026</v>
      </c>
      <c r="BE131" s="55">
        <f t="shared" ref="BE131:BE194" si="91">_xlfn.CONFIDENCE.NORM(0.05,BD131,4)</f>
        <v>2.0201313314234279</v>
      </c>
      <c r="BF131" s="56">
        <f t="shared" ref="BF131:BF194" si="92">IFERROR(IF(MATCH(AX131,$S$4:$S$20,0),VLOOKUP(AX131,$S$4:$AT$20,24,FALSE)),AVERAGE((2^(($AI$23*AZ131)+$AI$24)),(2^(($AJ$23*AZ131)+$AJ$24)),(2^(($AK$23*AZ131)+$AK$24)),(2^(($AL$23*AZ131)+$AL$24))))</f>
        <v>1.4494508292403323E-2</v>
      </c>
      <c r="BG131" s="56">
        <f t="shared" si="83"/>
        <v>1.1573013595213734E-6</v>
      </c>
      <c r="BH131" s="56">
        <f t="shared" si="84"/>
        <v>1.0757794195472292E-3</v>
      </c>
      <c r="BI131" s="56">
        <f t="shared" ref="BI131:BI194" si="93">_xlfn.CONFIDENCE.NORM(0.05,BH131,4)</f>
        <v>1.0542444588109868E-3</v>
      </c>
      <c r="BJ131" s="57">
        <f t="shared" si="85"/>
        <v>7.9515777729575652E-4</v>
      </c>
      <c r="BK131" s="57">
        <f t="shared" si="86"/>
        <v>5.9016446425852386E-5</v>
      </c>
      <c r="BL131" s="58">
        <f t="shared" si="87"/>
        <v>1.4029872851667566</v>
      </c>
      <c r="BM131" s="58">
        <f t="shared" si="87"/>
        <v>0.10412942728522043</v>
      </c>
    </row>
    <row r="132" spans="2:65" x14ac:dyDescent="0.2">
      <c r="B132" s="47"/>
      <c r="C132" s="47"/>
      <c r="D132" s="47"/>
      <c r="H132" s="10"/>
      <c r="K132" s="10"/>
      <c r="L132" s="10"/>
      <c r="M132" s="10"/>
      <c r="N132" s="10"/>
      <c r="O132" s="10"/>
      <c r="P132" s="10"/>
      <c r="AU132" s="2">
        <v>-1505</v>
      </c>
      <c r="AV132" s="53">
        <v>130</v>
      </c>
      <c r="AW132" s="4" t="s">
        <v>2486</v>
      </c>
      <c r="AX132" t="s">
        <v>1336</v>
      </c>
      <c r="AY132" s="4">
        <v>27296</v>
      </c>
      <c r="AZ132" s="9">
        <v>19.654460053227503</v>
      </c>
      <c r="BA132" s="7">
        <f t="shared" ref="BA132:BA195" si="94">AZ132/$AZ$1637</f>
        <v>5.0375214485405963E-4</v>
      </c>
      <c r="BB132" s="54">
        <f t="shared" si="88"/>
        <v>27.848758702541026</v>
      </c>
      <c r="BC132" s="55">
        <f t="shared" si="89"/>
        <v>4.2690996860260411</v>
      </c>
      <c r="BD132" s="55">
        <f t="shared" si="90"/>
        <v>2.0661799742583029</v>
      </c>
      <c r="BE132" s="55">
        <f t="shared" si="91"/>
        <v>2.0248191675620846</v>
      </c>
      <c r="BF132" s="56">
        <f t="shared" si="92"/>
        <v>1.4533411313525743E-2</v>
      </c>
      <c r="BG132" s="56">
        <f t="shared" ref="BG132:BG195" si="95">IFERROR(IF(MATCH(AX132,$S$4:$S$20,0),VLOOKUP(AX132,$S$4:$AT$20,25,FALSE)),_xlfn.VAR.S((2^(($AI$23*AZ132)+$AI$24)),(2^(($AJ$23*AZ132)+$AJ$24)),(2^(($AK$23*AZ132)+$AK$24)),(2^(($AL$23*AZ132)+$AL$24))))</f>
        <v>1.1626787662757507E-6</v>
      </c>
      <c r="BH132" s="56">
        <f t="shared" ref="BH132:BH195" si="96">SQRT(BG132)</f>
        <v>1.0782758303308809E-3</v>
      </c>
      <c r="BI132" s="56">
        <f t="shared" si="93"/>
        <v>1.0566908964242741E-3</v>
      </c>
      <c r="BJ132" s="57">
        <f t="shared" ref="BJ132:BJ195" si="97">(((BF132*0.000001)*AY132)*1000000000000000)*$S$24</f>
        <v>1.2622748998903492E-3</v>
      </c>
      <c r="BK132" s="57">
        <f t="shared" ref="BK132:BK195" si="98">((((BH132*0.000001)*AY132)*1000000000000000)*$S$24)</f>
        <v>9.3651826568644993E-5</v>
      </c>
      <c r="BL132" s="58">
        <f t="shared" ref="BL132:BM195" si="99">((BJ132/$S$26)*0.000000001)/0.45</f>
        <v>2.2271751412079808</v>
      </c>
      <c r="BM132" s="58">
        <f t="shared" si="99"/>
        <v>0.16524056691654568</v>
      </c>
    </row>
    <row r="133" spans="2:65" x14ac:dyDescent="0.2">
      <c r="B133" s="47"/>
      <c r="C133" s="47"/>
      <c r="D133" s="47"/>
      <c r="H133" s="10"/>
      <c r="K133" s="10"/>
      <c r="L133" s="10"/>
      <c r="M133" s="10"/>
      <c r="N133" s="10"/>
      <c r="O133" s="10"/>
      <c r="P133" s="10"/>
      <c r="AU133" s="2">
        <v>-1504</v>
      </c>
      <c r="AV133" s="53">
        <v>131</v>
      </c>
      <c r="AW133" s="4" t="s">
        <v>1693</v>
      </c>
      <c r="AX133" t="s">
        <v>1694</v>
      </c>
      <c r="AY133" s="4">
        <v>23189</v>
      </c>
      <c r="AZ133" s="9">
        <v>19.668314857176462</v>
      </c>
      <c r="BA133" s="7">
        <f t="shared" si="94"/>
        <v>5.041072493538485E-4</v>
      </c>
      <c r="BB133" s="54">
        <f t="shared" si="88"/>
        <v>28.100913327165415</v>
      </c>
      <c r="BC133" s="55">
        <f t="shared" si="89"/>
        <v>4.3361644134857213</v>
      </c>
      <c r="BD133" s="55">
        <f t="shared" si="90"/>
        <v>2.0823458918934965</v>
      </c>
      <c r="BE133" s="55">
        <f t="shared" si="91"/>
        <v>2.0406614757330948</v>
      </c>
      <c r="BF133" s="56">
        <f t="shared" si="92"/>
        <v>1.46650030628535E-2</v>
      </c>
      <c r="BG133" s="56">
        <f t="shared" si="95"/>
        <v>1.1809436793295904E-6</v>
      </c>
      <c r="BH133" s="56">
        <f t="shared" si="96"/>
        <v>1.0867123259306441E-3</v>
      </c>
      <c r="BI133" s="56">
        <f t="shared" si="93"/>
        <v>1.0649585101899074E-3</v>
      </c>
      <c r="BJ133" s="57">
        <f t="shared" si="97"/>
        <v>1.0820605176545155E-3</v>
      </c>
      <c r="BK133" s="57">
        <f t="shared" si="98"/>
        <v>8.0183311036366911E-5</v>
      </c>
      <c r="BL133" s="58">
        <f t="shared" si="99"/>
        <v>1.9092024141588506</v>
      </c>
      <c r="BM133" s="58">
        <f t="shared" si="99"/>
        <v>0.14147653343614527</v>
      </c>
    </row>
    <row r="134" spans="2:65" x14ac:dyDescent="0.2">
      <c r="B134" s="47"/>
      <c r="C134" s="47"/>
      <c r="D134" s="47"/>
      <c r="H134" s="10"/>
      <c r="K134" s="10"/>
      <c r="L134" s="10"/>
      <c r="M134" s="10"/>
      <c r="N134" s="10"/>
      <c r="O134" s="10"/>
      <c r="P134" s="10"/>
      <c r="AU134" s="2">
        <v>-1503</v>
      </c>
      <c r="AV134" s="53">
        <v>132</v>
      </c>
      <c r="AW134" s="4" t="s">
        <v>2565</v>
      </c>
      <c r="AX134" t="s">
        <v>2566</v>
      </c>
      <c r="AY134" s="4">
        <v>31148</v>
      </c>
      <c r="AZ134" s="9">
        <v>19.688899102757691</v>
      </c>
      <c r="BA134" s="7">
        <f t="shared" si="94"/>
        <v>5.0463483229602367E-4</v>
      </c>
      <c r="BB134" s="54">
        <f t="shared" si="88"/>
        <v>28.479764775053756</v>
      </c>
      <c r="BC134" s="55">
        <f t="shared" si="89"/>
        <v>4.4377285613100375</v>
      </c>
      <c r="BD134" s="55">
        <f t="shared" si="90"/>
        <v>2.106591693069646</v>
      </c>
      <c r="BE134" s="55">
        <f t="shared" si="91"/>
        <v>2.0644219242738804</v>
      </c>
      <c r="BF134" s="56">
        <f t="shared" si="92"/>
        <v>1.4862713990571935E-2</v>
      </c>
      <c r="BG134" s="56">
        <f t="shared" si="95"/>
        <v>1.2086044243988042E-6</v>
      </c>
      <c r="BH134" s="56">
        <f t="shared" si="96"/>
        <v>1.0993654644379203E-3</v>
      </c>
      <c r="BI134" s="56">
        <f t="shared" si="93"/>
        <v>1.0773583580727364E-3</v>
      </c>
      <c r="BJ134" s="57">
        <f t="shared" si="97"/>
        <v>1.4730437940165292E-3</v>
      </c>
      <c r="BK134" s="57">
        <f t="shared" si="98"/>
        <v>1.0895812674412238E-4</v>
      </c>
      <c r="BL134" s="58">
        <f t="shared" si="99"/>
        <v>2.59905866798848</v>
      </c>
      <c r="BM134" s="58">
        <f t="shared" si="99"/>
        <v>0.19224721282042279</v>
      </c>
    </row>
    <row r="135" spans="2:65" x14ac:dyDescent="0.2">
      <c r="B135" s="47"/>
      <c r="C135" s="47"/>
      <c r="D135" s="47"/>
      <c r="H135" s="10"/>
      <c r="K135" s="10"/>
      <c r="L135" s="10"/>
      <c r="M135" s="10"/>
      <c r="N135" s="10"/>
      <c r="O135" s="10"/>
      <c r="P135" s="10"/>
      <c r="AU135" s="2">
        <v>-1502</v>
      </c>
      <c r="AV135" s="53">
        <v>133</v>
      </c>
      <c r="AW135" s="4" t="s">
        <v>1589</v>
      </c>
      <c r="AX135" t="s">
        <v>155</v>
      </c>
      <c r="AY135" s="4">
        <v>53364</v>
      </c>
      <c r="AZ135" s="9">
        <v>19.709148896824026</v>
      </c>
      <c r="BA135" s="7">
        <f t="shared" si="94"/>
        <v>5.0515384310406133E-4</v>
      </c>
      <c r="BB135" s="54">
        <f t="shared" si="88"/>
        <v>28.857444510727241</v>
      </c>
      <c r="BC135" s="55">
        <f t="shared" si="89"/>
        <v>4.539933463080791</v>
      </c>
      <c r="BD135" s="55">
        <f t="shared" si="90"/>
        <v>2.1307119615473114</v>
      </c>
      <c r="BE135" s="55">
        <f t="shared" si="91"/>
        <v>2.0880593530307108</v>
      </c>
      <c r="BF135" s="56">
        <f t="shared" si="92"/>
        <v>1.5059813437694702E-2</v>
      </c>
      <c r="BG135" s="56">
        <f t="shared" si="95"/>
        <v>1.2364396772243826E-6</v>
      </c>
      <c r="BH135" s="56">
        <f t="shared" si="96"/>
        <v>1.1119530912877497E-3</v>
      </c>
      <c r="BI135" s="56">
        <f t="shared" si="93"/>
        <v>1.089694005710984E-3</v>
      </c>
      <c r="BJ135" s="57">
        <f t="shared" si="97"/>
        <v>2.5571449091167813E-3</v>
      </c>
      <c r="BK135" s="57">
        <f t="shared" si="98"/>
        <v>1.8880879224214331E-4</v>
      </c>
      <c r="BL135" s="58">
        <f t="shared" si="99"/>
        <v>4.5118615402604973</v>
      </c>
      <c r="BM135" s="58">
        <f t="shared" si="99"/>
        <v>0.33313682190759913</v>
      </c>
    </row>
    <row r="136" spans="2:65" x14ac:dyDescent="0.2">
      <c r="B136" s="47"/>
      <c r="C136" s="47"/>
      <c r="D136" s="47"/>
      <c r="H136" s="10"/>
      <c r="K136" s="10"/>
      <c r="L136" s="10"/>
      <c r="M136" s="10"/>
      <c r="N136" s="10"/>
      <c r="O136" s="10"/>
      <c r="P136" s="10"/>
      <c r="AU136" s="2">
        <v>-1501</v>
      </c>
      <c r="AV136" s="53">
        <v>134</v>
      </c>
      <c r="AW136" s="4" t="s">
        <v>2219</v>
      </c>
      <c r="AX136" t="s">
        <v>2220</v>
      </c>
      <c r="AY136" s="4">
        <v>23871</v>
      </c>
      <c r="AZ136" s="9">
        <v>19.712410568475001</v>
      </c>
      <c r="BA136" s="7">
        <f t="shared" si="94"/>
        <v>5.052374411314576E-4</v>
      </c>
      <c r="BB136" s="54">
        <f t="shared" si="88"/>
        <v>28.918744731557762</v>
      </c>
      <c r="BC136" s="55">
        <f t="shared" si="89"/>
        <v>4.5566117005676112</v>
      </c>
      <c r="BD136" s="55">
        <f t="shared" si="90"/>
        <v>2.1346221446821945</v>
      </c>
      <c r="BE136" s="55">
        <f t="shared" si="91"/>
        <v>2.0918912620893741</v>
      </c>
      <c r="BF136" s="56">
        <f t="shared" si="92"/>
        <v>1.5091804139056163E-2</v>
      </c>
      <c r="BG136" s="56">
        <f t="shared" si="95"/>
        <v>1.2409819540534798E-6</v>
      </c>
      <c r="BH136" s="56">
        <f t="shared" si="96"/>
        <v>1.1139936956973677E-3</v>
      </c>
      <c r="BI136" s="56">
        <f t="shared" si="93"/>
        <v>1.0916937612857564E-3</v>
      </c>
      <c r="BJ136" s="57">
        <f t="shared" si="97"/>
        <v>1.1463022509985404E-3</v>
      </c>
      <c r="BK136" s="57">
        <f t="shared" si="98"/>
        <v>8.4613706168594436E-5</v>
      </c>
      <c r="BL136" s="58">
        <f t="shared" si="99"/>
        <v>2.022551409329675</v>
      </c>
      <c r="BM136" s="58">
        <f t="shared" si="99"/>
        <v>0.14929358335536899</v>
      </c>
    </row>
    <row r="137" spans="2:65" x14ac:dyDescent="0.2">
      <c r="B137" s="47"/>
      <c r="C137" s="47"/>
      <c r="D137" s="47"/>
      <c r="H137" s="10"/>
      <c r="K137" s="10"/>
      <c r="L137" s="10"/>
      <c r="M137" s="10"/>
      <c r="N137" s="10"/>
      <c r="O137" s="10"/>
      <c r="P137" s="10"/>
      <c r="AU137" s="2">
        <v>-1500</v>
      </c>
      <c r="AV137" s="53">
        <v>135</v>
      </c>
      <c r="AW137" s="4" t="s">
        <v>2416</v>
      </c>
      <c r="AX137" t="s">
        <v>1327</v>
      </c>
      <c r="AY137" s="4">
        <v>53112</v>
      </c>
      <c r="AZ137" s="9">
        <v>19.749873790942321</v>
      </c>
      <c r="BA137" s="7">
        <f t="shared" si="94"/>
        <v>5.061976394080802E-4</v>
      </c>
      <c r="BB137" s="54">
        <f t="shared" si="88"/>
        <v>29.632240450444272</v>
      </c>
      <c r="BC137" s="55">
        <f t="shared" si="89"/>
        <v>4.7525683066406419</v>
      </c>
      <c r="BD137" s="55">
        <f t="shared" si="90"/>
        <v>2.180038602098743</v>
      </c>
      <c r="BE137" s="55">
        <f t="shared" si="91"/>
        <v>2.1363985725102905</v>
      </c>
      <c r="BF137" s="56">
        <f t="shared" si="92"/>
        <v>1.5464155627457361E-2</v>
      </c>
      <c r="BG137" s="56">
        <f t="shared" si="95"/>
        <v>1.2943502522307843E-6</v>
      </c>
      <c r="BH137" s="56">
        <f t="shared" si="96"/>
        <v>1.1376951490758779E-3</v>
      </c>
      <c r="BI137" s="56">
        <f t="shared" si="93"/>
        <v>1.1149207587873239E-3</v>
      </c>
      <c r="BJ137" s="57">
        <f t="shared" si="97"/>
        <v>2.6134021223880948E-3</v>
      </c>
      <c r="BK137" s="57">
        <f t="shared" si="98"/>
        <v>1.9226752425760516E-4</v>
      </c>
      <c r="BL137" s="58">
        <f t="shared" si="99"/>
        <v>4.6111225387342758</v>
      </c>
      <c r="BM137" s="58">
        <f t="shared" si="99"/>
        <v>0.3392394561005202</v>
      </c>
    </row>
    <row r="138" spans="2:65" x14ac:dyDescent="0.2">
      <c r="B138" s="47"/>
      <c r="C138" s="47"/>
      <c r="D138" s="47"/>
      <c r="H138" s="10"/>
      <c r="K138" s="10"/>
      <c r="L138" s="10"/>
      <c r="M138" s="10"/>
      <c r="N138" s="10"/>
      <c r="O138" s="10"/>
      <c r="P138" s="10"/>
      <c r="AU138" s="2">
        <v>-1499</v>
      </c>
      <c r="AV138" s="53">
        <v>136</v>
      </c>
      <c r="AW138" s="4" t="s">
        <v>1775</v>
      </c>
      <c r="AX138" t="s">
        <v>1776</v>
      </c>
      <c r="AY138" s="4">
        <v>13462</v>
      </c>
      <c r="AZ138" s="9">
        <v>19.752549430256742</v>
      </c>
      <c r="BA138" s="7">
        <f t="shared" si="94"/>
        <v>5.0626621717820696E-4</v>
      </c>
      <c r="BB138" s="54">
        <f t="shared" si="88"/>
        <v>29.683867117730752</v>
      </c>
      <c r="BC138" s="55">
        <f t="shared" si="89"/>
        <v>4.7668777082434834</v>
      </c>
      <c r="BD138" s="55">
        <f t="shared" si="90"/>
        <v>2.1833180501803864</v>
      </c>
      <c r="BE138" s="55">
        <f t="shared" si="91"/>
        <v>2.1396123725748852</v>
      </c>
      <c r="BF138" s="56">
        <f t="shared" si="92"/>
        <v>1.5491097998513665E-2</v>
      </c>
      <c r="BG138" s="56">
        <f t="shared" si="95"/>
        <v>1.2982473824514949E-6</v>
      </c>
      <c r="BH138" s="56">
        <f t="shared" si="96"/>
        <v>1.1394065922450576E-3</v>
      </c>
      <c r="BI138" s="56">
        <f t="shared" si="93"/>
        <v>1.1165979422739136E-3</v>
      </c>
      <c r="BJ138" s="57">
        <f t="shared" si="97"/>
        <v>6.6355841288016904E-4</v>
      </c>
      <c r="BK138" s="57">
        <f t="shared" si="98"/>
        <v>4.8806277647192909E-5</v>
      </c>
      <c r="BL138" s="58">
        <f t="shared" si="99"/>
        <v>1.1707915621506157</v>
      </c>
      <c r="BM138" s="58">
        <f t="shared" si="99"/>
        <v>8.6114465494137052E-2</v>
      </c>
    </row>
    <row r="139" spans="2:65" x14ac:dyDescent="0.2">
      <c r="B139" s="47"/>
      <c r="C139" s="47"/>
      <c r="D139" s="47"/>
      <c r="H139" s="10"/>
      <c r="K139" s="10"/>
      <c r="L139" s="10"/>
      <c r="M139" s="10"/>
      <c r="N139" s="10"/>
      <c r="O139" s="10"/>
      <c r="P139" s="10"/>
      <c r="AU139" s="2">
        <v>-1498</v>
      </c>
      <c r="AV139" s="53">
        <v>137</v>
      </c>
      <c r="AW139" s="4" t="s">
        <v>2385</v>
      </c>
      <c r="AX139" t="s">
        <v>725</v>
      </c>
      <c r="AY139" s="4">
        <v>24774</v>
      </c>
      <c r="AZ139" s="9">
        <v>19.794782848207845</v>
      </c>
      <c r="BA139" s="7">
        <f t="shared" si="94"/>
        <v>5.0734867758769008E-4</v>
      </c>
      <c r="BB139" s="54">
        <f t="shared" si="88"/>
        <v>30.51078293655037</v>
      </c>
      <c r="BC139" s="55">
        <f t="shared" si="89"/>
        <v>4.9984593161105488</v>
      </c>
      <c r="BD139" s="55">
        <f t="shared" si="90"/>
        <v>2.2357234435659854</v>
      </c>
      <c r="BE139" s="55">
        <f t="shared" si="91"/>
        <v>2.1909687143905994</v>
      </c>
      <c r="BF139" s="56">
        <f t="shared" si="92"/>
        <v>1.5922639951421964E-2</v>
      </c>
      <c r="BG139" s="56">
        <f t="shared" si="95"/>
        <v>1.361318061969321E-6</v>
      </c>
      <c r="BH139" s="56">
        <f t="shared" si="96"/>
        <v>1.166755356520518E-3</v>
      </c>
      <c r="BI139" s="56">
        <f t="shared" si="93"/>
        <v>1.1433992387747025E-3</v>
      </c>
      <c r="BJ139" s="57">
        <f t="shared" si="97"/>
        <v>1.2551585251379354E-3</v>
      </c>
      <c r="BK139" s="57">
        <f t="shared" si="98"/>
        <v>9.1973626041597206E-5</v>
      </c>
      <c r="BL139" s="58">
        <f t="shared" si="99"/>
        <v>2.2146189120177522</v>
      </c>
      <c r="BM139" s="58">
        <f t="shared" si="99"/>
        <v>0.16227952689576441</v>
      </c>
    </row>
    <row r="140" spans="2:65" x14ac:dyDescent="0.2">
      <c r="B140" s="47"/>
      <c r="C140" s="47"/>
      <c r="D140" s="47"/>
      <c r="H140" s="10"/>
      <c r="K140" s="10"/>
      <c r="L140" s="10"/>
      <c r="M140" s="10"/>
      <c r="N140" s="10"/>
      <c r="O140" s="10"/>
      <c r="P140" s="10"/>
      <c r="AU140" s="2">
        <v>-1497</v>
      </c>
      <c r="AV140" s="53">
        <v>138</v>
      </c>
      <c r="AW140" s="4" t="s">
        <v>2341</v>
      </c>
      <c r="AX140" t="s">
        <v>689</v>
      </c>
      <c r="AY140" s="4">
        <v>36416</v>
      </c>
      <c r="AZ140" s="9">
        <v>19.828328662100702</v>
      </c>
      <c r="BA140" s="7">
        <f t="shared" si="94"/>
        <v>5.0820847102152832E-4</v>
      </c>
      <c r="BB140" s="54">
        <f t="shared" si="88"/>
        <v>31.183983980975047</v>
      </c>
      <c r="BC140" s="55">
        <f t="shared" si="89"/>
        <v>5.1902870815327864</v>
      </c>
      <c r="BD140" s="55">
        <f t="shared" si="90"/>
        <v>2.2782201565109519</v>
      </c>
      <c r="BE140" s="55">
        <f t="shared" si="91"/>
        <v>2.2326147278073347</v>
      </c>
      <c r="BF140" s="56">
        <f t="shared" si="92"/>
        <v>1.6273962887565111E-2</v>
      </c>
      <c r="BG140" s="56">
        <f t="shared" si="95"/>
        <v>1.4135618805826097E-6</v>
      </c>
      <c r="BH140" s="56">
        <f t="shared" si="96"/>
        <v>1.1889330849894832E-3</v>
      </c>
      <c r="BI140" s="56">
        <f t="shared" si="93"/>
        <v>1.1651330133037429E-3</v>
      </c>
      <c r="BJ140" s="57">
        <f t="shared" si="97"/>
        <v>1.8857014446609856E-3</v>
      </c>
      <c r="BK140" s="57">
        <f t="shared" si="98"/>
        <v>1.3776440633786845E-4</v>
      </c>
      <c r="BL140" s="58">
        <f t="shared" si="99"/>
        <v>3.3271574849929673</v>
      </c>
      <c r="BM140" s="58">
        <f t="shared" si="99"/>
        <v>0.24307340751656314</v>
      </c>
    </row>
    <row r="141" spans="2:65" x14ac:dyDescent="0.2">
      <c r="B141" s="47"/>
      <c r="C141" s="47"/>
      <c r="D141" s="47"/>
      <c r="H141" s="10"/>
      <c r="K141" s="10"/>
      <c r="L141" s="10"/>
      <c r="M141" s="10"/>
      <c r="N141" s="10"/>
      <c r="O141" s="10"/>
      <c r="P141" s="10"/>
      <c r="AU141" s="2">
        <v>-1496</v>
      </c>
      <c r="AV141" s="53">
        <v>139</v>
      </c>
      <c r="AW141" s="4" t="s">
        <v>2978</v>
      </c>
      <c r="AX141" t="s">
        <v>2979</v>
      </c>
      <c r="AY141" s="4">
        <v>42313</v>
      </c>
      <c r="AZ141" s="9">
        <v>19.83484855418498</v>
      </c>
      <c r="BA141" s="7">
        <f t="shared" si="94"/>
        <v>5.0837557862014858E-4</v>
      </c>
      <c r="BB141" s="54">
        <f t="shared" si="88"/>
        <v>31.316539931042684</v>
      </c>
      <c r="BC141" s="55">
        <f t="shared" si="89"/>
        <v>5.2284049581219119</v>
      </c>
      <c r="BD141" s="55">
        <f t="shared" si="90"/>
        <v>2.2865705670549317</v>
      </c>
      <c r="BE141" s="55">
        <f t="shared" si="91"/>
        <v>2.2407979797684967</v>
      </c>
      <c r="BF141" s="56">
        <f t="shared" si="92"/>
        <v>1.6343139764170841E-2</v>
      </c>
      <c r="BG141" s="56">
        <f t="shared" si="95"/>
        <v>1.4239431902228052E-6</v>
      </c>
      <c r="BH141" s="56">
        <f t="shared" si="96"/>
        <v>1.1932909076259675E-3</v>
      </c>
      <c r="BI141" s="56">
        <f t="shared" si="93"/>
        <v>1.1694036010130042E-3</v>
      </c>
      <c r="BJ141" s="57">
        <f t="shared" si="97"/>
        <v>2.2003749133567398E-3</v>
      </c>
      <c r="BK141" s="57">
        <f t="shared" si="98"/>
        <v>1.6065991084731365E-4</v>
      </c>
      <c r="BL141" s="58">
        <f t="shared" si="99"/>
        <v>3.8823716678446991</v>
      </c>
      <c r="BM141" s="58">
        <f t="shared" si="99"/>
        <v>0.28347054960762519</v>
      </c>
    </row>
    <row r="142" spans="2:65" x14ac:dyDescent="0.2">
      <c r="B142" s="47"/>
      <c r="C142" s="47"/>
      <c r="D142" s="47"/>
      <c r="H142" s="10"/>
      <c r="K142" s="10"/>
      <c r="L142" s="10"/>
      <c r="M142" s="10"/>
      <c r="N142" s="10"/>
      <c r="O142" s="10"/>
      <c r="P142" s="10"/>
      <c r="AU142" s="2">
        <v>-1495</v>
      </c>
      <c r="AV142" s="53">
        <v>140</v>
      </c>
      <c r="AW142" s="4" t="s">
        <v>3225</v>
      </c>
      <c r="AX142" t="s">
        <v>3226</v>
      </c>
      <c r="AY142" s="5">
        <v>13029.19</v>
      </c>
      <c r="AZ142" s="9">
        <v>19.844397243242494</v>
      </c>
      <c r="BA142" s="7">
        <f t="shared" si="94"/>
        <v>5.0862031556943342E-4</v>
      </c>
      <c r="BB142" s="54">
        <f t="shared" si="88"/>
        <v>31.511692012633898</v>
      </c>
      <c r="BC142" s="55">
        <f t="shared" si="89"/>
        <v>5.2847295275419199</v>
      </c>
      <c r="BD142" s="55">
        <f t="shared" si="90"/>
        <v>2.2988539595941972</v>
      </c>
      <c r="BE142" s="55">
        <f t="shared" si="91"/>
        <v>2.2528354832609612</v>
      </c>
      <c r="BF142" s="56">
        <f t="shared" si="92"/>
        <v>1.6444983638102515E-2</v>
      </c>
      <c r="BG142" s="56">
        <f t="shared" si="95"/>
        <v>1.4392830477339119E-6</v>
      </c>
      <c r="BH142" s="56">
        <f t="shared" si="96"/>
        <v>1.199701232696671E-3</v>
      </c>
      <c r="BI142" s="56">
        <f t="shared" si="93"/>
        <v>1.1756856041468906E-3</v>
      </c>
      <c r="BJ142" s="57">
        <f t="shared" si="97"/>
        <v>6.8177054653735232E-4</v>
      </c>
      <c r="BK142" s="57">
        <f t="shared" si="98"/>
        <v>4.9736806256349654E-5</v>
      </c>
      <c r="BL142" s="58">
        <f t="shared" si="99"/>
        <v>1.2029253004933169</v>
      </c>
      <c r="BM142" s="58">
        <f t="shared" si="99"/>
        <v>8.7756302931193561E-2</v>
      </c>
    </row>
    <row r="143" spans="2:65" x14ac:dyDescent="0.2">
      <c r="B143" s="47"/>
      <c r="C143" s="47"/>
      <c r="D143" s="47"/>
      <c r="H143" s="10"/>
      <c r="K143" s="10"/>
      <c r="L143" s="10"/>
      <c r="M143" s="10"/>
      <c r="N143" s="10"/>
      <c r="O143" s="10"/>
      <c r="P143" s="10"/>
      <c r="AU143" s="2">
        <v>-1494</v>
      </c>
      <c r="AV143" s="53">
        <v>141</v>
      </c>
      <c r="AW143" s="4" t="s">
        <v>1781</v>
      </c>
      <c r="AX143" t="s">
        <v>1782</v>
      </c>
      <c r="AY143" s="4">
        <v>21882</v>
      </c>
      <c r="AZ143" s="9">
        <v>19.865891314681033</v>
      </c>
      <c r="BA143" s="7">
        <f t="shared" si="94"/>
        <v>5.0917121773410678E-4</v>
      </c>
      <c r="BB143" s="54">
        <f t="shared" si="88"/>
        <v>31.955440448612379</v>
      </c>
      <c r="BC143" s="55">
        <f t="shared" si="89"/>
        <v>5.4137164590379179</v>
      </c>
      <c r="BD143" s="55">
        <f t="shared" si="90"/>
        <v>2.3267394480340764</v>
      </c>
      <c r="BE143" s="55">
        <f t="shared" si="91"/>
        <v>2.2801627597776966</v>
      </c>
      <c r="BF143" s="56">
        <f t="shared" si="92"/>
        <v>1.6676562309478664E-2</v>
      </c>
      <c r="BG143" s="56">
        <f t="shared" si="95"/>
        <v>1.474412320275427E-6</v>
      </c>
      <c r="BH143" s="56">
        <f t="shared" si="96"/>
        <v>1.2142538121313134E-3</v>
      </c>
      <c r="BI143" s="56">
        <f t="shared" si="93"/>
        <v>1.1899468699339193E-3</v>
      </c>
      <c r="BJ143" s="57">
        <f t="shared" si="97"/>
        <v>1.1611301879499987E-3</v>
      </c>
      <c r="BK143" s="57">
        <f t="shared" si="98"/>
        <v>8.4544208268731033E-5</v>
      </c>
      <c r="BL143" s="58">
        <f t="shared" si="99"/>
        <v>2.0487140246019551</v>
      </c>
      <c r="BM143" s="58">
        <f t="shared" si="99"/>
        <v>0.14917096030792079</v>
      </c>
    </row>
    <row r="144" spans="2:65" x14ac:dyDescent="0.2">
      <c r="B144" s="47"/>
      <c r="C144" s="47"/>
      <c r="D144" s="47"/>
      <c r="H144" s="10"/>
      <c r="K144" s="10"/>
      <c r="L144" s="10"/>
      <c r="M144" s="10"/>
      <c r="N144" s="10"/>
      <c r="O144" s="10"/>
      <c r="P144" s="10"/>
      <c r="AU144" s="2">
        <v>-1493</v>
      </c>
      <c r="AV144" s="53">
        <v>142</v>
      </c>
      <c r="AW144" s="4" t="s">
        <v>1386</v>
      </c>
      <c r="AX144" t="s">
        <v>9</v>
      </c>
      <c r="AY144" s="4">
        <v>43941</v>
      </c>
      <c r="AZ144" s="9">
        <v>19.866636001611596</v>
      </c>
      <c r="BA144" s="7">
        <f t="shared" si="94"/>
        <v>5.0919030437589197E-4</v>
      </c>
      <c r="BB144" s="54">
        <f t="shared" si="88"/>
        <v>31.970926130891655</v>
      </c>
      <c r="BC144" s="55">
        <f t="shared" si="89"/>
        <v>5.4182406106926884</v>
      </c>
      <c r="BD144" s="55">
        <f t="shared" si="90"/>
        <v>2.3277114534865975</v>
      </c>
      <c r="BE144" s="55">
        <f t="shared" si="91"/>
        <v>2.2811153076175557</v>
      </c>
      <c r="BF144" s="56">
        <f t="shared" si="92"/>
        <v>1.6684643811151284E-2</v>
      </c>
      <c r="BG144" s="56">
        <f t="shared" si="95"/>
        <v>1.4756444618161409E-6</v>
      </c>
      <c r="BH144" s="56">
        <f t="shared" si="96"/>
        <v>1.2147610719051467E-3</v>
      </c>
      <c r="BI144" s="56">
        <f t="shared" si="93"/>
        <v>1.190443975377679E-3</v>
      </c>
      <c r="BJ144" s="57">
        <f t="shared" si="97"/>
        <v>2.3327824967451912E-3</v>
      </c>
      <c r="BK144" s="57">
        <f t="shared" si="98"/>
        <v>1.6984320422673831E-4</v>
      </c>
      <c r="BL144" s="58">
        <f t="shared" si="99"/>
        <v>4.1159934234985567</v>
      </c>
      <c r="BM144" s="58">
        <f t="shared" si="99"/>
        <v>0.2996736783641672</v>
      </c>
    </row>
    <row r="145" spans="2:65" x14ac:dyDescent="0.2">
      <c r="B145" s="47"/>
      <c r="C145" s="47"/>
      <c r="D145" s="47"/>
      <c r="H145" s="10"/>
      <c r="K145" s="10"/>
      <c r="L145" s="10"/>
      <c r="M145" s="10"/>
      <c r="N145" s="10"/>
      <c r="O145" s="10"/>
      <c r="P145" s="10"/>
      <c r="AU145" s="2">
        <v>-1492</v>
      </c>
      <c r="AV145" s="53">
        <v>143</v>
      </c>
      <c r="AW145" s="4" t="s">
        <v>2742</v>
      </c>
      <c r="AX145" t="s">
        <v>1345</v>
      </c>
      <c r="AY145" s="4">
        <v>34473</v>
      </c>
      <c r="AZ145" s="9">
        <v>19.87111612823135</v>
      </c>
      <c r="BA145" s="7">
        <f t="shared" si="94"/>
        <v>5.0930513192077524E-4</v>
      </c>
      <c r="BB145" s="54">
        <f t="shared" si="88"/>
        <v>32.064248388829853</v>
      </c>
      <c r="BC145" s="55">
        <f t="shared" si="89"/>
        <v>5.4455373075685083</v>
      </c>
      <c r="BD145" s="55">
        <f t="shared" si="90"/>
        <v>2.3335675065376851</v>
      </c>
      <c r="BE145" s="55">
        <f t="shared" si="91"/>
        <v>2.2868541341533994</v>
      </c>
      <c r="BF145" s="56">
        <f t="shared" si="92"/>
        <v>1.6733345829571915E-2</v>
      </c>
      <c r="BG145" s="56">
        <f t="shared" si="95"/>
        <v>1.4830786498607263E-6</v>
      </c>
      <c r="BH145" s="56">
        <f t="shared" si="96"/>
        <v>1.2178171660231787E-3</v>
      </c>
      <c r="BI145" s="56">
        <f t="shared" si="93"/>
        <v>1.1934388925800327E-3</v>
      </c>
      <c r="BJ145" s="57">
        <f t="shared" si="97"/>
        <v>1.8354782317745377E-3</v>
      </c>
      <c r="BK145" s="57">
        <f t="shared" si="98"/>
        <v>1.3358218501446505E-4</v>
      </c>
      <c r="BL145" s="58">
        <f t="shared" si="99"/>
        <v>3.2385429595342026</v>
      </c>
      <c r="BM145" s="58">
        <f t="shared" si="99"/>
        <v>0.23569423886849517</v>
      </c>
    </row>
    <row r="146" spans="2:65" x14ac:dyDescent="0.2">
      <c r="B146" s="47"/>
      <c r="C146" s="47"/>
      <c r="D146" s="47"/>
      <c r="H146" s="10"/>
      <c r="K146" s="10"/>
      <c r="L146" s="10"/>
      <c r="M146" s="10"/>
      <c r="N146" s="10"/>
      <c r="O146" s="10"/>
      <c r="P146" s="10"/>
      <c r="AU146" s="2">
        <v>-1491</v>
      </c>
      <c r="AV146" s="53">
        <v>144</v>
      </c>
      <c r="AW146" s="4" t="s">
        <v>3073</v>
      </c>
      <c r="AX146" t="s">
        <v>1227</v>
      </c>
      <c r="AY146" s="4">
        <v>31496</v>
      </c>
      <c r="AZ146" s="9">
        <v>19.896743330860641</v>
      </c>
      <c r="BA146" s="7">
        <f t="shared" si="94"/>
        <v>5.09961967990357E-4</v>
      </c>
      <c r="BB146" s="54">
        <f t="shared" si="88"/>
        <v>32.60333028102454</v>
      </c>
      <c r="BC146" s="55">
        <f t="shared" si="89"/>
        <v>5.6043082754676794</v>
      </c>
      <c r="BD146" s="55">
        <f t="shared" si="90"/>
        <v>2.3673420275633346</v>
      </c>
      <c r="BE146" s="55">
        <f t="shared" si="91"/>
        <v>2.3199525565560815</v>
      </c>
      <c r="BF146" s="56">
        <f t="shared" si="92"/>
        <v>1.7014676101941441E-2</v>
      </c>
      <c r="BG146" s="56">
        <f t="shared" si="95"/>
        <v>1.5263195312300742E-6</v>
      </c>
      <c r="BH146" s="56">
        <f t="shared" si="96"/>
        <v>1.2354430505814803E-3</v>
      </c>
      <c r="BI146" s="56">
        <f t="shared" si="93"/>
        <v>1.2107119420449986E-3</v>
      </c>
      <c r="BJ146" s="57">
        <f t="shared" si="97"/>
        <v>1.705165197285237E-3</v>
      </c>
      <c r="BK146" s="57">
        <f t="shared" si="98"/>
        <v>1.2381278846907169E-4</v>
      </c>
      <c r="BL146" s="58">
        <f t="shared" si="99"/>
        <v>3.008616854677677</v>
      </c>
      <c r="BM146" s="58">
        <f t="shared" si="99"/>
        <v>0.21845698164949057</v>
      </c>
    </row>
    <row r="147" spans="2:65" x14ac:dyDescent="0.2">
      <c r="B147" s="47"/>
      <c r="C147" s="47"/>
      <c r="D147" s="47"/>
      <c r="H147" s="10"/>
      <c r="K147" s="10"/>
      <c r="L147" s="10"/>
      <c r="M147" s="10"/>
      <c r="N147" s="10"/>
      <c r="O147" s="10"/>
      <c r="P147" s="10"/>
      <c r="AU147" s="2">
        <v>-1490</v>
      </c>
      <c r="AV147" s="53">
        <v>145</v>
      </c>
      <c r="AW147" s="4" t="s">
        <v>3207</v>
      </c>
      <c r="AX147" t="s">
        <v>3208</v>
      </c>
      <c r="AY147" s="5">
        <v>40898.55999999999</v>
      </c>
      <c r="AZ147" s="9">
        <v>19.904937385584375</v>
      </c>
      <c r="BA147" s="7">
        <f t="shared" si="94"/>
        <v>5.1017198508728845E-4</v>
      </c>
      <c r="BB147" s="54">
        <f t="shared" si="88"/>
        <v>32.777601763106546</v>
      </c>
      <c r="BC147" s="55">
        <f t="shared" si="89"/>
        <v>5.656031124153075</v>
      </c>
      <c r="BD147" s="55">
        <f t="shared" si="90"/>
        <v>2.3782411829234382</v>
      </c>
      <c r="BE147" s="55">
        <f t="shared" si="91"/>
        <v>2.3306335325399363</v>
      </c>
      <c r="BF147" s="56">
        <f t="shared" si="92"/>
        <v>1.7105623032695819E-2</v>
      </c>
      <c r="BG147" s="56">
        <f t="shared" si="95"/>
        <v>1.5404061214529957E-6</v>
      </c>
      <c r="BH147" s="56">
        <f t="shared" si="96"/>
        <v>1.2411309848090152E-3</v>
      </c>
      <c r="BI147" s="56">
        <f t="shared" si="93"/>
        <v>1.2162860151611991E-3</v>
      </c>
      <c r="BJ147" s="57">
        <f t="shared" si="97"/>
        <v>2.2260467778576622E-3</v>
      </c>
      <c r="BK147" s="57">
        <f t="shared" si="98"/>
        <v>1.6151505410545692E-4</v>
      </c>
      <c r="BL147" s="58">
        <f t="shared" si="99"/>
        <v>3.9276674575731332</v>
      </c>
      <c r="BM147" s="58">
        <f t="shared" si="99"/>
        <v>0.2849793760976978</v>
      </c>
    </row>
    <row r="148" spans="2:65" x14ac:dyDescent="0.2">
      <c r="B148" s="47"/>
      <c r="C148" s="47"/>
      <c r="D148" s="47"/>
      <c r="H148" s="10"/>
      <c r="K148" s="10"/>
      <c r="L148" s="10"/>
      <c r="M148" s="10"/>
      <c r="N148" s="10"/>
      <c r="O148" s="10"/>
      <c r="P148" s="10"/>
      <c r="AU148" s="2">
        <v>-1489</v>
      </c>
      <c r="AV148" s="53">
        <v>146</v>
      </c>
      <c r="AW148" s="4" t="s">
        <v>1440</v>
      </c>
      <c r="AX148" t="s">
        <v>49</v>
      </c>
      <c r="AY148" s="4">
        <v>9757</v>
      </c>
      <c r="AZ148" s="9">
        <v>19.910110794756239</v>
      </c>
      <c r="BA148" s="7">
        <f t="shared" si="94"/>
        <v>5.1030458175794114E-4</v>
      </c>
      <c r="BB148" s="54">
        <f t="shared" si="88"/>
        <v>32.888109480620287</v>
      </c>
      <c r="BC148" s="55">
        <f t="shared" si="89"/>
        <v>5.6889292216633889</v>
      </c>
      <c r="BD148" s="55">
        <f t="shared" si="90"/>
        <v>2.3851476309996809</v>
      </c>
      <c r="BE148" s="55">
        <f t="shared" si="91"/>
        <v>2.3374017272852021</v>
      </c>
      <c r="BF148" s="56">
        <f t="shared" si="92"/>
        <v>1.7163293614322124E-2</v>
      </c>
      <c r="BG148" s="56">
        <f t="shared" si="95"/>
        <v>1.5493658371399472E-6</v>
      </c>
      <c r="BH148" s="56">
        <f t="shared" si="96"/>
        <v>1.244735247809729E-3</v>
      </c>
      <c r="BI148" s="56">
        <f t="shared" si="93"/>
        <v>1.2198181279973036E-3</v>
      </c>
      <c r="BJ148" s="57">
        <f t="shared" si="97"/>
        <v>5.3284918911628834E-4</v>
      </c>
      <c r="BK148" s="57">
        <f t="shared" si="98"/>
        <v>3.8643874676036186E-5</v>
      </c>
      <c r="BL148" s="58">
        <f t="shared" si="99"/>
        <v>0.94016641550562208</v>
      </c>
      <c r="BM148" s="58">
        <f t="shared" si="99"/>
        <v>6.8183782348758423E-2</v>
      </c>
    </row>
    <row r="149" spans="2:65" x14ac:dyDescent="0.2">
      <c r="B149" s="47"/>
      <c r="C149" s="47"/>
      <c r="D149" s="47"/>
      <c r="H149" s="10"/>
      <c r="K149" s="10"/>
      <c r="L149" s="10"/>
      <c r="M149" s="10"/>
      <c r="N149" s="10"/>
      <c r="O149" s="10"/>
      <c r="P149" s="10"/>
      <c r="AU149" s="2">
        <v>-1488</v>
      </c>
      <c r="AV149" s="53">
        <v>147</v>
      </c>
      <c r="AW149" s="4" t="s">
        <v>2040</v>
      </c>
      <c r="AX149" t="s">
        <v>2041</v>
      </c>
      <c r="AY149" s="4">
        <v>14901</v>
      </c>
      <c r="AZ149" s="9">
        <v>19.925863467408394</v>
      </c>
      <c r="BA149" s="7">
        <f t="shared" si="94"/>
        <v>5.107083294373084E-4</v>
      </c>
      <c r="BB149" s="54">
        <f t="shared" si="88"/>
        <v>33.226897677610971</v>
      </c>
      <c r="BC149" s="55">
        <f t="shared" si="89"/>
        <v>5.7902688549373957</v>
      </c>
      <c r="BD149" s="55">
        <f t="shared" si="90"/>
        <v>2.4062977486041488</v>
      </c>
      <c r="BE149" s="55">
        <f t="shared" si="91"/>
        <v>2.3581284616719738</v>
      </c>
      <c r="BF149" s="56">
        <f t="shared" si="92"/>
        <v>1.7340096762628484E-2</v>
      </c>
      <c r="BG149" s="56">
        <f t="shared" si="95"/>
        <v>1.5769654362253388E-6</v>
      </c>
      <c r="BH149" s="56">
        <f t="shared" si="96"/>
        <v>1.2557728441980815E-3</v>
      </c>
      <c r="BI149" s="56">
        <f t="shared" si="93"/>
        <v>1.2306347736958339E-3</v>
      </c>
      <c r="BJ149" s="57">
        <f t="shared" si="97"/>
        <v>8.2215613805323236E-4</v>
      </c>
      <c r="BK149" s="57">
        <f t="shared" si="98"/>
        <v>5.954069149620573E-5</v>
      </c>
      <c r="BL149" s="58">
        <f t="shared" si="99"/>
        <v>1.4506235630786748</v>
      </c>
      <c r="BM149" s="58">
        <f t="shared" si="99"/>
        <v>0.10505441247560425</v>
      </c>
    </row>
    <row r="150" spans="2:65" x14ac:dyDescent="0.2">
      <c r="B150" s="47"/>
      <c r="C150" s="47"/>
      <c r="D150" s="47"/>
      <c r="H150" s="10"/>
      <c r="K150" s="10"/>
      <c r="L150" s="10"/>
      <c r="M150" s="10"/>
      <c r="N150" s="10"/>
      <c r="O150" s="10"/>
      <c r="P150" s="10"/>
      <c r="AU150" s="2">
        <v>-1487</v>
      </c>
      <c r="AV150" s="53">
        <v>148</v>
      </c>
      <c r="AW150" s="4" t="s">
        <v>1998</v>
      </c>
      <c r="AX150" t="s">
        <v>426</v>
      </c>
      <c r="AY150" s="4">
        <v>17544</v>
      </c>
      <c r="AZ150" s="9">
        <v>19.927793391233251</v>
      </c>
      <c r="BA150" s="7">
        <f t="shared" si="94"/>
        <v>5.1075779420324671E-4</v>
      </c>
      <c r="BB150" s="54">
        <f t="shared" si="88"/>
        <v>33.268643268240545</v>
      </c>
      <c r="BC150" s="55">
        <f t="shared" si="89"/>
        <v>5.8028062248520014</v>
      </c>
      <c r="BD150" s="55">
        <f t="shared" si="90"/>
        <v>2.408901456027623</v>
      </c>
      <c r="BE150" s="55">
        <f t="shared" si="91"/>
        <v>2.3606800480601184</v>
      </c>
      <c r="BF150" s="56">
        <f t="shared" si="92"/>
        <v>1.7361882503444663E-2</v>
      </c>
      <c r="BG150" s="56">
        <f t="shared" si="95"/>
        <v>1.5803799579878981E-6</v>
      </c>
      <c r="BH150" s="56">
        <f t="shared" si="96"/>
        <v>1.2571316390847453E-3</v>
      </c>
      <c r="BI150" s="56">
        <f t="shared" si="93"/>
        <v>1.2319663682159529E-3</v>
      </c>
      <c r="BJ150" s="57">
        <f t="shared" si="97"/>
        <v>9.6919865689292992E-4</v>
      </c>
      <c r="BK150" s="57">
        <f t="shared" si="98"/>
        <v>7.0177314925199243E-5</v>
      </c>
      <c r="BL150" s="58">
        <f t="shared" si="99"/>
        <v>1.7100673995114746</v>
      </c>
      <c r="BM150" s="58">
        <f t="shared" si="99"/>
        <v>0.12382181669912372</v>
      </c>
    </row>
    <row r="151" spans="2:65" x14ac:dyDescent="0.2">
      <c r="B151" s="47"/>
      <c r="C151" s="47"/>
      <c r="D151" s="47"/>
      <c r="H151" s="10"/>
      <c r="K151" s="10"/>
      <c r="L151" s="10"/>
      <c r="M151" s="10"/>
      <c r="N151" s="10"/>
      <c r="O151" s="10"/>
      <c r="P151" s="10"/>
      <c r="AU151" s="2">
        <v>-1486</v>
      </c>
      <c r="AV151" s="53">
        <v>149</v>
      </c>
      <c r="AW151" s="4" t="s">
        <v>3169</v>
      </c>
      <c r="AX151" t="s">
        <v>3170</v>
      </c>
      <c r="AY151" s="5">
        <v>21190.339999999993</v>
      </c>
      <c r="AZ151" s="9">
        <v>19.937500261979107</v>
      </c>
      <c r="BA151" s="7">
        <f t="shared" si="94"/>
        <v>5.1100658541627431E-4</v>
      </c>
      <c r="BB151" s="54">
        <f t="shared" si="88"/>
        <v>33.479406326447318</v>
      </c>
      <c r="BC151" s="55">
        <f t="shared" si="89"/>
        <v>5.8662723129834715</v>
      </c>
      <c r="BD151" s="55">
        <f t="shared" si="90"/>
        <v>2.4220388752007</v>
      </c>
      <c r="BE151" s="55">
        <f t="shared" si="91"/>
        <v>2.3735544822746371</v>
      </c>
      <c r="BF151" s="56">
        <f t="shared" si="92"/>
        <v>1.7471873266312526E-2</v>
      </c>
      <c r="BG151" s="56">
        <f t="shared" si="95"/>
        <v>1.5976647904997195E-6</v>
      </c>
      <c r="BH151" s="56">
        <f t="shared" si="96"/>
        <v>1.2639876544095355E-3</v>
      </c>
      <c r="BI151" s="56">
        <f t="shared" si="93"/>
        <v>1.2386851397729747E-3</v>
      </c>
      <c r="BJ151" s="57">
        <f t="shared" si="97"/>
        <v>1.1780528330648937E-3</v>
      </c>
      <c r="BK151" s="57">
        <f t="shared" si="98"/>
        <v>8.522521967391015E-5</v>
      </c>
      <c r="BL151" s="58">
        <f t="shared" si="99"/>
        <v>2.0785725716796581</v>
      </c>
      <c r="BM151" s="58">
        <f t="shared" si="99"/>
        <v>0.15037254616899257</v>
      </c>
    </row>
    <row r="152" spans="2:65" x14ac:dyDescent="0.2">
      <c r="B152" s="47"/>
      <c r="C152" s="47"/>
      <c r="D152" s="47"/>
      <c r="H152" s="10"/>
      <c r="K152" s="10"/>
      <c r="L152" s="10"/>
      <c r="M152" s="10"/>
      <c r="N152" s="10"/>
      <c r="O152" s="10"/>
      <c r="P152" s="10"/>
      <c r="AU152" s="2">
        <v>-1485</v>
      </c>
      <c r="AV152" s="53">
        <v>150</v>
      </c>
      <c r="AW152" s="4" t="s">
        <v>1785</v>
      </c>
      <c r="AX152" t="s">
        <v>1786</v>
      </c>
      <c r="AY152" s="4">
        <v>26055</v>
      </c>
      <c r="AZ152" s="9">
        <v>19.947004288575851</v>
      </c>
      <c r="BA152" s="7">
        <f t="shared" si="94"/>
        <v>5.1125017764775229E-4</v>
      </c>
      <c r="BB152" s="54">
        <f t="shared" si="88"/>
        <v>33.687058785479564</v>
      </c>
      <c r="BC152" s="55">
        <f t="shared" si="89"/>
        <v>5.9290755971984668</v>
      </c>
      <c r="BD152" s="55">
        <f t="shared" si="90"/>
        <v>2.4349693216134094</v>
      </c>
      <c r="BE152" s="55">
        <f t="shared" si="91"/>
        <v>2.3862260869111047</v>
      </c>
      <c r="BF152" s="56">
        <f t="shared" si="92"/>
        <v>1.7580240703066748E-2</v>
      </c>
      <c r="BG152" s="56">
        <f t="shared" si="95"/>
        <v>1.6147691100001401E-6</v>
      </c>
      <c r="BH152" s="56">
        <f t="shared" si="96"/>
        <v>1.2707356570113787E-3</v>
      </c>
      <c r="BI152" s="56">
        <f t="shared" si="93"/>
        <v>1.2452980608065724E-3</v>
      </c>
      <c r="BJ152" s="57">
        <f t="shared" si="97"/>
        <v>1.457482224021846E-3</v>
      </c>
      <c r="BK152" s="57">
        <f t="shared" si="98"/>
        <v>1.0534978802660675E-4</v>
      </c>
      <c r="BL152" s="58">
        <f t="shared" si="99"/>
        <v>2.5716016205154317</v>
      </c>
      <c r="BM152" s="58">
        <f t="shared" si="99"/>
        <v>0.1858806105110469</v>
      </c>
    </row>
    <row r="153" spans="2:65" x14ac:dyDescent="0.2">
      <c r="B153" s="47"/>
      <c r="C153" s="47"/>
      <c r="D153" s="47"/>
      <c r="H153" s="10"/>
      <c r="K153" s="10"/>
      <c r="L153" s="10"/>
      <c r="M153" s="10"/>
      <c r="N153" s="10"/>
      <c r="O153" s="10"/>
      <c r="P153" s="10"/>
      <c r="AU153" s="2">
        <v>-1484</v>
      </c>
      <c r="AV153" s="53">
        <v>151</v>
      </c>
      <c r="AW153" s="4" t="s">
        <v>1397</v>
      </c>
      <c r="AX153" t="s">
        <v>1398</v>
      </c>
      <c r="AY153" s="4">
        <v>17941</v>
      </c>
      <c r="AZ153" s="9">
        <v>19.947741559985293</v>
      </c>
      <c r="BA153" s="7">
        <f t="shared" si="94"/>
        <v>5.1126907422658675E-4</v>
      </c>
      <c r="BB153" s="54">
        <f t="shared" si="88"/>
        <v>33.703221082636126</v>
      </c>
      <c r="BC153" s="55">
        <f t="shared" si="89"/>
        <v>5.9339751748735097</v>
      </c>
      <c r="BD153" s="55">
        <f t="shared" si="90"/>
        <v>2.43597519997095</v>
      </c>
      <c r="BE153" s="55">
        <f t="shared" si="91"/>
        <v>2.3872118295879083</v>
      </c>
      <c r="BF153" s="56">
        <f t="shared" si="92"/>
        <v>1.7588675309249992E-2</v>
      </c>
      <c r="BG153" s="56">
        <f t="shared" si="95"/>
        <v>1.6161034978911623E-6</v>
      </c>
      <c r="BH153" s="56">
        <f t="shared" si="96"/>
        <v>1.2712605940133448E-3</v>
      </c>
      <c r="BI153" s="56">
        <f t="shared" si="93"/>
        <v>1.2458124896155753E-3</v>
      </c>
      <c r="BJ153" s="57">
        <f t="shared" si="97"/>
        <v>1.0040773032798818E-3</v>
      </c>
      <c r="BK153" s="57">
        <f t="shared" si="98"/>
        <v>7.2571918382711303E-5</v>
      </c>
      <c r="BL153" s="58">
        <f t="shared" si="99"/>
        <v>1.7716077614395704</v>
      </c>
      <c r="BM153" s="58">
        <f t="shared" si="99"/>
        <v>0.12804688787346521</v>
      </c>
    </row>
    <row r="154" spans="2:65" x14ac:dyDescent="0.2">
      <c r="B154" s="47"/>
      <c r="C154" s="47"/>
      <c r="D154" s="47"/>
      <c r="H154" s="10"/>
      <c r="K154" s="10"/>
      <c r="L154" s="10"/>
      <c r="M154" s="10"/>
      <c r="N154" s="10"/>
      <c r="O154" s="10"/>
      <c r="P154" s="10"/>
      <c r="AU154" s="2">
        <v>-1483</v>
      </c>
      <c r="AV154" s="53">
        <v>152</v>
      </c>
      <c r="AW154" s="4" t="s">
        <v>1942</v>
      </c>
      <c r="AX154" t="s">
        <v>1943</v>
      </c>
      <c r="AY154" s="4">
        <v>11475</v>
      </c>
      <c r="AZ154" s="9">
        <v>19.956124659014321</v>
      </c>
      <c r="BA154" s="7">
        <f t="shared" si="94"/>
        <v>5.1148393660921951E-4</v>
      </c>
      <c r="BB154" s="54">
        <f t="shared" si="88"/>
        <v>33.887539783960506</v>
      </c>
      <c r="BC154" s="55">
        <f t="shared" si="89"/>
        <v>5.9899672533336892</v>
      </c>
      <c r="BD154" s="55">
        <f t="shared" si="90"/>
        <v>2.4474409601323766</v>
      </c>
      <c r="BE154" s="55">
        <f t="shared" si="91"/>
        <v>2.3984480680737934</v>
      </c>
      <c r="BF154" s="56">
        <f t="shared" si="92"/>
        <v>1.7684865574953891E-2</v>
      </c>
      <c r="BG154" s="56">
        <f t="shared" si="95"/>
        <v>1.6313528023097253E-6</v>
      </c>
      <c r="BH154" s="56">
        <f t="shared" si="96"/>
        <v>1.277244221873689E-3</v>
      </c>
      <c r="BI154" s="56">
        <f t="shared" si="93"/>
        <v>1.2516763371671579E-3</v>
      </c>
      <c r="BJ154" s="57">
        <f t="shared" si="97"/>
        <v>6.4571641868776345E-4</v>
      </c>
      <c r="BK154" s="57">
        <f t="shared" si="98"/>
        <v>4.6635218189384966E-5</v>
      </c>
      <c r="BL154" s="58">
        <f t="shared" si="99"/>
        <v>1.1393109029547823</v>
      </c>
      <c r="BM154" s="58">
        <f t="shared" si="99"/>
        <v>8.228381841802522E-2</v>
      </c>
    </row>
    <row r="155" spans="2:65" x14ac:dyDescent="0.2">
      <c r="B155" s="47"/>
      <c r="C155" s="47"/>
      <c r="D155" s="47"/>
      <c r="H155" s="10"/>
      <c r="K155" s="10"/>
      <c r="L155" s="10"/>
      <c r="M155" s="10"/>
      <c r="N155" s="10"/>
      <c r="O155" s="10"/>
      <c r="P155" s="10"/>
      <c r="AU155" s="2">
        <v>-1482</v>
      </c>
      <c r="AV155" s="53">
        <v>153</v>
      </c>
      <c r="AW155" s="4" t="s">
        <v>1894</v>
      </c>
      <c r="AX155" t="s">
        <v>1895</v>
      </c>
      <c r="AY155" s="4">
        <v>26566</v>
      </c>
      <c r="AZ155" s="9">
        <v>19.95700376610575</v>
      </c>
      <c r="BA155" s="7">
        <f t="shared" si="94"/>
        <v>5.1150646849672319E-4</v>
      </c>
      <c r="BB155" s="54">
        <f t="shared" si="88"/>
        <v>33.906926965291817</v>
      </c>
      <c r="BC155" s="55">
        <f t="shared" si="89"/>
        <v>5.9958690650381774</v>
      </c>
      <c r="BD155" s="55">
        <f t="shared" si="90"/>
        <v>2.4486463740275313</v>
      </c>
      <c r="BE155" s="55">
        <f t="shared" si="91"/>
        <v>2.3996293519842773</v>
      </c>
      <c r="BF155" s="56">
        <f t="shared" si="92"/>
        <v>1.7694983149080166E-2</v>
      </c>
      <c r="BG155" s="56">
        <f t="shared" si="95"/>
        <v>1.6329601461658229E-6</v>
      </c>
      <c r="BH155" s="56">
        <f t="shared" si="96"/>
        <v>1.2778732903405653E-3</v>
      </c>
      <c r="BI155" s="56">
        <f t="shared" si="93"/>
        <v>1.2522928129366016E-3</v>
      </c>
      <c r="BJ155" s="57">
        <f t="shared" si="97"/>
        <v>1.4957661264909997E-3</v>
      </c>
      <c r="BK155" s="57">
        <f t="shared" si="98"/>
        <v>1.0801929369106948E-4</v>
      </c>
      <c r="BL155" s="58">
        <f t="shared" si="99"/>
        <v>2.6391502629665626</v>
      </c>
      <c r="BM155" s="58">
        <f t="shared" si="99"/>
        <v>0.19059072290868845</v>
      </c>
    </row>
    <row r="156" spans="2:65" x14ac:dyDescent="0.2">
      <c r="B156" s="47"/>
      <c r="C156" s="47"/>
      <c r="D156" s="47"/>
      <c r="H156" s="10"/>
      <c r="K156" s="10"/>
      <c r="L156" s="10"/>
      <c r="M156" s="10"/>
      <c r="N156" s="10"/>
      <c r="O156" s="10"/>
      <c r="P156" s="10"/>
      <c r="AU156" s="2">
        <v>-1481</v>
      </c>
      <c r="AV156" s="53">
        <v>154</v>
      </c>
      <c r="AW156" s="4" t="s">
        <v>3249</v>
      </c>
      <c r="AX156" t="s">
        <v>3250</v>
      </c>
      <c r="AY156" s="5">
        <v>10381.02</v>
      </c>
      <c r="AZ156" s="9">
        <v>19.9580853723884</v>
      </c>
      <c r="BA156" s="7">
        <f t="shared" si="94"/>
        <v>5.1153419052435954E-4</v>
      </c>
      <c r="BB156" s="54">
        <f t="shared" si="88"/>
        <v>33.930795134820634</v>
      </c>
      <c r="BC156" s="55">
        <f t="shared" si="89"/>
        <v>6.0031382104509738</v>
      </c>
      <c r="BD156" s="55">
        <f t="shared" si="90"/>
        <v>2.4501302435688954</v>
      </c>
      <c r="BE156" s="55">
        <f t="shared" si="91"/>
        <v>2.4010835174136922</v>
      </c>
      <c r="BF156" s="56">
        <f t="shared" si="92"/>
        <v>1.7707439213236163E-2</v>
      </c>
      <c r="BG156" s="56">
        <f t="shared" si="95"/>
        <v>1.6349398799837175E-6</v>
      </c>
      <c r="BH156" s="56">
        <f t="shared" si="96"/>
        <v>1.2786476762516395E-3</v>
      </c>
      <c r="BI156" s="56">
        <f t="shared" si="93"/>
        <v>1.253051697184522E-3</v>
      </c>
      <c r="BJ156" s="57">
        <f t="shared" si="97"/>
        <v>5.8490207155315174E-4</v>
      </c>
      <c r="BK156" s="57">
        <f t="shared" si="98"/>
        <v>4.2235563574159885E-5</v>
      </c>
      <c r="BL156" s="58">
        <f t="shared" si="99"/>
        <v>1.0320092350068848</v>
      </c>
      <c r="BM156" s="58">
        <f t="shared" si="99"/>
        <v>7.4521007488503072E-2</v>
      </c>
    </row>
    <row r="157" spans="2:65" x14ac:dyDescent="0.2">
      <c r="B157" s="47"/>
      <c r="C157" s="47"/>
      <c r="D157" s="47"/>
      <c r="H157" s="10"/>
      <c r="K157" s="10"/>
      <c r="L157" s="10"/>
      <c r="M157" s="10"/>
      <c r="N157" s="10"/>
      <c r="O157" s="10"/>
      <c r="P157" s="10"/>
      <c r="AU157" s="2">
        <v>-1480</v>
      </c>
      <c r="AV157" s="53">
        <v>155</v>
      </c>
      <c r="AW157" s="4" t="s">
        <v>1965</v>
      </c>
      <c r="AX157" t="s">
        <v>1966</v>
      </c>
      <c r="AY157" s="4">
        <v>7332</v>
      </c>
      <c r="AZ157" s="9">
        <v>19.96580306963147</v>
      </c>
      <c r="BA157" s="7">
        <f t="shared" si="94"/>
        <v>5.1173199837708106E-4</v>
      </c>
      <c r="BB157" s="54">
        <f t="shared" si="88"/>
        <v>34.101592557397097</v>
      </c>
      <c r="BC157" s="55">
        <f t="shared" si="89"/>
        <v>6.0552594742062213</v>
      </c>
      <c r="BD157" s="55">
        <f t="shared" si="90"/>
        <v>2.4607436831588578</v>
      </c>
      <c r="BE157" s="55">
        <f t="shared" si="91"/>
        <v>2.4114844970879012</v>
      </c>
      <c r="BF157" s="56">
        <f t="shared" si="92"/>
        <v>1.7796573139100054E-2</v>
      </c>
      <c r="BG157" s="56">
        <f t="shared" si="95"/>
        <v>1.649134977567883E-6</v>
      </c>
      <c r="BH157" s="56">
        <f t="shared" si="96"/>
        <v>1.2841865041994028E-3</v>
      </c>
      <c r="BI157" s="56">
        <f t="shared" si="93"/>
        <v>1.258479648831612E-3</v>
      </c>
      <c r="BJ157" s="57">
        <f t="shared" si="97"/>
        <v>4.1518935696560806E-4</v>
      </c>
      <c r="BK157" s="57">
        <f t="shared" si="98"/>
        <v>2.9959732401011247E-5</v>
      </c>
      <c r="BL157" s="58">
        <f t="shared" si="99"/>
        <v>0.73256579435133762</v>
      </c>
      <c r="BM157" s="58">
        <f t="shared" si="99"/>
        <v>5.2861362644992652E-2</v>
      </c>
    </row>
    <row r="158" spans="2:65" x14ac:dyDescent="0.2">
      <c r="B158" s="47"/>
      <c r="C158" s="47"/>
      <c r="D158" s="47"/>
      <c r="H158" s="10"/>
      <c r="K158" s="10"/>
      <c r="L158" s="10"/>
      <c r="M158" s="10"/>
      <c r="N158" s="10"/>
      <c r="O158" s="10"/>
      <c r="P158" s="10"/>
      <c r="AU158" s="2">
        <v>-1479</v>
      </c>
      <c r="AV158" s="53">
        <v>156</v>
      </c>
      <c r="AW158" s="4" t="s">
        <v>1873</v>
      </c>
      <c r="AX158" t="s">
        <v>1874</v>
      </c>
      <c r="AY158" s="4">
        <v>16092</v>
      </c>
      <c r="AZ158" s="9">
        <v>19.973988781356905</v>
      </c>
      <c r="BA158" s="7">
        <f t="shared" si="94"/>
        <v>5.1194180163942847E-4</v>
      </c>
      <c r="BB158" s="54">
        <f t="shared" si="88"/>
        <v>34.283687130077787</v>
      </c>
      <c r="BC158" s="55">
        <f t="shared" si="89"/>
        <v>6.1110294042561009</v>
      </c>
      <c r="BD158" s="55">
        <f t="shared" si="90"/>
        <v>2.4720496362848583</v>
      </c>
      <c r="BE158" s="55">
        <f t="shared" si="91"/>
        <v>2.4225641275568304</v>
      </c>
      <c r="BF158" s="56">
        <f t="shared" si="92"/>
        <v>1.7891602700417175E-2</v>
      </c>
      <c r="BG158" s="56">
        <f t="shared" si="95"/>
        <v>1.6643237804150063E-6</v>
      </c>
      <c r="BH158" s="56">
        <f t="shared" si="96"/>
        <v>1.2900867336791764E-3</v>
      </c>
      <c r="BI158" s="56">
        <f t="shared" si="93"/>
        <v>1.2642617674720508E-3</v>
      </c>
      <c r="BJ158" s="57">
        <f t="shared" si="97"/>
        <v>9.1610792842507238E-4</v>
      </c>
      <c r="BK158" s="57">
        <f t="shared" si="98"/>
        <v>6.6056613533674161E-5</v>
      </c>
      <c r="BL158" s="58">
        <f t="shared" si="99"/>
        <v>1.6163933902425693</v>
      </c>
      <c r="BM158" s="58">
        <f t="shared" si="99"/>
        <v>0.11655119466240016</v>
      </c>
    </row>
    <row r="159" spans="2:65" x14ac:dyDescent="0.2">
      <c r="B159" s="47"/>
      <c r="C159" s="47"/>
      <c r="D159" s="47"/>
      <c r="H159" s="10"/>
      <c r="K159" s="10"/>
      <c r="L159" s="10"/>
      <c r="M159" s="10"/>
      <c r="N159" s="10"/>
      <c r="O159" s="10"/>
      <c r="P159" s="10"/>
      <c r="AU159" s="2">
        <v>-1478</v>
      </c>
      <c r="AV159" s="53">
        <v>157</v>
      </c>
      <c r="AW159" s="4" t="s">
        <v>1584</v>
      </c>
      <c r="AX159" t="s">
        <v>1281</v>
      </c>
      <c r="AY159" s="4">
        <v>53777</v>
      </c>
      <c r="AZ159" s="9">
        <v>19.989801930032382</v>
      </c>
      <c r="BA159" s="7">
        <f t="shared" si="94"/>
        <v>5.1234709934491599E-4</v>
      </c>
      <c r="BB159" s="54">
        <f t="shared" si="88"/>
        <v>34.638215512428083</v>
      </c>
      <c r="BC159" s="55">
        <f t="shared" si="89"/>
        <v>6.2202045782557924</v>
      </c>
      <c r="BD159" s="55">
        <f t="shared" si="90"/>
        <v>2.4940337965343997</v>
      </c>
      <c r="BE159" s="55">
        <f t="shared" si="91"/>
        <v>2.4441082087165595</v>
      </c>
      <c r="BF159" s="56">
        <f t="shared" si="92"/>
        <v>1.8076620167732368E-2</v>
      </c>
      <c r="BG159" s="56">
        <f t="shared" si="95"/>
        <v>1.6940573696842276E-6</v>
      </c>
      <c r="BH159" s="56">
        <f t="shared" si="96"/>
        <v>1.3015595912920113E-3</v>
      </c>
      <c r="BI159" s="56">
        <f t="shared" si="93"/>
        <v>1.2755049613325071E-3</v>
      </c>
      <c r="BJ159" s="57">
        <f t="shared" si="97"/>
        <v>3.093151384988945E-3</v>
      </c>
      <c r="BK159" s="57">
        <f t="shared" si="98"/>
        <v>2.2271424719301182E-4</v>
      </c>
      <c r="BL159" s="58">
        <f t="shared" si="99"/>
        <v>5.4575987158097217</v>
      </c>
      <c r="BM159" s="58">
        <f t="shared" si="99"/>
        <v>0.39296007152183227</v>
      </c>
    </row>
    <row r="160" spans="2:65" x14ac:dyDescent="0.2">
      <c r="B160" s="47"/>
      <c r="C160" s="47"/>
      <c r="D160" s="47"/>
      <c r="H160" s="10"/>
      <c r="K160" s="10"/>
      <c r="L160" s="10"/>
      <c r="M160" s="10"/>
      <c r="N160" s="10"/>
      <c r="O160" s="10"/>
      <c r="P160" s="10"/>
      <c r="AU160" s="2">
        <v>-1477</v>
      </c>
      <c r="AV160" s="53">
        <v>158</v>
      </c>
      <c r="AW160" s="4" t="s">
        <v>1899</v>
      </c>
      <c r="AX160" t="s">
        <v>1900</v>
      </c>
      <c r="AY160" s="4">
        <v>5054</v>
      </c>
      <c r="AZ160" s="9">
        <v>20.001591451940325</v>
      </c>
      <c r="BA160" s="7">
        <f t="shared" si="94"/>
        <v>5.1264926979029308E-4</v>
      </c>
      <c r="BB160" s="54">
        <f t="shared" si="88"/>
        <v>34.904918489909392</v>
      </c>
      <c r="BC160" s="55">
        <f t="shared" si="89"/>
        <v>6.3028502927716241</v>
      </c>
      <c r="BD160" s="55">
        <f t="shared" si="90"/>
        <v>2.5105478073065295</v>
      </c>
      <c r="BE160" s="55">
        <f t="shared" si="91"/>
        <v>2.4602916418934</v>
      </c>
      <c r="BF160" s="56">
        <f t="shared" si="92"/>
        <v>1.8215804255313408E-2</v>
      </c>
      <c r="BG160" s="56">
        <f t="shared" si="95"/>
        <v>1.7165657261196485E-6</v>
      </c>
      <c r="BH160" s="56">
        <f t="shared" si="96"/>
        <v>1.3101777460022928E-3</v>
      </c>
      <c r="BI160" s="56">
        <f t="shared" si="93"/>
        <v>1.2839505977551801E-3</v>
      </c>
      <c r="BJ160" s="57">
        <f t="shared" si="97"/>
        <v>2.9293479496195413E-4</v>
      </c>
      <c r="BK160" s="57">
        <f t="shared" si="98"/>
        <v>2.1069432016812892E-5</v>
      </c>
      <c r="BL160" s="58">
        <f t="shared" si="99"/>
        <v>0.51685816884324876</v>
      </c>
      <c r="BM160" s="58">
        <f t="shared" si="99"/>
        <v>3.7175194746638385E-2</v>
      </c>
    </row>
    <row r="161" spans="2:65" x14ac:dyDescent="0.2">
      <c r="B161" s="47"/>
      <c r="C161" s="47"/>
      <c r="D161" s="47"/>
      <c r="H161" s="10"/>
      <c r="K161" s="10"/>
      <c r="L161" s="10"/>
      <c r="M161" s="10"/>
      <c r="N161" s="10"/>
      <c r="O161" s="10"/>
      <c r="P161" s="10"/>
      <c r="AU161" s="2">
        <v>-1476</v>
      </c>
      <c r="AV161" s="53">
        <v>159</v>
      </c>
      <c r="AW161" s="4" t="s">
        <v>1979</v>
      </c>
      <c r="AX161" t="s">
        <v>413</v>
      </c>
      <c r="AY161" s="4">
        <v>23379</v>
      </c>
      <c r="AZ161" s="9">
        <v>20.001957897215572</v>
      </c>
      <c r="BA161" s="7">
        <f t="shared" si="94"/>
        <v>5.1265866193807416E-4</v>
      </c>
      <c r="BB161" s="54">
        <f t="shared" si="88"/>
        <v>34.913241054990138</v>
      </c>
      <c r="BC161" s="55">
        <f t="shared" si="89"/>
        <v>6.3054363943195035</v>
      </c>
      <c r="BD161" s="55">
        <f t="shared" si="90"/>
        <v>2.5110628017474004</v>
      </c>
      <c r="BE161" s="55">
        <f t="shared" si="91"/>
        <v>2.4607963271715727</v>
      </c>
      <c r="BF161" s="56">
        <f t="shared" si="92"/>
        <v>1.8220147546258413E-2</v>
      </c>
      <c r="BG161" s="56">
        <f t="shared" si="95"/>
        <v>1.7172700444954368E-6</v>
      </c>
      <c r="BH161" s="56">
        <f t="shared" si="96"/>
        <v>1.3104465057740575E-3</v>
      </c>
      <c r="BI161" s="56">
        <f t="shared" si="93"/>
        <v>1.2842139774917559E-3</v>
      </c>
      <c r="BJ161" s="57">
        <f t="shared" si="97"/>
        <v>1.3553928573450389E-3</v>
      </c>
      <c r="BK161" s="57">
        <f t="shared" si="98"/>
        <v>9.7483833725795828E-5</v>
      </c>
      <c r="BL161" s="58">
        <f t="shared" si="99"/>
        <v>2.3914737421396501</v>
      </c>
      <c r="BM161" s="58">
        <f t="shared" si="99"/>
        <v>0.17200181288767188</v>
      </c>
    </row>
    <row r="162" spans="2:65" x14ac:dyDescent="0.2">
      <c r="B162" s="47"/>
      <c r="C162" s="47"/>
      <c r="D162" s="47"/>
      <c r="H162" s="10"/>
      <c r="K162" s="10"/>
      <c r="L162" s="10"/>
      <c r="M162" s="10"/>
      <c r="N162" s="10"/>
      <c r="O162" s="10"/>
      <c r="P162" s="10"/>
      <c r="AU162" s="2">
        <v>-1475</v>
      </c>
      <c r="AV162" s="53">
        <v>160</v>
      </c>
      <c r="AW162" s="4" t="s">
        <v>2988</v>
      </c>
      <c r="AX162" t="s">
        <v>2989</v>
      </c>
      <c r="AY162" s="4">
        <v>17582</v>
      </c>
      <c r="AZ162" s="9">
        <v>20.004182054226966</v>
      </c>
      <c r="BA162" s="7">
        <f t="shared" si="94"/>
        <v>5.1271566802534127E-4</v>
      </c>
      <c r="BB162" s="54">
        <f t="shared" si="88"/>
        <v>34.963797853941806</v>
      </c>
      <c r="BC162" s="55">
        <f t="shared" si="89"/>
        <v>6.3211553340055806</v>
      </c>
      <c r="BD162" s="55">
        <f t="shared" si="90"/>
        <v>2.5141907910907597</v>
      </c>
      <c r="BE162" s="55">
        <f t="shared" si="91"/>
        <v>2.4638617004000776</v>
      </c>
      <c r="BF162" s="56">
        <f t="shared" si="92"/>
        <v>1.8246531585910147E-2</v>
      </c>
      <c r="BG162" s="56">
        <f t="shared" si="95"/>
        <v>1.7215510589354275E-6</v>
      </c>
      <c r="BH162" s="56">
        <f t="shared" si="96"/>
        <v>1.3120789072824193E-3</v>
      </c>
      <c r="BI162" s="56">
        <f t="shared" si="93"/>
        <v>1.285813701574105E-3</v>
      </c>
      <c r="BJ162" s="57">
        <f t="shared" si="97"/>
        <v>1.0207889756878548E-3</v>
      </c>
      <c r="BK162" s="57">
        <f t="shared" si="98"/>
        <v>7.3403302840343787E-5</v>
      </c>
      <c r="BL162" s="58">
        <f t="shared" si="99"/>
        <v>1.8010940653804011</v>
      </c>
      <c r="BM162" s="58">
        <f t="shared" si="99"/>
        <v>0.12951379401014482</v>
      </c>
    </row>
    <row r="163" spans="2:65" x14ac:dyDescent="0.2">
      <c r="B163" s="47"/>
      <c r="C163" s="47"/>
      <c r="D163" s="47"/>
      <c r="H163" s="10"/>
      <c r="K163" s="10"/>
      <c r="L163" s="10"/>
      <c r="M163" s="10"/>
      <c r="N163" s="10"/>
      <c r="O163" s="10"/>
      <c r="P163" s="10"/>
      <c r="AU163" s="2">
        <v>-1474</v>
      </c>
      <c r="AV163" s="53">
        <v>161</v>
      </c>
      <c r="AW163" s="4" t="s">
        <v>1807</v>
      </c>
      <c r="AX163" t="s">
        <v>1808</v>
      </c>
      <c r="AY163" s="4">
        <v>15943</v>
      </c>
      <c r="AZ163" s="9">
        <v>20.020420255199166</v>
      </c>
      <c r="BA163" s="7">
        <f t="shared" si="94"/>
        <v>5.1313186000142023E-4</v>
      </c>
      <c r="BB163" s="54">
        <f t="shared" si="88"/>
        <v>35.335129953029451</v>
      </c>
      <c r="BC163" s="55">
        <f t="shared" si="89"/>
        <v>6.4370940204575673</v>
      </c>
      <c r="BD163" s="55">
        <f t="shared" si="90"/>
        <v>2.5371428853057463</v>
      </c>
      <c r="BE163" s="55">
        <f t="shared" si="91"/>
        <v>2.4863543394156493</v>
      </c>
      <c r="BF163" s="56">
        <f t="shared" si="92"/>
        <v>1.8440318396575544E-2</v>
      </c>
      <c r="BG163" s="56">
        <f t="shared" si="95"/>
        <v>1.7531266741333564E-6</v>
      </c>
      <c r="BH163" s="56">
        <f t="shared" si="96"/>
        <v>1.3240568998851056E-3</v>
      </c>
      <c r="BI163" s="56">
        <f t="shared" si="93"/>
        <v>1.2975519186282812E-3</v>
      </c>
      <c r="BJ163" s="57">
        <f t="shared" si="97"/>
        <v>9.3546131774459296E-4</v>
      </c>
      <c r="BK163" s="57">
        <f t="shared" si="98"/>
        <v>6.7168255216534461E-5</v>
      </c>
      <c r="BL163" s="58">
        <f t="shared" si="99"/>
        <v>1.6505407757243693</v>
      </c>
      <c r="BM163" s="58">
        <f t="shared" si="99"/>
        <v>0.11851259049005397</v>
      </c>
    </row>
    <row r="164" spans="2:65" x14ac:dyDescent="0.2">
      <c r="B164" s="47"/>
      <c r="C164" s="47"/>
      <c r="D164" s="47"/>
      <c r="H164" s="10"/>
      <c r="K164" s="10"/>
      <c r="L164" s="10"/>
      <c r="M164" s="10"/>
      <c r="N164" s="10"/>
      <c r="O164" s="10"/>
      <c r="P164" s="10"/>
      <c r="AU164" s="2">
        <v>-1473</v>
      </c>
      <c r="AV164" s="53">
        <v>162</v>
      </c>
      <c r="AW164" s="4" t="s">
        <v>1848</v>
      </c>
      <c r="AX164" t="s">
        <v>327</v>
      </c>
      <c r="AY164" s="4">
        <v>51424</v>
      </c>
      <c r="AZ164" s="9">
        <v>20.022665814953328</v>
      </c>
      <c r="BA164" s="7">
        <f t="shared" si="94"/>
        <v>5.1318941465005935E-4</v>
      </c>
      <c r="BB164" s="54">
        <f t="shared" si="88"/>
        <v>35.386790465793879</v>
      </c>
      <c r="BC164" s="55">
        <f t="shared" si="89"/>
        <v>6.4532912562655795</v>
      </c>
      <c r="BD164" s="55">
        <f t="shared" si="90"/>
        <v>2.5403329026459462</v>
      </c>
      <c r="BE164" s="55">
        <f t="shared" si="91"/>
        <v>2.4894804989640744</v>
      </c>
      <c r="BF164" s="56">
        <f t="shared" si="92"/>
        <v>1.8467278430546651E-2</v>
      </c>
      <c r="BG164" s="56">
        <f t="shared" si="95"/>
        <v>1.7575379513419718E-6</v>
      </c>
      <c r="BH164" s="56">
        <f t="shared" si="96"/>
        <v>1.325721671898733E-3</v>
      </c>
      <c r="BI164" s="56">
        <f t="shared" si="93"/>
        <v>1.2991833652228712E-3</v>
      </c>
      <c r="BJ164" s="57">
        <f t="shared" si="97"/>
        <v>3.0217332562416741E-3</v>
      </c>
      <c r="BK164" s="57">
        <f t="shared" si="98"/>
        <v>2.1692299055124677E-4</v>
      </c>
      <c r="BL164" s="58">
        <f t="shared" si="99"/>
        <v>5.3315875901893595</v>
      </c>
      <c r="BM164" s="58">
        <f t="shared" si="99"/>
        <v>0.38274189889555627</v>
      </c>
    </row>
    <row r="165" spans="2:65" x14ac:dyDescent="0.2">
      <c r="B165" s="47"/>
      <c r="C165" s="47"/>
      <c r="D165" s="47"/>
      <c r="H165" s="10"/>
      <c r="K165" s="10"/>
      <c r="L165" s="10"/>
      <c r="M165" s="10"/>
      <c r="N165" s="10"/>
      <c r="O165" s="10"/>
      <c r="P165" s="10"/>
      <c r="AU165" s="2">
        <v>-1472</v>
      </c>
      <c r="AV165" s="53">
        <v>163</v>
      </c>
      <c r="AW165" s="4" t="s">
        <v>2525</v>
      </c>
      <c r="AX165" t="s">
        <v>2526</v>
      </c>
      <c r="AY165" s="4">
        <v>47909</v>
      </c>
      <c r="AZ165" s="9">
        <v>20.023243582687627</v>
      </c>
      <c r="BA165" s="7">
        <f t="shared" si="94"/>
        <v>5.1320422308206884E-4</v>
      </c>
      <c r="BB165" s="54">
        <f t="shared" si="88"/>
        <v>35.400094588507599</v>
      </c>
      <c r="BC165" s="55">
        <f t="shared" si="89"/>
        <v>6.4574651971382417</v>
      </c>
      <c r="BD165" s="55">
        <f t="shared" si="90"/>
        <v>2.5411543040788063</v>
      </c>
      <c r="BE165" s="55">
        <f t="shared" si="91"/>
        <v>2.4902854575767019</v>
      </c>
      <c r="BF165" s="56">
        <f t="shared" si="92"/>
        <v>1.8474221443326097E-2</v>
      </c>
      <c r="BG165" s="56">
        <f t="shared" si="95"/>
        <v>1.7586747138402432E-6</v>
      </c>
      <c r="BH165" s="56">
        <f t="shared" si="96"/>
        <v>1.3261503360630887E-3</v>
      </c>
      <c r="BI165" s="56">
        <f t="shared" si="93"/>
        <v>1.2996034483846713E-3</v>
      </c>
      <c r="BJ165" s="57">
        <f t="shared" si="97"/>
        <v>2.8162462286514586E-3</v>
      </c>
      <c r="BK165" s="57">
        <f t="shared" si="98"/>
        <v>2.021609351181476E-4</v>
      </c>
      <c r="BL165" s="58">
        <f t="shared" si="99"/>
        <v>4.9690234611478949</v>
      </c>
      <c r="BM165" s="58">
        <f t="shared" si="99"/>
        <v>0.35669552587761172</v>
      </c>
    </row>
    <row r="166" spans="2:65" x14ac:dyDescent="0.2">
      <c r="B166" s="47"/>
      <c r="C166" s="47"/>
      <c r="D166" s="47"/>
      <c r="H166" s="10"/>
      <c r="K166" s="10"/>
      <c r="L166" s="10"/>
      <c r="M166" s="10"/>
      <c r="N166" s="10"/>
      <c r="O166" s="10"/>
      <c r="P166" s="10"/>
      <c r="AU166" s="2">
        <v>-1471</v>
      </c>
      <c r="AV166" s="53">
        <v>164</v>
      </c>
      <c r="AW166" s="4" t="s">
        <v>2392</v>
      </c>
      <c r="AX166" t="s">
        <v>2393</v>
      </c>
      <c r="AY166" s="4">
        <v>22121</v>
      </c>
      <c r="AZ166" s="9">
        <v>20.053613941066256</v>
      </c>
      <c r="BA166" s="7">
        <f t="shared" si="94"/>
        <v>5.1398262824465222E-4</v>
      </c>
      <c r="BB166" s="54">
        <f t="shared" si="88"/>
        <v>36.10651376369723</v>
      </c>
      <c r="BC166" s="55">
        <f t="shared" si="89"/>
        <v>6.6806583206310863</v>
      </c>
      <c r="BD166" s="55">
        <f t="shared" si="90"/>
        <v>2.5846969494761058</v>
      </c>
      <c r="BE166" s="55">
        <f t="shared" si="91"/>
        <v>2.5329564659618549</v>
      </c>
      <c r="BF166" s="56">
        <f t="shared" si="92"/>
        <v>1.8842879901049603E-2</v>
      </c>
      <c r="BG166" s="56">
        <f t="shared" si="95"/>
        <v>1.8194608103357724E-6</v>
      </c>
      <c r="BH166" s="56">
        <f t="shared" si="96"/>
        <v>1.3488739045351024E-3</v>
      </c>
      <c r="BI166" s="56">
        <f t="shared" si="93"/>
        <v>1.3218721362873596E-3</v>
      </c>
      <c r="BJ166" s="57">
        <f t="shared" si="97"/>
        <v>1.326292787718855E-3</v>
      </c>
      <c r="BK166" s="57">
        <f t="shared" si="98"/>
        <v>9.4943115942028875E-5</v>
      </c>
      <c r="BL166" s="58">
        <f t="shared" si="99"/>
        <v>2.3401291802819375</v>
      </c>
      <c r="BM166" s="58">
        <f t="shared" si="99"/>
        <v>0.16751893559262124</v>
      </c>
    </row>
    <row r="167" spans="2:65" x14ac:dyDescent="0.2">
      <c r="B167" s="47"/>
      <c r="C167" s="47"/>
      <c r="D167" s="47"/>
      <c r="H167" s="10"/>
      <c r="K167" s="10"/>
      <c r="L167" s="10"/>
      <c r="M167" s="10"/>
      <c r="N167" s="10"/>
      <c r="O167" s="10"/>
      <c r="P167" s="10"/>
      <c r="AU167" s="2">
        <v>-1470</v>
      </c>
      <c r="AV167" s="53">
        <v>165</v>
      </c>
      <c r="AW167" s="4" t="s">
        <v>2001</v>
      </c>
      <c r="AX167" t="s">
        <v>428</v>
      </c>
      <c r="AY167" s="4">
        <v>20863</v>
      </c>
      <c r="AZ167" s="9">
        <v>20.063425804242161</v>
      </c>
      <c r="BA167" s="7">
        <f t="shared" si="94"/>
        <v>5.1423411045817984E-4</v>
      </c>
      <c r="BB167" s="54">
        <f t="shared" si="88"/>
        <v>36.337738830597814</v>
      </c>
      <c r="BC167" s="55">
        <f t="shared" si="89"/>
        <v>6.7543795490254475</v>
      </c>
      <c r="BD167" s="55">
        <f t="shared" si="90"/>
        <v>2.5989189192865267</v>
      </c>
      <c r="BE167" s="55">
        <f t="shared" si="91"/>
        <v>2.5468937402706753</v>
      </c>
      <c r="BF167" s="56">
        <f t="shared" si="92"/>
        <v>1.8963549157412461E-2</v>
      </c>
      <c r="BG167" s="56">
        <f t="shared" si="95"/>
        <v>1.8395386049955201E-6</v>
      </c>
      <c r="BH167" s="56">
        <f t="shared" si="96"/>
        <v>1.3562959135069014E-3</v>
      </c>
      <c r="BI167" s="56">
        <f t="shared" si="93"/>
        <v>1.3291455714261892E-3</v>
      </c>
      <c r="BJ167" s="57">
        <f t="shared" si="97"/>
        <v>1.258878313211744E-3</v>
      </c>
      <c r="BK167" s="57">
        <f t="shared" si="98"/>
        <v>9.0036495681197832E-5</v>
      </c>
      <c r="BL167" s="58">
        <f t="shared" si="99"/>
        <v>2.2211821570995229</v>
      </c>
      <c r="BM167" s="58">
        <f t="shared" si="99"/>
        <v>0.15886162752666858</v>
      </c>
    </row>
    <row r="168" spans="2:65" x14ac:dyDescent="0.2">
      <c r="B168" s="47"/>
      <c r="C168" s="47"/>
      <c r="D168" s="47"/>
      <c r="H168" s="10"/>
      <c r="K168" s="10"/>
      <c r="L168" s="10"/>
      <c r="M168" s="10"/>
      <c r="N168" s="10"/>
      <c r="O168" s="10"/>
      <c r="P168" s="10"/>
      <c r="AU168" s="2">
        <v>-1469</v>
      </c>
      <c r="AV168" s="53">
        <v>166</v>
      </c>
      <c r="AW168" s="4" t="s">
        <v>1663</v>
      </c>
      <c r="AX168" t="s">
        <v>208</v>
      </c>
      <c r="AY168" s="4">
        <v>70886</v>
      </c>
      <c r="AZ168" s="9">
        <v>20.073886151115385</v>
      </c>
      <c r="BA168" s="7">
        <f t="shared" si="94"/>
        <v>5.1450221358383347E-4</v>
      </c>
      <c r="BB168" s="54">
        <f t="shared" si="88"/>
        <v>36.585877131871328</v>
      </c>
      <c r="BC168" s="55">
        <f t="shared" si="89"/>
        <v>6.8338569318826119</v>
      </c>
      <c r="BD168" s="55">
        <f t="shared" si="90"/>
        <v>2.6141646719138816</v>
      </c>
      <c r="BE168" s="55">
        <f t="shared" si="91"/>
        <v>2.5618343033040865</v>
      </c>
      <c r="BF168" s="56">
        <f t="shared" si="92"/>
        <v>1.9093044911013789E-2</v>
      </c>
      <c r="BG168" s="56">
        <f t="shared" si="95"/>
        <v>1.8611840741209568E-6</v>
      </c>
      <c r="BH168" s="56">
        <f t="shared" si="96"/>
        <v>1.364252203267767E-3</v>
      </c>
      <c r="BI168" s="56">
        <f t="shared" si="93"/>
        <v>1.3369425921171199E-3</v>
      </c>
      <c r="BJ168" s="57">
        <f t="shared" si="97"/>
        <v>4.3064859698561499E-3</v>
      </c>
      <c r="BK168" s="57">
        <f t="shared" si="98"/>
        <v>3.0771063495110297E-4</v>
      </c>
      <c r="BL168" s="58">
        <f t="shared" si="99"/>
        <v>7.5984228941395662</v>
      </c>
      <c r="BM168" s="58">
        <f t="shared" si="99"/>
        <v>0.54292886352089609</v>
      </c>
    </row>
    <row r="169" spans="2:65" x14ac:dyDescent="0.2">
      <c r="B169" s="47"/>
      <c r="C169" s="47"/>
      <c r="D169" s="47"/>
      <c r="H169" s="10"/>
      <c r="K169" s="10"/>
      <c r="L169" s="10"/>
      <c r="M169" s="10"/>
      <c r="N169" s="10"/>
      <c r="O169" s="10"/>
      <c r="P169" s="10"/>
      <c r="AU169" s="2">
        <v>-1468</v>
      </c>
      <c r="AV169" s="53">
        <v>167</v>
      </c>
      <c r="AW169" s="4" t="s">
        <v>1923</v>
      </c>
      <c r="AX169" t="s">
        <v>1924</v>
      </c>
      <c r="AY169" s="4">
        <v>11627</v>
      </c>
      <c r="AZ169" s="9">
        <v>20.106102824019079</v>
      </c>
      <c r="BA169" s="7">
        <f t="shared" si="94"/>
        <v>5.1532794057055026E-4</v>
      </c>
      <c r="BB169" s="54">
        <f t="shared" si="88"/>
        <v>37.360812007809528</v>
      </c>
      <c r="BC169" s="55">
        <f t="shared" si="89"/>
        <v>7.0844784631924318</v>
      </c>
      <c r="BD169" s="55">
        <f t="shared" si="90"/>
        <v>2.661668360857985</v>
      </c>
      <c r="BE169" s="55">
        <f t="shared" si="91"/>
        <v>2.6083870630357047</v>
      </c>
      <c r="BF169" s="56">
        <f t="shared" si="92"/>
        <v>1.9497459607320473E-2</v>
      </c>
      <c r="BG169" s="56">
        <f t="shared" si="95"/>
        <v>1.9294402298108471E-6</v>
      </c>
      <c r="BH169" s="56">
        <f t="shared" si="96"/>
        <v>1.3890429186352907E-3</v>
      </c>
      <c r="BI169" s="56">
        <f t="shared" si="93"/>
        <v>1.361237046752785E-3</v>
      </c>
      <c r="BJ169" s="57">
        <f t="shared" si="97"/>
        <v>7.2132847045821538E-4</v>
      </c>
      <c r="BK169" s="57">
        <f t="shared" si="98"/>
        <v>5.1389064220644284E-5</v>
      </c>
      <c r="BL169" s="58">
        <f t="shared" si="99"/>
        <v>1.2727218438627492</v>
      </c>
      <c r="BM169" s="58">
        <f t="shared" si="99"/>
        <v>9.0671569538538416E-2</v>
      </c>
    </row>
    <row r="170" spans="2:65" x14ac:dyDescent="0.2">
      <c r="B170" s="47"/>
      <c r="C170" s="47"/>
      <c r="D170" s="47"/>
      <c r="H170" s="10"/>
      <c r="K170" s="10"/>
      <c r="L170" s="10"/>
      <c r="M170" s="10"/>
      <c r="N170" s="10"/>
      <c r="O170" s="10"/>
      <c r="P170" s="10"/>
      <c r="AU170" s="2">
        <v>-1467</v>
      </c>
      <c r="AV170" s="53">
        <v>168</v>
      </c>
      <c r="AW170" s="4" t="s">
        <v>2410</v>
      </c>
      <c r="AX170" t="s">
        <v>2411</v>
      </c>
      <c r="AY170" s="4">
        <v>11612</v>
      </c>
      <c r="AZ170" s="9">
        <v>20.108686945476599</v>
      </c>
      <c r="BA170" s="7">
        <f t="shared" si="94"/>
        <v>5.1539417269920017E-4</v>
      </c>
      <c r="BB170" s="54">
        <f t="shared" si="88"/>
        <v>37.423676647177921</v>
      </c>
      <c r="BC170" s="55">
        <f t="shared" si="89"/>
        <v>7.1049692820747294</v>
      </c>
      <c r="BD170" s="55">
        <f t="shared" si="90"/>
        <v>2.6655148249587226</v>
      </c>
      <c r="BE170" s="55">
        <f t="shared" si="91"/>
        <v>2.6121565285883408</v>
      </c>
      <c r="BF170" s="56">
        <f t="shared" si="92"/>
        <v>1.95302667306388E-2</v>
      </c>
      <c r="BG170" s="56">
        <f t="shared" si="95"/>
        <v>1.935020853776192E-6</v>
      </c>
      <c r="BH170" s="56">
        <f t="shared" si="96"/>
        <v>1.3910502700392219E-3</v>
      </c>
      <c r="BI170" s="56">
        <f t="shared" si="93"/>
        <v>1.3632042149807956E-3</v>
      </c>
      <c r="BJ170" s="57">
        <f t="shared" si="97"/>
        <v>7.21610051407349E-4</v>
      </c>
      <c r="BK170" s="57">
        <f t="shared" si="98"/>
        <v>5.1396935367936846E-5</v>
      </c>
      <c r="BL170" s="58">
        <f t="shared" si="99"/>
        <v>1.2732186691503335</v>
      </c>
      <c r="BM170" s="58">
        <f t="shared" si="99"/>
        <v>9.0685457498747638E-2</v>
      </c>
    </row>
    <row r="171" spans="2:65" x14ac:dyDescent="0.2">
      <c r="AU171" s="2">
        <v>-1466</v>
      </c>
      <c r="AV171" s="53">
        <v>169</v>
      </c>
      <c r="AW171" s="4" t="s">
        <v>2628</v>
      </c>
      <c r="AX171" t="s">
        <v>2629</v>
      </c>
      <c r="AY171" s="4">
        <v>29543</v>
      </c>
      <c r="AZ171" s="9">
        <v>20.110289583517197</v>
      </c>
      <c r="BA171" s="7">
        <f t="shared" si="94"/>
        <v>5.1543524899171544E-4</v>
      </c>
      <c r="BB171" s="54">
        <f t="shared" si="88"/>
        <v>37.462717604219385</v>
      </c>
      <c r="BC171" s="55">
        <f t="shared" si="89"/>
        <v>7.1177067717624327</v>
      </c>
      <c r="BD171" s="55">
        <f t="shared" si="90"/>
        <v>2.6679030664104784</v>
      </c>
      <c r="BE171" s="55">
        <f t="shared" si="91"/>
        <v>2.6144969622042544</v>
      </c>
      <c r="BF171" s="56">
        <f t="shared" si="92"/>
        <v>1.9550641006304648E-2</v>
      </c>
      <c r="BG171" s="56">
        <f t="shared" si="95"/>
        <v>1.9384898776652404E-6</v>
      </c>
      <c r="BH171" s="56">
        <f t="shared" si="96"/>
        <v>1.3922966198570046E-3</v>
      </c>
      <c r="BI171" s="56">
        <f t="shared" si="93"/>
        <v>1.3644256153582915E-3</v>
      </c>
      <c r="BJ171" s="57">
        <f t="shared" si="97"/>
        <v>1.8378199762141922E-3</v>
      </c>
      <c r="BK171" s="57">
        <f t="shared" si="98"/>
        <v>1.3088013533487457E-4</v>
      </c>
      <c r="BL171" s="58">
        <f t="shared" si="99"/>
        <v>3.2426747655326529</v>
      </c>
      <c r="BM171" s="58">
        <f t="shared" si="99"/>
        <v>0.23092670536433085</v>
      </c>
    </row>
    <row r="172" spans="2:65" x14ac:dyDescent="0.2">
      <c r="AU172" s="2">
        <v>-1465</v>
      </c>
      <c r="AV172" s="53">
        <v>170</v>
      </c>
      <c r="AW172" s="4" t="s">
        <v>1997</v>
      </c>
      <c r="AX172" t="s">
        <v>425</v>
      </c>
      <c r="AY172" s="4">
        <v>133943</v>
      </c>
      <c r="AZ172" s="9">
        <v>20.132072922770696</v>
      </c>
      <c r="BA172" s="7">
        <f t="shared" si="94"/>
        <v>5.1599356521313873E-4</v>
      </c>
      <c r="BB172" s="54">
        <f t="shared" si="88"/>
        <v>37.997426252766594</v>
      </c>
      <c r="BC172" s="55">
        <f t="shared" si="89"/>
        <v>7.2930866406004391</v>
      </c>
      <c r="BD172" s="55">
        <f t="shared" si="90"/>
        <v>2.7005715396190562</v>
      </c>
      <c r="BE172" s="55">
        <f t="shared" si="91"/>
        <v>2.6465114776636165</v>
      </c>
      <c r="BF172" s="56">
        <f t="shared" si="92"/>
        <v>1.9829689017213922E-2</v>
      </c>
      <c r="BG172" s="56">
        <f t="shared" si="95"/>
        <v>1.9862541522259139E-6</v>
      </c>
      <c r="BH172" s="56">
        <f t="shared" si="96"/>
        <v>1.4093452920508564E-3</v>
      </c>
      <c r="BI172" s="56">
        <f t="shared" si="93"/>
        <v>1.3811330071003809E-3</v>
      </c>
      <c r="BJ172" s="57">
        <f t="shared" si="97"/>
        <v>8.4512956996527083E-3</v>
      </c>
      <c r="BK172" s="57">
        <f t="shared" si="98"/>
        <v>6.0065459401282455E-4</v>
      </c>
      <c r="BL172" s="58">
        <f t="shared" si="99"/>
        <v>14.911582013473838</v>
      </c>
      <c r="BM172" s="58">
        <f t="shared" si="99"/>
        <v>1.0598032016274292</v>
      </c>
    </row>
    <row r="173" spans="2:65" x14ac:dyDescent="0.2">
      <c r="AU173" s="2">
        <v>-1464</v>
      </c>
      <c r="AV173" s="53">
        <v>171</v>
      </c>
      <c r="AW173" s="4" t="s">
        <v>2103</v>
      </c>
      <c r="AX173" t="s">
        <v>2104</v>
      </c>
      <c r="AY173" s="4">
        <v>12607</v>
      </c>
      <c r="AZ173" s="9">
        <v>20.138278467447563</v>
      </c>
      <c r="BA173" s="7">
        <f t="shared" si="94"/>
        <v>5.1615261595442058E-4</v>
      </c>
      <c r="BB173" s="54">
        <f t="shared" si="88"/>
        <v>38.151143918720308</v>
      </c>
      <c r="BC173" s="55">
        <f t="shared" si="89"/>
        <v>7.3438233660567223</v>
      </c>
      <c r="BD173" s="55">
        <f t="shared" si="90"/>
        <v>2.7099489600464288</v>
      </c>
      <c r="BE173" s="55">
        <f t="shared" si="91"/>
        <v>2.6557011808163864</v>
      </c>
      <c r="BF173" s="56">
        <f t="shared" si="92"/>
        <v>1.9909909542994719E-2</v>
      </c>
      <c r="BG173" s="56">
        <f t="shared" si="95"/>
        <v>2.0000721742203685E-6</v>
      </c>
      <c r="BH173" s="56">
        <f t="shared" si="96"/>
        <v>1.4142390795832112E-3</v>
      </c>
      <c r="BI173" s="56">
        <f t="shared" si="93"/>
        <v>1.3859288307560844E-3</v>
      </c>
      <c r="BJ173" s="57">
        <f t="shared" si="97"/>
        <v>7.9867191312316458E-4</v>
      </c>
      <c r="BK173" s="57">
        <f t="shared" si="98"/>
        <v>5.6731198545383872E-5</v>
      </c>
      <c r="BL173" s="58">
        <f t="shared" si="99"/>
        <v>1.4091876746051519</v>
      </c>
      <c r="BM173" s="58">
        <f t="shared" si="99"/>
        <v>0.10009730459045733</v>
      </c>
    </row>
    <row r="174" spans="2:65" x14ac:dyDescent="0.2">
      <c r="AU174" s="2">
        <v>-1463</v>
      </c>
      <c r="AV174" s="53">
        <v>172</v>
      </c>
      <c r="AW174" s="4" t="s">
        <v>1815</v>
      </c>
      <c r="AX174" t="s">
        <v>1816</v>
      </c>
      <c r="AY174" s="4">
        <v>25965</v>
      </c>
      <c r="AZ174" s="9">
        <v>20.141013616687466</v>
      </c>
      <c r="BA174" s="7">
        <f t="shared" si="94"/>
        <v>5.1622271898917017E-4</v>
      </c>
      <c r="BB174" s="54">
        <f t="shared" si="88"/>
        <v>38.219093669541813</v>
      </c>
      <c r="BC174" s="55">
        <f t="shared" si="89"/>
        <v>7.3662963988202614</v>
      </c>
      <c r="BD174" s="55">
        <f t="shared" si="90"/>
        <v>2.7140921868684309</v>
      </c>
      <c r="BE174" s="55">
        <f t="shared" si="91"/>
        <v>2.6597614684918387</v>
      </c>
      <c r="BF174" s="56">
        <f t="shared" si="92"/>
        <v>1.994537042970386E-2</v>
      </c>
      <c r="BG174" s="56">
        <f t="shared" si="95"/>
        <v>2.006192649245498E-6</v>
      </c>
      <c r="BH174" s="56">
        <f t="shared" si="96"/>
        <v>1.4164013023311925E-3</v>
      </c>
      <c r="BI174" s="56">
        <f t="shared" si="93"/>
        <v>1.3880477701123826E-3</v>
      </c>
      <c r="BJ174" s="57">
        <f t="shared" si="97"/>
        <v>1.6478504905259822E-3</v>
      </c>
      <c r="BK174" s="57">
        <f t="shared" si="98"/>
        <v>1.1702051807231087E-4</v>
      </c>
      <c r="BL174" s="58">
        <f t="shared" si="99"/>
        <v>2.9074900001938189</v>
      </c>
      <c r="BM174" s="58">
        <f t="shared" si="99"/>
        <v>0.2064726066283738</v>
      </c>
    </row>
    <row r="175" spans="2:65" x14ac:dyDescent="0.2">
      <c r="AU175" s="2">
        <v>-1462</v>
      </c>
      <c r="AV175" s="53">
        <v>173</v>
      </c>
      <c r="AW175" s="4" t="s">
        <v>1418</v>
      </c>
      <c r="AX175" t="s">
        <v>1273</v>
      </c>
      <c r="AY175" s="4">
        <v>33639</v>
      </c>
      <c r="AZ175" s="9">
        <v>20.147893050542475</v>
      </c>
      <c r="BA175" s="7">
        <f t="shared" si="94"/>
        <v>5.163990417958236E-4</v>
      </c>
      <c r="BB175" s="54">
        <f t="shared" si="88"/>
        <v>38.390536078494321</v>
      </c>
      <c r="BC175" s="55">
        <f t="shared" si="89"/>
        <v>7.4231206898924951</v>
      </c>
      <c r="BD175" s="55">
        <f t="shared" si="90"/>
        <v>2.7245404548093051</v>
      </c>
      <c r="BE175" s="55">
        <f t="shared" si="91"/>
        <v>2.6700005829243079</v>
      </c>
      <c r="BF175" s="56">
        <f t="shared" si="92"/>
        <v>2.0034840954135543E-2</v>
      </c>
      <c r="BG175" s="56">
        <f t="shared" si="95"/>
        <v>2.0216686047156332E-6</v>
      </c>
      <c r="BH175" s="56">
        <f t="shared" si="96"/>
        <v>1.4218539322713966E-3</v>
      </c>
      <c r="BI175" s="56">
        <f t="shared" si="93"/>
        <v>1.3933912492642951E-3</v>
      </c>
      <c r="BJ175" s="57">
        <f t="shared" si="97"/>
        <v>2.1444520910976848E-3</v>
      </c>
      <c r="BK175" s="57">
        <f t="shared" si="98"/>
        <v>1.5218976009217958E-4</v>
      </c>
      <c r="BL175" s="58">
        <f t="shared" si="99"/>
        <v>3.7837006734579939</v>
      </c>
      <c r="BM175" s="58">
        <f t="shared" si="99"/>
        <v>0.26852569947572658</v>
      </c>
    </row>
    <row r="176" spans="2:65" x14ac:dyDescent="0.2">
      <c r="AU176" s="2">
        <v>-1461</v>
      </c>
      <c r="AV176" s="53">
        <v>174</v>
      </c>
      <c r="AW176" s="4" t="s">
        <v>1389</v>
      </c>
      <c r="AX176" t="s">
        <v>12</v>
      </c>
      <c r="AY176" s="4">
        <v>37327</v>
      </c>
      <c r="AZ176" s="9">
        <v>20.151370058426597</v>
      </c>
      <c r="BA176" s="7">
        <f t="shared" si="94"/>
        <v>5.1648815898218013E-4</v>
      </c>
      <c r="BB176" s="54">
        <f t="shared" si="88"/>
        <v>38.477478993545731</v>
      </c>
      <c r="BC176" s="55">
        <f t="shared" si="89"/>
        <v>7.4520050848756547</v>
      </c>
      <c r="BD176" s="55">
        <f t="shared" si="90"/>
        <v>2.7298360912105428</v>
      </c>
      <c r="BE176" s="55">
        <f t="shared" si="91"/>
        <v>2.6751902112351305</v>
      </c>
      <c r="BF176" s="56">
        <f t="shared" si="92"/>
        <v>2.0080213789554744E-2</v>
      </c>
      <c r="BG176" s="56">
        <f t="shared" si="95"/>
        <v>2.0295351984223978E-6</v>
      </c>
      <c r="BH176" s="56">
        <f t="shared" si="96"/>
        <v>1.4246175621627011E-3</v>
      </c>
      <c r="BI176" s="56">
        <f t="shared" si="93"/>
        <v>1.3960995567910727E-3</v>
      </c>
      <c r="BJ176" s="57">
        <f t="shared" si="97"/>
        <v>2.3849473237026945E-3</v>
      </c>
      <c r="BK176" s="57">
        <f t="shared" si="98"/>
        <v>1.69203270333066E-4</v>
      </c>
      <c r="BL176" s="58">
        <f t="shared" si="99"/>
        <v>4.2080337594469777</v>
      </c>
      <c r="BM176" s="58">
        <f t="shared" si="99"/>
        <v>0.29854457022763742</v>
      </c>
    </row>
    <row r="177" spans="47:65" x14ac:dyDescent="0.2">
      <c r="AU177" s="2">
        <v>-1460</v>
      </c>
      <c r="AV177" s="53">
        <v>175</v>
      </c>
      <c r="AW177" s="4" t="s">
        <v>3261</v>
      </c>
      <c r="AX177" t="s">
        <v>3262</v>
      </c>
      <c r="AY177" s="5">
        <v>33226.655000000006</v>
      </c>
      <c r="AZ177" s="9">
        <v>20.152352519871958</v>
      </c>
      <c r="BA177" s="7">
        <f t="shared" si="94"/>
        <v>5.1651333988559831E-4</v>
      </c>
      <c r="BB177" s="54">
        <f t="shared" si="88"/>
        <v>38.502081197710169</v>
      </c>
      <c r="BC177" s="55">
        <f t="shared" si="89"/>
        <v>7.4601867068602639</v>
      </c>
      <c r="BD177" s="55">
        <f t="shared" si="90"/>
        <v>2.7313342356548502</v>
      </c>
      <c r="BE177" s="55">
        <f t="shared" si="91"/>
        <v>2.6766583658123708</v>
      </c>
      <c r="BF177" s="56">
        <f t="shared" si="92"/>
        <v>2.0093052923828562E-2</v>
      </c>
      <c r="BG177" s="56">
        <f t="shared" si="95"/>
        <v>2.0317634429833014E-6</v>
      </c>
      <c r="BH177" s="56">
        <f t="shared" si="96"/>
        <v>1.4253993977069378E-3</v>
      </c>
      <c r="BI177" s="56">
        <f t="shared" si="93"/>
        <v>1.3968657415453411E-3</v>
      </c>
      <c r="BJ177" s="57">
        <f t="shared" si="97"/>
        <v>2.1243199241344568E-3</v>
      </c>
      <c r="BK177" s="57">
        <f t="shared" si="98"/>
        <v>1.5069906757709083E-4</v>
      </c>
      <c r="BL177" s="58">
        <f t="shared" si="99"/>
        <v>3.7481792020233282</v>
      </c>
      <c r="BM177" s="58">
        <f t="shared" si="99"/>
        <v>0.26589550116228561</v>
      </c>
    </row>
    <row r="178" spans="47:65" x14ac:dyDescent="0.2">
      <c r="AU178" s="2">
        <v>-1459</v>
      </c>
      <c r="AV178" s="53">
        <v>176</v>
      </c>
      <c r="AW178" s="4" t="s">
        <v>2356</v>
      </c>
      <c r="AX178" t="s">
        <v>2357</v>
      </c>
      <c r="AY178" s="4">
        <v>22784</v>
      </c>
      <c r="AZ178" s="9">
        <v>20.164188398015018</v>
      </c>
      <c r="BA178" s="7">
        <f t="shared" si="94"/>
        <v>5.16816698460937E-4</v>
      </c>
      <c r="BB178" s="54">
        <f t="shared" si="88"/>
        <v>38.79970736969188</v>
      </c>
      <c r="BC178" s="55">
        <f t="shared" si="89"/>
        <v>7.5594509393810077</v>
      </c>
      <c r="BD178" s="55">
        <f t="shared" si="90"/>
        <v>2.7494455694523228</v>
      </c>
      <c r="BE178" s="55">
        <f t="shared" si="91"/>
        <v>2.6944071467898856</v>
      </c>
      <c r="BF178" s="56">
        <f t="shared" si="92"/>
        <v>2.0248374876281897E-2</v>
      </c>
      <c r="BG178" s="56">
        <f t="shared" si="95"/>
        <v>2.0587978117942013E-6</v>
      </c>
      <c r="BH178" s="56">
        <f t="shared" si="96"/>
        <v>1.4348511462148961E-3</v>
      </c>
      <c r="BI178" s="56">
        <f t="shared" si="93"/>
        <v>1.4061282848786055E-3</v>
      </c>
      <c r="BJ178" s="57">
        <f t="shared" si="97"/>
        <v>1.4679373366877427E-3</v>
      </c>
      <c r="BK178" s="57">
        <f t="shared" si="98"/>
        <v>1.0402175893065118E-4</v>
      </c>
      <c r="BL178" s="58">
        <f t="shared" si="99"/>
        <v>2.5900487646597354</v>
      </c>
      <c r="BM178" s="58">
        <f t="shared" si="99"/>
        <v>0.1835374177647045</v>
      </c>
    </row>
    <row r="179" spans="47:65" x14ac:dyDescent="0.2">
      <c r="AU179" s="2">
        <v>-1458</v>
      </c>
      <c r="AV179" s="53">
        <v>177</v>
      </c>
      <c r="AW179" s="4" t="s">
        <v>2571</v>
      </c>
      <c r="AX179" t="s">
        <v>874</v>
      </c>
      <c r="AY179" s="4">
        <v>40721</v>
      </c>
      <c r="AZ179" s="9">
        <v>20.176674755356096</v>
      </c>
      <c r="BA179" s="7">
        <f t="shared" si="94"/>
        <v>5.1713672909393059E-4</v>
      </c>
      <c r="BB179" s="54">
        <f t="shared" si="88"/>
        <v>39.116184938258399</v>
      </c>
      <c r="BC179" s="55">
        <f t="shared" si="89"/>
        <v>7.6655823356035215</v>
      </c>
      <c r="BD179" s="55">
        <f t="shared" si="90"/>
        <v>2.7686788068686337</v>
      </c>
      <c r="BE179" s="55">
        <f t="shared" si="91"/>
        <v>2.7132553731109246</v>
      </c>
      <c r="BF179" s="56">
        <f t="shared" si="92"/>
        <v>2.0413534793268146E-2</v>
      </c>
      <c r="BG179" s="56">
        <f t="shared" si="95"/>
        <v>2.0877024356957257E-6</v>
      </c>
      <c r="BH179" s="56">
        <f t="shared" si="96"/>
        <v>1.4448883817429379E-3</v>
      </c>
      <c r="BI179" s="56">
        <f t="shared" si="93"/>
        <v>1.4159645949482593E-3</v>
      </c>
      <c r="BJ179" s="57">
        <f t="shared" si="97"/>
        <v>2.6449899126749399E-3</v>
      </c>
      <c r="BK179" s="57">
        <f t="shared" si="98"/>
        <v>1.8721476869902956E-4</v>
      </c>
      <c r="BL179" s="58">
        <f t="shared" si="99"/>
        <v>4.6668564690363556</v>
      </c>
      <c r="BM179" s="58">
        <f t="shared" si="99"/>
        <v>0.33032430491147446</v>
      </c>
    </row>
    <row r="180" spans="47:65" x14ac:dyDescent="0.2">
      <c r="AU180" s="2">
        <v>-1457</v>
      </c>
      <c r="AV180" s="53">
        <v>178</v>
      </c>
      <c r="AW180" s="4" t="s">
        <v>3132</v>
      </c>
      <c r="AX180" t="s">
        <v>3133</v>
      </c>
      <c r="AY180" s="4">
        <v>15422</v>
      </c>
      <c r="AZ180" s="9">
        <v>20.181515454303881</v>
      </c>
      <c r="BA180" s="7">
        <f t="shared" si="94"/>
        <v>5.1726079826046767E-4</v>
      </c>
      <c r="BB180" s="54">
        <f t="shared" si="88"/>
        <v>39.239569926553386</v>
      </c>
      <c r="BC180" s="55">
        <f t="shared" si="89"/>
        <v>7.7071212794934567</v>
      </c>
      <c r="BD180" s="55">
        <f t="shared" si="90"/>
        <v>2.7761702540538571</v>
      </c>
      <c r="BE180" s="55">
        <f t="shared" si="91"/>
        <v>2.7205968564484855</v>
      </c>
      <c r="BF180" s="56">
        <f t="shared" si="92"/>
        <v>2.0477925626768451E-2</v>
      </c>
      <c r="BG180" s="56">
        <f t="shared" si="95"/>
        <v>2.0990154645745885E-6</v>
      </c>
      <c r="BH180" s="56">
        <f t="shared" si="96"/>
        <v>1.4487979378003644E-3</v>
      </c>
      <c r="BI180" s="56">
        <f t="shared" si="93"/>
        <v>1.4197958894823074E-3</v>
      </c>
      <c r="BJ180" s="57">
        <f t="shared" si="97"/>
        <v>1.0048796059489438E-3</v>
      </c>
      <c r="BK180" s="57">
        <f t="shared" si="98"/>
        <v>7.1094481314717907E-5</v>
      </c>
      <c r="BL180" s="58">
        <f t="shared" si="99"/>
        <v>1.7730233552697372</v>
      </c>
      <c r="BM180" s="58">
        <f t="shared" si="99"/>
        <v>0.12544007765263304</v>
      </c>
    </row>
    <row r="181" spans="47:65" x14ac:dyDescent="0.2">
      <c r="AU181" s="2">
        <v>-1456</v>
      </c>
      <c r="AV181" s="53">
        <v>179</v>
      </c>
      <c r="AW181" s="4" t="s">
        <v>2606</v>
      </c>
      <c r="AX181" t="s">
        <v>2607</v>
      </c>
      <c r="AY181" s="4">
        <v>35067</v>
      </c>
      <c r="AZ181" s="9">
        <v>20.198940563018439</v>
      </c>
      <c r="BA181" s="7">
        <f t="shared" si="94"/>
        <v>5.1770741118524412E-4</v>
      </c>
      <c r="BB181" s="54">
        <f t="shared" si="88"/>
        <v>39.686951166722153</v>
      </c>
      <c r="BC181" s="55">
        <f t="shared" si="89"/>
        <v>7.8584950656683894</v>
      </c>
      <c r="BD181" s="55">
        <f t="shared" si="90"/>
        <v>2.8033007447771974</v>
      </c>
      <c r="BE181" s="55">
        <f t="shared" si="91"/>
        <v>2.7471842487988076</v>
      </c>
      <c r="BF181" s="56">
        <f t="shared" si="92"/>
        <v>2.0711400147007474E-2</v>
      </c>
      <c r="BG181" s="56">
        <f t="shared" si="95"/>
        <v>2.1402417417525294E-6</v>
      </c>
      <c r="BH181" s="56">
        <f t="shared" si="96"/>
        <v>1.4629565071294941E-3</v>
      </c>
      <c r="BI181" s="56">
        <f t="shared" si="93"/>
        <v>1.4336710324611612E-3</v>
      </c>
      <c r="BJ181" s="57">
        <f t="shared" si="97"/>
        <v>2.3109760511800803E-3</v>
      </c>
      <c r="BK181" s="57">
        <f t="shared" si="98"/>
        <v>1.6323654740371622E-4</v>
      </c>
      <c r="BL181" s="58">
        <f t="shared" si="99"/>
        <v>4.0775178319416474</v>
      </c>
      <c r="BM181" s="58">
        <f t="shared" si="99"/>
        <v>0.28801680247761891</v>
      </c>
    </row>
    <row r="182" spans="47:65" x14ac:dyDescent="0.2">
      <c r="AU182" s="2">
        <v>-1455</v>
      </c>
      <c r="AV182" s="53">
        <v>180</v>
      </c>
      <c r="AW182" s="4" t="s">
        <v>1747</v>
      </c>
      <c r="AX182" t="s">
        <v>1748</v>
      </c>
      <c r="AY182" s="4">
        <v>53070</v>
      </c>
      <c r="AZ182" s="9">
        <v>20.2036793728149</v>
      </c>
      <c r="BA182" s="7">
        <f t="shared" si="94"/>
        <v>5.1782886888963073E-4</v>
      </c>
      <c r="BB182" s="54">
        <f t="shared" si="88"/>
        <v>39.809497657113724</v>
      </c>
      <c r="BC182" s="55">
        <f t="shared" si="89"/>
        <v>7.9001661408968085</v>
      </c>
      <c r="BD182" s="55">
        <f t="shared" si="90"/>
        <v>2.8107234194948476</v>
      </c>
      <c r="BE182" s="55">
        <f t="shared" si="91"/>
        <v>2.7544583363565831</v>
      </c>
      <c r="BF182" s="56">
        <f t="shared" si="92"/>
        <v>2.0775353394220861E-2</v>
      </c>
      <c r="BG182" s="56">
        <f t="shared" si="95"/>
        <v>2.1515907562753177E-6</v>
      </c>
      <c r="BH182" s="56">
        <f t="shared" si="96"/>
        <v>1.4668301729495877E-3</v>
      </c>
      <c r="BI182" s="56">
        <f t="shared" si="93"/>
        <v>1.4374671552089249E-3</v>
      </c>
      <c r="BJ182" s="57">
        <f t="shared" si="97"/>
        <v>3.5082043260480115E-3</v>
      </c>
      <c r="BK182" s="57">
        <f t="shared" si="98"/>
        <v>2.4769446086779718E-4</v>
      </c>
      <c r="BL182" s="58">
        <f t="shared" si="99"/>
        <v>6.1899238160650727</v>
      </c>
      <c r="BM182" s="58">
        <f t="shared" si="99"/>
        <v>0.43703550304897304</v>
      </c>
    </row>
    <row r="183" spans="47:65" x14ac:dyDescent="0.2">
      <c r="AU183" s="2">
        <v>-1454</v>
      </c>
      <c r="AV183" s="53">
        <v>181</v>
      </c>
      <c r="AW183" s="4" t="s">
        <v>2802</v>
      </c>
      <c r="AX183" t="s">
        <v>1349</v>
      </c>
      <c r="AY183" s="4">
        <v>20866</v>
      </c>
      <c r="AZ183" s="9">
        <v>20.207441768663742</v>
      </c>
      <c r="BA183" s="7">
        <f t="shared" si="94"/>
        <v>5.1792530069053044E-4</v>
      </c>
      <c r="BB183" s="54">
        <f t="shared" si="88"/>
        <v>39.907063350844815</v>
      </c>
      <c r="BC183" s="55">
        <f t="shared" si="89"/>
        <v>7.9334061321251044</v>
      </c>
      <c r="BD183" s="55">
        <f t="shared" si="90"/>
        <v>2.8166302796293845</v>
      </c>
      <c r="BE183" s="55">
        <f t="shared" si="91"/>
        <v>2.760246952919287</v>
      </c>
      <c r="BF183" s="56">
        <f t="shared" si="92"/>
        <v>2.0826269931371738E-2</v>
      </c>
      <c r="BG183" s="56">
        <f t="shared" si="95"/>
        <v>2.1606435858728269E-6</v>
      </c>
      <c r="BH183" s="56">
        <f t="shared" si="96"/>
        <v>1.4699127817230609E-3</v>
      </c>
      <c r="BI183" s="56">
        <f t="shared" si="93"/>
        <v>1.4404880562961422E-3</v>
      </c>
      <c r="BJ183" s="57">
        <f t="shared" si="97"/>
        <v>1.3827321737125899E-3</v>
      </c>
      <c r="BK183" s="57">
        <f t="shared" si="98"/>
        <v>9.7592881612380792E-5</v>
      </c>
      <c r="BL183" s="58">
        <f t="shared" si="99"/>
        <v>2.4397116068050408</v>
      </c>
      <c r="BM183" s="58">
        <f t="shared" si="99"/>
        <v>0.17219421847398628</v>
      </c>
    </row>
    <row r="184" spans="47:65" x14ac:dyDescent="0.2">
      <c r="AU184" s="2">
        <v>-1453</v>
      </c>
      <c r="AV184" s="53">
        <v>182</v>
      </c>
      <c r="AW184" s="4" t="s">
        <v>2616</v>
      </c>
      <c r="AX184" t="s">
        <v>2617</v>
      </c>
      <c r="AY184" s="4">
        <v>32739</v>
      </c>
      <c r="AZ184" s="9">
        <v>20.210298764326037</v>
      </c>
      <c r="BA184" s="7">
        <f t="shared" si="94"/>
        <v>5.1799852670075005E-4</v>
      </c>
      <c r="BB184" s="54">
        <f t="shared" si="88"/>
        <v>39.981310096466551</v>
      </c>
      <c r="BC184" s="55">
        <f t="shared" si="89"/>
        <v>7.9587391717251288</v>
      </c>
      <c r="BD184" s="55">
        <f t="shared" si="90"/>
        <v>2.8211237427176301</v>
      </c>
      <c r="BE184" s="55">
        <f t="shared" si="91"/>
        <v>2.7646504658286979</v>
      </c>
      <c r="BF184" s="56">
        <f t="shared" si="92"/>
        <v>2.0865017026146668E-2</v>
      </c>
      <c r="BG184" s="56">
        <f t="shared" si="95"/>
        <v>2.1675429767032038E-6</v>
      </c>
      <c r="BH184" s="56">
        <f t="shared" si="96"/>
        <v>1.4722577820148223E-3</v>
      </c>
      <c r="BI184" s="56">
        <f t="shared" si="93"/>
        <v>1.4427861143539364E-3</v>
      </c>
      <c r="BJ184" s="57">
        <f t="shared" si="97"/>
        <v>2.173559461193963E-3</v>
      </c>
      <c r="BK184" s="57">
        <f t="shared" si="98"/>
        <v>1.5336866619397802E-4</v>
      </c>
      <c r="BL184" s="58">
        <f t="shared" si="99"/>
        <v>3.8350581163652424</v>
      </c>
      <c r="BM184" s="58">
        <f t="shared" si="99"/>
        <v>0.27060577756645943</v>
      </c>
    </row>
    <row r="185" spans="47:65" x14ac:dyDescent="0.2">
      <c r="AU185" s="2">
        <v>-1452</v>
      </c>
      <c r="AV185" s="53">
        <v>183</v>
      </c>
      <c r="AW185" s="4" t="s">
        <v>1585</v>
      </c>
      <c r="AX185" t="s">
        <v>1586</v>
      </c>
      <c r="AY185" s="4">
        <v>53248</v>
      </c>
      <c r="AZ185" s="9">
        <v>20.214826608504545</v>
      </c>
      <c r="BA185" s="7">
        <f t="shared" si="94"/>
        <v>5.1811457726689701E-4</v>
      </c>
      <c r="BB185" s="54">
        <f t="shared" si="88"/>
        <v>40.099261413361283</v>
      </c>
      <c r="BC185" s="55">
        <f t="shared" si="89"/>
        <v>7.9990511073819448</v>
      </c>
      <c r="BD185" s="55">
        <f t="shared" si="90"/>
        <v>2.8282593776706451</v>
      </c>
      <c r="BE185" s="55">
        <f t="shared" si="91"/>
        <v>2.7716432595860647</v>
      </c>
      <c r="BF185" s="56">
        <f t="shared" si="92"/>
        <v>2.0926572193531771E-2</v>
      </c>
      <c r="BG185" s="56">
        <f t="shared" si="95"/>
        <v>2.1785218329171694E-6</v>
      </c>
      <c r="BH185" s="56">
        <f t="shared" si="96"/>
        <v>1.4759816506031398E-3</v>
      </c>
      <c r="BI185" s="56">
        <f t="shared" si="93"/>
        <v>1.4464354385120676E-3</v>
      </c>
      <c r="BJ185" s="57">
        <f t="shared" si="97"/>
        <v>3.5455920787150273E-3</v>
      </c>
      <c r="BK185" s="57">
        <f t="shared" si="98"/>
        <v>2.5007577926808148E-4</v>
      </c>
      <c r="BL185" s="58">
        <f t="shared" si="99"/>
        <v>6.2558912795176411</v>
      </c>
      <c r="BM185" s="58">
        <f t="shared" si="99"/>
        <v>0.44123713388618213</v>
      </c>
    </row>
    <row r="186" spans="47:65" x14ac:dyDescent="0.2">
      <c r="AU186" s="2">
        <v>-1451</v>
      </c>
      <c r="AV186" s="53">
        <v>184</v>
      </c>
      <c r="AW186" s="4" t="s">
        <v>1674</v>
      </c>
      <c r="AX186" t="s">
        <v>1289</v>
      </c>
      <c r="AY186" s="4">
        <v>24981</v>
      </c>
      <c r="AZ186" s="9">
        <v>20.225919744913906</v>
      </c>
      <c r="BA186" s="7">
        <f t="shared" si="94"/>
        <v>5.183988990566709E-4</v>
      </c>
      <c r="BB186" s="54">
        <f t="shared" si="88"/>
        <v>40.389712837555265</v>
      </c>
      <c r="BC186" s="55">
        <f t="shared" si="89"/>
        <v>8.0986673352549285</v>
      </c>
      <c r="BD186" s="55">
        <f t="shared" si="90"/>
        <v>2.8458157591901356</v>
      </c>
      <c r="BE186" s="55">
        <f t="shared" si="91"/>
        <v>2.788848197324588</v>
      </c>
      <c r="BF186" s="56">
        <f t="shared" si="92"/>
        <v>2.1078149865610421E-2</v>
      </c>
      <c r="BG186" s="56">
        <f t="shared" si="95"/>
        <v>2.2056520667936935E-6</v>
      </c>
      <c r="BH186" s="56">
        <f t="shared" si="96"/>
        <v>1.4851437865720926E-3</v>
      </c>
      <c r="BI186" s="56">
        <f t="shared" si="93"/>
        <v>1.4554141667723708E-3</v>
      </c>
      <c r="BJ186" s="57">
        <f t="shared" si="97"/>
        <v>1.6754430856132881E-3</v>
      </c>
      <c r="BK186" s="57">
        <f t="shared" si="98"/>
        <v>1.1804991919207464E-4</v>
      </c>
      <c r="BL186" s="58">
        <f t="shared" si="99"/>
        <v>2.9561747533052083</v>
      </c>
      <c r="BM186" s="58">
        <f t="shared" si="99"/>
        <v>0.20828889607884823</v>
      </c>
    </row>
    <row r="187" spans="47:65" x14ac:dyDescent="0.2">
      <c r="AU187" s="2">
        <v>-1450</v>
      </c>
      <c r="AV187" s="53">
        <v>185</v>
      </c>
      <c r="AW187" s="4" t="s">
        <v>1607</v>
      </c>
      <c r="AX187" t="s">
        <v>1608</v>
      </c>
      <c r="AY187" s="4">
        <v>52186</v>
      </c>
      <c r="AZ187" s="9">
        <v>20.226351038022248</v>
      </c>
      <c r="BA187" s="7">
        <f t="shared" si="94"/>
        <v>5.1840995328191039E-4</v>
      </c>
      <c r="BB187" s="54">
        <f t="shared" si="88"/>
        <v>40.401047771481544</v>
      </c>
      <c r="BC187" s="55">
        <f t="shared" si="89"/>
        <v>8.1025649425489927</v>
      </c>
      <c r="BD187" s="55">
        <f t="shared" si="90"/>
        <v>2.8465004729578025</v>
      </c>
      <c r="BE187" s="55">
        <f t="shared" si="91"/>
        <v>2.7895192044867607</v>
      </c>
      <c r="BF187" s="56">
        <f t="shared" si="92"/>
        <v>2.1084065219279188E-2</v>
      </c>
      <c r="BG187" s="56">
        <f t="shared" si="95"/>
        <v>2.2067135705236763E-6</v>
      </c>
      <c r="BH187" s="56">
        <f t="shared" si="96"/>
        <v>1.485501117644708E-3</v>
      </c>
      <c r="BI187" s="56">
        <f t="shared" si="93"/>
        <v>1.4557643447888123E-3</v>
      </c>
      <c r="BJ187" s="57">
        <f t="shared" si="97"/>
        <v>3.5010292004506649E-3</v>
      </c>
      <c r="BK187" s="57">
        <f t="shared" si="98"/>
        <v>2.466688817401611E-4</v>
      </c>
      <c r="BL187" s="58">
        <f t="shared" si="99"/>
        <v>6.1772639260784761</v>
      </c>
      <c r="BM187" s="58">
        <f t="shared" si="99"/>
        <v>0.4352259571738144</v>
      </c>
    </row>
    <row r="188" spans="47:65" x14ac:dyDescent="0.2">
      <c r="AU188" s="2">
        <v>-1449</v>
      </c>
      <c r="AV188" s="53">
        <v>186</v>
      </c>
      <c r="AW188" s="4" t="s">
        <v>2837</v>
      </c>
      <c r="AX188" t="s">
        <v>2838</v>
      </c>
      <c r="AY188" s="4">
        <v>24284</v>
      </c>
      <c r="AZ188" s="9">
        <v>20.232102341819544</v>
      </c>
      <c r="BA188" s="7">
        <f t="shared" si="94"/>
        <v>5.1855736163684601E-4</v>
      </c>
      <c r="BB188" s="54">
        <f t="shared" si="88"/>
        <v>40.55250379816237</v>
      </c>
      <c r="BC188" s="55">
        <f t="shared" si="89"/>
        <v>8.1547167169784061</v>
      </c>
      <c r="BD188" s="55">
        <f t="shared" si="90"/>
        <v>2.8556464621830213</v>
      </c>
      <c r="BE188" s="55">
        <f t="shared" si="91"/>
        <v>2.7984821092289711</v>
      </c>
      <c r="BF188" s="56">
        <f t="shared" si="92"/>
        <v>2.1163105465028597E-2</v>
      </c>
      <c r="BG188" s="56">
        <f t="shared" si="95"/>
        <v>2.2209169776146946E-6</v>
      </c>
      <c r="BH188" s="56">
        <f t="shared" si="96"/>
        <v>1.4902741283450822E-3</v>
      </c>
      <c r="BI188" s="56">
        <f t="shared" si="93"/>
        <v>1.4604418093240913E-3</v>
      </c>
      <c r="BJ188" s="57">
        <f t="shared" si="97"/>
        <v>1.6352606738031989E-3</v>
      </c>
      <c r="BK188" s="57">
        <f t="shared" si="98"/>
        <v>1.1515260268849022E-4</v>
      </c>
      <c r="BL188" s="58">
        <f t="shared" si="99"/>
        <v>2.885276354941281</v>
      </c>
      <c r="BM188" s="58">
        <f t="shared" si="99"/>
        <v>0.20317683111300336</v>
      </c>
    </row>
    <row r="189" spans="47:65" x14ac:dyDescent="0.2">
      <c r="AU189" s="2">
        <v>-1448</v>
      </c>
      <c r="AV189" s="53">
        <v>187</v>
      </c>
      <c r="AW189" s="4" t="s">
        <v>2757</v>
      </c>
      <c r="AX189" t="s">
        <v>2758</v>
      </c>
      <c r="AY189" s="4">
        <v>29381</v>
      </c>
      <c r="AZ189" s="9">
        <v>20.258719373427823</v>
      </c>
      <c r="BA189" s="7">
        <f t="shared" si="94"/>
        <v>5.1923956744285682E-4</v>
      </c>
      <c r="BB189" s="54">
        <f t="shared" si="88"/>
        <v>41.260870751860857</v>
      </c>
      <c r="BC189" s="55">
        <f t="shared" si="89"/>
        <v>8.4004169891919318</v>
      </c>
      <c r="BD189" s="55">
        <f t="shared" si="90"/>
        <v>2.89834728581513</v>
      </c>
      <c r="BE189" s="55">
        <f t="shared" si="91"/>
        <v>2.840328147443536</v>
      </c>
      <c r="BF189" s="56">
        <f t="shared" si="92"/>
        <v>2.1532780408496363E-2</v>
      </c>
      <c r="BG189" s="56">
        <f t="shared" si="95"/>
        <v>2.2878328405320773E-6</v>
      </c>
      <c r="BH189" s="56">
        <f t="shared" si="96"/>
        <v>1.5125583759088696E-3</v>
      </c>
      <c r="BI189" s="56">
        <f t="shared" si="93"/>
        <v>1.4822799706478902E-3</v>
      </c>
      <c r="BJ189" s="57">
        <f t="shared" si="97"/>
        <v>2.0130476583350926E-3</v>
      </c>
      <c r="BK189" s="57">
        <f t="shared" si="98"/>
        <v>1.4140543111269778E-4</v>
      </c>
      <c r="BL189" s="58">
        <f t="shared" si="99"/>
        <v>3.5518488905232273</v>
      </c>
      <c r="BM189" s="58">
        <f t="shared" si="99"/>
        <v>0.2494976815536423</v>
      </c>
    </row>
    <row r="190" spans="47:65" x14ac:dyDescent="0.2">
      <c r="AU190" s="2">
        <v>-1447</v>
      </c>
      <c r="AV190" s="53">
        <v>188</v>
      </c>
      <c r="AW190" s="4" t="s">
        <v>3199</v>
      </c>
      <c r="AX190" t="s">
        <v>3200</v>
      </c>
      <c r="AY190" s="5">
        <v>10812.504999999999</v>
      </c>
      <c r="AZ190" s="9">
        <v>20.259830597933586</v>
      </c>
      <c r="BA190" s="7">
        <f t="shared" si="94"/>
        <v>5.1926804859810994E-4</v>
      </c>
      <c r="BB190" s="54">
        <f t="shared" si="88"/>
        <v>41.290711707588947</v>
      </c>
      <c r="BC190" s="55">
        <f t="shared" si="89"/>
        <v>8.4108318034609066</v>
      </c>
      <c r="BD190" s="55">
        <f t="shared" si="90"/>
        <v>2.900143410843834</v>
      </c>
      <c r="BE190" s="55">
        <f t="shared" si="91"/>
        <v>2.8420883176275313</v>
      </c>
      <c r="BF190" s="56">
        <f t="shared" si="92"/>
        <v>2.1548353486212944E-2</v>
      </c>
      <c r="BG190" s="56">
        <f t="shared" si="95"/>
        <v>2.2906692895016072E-6</v>
      </c>
      <c r="BH190" s="56">
        <f t="shared" si="96"/>
        <v>1.5134957183624959E-3</v>
      </c>
      <c r="BI190" s="56">
        <f t="shared" si="93"/>
        <v>1.4831985493730341E-3</v>
      </c>
      <c r="BJ190" s="57">
        <f t="shared" si="97"/>
        <v>7.4135766933888911E-4</v>
      </c>
      <c r="BK190" s="57">
        <f t="shared" si="98"/>
        <v>5.2070876739492503E-5</v>
      </c>
      <c r="BL190" s="58">
        <f t="shared" si="99"/>
        <v>1.3080616370006959</v>
      </c>
      <c r="BM190" s="58">
        <f t="shared" si="99"/>
        <v>9.1874568895552552E-2</v>
      </c>
    </row>
    <row r="191" spans="47:65" x14ac:dyDescent="0.2">
      <c r="AU191" s="2">
        <v>-1446</v>
      </c>
      <c r="AV191" s="53">
        <v>189</v>
      </c>
      <c r="AW191" s="4" t="s">
        <v>3000</v>
      </c>
      <c r="AX191" t="s">
        <v>3001</v>
      </c>
      <c r="AY191" s="4">
        <v>53593</v>
      </c>
      <c r="AZ191" s="9">
        <v>20.259907202565948</v>
      </c>
      <c r="BA191" s="7">
        <f t="shared" si="94"/>
        <v>5.1927001200731859E-4</v>
      </c>
      <c r="BB191" s="54">
        <f t="shared" si="88"/>
        <v>41.292769652604832</v>
      </c>
      <c r="BC191" s="55">
        <f t="shared" si="89"/>
        <v>8.41155023969627</v>
      </c>
      <c r="BD191" s="55">
        <f t="shared" si="90"/>
        <v>2.9002672703901395</v>
      </c>
      <c r="BE191" s="55">
        <f t="shared" si="91"/>
        <v>2.8422096977524816</v>
      </c>
      <c r="BF191" s="56">
        <f t="shared" si="92"/>
        <v>2.1549427464471596E-2</v>
      </c>
      <c r="BG191" s="56">
        <f t="shared" si="95"/>
        <v>2.2908649538377344E-6</v>
      </c>
      <c r="BH191" s="56">
        <f t="shared" si="96"/>
        <v>1.5135603568532489E-3</v>
      </c>
      <c r="BI191" s="56">
        <f t="shared" si="93"/>
        <v>1.4832618939299796E-3</v>
      </c>
      <c r="BJ191" s="57">
        <f t="shared" si="97"/>
        <v>3.6747785837090512E-3</v>
      </c>
      <c r="BK191" s="57">
        <f t="shared" si="98"/>
        <v>2.5810426721013265E-4</v>
      </c>
      <c r="BL191" s="58">
        <f t="shared" si="99"/>
        <v>6.483829720286149</v>
      </c>
      <c r="BM191" s="58">
        <f t="shared" si="99"/>
        <v>0.45540270809476197</v>
      </c>
    </row>
    <row r="192" spans="47:65" x14ac:dyDescent="0.2">
      <c r="AU192" s="2">
        <v>-1445</v>
      </c>
      <c r="AV192" s="53">
        <v>190</v>
      </c>
      <c r="AW192" s="4" t="s">
        <v>2691</v>
      </c>
      <c r="AX192" t="s">
        <v>956</v>
      </c>
      <c r="AY192" s="4">
        <v>31919</v>
      </c>
      <c r="AZ192" s="9">
        <v>20.280556326298441</v>
      </c>
      <c r="BA192" s="7">
        <f t="shared" si="94"/>
        <v>5.197992578040196E-4</v>
      </c>
      <c r="BB192" s="54">
        <f t="shared" si="88"/>
        <v>41.851255178622694</v>
      </c>
      <c r="BC192" s="55">
        <f t="shared" si="89"/>
        <v>8.607430260789263</v>
      </c>
      <c r="BD192" s="55">
        <f t="shared" si="90"/>
        <v>2.9338422351567002</v>
      </c>
      <c r="BE192" s="55">
        <f t="shared" si="91"/>
        <v>2.8751125586148114</v>
      </c>
      <c r="BF192" s="56">
        <f t="shared" si="92"/>
        <v>2.1840883897017285E-2</v>
      </c>
      <c r="BG192" s="56">
        <f t="shared" si="95"/>
        <v>2.3442123942846113E-6</v>
      </c>
      <c r="BH192" s="56">
        <f t="shared" si="96"/>
        <v>1.5310820991327053E-3</v>
      </c>
      <c r="BI192" s="56">
        <f t="shared" si="93"/>
        <v>1.5004328858370432E-3</v>
      </c>
      <c r="BJ192" s="57">
        <f t="shared" si="97"/>
        <v>2.2182314535828464E-3</v>
      </c>
      <c r="BK192" s="57">
        <f t="shared" si="98"/>
        <v>1.5550169518448994E-4</v>
      </c>
      <c r="BL192" s="58">
        <f t="shared" si="99"/>
        <v>3.9138779922618436</v>
      </c>
      <c r="BM192" s="58">
        <f t="shared" si="99"/>
        <v>0.2743693231646146</v>
      </c>
    </row>
    <row r="193" spans="47:65" x14ac:dyDescent="0.2">
      <c r="AU193" s="2">
        <v>-1444</v>
      </c>
      <c r="AV193" s="53">
        <v>191</v>
      </c>
      <c r="AW193" s="4" t="s">
        <v>2534</v>
      </c>
      <c r="AX193" t="s">
        <v>841</v>
      </c>
      <c r="AY193" s="4">
        <v>17301</v>
      </c>
      <c r="AZ193" s="9">
        <v>20.291936591906381</v>
      </c>
      <c r="BA193" s="7">
        <f t="shared" si="94"/>
        <v>5.2009093883689881E-4</v>
      </c>
      <c r="BB193" s="54">
        <f t="shared" si="88"/>
        <v>42.162273367046588</v>
      </c>
      <c r="BC193" s="55">
        <f t="shared" si="89"/>
        <v>8.7172995668357363</v>
      </c>
      <c r="BD193" s="55">
        <f t="shared" si="90"/>
        <v>2.9525073356108256</v>
      </c>
      <c r="BE193" s="55">
        <f t="shared" si="91"/>
        <v>2.8934040209437657</v>
      </c>
      <c r="BF193" s="56">
        <f t="shared" si="92"/>
        <v>2.2003194731285789E-2</v>
      </c>
      <c r="BG193" s="56">
        <f t="shared" si="95"/>
        <v>2.3741350287042489E-6</v>
      </c>
      <c r="BH193" s="56">
        <f t="shared" si="96"/>
        <v>1.5408228414403289E-3</v>
      </c>
      <c r="BI193" s="56">
        <f t="shared" si="93"/>
        <v>1.5099786378898572E-3</v>
      </c>
      <c r="BJ193" s="57">
        <f t="shared" si="97"/>
        <v>1.2112793701589838E-3</v>
      </c>
      <c r="BK193" s="57">
        <f t="shared" si="98"/>
        <v>8.4822542530729741E-5</v>
      </c>
      <c r="BL193" s="58">
        <f t="shared" si="99"/>
        <v>2.1371979293183236</v>
      </c>
      <c r="BM193" s="58">
        <f t="shared" si="99"/>
        <v>0.14966205709620664</v>
      </c>
    </row>
    <row r="194" spans="47:65" x14ac:dyDescent="0.2">
      <c r="AU194" s="2">
        <v>-1443</v>
      </c>
      <c r="AV194" s="53">
        <v>192</v>
      </c>
      <c r="AW194" s="4" t="s">
        <v>3011</v>
      </c>
      <c r="AX194" t="s">
        <v>1173</v>
      </c>
      <c r="AY194" s="4">
        <v>29753</v>
      </c>
      <c r="AZ194" s="9">
        <v>20.309229121444041</v>
      </c>
      <c r="BA194" s="7">
        <f t="shared" si="94"/>
        <v>5.2053415370115653E-4</v>
      </c>
      <c r="BB194" s="54">
        <f t="shared" si="88"/>
        <v>42.63930188042324</v>
      </c>
      <c r="BC194" s="55">
        <f t="shared" si="89"/>
        <v>8.8868992976308849</v>
      </c>
      <c r="BD194" s="55">
        <f t="shared" si="90"/>
        <v>2.9810902867291498</v>
      </c>
      <c r="BE194" s="55">
        <f t="shared" si="91"/>
        <v>2.9214147983256575</v>
      </c>
      <c r="BF194" s="56">
        <f t="shared" si="92"/>
        <v>2.2252141252286417E-2</v>
      </c>
      <c r="BG194" s="56">
        <f t="shared" si="95"/>
        <v>2.4203250969303153E-6</v>
      </c>
      <c r="BH194" s="56">
        <f t="shared" si="96"/>
        <v>1.5557394052122982E-3</v>
      </c>
      <c r="BI194" s="56">
        <f t="shared" si="93"/>
        <v>1.5245966017729345E-3</v>
      </c>
      <c r="BJ194" s="57">
        <f t="shared" si="97"/>
        <v>2.1066381391285846E-3</v>
      </c>
      <c r="BK194" s="57">
        <f t="shared" si="98"/>
        <v>1.472838019679879E-4</v>
      </c>
      <c r="BL194" s="58">
        <f t="shared" si="99"/>
        <v>3.7169812181129425</v>
      </c>
      <c r="BM194" s="58">
        <f t="shared" si="99"/>
        <v>0.25986955969273934</v>
      </c>
    </row>
    <row r="195" spans="47:65" x14ac:dyDescent="0.2">
      <c r="AU195" s="2">
        <v>-1442</v>
      </c>
      <c r="AV195" s="53">
        <v>193</v>
      </c>
      <c r="AW195" s="4" t="s">
        <v>2352</v>
      </c>
      <c r="AX195" t="s">
        <v>1322</v>
      </c>
      <c r="AY195" s="4">
        <v>89516</v>
      </c>
      <c r="AZ195" s="9">
        <v>20.317570129053593</v>
      </c>
      <c r="BA195" s="7">
        <f t="shared" si="94"/>
        <v>5.2074793726286086E-4</v>
      </c>
      <c r="BB195" s="54">
        <f t="shared" ref="BB195:BB258" si="100">IFERROR(IF(MATCH(AX195,$S$4:$S$20,0),VLOOKUP(AX195,$S$4:$AT$20,20,FALSE)),AVERAGE((2^(($AE$23*AZ195)+$AE$24)),(2^(($AF$23*AZ195)+$AF$24)),(2^(($AG$23*AZ195)+$AG$24)),(2^(($AH$23*AZ195)+$AH$24))))</f>
        <v>42.871321274610708</v>
      </c>
      <c r="BC195" s="55">
        <f t="shared" ref="BC195:BC258" si="101">IFERROR(IF(MATCH(AX195,$S$4:$S$20,0),VLOOKUP(AX195,$S$4:$AT$20,21,FALSE)),_xlfn.VAR.S((2^(($AE$23*AZ195)+$AE$24)),(2^(($AF$23*AZ195)+$AF$24)),(2^(($AG$23*AZ195)+$AG$24)),(2^(($AH$23*AZ195)+$AH$24))))</f>
        <v>8.969863879787253</v>
      </c>
      <c r="BD195" s="55">
        <f t="shared" ref="BD195:BD258" si="102">SQRT(BC195)</f>
        <v>2.9949731016800891</v>
      </c>
      <c r="BE195" s="55">
        <f t="shared" ref="BE195:BE258" si="103">_xlfn.CONFIDENCE.NORM(0.05,BD195,4)</f>
        <v>2.9350197069795954</v>
      </c>
      <c r="BF195" s="56">
        <f t="shared" ref="BF195:BF258" si="104">IFERROR(IF(MATCH(AX195,$S$4:$S$20,0),VLOOKUP(AX195,$S$4:$AT$20,24,FALSE)),AVERAGE((2^(($AI$23*AZ195)+$AI$24)),(2^(($AJ$23*AZ195)+$AJ$24)),(2^(($AK$23*AZ195)+$AK$24)),(2^(($AL$23*AZ195)+$AL$24))))</f>
        <v>2.2373225043648848E-2</v>
      </c>
      <c r="BG195" s="56">
        <f t="shared" si="95"/>
        <v>2.4429202961809316E-6</v>
      </c>
      <c r="BH195" s="56">
        <f t="shared" si="96"/>
        <v>1.5629844196859198E-3</v>
      </c>
      <c r="BI195" s="56">
        <f t="shared" ref="BI195:BI258" si="105">_xlfn.CONFIDENCE.NORM(0.05,BH195,4)</f>
        <v>1.5316965854908194E-3</v>
      </c>
      <c r="BJ195" s="57">
        <f t="shared" si="97"/>
        <v>6.3725995832213866E-3</v>
      </c>
      <c r="BK195" s="57">
        <f t="shared" si="98"/>
        <v>4.4518722008293841E-4</v>
      </c>
      <c r="BL195" s="58">
        <f t="shared" si="99"/>
        <v>11.243902083338513</v>
      </c>
      <c r="BM195" s="58">
        <f t="shared" si="99"/>
        <v>0.78549443535503771</v>
      </c>
    </row>
    <row r="196" spans="47:65" x14ac:dyDescent="0.2">
      <c r="AU196" s="2">
        <v>-1441</v>
      </c>
      <c r="AV196" s="53">
        <v>194</v>
      </c>
      <c r="AW196" s="4" t="s">
        <v>3141</v>
      </c>
      <c r="AX196" t="s">
        <v>3142</v>
      </c>
      <c r="AY196" s="5">
        <v>143186.095</v>
      </c>
      <c r="AZ196" s="9">
        <v>20.33387963228007</v>
      </c>
      <c r="BA196" s="7">
        <f t="shared" ref="BA196:BA259" si="106">AZ196/$AZ$1637</f>
        <v>5.211659567459498E-4</v>
      </c>
      <c r="BB196" s="54">
        <f t="shared" si="100"/>
        <v>43.328652481899944</v>
      </c>
      <c r="BC196" s="55">
        <f t="shared" si="101"/>
        <v>9.1342994711620182</v>
      </c>
      <c r="BD196" s="55">
        <f t="shared" si="102"/>
        <v>3.0223003608447025</v>
      </c>
      <c r="BE196" s="55">
        <f t="shared" si="103"/>
        <v>2.9617999288590124</v>
      </c>
      <c r="BF196" s="56">
        <f t="shared" si="104"/>
        <v>2.2611892145943738E-2</v>
      </c>
      <c r="BG196" s="56">
        <f t="shared" ref="BG196:BG259" si="107">IFERROR(IF(MATCH(AX196,$S$4:$S$20,0),VLOOKUP(AX196,$S$4:$AT$20,25,FALSE)),_xlfn.VAR.S((2^(($AI$23*AZ196)+$AI$24)),(2^(($AJ$23*AZ196)+$AJ$24)),(2^(($AK$23*AZ196)+$AK$24)),(2^(($AL$23*AZ196)+$AL$24))))</f>
        <v>2.4877039237774257E-6</v>
      </c>
      <c r="BH196" s="56">
        <f t="shared" ref="BH196:BH259" si="108">SQRT(BG196)</f>
        <v>1.577245676417414E-3</v>
      </c>
      <c r="BI196" s="56">
        <f t="shared" si="105"/>
        <v>1.5456723602748233E-3</v>
      </c>
      <c r="BJ196" s="57">
        <f t="shared" ref="BJ196:BJ259" si="109">(((BF196*0.000001)*AY196)*1000000000000000)*$S$24</f>
        <v>1.0302084850781471E-2</v>
      </c>
      <c r="BK196" s="57">
        <f t="shared" ref="BK196:BK259" si="110">((((BH196*0.000001)*AY196)*1000000000000000)*$S$24)</f>
        <v>7.1860057902740557E-4</v>
      </c>
      <c r="BL196" s="58">
        <f t="shared" ref="BL196:BM259" si="111">((BJ196/$S$26)*0.000000001)/0.45</f>
        <v>18.177139769054236</v>
      </c>
      <c r="BM196" s="58">
        <f t="shared" si="111"/>
        <v>1.267908714818401</v>
      </c>
    </row>
    <row r="197" spans="47:65" x14ac:dyDescent="0.2">
      <c r="AU197" s="2">
        <v>-1440</v>
      </c>
      <c r="AV197" s="53">
        <v>195</v>
      </c>
      <c r="AW197" s="4" t="s">
        <v>2443</v>
      </c>
      <c r="AX197" t="s">
        <v>2444</v>
      </c>
      <c r="AY197" s="4">
        <v>12377</v>
      </c>
      <c r="AZ197" s="9">
        <v>20.342958656827079</v>
      </c>
      <c r="BA197" s="7">
        <f t="shared" si="106"/>
        <v>5.2139865599468789E-4</v>
      </c>
      <c r="BB197" s="54">
        <f t="shared" si="100"/>
        <v>43.585346053534245</v>
      </c>
      <c r="BC197" s="55">
        <f t="shared" si="101"/>
        <v>9.2271194580276461</v>
      </c>
      <c r="BD197" s="55">
        <f t="shared" si="102"/>
        <v>3.0376173982296795</v>
      </c>
      <c r="BE197" s="55">
        <f t="shared" si="103"/>
        <v>2.9768103496712168</v>
      </c>
      <c r="BF197" s="56">
        <f t="shared" si="104"/>
        <v>2.2745852632224207E-2</v>
      </c>
      <c r="BG197" s="56">
        <f t="shared" si="107"/>
        <v>2.5129832181840643E-6</v>
      </c>
      <c r="BH197" s="56">
        <f t="shared" si="108"/>
        <v>1.5852391675025143E-3</v>
      </c>
      <c r="BI197" s="56">
        <f t="shared" si="105"/>
        <v>1.5535058375935927E-3</v>
      </c>
      <c r="BJ197" s="57">
        <f t="shared" si="109"/>
        <v>8.957874716323355E-4</v>
      </c>
      <c r="BK197" s="57">
        <f t="shared" si="110"/>
        <v>6.243060696602987E-5</v>
      </c>
      <c r="BL197" s="58">
        <f t="shared" si="111"/>
        <v>1.5805396976509587</v>
      </c>
      <c r="BM197" s="58">
        <f t="shared" si="111"/>
        <v>0.11015341895600232</v>
      </c>
    </row>
    <row r="198" spans="47:65" x14ac:dyDescent="0.2">
      <c r="AU198" s="2">
        <v>-1439</v>
      </c>
      <c r="AV198" s="53">
        <v>196</v>
      </c>
      <c r="AW198" s="4" t="s">
        <v>1630</v>
      </c>
      <c r="AX198" t="s">
        <v>1631</v>
      </c>
      <c r="AY198" s="4">
        <v>9734</v>
      </c>
      <c r="AZ198" s="9">
        <v>20.345090442967305</v>
      </c>
      <c r="BA198" s="7">
        <f t="shared" si="106"/>
        <v>5.2145329457736072E-4</v>
      </c>
      <c r="BB198" s="54">
        <f t="shared" si="100"/>
        <v>43.645838729748952</v>
      </c>
      <c r="BC198" s="55">
        <f t="shared" si="101"/>
        <v>9.2490483058809296</v>
      </c>
      <c r="BD198" s="55">
        <f t="shared" si="102"/>
        <v>3.0412248035751861</v>
      </c>
      <c r="BE198" s="55">
        <f t="shared" si="103"/>
        <v>2.980345541948632</v>
      </c>
      <c r="BF198" s="56">
        <f t="shared" si="104"/>
        <v>2.2777421900868282E-2</v>
      </c>
      <c r="BG198" s="56">
        <f t="shared" si="107"/>
        <v>2.5189554857915147E-6</v>
      </c>
      <c r="BH198" s="56">
        <f t="shared" si="108"/>
        <v>1.5871217614888641E-3</v>
      </c>
      <c r="BI198" s="56">
        <f t="shared" si="105"/>
        <v>1.5553507457989712E-3</v>
      </c>
      <c r="BJ198" s="57">
        <f t="shared" si="109"/>
        <v>7.0547768360941705E-4</v>
      </c>
      <c r="BK198" s="57">
        <f t="shared" si="110"/>
        <v>4.9157406346263397E-5</v>
      </c>
      <c r="BL198" s="58">
        <f t="shared" si="111"/>
        <v>1.2447544982066672</v>
      </c>
      <c r="BM198" s="58">
        <f t="shared" si="111"/>
        <v>8.6734001785322451E-2</v>
      </c>
    </row>
    <row r="199" spans="47:65" x14ac:dyDescent="0.2">
      <c r="AU199" s="2">
        <v>-1438</v>
      </c>
      <c r="AV199" s="53">
        <v>197</v>
      </c>
      <c r="AW199" s="4" t="s">
        <v>2527</v>
      </c>
      <c r="AX199" t="s">
        <v>834</v>
      </c>
      <c r="AY199" s="4">
        <v>28420</v>
      </c>
      <c r="AZ199" s="9">
        <v>20.357371587731439</v>
      </c>
      <c r="BA199" s="7">
        <f t="shared" si="106"/>
        <v>5.2176806552499508E-4</v>
      </c>
      <c r="BB199" s="54">
        <f t="shared" si="100"/>
        <v>43.995973722611026</v>
      </c>
      <c r="BC199" s="55">
        <f t="shared" si="101"/>
        <v>9.3763834649524398</v>
      </c>
      <c r="BD199" s="55">
        <f t="shared" si="102"/>
        <v>3.0620880890255981</v>
      </c>
      <c r="BE199" s="55">
        <f t="shared" si="103"/>
        <v>3.000791185989625</v>
      </c>
      <c r="BF199" s="56">
        <f t="shared" si="104"/>
        <v>2.2960146593228023E-2</v>
      </c>
      <c r="BG199" s="56">
        <f t="shared" si="107"/>
        <v>2.5536349021887882E-6</v>
      </c>
      <c r="BH199" s="56">
        <f t="shared" si="108"/>
        <v>1.5980096689910195E-3</v>
      </c>
      <c r="BI199" s="56">
        <f t="shared" si="105"/>
        <v>1.5660206990845854E-3</v>
      </c>
      <c r="BJ199" s="57">
        <f t="shared" si="109"/>
        <v>2.0762808687511988E-3</v>
      </c>
      <c r="BK199" s="57">
        <f t="shared" si="110"/>
        <v>1.4450765330845458E-4</v>
      </c>
      <c r="BL199" s="58">
        <f t="shared" si="111"/>
        <v>3.6634184340115423</v>
      </c>
      <c r="BM199" s="58">
        <f t="shared" si="111"/>
        <v>0.25497128493234639</v>
      </c>
    </row>
    <row r="200" spans="47:65" x14ac:dyDescent="0.2">
      <c r="AU200" s="2">
        <v>-1437</v>
      </c>
      <c r="AV200" s="53">
        <v>198</v>
      </c>
      <c r="AW200" s="4" t="s">
        <v>3245</v>
      </c>
      <c r="AX200" t="s">
        <v>3246</v>
      </c>
      <c r="AY200" s="5">
        <v>28406.19</v>
      </c>
      <c r="AZ200" s="9">
        <v>20.363815358635243</v>
      </c>
      <c r="BA200" s="7">
        <f t="shared" si="106"/>
        <v>5.2193322210548367E-4</v>
      </c>
      <c r="BB200" s="54">
        <f t="shared" si="100"/>
        <v>44.180807584082757</v>
      </c>
      <c r="BC200" s="55">
        <f t="shared" si="101"/>
        <v>9.4438841393805255</v>
      </c>
      <c r="BD200" s="55">
        <f t="shared" si="102"/>
        <v>3.0730903239866749</v>
      </c>
      <c r="BE200" s="55">
        <f t="shared" si="103"/>
        <v>3.0115731781262038</v>
      </c>
      <c r="BF200" s="56">
        <f t="shared" si="104"/>
        <v>2.3056605705180849E-2</v>
      </c>
      <c r="BG200" s="56">
        <f t="shared" si="107"/>
        <v>2.5720185443238491E-6</v>
      </c>
      <c r="BH200" s="56">
        <f t="shared" si="108"/>
        <v>1.6037513972944339E-3</v>
      </c>
      <c r="BI200" s="56">
        <f t="shared" si="105"/>
        <v>1.5716474894264386E-3</v>
      </c>
      <c r="BJ200" s="57">
        <f t="shared" si="109"/>
        <v>2.0839904882112587E-3</v>
      </c>
      <c r="BK200" s="57">
        <f t="shared" si="110"/>
        <v>1.4495640425798311E-4</v>
      </c>
      <c r="BL200" s="58">
        <f t="shared" si="111"/>
        <v>3.6770213922982915</v>
      </c>
      <c r="BM200" s="58">
        <f t="shared" si="111"/>
        <v>0.25576306726079978</v>
      </c>
    </row>
    <row r="201" spans="47:65" x14ac:dyDescent="0.2">
      <c r="AU201" s="2">
        <v>-1436</v>
      </c>
      <c r="AV201" s="53">
        <v>199</v>
      </c>
      <c r="AW201" s="4" t="s">
        <v>3137</v>
      </c>
      <c r="AX201" t="s">
        <v>3138</v>
      </c>
      <c r="AY201" s="5">
        <v>12874.564999999999</v>
      </c>
      <c r="AZ201" s="9">
        <v>20.376468822983963</v>
      </c>
      <c r="BA201" s="7">
        <f t="shared" si="106"/>
        <v>5.2225753576193822E-4</v>
      </c>
      <c r="BB201" s="54">
        <f t="shared" si="100"/>
        <v>44.54602377441482</v>
      </c>
      <c r="BC201" s="55">
        <f t="shared" si="101"/>
        <v>9.5778298280486833</v>
      </c>
      <c r="BD201" s="55">
        <f t="shared" si="102"/>
        <v>3.0948069128862761</v>
      </c>
      <c r="BE201" s="55">
        <f t="shared" si="103"/>
        <v>3.032855044181344</v>
      </c>
      <c r="BF201" s="56">
        <f t="shared" si="104"/>
        <v>2.3247200811022006E-2</v>
      </c>
      <c r="BG201" s="56">
        <f t="shared" si="107"/>
        <v>2.6084983221464577E-6</v>
      </c>
      <c r="BH201" s="56">
        <f t="shared" si="108"/>
        <v>1.6150846176428211E-3</v>
      </c>
      <c r="BI201" s="56">
        <f t="shared" si="105"/>
        <v>1.5827538412822864E-3</v>
      </c>
      <c r="BJ201" s="57">
        <f t="shared" si="109"/>
        <v>9.5233688089001298E-4</v>
      </c>
      <c r="BK201" s="57">
        <f t="shared" si="110"/>
        <v>6.6163004296420705E-5</v>
      </c>
      <c r="BL201" s="58">
        <f t="shared" si="111"/>
        <v>1.6803162507295599</v>
      </c>
      <c r="BM201" s="58">
        <f t="shared" si="111"/>
        <v>0.1167389119829805</v>
      </c>
    </row>
    <row r="202" spans="47:65" x14ac:dyDescent="0.2">
      <c r="AU202" s="2">
        <v>-1435</v>
      </c>
      <c r="AV202" s="53">
        <v>200</v>
      </c>
      <c r="AW202" s="4" t="s">
        <v>2400</v>
      </c>
      <c r="AX202" t="s">
        <v>1325</v>
      </c>
      <c r="AY202" s="4">
        <v>29356</v>
      </c>
      <c r="AZ202" s="9">
        <v>20.416332291405286</v>
      </c>
      <c r="BA202" s="7">
        <f t="shared" si="106"/>
        <v>5.2327925336009048E-4</v>
      </c>
      <c r="BB202" s="54">
        <f t="shared" si="100"/>
        <v>45.716457049225319</v>
      </c>
      <c r="BC202" s="55">
        <f t="shared" si="101"/>
        <v>10.012169444253228</v>
      </c>
      <c r="BD202" s="55">
        <f t="shared" si="102"/>
        <v>3.1642012332108758</v>
      </c>
      <c r="BE202" s="55">
        <f t="shared" si="103"/>
        <v>3.1008602284652698</v>
      </c>
      <c r="BF202" s="56">
        <f t="shared" si="104"/>
        <v>2.3858013967168364E-2</v>
      </c>
      <c r="BG202" s="56">
        <f t="shared" si="107"/>
        <v>2.7267896449670266E-6</v>
      </c>
      <c r="BH202" s="56">
        <f t="shared" si="108"/>
        <v>1.6512993807807918E-3</v>
      </c>
      <c r="BI202" s="56">
        <f t="shared" si="105"/>
        <v>1.618243657011822E-3</v>
      </c>
      <c r="BJ202" s="57">
        <f t="shared" si="109"/>
        <v>2.2285302813528658E-3</v>
      </c>
      <c r="BK202" s="57">
        <f t="shared" si="110"/>
        <v>1.5424463573176437E-4</v>
      </c>
      <c r="BL202" s="58">
        <f t="shared" si="111"/>
        <v>3.9320493851929417</v>
      </c>
      <c r="BM202" s="58">
        <f t="shared" si="111"/>
        <v>0.27215135022989639</v>
      </c>
    </row>
    <row r="203" spans="47:65" x14ac:dyDescent="0.2">
      <c r="AU203" s="2">
        <v>-1434</v>
      </c>
      <c r="AV203" s="53">
        <v>201</v>
      </c>
      <c r="AW203" s="4" t="s">
        <v>2224</v>
      </c>
      <c r="AX203" t="s">
        <v>2225</v>
      </c>
      <c r="AY203" s="4">
        <v>47590</v>
      </c>
      <c r="AZ203" s="9">
        <v>20.445732920639898</v>
      </c>
      <c r="BA203" s="7">
        <f t="shared" si="106"/>
        <v>5.2403280395353765E-4</v>
      </c>
      <c r="BB203" s="54">
        <f t="shared" si="100"/>
        <v>46.599351739918646</v>
      </c>
      <c r="BC203" s="55">
        <f t="shared" si="101"/>
        <v>10.344888578899438</v>
      </c>
      <c r="BD203" s="55">
        <f t="shared" si="102"/>
        <v>3.2163470861987888</v>
      </c>
      <c r="BE203" s="55">
        <f t="shared" si="103"/>
        <v>3.1519622253649846</v>
      </c>
      <c r="BF203" s="56">
        <f t="shared" si="104"/>
        <v>2.4318769572954237E-2</v>
      </c>
      <c r="BG203" s="56">
        <f t="shared" si="107"/>
        <v>2.817404880365107E-6</v>
      </c>
      <c r="BH203" s="56">
        <f t="shared" si="108"/>
        <v>1.6785126988989709E-3</v>
      </c>
      <c r="BI203" s="56">
        <f t="shared" si="105"/>
        <v>1.6449122187175531E-3</v>
      </c>
      <c r="BJ203" s="57">
        <f t="shared" si="109"/>
        <v>3.682516272789114E-3</v>
      </c>
      <c r="BK203" s="57">
        <f t="shared" si="110"/>
        <v>2.5417200114650991E-4</v>
      </c>
      <c r="BL203" s="58">
        <f t="shared" si="111"/>
        <v>6.497482204995312</v>
      </c>
      <c r="BM203" s="58">
        <f t="shared" si="111"/>
        <v>0.44846456393434403</v>
      </c>
    </row>
    <row r="204" spans="47:65" x14ac:dyDescent="0.2">
      <c r="AU204" s="2">
        <v>-1433</v>
      </c>
      <c r="AV204" s="53">
        <v>202</v>
      </c>
      <c r="AW204" s="4" t="s">
        <v>2402</v>
      </c>
      <c r="AX204" t="s">
        <v>1326</v>
      </c>
      <c r="AY204" s="4">
        <v>46824</v>
      </c>
      <c r="AZ204" s="9">
        <v>20.44839059276995</v>
      </c>
      <c r="BA204" s="7">
        <f t="shared" si="106"/>
        <v>5.2410092121711084E-4</v>
      </c>
      <c r="BB204" s="54">
        <f t="shared" si="100"/>
        <v>46.679996583677948</v>
      </c>
      <c r="BC204" s="55">
        <f t="shared" si="101"/>
        <v>10.375496170259522</v>
      </c>
      <c r="BD204" s="55">
        <f t="shared" si="102"/>
        <v>3.2211017013220062</v>
      </c>
      <c r="BE204" s="55">
        <f t="shared" si="103"/>
        <v>3.1566216625659127</v>
      </c>
      <c r="BF204" s="56">
        <f t="shared" si="104"/>
        <v>2.4360855638519606E-2</v>
      </c>
      <c r="BG204" s="56">
        <f t="shared" si="107"/>
        <v>2.8257407823533883E-6</v>
      </c>
      <c r="BH204" s="56">
        <f t="shared" si="108"/>
        <v>1.6809939864120241E-3</v>
      </c>
      <c r="BI204" s="56">
        <f t="shared" si="105"/>
        <v>1.6473438357979897E-3</v>
      </c>
      <c r="BJ204" s="57">
        <f t="shared" si="109"/>
        <v>3.6295135444759674E-3</v>
      </c>
      <c r="BK204" s="57">
        <f t="shared" si="110"/>
        <v>2.5045058073485055E-4</v>
      </c>
      <c r="BL204" s="58">
        <f t="shared" si="111"/>
        <v>6.4039634644060026</v>
      </c>
      <c r="BM204" s="58">
        <f t="shared" si="111"/>
        <v>0.44189843873328705</v>
      </c>
    </row>
    <row r="205" spans="47:65" x14ac:dyDescent="0.2">
      <c r="AU205" s="2">
        <v>-1432</v>
      </c>
      <c r="AV205" s="53">
        <v>203</v>
      </c>
      <c r="AW205" s="4" t="s">
        <v>2113</v>
      </c>
      <c r="AX205" t="s">
        <v>517</v>
      </c>
      <c r="AY205" s="4">
        <v>45116</v>
      </c>
      <c r="AZ205" s="9">
        <v>20.475707706770226</v>
      </c>
      <c r="BA205" s="7">
        <f t="shared" si="106"/>
        <v>5.2480107043167046E-4</v>
      </c>
      <c r="BB205" s="54">
        <f t="shared" si="100"/>
        <v>47.517045421020995</v>
      </c>
      <c r="BC205" s="55">
        <f t="shared" si="101"/>
        <v>10.695316044299021</v>
      </c>
      <c r="BD205" s="55">
        <f t="shared" si="102"/>
        <v>3.2703694048683585</v>
      </c>
      <c r="BE205" s="55">
        <f t="shared" si="103"/>
        <v>3.2049031248418358</v>
      </c>
      <c r="BF205" s="56">
        <f t="shared" si="104"/>
        <v>2.4797685702385414E-2</v>
      </c>
      <c r="BG205" s="56">
        <f t="shared" si="107"/>
        <v>2.912842935951779E-6</v>
      </c>
      <c r="BH205" s="56">
        <f t="shared" si="108"/>
        <v>1.7067052867884892E-3</v>
      </c>
      <c r="BI205" s="56">
        <f t="shared" si="105"/>
        <v>1.6725404471647711E-3</v>
      </c>
      <c r="BJ205" s="57">
        <f t="shared" si="109"/>
        <v>3.5598287924699132E-3</v>
      </c>
      <c r="BK205" s="57">
        <f t="shared" si="110"/>
        <v>2.4500587244663091E-4</v>
      </c>
      <c r="BL205" s="58">
        <f t="shared" si="111"/>
        <v>6.2810107324752575</v>
      </c>
      <c r="BM205" s="58">
        <f t="shared" si="111"/>
        <v>0.43229172077374811</v>
      </c>
    </row>
    <row r="206" spans="47:65" x14ac:dyDescent="0.2">
      <c r="AU206" s="2">
        <v>-1431</v>
      </c>
      <c r="AV206" s="53">
        <v>204</v>
      </c>
      <c r="AW206" s="4" t="s">
        <v>1459</v>
      </c>
      <c r="AX206" t="s">
        <v>1276</v>
      </c>
      <c r="AY206" s="4">
        <v>12928</v>
      </c>
      <c r="AZ206" s="9">
        <v>20.477401885312325</v>
      </c>
      <c r="BA206" s="7">
        <f t="shared" si="106"/>
        <v>5.2484449294605334E-4</v>
      </c>
      <c r="BB206" s="54">
        <f t="shared" si="100"/>
        <v>47.569449905428556</v>
      </c>
      <c r="BC206" s="55">
        <f t="shared" si="101"/>
        <v>10.715467666192886</v>
      </c>
      <c r="BD206" s="55">
        <f t="shared" si="102"/>
        <v>3.2734488946969811</v>
      </c>
      <c r="BE206" s="55">
        <f t="shared" si="103"/>
        <v>3.2079209694192645</v>
      </c>
      <c r="BF206" s="56">
        <f t="shared" si="104"/>
        <v>2.4825033992293181E-2</v>
      </c>
      <c r="BG206" s="56">
        <f t="shared" si="107"/>
        <v>2.918331180454158E-6</v>
      </c>
      <c r="BH206" s="56">
        <f t="shared" si="108"/>
        <v>1.7083123778905771E-3</v>
      </c>
      <c r="BI206" s="56">
        <f t="shared" si="105"/>
        <v>1.6741153675047546E-3</v>
      </c>
      <c r="BJ206" s="57">
        <f t="shared" si="109"/>
        <v>1.021194735894218E-3</v>
      </c>
      <c r="BK206" s="57">
        <f t="shared" si="110"/>
        <v>7.0272596932047297E-5</v>
      </c>
      <c r="BL206" s="58">
        <f t="shared" si="111"/>
        <v>1.8018099942521404</v>
      </c>
      <c r="BM206" s="58">
        <f t="shared" si="111"/>
        <v>0.12398993357847767</v>
      </c>
    </row>
    <row r="207" spans="47:65" x14ac:dyDescent="0.2">
      <c r="AU207" s="2">
        <v>-1430</v>
      </c>
      <c r="AV207" s="53">
        <v>205</v>
      </c>
      <c r="AW207" s="4" t="s">
        <v>3267</v>
      </c>
      <c r="AX207" t="s">
        <v>3268</v>
      </c>
      <c r="AY207" s="5">
        <v>8918.1249999999982</v>
      </c>
      <c r="AZ207" s="9">
        <v>20.49544258053605</v>
      </c>
      <c r="BA207" s="7">
        <f t="shared" si="106"/>
        <v>5.2530688361407461E-4</v>
      </c>
      <c r="BB207" s="54">
        <f t="shared" si="100"/>
        <v>48.131083848955129</v>
      </c>
      <c r="BC207" s="55">
        <f t="shared" si="101"/>
        <v>10.932388282396255</v>
      </c>
      <c r="BD207" s="55">
        <f t="shared" si="102"/>
        <v>3.3064162294539168</v>
      </c>
      <c r="BE207" s="55">
        <f t="shared" si="103"/>
        <v>3.2402283638141993</v>
      </c>
      <c r="BF207" s="56">
        <f t="shared" si="104"/>
        <v>2.5118133487178909E-2</v>
      </c>
      <c r="BG207" s="56">
        <f t="shared" si="107"/>
        <v>2.9774089750656816E-6</v>
      </c>
      <c r="BH207" s="56">
        <f t="shared" si="108"/>
        <v>1.7255170167418464E-3</v>
      </c>
      <c r="BI207" s="56">
        <f t="shared" si="105"/>
        <v>1.6909756037625078E-3</v>
      </c>
      <c r="BJ207" s="57">
        <f t="shared" si="109"/>
        <v>7.1276816070202538E-4</v>
      </c>
      <c r="BK207" s="57">
        <f t="shared" si="110"/>
        <v>4.8964370338700062E-5</v>
      </c>
      <c r="BL207" s="58">
        <f t="shared" si="111"/>
        <v>1.2576179159531613</v>
      </c>
      <c r="BM207" s="58">
        <f t="shared" si="111"/>
        <v>8.6393406406740147E-2</v>
      </c>
    </row>
    <row r="208" spans="47:65" x14ac:dyDescent="0.2">
      <c r="AU208" s="2">
        <v>-1429</v>
      </c>
      <c r="AV208" s="53">
        <v>206</v>
      </c>
      <c r="AW208" s="4" t="s">
        <v>2322</v>
      </c>
      <c r="AX208" t="s">
        <v>1320</v>
      </c>
      <c r="AY208" s="4">
        <v>20472</v>
      </c>
      <c r="AZ208" s="9">
        <v>20.505847728333123</v>
      </c>
      <c r="BA208" s="7">
        <f t="shared" si="106"/>
        <v>5.2557357196400143E-4</v>
      </c>
      <c r="BB208" s="54">
        <f t="shared" si="100"/>
        <v>48.458022125273423</v>
      </c>
      <c r="BC208" s="55">
        <f t="shared" si="101"/>
        <v>11.059460186651249</v>
      </c>
      <c r="BD208" s="55">
        <f t="shared" si="102"/>
        <v>3.3255766697899554</v>
      </c>
      <c r="BE208" s="55">
        <f t="shared" si="103"/>
        <v>3.2590052503074816</v>
      </c>
      <c r="BF208" s="56">
        <f t="shared" si="104"/>
        <v>2.5288752526060353E-2</v>
      </c>
      <c r="BG208" s="56">
        <f t="shared" si="107"/>
        <v>3.0120166946631196E-6</v>
      </c>
      <c r="BH208" s="56">
        <f t="shared" si="108"/>
        <v>1.735516261710941E-3</v>
      </c>
      <c r="BI208" s="56">
        <f t="shared" si="105"/>
        <v>1.7007746837685172E-3</v>
      </c>
      <c r="BJ208" s="57">
        <f t="shared" si="109"/>
        <v>1.6473089253386374E-3</v>
      </c>
      <c r="BK208" s="57">
        <f t="shared" si="110"/>
        <v>1.1305150086152402E-4</v>
      </c>
      <c r="BL208" s="58">
        <f t="shared" si="111"/>
        <v>2.9065344551515291</v>
      </c>
      <c r="BM208" s="58">
        <f t="shared" si="111"/>
        <v>0.19946961823998158</v>
      </c>
    </row>
    <row r="209" spans="47:65" x14ac:dyDescent="0.2">
      <c r="AU209" s="2">
        <v>-1428</v>
      </c>
      <c r="AV209" s="53">
        <v>207</v>
      </c>
      <c r="AW209" s="4" t="s">
        <v>2647</v>
      </c>
      <c r="AX209" t="s">
        <v>1340</v>
      </c>
      <c r="AY209" s="4">
        <v>43622</v>
      </c>
      <c r="AZ209" s="9">
        <v>20.514830894474908</v>
      </c>
      <c r="BA209" s="7">
        <f t="shared" si="106"/>
        <v>5.2580381432116869E-4</v>
      </c>
      <c r="BB209" s="54">
        <f t="shared" si="100"/>
        <v>48.742066442294806</v>
      </c>
      <c r="BC209" s="55">
        <f t="shared" si="101"/>
        <v>11.170335644457252</v>
      </c>
      <c r="BD209" s="55">
        <f t="shared" si="102"/>
        <v>3.3422052068143948</v>
      </c>
      <c r="BE209" s="55">
        <f t="shared" si="103"/>
        <v>3.2753009171492278</v>
      </c>
      <c r="BF209" s="56">
        <f t="shared" si="104"/>
        <v>2.5436986525810029E-2</v>
      </c>
      <c r="BG209" s="56">
        <f t="shared" si="107"/>
        <v>3.0422133520319077E-6</v>
      </c>
      <c r="BH209" s="56">
        <f t="shared" si="108"/>
        <v>1.744194184152644E-3</v>
      </c>
      <c r="BI209" s="56">
        <f t="shared" si="105"/>
        <v>1.7092788914917021E-3</v>
      </c>
      <c r="BJ209" s="57">
        <f t="shared" si="109"/>
        <v>3.530682016511107E-3</v>
      </c>
      <c r="BK209" s="57">
        <f t="shared" si="110"/>
        <v>2.4209609235915173E-4</v>
      </c>
      <c r="BL209" s="58">
        <f t="shared" si="111"/>
        <v>6.2295837613238465</v>
      </c>
      <c r="BM209" s="58">
        <f t="shared" si="111"/>
        <v>0.42715766488958329</v>
      </c>
    </row>
    <row r="210" spans="47:65" x14ac:dyDescent="0.2">
      <c r="AU210" s="2">
        <v>-1427</v>
      </c>
      <c r="AV210" s="53">
        <v>208</v>
      </c>
      <c r="AW210" s="4" t="s">
        <v>2293</v>
      </c>
      <c r="AX210" t="s">
        <v>1317</v>
      </c>
      <c r="AY210" s="4">
        <v>22090</v>
      </c>
      <c r="AZ210" s="9">
        <v>20.519461571627172</v>
      </c>
      <c r="BA210" s="7">
        <f t="shared" si="106"/>
        <v>5.2592250054003516E-4</v>
      </c>
      <c r="BB210" s="54">
        <f t="shared" si="100"/>
        <v>48.889136484967565</v>
      </c>
      <c r="BC210" s="55">
        <f t="shared" si="101"/>
        <v>11.227917067169642</v>
      </c>
      <c r="BD210" s="55">
        <f t="shared" si="102"/>
        <v>3.350808419944304</v>
      </c>
      <c r="BE210" s="55">
        <f t="shared" si="103"/>
        <v>3.2837319110921999</v>
      </c>
      <c r="BF210" s="56">
        <f t="shared" si="104"/>
        <v>2.5513737861296539E-2</v>
      </c>
      <c r="BG210" s="56">
        <f t="shared" si="107"/>
        <v>3.0578955104361788E-6</v>
      </c>
      <c r="BH210" s="56">
        <f t="shared" si="108"/>
        <v>1.7486839366895833E-3</v>
      </c>
      <c r="BI210" s="56">
        <f t="shared" si="105"/>
        <v>1.7136787681276513E-3</v>
      </c>
      <c r="BJ210" s="57">
        <f t="shared" si="109"/>
        <v>1.7933174610479598E-3</v>
      </c>
      <c r="BK210" s="57">
        <f t="shared" si="110"/>
        <v>1.2291203486403441E-4</v>
      </c>
      <c r="BL210" s="58">
        <f t="shared" si="111"/>
        <v>3.1641539175715043</v>
      </c>
      <c r="BM210" s="58">
        <f t="shared" si="111"/>
        <v>0.21686767963796619</v>
      </c>
    </row>
    <row r="211" spans="47:65" x14ac:dyDescent="0.2">
      <c r="AU211" s="2">
        <v>-1426</v>
      </c>
      <c r="AV211" s="53">
        <v>209</v>
      </c>
      <c r="AW211" s="4" t="s">
        <v>2570</v>
      </c>
      <c r="AX211" t="s">
        <v>873</v>
      </c>
      <c r="AY211" s="4">
        <v>51954</v>
      </c>
      <c r="AZ211" s="9">
        <v>20.527772242872995</v>
      </c>
      <c r="BA211" s="7">
        <f t="shared" si="106"/>
        <v>5.2613550656787429E-4</v>
      </c>
      <c r="BB211" s="54">
        <f t="shared" si="100"/>
        <v>49.154196771559107</v>
      </c>
      <c r="BC211" s="55">
        <f t="shared" si="101"/>
        <v>11.331992453877229</v>
      </c>
      <c r="BD211" s="55">
        <f t="shared" si="102"/>
        <v>3.3663024899549994</v>
      </c>
      <c r="BE211" s="55">
        <f t="shared" si="103"/>
        <v>3.2989158206896523</v>
      </c>
      <c r="BF211" s="56">
        <f t="shared" si="104"/>
        <v>2.5652064678985682E-2</v>
      </c>
      <c r="BG211" s="56">
        <f t="shared" si="107"/>
        <v>3.0862401852191801E-6</v>
      </c>
      <c r="BH211" s="56">
        <f t="shared" si="108"/>
        <v>1.7567698156614542E-3</v>
      </c>
      <c r="BI211" s="56">
        <f t="shared" si="105"/>
        <v>1.7216027839117595E-3</v>
      </c>
      <c r="BJ211" s="57">
        <f t="shared" si="109"/>
        <v>4.2406134693323324E-3</v>
      </c>
      <c r="BK211" s="57">
        <f t="shared" si="110"/>
        <v>2.9041645715611124E-4</v>
      </c>
      <c r="BL211" s="58">
        <f t="shared" si="111"/>
        <v>7.4821965509962451</v>
      </c>
      <c r="BM211" s="58">
        <f t="shared" si="111"/>
        <v>0.51241477908811328</v>
      </c>
    </row>
    <row r="212" spans="47:65" x14ac:dyDescent="0.2">
      <c r="AU212" s="2">
        <v>-1425</v>
      </c>
      <c r="AV212" s="53">
        <v>210</v>
      </c>
      <c r="AW212" s="4" t="s">
        <v>2226</v>
      </c>
      <c r="AX212" t="s">
        <v>1314</v>
      </c>
      <c r="AY212" s="4">
        <v>31316</v>
      </c>
      <c r="AZ212" s="9">
        <v>20.529584334589526</v>
      </c>
      <c r="BA212" s="7">
        <f t="shared" si="106"/>
        <v>5.2618195124691416E-4</v>
      </c>
      <c r="BB212" s="54">
        <f t="shared" si="100"/>
        <v>49.212182147209752</v>
      </c>
      <c r="BC212" s="55">
        <f t="shared" si="101"/>
        <v>11.354811325431088</v>
      </c>
      <c r="BD212" s="55">
        <f t="shared" si="102"/>
        <v>3.3696900933811538</v>
      </c>
      <c r="BE212" s="55">
        <f t="shared" si="103"/>
        <v>3.3022356110442357</v>
      </c>
      <c r="BF212" s="56">
        <f t="shared" si="104"/>
        <v>2.5682325464520213E-2</v>
      </c>
      <c r="BG212" s="56">
        <f t="shared" si="107"/>
        <v>3.0924548485854198E-6</v>
      </c>
      <c r="BH212" s="56">
        <f t="shared" si="108"/>
        <v>1.7585377017810622E-3</v>
      </c>
      <c r="BI212" s="56">
        <f t="shared" si="105"/>
        <v>1.7233352804733597E-3</v>
      </c>
      <c r="BJ212" s="57">
        <f t="shared" si="109"/>
        <v>2.5591043904553338E-3</v>
      </c>
      <c r="BK212" s="57">
        <f t="shared" si="110"/>
        <v>1.7522874085628369E-4</v>
      </c>
      <c r="BL212" s="58">
        <f t="shared" si="111"/>
        <v>4.5153188760019152</v>
      </c>
      <c r="BM212" s="58">
        <f t="shared" si="111"/>
        <v>0.30917599303780158</v>
      </c>
    </row>
    <row r="213" spans="47:65" x14ac:dyDescent="0.2">
      <c r="AU213" s="2">
        <v>-1424</v>
      </c>
      <c r="AV213" s="53">
        <v>211</v>
      </c>
      <c r="AW213" s="4" t="s">
        <v>2919</v>
      </c>
      <c r="AX213" t="s">
        <v>2920</v>
      </c>
      <c r="AY213" s="4">
        <v>9286</v>
      </c>
      <c r="AZ213" s="9">
        <v>20.55131022809335</v>
      </c>
      <c r="BA213" s="7">
        <f t="shared" si="106"/>
        <v>5.2673879510941582E-4</v>
      </c>
      <c r="BB213" s="54">
        <f t="shared" si="100"/>
        <v>49.912741954222348</v>
      </c>
      <c r="BC213" s="55">
        <f t="shared" si="101"/>
        <v>11.631944983151859</v>
      </c>
      <c r="BD213" s="55">
        <f t="shared" si="102"/>
        <v>3.4105637339231558</v>
      </c>
      <c r="BE213" s="55">
        <f t="shared" si="103"/>
        <v>3.3422910427339159</v>
      </c>
      <c r="BF213" s="56">
        <f t="shared" si="104"/>
        <v>2.604792609806331E-2</v>
      </c>
      <c r="BG213" s="56">
        <f t="shared" si="107"/>
        <v>3.1679315164897618E-6</v>
      </c>
      <c r="BH213" s="56">
        <f t="shared" si="108"/>
        <v>1.7798683986434958E-3</v>
      </c>
      <c r="BI213" s="56">
        <f t="shared" si="105"/>
        <v>1.7442389792811154E-3</v>
      </c>
      <c r="BJ213" s="57">
        <f t="shared" si="109"/>
        <v>7.6964278514861048E-4</v>
      </c>
      <c r="BK213" s="57">
        <f t="shared" si="110"/>
        <v>5.2590093597963171E-5</v>
      </c>
      <c r="BL213" s="58">
        <f t="shared" si="111"/>
        <v>1.3579682831702999</v>
      </c>
      <c r="BM213" s="58">
        <f t="shared" si="111"/>
        <v>9.2790682239945604E-2</v>
      </c>
    </row>
    <row r="214" spans="47:65" x14ac:dyDescent="0.2">
      <c r="AU214" s="2">
        <v>-1423</v>
      </c>
      <c r="AV214" s="53">
        <v>212</v>
      </c>
      <c r="AW214" s="4" t="s">
        <v>3275</v>
      </c>
      <c r="AX214" t="s">
        <v>3276</v>
      </c>
      <c r="AY214" s="5">
        <v>9585.9399999999987</v>
      </c>
      <c r="AZ214" s="9">
        <v>20.561539054251128</v>
      </c>
      <c r="BA214" s="7">
        <f t="shared" si="106"/>
        <v>5.2700096426096536E-4</v>
      </c>
      <c r="BB214" s="54">
        <f t="shared" si="100"/>
        <v>50.246019025345419</v>
      </c>
      <c r="BC214" s="55">
        <f t="shared" si="101"/>
        <v>11.76471904471687</v>
      </c>
      <c r="BD214" s="55">
        <f t="shared" si="102"/>
        <v>3.4299736215774121</v>
      </c>
      <c r="BE214" s="55">
        <f t="shared" si="103"/>
        <v>3.3613123831070713</v>
      </c>
      <c r="BF214" s="56">
        <f t="shared" si="104"/>
        <v>2.6221853159148326E-2</v>
      </c>
      <c r="BG214" s="56">
        <f t="shared" si="107"/>
        <v>3.204092204561582E-6</v>
      </c>
      <c r="BH214" s="56">
        <f t="shared" si="108"/>
        <v>1.7899978225019107E-3</v>
      </c>
      <c r="BI214" s="56">
        <f t="shared" si="105"/>
        <v>1.7541656322544322E-3</v>
      </c>
      <c r="BJ214" s="57">
        <f t="shared" si="109"/>
        <v>7.9980747646388303E-4</v>
      </c>
      <c r="BK214" s="57">
        <f t="shared" si="110"/>
        <v>5.4597729329119544E-5</v>
      </c>
      <c r="BL214" s="58">
        <f t="shared" si="111"/>
        <v>1.4111912781339353</v>
      </c>
      <c r="BM214" s="58">
        <f t="shared" si="111"/>
        <v>9.633298225194839E-2</v>
      </c>
    </row>
    <row r="215" spans="47:65" x14ac:dyDescent="0.2">
      <c r="AU215" s="2">
        <v>-1422</v>
      </c>
      <c r="AV215" s="53">
        <v>213</v>
      </c>
      <c r="AW215" s="4" t="s">
        <v>3227</v>
      </c>
      <c r="AX215" t="s">
        <v>3228</v>
      </c>
      <c r="AY215" s="5">
        <v>17572.994999999999</v>
      </c>
      <c r="AZ215" s="9">
        <v>20.562604538443132</v>
      </c>
      <c r="BA215" s="7">
        <f t="shared" si="106"/>
        <v>5.2702827307258247E-4</v>
      </c>
      <c r="BB215" s="54">
        <f t="shared" si="100"/>
        <v>50.280862513878148</v>
      </c>
      <c r="BC215" s="55">
        <f t="shared" si="101"/>
        <v>11.778634969688071</v>
      </c>
      <c r="BD215" s="55">
        <f t="shared" si="102"/>
        <v>3.4320015981476568</v>
      </c>
      <c r="BE215" s="55">
        <f t="shared" si="103"/>
        <v>3.3632997636266566</v>
      </c>
      <c r="BF215" s="56">
        <f t="shared" si="104"/>
        <v>2.6240036904996877E-2</v>
      </c>
      <c r="BG215" s="56">
        <f t="shared" si="107"/>
        <v>3.2078821723925053E-6</v>
      </c>
      <c r="BH215" s="56">
        <f t="shared" si="108"/>
        <v>1.7910561611497572E-3</v>
      </c>
      <c r="BI215" s="56">
        <f t="shared" si="105"/>
        <v>1.7552027850710453E-3</v>
      </c>
      <c r="BJ215" s="57">
        <f t="shared" si="109"/>
        <v>1.4672279757259531E-3</v>
      </c>
      <c r="BK215" s="57">
        <f t="shared" si="110"/>
        <v>1.0014801866512725E-4</v>
      </c>
      <c r="BL215" s="58">
        <f t="shared" si="111"/>
        <v>2.588797158452262</v>
      </c>
      <c r="BM215" s="58">
        <f t="shared" si="111"/>
        <v>0.17670253732493599</v>
      </c>
    </row>
    <row r="216" spans="47:65" x14ac:dyDescent="0.2">
      <c r="AU216" s="2">
        <v>-1421</v>
      </c>
      <c r="AV216" s="53">
        <v>214</v>
      </c>
      <c r="AW216" s="4" t="s">
        <v>2561</v>
      </c>
      <c r="AX216" t="s">
        <v>866</v>
      </c>
      <c r="AY216" s="4">
        <v>116598</v>
      </c>
      <c r="AZ216" s="9">
        <v>20.573731003052945</v>
      </c>
      <c r="BA216" s="7">
        <f t="shared" si="106"/>
        <v>5.2731344907826553E-4</v>
      </c>
      <c r="BB216" s="54">
        <f t="shared" si="100"/>
        <v>50.646167291436527</v>
      </c>
      <c r="BC216" s="55">
        <f t="shared" si="101"/>
        <v>11.924925871400973</v>
      </c>
      <c r="BD216" s="55">
        <f t="shared" si="102"/>
        <v>3.4532485968144506</v>
      </c>
      <c r="BE216" s="55">
        <f t="shared" si="103"/>
        <v>3.3841214397099</v>
      </c>
      <c r="BF216" s="56">
        <f t="shared" si="104"/>
        <v>2.6430678241788925E-2</v>
      </c>
      <c r="BG216" s="56">
        <f t="shared" si="107"/>
        <v>3.247724138528313E-6</v>
      </c>
      <c r="BH216" s="56">
        <f t="shared" si="108"/>
        <v>1.8021443167871747E-3</v>
      </c>
      <c r="BI216" s="56">
        <f t="shared" si="105"/>
        <v>1.7660689779232018E-3</v>
      </c>
      <c r="BJ216" s="57">
        <f t="shared" si="109"/>
        <v>9.8058846678691185E-3</v>
      </c>
      <c r="BK216" s="57">
        <f t="shared" si="110"/>
        <v>6.6860256719900003E-4</v>
      </c>
      <c r="BL216" s="58">
        <f t="shared" si="111"/>
        <v>17.301637362612308</v>
      </c>
      <c r="BM216" s="58">
        <f t="shared" si="111"/>
        <v>1.1796915371943191</v>
      </c>
    </row>
    <row r="217" spans="47:65" x14ac:dyDescent="0.2">
      <c r="AU217" s="2">
        <v>-1420</v>
      </c>
      <c r="AV217" s="53">
        <v>215</v>
      </c>
      <c r="AW217" s="4" t="s">
        <v>1700</v>
      </c>
      <c r="AX217" t="s">
        <v>1701</v>
      </c>
      <c r="AY217" s="4">
        <v>14203</v>
      </c>
      <c r="AZ217" s="9">
        <v>20.587714043537073</v>
      </c>
      <c r="BA217" s="7">
        <f t="shared" si="106"/>
        <v>5.2767184033482436E-4</v>
      </c>
      <c r="BB217" s="54">
        <f t="shared" si="100"/>
        <v>51.109025587931768</v>
      </c>
      <c r="BC217" s="55">
        <f t="shared" si="101"/>
        <v>12.111314403908919</v>
      </c>
      <c r="BD217" s="55">
        <f t="shared" si="102"/>
        <v>3.4801313773920834</v>
      </c>
      <c r="BE217" s="55">
        <f t="shared" si="103"/>
        <v>3.4104660805781264</v>
      </c>
      <c r="BF217" s="56">
        <f t="shared" si="104"/>
        <v>2.6672229762080904E-2</v>
      </c>
      <c r="BG217" s="56">
        <f t="shared" si="107"/>
        <v>3.2984865954776123E-6</v>
      </c>
      <c r="BH217" s="56">
        <f t="shared" si="108"/>
        <v>1.816173613803926E-3</v>
      </c>
      <c r="BI217" s="56">
        <f t="shared" si="105"/>
        <v>1.7798174363638257E-3</v>
      </c>
      <c r="BJ217" s="57">
        <f t="shared" si="109"/>
        <v>1.2053877757647147E-3</v>
      </c>
      <c r="BK217" s="57">
        <f t="shared" si="110"/>
        <v>8.2077632514173518E-5</v>
      </c>
      <c r="BL217" s="58">
        <f t="shared" si="111"/>
        <v>2.126802719385736</v>
      </c>
      <c r="BM217" s="58">
        <f t="shared" si="111"/>
        <v>0.14481890022581503</v>
      </c>
    </row>
    <row r="218" spans="47:65" x14ac:dyDescent="0.2">
      <c r="AU218" s="2">
        <v>-1419</v>
      </c>
      <c r="AV218" s="53">
        <v>216</v>
      </c>
      <c r="AW218" s="4" t="s">
        <v>2028</v>
      </c>
      <c r="AX218" t="s">
        <v>1303</v>
      </c>
      <c r="AY218" s="4">
        <v>17021</v>
      </c>
      <c r="AZ218" s="9">
        <v>20.588781723635517</v>
      </c>
      <c r="BA218" s="7">
        <f t="shared" si="106"/>
        <v>5.2769920542845459E-4</v>
      </c>
      <c r="BB218" s="54">
        <f t="shared" si="100"/>
        <v>51.144540653123855</v>
      </c>
      <c r="BC218" s="55">
        <f t="shared" si="101"/>
        <v>12.125663477945663</v>
      </c>
      <c r="BD218" s="55">
        <f t="shared" si="102"/>
        <v>3.4821923378736077</v>
      </c>
      <c r="BE218" s="55">
        <f t="shared" si="103"/>
        <v>3.4124857847368002</v>
      </c>
      <c r="BF218" s="56">
        <f t="shared" si="104"/>
        <v>2.6690763983148957E-2</v>
      </c>
      <c r="BG218" s="56">
        <f t="shared" si="107"/>
        <v>3.3023945303877376E-6</v>
      </c>
      <c r="BH218" s="56">
        <f t="shared" si="108"/>
        <v>1.8172491657413789E-3</v>
      </c>
      <c r="BI218" s="56">
        <f t="shared" si="105"/>
        <v>1.7808714578942807E-3</v>
      </c>
      <c r="BJ218" s="57">
        <f t="shared" si="109"/>
        <v>1.4455511011247373E-3</v>
      </c>
      <c r="BK218" s="57">
        <f t="shared" si="110"/>
        <v>9.8420807070713804E-5</v>
      </c>
      <c r="BL218" s="58">
        <f t="shared" si="111"/>
        <v>2.5505501836806772</v>
      </c>
      <c r="BM218" s="58">
        <f t="shared" si="111"/>
        <v>0.17365502150487333</v>
      </c>
    </row>
    <row r="219" spans="47:65" x14ac:dyDescent="0.2">
      <c r="AU219" s="2">
        <v>-1418</v>
      </c>
      <c r="AV219" s="53">
        <v>217</v>
      </c>
      <c r="AW219" s="4" t="s">
        <v>1522</v>
      </c>
      <c r="AX219" t="s">
        <v>115</v>
      </c>
      <c r="AY219" s="4">
        <v>95518</v>
      </c>
      <c r="AZ219" s="9">
        <v>20.591767031162028</v>
      </c>
      <c r="BA219" s="7">
        <f t="shared" si="106"/>
        <v>5.2777572012615973E-4</v>
      </c>
      <c r="BB219" s="54">
        <f t="shared" si="100"/>
        <v>51.243974273409634</v>
      </c>
      <c r="BC219" s="55">
        <f t="shared" si="101"/>
        <v>12.165873382278683</v>
      </c>
      <c r="BD219" s="55">
        <f t="shared" si="102"/>
        <v>3.4879612071063351</v>
      </c>
      <c r="BE219" s="55">
        <f t="shared" si="103"/>
        <v>3.4181391727006338</v>
      </c>
      <c r="BF219" s="56">
        <f t="shared" si="104"/>
        <v>2.6742655333763243E-2</v>
      </c>
      <c r="BG219" s="56">
        <f t="shared" si="107"/>
        <v>3.313345598622483E-6</v>
      </c>
      <c r="BH219" s="56">
        <f t="shared" si="108"/>
        <v>1.8202597613039967E-3</v>
      </c>
      <c r="BI219" s="56">
        <f t="shared" si="105"/>
        <v>1.7838217873316542E-3</v>
      </c>
      <c r="BJ219" s="57">
        <f t="shared" si="109"/>
        <v>8.1278769414483611E-3</v>
      </c>
      <c r="BK219" s="57">
        <f t="shared" si="110"/>
        <v>5.5323030404801283E-4</v>
      </c>
      <c r="BL219" s="58">
        <f t="shared" si="111"/>
        <v>14.340937521901003</v>
      </c>
      <c r="BM219" s="58">
        <f t="shared" si="111"/>
        <v>0.9761271341493839</v>
      </c>
    </row>
    <row r="220" spans="47:65" x14ac:dyDescent="0.2">
      <c r="AU220" s="2">
        <v>-1417</v>
      </c>
      <c r="AV220" s="53">
        <v>218</v>
      </c>
      <c r="AW220" s="4" t="s">
        <v>3060</v>
      </c>
      <c r="AX220" t="s">
        <v>1217</v>
      </c>
      <c r="AY220" s="4">
        <v>80201</v>
      </c>
      <c r="AZ220" s="9">
        <v>20.593530940323362</v>
      </c>
      <c r="BA220" s="7">
        <f t="shared" si="106"/>
        <v>5.2782092986587996E-4</v>
      </c>
      <c r="BB220" s="54">
        <f t="shared" si="100"/>
        <v>51.30281680725821</v>
      </c>
      <c r="BC220" s="55">
        <f t="shared" si="101"/>
        <v>12.189693624373696</v>
      </c>
      <c r="BD220" s="55">
        <f t="shared" si="102"/>
        <v>3.4913741742147453</v>
      </c>
      <c r="BE220" s="55">
        <f t="shared" si="103"/>
        <v>3.4214838190070855</v>
      </c>
      <c r="BF220" s="56">
        <f t="shared" si="104"/>
        <v>2.6773363443818893E-2</v>
      </c>
      <c r="BG220" s="56">
        <f t="shared" si="107"/>
        <v>3.319832982784975E-6</v>
      </c>
      <c r="BH220" s="56">
        <f t="shared" si="108"/>
        <v>1.8220408839499116E-3</v>
      </c>
      <c r="BI220" s="56">
        <f t="shared" si="105"/>
        <v>1.785567255450675E-3</v>
      </c>
      <c r="BJ220" s="57">
        <f t="shared" si="109"/>
        <v>6.8323497364241462E-3</v>
      </c>
      <c r="BK220" s="57">
        <f t="shared" si="110"/>
        <v>4.6497036427013547E-4</v>
      </c>
      <c r="BL220" s="58">
        <f t="shared" si="111"/>
        <v>12.055091557571657</v>
      </c>
      <c r="BM220" s="58">
        <f t="shared" si="111"/>
        <v>0.8204000862180042</v>
      </c>
    </row>
    <row r="221" spans="47:65" x14ac:dyDescent="0.2">
      <c r="AU221" s="2">
        <v>-1416</v>
      </c>
      <c r="AV221" s="53">
        <v>219</v>
      </c>
      <c r="AW221" s="4" t="s">
        <v>2316</v>
      </c>
      <c r="AX221" t="s">
        <v>668</v>
      </c>
      <c r="AY221" s="4">
        <v>40191</v>
      </c>
      <c r="AZ221" s="9">
        <v>20.594919261584781</v>
      </c>
      <c r="BA221" s="7">
        <f t="shared" si="106"/>
        <v>5.2785651312847238E-4</v>
      </c>
      <c r="BB221" s="54">
        <f t="shared" si="100"/>
        <v>51.349177561759859</v>
      </c>
      <c r="BC221" s="55">
        <f t="shared" si="101"/>
        <v>12.208474131623968</v>
      </c>
      <c r="BD221" s="55">
        <f t="shared" si="102"/>
        <v>3.4940626971512643</v>
      </c>
      <c r="BE221" s="55">
        <f t="shared" si="103"/>
        <v>3.4241185230706792</v>
      </c>
      <c r="BF221" s="56">
        <f t="shared" si="104"/>
        <v>2.6797557696825812E-2</v>
      </c>
      <c r="BG221" s="56">
        <f t="shared" si="107"/>
        <v>3.3249478075971629E-6</v>
      </c>
      <c r="BH221" s="56">
        <f t="shared" si="108"/>
        <v>1.823443941446285E-3</v>
      </c>
      <c r="BI221" s="56">
        <f t="shared" si="105"/>
        <v>1.7869422265312405E-3</v>
      </c>
      <c r="BJ221" s="57">
        <f t="shared" si="109"/>
        <v>3.4269786508224578E-3</v>
      </c>
      <c r="BK221" s="57">
        <f t="shared" si="110"/>
        <v>2.3318929019595547E-4</v>
      </c>
      <c r="BL221" s="58">
        <f t="shared" si="111"/>
        <v>6.046608120961019</v>
      </c>
      <c r="BM221" s="58">
        <f t="shared" si="111"/>
        <v>0.41144238102609892</v>
      </c>
    </row>
    <row r="222" spans="47:65" x14ac:dyDescent="0.2">
      <c r="AU222" s="2">
        <v>-1415</v>
      </c>
      <c r="AV222" s="53">
        <v>220</v>
      </c>
      <c r="AW222" s="4" t="s">
        <v>2745</v>
      </c>
      <c r="AX222" t="s">
        <v>2746</v>
      </c>
      <c r="AY222" s="4">
        <v>41555</v>
      </c>
      <c r="AZ222" s="9">
        <v>20.615399743725497</v>
      </c>
      <c r="BA222" s="7">
        <f t="shared" si="106"/>
        <v>5.2838143656967057E-4</v>
      </c>
      <c r="BB222" s="54">
        <f t="shared" si="100"/>
        <v>52.037978527735653</v>
      </c>
      <c r="BC222" s="55">
        <f t="shared" si="101"/>
        <v>12.488856640156655</v>
      </c>
      <c r="BD222" s="55">
        <f t="shared" si="102"/>
        <v>3.5339576454955788</v>
      </c>
      <c r="BE222" s="55">
        <f t="shared" si="103"/>
        <v>3.4632148540306504</v>
      </c>
      <c r="BF222" s="56">
        <f t="shared" si="104"/>
        <v>2.7157021752606741E-2</v>
      </c>
      <c r="BG222" s="56">
        <f t="shared" si="107"/>
        <v>3.4013092920040804E-6</v>
      </c>
      <c r="BH222" s="56">
        <f t="shared" si="108"/>
        <v>1.8442638889280677E-3</v>
      </c>
      <c r="BI222" s="56">
        <f t="shared" si="105"/>
        <v>1.8073454001433953E-3</v>
      </c>
      <c r="BJ222" s="57">
        <f t="shared" si="109"/>
        <v>3.5908130838124071E-3</v>
      </c>
      <c r="BK222" s="57">
        <f t="shared" si="110"/>
        <v>2.4385615487198953E-4</v>
      </c>
      <c r="BL222" s="58">
        <f t="shared" si="111"/>
        <v>6.3356798409649713</v>
      </c>
      <c r="BM222" s="58">
        <f t="shared" si="111"/>
        <v>0.43026314332055338</v>
      </c>
    </row>
    <row r="223" spans="47:65" x14ac:dyDescent="0.2">
      <c r="AU223" s="2">
        <v>-1414</v>
      </c>
      <c r="AV223" s="53">
        <v>221</v>
      </c>
      <c r="AW223" s="4" t="s">
        <v>3023</v>
      </c>
      <c r="AX223" t="s">
        <v>1185</v>
      </c>
      <c r="AY223" s="4">
        <v>22295</v>
      </c>
      <c r="AZ223" s="9">
        <v>20.61602527887624</v>
      </c>
      <c r="BA223" s="7">
        <f t="shared" si="106"/>
        <v>5.2839746930081729E-4</v>
      </c>
      <c r="BB223" s="54">
        <f t="shared" si="100"/>
        <v>52.059161366398655</v>
      </c>
      <c r="BC223" s="55">
        <f t="shared" si="101"/>
        <v>12.497519398782797</v>
      </c>
      <c r="BD223" s="55">
        <f t="shared" si="102"/>
        <v>3.5351830785381959</v>
      </c>
      <c r="BE223" s="55">
        <f t="shared" si="103"/>
        <v>3.4644157563451476</v>
      </c>
      <c r="BF223" s="56">
        <f t="shared" si="104"/>
        <v>2.7168076425109974E-2</v>
      </c>
      <c r="BG223" s="56">
        <f t="shared" si="107"/>
        <v>3.403668572942212E-6</v>
      </c>
      <c r="BH223" s="56">
        <f t="shared" si="108"/>
        <v>1.8449034047727843E-3</v>
      </c>
      <c r="BI223" s="56">
        <f t="shared" si="105"/>
        <v>1.8079721141549888E-3</v>
      </c>
      <c r="BJ223" s="57">
        <f t="shared" si="109"/>
        <v>1.9273196047888109E-3</v>
      </c>
      <c r="BK223" s="57">
        <f t="shared" si="110"/>
        <v>1.3087855191962935E-4</v>
      </c>
      <c r="BL223" s="58">
        <f t="shared" si="111"/>
        <v>3.4005891373751522</v>
      </c>
      <c r="BM223" s="58">
        <f t="shared" si="111"/>
        <v>0.230923911564761</v>
      </c>
    </row>
    <row r="224" spans="47:65" x14ac:dyDescent="0.2">
      <c r="AU224" s="2">
        <v>-1413</v>
      </c>
      <c r="AV224" s="53">
        <v>222</v>
      </c>
      <c r="AW224" s="4" t="s">
        <v>1710</v>
      </c>
      <c r="AX224" t="s">
        <v>228</v>
      </c>
      <c r="AY224" s="4">
        <v>29993</v>
      </c>
      <c r="AZ224" s="9">
        <v>20.621619077640329</v>
      </c>
      <c r="BA224" s="7">
        <f t="shared" si="106"/>
        <v>5.2854084073496817E-4</v>
      </c>
      <c r="BB224" s="54">
        <f t="shared" si="100"/>
        <v>52.248970998622298</v>
      </c>
      <c r="BC224" s="55">
        <f t="shared" si="101"/>
        <v>12.57524890472226</v>
      </c>
      <c r="BD224" s="55">
        <f t="shared" si="102"/>
        <v>3.5461597404406726</v>
      </c>
      <c r="BE224" s="55">
        <f t="shared" si="103"/>
        <v>3.4751726873448114</v>
      </c>
      <c r="BF224" s="56">
        <f t="shared" si="104"/>
        <v>2.7267132238901898E-2</v>
      </c>
      <c r="BG224" s="56">
        <f t="shared" si="107"/>
        <v>3.4248380121016347E-6</v>
      </c>
      <c r="BH224" s="56">
        <f t="shared" si="108"/>
        <v>1.8506317872828281E-3</v>
      </c>
      <c r="BI224" s="56">
        <f t="shared" si="105"/>
        <v>1.8135858258596664E-3</v>
      </c>
      <c r="BJ224" s="57">
        <f t="shared" si="109"/>
        <v>2.6022363793979661E-3</v>
      </c>
      <c r="BK224" s="57">
        <f t="shared" si="110"/>
        <v>1.7661488269261408E-4</v>
      </c>
      <c r="BL224" s="58">
        <f t="shared" si="111"/>
        <v>4.5914215487020007</v>
      </c>
      <c r="BM224" s="58">
        <f t="shared" si="111"/>
        <v>0.31162172070008148</v>
      </c>
    </row>
    <row r="225" spans="47:65" x14ac:dyDescent="0.2">
      <c r="AU225" s="2">
        <v>-1412</v>
      </c>
      <c r="AV225" s="53">
        <v>223</v>
      </c>
      <c r="AW225" s="4" t="s">
        <v>2720</v>
      </c>
      <c r="AX225" t="s">
        <v>981</v>
      </c>
      <c r="AY225" s="4">
        <v>20921</v>
      </c>
      <c r="AZ225" s="9">
        <v>20.63029082841776</v>
      </c>
      <c r="BA225" s="7">
        <f t="shared" si="106"/>
        <v>5.2876310138430375E-4</v>
      </c>
      <c r="BB225" s="54">
        <f t="shared" si="100"/>
        <v>52.544591208341799</v>
      </c>
      <c r="BC225" s="55">
        <f t="shared" si="101"/>
        <v>12.696690432400636</v>
      </c>
      <c r="BD225" s="55">
        <f t="shared" si="102"/>
        <v>3.563241562454142</v>
      </c>
      <c r="BE225" s="55">
        <f t="shared" si="103"/>
        <v>3.4919125653131733</v>
      </c>
      <c r="BF225" s="56">
        <f t="shared" si="104"/>
        <v>2.7421407341298193E-2</v>
      </c>
      <c r="BG225" s="56">
        <f t="shared" si="107"/>
        <v>3.4579123125303584E-6</v>
      </c>
      <c r="BH225" s="56">
        <f t="shared" si="108"/>
        <v>1.8595462652298701E-3</v>
      </c>
      <c r="BI225" s="56">
        <f t="shared" si="105"/>
        <v>1.8223218537182558E-3</v>
      </c>
      <c r="BJ225" s="57">
        <f t="shared" si="109"/>
        <v>1.8254063283769748E-3</v>
      </c>
      <c r="BK225" s="57">
        <f t="shared" si="110"/>
        <v>1.2378750215887618E-4</v>
      </c>
      <c r="BL225" s="58">
        <f t="shared" si="111"/>
        <v>3.2207719550773692</v>
      </c>
      <c r="BM225" s="58">
        <f t="shared" si="111"/>
        <v>0.21841236613706519</v>
      </c>
    </row>
    <row r="226" spans="47:65" x14ac:dyDescent="0.2">
      <c r="AU226" s="2">
        <v>-1411</v>
      </c>
      <c r="AV226" s="53">
        <v>224</v>
      </c>
      <c r="AW226" s="4" t="s">
        <v>2216</v>
      </c>
      <c r="AX226" t="s">
        <v>599</v>
      </c>
      <c r="AY226" s="4">
        <v>35633</v>
      </c>
      <c r="AZ226" s="9">
        <v>20.636145473949071</v>
      </c>
      <c r="BA226" s="7">
        <f t="shared" si="106"/>
        <v>5.2891315843170016E-4</v>
      </c>
      <c r="BB226" s="54">
        <f t="shared" si="100"/>
        <v>52.745121538357097</v>
      </c>
      <c r="BC226" s="55">
        <f t="shared" si="101"/>
        <v>12.779332640407226</v>
      </c>
      <c r="BD226" s="55">
        <f t="shared" si="102"/>
        <v>3.5748192458370851</v>
      </c>
      <c r="BE226" s="55">
        <f t="shared" si="103"/>
        <v>3.5032584865406613</v>
      </c>
      <c r="BF226" s="56">
        <f t="shared" si="104"/>
        <v>2.7526057957797084E-2</v>
      </c>
      <c r="BG226" s="56">
        <f t="shared" si="107"/>
        <v>3.4804197139766006E-6</v>
      </c>
      <c r="BH226" s="56">
        <f t="shared" si="108"/>
        <v>1.8655883023798688E-3</v>
      </c>
      <c r="BI226" s="56">
        <f t="shared" si="105"/>
        <v>1.828242941321881E-3</v>
      </c>
      <c r="BJ226" s="57">
        <f t="shared" si="109"/>
        <v>3.1209282183775541E-3</v>
      </c>
      <c r="BK226" s="57">
        <f t="shared" si="110"/>
        <v>2.115220125489547E-4</v>
      </c>
      <c r="BL226" s="58">
        <f t="shared" si="111"/>
        <v>5.5066085415061377</v>
      </c>
      <c r="BM226" s="58">
        <f t="shared" si="111"/>
        <v>0.37321233925212127</v>
      </c>
    </row>
    <row r="227" spans="47:65" x14ac:dyDescent="0.2">
      <c r="AU227" s="2">
        <v>-1410</v>
      </c>
      <c r="AV227" s="53">
        <v>225</v>
      </c>
      <c r="AW227" s="4" t="s">
        <v>1640</v>
      </c>
      <c r="AX227" t="s">
        <v>1287</v>
      </c>
      <c r="AY227" s="4">
        <v>22232</v>
      </c>
      <c r="AZ227" s="9">
        <v>20.640785671316234</v>
      </c>
      <c r="BA227" s="7">
        <f t="shared" si="106"/>
        <v>5.2903208865771119E-4</v>
      </c>
      <c r="BB227" s="54">
        <f t="shared" si="100"/>
        <v>52.904598752868189</v>
      </c>
      <c r="BC227" s="55">
        <f t="shared" si="101"/>
        <v>12.8452081079288</v>
      </c>
      <c r="BD227" s="55">
        <f t="shared" si="102"/>
        <v>3.5840212203513526</v>
      </c>
      <c r="BE227" s="55">
        <f t="shared" si="103"/>
        <v>3.5122762558579712</v>
      </c>
      <c r="BF227" s="56">
        <f t="shared" si="104"/>
        <v>2.7609284214966445E-2</v>
      </c>
      <c r="BG227" s="56">
        <f t="shared" si="107"/>
        <v>3.4983607350204387E-6</v>
      </c>
      <c r="BH227" s="56">
        <f t="shared" si="108"/>
        <v>1.8703905300820037E-3</v>
      </c>
      <c r="BI227" s="56">
        <f t="shared" si="105"/>
        <v>1.8329490379927534E-3</v>
      </c>
      <c r="BJ227" s="57">
        <f t="shared" si="109"/>
        <v>1.9530845899082352E-3</v>
      </c>
      <c r="BK227" s="57">
        <f t="shared" si="110"/>
        <v>1.3231168519150605E-4</v>
      </c>
      <c r="BL227" s="58">
        <f t="shared" si="111"/>
        <v>3.4460492303997068</v>
      </c>
      <c r="BM227" s="58">
        <f t="shared" si="111"/>
        <v>0.2334525515602478</v>
      </c>
    </row>
    <row r="228" spans="47:65" x14ac:dyDescent="0.2">
      <c r="AU228" s="2">
        <v>-1409</v>
      </c>
      <c r="AV228" s="53">
        <v>226</v>
      </c>
      <c r="AW228" s="4" t="s">
        <v>1871</v>
      </c>
      <c r="AX228" t="s">
        <v>1872</v>
      </c>
      <c r="AY228" s="4">
        <v>14764</v>
      </c>
      <c r="AZ228" s="9">
        <v>20.643462823294762</v>
      </c>
      <c r="BA228" s="7">
        <f t="shared" si="106"/>
        <v>5.2910070519806033E-4</v>
      </c>
      <c r="BB228" s="54">
        <f t="shared" si="100"/>
        <v>52.996828066718422</v>
      </c>
      <c r="BC228" s="55">
        <f t="shared" si="101"/>
        <v>12.883366783684442</v>
      </c>
      <c r="BD228" s="55">
        <f t="shared" si="102"/>
        <v>3.5893407171351734</v>
      </c>
      <c r="BE228" s="55">
        <f t="shared" si="103"/>
        <v>3.5174892669140538</v>
      </c>
      <c r="BF228" s="56">
        <f t="shared" si="104"/>
        <v>2.7657415859456112E-2</v>
      </c>
      <c r="BG228" s="56">
        <f t="shared" si="107"/>
        <v>3.5087531562131712E-6</v>
      </c>
      <c r="BH228" s="56">
        <f t="shared" si="108"/>
        <v>1.8731666119737376E-3</v>
      </c>
      <c r="BI228" s="56">
        <f t="shared" si="105"/>
        <v>1.8356695482557197E-3</v>
      </c>
      <c r="BJ228" s="57">
        <f t="shared" si="109"/>
        <v>1.299280763374098E-3</v>
      </c>
      <c r="BK228" s="57">
        <f t="shared" si="110"/>
        <v>8.7996989953781279E-5</v>
      </c>
      <c r="BL228" s="58">
        <f t="shared" si="111"/>
        <v>2.2924687941492703</v>
      </c>
      <c r="BM228" s="58">
        <f t="shared" si="111"/>
        <v>0.15526309565627486</v>
      </c>
    </row>
    <row r="229" spans="47:65" x14ac:dyDescent="0.2">
      <c r="AU229" s="2">
        <v>-1408</v>
      </c>
      <c r="AV229" s="53">
        <v>227</v>
      </c>
      <c r="AW229" s="4" t="s">
        <v>3243</v>
      </c>
      <c r="AX229" t="s">
        <v>3244</v>
      </c>
      <c r="AY229" s="5">
        <v>12261.325000000001</v>
      </c>
      <c r="AZ229" s="9">
        <v>20.647579048871247</v>
      </c>
      <c r="BA229" s="7">
        <f t="shared" si="106"/>
        <v>5.2920620580490692E-4</v>
      </c>
      <c r="BB229" s="54">
        <f t="shared" si="100"/>
        <v>53.13894801289544</v>
      </c>
      <c r="BC229" s="55">
        <f t="shared" si="101"/>
        <v>12.94225504364587</v>
      </c>
      <c r="BD229" s="55">
        <f t="shared" si="102"/>
        <v>3.5975345785198325</v>
      </c>
      <c r="BE229" s="55">
        <f t="shared" si="103"/>
        <v>3.5255191035181768</v>
      </c>
      <c r="BF229" s="56">
        <f t="shared" si="104"/>
        <v>2.773158389170878E-2</v>
      </c>
      <c r="BG229" s="56">
        <f t="shared" si="107"/>
        <v>3.5247912285177142E-6</v>
      </c>
      <c r="BH229" s="56">
        <f t="shared" si="108"/>
        <v>1.8774427364150722E-3</v>
      </c>
      <c r="BI229" s="56">
        <f t="shared" si="105"/>
        <v>1.8398600732049332E-3</v>
      </c>
      <c r="BJ229" s="57">
        <f t="shared" si="109"/>
        <v>1.0819307176348563E-3</v>
      </c>
      <c r="BK229" s="57">
        <f t="shared" si="110"/>
        <v>7.3247275563485454E-5</v>
      </c>
      <c r="BL229" s="58">
        <f t="shared" si="111"/>
        <v>1.9089733932243946</v>
      </c>
      <c r="BM229" s="58">
        <f t="shared" si="111"/>
        <v>0.12923849734346829</v>
      </c>
    </row>
    <row r="230" spans="47:65" x14ac:dyDescent="0.2">
      <c r="AU230" s="2">
        <v>-1407</v>
      </c>
      <c r="AV230" s="53">
        <v>228</v>
      </c>
      <c r="AW230" s="4" t="s">
        <v>2733</v>
      </c>
      <c r="AX230" t="s">
        <v>2734</v>
      </c>
      <c r="AY230" s="4">
        <v>44846</v>
      </c>
      <c r="AZ230" s="9">
        <v>20.647742985501761</v>
      </c>
      <c r="BA230" s="7">
        <f t="shared" si="106"/>
        <v>5.2921040757025783E-4</v>
      </c>
      <c r="BB230" s="54">
        <f t="shared" si="100"/>
        <v>53.144616099660695</v>
      </c>
      <c r="BC230" s="55">
        <f t="shared" si="101"/>
        <v>12.944605861301561</v>
      </c>
      <c r="BD230" s="55">
        <f t="shared" si="102"/>
        <v>3.5978612898917546</v>
      </c>
      <c r="BE230" s="55">
        <f t="shared" si="103"/>
        <v>3.5258392747793299</v>
      </c>
      <c r="BF230" s="56">
        <f t="shared" si="104"/>
        <v>2.7734541891998848E-2</v>
      </c>
      <c r="BG230" s="56">
        <f t="shared" si="107"/>
        <v>3.525431467906025E-6</v>
      </c>
      <c r="BH230" s="56">
        <f t="shared" si="108"/>
        <v>1.8776132370395202E-3</v>
      </c>
      <c r="BI230" s="56">
        <f t="shared" si="105"/>
        <v>1.8400271607465631E-3</v>
      </c>
      <c r="BJ230" s="57">
        <f t="shared" si="109"/>
        <v>3.9576016781364218E-3</v>
      </c>
      <c r="BK230" s="57">
        <f t="shared" si="110"/>
        <v>2.6792745763514825E-4</v>
      </c>
      <c r="BL230" s="58">
        <f t="shared" si="111"/>
        <v>6.9828466660583217</v>
      </c>
      <c r="BM230" s="58">
        <f t="shared" si="111"/>
        <v>0.47273487997257357</v>
      </c>
    </row>
    <row r="231" spans="47:65" x14ac:dyDescent="0.2">
      <c r="AU231" s="2">
        <v>-1406</v>
      </c>
      <c r="AV231" s="53">
        <v>229</v>
      </c>
      <c r="AW231" s="4" t="s">
        <v>2783</v>
      </c>
      <c r="AX231" t="s">
        <v>1347</v>
      </c>
      <c r="AY231" s="4">
        <v>53513</v>
      </c>
      <c r="AZ231" s="9">
        <v>20.64991923477481</v>
      </c>
      <c r="BA231" s="7">
        <f t="shared" si="106"/>
        <v>5.2926618576187769E-4</v>
      </c>
      <c r="BB231" s="54">
        <f t="shared" si="100"/>
        <v>53.219916937231176</v>
      </c>
      <c r="BC231" s="55">
        <f t="shared" si="101"/>
        <v>12.975852688353719</v>
      </c>
      <c r="BD231" s="55">
        <f t="shared" si="102"/>
        <v>3.6022010893832284</v>
      </c>
      <c r="BE231" s="55">
        <f t="shared" si="103"/>
        <v>3.5300922001310369</v>
      </c>
      <c r="BF231" s="56">
        <f t="shared" si="104"/>
        <v>2.7773839084967264E-2</v>
      </c>
      <c r="BG231" s="56">
        <f t="shared" si="107"/>
        <v>3.5339414641579016E-6</v>
      </c>
      <c r="BH231" s="56">
        <f t="shared" si="108"/>
        <v>1.8798780450225757E-3</v>
      </c>
      <c r="BI231" s="56">
        <f t="shared" si="105"/>
        <v>1.8422466317859069E-3</v>
      </c>
      <c r="BJ231" s="57">
        <f t="shared" si="109"/>
        <v>4.7291445179462582E-3</v>
      </c>
      <c r="BK231" s="57">
        <f t="shared" si="110"/>
        <v>3.2009312518260818E-4</v>
      </c>
      <c r="BL231" s="58">
        <f t="shared" si="111"/>
        <v>8.3441674317257277</v>
      </c>
      <c r="BM231" s="58">
        <f t="shared" si="111"/>
        <v>0.56477669906944006</v>
      </c>
    </row>
    <row r="232" spans="47:65" x14ac:dyDescent="0.2">
      <c r="AU232" s="2">
        <v>-1405</v>
      </c>
      <c r="AV232" s="53">
        <v>230</v>
      </c>
      <c r="AW232" s="4" t="s">
        <v>1654</v>
      </c>
      <c r="AX232" t="s">
        <v>1655</v>
      </c>
      <c r="AY232" s="4">
        <v>20754</v>
      </c>
      <c r="AZ232" s="9">
        <v>20.657033446357069</v>
      </c>
      <c r="BA232" s="7">
        <f t="shared" si="106"/>
        <v>5.2944852602122871E-4</v>
      </c>
      <c r="BB232" s="54">
        <f t="shared" si="100"/>
        <v>53.466822544505661</v>
      </c>
      <c r="BC232" s="55">
        <f t="shared" si="101"/>
        <v>13.078518355897499</v>
      </c>
      <c r="BD232" s="55">
        <f t="shared" si="102"/>
        <v>3.6164234204386934</v>
      </c>
      <c r="BE232" s="55">
        <f t="shared" si="103"/>
        <v>3.5440298284534957</v>
      </c>
      <c r="BF232" s="56">
        <f t="shared" si="104"/>
        <v>2.790269153345391E-2</v>
      </c>
      <c r="BG232" s="56">
        <f t="shared" si="107"/>
        <v>3.5619022054049398E-6</v>
      </c>
      <c r="BH232" s="56">
        <f t="shared" si="108"/>
        <v>1.8873002425170563E-3</v>
      </c>
      <c r="BI232" s="56">
        <f t="shared" si="105"/>
        <v>1.8495202516735697E-3</v>
      </c>
      <c r="BJ232" s="57">
        <f t="shared" si="109"/>
        <v>1.842617886132237E-3</v>
      </c>
      <c r="BK232" s="57">
        <f t="shared" si="110"/>
        <v>1.2463217676309836E-4</v>
      </c>
      <c r="BL232" s="58">
        <f t="shared" si="111"/>
        <v>3.2511402635791979</v>
      </c>
      <c r="BM232" s="58">
        <f t="shared" si="111"/>
        <v>0.21990272159061713</v>
      </c>
    </row>
    <row r="233" spans="47:65" x14ac:dyDescent="0.2">
      <c r="AU233" s="2">
        <v>-1404</v>
      </c>
      <c r="AV233" s="53">
        <v>231</v>
      </c>
      <c r="AW233" s="4" t="s">
        <v>1579</v>
      </c>
      <c r="AX233" t="s">
        <v>153</v>
      </c>
      <c r="AY233" s="4">
        <v>53736</v>
      </c>
      <c r="AZ233" s="9">
        <v>20.657731313567719</v>
      </c>
      <c r="BA233" s="7">
        <f t="shared" si="106"/>
        <v>5.2946641265374042E-4</v>
      </c>
      <c r="BB233" s="54">
        <f t="shared" si="100"/>
        <v>53.49110431555691</v>
      </c>
      <c r="BC233" s="55">
        <f t="shared" si="101"/>
        <v>13.088632289947789</v>
      </c>
      <c r="BD233" s="55">
        <f t="shared" si="102"/>
        <v>3.6178214839800744</v>
      </c>
      <c r="BE233" s="55">
        <f t="shared" si="103"/>
        <v>3.545399905548098</v>
      </c>
      <c r="BF233" s="56">
        <f t="shared" si="104"/>
        <v>2.7915363443533583E-2</v>
      </c>
      <c r="BG233" s="56">
        <f t="shared" si="107"/>
        <v>3.5646567103892441E-6</v>
      </c>
      <c r="BH233" s="56">
        <f t="shared" si="108"/>
        <v>1.888029848913741E-3</v>
      </c>
      <c r="BI233" s="56">
        <f t="shared" si="105"/>
        <v>1.8502352528037655E-3</v>
      </c>
      <c r="BJ233" s="57">
        <f t="shared" si="109"/>
        <v>4.7730501111843248E-3</v>
      </c>
      <c r="BK233" s="57">
        <f t="shared" si="110"/>
        <v>3.228208401622852E-4</v>
      </c>
      <c r="BL233" s="58">
        <f t="shared" si="111"/>
        <v>8.4216350624520508</v>
      </c>
      <c r="BM233" s="58">
        <f t="shared" si="111"/>
        <v>0.5695895167809899</v>
      </c>
    </row>
    <row r="234" spans="47:65" x14ac:dyDescent="0.2">
      <c r="AU234" s="2">
        <v>-1403</v>
      </c>
      <c r="AV234" s="53">
        <v>232</v>
      </c>
      <c r="AW234" s="4" t="s">
        <v>1521</v>
      </c>
      <c r="AX234" t="s">
        <v>114</v>
      </c>
      <c r="AY234" s="4">
        <v>38085</v>
      </c>
      <c r="AZ234" s="9">
        <v>20.7027217009156</v>
      </c>
      <c r="BA234" s="7">
        <f t="shared" si="106"/>
        <v>5.3061953535784581E-4</v>
      </c>
      <c r="BB234" s="54">
        <f t="shared" si="100"/>
        <v>55.080010069849372</v>
      </c>
      <c r="BC234" s="55">
        <f t="shared" si="101"/>
        <v>13.757169878642101</v>
      </c>
      <c r="BD234" s="55">
        <f t="shared" si="102"/>
        <v>3.7090659037879199</v>
      </c>
      <c r="BE234" s="55">
        <f t="shared" si="103"/>
        <v>3.6348177938549133</v>
      </c>
      <c r="BF234" s="56">
        <f t="shared" si="104"/>
        <v>2.8744564526146012E-2</v>
      </c>
      <c r="BG234" s="56">
        <f t="shared" si="107"/>
        <v>3.7467312731774042E-6</v>
      </c>
      <c r="BH234" s="56">
        <f t="shared" si="108"/>
        <v>1.9356475074706666E-3</v>
      </c>
      <c r="BI234" s="56">
        <f t="shared" si="105"/>
        <v>1.8968997007036154E-3</v>
      </c>
      <c r="BJ234" s="57">
        <f t="shared" si="109"/>
        <v>3.4833496146589771E-3</v>
      </c>
      <c r="BK234" s="57">
        <f t="shared" si="110"/>
        <v>2.3456737335959826E-4</v>
      </c>
      <c r="BL234" s="58">
        <f t="shared" si="111"/>
        <v>6.1460698224917518</v>
      </c>
      <c r="BM234" s="58">
        <f t="shared" si="111"/>
        <v>0.41387388985579132</v>
      </c>
    </row>
    <row r="235" spans="47:65" x14ac:dyDescent="0.2">
      <c r="AU235" s="2">
        <v>-1402</v>
      </c>
      <c r="AV235" s="53">
        <v>233</v>
      </c>
      <c r="AW235" s="4" t="s">
        <v>2252</v>
      </c>
      <c r="AX235" t="s">
        <v>617</v>
      </c>
      <c r="AY235" s="4">
        <v>59432</v>
      </c>
      <c r="AZ235" s="9">
        <v>20.717858238803043</v>
      </c>
      <c r="BA235" s="7">
        <f t="shared" si="106"/>
        <v>5.3100749124194611E-4</v>
      </c>
      <c r="BB235" s="54">
        <f t="shared" si="100"/>
        <v>55.625123151183359</v>
      </c>
      <c r="BC235" s="55">
        <f t="shared" si="101"/>
        <v>13.989561892220358</v>
      </c>
      <c r="BD235" s="55">
        <f t="shared" si="102"/>
        <v>3.7402622758598572</v>
      </c>
      <c r="BE235" s="55">
        <f t="shared" si="103"/>
        <v>3.6653896767095673</v>
      </c>
      <c r="BF235" s="56">
        <f t="shared" si="104"/>
        <v>2.9029042290775714E-2</v>
      </c>
      <c r="BG235" s="56">
        <f t="shared" si="107"/>
        <v>3.8100226646911463E-6</v>
      </c>
      <c r="BH235" s="56">
        <f t="shared" si="108"/>
        <v>1.9519279353221897E-3</v>
      </c>
      <c r="BI235" s="56">
        <f t="shared" si="105"/>
        <v>1.9128542268245594E-3</v>
      </c>
      <c r="BJ235" s="57">
        <f t="shared" si="109"/>
        <v>5.4895965220891664E-3</v>
      </c>
      <c r="BK235" s="57">
        <f t="shared" si="110"/>
        <v>3.6912333165459892E-4</v>
      </c>
      <c r="BL235" s="58">
        <f t="shared" si="111"/>
        <v>9.6859193748690142</v>
      </c>
      <c r="BM235" s="58">
        <f t="shared" si="111"/>
        <v>0.65128626765247866</v>
      </c>
    </row>
    <row r="236" spans="47:65" x14ac:dyDescent="0.2">
      <c r="AU236" s="2">
        <v>-1401</v>
      </c>
      <c r="AV236" s="53">
        <v>234</v>
      </c>
      <c r="AW236" s="4" t="s">
        <v>2036</v>
      </c>
      <c r="AX236" t="s">
        <v>459</v>
      </c>
      <c r="AY236" s="4">
        <v>14958</v>
      </c>
      <c r="AZ236" s="9">
        <v>20.718025533655485</v>
      </c>
      <c r="BA236" s="7">
        <f t="shared" si="106"/>
        <v>5.3101177907994895E-4</v>
      </c>
      <c r="BB236" s="54">
        <f t="shared" si="100"/>
        <v>55.631177998167203</v>
      </c>
      <c r="BC236" s="55">
        <f t="shared" si="101"/>
        <v>13.992151845610479</v>
      </c>
      <c r="BD236" s="55">
        <f t="shared" si="102"/>
        <v>3.740608486010061</v>
      </c>
      <c r="BE236" s="55">
        <f t="shared" si="103"/>
        <v>3.6657289564223081</v>
      </c>
      <c r="BF236" s="56">
        <f t="shared" si="104"/>
        <v>2.903220212933786E-2</v>
      </c>
      <c r="BG236" s="56">
        <f t="shared" si="107"/>
        <v>3.8107280321067222E-6</v>
      </c>
      <c r="BH236" s="56">
        <f t="shared" si="108"/>
        <v>1.9521086117597869E-3</v>
      </c>
      <c r="BI236" s="56">
        <f t="shared" si="105"/>
        <v>1.9130312864798322E-3</v>
      </c>
      <c r="BJ236" s="57">
        <f t="shared" si="109"/>
        <v>1.3817862918392477E-3</v>
      </c>
      <c r="BK236" s="57">
        <f t="shared" si="110"/>
        <v>9.2910517359109373E-5</v>
      </c>
      <c r="BL236" s="58">
        <f t="shared" si="111"/>
        <v>2.4380426798581367</v>
      </c>
      <c r="BM236" s="58">
        <f t="shared" si="111"/>
        <v>0.16393259078268632</v>
      </c>
    </row>
    <row r="237" spans="47:65" x14ac:dyDescent="0.2">
      <c r="AU237" s="2">
        <v>-1400</v>
      </c>
      <c r="AV237" s="53">
        <v>235</v>
      </c>
      <c r="AW237" s="4" t="s">
        <v>3002</v>
      </c>
      <c r="AX237" t="s">
        <v>1358</v>
      </c>
      <c r="AY237" s="4">
        <v>27938</v>
      </c>
      <c r="AZ237" s="9">
        <v>20.726781380345042</v>
      </c>
      <c r="BA237" s="7">
        <f t="shared" si="106"/>
        <v>5.3123619514316989E-4</v>
      </c>
      <c r="BB237" s="54">
        <f t="shared" si="100"/>
        <v>55.948997170281743</v>
      </c>
      <c r="BC237" s="55">
        <f t="shared" si="101"/>
        <v>14.128365077157751</v>
      </c>
      <c r="BD237" s="55">
        <f t="shared" si="102"/>
        <v>3.7587717511386285</v>
      </c>
      <c r="BE237" s="55">
        <f t="shared" si="103"/>
        <v>3.6835286291691305</v>
      </c>
      <c r="BF237" s="56">
        <f t="shared" si="104"/>
        <v>2.9198062187985409E-2</v>
      </c>
      <c r="BG237" s="56">
        <f t="shared" si="107"/>
        <v>3.8478253696376844E-6</v>
      </c>
      <c r="BH237" s="56">
        <f t="shared" si="108"/>
        <v>1.9615874616334813E-3</v>
      </c>
      <c r="BI237" s="56">
        <f t="shared" si="105"/>
        <v>1.9223203886634837E-3</v>
      </c>
      <c r="BJ237" s="57">
        <f t="shared" si="109"/>
        <v>2.595593718006941E-3</v>
      </c>
      <c r="BK237" s="57">
        <f t="shared" si="110"/>
        <v>1.743774658727907E-4</v>
      </c>
      <c r="BL237" s="58">
        <f t="shared" si="111"/>
        <v>4.5797011458619865</v>
      </c>
      <c r="BM237" s="58">
        <f t="shared" si="111"/>
        <v>0.30767399178456228</v>
      </c>
    </row>
    <row r="238" spans="47:65" x14ac:dyDescent="0.2">
      <c r="AU238" s="2">
        <v>-1399</v>
      </c>
      <c r="AV238" s="53">
        <v>236</v>
      </c>
      <c r="AW238" s="4" t="s">
        <v>1590</v>
      </c>
      <c r="AX238" t="s">
        <v>156</v>
      </c>
      <c r="AY238" s="4">
        <v>52692</v>
      </c>
      <c r="AZ238" s="9">
        <v>20.737108676636229</v>
      </c>
      <c r="BA238" s="7">
        <f t="shared" si="106"/>
        <v>5.3150088812599101E-4</v>
      </c>
      <c r="BB238" s="54">
        <f t="shared" si="100"/>
        <v>56.326191445736768</v>
      </c>
      <c r="BC238" s="55">
        <f t="shared" si="101"/>
        <v>14.290703219738162</v>
      </c>
      <c r="BD238" s="55">
        <f t="shared" si="102"/>
        <v>3.7803046464191432</v>
      </c>
      <c r="BE238" s="55">
        <f t="shared" si="103"/>
        <v>3.7046304787854711</v>
      </c>
      <c r="BF238" s="56">
        <f t="shared" si="104"/>
        <v>2.939490828833944E-2</v>
      </c>
      <c r="BG238" s="56">
        <f t="shared" si="107"/>
        <v>3.8920377622301784E-6</v>
      </c>
      <c r="BH238" s="56">
        <f t="shared" si="108"/>
        <v>1.9728248179273745E-3</v>
      </c>
      <c r="BI238" s="56">
        <f t="shared" si="105"/>
        <v>1.9333327954722214E-3</v>
      </c>
      <c r="BJ238" s="57">
        <f t="shared" si="109"/>
        <v>4.9283797543537332E-3</v>
      </c>
      <c r="BK238" s="57">
        <f t="shared" si="110"/>
        <v>3.3076578420272794E-4</v>
      </c>
      <c r="BL238" s="58">
        <f t="shared" si="111"/>
        <v>8.6957008146821426</v>
      </c>
      <c r="BM238" s="58">
        <f t="shared" si="111"/>
        <v>0.58360768498404902</v>
      </c>
    </row>
    <row r="239" spans="47:65" x14ac:dyDescent="0.2">
      <c r="AU239" s="2">
        <v>-1398</v>
      </c>
      <c r="AV239" s="53">
        <v>237</v>
      </c>
      <c r="AW239" s="4" t="s">
        <v>3193</v>
      </c>
      <c r="AX239" t="s">
        <v>3194</v>
      </c>
      <c r="AY239" s="5">
        <v>36125.109999999993</v>
      </c>
      <c r="AZ239" s="9">
        <v>20.745558348477722</v>
      </c>
      <c r="BA239" s="7">
        <f t="shared" si="106"/>
        <v>5.3171745679803485E-4</v>
      </c>
      <c r="BB239" s="54">
        <f t="shared" si="100"/>
        <v>56.636698200710171</v>
      </c>
      <c r="BC239" s="55">
        <f t="shared" si="101"/>
        <v>14.42489067301643</v>
      </c>
      <c r="BD239" s="55">
        <f t="shared" si="102"/>
        <v>3.7980114103325744</v>
      </c>
      <c r="BE239" s="55">
        <f t="shared" si="103"/>
        <v>3.7219827885620105</v>
      </c>
      <c r="BF239" s="56">
        <f t="shared" si="104"/>
        <v>2.9556952221207612E-2</v>
      </c>
      <c r="BG239" s="56">
        <f t="shared" si="107"/>
        <v>3.9285833840478208E-6</v>
      </c>
      <c r="BH239" s="56">
        <f t="shared" si="108"/>
        <v>1.9820654338461737E-3</v>
      </c>
      <c r="BI239" s="56">
        <f t="shared" si="105"/>
        <v>1.9423884326701282E-3</v>
      </c>
      <c r="BJ239" s="57">
        <f t="shared" si="109"/>
        <v>3.3974744538311937E-3</v>
      </c>
      <c r="BK239" s="57">
        <f t="shared" si="110"/>
        <v>2.2783190319881653E-4</v>
      </c>
      <c r="BL239" s="58">
        <f t="shared" si="111"/>
        <v>5.9945505112391153</v>
      </c>
      <c r="BM239" s="58">
        <f t="shared" si="111"/>
        <v>0.40198973394985965</v>
      </c>
    </row>
    <row r="240" spans="47:65" x14ac:dyDescent="0.2">
      <c r="AU240" s="2">
        <v>-1397</v>
      </c>
      <c r="AV240" s="53">
        <v>238</v>
      </c>
      <c r="AW240" s="4" t="s">
        <v>2961</v>
      </c>
      <c r="AX240" t="s">
        <v>2962</v>
      </c>
      <c r="AY240" s="4">
        <v>32477</v>
      </c>
      <c r="AZ240" s="9">
        <v>20.746050633192475</v>
      </c>
      <c r="BA240" s="7">
        <f t="shared" si="106"/>
        <v>5.317300742640076E-4</v>
      </c>
      <c r="BB240" s="54">
        <f t="shared" si="100"/>
        <v>56.654841256586302</v>
      </c>
      <c r="BC240" s="55">
        <f t="shared" si="101"/>
        <v>14.432746655222273</v>
      </c>
      <c r="BD240" s="55">
        <f t="shared" si="102"/>
        <v>3.7990454926497357</v>
      </c>
      <c r="BE240" s="55">
        <f t="shared" si="103"/>
        <v>3.7229961706113532</v>
      </c>
      <c r="BF240" s="56">
        <f t="shared" si="104"/>
        <v>2.9566420524493528E-2</v>
      </c>
      <c r="BG240" s="56">
        <f t="shared" si="107"/>
        <v>3.9307229414181933E-6</v>
      </c>
      <c r="BH240" s="56">
        <f t="shared" si="108"/>
        <v>1.9826050896278344E-3</v>
      </c>
      <c r="BI240" s="56">
        <f t="shared" si="105"/>
        <v>1.9429172856181801E-3</v>
      </c>
      <c r="BJ240" s="57">
        <f t="shared" si="109"/>
        <v>3.0553574560896212E-3</v>
      </c>
      <c r="BK240" s="57">
        <f t="shared" si="110"/>
        <v>2.0487996638136842E-4</v>
      </c>
      <c r="BL240" s="58">
        <f t="shared" si="111"/>
        <v>5.3909145894435335</v>
      </c>
      <c r="BM240" s="58">
        <f t="shared" si="111"/>
        <v>0.36149302192077859</v>
      </c>
    </row>
    <row r="241" spans="47:65" x14ac:dyDescent="0.2">
      <c r="AU241" s="2">
        <v>-1396</v>
      </c>
      <c r="AV241" s="53">
        <v>239</v>
      </c>
      <c r="AW241" s="4" t="s">
        <v>1648</v>
      </c>
      <c r="AX241" t="s">
        <v>196</v>
      </c>
      <c r="AY241" s="4">
        <v>25002</v>
      </c>
      <c r="AZ241" s="9">
        <v>20.751127763242813</v>
      </c>
      <c r="BA241" s="7">
        <f t="shared" si="106"/>
        <v>5.3186020325995227E-4</v>
      </c>
      <c r="BB241" s="54">
        <f t="shared" si="100"/>
        <v>56.842297315116845</v>
      </c>
      <c r="BC241" s="55">
        <f t="shared" si="101"/>
        <v>14.514014600449064</v>
      </c>
      <c r="BD241" s="55">
        <f t="shared" si="102"/>
        <v>3.8097263156884464</v>
      </c>
      <c r="BE241" s="55">
        <f t="shared" si="103"/>
        <v>3.7334631848519129</v>
      </c>
      <c r="BF241" s="56">
        <f t="shared" si="104"/>
        <v>2.966424808050552E-2</v>
      </c>
      <c r="BG241" s="56">
        <f t="shared" si="107"/>
        <v>3.9528560657873265E-6</v>
      </c>
      <c r="BH241" s="56">
        <f t="shared" si="108"/>
        <v>1.9881790829267181E-3</v>
      </c>
      <c r="BI241" s="56">
        <f t="shared" si="105"/>
        <v>1.9483796986761201E-3</v>
      </c>
      <c r="BJ241" s="57">
        <f t="shared" si="109"/>
        <v>2.3599101460273909E-3</v>
      </c>
      <c r="BK241" s="57">
        <f t="shared" si="110"/>
        <v>1.581676359092207E-4</v>
      </c>
      <c r="BL241" s="58">
        <f t="shared" si="111"/>
        <v>4.1638578198562541</v>
      </c>
      <c r="BM241" s="58">
        <f t="shared" si="111"/>
        <v>0.27907314553371193</v>
      </c>
    </row>
    <row r="242" spans="47:65" x14ac:dyDescent="0.2">
      <c r="AU242" s="2">
        <v>-1395</v>
      </c>
      <c r="AV242" s="53">
        <v>240</v>
      </c>
      <c r="AW242" s="4" t="s">
        <v>2053</v>
      </c>
      <c r="AX242" t="s">
        <v>1305</v>
      </c>
      <c r="AY242" s="4">
        <v>104393</v>
      </c>
      <c r="AZ242" s="9">
        <v>20.75900824396706</v>
      </c>
      <c r="BA242" s="7">
        <f t="shared" si="106"/>
        <v>5.3206218332231829E-4</v>
      </c>
      <c r="BB242" s="54">
        <f t="shared" si="100"/>
        <v>57.134487069384448</v>
      </c>
      <c r="BC242" s="55">
        <f t="shared" si="101"/>
        <v>14.641047630534068</v>
      </c>
      <c r="BD242" s="55">
        <f t="shared" si="102"/>
        <v>3.8263621928058598</v>
      </c>
      <c r="BE242" s="55">
        <f t="shared" si="103"/>
        <v>3.7497660448525947</v>
      </c>
      <c r="BF242" s="56">
        <f t="shared" si="104"/>
        <v>2.9816732933626855E-2</v>
      </c>
      <c r="BG242" s="56">
        <f t="shared" si="107"/>
        <v>3.9874531981004143E-6</v>
      </c>
      <c r="BH242" s="56">
        <f t="shared" si="108"/>
        <v>1.9968608359373506E-3</v>
      </c>
      <c r="BI242" s="56">
        <f t="shared" si="105"/>
        <v>1.9568876602878761E-3</v>
      </c>
      <c r="BJ242" s="57">
        <f t="shared" si="109"/>
        <v>9.9041864126362573E-3</v>
      </c>
      <c r="BK242" s="57">
        <f t="shared" si="110"/>
        <v>6.6329473464584951E-4</v>
      </c>
      <c r="BL242" s="58">
        <f t="shared" si="111"/>
        <v>17.475082308956218</v>
      </c>
      <c r="BM242" s="58">
        <f t="shared" si="111"/>
        <v>1.1703263246585249</v>
      </c>
    </row>
    <row r="243" spans="47:65" x14ac:dyDescent="0.2">
      <c r="AU243" s="2">
        <v>-1394</v>
      </c>
      <c r="AV243" s="53">
        <v>241</v>
      </c>
      <c r="AW243" s="4" t="s">
        <v>3247</v>
      </c>
      <c r="AX243" t="s">
        <v>3248</v>
      </c>
      <c r="AY243" s="5">
        <v>10588.839999999997</v>
      </c>
      <c r="AZ243" s="9">
        <v>20.765883363655536</v>
      </c>
      <c r="BA243" s="7">
        <f t="shared" si="106"/>
        <v>5.3223839555505419E-4</v>
      </c>
      <c r="BB243" s="54">
        <f t="shared" si="100"/>
        <v>57.390626985845209</v>
      </c>
      <c r="BC243" s="55">
        <f t="shared" si="101"/>
        <v>14.75276751637139</v>
      </c>
      <c r="BD243" s="55">
        <f t="shared" si="102"/>
        <v>3.8409331569777923</v>
      </c>
      <c r="BE243" s="55">
        <f t="shared" si="103"/>
        <v>3.7640453273511003</v>
      </c>
      <c r="BF243" s="56">
        <f t="shared" si="104"/>
        <v>2.9950404484287263E-2</v>
      </c>
      <c r="BG243" s="56">
        <f t="shared" si="107"/>
        <v>4.0178798333600755E-6</v>
      </c>
      <c r="BH243" s="56">
        <f t="shared" si="108"/>
        <v>2.0044649743410524E-3</v>
      </c>
      <c r="BI243" s="56">
        <f t="shared" si="105"/>
        <v>1.9643395789902328E-3</v>
      </c>
      <c r="BJ243" s="57">
        <f t="shared" si="109"/>
        <v>1.0091098611523599E-3</v>
      </c>
      <c r="BK243" s="57">
        <f t="shared" si="110"/>
        <v>6.7535828205700536E-5</v>
      </c>
      <c r="BL243" s="58">
        <f t="shared" si="111"/>
        <v>1.7804872755543224</v>
      </c>
      <c r="BM243" s="58">
        <f t="shared" si="111"/>
        <v>0.11916114131216199</v>
      </c>
    </row>
    <row r="244" spans="47:65" x14ac:dyDescent="0.2">
      <c r="AU244" s="2">
        <v>-1393</v>
      </c>
      <c r="AV244" s="53">
        <v>242</v>
      </c>
      <c r="AW244" s="4" t="s">
        <v>2658</v>
      </c>
      <c r="AX244" t="s">
        <v>930</v>
      </c>
      <c r="AY244" s="4">
        <v>25715</v>
      </c>
      <c r="AZ244" s="9">
        <v>20.769942201475406</v>
      </c>
      <c r="BA244" s="7">
        <f t="shared" si="106"/>
        <v>5.3234242528936578E-4</v>
      </c>
      <c r="BB244" s="54">
        <f t="shared" si="100"/>
        <v>57.54238210128436</v>
      </c>
      <c r="BC244" s="55">
        <f t="shared" si="101"/>
        <v>14.819116533225596</v>
      </c>
      <c r="BD244" s="55">
        <f t="shared" si="102"/>
        <v>3.849560563652116</v>
      </c>
      <c r="BE244" s="55">
        <f t="shared" si="103"/>
        <v>3.7725000305319281</v>
      </c>
      <c r="BF244" s="56">
        <f t="shared" si="104"/>
        <v>3.0029600815267982E-2</v>
      </c>
      <c r="BG244" s="56">
        <f t="shared" si="107"/>
        <v>4.0359498243963556E-6</v>
      </c>
      <c r="BH244" s="56">
        <f t="shared" si="108"/>
        <v>2.0089673527452744E-3</v>
      </c>
      <c r="BI244" s="56">
        <f t="shared" si="105"/>
        <v>1.9687518287487557E-3</v>
      </c>
      <c r="BJ244" s="57">
        <f t="shared" si="109"/>
        <v>2.4571035531658859E-3</v>
      </c>
      <c r="BK244" s="57">
        <f t="shared" si="110"/>
        <v>1.6437916877386327E-4</v>
      </c>
      <c r="BL244" s="58">
        <f t="shared" si="111"/>
        <v>4.3353472000910713</v>
      </c>
      <c r="BM244" s="58">
        <f t="shared" si="111"/>
        <v>0.29003285929030337</v>
      </c>
    </row>
    <row r="245" spans="47:65" x14ac:dyDescent="0.2">
      <c r="AU245" s="2">
        <v>-1392</v>
      </c>
      <c r="AV245" s="53">
        <v>243</v>
      </c>
      <c r="AW245" s="4" t="s">
        <v>1643</v>
      </c>
      <c r="AX245" t="s">
        <v>1644</v>
      </c>
      <c r="AY245" s="4">
        <v>24393</v>
      </c>
      <c r="AZ245" s="9">
        <v>20.782101320537457</v>
      </c>
      <c r="BA245" s="7">
        <f t="shared" si="106"/>
        <v>5.3265406866651553E-4</v>
      </c>
      <c r="BB245" s="54">
        <f t="shared" si="100"/>
        <v>57.999403169188803</v>
      </c>
      <c r="BC245" s="55">
        <f t="shared" si="101"/>
        <v>15.019641617451574</v>
      </c>
      <c r="BD245" s="55">
        <f t="shared" si="102"/>
        <v>3.8755182385652081</v>
      </c>
      <c r="BE245" s="55">
        <f t="shared" si="103"/>
        <v>3.7979380845079578</v>
      </c>
      <c r="BF245" s="56">
        <f t="shared" si="104"/>
        <v>3.0268106065349257E-2</v>
      </c>
      <c r="BG245" s="56">
        <f t="shared" si="107"/>
        <v>4.0905623363268455E-6</v>
      </c>
      <c r="BH245" s="56">
        <f t="shared" si="108"/>
        <v>2.0225138655462528E-3</v>
      </c>
      <c r="BI245" s="56">
        <f t="shared" si="105"/>
        <v>1.9820271673517699E-3</v>
      </c>
      <c r="BJ245" s="57">
        <f t="shared" si="109"/>
        <v>2.3492965184507496E-3</v>
      </c>
      <c r="BK245" s="57">
        <f t="shared" si="110"/>
        <v>1.5697991716388395E-4</v>
      </c>
      <c r="BL245" s="58">
        <f t="shared" si="111"/>
        <v>4.1451309898299353</v>
      </c>
      <c r="BM245" s="58">
        <f t="shared" si="111"/>
        <v>0.27697751829388445</v>
      </c>
    </row>
    <row r="246" spans="47:65" x14ac:dyDescent="0.2">
      <c r="AU246" s="2">
        <v>-1391</v>
      </c>
      <c r="AV246" s="53">
        <v>244</v>
      </c>
      <c r="AW246" s="4" t="s">
        <v>1896</v>
      </c>
      <c r="AX246" t="s">
        <v>359</v>
      </c>
      <c r="AY246" s="4">
        <v>15977</v>
      </c>
      <c r="AZ246" s="9">
        <v>20.802210785777003</v>
      </c>
      <c r="BA246" s="7">
        <f t="shared" si="106"/>
        <v>5.3316948278722177E-4</v>
      </c>
      <c r="BB246" s="54">
        <f t="shared" si="100"/>
        <v>58.763231710238948</v>
      </c>
      <c r="BC246" s="55">
        <f t="shared" si="101"/>
        <v>15.357156622121702</v>
      </c>
      <c r="BD246" s="55">
        <f t="shared" si="102"/>
        <v>3.9188208203644246</v>
      </c>
      <c r="BE246" s="55">
        <f t="shared" si="103"/>
        <v>3.8403738348899896</v>
      </c>
      <c r="BF246" s="56">
        <f t="shared" si="104"/>
        <v>3.0666724706799833E-2</v>
      </c>
      <c r="BG246" s="56">
        <f t="shared" si="107"/>
        <v>4.1824837150927328E-6</v>
      </c>
      <c r="BH246" s="56">
        <f t="shared" si="108"/>
        <v>2.0451121522040627E-3</v>
      </c>
      <c r="BI246" s="56">
        <f t="shared" si="105"/>
        <v>2.0041730813325797E-3</v>
      </c>
      <c r="BJ246" s="57">
        <f t="shared" si="109"/>
        <v>1.559013952371367E-3</v>
      </c>
      <c r="BK246" s="57">
        <f t="shared" si="110"/>
        <v>1.0396801125434185E-4</v>
      </c>
      <c r="BL246" s="58">
        <f t="shared" si="111"/>
        <v>2.750745594180422</v>
      </c>
      <c r="BM246" s="58">
        <f t="shared" si="111"/>
        <v>0.18344258462765628</v>
      </c>
    </row>
    <row r="247" spans="47:65" x14ac:dyDescent="0.2">
      <c r="AU247" s="2">
        <v>-1390</v>
      </c>
      <c r="AV247" s="53">
        <v>245</v>
      </c>
      <c r="AW247" s="4" t="s">
        <v>1377</v>
      </c>
      <c r="AX247" t="s">
        <v>1272</v>
      </c>
      <c r="AY247" s="4">
        <v>40263</v>
      </c>
      <c r="AZ247" s="9">
        <v>20.807348632392664</v>
      </c>
      <c r="BA247" s="7">
        <f t="shared" si="106"/>
        <v>5.3330116797448005E-4</v>
      </c>
      <c r="BB247" s="54">
        <f t="shared" si="100"/>
        <v>58.959993533735769</v>
      </c>
      <c r="BC247" s="55">
        <f t="shared" si="101"/>
        <v>15.444579755249592</v>
      </c>
      <c r="BD247" s="55">
        <f t="shared" si="102"/>
        <v>3.9299592561818746</v>
      </c>
      <c r="BE247" s="55">
        <f t="shared" si="103"/>
        <v>3.851289301413146</v>
      </c>
      <c r="BF247" s="56">
        <f t="shared" si="104"/>
        <v>3.0769408655561156E-2</v>
      </c>
      <c r="BG247" s="56">
        <f t="shared" si="107"/>
        <v>4.2062931896998242E-6</v>
      </c>
      <c r="BH247" s="56">
        <f t="shared" si="108"/>
        <v>2.050924959548697E-3</v>
      </c>
      <c r="BI247" s="56">
        <f t="shared" si="105"/>
        <v>2.0098695278548562E-3</v>
      </c>
      <c r="BJ247" s="57">
        <f t="shared" si="109"/>
        <v>3.9419639933506697E-3</v>
      </c>
      <c r="BK247" s="57">
        <f t="shared" si="110"/>
        <v>2.6275033212716438E-4</v>
      </c>
      <c r="BL247" s="58">
        <f t="shared" si="111"/>
        <v>6.9552553206042536</v>
      </c>
      <c r="BM247" s="58">
        <f t="shared" si="111"/>
        <v>0.46360028873947767</v>
      </c>
    </row>
    <row r="248" spans="47:65" x14ac:dyDescent="0.2">
      <c r="AU248" s="2">
        <v>-1389</v>
      </c>
      <c r="AV248" s="53">
        <v>246</v>
      </c>
      <c r="AW248" s="4" t="s">
        <v>2999</v>
      </c>
      <c r="AX248" t="s">
        <v>1168</v>
      </c>
      <c r="AY248" s="4">
        <v>33238</v>
      </c>
      <c r="AZ248" s="9">
        <v>20.812711087836906</v>
      </c>
      <c r="BA248" s="7">
        <f t="shared" si="106"/>
        <v>5.3343860998125139E-4</v>
      </c>
      <c r="BB248" s="54">
        <f t="shared" si="100"/>
        <v>59.166059859115279</v>
      </c>
      <c r="BC248" s="55">
        <f t="shared" si="101"/>
        <v>15.536346959609027</v>
      </c>
      <c r="BD248" s="55">
        <f t="shared" si="102"/>
        <v>3.9416173025306538</v>
      </c>
      <c r="BE248" s="55">
        <f t="shared" si="103"/>
        <v>3.862713976899999</v>
      </c>
      <c r="BF248" s="56">
        <f t="shared" si="104"/>
        <v>3.0876948337907398E-2</v>
      </c>
      <c r="BG248" s="56">
        <f t="shared" si="107"/>
        <v>4.2312857613884874E-6</v>
      </c>
      <c r="BH248" s="56">
        <f t="shared" si="108"/>
        <v>2.057008935660827E-3</v>
      </c>
      <c r="BI248" s="56">
        <f t="shared" si="105"/>
        <v>2.0158317148861447E-3</v>
      </c>
      <c r="BJ248" s="57">
        <f t="shared" si="109"/>
        <v>3.2655521730698711E-3</v>
      </c>
      <c r="BK248" s="57">
        <f t="shared" si="110"/>
        <v>2.1754967253757439E-4</v>
      </c>
      <c r="BL248" s="58">
        <f t="shared" si="111"/>
        <v>5.7617850301948508</v>
      </c>
      <c r="BM248" s="58">
        <f t="shared" si="111"/>
        <v>0.38384762518506188</v>
      </c>
    </row>
    <row r="249" spans="47:65" x14ac:dyDescent="0.2">
      <c r="AU249" s="2">
        <v>-1388</v>
      </c>
      <c r="AV249" s="53">
        <v>247</v>
      </c>
      <c r="AW249" s="4" t="s">
        <v>1406</v>
      </c>
      <c r="AX249" t="s">
        <v>23</v>
      </c>
      <c r="AY249" s="4">
        <v>16564</v>
      </c>
      <c r="AZ249" s="9">
        <v>20.812737197365209</v>
      </c>
      <c r="BA249" s="7">
        <f t="shared" si="106"/>
        <v>5.3343927917953249E-4</v>
      </c>
      <c r="BB249" s="54">
        <f t="shared" si="100"/>
        <v>59.167064945746645</v>
      </c>
      <c r="BC249" s="55">
        <f t="shared" si="101"/>
        <v>15.536795079325335</v>
      </c>
      <c r="BD249" s="55">
        <f t="shared" si="102"/>
        <v>3.9416741467713101</v>
      </c>
      <c r="BE249" s="55">
        <f t="shared" si="103"/>
        <v>3.8627696832322065</v>
      </c>
      <c r="BF249" s="56">
        <f t="shared" si="104"/>
        <v>3.0877472861731804E-2</v>
      </c>
      <c r="BG249" s="56">
        <f t="shared" si="107"/>
        <v>4.231407805687563E-6</v>
      </c>
      <c r="BH249" s="56">
        <f t="shared" si="108"/>
        <v>2.0570386009230754E-3</v>
      </c>
      <c r="BI249" s="56">
        <f t="shared" si="105"/>
        <v>2.0158607863089441E-3</v>
      </c>
      <c r="BJ249" s="57">
        <f t="shared" si="109"/>
        <v>1.6274001161868342E-3</v>
      </c>
      <c r="BK249" s="57">
        <f t="shared" si="110"/>
        <v>1.0841641325809135E-4</v>
      </c>
      <c r="BL249" s="58">
        <f t="shared" si="111"/>
        <v>2.8714070793019402</v>
      </c>
      <c r="BM249" s="58">
        <f t="shared" si="111"/>
        <v>0.19129140611789686</v>
      </c>
    </row>
    <row r="250" spans="47:65" x14ac:dyDescent="0.2">
      <c r="AU250" s="2">
        <v>-1387</v>
      </c>
      <c r="AV250" s="53">
        <v>248</v>
      </c>
      <c r="AW250" s="4" t="s">
        <v>1790</v>
      </c>
      <c r="AX250" t="s">
        <v>280</v>
      </c>
      <c r="AY250" s="4">
        <v>37354</v>
      </c>
      <c r="AZ250" s="9">
        <v>20.827408869247815</v>
      </c>
      <c r="BA250" s="7">
        <f t="shared" si="106"/>
        <v>5.3381532035082094E-4</v>
      </c>
      <c r="BB250" s="54">
        <f t="shared" si="100"/>
        <v>59.734560422944206</v>
      </c>
      <c r="BC250" s="55">
        <f t="shared" si="101"/>
        <v>15.790627900945971</v>
      </c>
      <c r="BD250" s="55">
        <f t="shared" si="102"/>
        <v>3.9737423042952811</v>
      </c>
      <c r="BE250" s="55">
        <f t="shared" si="103"/>
        <v>3.8941959001309767</v>
      </c>
      <c r="BF250" s="56">
        <f t="shared" si="104"/>
        <v>3.1173631310902609E-2</v>
      </c>
      <c r="BG250" s="56">
        <f t="shared" si="107"/>
        <v>4.3005385483704857E-6</v>
      </c>
      <c r="BH250" s="56">
        <f t="shared" si="108"/>
        <v>2.073773986810155E-3</v>
      </c>
      <c r="BI250" s="56">
        <f t="shared" si="105"/>
        <v>2.0322611631119719E-3</v>
      </c>
      <c r="BJ250" s="57">
        <f t="shared" si="109"/>
        <v>3.7052019275913557E-3</v>
      </c>
      <c r="BK250" s="57">
        <f t="shared" si="110"/>
        <v>2.4648239714795413E-4</v>
      </c>
      <c r="BL250" s="58">
        <f t="shared" si="111"/>
        <v>6.5375090853856026</v>
      </c>
      <c r="BM250" s="58">
        <f t="shared" si="111"/>
        <v>0.43489692120231743</v>
      </c>
    </row>
    <row r="251" spans="47:65" x14ac:dyDescent="0.2">
      <c r="AU251" s="2">
        <v>-1386</v>
      </c>
      <c r="AV251" s="53">
        <v>249</v>
      </c>
      <c r="AW251" s="4" t="s">
        <v>2543</v>
      </c>
      <c r="AX251" t="s">
        <v>850</v>
      </c>
      <c r="AY251" s="4">
        <v>33468</v>
      </c>
      <c r="AZ251" s="9">
        <v>20.828266672024601</v>
      </c>
      <c r="BA251" s="7">
        <f t="shared" si="106"/>
        <v>5.3383730619970698E-4</v>
      </c>
      <c r="BB251" s="54">
        <f t="shared" si="100"/>
        <v>59.767907885555189</v>
      </c>
      <c r="BC251" s="55">
        <f t="shared" si="101"/>
        <v>15.805594235248462</v>
      </c>
      <c r="BD251" s="55">
        <f t="shared" si="102"/>
        <v>3.9756250119004513</v>
      </c>
      <c r="BE251" s="55">
        <f t="shared" si="103"/>
        <v>3.8960409196807531</v>
      </c>
      <c r="BF251" s="56">
        <f t="shared" si="104"/>
        <v>3.1191034326798765E-2</v>
      </c>
      <c r="BG251" s="56">
        <f t="shared" si="107"/>
        <v>4.3046145925910061E-6</v>
      </c>
      <c r="BH251" s="56">
        <f t="shared" si="108"/>
        <v>2.0747565140495417E-3</v>
      </c>
      <c r="BI251" s="56">
        <f t="shared" si="105"/>
        <v>2.0332240221134857E-3</v>
      </c>
      <c r="BJ251" s="57">
        <f t="shared" si="109"/>
        <v>3.3215967669068119E-3</v>
      </c>
      <c r="BK251" s="57">
        <f t="shared" si="110"/>
        <v>2.2094504648294876E-4</v>
      </c>
      <c r="BL251" s="58">
        <f t="shared" si="111"/>
        <v>5.8606708800232648</v>
      </c>
      <c r="BM251" s="58">
        <f t="shared" si="111"/>
        <v>0.38983846953037832</v>
      </c>
    </row>
    <row r="252" spans="47:65" x14ac:dyDescent="0.2">
      <c r="AU252" s="2">
        <v>-1385</v>
      </c>
      <c r="AV252" s="53">
        <v>250</v>
      </c>
      <c r="AW252" s="4" t="s">
        <v>3125</v>
      </c>
      <c r="AX252" t="s">
        <v>1264</v>
      </c>
      <c r="AY252" s="4">
        <v>47456</v>
      </c>
      <c r="AZ252" s="9">
        <v>20.838177010313125</v>
      </c>
      <c r="BA252" s="7">
        <f t="shared" si="106"/>
        <v>5.3409131237212555E-4</v>
      </c>
      <c r="BB252" s="54">
        <f t="shared" si="100"/>
        <v>60.15452940746323</v>
      </c>
      <c r="BC252" s="55">
        <f t="shared" si="101"/>
        <v>15.979518024957407</v>
      </c>
      <c r="BD252" s="55">
        <f t="shared" si="102"/>
        <v>3.9974389332368054</v>
      </c>
      <c r="BE252" s="55">
        <f t="shared" si="103"/>
        <v>3.9174181697711754</v>
      </c>
      <c r="BF252" s="56">
        <f t="shared" si="104"/>
        <v>3.1392800217356659E-2</v>
      </c>
      <c r="BG252" s="56">
        <f t="shared" si="107"/>
        <v>4.3519823075935841E-6</v>
      </c>
      <c r="BH252" s="56">
        <f t="shared" si="108"/>
        <v>2.0861405292054475E-3</v>
      </c>
      <c r="BI252" s="56">
        <f t="shared" si="105"/>
        <v>2.0443801519660024E-3</v>
      </c>
      <c r="BJ252" s="57">
        <f t="shared" si="109"/>
        <v>4.7403297969396052E-3</v>
      </c>
      <c r="BK252" s="57">
        <f t="shared" si="110"/>
        <v>3.1500834722378296E-4</v>
      </c>
      <c r="BL252" s="58">
        <f t="shared" si="111"/>
        <v>8.3639028913499534</v>
      </c>
      <c r="BM252" s="58">
        <f t="shared" si="111"/>
        <v>0.55580504711831458</v>
      </c>
    </row>
    <row r="253" spans="47:65" x14ac:dyDescent="0.2">
      <c r="AU253" s="2">
        <v>-1384</v>
      </c>
      <c r="AV253" s="53">
        <v>251</v>
      </c>
      <c r="AW253" s="4" t="s">
        <v>2727</v>
      </c>
      <c r="AX253" t="s">
        <v>988</v>
      </c>
      <c r="AY253" s="4">
        <v>28480</v>
      </c>
      <c r="AZ253" s="9">
        <v>20.852700180509341</v>
      </c>
      <c r="BA253" s="7">
        <f t="shared" si="106"/>
        <v>5.3446354738222559E-4</v>
      </c>
      <c r="BB253" s="54">
        <f t="shared" si="100"/>
        <v>60.725629329102347</v>
      </c>
      <c r="BC253" s="55">
        <f t="shared" si="101"/>
        <v>16.23780212719717</v>
      </c>
      <c r="BD253" s="55">
        <f t="shared" si="102"/>
        <v>4.029615630205587</v>
      </c>
      <c r="BE253" s="55">
        <f t="shared" si="103"/>
        <v>3.9489507533713106</v>
      </c>
      <c r="BF253" s="56">
        <f t="shared" si="104"/>
        <v>3.1690839715309102E-2</v>
      </c>
      <c r="BG253" s="56">
        <f t="shared" si="107"/>
        <v>4.4223253455702123E-6</v>
      </c>
      <c r="BH253" s="56">
        <f t="shared" si="108"/>
        <v>2.1029325584930709E-3</v>
      </c>
      <c r="BI253" s="56">
        <f t="shared" si="105"/>
        <v>2.0608360382815441E-3</v>
      </c>
      <c r="BJ253" s="57">
        <f t="shared" si="109"/>
        <v>2.8718457118983884E-3</v>
      </c>
      <c r="BK253" s="57">
        <f t="shared" si="110"/>
        <v>1.905691961706647E-4</v>
      </c>
      <c r="BL253" s="58">
        <f t="shared" si="111"/>
        <v>5.0671239517481022</v>
      </c>
      <c r="BM253" s="58">
        <f t="shared" si="111"/>
        <v>0.33624290273708274</v>
      </c>
    </row>
    <row r="254" spans="47:65" x14ac:dyDescent="0.2">
      <c r="AU254" s="2">
        <v>-1383</v>
      </c>
      <c r="AV254" s="53">
        <v>252</v>
      </c>
      <c r="AW254" s="4" t="s">
        <v>2436</v>
      </c>
      <c r="AX254" t="s">
        <v>1331</v>
      </c>
      <c r="AY254" s="4">
        <v>49856</v>
      </c>
      <c r="AZ254" s="9">
        <v>20.869892004423345</v>
      </c>
      <c r="BA254" s="7">
        <f t="shared" si="106"/>
        <v>5.3490418111864872E-4</v>
      </c>
      <c r="BB254" s="54">
        <f t="shared" si="100"/>
        <v>61.408682261486973</v>
      </c>
      <c r="BC254" s="55">
        <f t="shared" si="101"/>
        <v>16.548858158929846</v>
      </c>
      <c r="BD254" s="55">
        <f t="shared" si="102"/>
        <v>4.0680287804942878</v>
      </c>
      <c r="BE254" s="55">
        <f t="shared" si="103"/>
        <v>3.9865949489205996</v>
      </c>
      <c r="BF254" s="56">
        <f t="shared" si="104"/>
        <v>3.2047304049008477E-2</v>
      </c>
      <c r="BG254" s="56">
        <f t="shared" si="107"/>
        <v>4.5070406883394514E-6</v>
      </c>
      <c r="BH254" s="56">
        <f t="shared" si="108"/>
        <v>2.1229792011085392E-3</v>
      </c>
      <c r="BI254" s="56">
        <f t="shared" si="105"/>
        <v>2.0804813870501761E-3</v>
      </c>
      <c r="BJ254" s="57">
        <f t="shared" si="109"/>
        <v>5.0838918658771513E-3</v>
      </c>
      <c r="BK254" s="57">
        <f t="shared" si="110"/>
        <v>3.3678329619979392E-4</v>
      </c>
      <c r="BL254" s="58">
        <f t="shared" si="111"/>
        <v>8.9700885165779862</v>
      </c>
      <c r="BM254" s="58">
        <f t="shared" si="111"/>
        <v>0.59422506566154676</v>
      </c>
    </row>
    <row r="255" spans="47:65" x14ac:dyDescent="0.2">
      <c r="AU255" s="2">
        <v>-1382</v>
      </c>
      <c r="AV255" s="53">
        <v>253</v>
      </c>
      <c r="AW255" s="4" t="s">
        <v>2140</v>
      </c>
      <c r="AX255" t="s">
        <v>540</v>
      </c>
      <c r="AY255" s="4">
        <v>39393</v>
      </c>
      <c r="AZ255" s="9">
        <v>20.878281964827366</v>
      </c>
      <c r="BA255" s="7">
        <f t="shared" si="106"/>
        <v>5.3511921936123179E-4</v>
      </c>
      <c r="BB255" s="54">
        <f t="shared" si="100"/>
        <v>61.744810580107881</v>
      </c>
      <c r="BC255" s="55">
        <f t="shared" si="101"/>
        <v>16.702780758610334</v>
      </c>
      <c r="BD255" s="55">
        <f t="shared" si="102"/>
        <v>4.0869035661011548</v>
      </c>
      <c r="BE255" s="55">
        <f t="shared" si="103"/>
        <v>4.0050918989232871</v>
      </c>
      <c r="BF255" s="56">
        <f t="shared" si="104"/>
        <v>3.2222719088537563E-2</v>
      </c>
      <c r="BG255" s="56">
        <f t="shared" si="107"/>
        <v>4.548961128586918E-6</v>
      </c>
      <c r="BH255" s="56">
        <f t="shared" si="108"/>
        <v>2.1328293716532782E-3</v>
      </c>
      <c r="BI255" s="56">
        <f t="shared" si="105"/>
        <v>2.0901343768048091E-3</v>
      </c>
      <c r="BJ255" s="57">
        <f t="shared" si="109"/>
        <v>4.038951269924128E-3</v>
      </c>
      <c r="BK255" s="57">
        <f t="shared" si="110"/>
        <v>2.6733913657320257E-4</v>
      </c>
      <c r="BL255" s="58">
        <f t="shared" si="111"/>
        <v>7.1263810012437361</v>
      </c>
      <c r="BM255" s="58">
        <f t="shared" si="111"/>
        <v>0.47169683822403824</v>
      </c>
    </row>
    <row r="256" spans="47:65" x14ac:dyDescent="0.2">
      <c r="AU256" s="2">
        <v>-1381</v>
      </c>
      <c r="AV256" s="53">
        <v>254</v>
      </c>
      <c r="AW256" s="4" t="s">
        <v>2467</v>
      </c>
      <c r="AX256" t="s">
        <v>786</v>
      </c>
      <c r="AY256" s="4">
        <v>70307</v>
      </c>
      <c r="AZ256" s="9">
        <v>20.878873149976233</v>
      </c>
      <c r="BA256" s="7">
        <f t="shared" si="106"/>
        <v>5.3513437168726575E-4</v>
      </c>
      <c r="BB256" s="54">
        <f t="shared" si="100"/>
        <v>61.768564601260763</v>
      </c>
      <c r="BC256" s="55">
        <f t="shared" si="101"/>
        <v>16.713679624246051</v>
      </c>
      <c r="BD256" s="55">
        <f t="shared" si="102"/>
        <v>4.0882367377936975</v>
      </c>
      <c r="BE256" s="55">
        <f t="shared" si="103"/>
        <v>4.0063983831745826</v>
      </c>
      <c r="BF256" s="56">
        <f t="shared" si="104"/>
        <v>3.2235115582164145E-2</v>
      </c>
      <c r="BG256" s="56">
        <f t="shared" si="107"/>
        <v>4.5519294077518214E-6</v>
      </c>
      <c r="BH256" s="56">
        <f t="shared" si="108"/>
        <v>2.1335251129883195E-3</v>
      </c>
      <c r="BI256" s="56">
        <f t="shared" si="105"/>
        <v>2.0908161907844274E-3</v>
      </c>
      <c r="BJ256" s="57">
        <f t="shared" si="109"/>
        <v>7.2113266953519875E-3</v>
      </c>
      <c r="BK256" s="57">
        <f t="shared" si="110"/>
        <v>4.7729149794050797E-4</v>
      </c>
      <c r="BL256" s="58">
        <f t="shared" si="111"/>
        <v>12.723763700294297</v>
      </c>
      <c r="BM256" s="58">
        <f t="shared" si="111"/>
        <v>0.84213966340878743</v>
      </c>
    </row>
    <row r="257" spans="47:65" x14ac:dyDescent="0.2">
      <c r="AU257" s="2">
        <v>-1380</v>
      </c>
      <c r="AV257" s="53">
        <v>255</v>
      </c>
      <c r="AW257" s="4" t="s">
        <v>2800</v>
      </c>
      <c r="AX257" t="s">
        <v>1042</v>
      </c>
      <c r="AY257" s="4">
        <v>76655</v>
      </c>
      <c r="AZ257" s="9">
        <v>20.903305236060412</v>
      </c>
      <c r="BA257" s="7">
        <f t="shared" si="106"/>
        <v>5.3576057641305491E-4</v>
      </c>
      <c r="BB257" s="54">
        <f t="shared" si="100"/>
        <v>62.75828915545776</v>
      </c>
      <c r="BC257" s="55">
        <f t="shared" si="101"/>
        <v>17.170270706848154</v>
      </c>
      <c r="BD257" s="55">
        <f t="shared" si="102"/>
        <v>4.1437025359994353</v>
      </c>
      <c r="BE257" s="55">
        <f t="shared" si="103"/>
        <v>4.0607538666030889</v>
      </c>
      <c r="BF257" s="56">
        <f t="shared" si="104"/>
        <v>3.275162241059696E-2</v>
      </c>
      <c r="BG257" s="56">
        <f t="shared" si="107"/>
        <v>4.6762808625447132E-6</v>
      </c>
      <c r="BH257" s="56">
        <f t="shared" si="108"/>
        <v>2.1624710084865214E-3</v>
      </c>
      <c r="BI257" s="56">
        <f t="shared" si="105"/>
        <v>2.1191826471227953E-3</v>
      </c>
      <c r="BJ257" s="57">
        <f t="shared" si="109"/>
        <v>7.9884161048038062E-3</v>
      </c>
      <c r="BK257" s="57">
        <f t="shared" si="110"/>
        <v>5.2744618308666529E-4</v>
      </c>
      <c r="BL257" s="58">
        <f t="shared" si="111"/>
        <v>14.094870909490504</v>
      </c>
      <c r="BM257" s="58">
        <f t="shared" si="111"/>
        <v>0.93063327758295666</v>
      </c>
    </row>
    <row r="258" spans="47:65" x14ac:dyDescent="0.2">
      <c r="AU258" s="2">
        <v>-1379</v>
      </c>
      <c r="AV258" s="53">
        <v>256</v>
      </c>
      <c r="AW258" s="4" t="s">
        <v>2613</v>
      </c>
      <c r="AX258" t="s">
        <v>907</v>
      </c>
      <c r="AY258" s="4">
        <v>22971</v>
      </c>
      <c r="AZ258" s="9">
        <v>20.918768144317138</v>
      </c>
      <c r="BA258" s="7">
        <f t="shared" si="106"/>
        <v>5.3615689730810421E-4</v>
      </c>
      <c r="BB258" s="54">
        <f t="shared" si="100"/>
        <v>63.392858519423122</v>
      </c>
      <c r="BC258" s="55">
        <f t="shared" si="101"/>
        <v>17.465560431612136</v>
      </c>
      <c r="BD258" s="55">
        <f t="shared" si="102"/>
        <v>4.179181789730154</v>
      </c>
      <c r="BE258" s="55">
        <f t="shared" si="103"/>
        <v>4.0955228963583723</v>
      </c>
      <c r="BF258" s="56">
        <f t="shared" si="104"/>
        <v>3.3082784659944547E-2</v>
      </c>
      <c r="BG258" s="56">
        <f t="shared" si="107"/>
        <v>4.7567022905112422E-6</v>
      </c>
      <c r="BH258" s="56">
        <f t="shared" si="108"/>
        <v>2.1809865406533903E-3</v>
      </c>
      <c r="BI258" s="56">
        <f t="shared" si="105"/>
        <v>2.1373275352236233E-3</v>
      </c>
      <c r="BJ258" s="57">
        <f t="shared" si="109"/>
        <v>2.4180725781929036E-3</v>
      </c>
      <c r="BK258" s="57">
        <f t="shared" si="110"/>
        <v>1.594117243022494E-4</v>
      </c>
      <c r="BL258" s="58">
        <f t="shared" si="111"/>
        <v>4.2664804126706066</v>
      </c>
      <c r="BM258" s="58">
        <f t="shared" si="111"/>
        <v>0.28126823215284663</v>
      </c>
    </row>
    <row r="259" spans="47:65" x14ac:dyDescent="0.2">
      <c r="AU259" s="2">
        <v>-1378</v>
      </c>
      <c r="AV259" s="53">
        <v>257</v>
      </c>
      <c r="AW259" s="4" t="s">
        <v>1944</v>
      </c>
      <c r="AX259" t="s">
        <v>1945</v>
      </c>
      <c r="AY259" s="4">
        <v>34443</v>
      </c>
      <c r="AZ259" s="9">
        <v>20.929499223046204</v>
      </c>
      <c r="BA259" s="7">
        <f t="shared" si="106"/>
        <v>5.3643193940601617E-4</v>
      </c>
      <c r="BB259" s="54">
        <f t="shared" ref="BB259:BB322" si="112">IFERROR(IF(MATCH(AX259,$S$4:$S$20,0),VLOOKUP(AX259,$S$4:$AT$20,20,FALSE)),AVERAGE((2^(($AE$23*AZ259)+$AE$24)),(2^(($AF$23*AZ259)+$AF$24)),(2^(($AG$23*AZ259)+$AG$24)),(2^(($AH$23*AZ259)+$AH$24))))</f>
        <v>63.837010265754728</v>
      </c>
      <c r="BC259" s="55">
        <f t="shared" ref="BC259:BC322" si="113">IFERROR(IF(MATCH(AX259,$S$4:$S$20,0),VLOOKUP(AX259,$S$4:$AT$20,21,FALSE)),_xlfn.VAR.S((2^(($AE$23*AZ259)+$AE$24)),(2^(($AF$23*AZ259)+$AF$24)),(2^(($AG$23*AZ259)+$AG$24)),(2^(($AH$23*AZ259)+$AH$24))))</f>
        <v>17.67341808372101</v>
      </c>
      <c r="BD259" s="55">
        <f t="shared" ref="BD259:BD322" si="114">SQRT(BC259)</f>
        <v>4.203976460890452</v>
      </c>
      <c r="BE259" s="55">
        <f t="shared" ref="BE259:BE322" si="115">_xlfn.CONFIDENCE.NORM(0.05,BD259,4)</f>
        <v>4.1198212275997212</v>
      </c>
      <c r="BF259" s="56">
        <f t="shared" ref="BF259:BF322" si="116">IFERROR(IF(MATCH(AX259,$S$4:$S$20,0),VLOOKUP(AX259,$S$4:$AT$20,24,FALSE)),AVERAGE((2^(($AI$23*AZ259)+$AI$24)),(2^(($AJ$23*AZ259)+$AJ$24)),(2^(($AK$23*AZ259)+$AK$24)),(2^(($AL$23*AZ259)+$AL$24))))</f>
        <v>3.3314573806599371E-2</v>
      </c>
      <c r="BG259" s="56">
        <f t="shared" si="107"/>
        <v>4.8133118092127968E-6</v>
      </c>
      <c r="BH259" s="56">
        <f t="shared" si="108"/>
        <v>2.1939261175374153E-3</v>
      </c>
      <c r="BI259" s="56">
        <f t="shared" ref="BI259:BI322" si="117">_xlfn.CONFIDENCE.NORM(0.05,BH259,4)</f>
        <v>2.1500080875575612E-3</v>
      </c>
      <c r="BJ259" s="57">
        <f t="shared" si="109"/>
        <v>3.6510905633149408E-3</v>
      </c>
      <c r="BK259" s="57">
        <f t="shared" si="110"/>
        <v>2.4044200567753551E-4</v>
      </c>
      <c r="BL259" s="58">
        <f t="shared" si="111"/>
        <v>6.4420342523015011</v>
      </c>
      <c r="BM259" s="58">
        <f t="shared" si="111"/>
        <v>0.42423917166832148</v>
      </c>
    </row>
    <row r="260" spans="47:65" x14ac:dyDescent="0.2">
      <c r="AU260" s="2">
        <v>-1377</v>
      </c>
      <c r="AV260" s="53">
        <v>258</v>
      </c>
      <c r="AW260" s="4" t="s">
        <v>2106</v>
      </c>
      <c r="AX260" t="s">
        <v>512</v>
      </c>
      <c r="AY260" s="4">
        <v>21782</v>
      </c>
      <c r="AZ260" s="9">
        <v>20.931770532492809</v>
      </c>
      <c r="BA260" s="7">
        <f t="shared" ref="BA260:BA323" si="118">AZ260/$AZ$1637</f>
        <v>5.3649015403019076E-4</v>
      </c>
      <c r="BB260" s="54">
        <f t="shared" si="112"/>
        <v>63.931416484134402</v>
      </c>
      <c r="BC260" s="55">
        <f t="shared" si="113"/>
        <v>17.717723594065696</v>
      </c>
      <c r="BD260" s="55">
        <f t="shared" si="114"/>
        <v>4.2092426390106921</v>
      </c>
      <c r="BE260" s="55">
        <f t="shared" si="115"/>
        <v>4.1249819873256435</v>
      </c>
      <c r="BF260" s="56">
        <f t="shared" si="116"/>
        <v>3.3363841510661948E-2</v>
      </c>
      <c r="BG260" s="56">
        <f t="shared" ref="BG260:BG323" si="119">IFERROR(IF(MATCH(AX260,$S$4:$S$20,0),VLOOKUP(AX260,$S$4:$AT$20,25,FALSE)),_xlfn.VAR.S((2^(($AI$23*AZ260)+$AI$24)),(2^(($AJ$23*AZ260)+$AJ$24)),(2^(($AK$23*AZ260)+$AK$24)),(2^(($AL$23*AZ260)+$AL$24))))</f>
        <v>4.8253783056396013E-6</v>
      </c>
      <c r="BH260" s="56">
        <f t="shared" ref="BH260:BH323" si="120">SQRT(BG260)</f>
        <v>2.1966743740572023E-3</v>
      </c>
      <c r="BI260" s="56">
        <f t="shared" si="117"/>
        <v>2.1527013294570913E-3</v>
      </c>
      <c r="BJ260" s="57">
        <f t="shared" ref="BJ260:BJ323" si="121">(((BF260*0.000001)*AY260)*1000000000000000)*$S$24</f>
        <v>2.312390493854637E-3</v>
      </c>
      <c r="BK260" s="57">
        <f t="shared" ref="BK260:BK323" si="122">((((BH260*0.000001)*AY260)*1000000000000000)*$S$24)</f>
        <v>1.5224772420288296E-4</v>
      </c>
      <c r="BL260" s="58">
        <f t="shared" ref="BL260:BM323" si="123">((BJ260/$S$26)*0.000000001)/0.45</f>
        <v>4.0800134939909443</v>
      </c>
      <c r="BM260" s="58">
        <f t="shared" si="123"/>
        <v>0.26862797214743384</v>
      </c>
    </row>
    <row r="261" spans="47:65" x14ac:dyDescent="0.2">
      <c r="AU261" s="2">
        <v>-1376</v>
      </c>
      <c r="AV261" s="53">
        <v>259</v>
      </c>
      <c r="AW261" s="4" t="s">
        <v>1583</v>
      </c>
      <c r="AX261" t="s">
        <v>154</v>
      </c>
      <c r="AY261" s="4">
        <v>54008</v>
      </c>
      <c r="AZ261" s="9">
        <v>20.948207511437964</v>
      </c>
      <c r="BA261" s="7">
        <f t="shared" si="118"/>
        <v>5.3691144077000041E-4</v>
      </c>
      <c r="BB261" s="54">
        <f t="shared" si="112"/>
        <v>64.61878822222144</v>
      </c>
      <c r="BC261" s="55">
        <f t="shared" si="113"/>
        <v>18.041624815213801</v>
      </c>
      <c r="BD261" s="55">
        <f t="shared" si="114"/>
        <v>4.2475433859130618</v>
      </c>
      <c r="BE261" s="55">
        <f t="shared" si="115"/>
        <v>4.1625160295804573</v>
      </c>
      <c r="BF261" s="56">
        <f t="shared" si="116"/>
        <v>3.372255969633102E-2</v>
      </c>
      <c r="BG261" s="56">
        <f t="shared" si="119"/>
        <v>4.9135920040530455E-6</v>
      </c>
      <c r="BH261" s="56">
        <f t="shared" si="120"/>
        <v>2.2166623567997554E-3</v>
      </c>
      <c r="BI261" s="56">
        <f t="shared" si="117"/>
        <v>2.1722891926065973E-3</v>
      </c>
      <c r="BJ261" s="57">
        <f t="shared" si="121"/>
        <v>5.7951675827734436E-3</v>
      </c>
      <c r="BK261" s="57">
        <f t="shared" si="122"/>
        <v>3.8092985668219449E-4</v>
      </c>
      <c r="BL261" s="58">
        <f t="shared" si="123"/>
        <v>10.225073144216482</v>
      </c>
      <c r="BM261" s="58">
        <f t="shared" si="123"/>
        <v>0.67211786229782489</v>
      </c>
    </row>
    <row r="262" spans="47:65" x14ac:dyDescent="0.2">
      <c r="AU262" s="2">
        <v>-1375</v>
      </c>
      <c r="AV262" s="53">
        <v>260</v>
      </c>
      <c r="AW262" s="4" t="s">
        <v>2277</v>
      </c>
      <c r="AX262" t="s">
        <v>2278</v>
      </c>
      <c r="AY262" s="4">
        <v>19737</v>
      </c>
      <c r="AZ262" s="9">
        <v>20.95430329812136</v>
      </c>
      <c r="BA262" s="7">
        <f t="shared" si="118"/>
        <v>5.3706767836737108E-4</v>
      </c>
      <c r="BB262" s="54">
        <f t="shared" si="112"/>
        <v>64.875580151184394</v>
      </c>
      <c r="BC262" s="55">
        <f t="shared" si="113"/>
        <v>18.163220491591929</v>
      </c>
      <c r="BD262" s="55">
        <f t="shared" si="114"/>
        <v>4.2618329966801758</v>
      </c>
      <c r="BE262" s="55">
        <f t="shared" si="115"/>
        <v>4.1765195908087769</v>
      </c>
      <c r="BF262" s="56">
        <f t="shared" si="116"/>
        <v>3.3856571512278555E-2</v>
      </c>
      <c r="BG262" s="56">
        <f t="shared" si="119"/>
        <v>4.9467082864998479E-6</v>
      </c>
      <c r="BH262" s="56">
        <f t="shared" si="120"/>
        <v>2.2241196655080966E-3</v>
      </c>
      <c r="BI262" s="56">
        <f t="shared" si="117"/>
        <v>2.1795972208515702E-3</v>
      </c>
      <c r="BJ262" s="57">
        <f t="shared" si="121"/>
        <v>2.1262361143132443E-3</v>
      </c>
      <c r="BK262" s="57">
        <f t="shared" si="122"/>
        <v>1.3967756757776167E-4</v>
      </c>
      <c r="BL262" s="58">
        <f t="shared" si="123"/>
        <v>3.7515601542488639</v>
      </c>
      <c r="BM262" s="58">
        <f t="shared" si="123"/>
        <v>0.24644901544078232</v>
      </c>
    </row>
    <row r="263" spans="47:65" x14ac:dyDescent="0.2">
      <c r="AU263" s="2">
        <v>-1374</v>
      </c>
      <c r="AV263" s="53">
        <v>261</v>
      </c>
      <c r="AW263" s="4" t="s">
        <v>3072</v>
      </c>
      <c r="AX263" t="s">
        <v>1226</v>
      </c>
      <c r="AY263" s="4">
        <v>49094</v>
      </c>
      <c r="AZ263" s="9">
        <v>20.969583259510891</v>
      </c>
      <c r="BA263" s="7">
        <f t="shared" si="118"/>
        <v>5.3745931025664286E-4</v>
      </c>
      <c r="BB263" s="54">
        <f t="shared" si="112"/>
        <v>65.52376013306025</v>
      </c>
      <c r="BC263" s="55">
        <f t="shared" si="113"/>
        <v>18.471570410640446</v>
      </c>
      <c r="BD263" s="55">
        <f t="shared" si="114"/>
        <v>4.2978564902332934</v>
      </c>
      <c r="BE263" s="55">
        <f t="shared" si="115"/>
        <v>4.211821965789488</v>
      </c>
      <c r="BF263" s="56">
        <f t="shared" si="116"/>
        <v>3.4194836724829536E-2</v>
      </c>
      <c r="BG263" s="56">
        <f t="shared" si="119"/>
        <v>5.0306866261561153E-6</v>
      </c>
      <c r="BH263" s="56">
        <f t="shared" si="120"/>
        <v>2.2429192197125861E-3</v>
      </c>
      <c r="BI263" s="56">
        <f t="shared" si="117"/>
        <v>2.1980204454346741E-3</v>
      </c>
      <c r="BJ263" s="57">
        <f t="shared" si="121"/>
        <v>5.3416610252162476E-3</v>
      </c>
      <c r="BK263" s="57">
        <f t="shared" si="122"/>
        <v>3.5037202473166317E-4</v>
      </c>
      <c r="BL263" s="58">
        <f t="shared" si="123"/>
        <v>9.4248999557502184</v>
      </c>
      <c r="BM263" s="58">
        <f t="shared" si="123"/>
        <v>0.61820120460674166</v>
      </c>
    </row>
    <row r="264" spans="47:65" x14ac:dyDescent="0.2">
      <c r="AU264" s="2">
        <v>-1373</v>
      </c>
      <c r="AV264" s="53">
        <v>262</v>
      </c>
      <c r="AW264" s="4" t="s">
        <v>1592</v>
      </c>
      <c r="AX264" t="s">
        <v>1282</v>
      </c>
      <c r="AY264" s="4">
        <v>64848</v>
      </c>
      <c r="AZ264" s="9">
        <v>20.969723770350146</v>
      </c>
      <c r="BA264" s="7">
        <f t="shared" si="118"/>
        <v>5.3746291160903104E-4</v>
      </c>
      <c r="BB264" s="54">
        <f t="shared" si="112"/>
        <v>65.529750593480387</v>
      </c>
      <c r="BC264" s="55">
        <f t="shared" si="113"/>
        <v>18.474429671786357</v>
      </c>
      <c r="BD264" s="55">
        <f t="shared" si="114"/>
        <v>4.29818911540504</v>
      </c>
      <c r="BE264" s="55">
        <f t="shared" si="115"/>
        <v>4.2121479324679756</v>
      </c>
      <c r="BF264" s="56">
        <f t="shared" si="116"/>
        <v>3.4197962962022807E-2</v>
      </c>
      <c r="BG264" s="56">
        <f t="shared" si="119"/>
        <v>5.0314653388747117E-6</v>
      </c>
      <c r="BH264" s="56">
        <f t="shared" si="120"/>
        <v>2.2430928065674659E-3</v>
      </c>
      <c r="BI264" s="56">
        <f t="shared" si="117"/>
        <v>2.1981905574265511E-3</v>
      </c>
      <c r="BJ264" s="57">
        <f t="shared" si="121"/>
        <v>7.0564163270410594E-3</v>
      </c>
      <c r="BK264" s="57">
        <f t="shared" si="122"/>
        <v>4.6284033703727901E-4</v>
      </c>
      <c r="BL264" s="58">
        <f t="shared" si="123"/>
        <v>12.450437722373449</v>
      </c>
      <c r="BM264" s="58">
        <f t="shared" si="123"/>
        <v>0.81664183696221537</v>
      </c>
    </row>
    <row r="265" spans="47:65" x14ac:dyDescent="0.2">
      <c r="AU265" s="2">
        <v>-1372</v>
      </c>
      <c r="AV265" s="53">
        <v>263</v>
      </c>
      <c r="AW265" s="4" t="s">
        <v>1904</v>
      </c>
      <c r="AX265" t="s">
        <v>1299</v>
      </c>
      <c r="AY265" s="4">
        <v>90133</v>
      </c>
      <c r="AZ265" s="9">
        <v>20.972858285332347</v>
      </c>
      <c r="BA265" s="7">
        <f t="shared" si="118"/>
        <v>5.3754325055709084E-4</v>
      </c>
      <c r="BB265" s="54">
        <f t="shared" si="112"/>
        <v>65.66352823622762</v>
      </c>
      <c r="BC265" s="55">
        <f t="shared" si="113"/>
        <v>18.538327314076639</v>
      </c>
      <c r="BD265" s="55">
        <f t="shared" si="114"/>
        <v>4.3056157880234318</v>
      </c>
      <c r="BE265" s="55">
        <f t="shared" si="115"/>
        <v>4.2194259378964842</v>
      </c>
      <c r="BF265" s="56">
        <f t="shared" si="116"/>
        <v>3.426777740249274E-2</v>
      </c>
      <c r="BG265" s="56">
        <f t="shared" si="119"/>
        <v>5.0488677040968648E-6</v>
      </c>
      <c r="BH265" s="56">
        <f t="shared" si="120"/>
        <v>2.246968558769095E-3</v>
      </c>
      <c r="BI265" s="56">
        <f t="shared" si="117"/>
        <v>2.2019887247906487E-3</v>
      </c>
      <c r="BJ265" s="57">
        <f t="shared" si="121"/>
        <v>9.8278186895196813E-3</v>
      </c>
      <c r="BK265" s="57">
        <f t="shared" si="122"/>
        <v>6.4441878845132355E-4</v>
      </c>
      <c r="BL265" s="58">
        <f t="shared" si="123"/>
        <v>17.340338051163666</v>
      </c>
      <c r="BM265" s="58">
        <f t="shared" si="123"/>
        <v>1.137021346372987</v>
      </c>
    </row>
    <row r="266" spans="47:65" x14ac:dyDescent="0.2">
      <c r="AU266" s="2">
        <v>-1371</v>
      </c>
      <c r="AV266" s="53">
        <v>264</v>
      </c>
      <c r="AW266" s="4" t="s">
        <v>1980</v>
      </c>
      <c r="AX266" t="s">
        <v>1981</v>
      </c>
      <c r="AY266" s="4">
        <v>35888</v>
      </c>
      <c r="AZ266" s="9">
        <v>20.985643698057693</v>
      </c>
      <c r="BA266" s="7">
        <f t="shared" si="118"/>
        <v>5.3787094610638581E-4</v>
      </c>
      <c r="BB266" s="54">
        <f t="shared" si="112"/>
        <v>66.212030590053516</v>
      </c>
      <c r="BC266" s="55">
        <f t="shared" si="113"/>
        <v>18.801218719265751</v>
      </c>
      <c r="BD266" s="55">
        <f t="shared" si="114"/>
        <v>4.3360372137777778</v>
      </c>
      <c r="BE266" s="55">
        <f t="shared" si="115"/>
        <v>4.2492383873149224</v>
      </c>
      <c r="BF266" s="56">
        <f t="shared" si="116"/>
        <v>3.4554023924276152E-2</v>
      </c>
      <c r="BG266" s="56">
        <f t="shared" si="119"/>
        <v>5.1204655296641968E-6</v>
      </c>
      <c r="BH266" s="56">
        <f t="shared" si="120"/>
        <v>2.2628445659532599E-3</v>
      </c>
      <c r="BI266" s="56">
        <f t="shared" si="117"/>
        <v>2.2175469259402797E-3</v>
      </c>
      <c r="BJ266" s="57">
        <f t="shared" si="121"/>
        <v>3.9458017218990246E-3</v>
      </c>
      <c r="BK266" s="57">
        <f t="shared" si="122"/>
        <v>2.5839931130149172E-4</v>
      </c>
      <c r="BL266" s="58">
        <f t="shared" si="123"/>
        <v>6.9620266614764699</v>
      </c>
      <c r="BM266" s="58">
        <f t="shared" si="123"/>
        <v>0.45592328793509013</v>
      </c>
    </row>
    <row r="267" spans="47:65" x14ac:dyDescent="0.2">
      <c r="AU267" s="2">
        <v>-1370</v>
      </c>
      <c r="AV267" s="53">
        <v>265</v>
      </c>
      <c r="AW267" s="4" t="s">
        <v>1769</v>
      </c>
      <c r="AX267" t="s">
        <v>267</v>
      </c>
      <c r="AY267" s="4">
        <v>35895</v>
      </c>
      <c r="AZ267" s="9">
        <v>21.007922430080171</v>
      </c>
      <c r="BA267" s="7">
        <f t="shared" si="118"/>
        <v>5.3844195945452968E-4</v>
      </c>
      <c r="BB267" s="54">
        <f t="shared" si="112"/>
        <v>67.17877371390442</v>
      </c>
      <c r="BC267" s="55">
        <f t="shared" si="113"/>
        <v>19.26809611098852</v>
      </c>
      <c r="BD267" s="55">
        <f t="shared" si="114"/>
        <v>4.3895439525067426</v>
      </c>
      <c r="BE267" s="55">
        <f t="shared" si="115"/>
        <v>4.3016740277344052</v>
      </c>
      <c r="BF267" s="56">
        <f t="shared" si="116"/>
        <v>3.5058537450481077E-2</v>
      </c>
      <c r="BG267" s="56">
        <f t="shared" si="119"/>
        <v>5.2476184353664023E-6</v>
      </c>
      <c r="BH267" s="56">
        <f t="shared" si="120"/>
        <v>2.2907680885166882E-3</v>
      </c>
      <c r="BI267" s="56">
        <f t="shared" si="117"/>
        <v>2.2449114752131853E-3</v>
      </c>
      <c r="BJ267" s="57">
        <f t="shared" si="121"/>
        <v>4.0041941272123665E-3</v>
      </c>
      <c r="BK267" s="57">
        <f t="shared" si="122"/>
        <v>2.616389842217492E-4</v>
      </c>
      <c r="BL267" s="58">
        <f t="shared" si="123"/>
        <v>7.0650550220661588</v>
      </c>
      <c r="BM267" s="58">
        <f t="shared" si="123"/>
        <v>0.46163941125677621</v>
      </c>
    </row>
    <row r="268" spans="47:65" x14ac:dyDescent="0.2">
      <c r="AU268" s="2">
        <v>-1369</v>
      </c>
      <c r="AV268" s="53">
        <v>266</v>
      </c>
      <c r="AW268" s="4" t="s">
        <v>2159</v>
      </c>
      <c r="AX268" t="s">
        <v>2160</v>
      </c>
      <c r="AY268" s="4">
        <v>12329</v>
      </c>
      <c r="AZ268" s="9">
        <v>21.012271706973699</v>
      </c>
      <c r="BA268" s="7">
        <f t="shared" si="118"/>
        <v>5.3855343326544814E-4</v>
      </c>
      <c r="BB268" s="54">
        <f t="shared" si="112"/>
        <v>67.369142781773988</v>
      </c>
      <c r="BC268" s="55">
        <f t="shared" si="113"/>
        <v>19.360561197415624</v>
      </c>
      <c r="BD268" s="55">
        <f t="shared" si="114"/>
        <v>4.4000637719714497</v>
      </c>
      <c r="BE268" s="55">
        <f t="shared" si="115"/>
        <v>4.3119832613717506</v>
      </c>
      <c r="BF268" s="56">
        <f t="shared" si="116"/>
        <v>3.5157885216543928E-2</v>
      </c>
      <c r="BG268" s="56">
        <f t="shared" si="119"/>
        <v>5.2728010735142707E-6</v>
      </c>
      <c r="BH268" s="56">
        <f t="shared" si="120"/>
        <v>2.2962580589982197E-3</v>
      </c>
      <c r="BI268" s="56">
        <f t="shared" si="117"/>
        <v>2.2502915474231803E-3</v>
      </c>
      <c r="BJ268" s="57">
        <f t="shared" si="121"/>
        <v>1.3792340447378632E-3</v>
      </c>
      <c r="BK268" s="57">
        <f t="shared" si="122"/>
        <v>9.0081564092021283E-5</v>
      </c>
      <c r="BL268" s="58">
        <f t="shared" si="123"/>
        <v>2.4335394600769962</v>
      </c>
      <c r="BM268" s="58">
        <f t="shared" si="123"/>
        <v>0.15894114684868668</v>
      </c>
    </row>
    <row r="269" spans="47:65" x14ac:dyDescent="0.2">
      <c r="AU269" s="2">
        <v>-1368</v>
      </c>
      <c r="AV269" s="53">
        <v>267</v>
      </c>
      <c r="AW269" s="4" t="s">
        <v>2650</v>
      </c>
      <c r="AX269" t="s">
        <v>2651</v>
      </c>
      <c r="AY269" s="4">
        <v>48955</v>
      </c>
      <c r="AZ269" s="9">
        <v>21.018053441126781</v>
      </c>
      <c r="BA269" s="7">
        <f t="shared" si="118"/>
        <v>5.3870162156330543E-4</v>
      </c>
      <c r="BB269" s="54">
        <f t="shared" si="112"/>
        <v>67.623046465243561</v>
      </c>
      <c r="BC269" s="55">
        <f t="shared" si="113"/>
        <v>19.484155853670458</v>
      </c>
      <c r="BD269" s="55">
        <f t="shared" si="114"/>
        <v>4.4140860722997299</v>
      </c>
      <c r="BE269" s="55">
        <f t="shared" si="115"/>
        <v>4.3257248631836669</v>
      </c>
      <c r="BF269" s="56">
        <f t="shared" si="116"/>
        <v>3.5290389745930545E-2</v>
      </c>
      <c r="BG269" s="56">
        <f t="shared" si="119"/>
        <v>5.3064617731983405E-6</v>
      </c>
      <c r="BH269" s="56">
        <f t="shared" si="120"/>
        <v>2.3035758666035597E-3</v>
      </c>
      <c r="BI269" s="56">
        <f t="shared" si="117"/>
        <v>2.2574628670993099E-3</v>
      </c>
      <c r="BJ269" s="57">
        <f t="shared" si="121"/>
        <v>5.49719169586004E-3</v>
      </c>
      <c r="BK269" s="57">
        <f t="shared" si="122"/>
        <v>3.5882851438717598E-4</v>
      </c>
      <c r="BL269" s="58">
        <f t="shared" si="123"/>
        <v>9.6993204036125267</v>
      </c>
      <c r="BM269" s="58">
        <f t="shared" si="123"/>
        <v>0.63312195090715251</v>
      </c>
    </row>
    <row r="270" spans="47:65" x14ac:dyDescent="0.2">
      <c r="AU270" s="2">
        <v>-1367</v>
      </c>
      <c r="AV270" s="53">
        <v>268</v>
      </c>
      <c r="AW270" s="4" t="s">
        <v>2712</v>
      </c>
      <c r="AX270" t="s">
        <v>1344</v>
      </c>
      <c r="AY270" s="4">
        <v>65175</v>
      </c>
      <c r="AZ270" s="9">
        <v>21.030975997616025</v>
      </c>
      <c r="BA270" s="7">
        <f t="shared" si="118"/>
        <v>5.3903283216541931E-4</v>
      </c>
      <c r="BB270" s="54">
        <f t="shared" si="112"/>
        <v>68.194003121474935</v>
      </c>
      <c r="BC270" s="55">
        <f t="shared" si="113"/>
        <v>19.763209139046221</v>
      </c>
      <c r="BD270" s="55">
        <f t="shared" si="114"/>
        <v>4.4455831045034149</v>
      </c>
      <c r="BE270" s="55">
        <f t="shared" si="115"/>
        <v>4.3565913875532276</v>
      </c>
      <c r="BF270" s="56">
        <f t="shared" si="116"/>
        <v>3.5588354478069552E-2</v>
      </c>
      <c r="BG270" s="56">
        <f t="shared" si="119"/>
        <v>5.3824612469580815E-6</v>
      </c>
      <c r="BH270" s="56">
        <f t="shared" si="120"/>
        <v>2.3200131997378982E-3</v>
      </c>
      <c r="BI270" s="56">
        <f t="shared" si="117"/>
        <v>2.273571157571905E-3</v>
      </c>
      <c r="BJ270" s="57">
        <f t="shared" si="121"/>
        <v>7.3803391535483959E-3</v>
      </c>
      <c r="BK270" s="57">
        <f t="shared" si="122"/>
        <v>4.8112604546877877E-4</v>
      </c>
      <c r="BL270" s="58">
        <f t="shared" si="123"/>
        <v>13.021971598971671</v>
      </c>
      <c r="BM270" s="58">
        <f t="shared" si="123"/>
        <v>0.84890539164555034</v>
      </c>
    </row>
    <row r="271" spans="47:65" x14ac:dyDescent="0.2">
      <c r="AU271" s="2">
        <v>-1366</v>
      </c>
      <c r="AV271" s="53">
        <v>269</v>
      </c>
      <c r="AW271" s="4" t="s">
        <v>1864</v>
      </c>
      <c r="AX271" t="s">
        <v>339</v>
      </c>
      <c r="AY271" s="4">
        <v>88103</v>
      </c>
      <c r="AZ271" s="9">
        <v>21.037693509554913</v>
      </c>
      <c r="BA271" s="7">
        <f t="shared" si="118"/>
        <v>5.3920500484470608E-4</v>
      </c>
      <c r="BB271" s="54">
        <f t="shared" si="112"/>
        <v>68.492704502127594</v>
      </c>
      <c r="BC271" s="55">
        <f t="shared" si="113"/>
        <v>19.909817191372642</v>
      </c>
      <c r="BD271" s="55">
        <f t="shared" si="114"/>
        <v>4.4620418186490189</v>
      </c>
      <c r="BE271" s="55">
        <f t="shared" si="115"/>
        <v>4.3727206310318394</v>
      </c>
      <c r="BF271" s="56">
        <f t="shared" si="116"/>
        <v>3.5744237548884755E-2</v>
      </c>
      <c r="BG271" s="56">
        <f t="shared" si="119"/>
        <v>5.4223895882808142E-6</v>
      </c>
      <c r="BH271" s="56">
        <f t="shared" si="120"/>
        <v>2.3286024968381387E-3</v>
      </c>
      <c r="BI271" s="56">
        <f t="shared" si="117"/>
        <v>2.2819885140563981E-3</v>
      </c>
      <c r="BJ271" s="57">
        <f t="shared" si="121"/>
        <v>1.0020378043553792E-2</v>
      </c>
      <c r="BK271" s="57">
        <f t="shared" si="122"/>
        <v>6.5278990213653168E-4</v>
      </c>
      <c r="BL271" s="58">
        <f t="shared" si="123"/>
        <v>17.680092415723312</v>
      </c>
      <c r="BM271" s="58">
        <f t="shared" si="123"/>
        <v>1.1517914541407492</v>
      </c>
    </row>
    <row r="272" spans="47:65" x14ac:dyDescent="0.2">
      <c r="AU272" s="2">
        <v>-1365</v>
      </c>
      <c r="AV272" s="53">
        <v>270</v>
      </c>
      <c r="AW272" s="4" t="s">
        <v>2544</v>
      </c>
      <c r="AX272" t="s">
        <v>2545</v>
      </c>
      <c r="AY272" s="4">
        <v>26119</v>
      </c>
      <c r="AZ272" s="9">
        <v>21.077724126697831</v>
      </c>
      <c r="BA272" s="7">
        <f t="shared" si="118"/>
        <v>5.4023100653546559E-4</v>
      </c>
      <c r="BB272" s="54">
        <f t="shared" si="112"/>
        <v>70.300037665035106</v>
      </c>
      <c r="BC272" s="55">
        <f t="shared" si="113"/>
        <v>20.805904436260509</v>
      </c>
      <c r="BD272" s="55">
        <f t="shared" si="114"/>
        <v>4.5613489711115625</v>
      </c>
      <c r="BE272" s="55">
        <f t="shared" si="115"/>
        <v>4.4700398521487461</v>
      </c>
      <c r="BF272" s="56">
        <f t="shared" si="116"/>
        <v>3.6687429183300875E-2</v>
      </c>
      <c r="BG272" s="56">
        <f t="shared" si="119"/>
        <v>5.6664367384967049E-6</v>
      </c>
      <c r="BH272" s="56">
        <f t="shared" si="120"/>
        <v>2.3804278477821388E-3</v>
      </c>
      <c r="BI272" s="56">
        <f t="shared" si="117"/>
        <v>2.3327764247245927E-3</v>
      </c>
      <c r="BJ272" s="57">
        <f t="shared" si="121"/>
        <v>3.0490264919960865E-3</v>
      </c>
      <c r="BK272" s="57">
        <f t="shared" si="122"/>
        <v>1.9783309247181074E-4</v>
      </c>
      <c r="BL272" s="58">
        <f t="shared" si="123"/>
        <v>5.3797441495890892</v>
      </c>
      <c r="BM272" s="58">
        <f t="shared" si="123"/>
        <v>0.34905942097065484</v>
      </c>
    </row>
    <row r="273" spans="47:65" x14ac:dyDescent="0.2">
      <c r="AU273" s="2">
        <v>-1364</v>
      </c>
      <c r="AV273" s="53">
        <v>271</v>
      </c>
      <c r="AW273" s="4" t="s">
        <v>2394</v>
      </c>
      <c r="AX273" t="s">
        <v>731</v>
      </c>
      <c r="AY273" s="4">
        <v>27715</v>
      </c>
      <c r="AZ273" s="9">
        <v>21.07893171556459</v>
      </c>
      <c r="BA273" s="7">
        <f t="shared" si="118"/>
        <v>5.402619575501505E-4</v>
      </c>
      <c r="BB273" s="54">
        <f t="shared" si="112"/>
        <v>70.355293668672402</v>
      </c>
      <c r="BC273" s="55">
        <f t="shared" si="113"/>
        <v>20.833543401786454</v>
      </c>
      <c r="BD273" s="55">
        <f t="shared" si="114"/>
        <v>4.5643776576644548</v>
      </c>
      <c r="BE273" s="55">
        <f t="shared" si="115"/>
        <v>4.4730079104308107</v>
      </c>
      <c r="BF273" s="56">
        <f t="shared" si="116"/>
        <v>3.6716265593461181E-2</v>
      </c>
      <c r="BG273" s="56">
        <f t="shared" si="119"/>
        <v>5.6739641425635945E-6</v>
      </c>
      <c r="BH273" s="56">
        <f t="shared" si="120"/>
        <v>2.3820084262159095E-3</v>
      </c>
      <c r="BI273" s="56">
        <f t="shared" si="117"/>
        <v>2.3343253631270583E-3</v>
      </c>
      <c r="BJ273" s="57">
        <f t="shared" si="121"/>
        <v>3.2378800642244247E-3</v>
      </c>
      <c r="BK273" s="57">
        <f t="shared" si="122"/>
        <v>2.1006105799149249E-4</v>
      </c>
      <c r="BL273" s="58">
        <f t="shared" si="123"/>
        <v>5.7129599819183357</v>
      </c>
      <c r="BM273" s="58">
        <f t="shared" si="123"/>
        <v>0.37063461099887235</v>
      </c>
    </row>
    <row r="274" spans="47:65" x14ac:dyDescent="0.2">
      <c r="AU274" s="2">
        <v>-1363</v>
      </c>
      <c r="AV274" s="53">
        <v>272</v>
      </c>
      <c r="AW274" s="4" t="s">
        <v>2584</v>
      </c>
      <c r="AX274" t="s">
        <v>1337</v>
      </c>
      <c r="AY274" s="4">
        <v>39677</v>
      </c>
      <c r="AZ274" s="9">
        <v>21.091499092377354</v>
      </c>
      <c r="BA274" s="7">
        <f t="shared" si="118"/>
        <v>5.4058406474655652E-4</v>
      </c>
      <c r="BB274" s="54">
        <f t="shared" si="112"/>
        <v>70.932927374068584</v>
      </c>
      <c r="BC274" s="55">
        <f t="shared" si="113"/>
        <v>21.123332640502586</v>
      </c>
      <c r="BD274" s="55">
        <f t="shared" si="114"/>
        <v>4.5960126893321984</v>
      </c>
      <c r="BE274" s="55">
        <f t="shared" si="115"/>
        <v>4.5040096717900919</v>
      </c>
      <c r="BF274" s="56">
        <f t="shared" si="116"/>
        <v>3.7017714872358935E-2</v>
      </c>
      <c r="BG274" s="56">
        <f t="shared" si="119"/>
        <v>5.7528875267266876E-6</v>
      </c>
      <c r="BH274" s="56">
        <f t="shared" si="120"/>
        <v>2.398517777029532E-3</v>
      </c>
      <c r="BI274" s="56">
        <f t="shared" si="117"/>
        <v>2.3505042296284766E-3</v>
      </c>
      <c r="BJ274" s="57">
        <f t="shared" si="121"/>
        <v>4.6734306833558512E-3</v>
      </c>
      <c r="BK274" s="57">
        <f t="shared" si="122"/>
        <v>3.0280925260770902E-4</v>
      </c>
      <c r="BL274" s="58">
        <f t="shared" si="123"/>
        <v>8.2458651780471452</v>
      </c>
      <c r="BM274" s="58">
        <f t="shared" si="123"/>
        <v>0.5342807973082897</v>
      </c>
    </row>
    <row r="275" spans="47:65" x14ac:dyDescent="0.2">
      <c r="AU275" s="2">
        <v>-1362</v>
      </c>
      <c r="AV275" s="53">
        <v>273</v>
      </c>
      <c r="AW275" s="4" t="s">
        <v>1759</v>
      </c>
      <c r="AX275" t="s">
        <v>260</v>
      </c>
      <c r="AY275" s="4">
        <v>25845</v>
      </c>
      <c r="AZ275" s="9">
        <v>21.092703812293017</v>
      </c>
      <c r="BA275" s="7">
        <f t="shared" si="118"/>
        <v>5.4061494222880835E-4</v>
      </c>
      <c r="BB275" s="54">
        <f t="shared" si="112"/>
        <v>70.988548361651908</v>
      </c>
      <c r="BC275" s="55">
        <f t="shared" si="113"/>
        <v>21.151319295006825</v>
      </c>
      <c r="BD275" s="55">
        <f t="shared" si="114"/>
        <v>4.5990563483182969</v>
      </c>
      <c r="BE275" s="55">
        <f t="shared" si="115"/>
        <v>4.5069924027870787</v>
      </c>
      <c r="BF275" s="56">
        <f t="shared" si="116"/>
        <v>3.7046741756423994E-2</v>
      </c>
      <c r="BG275" s="56">
        <f t="shared" si="119"/>
        <v>5.7605096230290863E-6</v>
      </c>
      <c r="BH275" s="56">
        <f t="shared" si="120"/>
        <v>2.4001061691160844E-3</v>
      </c>
      <c r="BI275" s="56">
        <f t="shared" si="117"/>
        <v>2.3520608252699622E-3</v>
      </c>
      <c r="BJ275" s="57">
        <f t="shared" si="121"/>
        <v>3.0465893995817793E-3</v>
      </c>
      <c r="BK275" s="57">
        <f t="shared" si="122"/>
        <v>1.9737600841596153E-4</v>
      </c>
      <c r="BL275" s="58">
        <f t="shared" si="123"/>
        <v>5.3754441103167849</v>
      </c>
      <c r="BM275" s="58">
        <f t="shared" si="123"/>
        <v>0.3482529355951488</v>
      </c>
    </row>
    <row r="276" spans="47:65" x14ac:dyDescent="0.2">
      <c r="AU276" s="2">
        <v>-1361</v>
      </c>
      <c r="AV276" s="53">
        <v>274</v>
      </c>
      <c r="AW276" s="4" t="s">
        <v>2479</v>
      </c>
      <c r="AX276" t="s">
        <v>2480</v>
      </c>
      <c r="AY276" s="4">
        <v>71328</v>
      </c>
      <c r="AZ276" s="9">
        <v>21.112204461872658</v>
      </c>
      <c r="BA276" s="7">
        <f t="shared" si="118"/>
        <v>5.4111475214600724E-4</v>
      </c>
      <c r="BB276" s="54">
        <f t="shared" si="112"/>
        <v>71.894969725679715</v>
      </c>
      <c r="BC276" s="55">
        <f t="shared" si="113"/>
        <v>21.609437638199413</v>
      </c>
      <c r="BD276" s="55">
        <f t="shared" si="114"/>
        <v>4.6485952327772537</v>
      </c>
      <c r="BE276" s="55">
        <f t="shared" si="115"/>
        <v>4.5555396174740022</v>
      </c>
      <c r="BF276" s="56">
        <f t="shared" si="116"/>
        <v>3.7519775209996914E-2</v>
      </c>
      <c r="BG276" s="56">
        <f t="shared" si="119"/>
        <v>5.8852770234753282E-6</v>
      </c>
      <c r="BH276" s="56">
        <f t="shared" si="120"/>
        <v>2.4259589904768236E-3</v>
      </c>
      <c r="BI276" s="56">
        <f t="shared" si="117"/>
        <v>2.3773961246528605E-3</v>
      </c>
      <c r="BJ276" s="57">
        <f t="shared" si="121"/>
        <v>8.5154508519516454E-3</v>
      </c>
      <c r="BK276" s="57">
        <f t="shared" si="122"/>
        <v>5.5059323880894109E-4</v>
      </c>
      <c r="BL276" s="58">
        <f t="shared" si="123"/>
        <v>15.024778243861544</v>
      </c>
      <c r="BM276" s="58">
        <f t="shared" si="123"/>
        <v>0.97147426008311322</v>
      </c>
    </row>
    <row r="277" spans="47:65" x14ac:dyDescent="0.2">
      <c r="AU277" s="2">
        <v>-1360</v>
      </c>
      <c r="AV277" s="53">
        <v>275</v>
      </c>
      <c r="AW277" s="4" t="s">
        <v>3273</v>
      </c>
      <c r="AX277" t="s">
        <v>3274</v>
      </c>
      <c r="AY277" s="5">
        <v>38664.079999999994</v>
      </c>
      <c r="AZ277" s="9">
        <v>21.11830152836405</v>
      </c>
      <c r="BA277" s="7">
        <f t="shared" si="118"/>
        <v>5.4127102254539943E-4</v>
      </c>
      <c r="BB277" s="54">
        <f t="shared" si="112"/>
        <v>72.180739416931502</v>
      </c>
      <c r="BC277" s="55">
        <f t="shared" si="113"/>
        <v>21.754663544015472</v>
      </c>
      <c r="BD277" s="55">
        <f t="shared" si="114"/>
        <v>4.664189484145715</v>
      </c>
      <c r="BE277" s="55">
        <f t="shared" si="115"/>
        <v>4.5708217029980265</v>
      </c>
      <c r="BF277" s="56">
        <f t="shared" si="116"/>
        <v>3.7668909629532947E-2</v>
      </c>
      <c r="BG277" s="56">
        <f t="shared" si="119"/>
        <v>5.924828940606362E-6</v>
      </c>
      <c r="BH277" s="56">
        <f t="shared" si="120"/>
        <v>2.4340971510205507E-3</v>
      </c>
      <c r="BI277" s="56">
        <f t="shared" si="117"/>
        <v>2.3853713754359157E-3</v>
      </c>
      <c r="BJ277" s="57">
        <f t="shared" si="121"/>
        <v>4.6342355251398175E-3</v>
      </c>
      <c r="BK277" s="57">
        <f t="shared" si="122"/>
        <v>2.9945595983105493E-4</v>
      </c>
      <c r="BL277" s="58">
        <f t="shared" si="123"/>
        <v>8.1767087034614221</v>
      </c>
      <c r="BM277" s="58">
        <f t="shared" si="123"/>
        <v>0.52836420155406461</v>
      </c>
    </row>
    <row r="278" spans="47:65" x14ac:dyDescent="0.2">
      <c r="AU278" s="2">
        <v>-1359</v>
      </c>
      <c r="AV278" s="53">
        <v>276</v>
      </c>
      <c r="AW278" s="4" t="s">
        <v>2034</v>
      </c>
      <c r="AX278" t="s">
        <v>1304</v>
      </c>
      <c r="AY278" s="4">
        <v>29201</v>
      </c>
      <c r="AZ278" s="9">
        <v>21.123783780333532</v>
      </c>
      <c r="BA278" s="7">
        <f t="shared" si="118"/>
        <v>5.414115349879076E-4</v>
      </c>
      <c r="BB278" s="54">
        <f t="shared" si="112"/>
        <v>72.438662530719299</v>
      </c>
      <c r="BC278" s="55">
        <f t="shared" si="113"/>
        <v>21.886063830697328</v>
      </c>
      <c r="BD278" s="55">
        <f t="shared" si="114"/>
        <v>4.6782543572039055</v>
      </c>
      <c r="BE278" s="55">
        <f t="shared" si="115"/>
        <v>4.5846050253186172</v>
      </c>
      <c r="BF278" s="56">
        <f t="shared" si="116"/>
        <v>3.7803511776076736E-2</v>
      </c>
      <c r="BG278" s="56">
        <f t="shared" si="119"/>
        <v>5.9606154844781891E-6</v>
      </c>
      <c r="BH278" s="56">
        <f t="shared" si="120"/>
        <v>2.4414371760252585E-3</v>
      </c>
      <c r="BI278" s="56">
        <f t="shared" si="117"/>
        <v>2.3925644677633409E-3</v>
      </c>
      <c r="BJ278" s="57">
        <f t="shared" si="121"/>
        <v>3.5125073537960634E-3</v>
      </c>
      <c r="BK278" s="57">
        <f t="shared" si="122"/>
        <v>2.2684575140573862E-4</v>
      </c>
      <c r="BL278" s="58">
        <f t="shared" si="123"/>
        <v>6.1975161372252439</v>
      </c>
      <c r="BM278" s="58">
        <f t="shared" si="123"/>
        <v>0.40024975420440834</v>
      </c>
    </row>
    <row r="279" spans="47:65" x14ac:dyDescent="0.2">
      <c r="AU279" s="2">
        <v>-1358</v>
      </c>
      <c r="AV279" s="53">
        <v>277</v>
      </c>
      <c r="AW279" s="4" t="s">
        <v>2602</v>
      </c>
      <c r="AX279" t="s">
        <v>1339</v>
      </c>
      <c r="AY279" s="4">
        <v>18213</v>
      </c>
      <c r="AZ279" s="9">
        <v>21.124877735241455</v>
      </c>
      <c r="BA279" s="7">
        <f t="shared" si="118"/>
        <v>5.4143957351604553E-4</v>
      </c>
      <c r="BB279" s="54">
        <f t="shared" si="112"/>
        <v>72.490239955138094</v>
      </c>
      <c r="BC279" s="55">
        <f t="shared" si="113"/>
        <v>21.912377263598696</v>
      </c>
      <c r="BD279" s="55">
        <f t="shared" si="114"/>
        <v>4.6810658255998385</v>
      </c>
      <c r="BE279" s="55">
        <f t="shared" si="115"/>
        <v>4.5873602137184673</v>
      </c>
      <c r="BF279" s="56">
        <f t="shared" si="116"/>
        <v>3.7830428448793738E-2</v>
      </c>
      <c r="BG279" s="56">
        <f t="shared" si="119"/>
        <v>5.9677818830053603E-6</v>
      </c>
      <c r="BH279" s="56">
        <f t="shared" si="120"/>
        <v>2.4429043949785183E-3</v>
      </c>
      <c r="BI279" s="56">
        <f t="shared" si="117"/>
        <v>2.3940023159162529E-3</v>
      </c>
      <c r="BJ279" s="57">
        <f t="shared" si="121"/>
        <v>2.1923511657232072E-3</v>
      </c>
      <c r="BK279" s="57">
        <f t="shared" si="122"/>
        <v>1.4157133602995904E-4</v>
      </c>
      <c r="BL279" s="58">
        <f t="shared" si="123"/>
        <v>3.8682144575014665</v>
      </c>
      <c r="BM279" s="58">
        <f t="shared" si="123"/>
        <v>0.24979040646448428</v>
      </c>
    </row>
    <row r="280" spans="47:65" x14ac:dyDescent="0.2">
      <c r="AU280" s="2">
        <v>-1357</v>
      </c>
      <c r="AV280" s="53">
        <v>278</v>
      </c>
      <c r="AW280" s="4" t="s">
        <v>2072</v>
      </c>
      <c r="AX280" t="s">
        <v>2073</v>
      </c>
      <c r="AY280" s="4">
        <v>93001</v>
      </c>
      <c r="AZ280" s="9">
        <v>21.137016553476514</v>
      </c>
      <c r="BA280" s="7">
        <f t="shared" si="118"/>
        <v>5.4175069657439183E-4</v>
      </c>
      <c r="BB280" s="54">
        <f t="shared" si="112"/>
        <v>73.06502766603991</v>
      </c>
      <c r="BC280" s="55">
        <f t="shared" si="113"/>
        <v>22.206452678898401</v>
      </c>
      <c r="BD280" s="55">
        <f t="shared" si="114"/>
        <v>4.7123722984181118</v>
      </c>
      <c r="BE280" s="55">
        <f t="shared" si="115"/>
        <v>4.6180399933218661</v>
      </c>
      <c r="BF280" s="56">
        <f t="shared" si="116"/>
        <v>3.8130392490628551E-2</v>
      </c>
      <c r="BG280" s="56">
        <f t="shared" si="119"/>
        <v>6.0478725967854937E-6</v>
      </c>
      <c r="BH280" s="56">
        <f t="shared" si="120"/>
        <v>2.4592422810259043E-3</v>
      </c>
      <c r="BI280" s="56">
        <f t="shared" si="117"/>
        <v>2.4100131500344509E-3</v>
      </c>
      <c r="BJ280" s="57">
        <f t="shared" si="121"/>
        <v>1.1283563210560231E-2</v>
      </c>
      <c r="BK280" s="57">
        <f t="shared" si="122"/>
        <v>7.2774010219952743E-4</v>
      </c>
      <c r="BL280" s="58">
        <f t="shared" si="123"/>
        <v>19.908873644712166</v>
      </c>
      <c r="BM280" s="58">
        <f t="shared" si="123"/>
        <v>1.2840346148210173</v>
      </c>
    </row>
    <row r="281" spans="47:65" x14ac:dyDescent="0.2">
      <c r="AU281" s="2">
        <v>-1356</v>
      </c>
      <c r="AV281" s="53">
        <v>279</v>
      </c>
      <c r="AW281" s="4" t="s">
        <v>1795</v>
      </c>
      <c r="AX281" t="s">
        <v>1294</v>
      </c>
      <c r="AY281" s="4">
        <v>157005</v>
      </c>
      <c r="AZ281" s="9">
        <v>21.153775489372887</v>
      </c>
      <c r="BA281" s="7">
        <f t="shared" si="118"/>
        <v>5.4218023520737416E-4</v>
      </c>
      <c r="BB281" s="54">
        <f t="shared" si="112"/>
        <v>73.866081345197827</v>
      </c>
      <c r="BC281" s="55">
        <f t="shared" si="113"/>
        <v>22.618837110005561</v>
      </c>
      <c r="BD281" s="55">
        <f t="shared" si="114"/>
        <v>4.7559265248745763</v>
      </c>
      <c r="BE281" s="55">
        <f t="shared" si="115"/>
        <v>4.6607223509364522</v>
      </c>
      <c r="BF281" s="56">
        <f t="shared" si="116"/>
        <v>3.8548437787647556E-2</v>
      </c>
      <c r="BG281" s="56">
        <f t="shared" si="119"/>
        <v>6.1601844791153244E-6</v>
      </c>
      <c r="BH281" s="56">
        <f t="shared" si="120"/>
        <v>2.4819718932968045E-3</v>
      </c>
      <c r="BI281" s="56">
        <f t="shared" si="117"/>
        <v>2.4322877607512129E-3</v>
      </c>
      <c r="BJ281" s="57">
        <f t="shared" si="121"/>
        <v>1.9257842828255975E-2</v>
      </c>
      <c r="BK281" s="57">
        <f t="shared" si="122"/>
        <v>1.2399315606137211E-3</v>
      </c>
      <c r="BL281" s="58">
        <f t="shared" si="123"/>
        <v>33.978801942514977</v>
      </c>
      <c r="BM281" s="58">
        <f t="shared" si="123"/>
        <v>2.1877522470247843</v>
      </c>
    </row>
    <row r="282" spans="47:65" x14ac:dyDescent="0.2">
      <c r="AU282" s="2">
        <v>-1355</v>
      </c>
      <c r="AV282" s="53">
        <v>280</v>
      </c>
      <c r="AW282" s="4" t="s">
        <v>1755</v>
      </c>
      <c r="AX282" t="s">
        <v>1756</v>
      </c>
      <c r="AY282" s="4">
        <v>11095</v>
      </c>
      <c r="AZ282" s="9">
        <v>21.172330649852118</v>
      </c>
      <c r="BA282" s="7">
        <f t="shared" si="118"/>
        <v>5.4265581183803252E-4</v>
      </c>
      <c r="BB282" s="54">
        <f t="shared" si="112"/>
        <v>74.763241689241639</v>
      </c>
      <c r="BC282" s="55">
        <f t="shared" si="113"/>
        <v>23.084201181103698</v>
      </c>
      <c r="BD282" s="55">
        <f t="shared" si="114"/>
        <v>4.8046020835344621</v>
      </c>
      <c r="BE282" s="55">
        <f t="shared" si="115"/>
        <v>4.7084235218868242</v>
      </c>
      <c r="BF282" s="56">
        <f t="shared" si="116"/>
        <v>3.901663819950231E-2</v>
      </c>
      <c r="BG282" s="56">
        <f t="shared" si="119"/>
        <v>6.2869252356790012E-6</v>
      </c>
      <c r="BH282" s="56">
        <f t="shared" si="120"/>
        <v>2.5073741714548708E-3</v>
      </c>
      <c r="BI282" s="56">
        <f t="shared" si="117"/>
        <v>2.457181535908752E-3</v>
      </c>
      <c r="BJ282" s="57">
        <f t="shared" si="121"/>
        <v>1.3774141025432937E-3</v>
      </c>
      <c r="BK282" s="57">
        <f t="shared" si="122"/>
        <v>8.8518455292204052E-5</v>
      </c>
      <c r="BL282" s="58">
        <f t="shared" si="123"/>
        <v>2.430328329114531</v>
      </c>
      <c r="BM282" s="58">
        <f t="shared" si="123"/>
        <v>0.15618317624952577</v>
      </c>
    </row>
    <row r="283" spans="47:65" x14ac:dyDescent="0.2">
      <c r="AU283" s="2">
        <v>-1354</v>
      </c>
      <c r="AV283" s="53">
        <v>281</v>
      </c>
      <c r="AW283" s="4" t="s">
        <v>2790</v>
      </c>
      <c r="AX283" t="s">
        <v>1035</v>
      </c>
      <c r="AY283" s="4">
        <v>12508</v>
      </c>
      <c r="AZ283" s="9">
        <v>21.192096119547394</v>
      </c>
      <c r="BA283" s="7">
        <f t="shared" si="118"/>
        <v>5.4316240920708155E-4</v>
      </c>
      <c r="BB283" s="54">
        <f t="shared" si="112"/>
        <v>75.730911848985571</v>
      </c>
      <c r="BC283" s="55">
        <f t="shared" si="113"/>
        <v>23.590267612095115</v>
      </c>
      <c r="BD283" s="55">
        <f t="shared" si="114"/>
        <v>4.8569813271305788</v>
      </c>
      <c r="BE283" s="55">
        <f t="shared" si="115"/>
        <v>4.7597542373797435</v>
      </c>
      <c r="BF283" s="56">
        <f t="shared" si="116"/>
        <v>3.9521635517249951E-2</v>
      </c>
      <c r="BG283" s="56">
        <f t="shared" si="119"/>
        <v>6.4247511795341592E-6</v>
      </c>
      <c r="BH283" s="56">
        <f t="shared" si="120"/>
        <v>2.5347092889588265E-3</v>
      </c>
      <c r="BI283" s="56">
        <f t="shared" si="117"/>
        <v>2.4839694588192139E-3</v>
      </c>
      <c r="BJ283" s="57">
        <f t="shared" si="121"/>
        <v>1.5729327441283197E-3</v>
      </c>
      <c r="BK283" s="57">
        <f t="shared" si="122"/>
        <v>1.0087961151580835E-4</v>
      </c>
      <c r="BL283" s="58">
        <f t="shared" si="123"/>
        <v>2.7753041012056574</v>
      </c>
      <c r="BM283" s="58">
        <f t="shared" si="123"/>
        <v>0.17799336978200531</v>
      </c>
    </row>
    <row r="284" spans="47:65" x14ac:dyDescent="0.2">
      <c r="AU284" s="2">
        <v>-1353</v>
      </c>
      <c r="AV284" s="53">
        <v>282</v>
      </c>
      <c r="AW284" s="4" t="s">
        <v>3018</v>
      </c>
      <c r="AX284" t="s">
        <v>1180</v>
      </c>
      <c r="AY284" s="4">
        <v>13618</v>
      </c>
      <c r="AZ284" s="9">
        <v>21.194282340632615</v>
      </c>
      <c r="BA284" s="7">
        <f t="shared" si="118"/>
        <v>5.4321844298047559E-4</v>
      </c>
      <c r="BB284" s="54">
        <f t="shared" si="112"/>
        <v>75.838710416711919</v>
      </c>
      <c r="BC284" s="55">
        <f t="shared" si="113"/>
        <v>23.646907692284319</v>
      </c>
      <c r="BD284" s="55">
        <f t="shared" si="114"/>
        <v>4.8628086218032802</v>
      </c>
      <c r="BE284" s="55">
        <f t="shared" si="115"/>
        <v>4.7654648812226421</v>
      </c>
      <c r="BF284" s="56">
        <f t="shared" si="116"/>
        <v>3.957789227686026E-2</v>
      </c>
      <c r="BG284" s="56">
        <f t="shared" si="119"/>
        <v>6.4401769656250544E-6</v>
      </c>
      <c r="BH284" s="56">
        <f t="shared" si="120"/>
        <v>2.5377503749630407E-3</v>
      </c>
      <c r="BI284" s="56">
        <f t="shared" si="117"/>
        <v>2.4869496683402881E-3</v>
      </c>
      <c r="BJ284" s="57">
        <f t="shared" si="121"/>
        <v>1.7149575088891667E-3</v>
      </c>
      <c r="BK284" s="57">
        <f t="shared" si="122"/>
        <v>1.0996376539671613E-4</v>
      </c>
      <c r="BL284" s="58">
        <f t="shared" si="123"/>
        <v>3.0258945435401658</v>
      </c>
      <c r="BM284" s="58">
        <f t="shared" si="123"/>
        <v>0.19402157544800039</v>
      </c>
    </row>
    <row r="285" spans="47:65" x14ac:dyDescent="0.2">
      <c r="AU285" s="2">
        <v>-1352</v>
      </c>
      <c r="AV285" s="53">
        <v>283</v>
      </c>
      <c r="AW285" s="4" t="s">
        <v>2583</v>
      </c>
      <c r="AX285" t="s">
        <v>884</v>
      </c>
      <c r="AY285" s="4">
        <v>45561</v>
      </c>
      <c r="AZ285" s="9">
        <v>21.19492353843912</v>
      </c>
      <c r="BA285" s="7">
        <f t="shared" si="118"/>
        <v>5.4323487715213063E-4</v>
      </c>
      <c r="BB285" s="54">
        <f t="shared" si="112"/>
        <v>75.870355803349639</v>
      </c>
      <c r="BC285" s="55">
        <f t="shared" si="113"/>
        <v>23.66354501035951</v>
      </c>
      <c r="BD285" s="55">
        <f t="shared" si="114"/>
        <v>4.8645189906464044</v>
      </c>
      <c r="BE285" s="55">
        <f t="shared" si="115"/>
        <v>4.7671410118890432</v>
      </c>
      <c r="BF285" s="56">
        <f t="shared" si="116"/>
        <v>3.9594407031614494E-2</v>
      </c>
      <c r="BG285" s="56">
        <f t="shared" si="119"/>
        <v>6.4447080981533823E-6</v>
      </c>
      <c r="BH285" s="56">
        <f t="shared" si="120"/>
        <v>2.538642963898898E-3</v>
      </c>
      <c r="BI285" s="56">
        <f t="shared" si="117"/>
        <v>2.4878243894239276E-3</v>
      </c>
      <c r="BJ285" s="57">
        <f t="shared" si="121"/>
        <v>5.7400339772135682E-3</v>
      </c>
      <c r="BK285" s="57">
        <f t="shared" si="122"/>
        <v>3.6802917283642548E-4</v>
      </c>
      <c r="BL285" s="58">
        <f t="shared" si="123"/>
        <v>10.127794654595252</v>
      </c>
      <c r="BM285" s="58">
        <f t="shared" si="123"/>
        <v>0.64935571883099674</v>
      </c>
    </row>
    <row r="286" spans="47:65" x14ac:dyDescent="0.2">
      <c r="AU286" s="2">
        <v>-1351</v>
      </c>
      <c r="AV286" s="53">
        <v>284</v>
      </c>
      <c r="AW286" s="4" t="s">
        <v>2058</v>
      </c>
      <c r="AX286" t="s">
        <v>478</v>
      </c>
      <c r="AY286" s="4">
        <v>33674</v>
      </c>
      <c r="AZ286" s="9">
        <v>21.199983000190965</v>
      </c>
      <c r="BA286" s="7">
        <f t="shared" si="118"/>
        <v>5.4336455330209344E-4</v>
      </c>
      <c r="BB286" s="54">
        <f t="shared" si="112"/>
        <v>76.120521847995448</v>
      </c>
      <c r="BC286" s="55">
        <f t="shared" si="113"/>
        <v>23.795228092199352</v>
      </c>
      <c r="BD286" s="55">
        <f t="shared" si="114"/>
        <v>4.8780352696756255</v>
      </c>
      <c r="BE286" s="55">
        <f t="shared" si="115"/>
        <v>4.780386721940177</v>
      </c>
      <c r="BF286" s="56">
        <f t="shared" si="116"/>
        <v>3.9724961002164827E-2</v>
      </c>
      <c r="BG286" s="56">
        <f t="shared" si="119"/>
        <v>6.4805716605888069E-6</v>
      </c>
      <c r="BH286" s="56">
        <f t="shared" si="120"/>
        <v>2.5456966945393961E-3</v>
      </c>
      <c r="BI286" s="56">
        <f t="shared" si="117"/>
        <v>2.4947369184299393E-3</v>
      </c>
      <c r="BJ286" s="57">
        <f t="shared" si="121"/>
        <v>4.2564306246532721E-3</v>
      </c>
      <c r="BK286" s="57">
        <f t="shared" si="122"/>
        <v>2.7276506001165364E-4</v>
      </c>
      <c r="BL286" s="58">
        <f t="shared" si="123"/>
        <v>7.5101045567234319</v>
      </c>
      <c r="BM286" s="58">
        <f t="shared" si="123"/>
        <v>0.4812704119370747</v>
      </c>
    </row>
    <row r="287" spans="47:65" x14ac:dyDescent="0.2">
      <c r="AU287" s="2">
        <v>-1350</v>
      </c>
      <c r="AV287" s="53">
        <v>285</v>
      </c>
      <c r="AW287" s="4" t="s">
        <v>2002</v>
      </c>
      <c r="AX287" t="s">
        <v>429</v>
      </c>
      <c r="AY287" s="4">
        <v>24095</v>
      </c>
      <c r="AZ287" s="9">
        <v>21.200960848264582</v>
      </c>
      <c r="BA287" s="7">
        <f t="shared" si="118"/>
        <v>5.4338961596283773E-4</v>
      </c>
      <c r="BB287" s="54">
        <f t="shared" si="112"/>
        <v>76.16896677227561</v>
      </c>
      <c r="BC287" s="55">
        <f t="shared" si="113"/>
        <v>23.820761517025314</v>
      </c>
      <c r="BD287" s="55">
        <f t="shared" si="114"/>
        <v>4.8806517512546739</v>
      </c>
      <c r="BE287" s="55">
        <f t="shared" si="115"/>
        <v>4.782950826770751</v>
      </c>
      <c r="BF287" s="56">
        <f t="shared" si="116"/>
        <v>3.9750242919328063E-2</v>
      </c>
      <c r="BG287" s="56">
        <f t="shared" si="119"/>
        <v>6.4875256258408549E-6</v>
      </c>
      <c r="BH287" s="56">
        <f t="shared" si="120"/>
        <v>2.5470621558652345E-3</v>
      </c>
      <c r="BI287" s="56">
        <f t="shared" si="117"/>
        <v>2.496075045940402E-3</v>
      </c>
      <c r="BJ287" s="57">
        <f t="shared" si="121"/>
        <v>3.0475728072946735E-3</v>
      </c>
      <c r="BK287" s="57">
        <f t="shared" si="122"/>
        <v>1.9527823717851761E-4</v>
      </c>
      <c r="BL287" s="58">
        <f t="shared" si="123"/>
        <v>5.3771792483695338</v>
      </c>
      <c r="BM287" s="58">
        <f t="shared" si="123"/>
        <v>0.34455159925994794</v>
      </c>
    </row>
    <row r="288" spans="47:65" x14ac:dyDescent="0.2">
      <c r="AU288" s="2">
        <v>-1349</v>
      </c>
      <c r="AV288" s="53">
        <v>286</v>
      </c>
      <c r="AW288" s="4" t="s">
        <v>2580</v>
      </c>
      <c r="AX288" t="s">
        <v>881</v>
      </c>
      <c r="AY288" s="4">
        <v>34360</v>
      </c>
      <c r="AZ288" s="9">
        <v>21.204228832903738</v>
      </c>
      <c r="BA288" s="7">
        <f t="shared" si="118"/>
        <v>5.4347337579479778E-4</v>
      </c>
      <c r="BB288" s="54">
        <f t="shared" si="112"/>
        <v>76.331094349315251</v>
      </c>
      <c r="BC288" s="55">
        <f t="shared" si="113"/>
        <v>23.906290087810206</v>
      </c>
      <c r="BD288" s="55">
        <f t="shared" si="114"/>
        <v>4.8894059033598554</v>
      </c>
      <c r="BE288" s="55">
        <f t="shared" si="115"/>
        <v>4.7915297381914215</v>
      </c>
      <c r="BF288" s="56">
        <f t="shared" si="116"/>
        <v>3.9834852319249658E-2</v>
      </c>
      <c r="BG288" s="56">
        <f t="shared" si="119"/>
        <v>6.5108191210682867E-6</v>
      </c>
      <c r="BH288" s="56">
        <f t="shared" si="120"/>
        <v>2.5516306788146842E-3</v>
      </c>
      <c r="BI288" s="56">
        <f t="shared" si="117"/>
        <v>2.5005521161621351E-3</v>
      </c>
      <c r="BJ288" s="57">
        <f t="shared" si="121"/>
        <v>4.35515622923076E-3</v>
      </c>
      <c r="BK288" s="57">
        <f t="shared" si="122"/>
        <v>2.7897053957862919E-4</v>
      </c>
      <c r="BL288" s="58">
        <f t="shared" si="123"/>
        <v>7.6842973671285266</v>
      </c>
      <c r="BM288" s="58">
        <f t="shared" si="123"/>
        <v>0.49221944517226179</v>
      </c>
    </row>
    <row r="289" spans="47:65" x14ac:dyDescent="0.2">
      <c r="AU289" s="2">
        <v>-1348</v>
      </c>
      <c r="AV289" s="53">
        <v>287</v>
      </c>
      <c r="AW289" s="4" t="s">
        <v>3177</v>
      </c>
      <c r="AX289" t="s">
        <v>3178</v>
      </c>
      <c r="AY289" s="5">
        <v>33371.83</v>
      </c>
      <c r="AZ289" s="9">
        <v>21.210920997452643</v>
      </c>
      <c r="BA289" s="7">
        <f t="shared" si="118"/>
        <v>5.4364489880973164E-4</v>
      </c>
      <c r="BB289" s="54">
        <f t="shared" si="112"/>
        <v>76.664176282338531</v>
      </c>
      <c r="BC289" s="55">
        <f t="shared" si="113"/>
        <v>24.082377585894388</v>
      </c>
      <c r="BD289" s="55">
        <f t="shared" si="114"/>
        <v>4.9073799104913807</v>
      </c>
      <c r="BE289" s="55">
        <f t="shared" si="115"/>
        <v>4.809143941509249</v>
      </c>
      <c r="BF289" s="56">
        <f t="shared" si="116"/>
        <v>4.0008677543757448E-2</v>
      </c>
      <c r="BG289" s="56">
        <f t="shared" si="119"/>
        <v>6.5587761167082525E-6</v>
      </c>
      <c r="BH289" s="56">
        <f t="shared" si="120"/>
        <v>2.5610107607560444E-3</v>
      </c>
      <c r="BI289" s="56">
        <f t="shared" si="117"/>
        <v>2.5097444275506853E-3</v>
      </c>
      <c r="BJ289" s="57">
        <f t="shared" si="121"/>
        <v>4.2483627383541663E-3</v>
      </c>
      <c r="BK289" s="57">
        <f t="shared" si="122"/>
        <v>2.719435721568272E-4</v>
      </c>
      <c r="BL289" s="58">
        <f t="shared" si="123"/>
        <v>7.4958694675134492</v>
      </c>
      <c r="BM289" s="58">
        <f t="shared" si="123"/>
        <v>0.47982096750208458</v>
      </c>
    </row>
    <row r="290" spans="47:65" x14ac:dyDescent="0.2">
      <c r="AU290" s="2">
        <v>-1347</v>
      </c>
      <c r="AV290" s="53">
        <v>288</v>
      </c>
      <c r="AW290" s="4" t="s">
        <v>2039</v>
      </c>
      <c r="AX290" t="s">
        <v>462</v>
      </c>
      <c r="AY290" s="4">
        <v>34862</v>
      </c>
      <c r="AZ290" s="9">
        <v>21.2147001485183</v>
      </c>
      <c r="BA290" s="7">
        <f t="shared" si="118"/>
        <v>5.4374176005394278E-4</v>
      </c>
      <c r="BB290" s="54">
        <f t="shared" si="112"/>
        <v>76.852913708447403</v>
      </c>
      <c r="BC290" s="55">
        <f t="shared" si="113"/>
        <v>24.182378696434611</v>
      </c>
      <c r="BD290" s="55">
        <f t="shared" si="114"/>
        <v>4.9175582046819342</v>
      </c>
      <c r="BE290" s="55">
        <f t="shared" si="115"/>
        <v>4.8191184865280183</v>
      </c>
      <c r="BF290" s="56">
        <f t="shared" si="116"/>
        <v>4.0107173806129243E-2</v>
      </c>
      <c r="BG290" s="56">
        <f t="shared" si="119"/>
        <v>6.5860111724297096E-6</v>
      </c>
      <c r="BH290" s="56">
        <f t="shared" si="120"/>
        <v>2.5663224996928407E-3</v>
      </c>
      <c r="BI290" s="56">
        <f t="shared" si="117"/>
        <v>2.5149498360563854E-3</v>
      </c>
      <c r="BJ290" s="57">
        <f t="shared" si="121"/>
        <v>4.4489930851565104E-3</v>
      </c>
      <c r="BK290" s="57">
        <f t="shared" si="122"/>
        <v>2.8467603104136369E-4</v>
      </c>
      <c r="BL290" s="58">
        <f t="shared" si="123"/>
        <v>7.8498644023798025</v>
      </c>
      <c r="BM290" s="58">
        <f t="shared" si="123"/>
        <v>0.50228629254067614</v>
      </c>
    </row>
    <row r="291" spans="47:65" x14ac:dyDescent="0.2">
      <c r="AU291" s="2">
        <v>-1346</v>
      </c>
      <c r="AV291" s="53">
        <v>289</v>
      </c>
      <c r="AW291" s="4" t="s">
        <v>2271</v>
      </c>
      <c r="AX291" t="s">
        <v>630</v>
      </c>
      <c r="AY291" s="4">
        <v>24193</v>
      </c>
      <c r="AZ291" s="9">
        <v>21.21596424983705</v>
      </c>
      <c r="BA291" s="7">
        <f t="shared" si="118"/>
        <v>5.4377415950673401E-4</v>
      </c>
      <c r="BB291" s="54">
        <f t="shared" si="112"/>
        <v>76.916148799608237</v>
      </c>
      <c r="BC291" s="55">
        <f t="shared" si="113"/>
        <v>24.215919365683884</v>
      </c>
      <c r="BD291" s="55">
        <f t="shared" si="114"/>
        <v>4.9209673201194786</v>
      </c>
      <c r="BE291" s="55">
        <f t="shared" si="115"/>
        <v>4.8224593582663813</v>
      </c>
      <c r="BF291" s="56">
        <f t="shared" si="116"/>
        <v>4.0140174256853275E-2</v>
      </c>
      <c r="BG291" s="56">
        <f t="shared" si="119"/>
        <v>6.595145890944429E-6</v>
      </c>
      <c r="BH291" s="56">
        <f t="shared" si="120"/>
        <v>2.5681016122701275E-3</v>
      </c>
      <c r="BI291" s="56">
        <f t="shared" si="117"/>
        <v>2.5166933343443473E-3</v>
      </c>
      <c r="BJ291" s="57">
        <f t="shared" si="121"/>
        <v>3.0899848570609964E-3</v>
      </c>
      <c r="BK291" s="57">
        <f t="shared" si="122"/>
        <v>1.9769209377445057E-4</v>
      </c>
      <c r="BL291" s="58">
        <f t="shared" si="123"/>
        <v>5.4520116505154022</v>
      </c>
      <c r="BM291" s="58">
        <f t="shared" si="123"/>
        <v>0.34881064093571112</v>
      </c>
    </row>
    <row r="292" spans="47:65" x14ac:dyDescent="0.2">
      <c r="AU292" s="2">
        <v>-1345</v>
      </c>
      <c r="AV292" s="53">
        <v>290</v>
      </c>
      <c r="AW292" s="4" t="s">
        <v>2306</v>
      </c>
      <c r="AX292" t="s">
        <v>1318</v>
      </c>
      <c r="AY292" s="4">
        <v>34042</v>
      </c>
      <c r="AZ292" s="9">
        <v>21.21768086327933</v>
      </c>
      <c r="BA292" s="7">
        <f t="shared" si="118"/>
        <v>5.438181570371211E-4</v>
      </c>
      <c r="BB292" s="54">
        <f t="shared" si="112"/>
        <v>77.002103561973996</v>
      </c>
      <c r="BC292" s="55">
        <f t="shared" si="113"/>
        <v>24.261539806850873</v>
      </c>
      <c r="BD292" s="55">
        <f t="shared" si="114"/>
        <v>4.9256004514019276</v>
      </c>
      <c r="BE292" s="55">
        <f t="shared" si="115"/>
        <v>4.8269997434910046</v>
      </c>
      <c r="BF292" s="56">
        <f t="shared" si="116"/>
        <v>4.0185031405753927E-2</v>
      </c>
      <c r="BG292" s="56">
        <f t="shared" si="119"/>
        <v>6.6075705055360051E-6</v>
      </c>
      <c r="BH292" s="56">
        <f t="shared" si="120"/>
        <v>2.5705195011001191E-3</v>
      </c>
      <c r="BI292" s="56">
        <f t="shared" si="117"/>
        <v>2.5190628218570502E-3</v>
      </c>
      <c r="BJ292" s="57">
        <f t="shared" si="121"/>
        <v>4.3527803425929797E-3</v>
      </c>
      <c r="BK292" s="57">
        <f t="shared" si="122"/>
        <v>2.7843468981433763E-4</v>
      </c>
      <c r="BL292" s="58">
        <f t="shared" si="123"/>
        <v>7.6801053201675575</v>
      </c>
      <c r="BM292" s="58">
        <f t="shared" si="123"/>
        <v>0.49127398450077425</v>
      </c>
    </row>
    <row r="293" spans="47:65" x14ac:dyDescent="0.2">
      <c r="AU293" s="2">
        <v>-1344</v>
      </c>
      <c r="AV293" s="53">
        <v>291</v>
      </c>
      <c r="AW293" s="4" t="s">
        <v>2110</v>
      </c>
      <c r="AX293" t="s">
        <v>2111</v>
      </c>
      <c r="AY293" s="4">
        <v>38866</v>
      </c>
      <c r="AZ293" s="9">
        <v>21.234910963811505</v>
      </c>
      <c r="BA293" s="7">
        <f t="shared" si="118"/>
        <v>5.442597718194977E-4</v>
      </c>
      <c r="BB293" s="54">
        <f t="shared" si="112"/>
        <v>77.870193205268464</v>
      </c>
      <c r="BC293" s="55">
        <f t="shared" si="113"/>
        <v>24.724145884005534</v>
      </c>
      <c r="BD293" s="55">
        <f t="shared" si="114"/>
        <v>4.97233807016433</v>
      </c>
      <c r="BE293" s="55">
        <f t="shared" si="115"/>
        <v>4.8728017682397402</v>
      </c>
      <c r="BF293" s="56">
        <f t="shared" si="116"/>
        <v>4.0638060712293894E-2</v>
      </c>
      <c r="BG293" s="56">
        <f t="shared" si="119"/>
        <v>6.7335601292542453E-6</v>
      </c>
      <c r="BH293" s="56">
        <f t="shared" si="120"/>
        <v>2.5949104279828707E-3</v>
      </c>
      <c r="BI293" s="56">
        <f t="shared" si="117"/>
        <v>2.5429654909769213E-3</v>
      </c>
      <c r="BJ293" s="57">
        <f t="shared" si="121"/>
        <v>5.0256263173321398E-3</v>
      </c>
      <c r="BK293" s="57">
        <f t="shared" si="122"/>
        <v>3.2090729501875866E-4</v>
      </c>
      <c r="BL293" s="58">
        <f t="shared" si="123"/>
        <v>8.8672839838097524</v>
      </c>
      <c r="BM293" s="58">
        <f t="shared" si="123"/>
        <v>0.56621323149193636</v>
      </c>
    </row>
    <row r="294" spans="47:65" x14ac:dyDescent="0.2">
      <c r="AU294" s="2">
        <v>-1343</v>
      </c>
      <c r="AV294" s="53">
        <v>292</v>
      </c>
      <c r="AW294" s="4" t="s">
        <v>1999</v>
      </c>
      <c r="AX294" t="s">
        <v>1302</v>
      </c>
      <c r="AY294" s="4">
        <v>83696</v>
      </c>
      <c r="AZ294" s="9">
        <v>21.237422386292895</v>
      </c>
      <c r="BA294" s="7">
        <f t="shared" si="118"/>
        <v>5.4432414064256422E-4</v>
      </c>
      <c r="BB294" s="54">
        <f t="shared" si="112"/>
        <v>77.997538732283459</v>
      </c>
      <c r="BC294" s="55">
        <f t="shared" si="113"/>
        <v>24.792293811804594</v>
      </c>
      <c r="BD294" s="55">
        <f t="shared" si="114"/>
        <v>4.9791860591671604</v>
      </c>
      <c r="BE294" s="55">
        <f t="shared" si="115"/>
        <v>4.8795126741457775</v>
      </c>
      <c r="BF294" s="56">
        <f t="shared" si="116"/>
        <v>4.0704518429236142E-2</v>
      </c>
      <c r="BG294" s="56">
        <f t="shared" si="119"/>
        <v>6.7521200492478557E-6</v>
      </c>
      <c r="BH294" s="56">
        <f t="shared" si="120"/>
        <v>2.59848418298974E-3</v>
      </c>
      <c r="BI294" s="56">
        <f t="shared" si="117"/>
        <v>2.5464677065284384E-3</v>
      </c>
      <c r="BJ294" s="57">
        <f t="shared" si="121"/>
        <v>1.0840135125597183E-2</v>
      </c>
      <c r="BK294" s="57">
        <f t="shared" si="122"/>
        <v>6.9200965279333918E-4</v>
      </c>
      <c r="BL294" s="58">
        <f t="shared" si="123"/>
        <v>19.126483051483266</v>
      </c>
      <c r="BM294" s="58">
        <f t="shared" si="123"/>
        <v>1.2209913199661766</v>
      </c>
    </row>
    <row r="295" spans="47:65" x14ac:dyDescent="0.2">
      <c r="AU295" s="2">
        <v>-1342</v>
      </c>
      <c r="AV295" s="53">
        <v>293</v>
      </c>
      <c r="AW295" s="4" t="s">
        <v>2173</v>
      </c>
      <c r="AX295" t="s">
        <v>1308</v>
      </c>
      <c r="AY295" s="4">
        <v>34185</v>
      </c>
      <c r="AZ295" s="9">
        <v>21.241443229360939</v>
      </c>
      <c r="BA295" s="7">
        <f t="shared" si="118"/>
        <v>5.4442719655527628E-4</v>
      </c>
      <c r="BB295" s="54">
        <f t="shared" si="112"/>
        <v>78.201855539549427</v>
      </c>
      <c r="BC295" s="55">
        <f t="shared" si="113"/>
        <v>24.901784484303857</v>
      </c>
      <c r="BD295" s="55">
        <f t="shared" si="114"/>
        <v>4.9901687831479062</v>
      </c>
      <c r="BE295" s="55">
        <f t="shared" si="115"/>
        <v>4.8902755458729805</v>
      </c>
      <c r="BF295" s="56">
        <f t="shared" si="116"/>
        <v>4.0811145091845441E-2</v>
      </c>
      <c r="BG295" s="56">
        <f t="shared" si="119"/>
        <v>6.7819395637552322E-6</v>
      </c>
      <c r="BH295" s="56">
        <f t="shared" si="120"/>
        <v>2.6042157291121704E-3</v>
      </c>
      <c r="BI295" s="56">
        <f t="shared" si="117"/>
        <v>2.5520845185162851E-3</v>
      </c>
      <c r="BJ295" s="57">
        <f t="shared" si="121"/>
        <v>4.4391695916832386E-3</v>
      </c>
      <c r="BK295" s="57">
        <f t="shared" si="122"/>
        <v>2.8326956395957338E-4</v>
      </c>
      <c r="BL295" s="58">
        <f t="shared" si="123"/>
        <v>7.8325316957994922</v>
      </c>
      <c r="BM295" s="58">
        <f t="shared" si="123"/>
        <v>0.49980470273661459</v>
      </c>
    </row>
    <row r="296" spans="47:65" x14ac:dyDescent="0.2">
      <c r="AU296" s="2">
        <v>-1341</v>
      </c>
      <c r="AV296" s="53">
        <v>294</v>
      </c>
      <c r="AW296" s="4" t="s">
        <v>2819</v>
      </c>
      <c r="AX296" t="s">
        <v>1350</v>
      </c>
      <c r="AY296" s="4">
        <v>24673</v>
      </c>
      <c r="AZ296" s="9">
        <v>21.246282494212718</v>
      </c>
      <c r="BA296" s="7">
        <f t="shared" si="118"/>
        <v>5.4455122896532467E-4</v>
      </c>
      <c r="BB296" s="54">
        <f t="shared" si="112"/>
        <v>78.448469869297071</v>
      </c>
      <c r="BC296" s="55">
        <f t="shared" si="113"/>
        <v>25.034191319600541</v>
      </c>
      <c r="BD296" s="55">
        <f t="shared" si="114"/>
        <v>5.0034179637124598</v>
      </c>
      <c r="BE296" s="55">
        <f t="shared" si="115"/>
        <v>4.9032595042385774</v>
      </c>
      <c r="BF296" s="56">
        <f t="shared" si="116"/>
        <v>4.0939845531542396E-2</v>
      </c>
      <c r="BG296" s="56">
        <f t="shared" si="119"/>
        <v>6.8180002386588756E-6</v>
      </c>
      <c r="BH296" s="56">
        <f t="shared" si="120"/>
        <v>2.6111300692724742E-3</v>
      </c>
      <c r="BI296" s="56">
        <f t="shared" si="117"/>
        <v>2.5588604473618121E-3</v>
      </c>
      <c r="BJ296" s="57">
        <f t="shared" si="121"/>
        <v>3.2140714761852893E-3</v>
      </c>
      <c r="BK296" s="57">
        <f t="shared" si="122"/>
        <v>2.0499243627561869E-4</v>
      </c>
      <c r="BL296" s="58">
        <f t="shared" si="123"/>
        <v>5.670951782727629</v>
      </c>
      <c r="BM296" s="58">
        <f t="shared" si="123"/>
        <v>0.36169146534433883</v>
      </c>
    </row>
    <row r="297" spans="47:65" x14ac:dyDescent="0.2">
      <c r="AU297" s="2">
        <v>-1340</v>
      </c>
      <c r="AV297" s="53">
        <v>295</v>
      </c>
      <c r="AW297" s="4" t="s">
        <v>2223</v>
      </c>
      <c r="AX297" t="s">
        <v>603</v>
      </c>
      <c r="AY297" s="4">
        <v>21239</v>
      </c>
      <c r="AZ297" s="9">
        <v>21.247038191678385</v>
      </c>
      <c r="BA297" s="7">
        <f t="shared" si="118"/>
        <v>5.445705978117931E-4</v>
      </c>
      <c r="BB297" s="54">
        <f t="shared" si="112"/>
        <v>78.487051204063192</v>
      </c>
      <c r="BC297" s="55">
        <f t="shared" si="113"/>
        <v>25.054930238052179</v>
      </c>
      <c r="BD297" s="55">
        <f t="shared" si="114"/>
        <v>5.0054900097844746</v>
      </c>
      <c r="BE297" s="55">
        <f t="shared" si="115"/>
        <v>4.9052900720763057</v>
      </c>
      <c r="BF297" s="56">
        <f t="shared" si="116"/>
        <v>4.0959979944467949E-2</v>
      </c>
      <c r="BG297" s="56">
        <f t="shared" si="119"/>
        <v>6.8236484319299289E-6</v>
      </c>
      <c r="BH297" s="56">
        <f t="shared" si="120"/>
        <v>2.6122114064389829E-3</v>
      </c>
      <c r="BI297" s="56">
        <f t="shared" si="117"/>
        <v>2.559920138312563E-3</v>
      </c>
      <c r="BJ297" s="57">
        <f t="shared" si="121"/>
        <v>2.7680961569731114E-3</v>
      </c>
      <c r="BK297" s="57">
        <f t="shared" si="122"/>
        <v>1.7653456777001357E-4</v>
      </c>
      <c r="BL297" s="58">
        <f t="shared" si="123"/>
        <v>4.8840668144628401</v>
      </c>
      <c r="BM297" s="58">
        <f t="shared" si="123"/>
        <v>0.31148001194939695</v>
      </c>
    </row>
    <row r="298" spans="47:65" x14ac:dyDescent="0.2">
      <c r="AU298" s="2">
        <v>-1339</v>
      </c>
      <c r="AV298" s="53">
        <v>296</v>
      </c>
      <c r="AW298" s="4" t="s">
        <v>2968</v>
      </c>
      <c r="AX298" t="s">
        <v>1162</v>
      </c>
      <c r="AY298" s="4">
        <v>53669</v>
      </c>
      <c r="AZ298" s="9">
        <v>21.263140037532612</v>
      </c>
      <c r="BA298" s="7">
        <f t="shared" si="118"/>
        <v>5.4498329494838242E-4</v>
      </c>
      <c r="BB298" s="54">
        <f t="shared" si="112"/>
        <v>79.313638679207827</v>
      </c>
      <c r="BC298" s="55">
        <f t="shared" si="113"/>
        <v>25.50085165442934</v>
      </c>
      <c r="BD298" s="55">
        <f t="shared" si="114"/>
        <v>5.0498367948310312</v>
      </c>
      <c r="BE298" s="55">
        <f t="shared" si="115"/>
        <v>4.9487491228370004</v>
      </c>
      <c r="BF298" s="56">
        <f t="shared" si="116"/>
        <v>4.1391350544903005E-2</v>
      </c>
      <c r="BG298" s="56">
        <f t="shared" si="119"/>
        <v>6.9450940294513593E-6</v>
      </c>
      <c r="BH298" s="56">
        <f t="shared" si="120"/>
        <v>2.6353546306809184E-3</v>
      </c>
      <c r="BI298" s="56">
        <f t="shared" si="117"/>
        <v>2.582600081312727E-3</v>
      </c>
      <c r="BJ298" s="57">
        <f t="shared" si="121"/>
        <v>7.0683894907844162E-3</v>
      </c>
      <c r="BK298" s="57">
        <f t="shared" si="122"/>
        <v>4.5003878179299692E-4</v>
      </c>
      <c r="BL298" s="58">
        <f t="shared" si="123"/>
        <v>12.471563336653771</v>
      </c>
      <c r="BM298" s="58">
        <f t="shared" si="123"/>
        <v>0.79405459735906514</v>
      </c>
    </row>
    <row r="299" spans="47:65" x14ac:dyDescent="0.2">
      <c r="AU299" s="2">
        <v>-1338</v>
      </c>
      <c r="AV299" s="53">
        <v>297</v>
      </c>
      <c r="AW299" s="4" t="s">
        <v>1531</v>
      </c>
      <c r="AX299" t="s">
        <v>124</v>
      </c>
      <c r="AY299" s="4">
        <v>22246</v>
      </c>
      <c r="AZ299" s="9">
        <v>21.269526986582228</v>
      </c>
      <c r="BA299" s="7">
        <f t="shared" si="118"/>
        <v>5.451469951606551E-4</v>
      </c>
      <c r="BB299" s="54">
        <f t="shared" si="112"/>
        <v>79.643918845554282</v>
      </c>
      <c r="BC299" s="55">
        <f t="shared" si="113"/>
        <v>25.679881537309651</v>
      </c>
      <c r="BD299" s="55">
        <f t="shared" si="114"/>
        <v>5.0675320953408525</v>
      </c>
      <c r="BE299" s="55">
        <f t="shared" si="115"/>
        <v>4.9660901986844319</v>
      </c>
      <c r="BF299" s="56">
        <f t="shared" si="116"/>
        <v>4.1563713613486514E-2</v>
      </c>
      <c r="BG299" s="56">
        <f t="shared" si="119"/>
        <v>6.9938523763309401E-6</v>
      </c>
      <c r="BH299" s="56">
        <f t="shared" si="120"/>
        <v>2.6445892642017097E-3</v>
      </c>
      <c r="BI299" s="56">
        <f t="shared" si="117"/>
        <v>2.5916498558683156E-3</v>
      </c>
      <c r="BJ299" s="57">
        <f t="shared" si="121"/>
        <v>2.9420743843089807E-3</v>
      </c>
      <c r="BK299" s="57">
        <f t="shared" si="122"/>
        <v>1.8719641857751994E-4</v>
      </c>
      <c r="BL299" s="58">
        <f t="shared" si="123"/>
        <v>5.1910363842986493</v>
      </c>
      <c r="BM299" s="58">
        <f t="shared" si="123"/>
        <v>0.33029192770547283</v>
      </c>
    </row>
    <row r="300" spans="47:65" x14ac:dyDescent="0.2">
      <c r="AU300" s="2">
        <v>-1337</v>
      </c>
      <c r="AV300" s="53">
        <v>298</v>
      </c>
      <c r="AW300" s="4" t="s">
        <v>1632</v>
      </c>
      <c r="AX300" t="s">
        <v>1286</v>
      </c>
      <c r="AY300" s="4">
        <v>16114</v>
      </c>
      <c r="AZ300" s="9">
        <v>21.272719379640456</v>
      </c>
      <c r="BA300" s="7">
        <f t="shared" si="118"/>
        <v>5.4522881754834438E-4</v>
      </c>
      <c r="BB300" s="54">
        <f t="shared" si="112"/>
        <v>79.809518216609959</v>
      </c>
      <c r="BC300" s="55">
        <f t="shared" si="113"/>
        <v>25.769828255972786</v>
      </c>
      <c r="BD300" s="55">
        <f t="shared" si="114"/>
        <v>5.0763991426967978</v>
      </c>
      <c r="BE300" s="55">
        <f t="shared" si="115"/>
        <v>4.9747797454178642</v>
      </c>
      <c r="BF300" s="56">
        <f t="shared" si="116"/>
        <v>4.1650134836009239E-2</v>
      </c>
      <c r="BG300" s="56">
        <f t="shared" si="119"/>
        <v>7.0183491432316706E-6</v>
      </c>
      <c r="BH300" s="56">
        <f t="shared" si="120"/>
        <v>2.6492167037129428E-3</v>
      </c>
      <c r="BI300" s="56">
        <f t="shared" si="117"/>
        <v>2.596184663259643E-3</v>
      </c>
      <c r="BJ300" s="57">
        <f t="shared" si="121"/>
        <v>2.1355372105256202E-3</v>
      </c>
      <c r="BK300" s="57">
        <f t="shared" si="122"/>
        <v>1.3583391438708479E-4</v>
      </c>
      <c r="BL300" s="58">
        <f t="shared" si="123"/>
        <v>3.7679711359391335</v>
      </c>
      <c r="BM300" s="58">
        <f t="shared" si="123"/>
        <v>0.23966722104841667</v>
      </c>
    </row>
    <row r="301" spans="47:65" x14ac:dyDescent="0.2">
      <c r="AU301" s="2">
        <v>-1336</v>
      </c>
      <c r="AV301" s="53">
        <v>299</v>
      </c>
      <c r="AW301" s="4" t="s">
        <v>1951</v>
      </c>
      <c r="AX301" t="s">
        <v>1952</v>
      </c>
      <c r="AY301" s="4">
        <v>38877</v>
      </c>
      <c r="AZ301" s="9">
        <v>21.278196472547453</v>
      </c>
      <c r="BA301" s="7">
        <f t="shared" si="118"/>
        <v>5.4536919776189353E-4</v>
      </c>
      <c r="BB301" s="54">
        <f t="shared" si="112"/>
        <v>80.094434679033967</v>
      </c>
      <c r="BC301" s="55">
        <f t="shared" si="113"/>
        <v>25.924868432077435</v>
      </c>
      <c r="BD301" s="55">
        <f t="shared" si="114"/>
        <v>5.0916469272797613</v>
      </c>
      <c r="BE301" s="55">
        <f t="shared" si="115"/>
        <v>4.9897222997311808</v>
      </c>
      <c r="BF301" s="56">
        <f t="shared" si="116"/>
        <v>4.1798823981641559E-2</v>
      </c>
      <c r="BG301" s="56">
        <f t="shared" si="119"/>
        <v>7.0605739526610899E-6</v>
      </c>
      <c r="BH301" s="56">
        <f t="shared" si="120"/>
        <v>2.6571740538890352E-3</v>
      </c>
      <c r="BI301" s="56">
        <f t="shared" si="117"/>
        <v>2.6039827231384002E-3</v>
      </c>
      <c r="BJ301" s="57">
        <f t="shared" si="121"/>
        <v>5.1706385493623785E-3</v>
      </c>
      <c r="BK301" s="57">
        <f t="shared" si="122"/>
        <v>3.2870031466527801E-4</v>
      </c>
      <c r="BL301" s="58">
        <f t="shared" si="123"/>
        <v>9.1231455543574089</v>
      </c>
      <c r="BM301" s="58">
        <f t="shared" si="123"/>
        <v>0.57996334221122647</v>
      </c>
    </row>
    <row r="302" spans="47:65" x14ac:dyDescent="0.2">
      <c r="AU302" s="2">
        <v>-1335</v>
      </c>
      <c r="AV302" s="53">
        <v>300</v>
      </c>
      <c r="AW302" s="4" t="s">
        <v>2661</v>
      </c>
      <c r="AX302" t="s">
        <v>2662</v>
      </c>
      <c r="AY302" s="4">
        <v>34461</v>
      </c>
      <c r="AZ302" s="9">
        <v>21.290939802624127</v>
      </c>
      <c r="BA302" s="7">
        <f t="shared" si="118"/>
        <v>5.4569581471505953E-4</v>
      </c>
      <c r="BB302" s="54">
        <f t="shared" si="112"/>
        <v>80.761281131862745</v>
      </c>
      <c r="BC302" s="55">
        <f t="shared" si="113"/>
        <v>26.289147742495771</v>
      </c>
      <c r="BD302" s="55">
        <f t="shared" si="114"/>
        <v>5.1272943881247715</v>
      </c>
      <c r="BE302" s="55">
        <f t="shared" si="115"/>
        <v>5.0246561694294414</v>
      </c>
      <c r="BF302" s="56">
        <f t="shared" si="116"/>
        <v>4.2146830651721326E-2</v>
      </c>
      <c r="BG302" s="56">
        <f t="shared" si="119"/>
        <v>7.1597845240616943E-6</v>
      </c>
      <c r="BH302" s="56">
        <f t="shared" si="120"/>
        <v>2.6757773681795154E-3</v>
      </c>
      <c r="BI302" s="56">
        <f t="shared" si="117"/>
        <v>2.6222136361396106E-3</v>
      </c>
      <c r="BJ302" s="57">
        <f t="shared" si="121"/>
        <v>4.621470340057672E-3</v>
      </c>
      <c r="BK302" s="57">
        <f t="shared" si="122"/>
        <v>2.9340345531139397E-4</v>
      </c>
      <c r="BL302" s="58">
        <f t="shared" si="123"/>
        <v>8.1541856358710394</v>
      </c>
      <c r="BM302" s="58">
        <f t="shared" si="123"/>
        <v>0.51768507958989596</v>
      </c>
    </row>
    <row r="303" spans="47:65" x14ac:dyDescent="0.2">
      <c r="AU303" s="2">
        <v>-1334</v>
      </c>
      <c r="AV303" s="53">
        <v>301</v>
      </c>
      <c r="AW303" s="4" t="s">
        <v>2163</v>
      </c>
      <c r="AX303" t="s">
        <v>559</v>
      </c>
      <c r="AY303" s="4">
        <v>51255</v>
      </c>
      <c r="AZ303" s="9">
        <v>21.299032829316644</v>
      </c>
      <c r="BA303" s="7">
        <f t="shared" si="118"/>
        <v>5.4590324242071385E-4</v>
      </c>
      <c r="BB303" s="54">
        <f t="shared" si="112"/>
        <v>81.18766152681367</v>
      </c>
      <c r="BC303" s="55">
        <f t="shared" si="113"/>
        <v>26.523098789870563</v>
      </c>
      <c r="BD303" s="55">
        <f t="shared" si="114"/>
        <v>5.1500581346107701</v>
      </c>
      <c r="BE303" s="55">
        <f t="shared" si="115"/>
        <v>5.0469642310623204</v>
      </c>
      <c r="BF303" s="56">
        <f t="shared" si="116"/>
        <v>4.2369345476243131E-2</v>
      </c>
      <c r="BG303" s="56">
        <f t="shared" si="119"/>
        <v>7.2235005145831054E-6</v>
      </c>
      <c r="BH303" s="56">
        <f t="shared" si="120"/>
        <v>2.6876570678907503E-3</v>
      </c>
      <c r="BI303" s="56">
        <f t="shared" si="117"/>
        <v>2.6338555279301961E-3</v>
      </c>
      <c r="BJ303" s="57">
        <f t="shared" si="121"/>
        <v>6.9099573220819267E-3</v>
      </c>
      <c r="BK303" s="57">
        <f t="shared" si="122"/>
        <v>4.383262339025319E-4</v>
      </c>
      <c r="BL303" s="58">
        <f t="shared" si="123"/>
        <v>12.19202344583244</v>
      </c>
      <c r="BM303" s="58">
        <f t="shared" si="123"/>
        <v>0.77338881726305142</v>
      </c>
    </row>
    <row r="304" spans="47:65" x14ac:dyDescent="0.2">
      <c r="AU304" s="2">
        <v>-1333</v>
      </c>
      <c r="AV304" s="53">
        <v>302</v>
      </c>
      <c r="AW304" s="4" t="s">
        <v>2893</v>
      </c>
      <c r="AX304" t="s">
        <v>1109</v>
      </c>
      <c r="AY304" s="4">
        <v>45234</v>
      </c>
      <c r="AZ304" s="9">
        <v>21.323627657863099</v>
      </c>
      <c r="BA304" s="7">
        <f t="shared" si="118"/>
        <v>5.4653361830481553E-4</v>
      </c>
      <c r="BB304" s="54">
        <f t="shared" si="112"/>
        <v>82.497304262711808</v>
      </c>
      <c r="BC304" s="55">
        <f t="shared" si="113"/>
        <v>27.246697237692938</v>
      </c>
      <c r="BD304" s="55">
        <f t="shared" si="114"/>
        <v>5.2198368976140372</v>
      </c>
      <c r="BE304" s="55">
        <f t="shared" si="115"/>
        <v>5.1153461622484002</v>
      </c>
      <c r="BF304" s="56">
        <f t="shared" si="116"/>
        <v>4.3052807771919596E-2</v>
      </c>
      <c r="BG304" s="56">
        <f t="shared" si="119"/>
        <v>7.4205707665025707E-6</v>
      </c>
      <c r="BH304" s="56">
        <f t="shared" si="120"/>
        <v>2.7240724598480434E-3</v>
      </c>
      <c r="BI304" s="56">
        <f t="shared" si="117"/>
        <v>2.6695419562897983E-3</v>
      </c>
      <c r="BJ304" s="57">
        <f t="shared" si="121"/>
        <v>6.1966054679749479E-3</v>
      </c>
      <c r="BK304" s="57">
        <f t="shared" si="122"/>
        <v>3.9207668845384866E-4</v>
      </c>
      <c r="BL304" s="58">
        <f t="shared" si="123"/>
        <v>10.933375653232195</v>
      </c>
      <c r="BM304" s="58">
        <f t="shared" si="123"/>
        <v>0.69178548511692073</v>
      </c>
    </row>
    <row r="305" spans="47:65" x14ac:dyDescent="0.2">
      <c r="AU305" s="2">
        <v>-1332</v>
      </c>
      <c r="AV305" s="53">
        <v>303</v>
      </c>
      <c r="AW305" s="4" t="s">
        <v>2242</v>
      </c>
      <c r="AX305" t="s">
        <v>611</v>
      </c>
      <c r="AY305" s="4">
        <v>42271</v>
      </c>
      <c r="AZ305" s="9">
        <v>21.343157515842972</v>
      </c>
      <c r="BA305" s="7">
        <f t="shared" si="118"/>
        <v>5.47034176845697E-4</v>
      </c>
      <c r="BB305" s="54">
        <f t="shared" si="112"/>
        <v>83.552276530854812</v>
      </c>
      <c r="BC305" s="55">
        <f t="shared" si="113"/>
        <v>27.835054993829562</v>
      </c>
      <c r="BD305" s="55">
        <f t="shared" si="114"/>
        <v>5.2758937625609521</v>
      </c>
      <c r="BE305" s="55">
        <f t="shared" si="115"/>
        <v>5.1702808804394893</v>
      </c>
      <c r="BF305" s="56">
        <f t="shared" si="116"/>
        <v>4.3603365377055781E-2</v>
      </c>
      <c r="BG305" s="56">
        <f t="shared" si="119"/>
        <v>7.5808085497221582E-6</v>
      </c>
      <c r="BH305" s="56">
        <f t="shared" si="120"/>
        <v>2.7533268149135797E-3</v>
      </c>
      <c r="BI305" s="56">
        <f t="shared" si="117"/>
        <v>2.6982106974494974E-3</v>
      </c>
      <c r="BJ305" s="57">
        <f t="shared" si="121"/>
        <v>5.864755405977494E-3</v>
      </c>
      <c r="BK305" s="57">
        <f t="shared" si="122"/>
        <v>3.7032894554244931E-4</v>
      </c>
      <c r="BL305" s="58">
        <f t="shared" si="123"/>
        <v>10.34785485363992</v>
      </c>
      <c r="BM305" s="58">
        <f t="shared" si="123"/>
        <v>0.65341346932712863</v>
      </c>
    </row>
    <row r="306" spans="47:65" x14ac:dyDescent="0.2">
      <c r="AU306" s="2">
        <v>-1331</v>
      </c>
      <c r="AV306" s="53">
        <v>304</v>
      </c>
      <c r="AW306" s="4" t="s">
        <v>3213</v>
      </c>
      <c r="AX306" t="s">
        <v>3214</v>
      </c>
      <c r="AY306" s="5">
        <v>12861.639999999998</v>
      </c>
      <c r="AZ306" s="9">
        <v>21.344620997872703</v>
      </c>
      <c r="BA306" s="7">
        <f t="shared" si="118"/>
        <v>5.4707168651065019E-4</v>
      </c>
      <c r="BB306" s="54">
        <f t="shared" si="112"/>
        <v>83.631872801346987</v>
      </c>
      <c r="BC306" s="55">
        <f t="shared" si="113"/>
        <v>27.87964292375224</v>
      </c>
      <c r="BD306" s="55">
        <f t="shared" si="114"/>
        <v>5.2801176998010417</v>
      </c>
      <c r="BE306" s="55">
        <f t="shared" si="115"/>
        <v>5.1744202628712559</v>
      </c>
      <c r="BF306" s="56">
        <f t="shared" si="116"/>
        <v>4.3644904224457964E-2</v>
      </c>
      <c r="BG306" s="56">
        <f t="shared" si="119"/>
        <v>7.5929519624245219E-6</v>
      </c>
      <c r="BH306" s="56">
        <f t="shared" si="120"/>
        <v>2.7555311579484129E-3</v>
      </c>
      <c r="BI306" s="56">
        <f t="shared" si="117"/>
        <v>2.7003709139284196E-3</v>
      </c>
      <c r="BJ306" s="57">
        <f t="shared" si="121"/>
        <v>1.7861472792145871E-3</v>
      </c>
      <c r="BK306" s="57">
        <f t="shared" si="122"/>
        <v>1.1276882302796948E-4</v>
      </c>
      <c r="BL306" s="58">
        <f t="shared" si="123"/>
        <v>3.1515027504298496</v>
      </c>
      <c r="BM306" s="58">
        <f t="shared" si="123"/>
        <v>0.19897085759448518</v>
      </c>
    </row>
    <row r="307" spans="47:65" x14ac:dyDescent="0.2">
      <c r="AU307" s="2">
        <v>-1330</v>
      </c>
      <c r="AV307" s="53">
        <v>305</v>
      </c>
      <c r="AW307" s="4" t="s">
        <v>3263</v>
      </c>
      <c r="AX307" t="s">
        <v>3264</v>
      </c>
      <c r="AY307" s="5">
        <v>116746.625</v>
      </c>
      <c r="AZ307" s="9">
        <v>21.350238885776683</v>
      </c>
      <c r="BA307" s="7">
        <f t="shared" si="118"/>
        <v>5.4721567535967052E-4</v>
      </c>
      <c r="BB307" s="54">
        <f t="shared" si="112"/>
        <v>83.938124981305947</v>
      </c>
      <c r="BC307" s="55">
        <f t="shared" si="113"/>
        <v>28.051455339275904</v>
      </c>
      <c r="BD307" s="55">
        <f t="shared" si="114"/>
        <v>5.2963624629811639</v>
      </c>
      <c r="BE307" s="55">
        <f t="shared" si="115"/>
        <v>5.1903398382564667</v>
      </c>
      <c r="BF307" s="56">
        <f t="shared" si="116"/>
        <v>4.3804727825378476E-2</v>
      </c>
      <c r="BG307" s="56">
        <f t="shared" si="119"/>
        <v>7.63974464987697E-6</v>
      </c>
      <c r="BH307" s="56">
        <f t="shared" si="120"/>
        <v>2.7640088006149637E-3</v>
      </c>
      <c r="BI307" s="56">
        <f t="shared" si="117"/>
        <v>2.7086788510785396E-3</v>
      </c>
      <c r="BJ307" s="57">
        <f t="shared" si="121"/>
        <v>1.6272440525461718E-2</v>
      </c>
      <c r="BK307" s="57">
        <f t="shared" si="122"/>
        <v>1.0267651701696464E-3</v>
      </c>
      <c r="BL307" s="58">
        <f t="shared" si="123"/>
        <v>28.711317184744694</v>
      </c>
      <c r="BM307" s="58">
        <f t="shared" si="123"/>
        <v>1.8116385448674184</v>
      </c>
    </row>
    <row r="308" spans="47:65" x14ac:dyDescent="0.2">
      <c r="AU308" s="2">
        <v>-1329</v>
      </c>
      <c r="AV308" s="53">
        <v>306</v>
      </c>
      <c r="AW308" s="4" t="s">
        <v>3049</v>
      </c>
      <c r="AX308" t="s">
        <v>1209</v>
      </c>
      <c r="AY308" s="4">
        <v>20866</v>
      </c>
      <c r="AZ308" s="9">
        <v>21.370943479929391</v>
      </c>
      <c r="BA308" s="7">
        <f t="shared" si="118"/>
        <v>5.4774634288676173E-4</v>
      </c>
      <c r="BB308" s="54">
        <f t="shared" si="112"/>
        <v>85.076525660161423</v>
      </c>
      <c r="BC308" s="55">
        <f t="shared" si="113"/>
        <v>28.693687248265302</v>
      </c>
      <c r="BD308" s="55">
        <f t="shared" si="114"/>
        <v>5.3566488823018164</v>
      </c>
      <c r="BE308" s="55">
        <f t="shared" si="115"/>
        <v>5.2494194435691464</v>
      </c>
      <c r="BF308" s="56">
        <f t="shared" si="116"/>
        <v>4.4398824154127756E-2</v>
      </c>
      <c r="BG308" s="56">
        <f t="shared" si="119"/>
        <v>7.8146549257020376E-6</v>
      </c>
      <c r="BH308" s="56">
        <f t="shared" si="120"/>
        <v>2.7954704301247826E-3</v>
      </c>
      <c r="BI308" s="56">
        <f t="shared" si="117"/>
        <v>2.7395106814456331E-3</v>
      </c>
      <c r="BJ308" s="57">
        <f t="shared" si="121"/>
        <v>2.9478001982699022E-3</v>
      </c>
      <c r="BK308" s="57">
        <f t="shared" si="122"/>
        <v>1.8560149835439654E-4</v>
      </c>
      <c r="BL308" s="58">
        <f t="shared" si="123"/>
        <v>5.2011390889615186</v>
      </c>
      <c r="BM308" s="58">
        <f t="shared" si="123"/>
        <v>0.32747782859484426</v>
      </c>
    </row>
    <row r="309" spans="47:65" x14ac:dyDescent="0.2">
      <c r="AU309" s="2">
        <v>-1328</v>
      </c>
      <c r="AV309" s="53">
        <v>307</v>
      </c>
      <c r="AW309" s="4" t="s">
        <v>2162</v>
      </c>
      <c r="AX309" t="s">
        <v>558</v>
      </c>
      <c r="AY309" s="4">
        <v>62625</v>
      </c>
      <c r="AZ309" s="9">
        <v>21.371599415606465</v>
      </c>
      <c r="BA309" s="7">
        <f t="shared" si="118"/>
        <v>5.4776315479628847E-4</v>
      </c>
      <c r="BB309" s="54">
        <f t="shared" si="112"/>
        <v>85.112842207729543</v>
      </c>
      <c r="BC309" s="55">
        <f t="shared" si="113"/>
        <v>28.714267715303311</v>
      </c>
      <c r="BD309" s="55">
        <f t="shared" si="114"/>
        <v>5.3585695586885231</v>
      </c>
      <c r="BE309" s="55">
        <f t="shared" si="115"/>
        <v>5.2513016718410972</v>
      </c>
      <c r="BF309" s="56">
        <f t="shared" si="116"/>
        <v>4.4417776644216547E-2</v>
      </c>
      <c r="BG309" s="56">
        <f t="shared" si="119"/>
        <v>7.8202599651209036E-6</v>
      </c>
      <c r="BH309" s="56">
        <f t="shared" si="120"/>
        <v>2.7964727721043348E-3</v>
      </c>
      <c r="BI309" s="56">
        <f t="shared" si="117"/>
        <v>2.7404929585356907E-3</v>
      </c>
      <c r="BJ309" s="57">
        <f t="shared" si="121"/>
        <v>8.8509915664194676E-3</v>
      </c>
      <c r="BK309" s="57">
        <f t="shared" si="122"/>
        <v>5.5724439158392548E-4</v>
      </c>
      <c r="BL309" s="58">
        <f t="shared" si="123"/>
        <v>15.616810881277383</v>
      </c>
      <c r="BM309" s="58">
        <f t="shared" si="123"/>
        <v>0.9832096452374155</v>
      </c>
    </row>
    <row r="310" spans="47:65" x14ac:dyDescent="0.2">
      <c r="AU310" s="2">
        <v>-1327</v>
      </c>
      <c r="AV310" s="53">
        <v>308</v>
      </c>
      <c r="AW310" s="4" t="s">
        <v>2155</v>
      </c>
      <c r="AX310" t="s">
        <v>553</v>
      </c>
      <c r="AY310" s="4">
        <v>23998</v>
      </c>
      <c r="AZ310" s="9">
        <v>21.384181574192137</v>
      </c>
      <c r="BA310" s="7">
        <f t="shared" si="118"/>
        <v>5.4808564085580172E-4</v>
      </c>
      <c r="BB310" s="54">
        <f t="shared" si="112"/>
        <v>85.812475002872844</v>
      </c>
      <c r="BC310" s="55">
        <f t="shared" si="113"/>
        <v>29.111858663038493</v>
      </c>
      <c r="BD310" s="55">
        <f t="shared" si="114"/>
        <v>5.39554062750328</v>
      </c>
      <c r="BE310" s="55">
        <f t="shared" si="115"/>
        <v>5.2875326535145346</v>
      </c>
      <c r="BF310" s="56">
        <f t="shared" si="116"/>
        <v>4.478289349875416E-2</v>
      </c>
      <c r="BG310" s="56">
        <f t="shared" si="119"/>
        <v>7.9285428787548769E-6</v>
      </c>
      <c r="BH310" s="56">
        <f t="shared" si="120"/>
        <v>2.8157668367169318E-3</v>
      </c>
      <c r="BI310" s="56">
        <f t="shared" si="117"/>
        <v>2.7594007944137301E-3</v>
      </c>
      <c r="BJ310" s="57">
        <f t="shared" si="121"/>
        <v>3.4195941999877197E-3</v>
      </c>
      <c r="BK310" s="57">
        <f t="shared" si="122"/>
        <v>2.1501022357170506E-4</v>
      </c>
      <c r="BL310" s="58">
        <f t="shared" si="123"/>
        <v>6.0335788946553786</v>
      </c>
      <c r="BM310" s="58">
        <f t="shared" si="123"/>
        <v>0.3793669866097073</v>
      </c>
    </row>
    <row r="311" spans="47:65" x14ac:dyDescent="0.2">
      <c r="AU311" s="2">
        <v>-1326</v>
      </c>
      <c r="AV311" s="53">
        <v>309</v>
      </c>
      <c r="AW311" s="4" t="s">
        <v>2969</v>
      </c>
      <c r="AX311" t="s">
        <v>2970</v>
      </c>
      <c r="AY311" s="4">
        <v>49784</v>
      </c>
      <c r="AZ311" s="9">
        <v>21.384532932565275</v>
      </c>
      <c r="BA311" s="7">
        <f t="shared" si="118"/>
        <v>5.4809464631988471E-4</v>
      </c>
      <c r="BB311" s="54">
        <f t="shared" si="112"/>
        <v>85.832094666465082</v>
      </c>
      <c r="BC311" s="55">
        <f t="shared" si="113"/>
        <v>29.123038645542561</v>
      </c>
      <c r="BD311" s="55">
        <f t="shared" si="114"/>
        <v>5.3965765671898476</v>
      </c>
      <c r="BE311" s="55">
        <f t="shared" si="115"/>
        <v>5.2885478557524488</v>
      </c>
      <c r="BF311" s="56">
        <f t="shared" si="116"/>
        <v>4.4793132398227721E-2</v>
      </c>
      <c r="BG311" s="56">
        <f t="shared" si="119"/>
        <v>7.931587719405343E-6</v>
      </c>
      <c r="BH311" s="56">
        <f t="shared" si="120"/>
        <v>2.8163074618026604E-3</v>
      </c>
      <c r="BI311" s="56">
        <f t="shared" si="117"/>
        <v>2.7599305972623137E-3</v>
      </c>
      <c r="BJ311" s="57">
        <f t="shared" si="121"/>
        <v>7.0955913233966463E-3</v>
      </c>
      <c r="BK311" s="57">
        <f t="shared" si="122"/>
        <v>4.4612568311420085E-4</v>
      </c>
      <c r="BL311" s="58">
        <f t="shared" si="123"/>
        <v>12.519558623096149</v>
      </c>
      <c r="BM311" s="58">
        <f t="shared" si="123"/>
        <v>0.78715027239525148</v>
      </c>
    </row>
    <row r="312" spans="47:65" x14ac:dyDescent="0.2">
      <c r="AU312" s="2">
        <v>-1325</v>
      </c>
      <c r="AV312" s="53">
        <v>310</v>
      </c>
      <c r="AW312" s="4" t="s">
        <v>3151</v>
      </c>
      <c r="AX312" t="s">
        <v>3152</v>
      </c>
      <c r="AY312" s="5">
        <v>21964.034999999996</v>
      </c>
      <c r="AZ312" s="9">
        <v>21.410505870027237</v>
      </c>
      <c r="BA312" s="7">
        <f t="shared" si="118"/>
        <v>5.4876034371982303E-4</v>
      </c>
      <c r="BB312" s="54">
        <f t="shared" si="112"/>
        <v>87.294901606370701</v>
      </c>
      <c r="BC312" s="55">
        <f t="shared" si="113"/>
        <v>29.961254786483369</v>
      </c>
      <c r="BD312" s="55">
        <f t="shared" si="114"/>
        <v>5.4736874944120961</v>
      </c>
      <c r="BE312" s="55">
        <f t="shared" si="115"/>
        <v>5.3641151758374974</v>
      </c>
      <c r="BF312" s="56">
        <f t="shared" si="116"/>
        <v>4.5556526384904372E-2</v>
      </c>
      <c r="BG312" s="56">
        <f t="shared" si="119"/>
        <v>8.1598738172472851E-6</v>
      </c>
      <c r="BH312" s="56">
        <f t="shared" si="120"/>
        <v>2.856549284932309E-3</v>
      </c>
      <c r="BI312" s="56">
        <f t="shared" si="117"/>
        <v>2.7993668592654845E-3</v>
      </c>
      <c r="BJ312" s="57">
        <f t="shared" si="121"/>
        <v>3.1838316935463894E-3</v>
      </c>
      <c r="BK312" s="57">
        <f t="shared" si="122"/>
        <v>1.9963708538055718E-4</v>
      </c>
      <c r="BL312" s="58">
        <f t="shared" si="123"/>
        <v>5.6175962956029606</v>
      </c>
      <c r="BM312" s="58">
        <f t="shared" si="123"/>
        <v>0.35224241079452329</v>
      </c>
    </row>
    <row r="313" spans="47:65" x14ac:dyDescent="0.2">
      <c r="AU313" s="2">
        <v>-1324</v>
      </c>
      <c r="AV313" s="53">
        <v>311</v>
      </c>
      <c r="AW313" s="4" t="s">
        <v>2453</v>
      </c>
      <c r="AX313" t="s">
        <v>1333</v>
      </c>
      <c r="AY313" s="4">
        <v>62447</v>
      </c>
      <c r="AZ313" s="9">
        <v>21.411368230803252</v>
      </c>
      <c r="BA313" s="7">
        <f t="shared" si="118"/>
        <v>5.48782446392162E-4</v>
      </c>
      <c r="BB313" s="54">
        <f t="shared" si="112"/>
        <v>87.343895449167292</v>
      </c>
      <c r="BC313" s="55">
        <f t="shared" si="113"/>
        <v>29.98948782455227</v>
      </c>
      <c r="BD313" s="55">
        <f t="shared" si="114"/>
        <v>5.4762658650354323</v>
      </c>
      <c r="BE313" s="55">
        <f t="shared" si="115"/>
        <v>5.3666419326177648</v>
      </c>
      <c r="BF313" s="56">
        <f t="shared" si="116"/>
        <v>4.5582094765771811E-2</v>
      </c>
      <c r="BG313" s="56">
        <f t="shared" si="119"/>
        <v>8.1675630155055446E-6</v>
      </c>
      <c r="BH313" s="56">
        <f t="shared" si="120"/>
        <v>2.8578948573216518E-3</v>
      </c>
      <c r="BI313" s="56">
        <f t="shared" si="117"/>
        <v>2.8006854959763362E-3</v>
      </c>
      <c r="BJ313" s="57">
        <f t="shared" si="121"/>
        <v>9.0571848454857468E-3</v>
      </c>
      <c r="BK313" s="57">
        <f t="shared" si="122"/>
        <v>5.6786512609250056E-4</v>
      </c>
      <c r="BL313" s="58">
        <f t="shared" si="123"/>
        <v>15.980621130107071</v>
      </c>
      <c r="BM313" s="58">
        <f t="shared" si="123"/>
        <v>1.0019490148318859</v>
      </c>
    </row>
    <row r="314" spans="47:65" x14ac:dyDescent="0.2">
      <c r="AU314" s="2">
        <v>-1323</v>
      </c>
      <c r="AV314" s="53">
        <v>312</v>
      </c>
      <c r="AW314" s="4" t="s">
        <v>2465</v>
      </c>
      <c r="AX314" t="s">
        <v>784</v>
      </c>
      <c r="AY314" s="4">
        <v>48938</v>
      </c>
      <c r="AZ314" s="9">
        <v>21.414038278088537</v>
      </c>
      <c r="BA314" s="7">
        <f t="shared" si="118"/>
        <v>5.4885088083621086E-4</v>
      </c>
      <c r="BB314" s="54">
        <f t="shared" si="112"/>
        <v>87.495764971827796</v>
      </c>
      <c r="BC314" s="55">
        <f t="shared" si="113"/>
        <v>30.077068825530407</v>
      </c>
      <c r="BD314" s="55">
        <f t="shared" si="114"/>
        <v>5.4842564514736551</v>
      </c>
      <c r="BE314" s="55">
        <f t="shared" si="115"/>
        <v>5.3744725634349004</v>
      </c>
      <c r="BF314" s="56">
        <f t="shared" si="116"/>
        <v>4.56613508023654E-2</v>
      </c>
      <c r="BG314" s="56">
        <f t="shared" si="119"/>
        <v>8.1914154850319283E-6</v>
      </c>
      <c r="BH314" s="56">
        <f t="shared" si="120"/>
        <v>2.862064898815526E-3</v>
      </c>
      <c r="BI314" s="56">
        <f t="shared" si="117"/>
        <v>2.8047720615473519E-3</v>
      </c>
      <c r="BJ314" s="57">
        <f t="shared" si="121"/>
        <v>7.1102086257951724E-3</v>
      </c>
      <c r="BK314" s="57">
        <f t="shared" si="122"/>
        <v>4.4566965658163476E-4</v>
      </c>
      <c r="BL314" s="58">
        <f t="shared" si="123"/>
        <v>12.545349591875093</v>
      </c>
      <c r="BM314" s="58">
        <f t="shared" si="123"/>
        <v>0.78634565292832659</v>
      </c>
    </row>
    <row r="315" spans="47:65" x14ac:dyDescent="0.2">
      <c r="AU315" s="2">
        <v>-1322</v>
      </c>
      <c r="AV315" s="53">
        <v>313</v>
      </c>
      <c r="AW315" s="4" t="s">
        <v>3055</v>
      </c>
      <c r="AX315" t="s">
        <v>1359</v>
      </c>
      <c r="AY315" s="4">
        <v>24498</v>
      </c>
      <c r="AZ315" s="9">
        <v>21.419363593574769</v>
      </c>
      <c r="BA315" s="7">
        <f t="shared" si="118"/>
        <v>5.4898737093011065E-4</v>
      </c>
      <c r="BB315" s="54">
        <f t="shared" si="112"/>
        <v>87.799452457683955</v>
      </c>
      <c r="BC315" s="55">
        <f t="shared" si="113"/>
        <v>30.252496291918135</v>
      </c>
      <c r="BD315" s="55">
        <f t="shared" si="114"/>
        <v>5.5002269309473162</v>
      </c>
      <c r="BE315" s="55">
        <f t="shared" si="115"/>
        <v>5.3901233457270061</v>
      </c>
      <c r="BF315" s="56">
        <f t="shared" si="116"/>
        <v>4.5819835968252356E-2</v>
      </c>
      <c r="BG315" s="56">
        <f t="shared" si="119"/>
        <v>8.2391927226675453E-6</v>
      </c>
      <c r="BH315" s="56">
        <f t="shared" si="120"/>
        <v>2.8703994012449809E-3</v>
      </c>
      <c r="BI315" s="56">
        <f t="shared" si="117"/>
        <v>2.8129397238427483E-3</v>
      </c>
      <c r="BJ315" s="57">
        <f t="shared" si="121"/>
        <v>3.5716716990548264E-3</v>
      </c>
      <c r="BK315" s="57">
        <f t="shared" si="122"/>
        <v>2.2374860341084829E-4</v>
      </c>
      <c r="BL315" s="58">
        <f t="shared" si="123"/>
        <v>6.3019065192391848</v>
      </c>
      <c r="BM315" s="58">
        <f t="shared" si="123"/>
        <v>0.39478510381528853</v>
      </c>
    </row>
    <row r="316" spans="47:65" x14ac:dyDescent="0.2">
      <c r="AU316" s="2">
        <v>-1321</v>
      </c>
      <c r="AV316" s="53">
        <v>314</v>
      </c>
      <c r="AW316" s="4" t="s">
        <v>1396</v>
      </c>
      <c r="AX316" t="s">
        <v>19</v>
      </c>
      <c r="AY316" s="4">
        <v>27457</v>
      </c>
      <c r="AZ316" s="9">
        <v>21.432727428618644</v>
      </c>
      <c r="BA316" s="7">
        <f t="shared" si="118"/>
        <v>5.4932989168868631E-4</v>
      </c>
      <c r="BB316" s="54">
        <f t="shared" si="112"/>
        <v>88.566203762683671</v>
      </c>
      <c r="BC316" s="55">
        <f t="shared" si="113"/>
        <v>30.697163856906716</v>
      </c>
      <c r="BD316" s="55">
        <f t="shared" si="114"/>
        <v>5.5405021303945654</v>
      </c>
      <c r="BE316" s="55">
        <f t="shared" si="115"/>
        <v>5.4295923159203943</v>
      </c>
      <c r="BF316" s="56">
        <f t="shared" si="116"/>
        <v>4.6219979910385303E-2</v>
      </c>
      <c r="BG316" s="56">
        <f t="shared" si="119"/>
        <v>8.3602968368576109E-6</v>
      </c>
      <c r="BH316" s="56">
        <f t="shared" si="120"/>
        <v>2.8914177900914995E-3</v>
      </c>
      <c r="BI316" s="56">
        <f t="shared" si="117"/>
        <v>2.8335373664188659E-3</v>
      </c>
      <c r="BJ316" s="57">
        <f t="shared" si="121"/>
        <v>4.0380362025278522E-3</v>
      </c>
      <c r="BK316" s="57">
        <f t="shared" si="122"/>
        <v>2.5261044543204385E-4</v>
      </c>
      <c r="BL316" s="58">
        <f t="shared" si="123"/>
        <v>7.1247664437826854</v>
      </c>
      <c r="BM316" s="58">
        <f t="shared" si="123"/>
        <v>0.44570933362027199</v>
      </c>
    </row>
    <row r="317" spans="47:65" x14ac:dyDescent="0.2">
      <c r="AU317" s="2">
        <v>-1320</v>
      </c>
      <c r="AV317" s="53">
        <v>315</v>
      </c>
      <c r="AW317" s="4" t="s">
        <v>1425</v>
      </c>
      <c r="AX317" t="s">
        <v>1426</v>
      </c>
      <c r="AY317" s="4">
        <v>60791</v>
      </c>
      <c r="AZ317" s="9">
        <v>21.438525886384102</v>
      </c>
      <c r="BA317" s="7">
        <f t="shared" si="118"/>
        <v>5.4947850861981982E-4</v>
      </c>
      <c r="BB317" s="54">
        <f t="shared" si="112"/>
        <v>88.900970555401528</v>
      </c>
      <c r="BC317" s="55">
        <f t="shared" si="113"/>
        <v>30.892090855957274</v>
      </c>
      <c r="BD317" s="55">
        <f t="shared" si="114"/>
        <v>5.5580653878806858</v>
      </c>
      <c r="BE317" s="55">
        <f t="shared" si="115"/>
        <v>5.4468039919823941</v>
      </c>
      <c r="BF317" s="56">
        <f t="shared" si="116"/>
        <v>4.6394684411388235E-2</v>
      </c>
      <c r="BG317" s="56">
        <f t="shared" si="119"/>
        <v>8.4133847241027653E-6</v>
      </c>
      <c r="BH317" s="56">
        <f t="shared" si="120"/>
        <v>2.9005835144161538E-3</v>
      </c>
      <c r="BI317" s="56">
        <f t="shared" si="117"/>
        <v>2.8425196112031384E-3</v>
      </c>
      <c r="BJ317" s="57">
        <f t="shared" si="121"/>
        <v>8.974182239368118E-3</v>
      </c>
      <c r="BK317" s="57">
        <f t="shared" si="122"/>
        <v>5.6106352245146164E-4</v>
      </c>
      <c r="BL317" s="58">
        <f t="shared" si="123"/>
        <v>15.834170193772426</v>
      </c>
      <c r="BM317" s="58">
        <f t="shared" si="123"/>
        <v>0.98994817210659081</v>
      </c>
    </row>
    <row r="318" spans="47:65" x14ac:dyDescent="0.2">
      <c r="AU318" s="2">
        <v>-1319</v>
      </c>
      <c r="AV318" s="53">
        <v>316</v>
      </c>
      <c r="AW318" s="4" t="s">
        <v>2620</v>
      </c>
      <c r="AX318" t="s">
        <v>910</v>
      </c>
      <c r="AY318" s="4">
        <v>75009</v>
      </c>
      <c r="AZ318" s="9">
        <v>21.480991315070838</v>
      </c>
      <c r="BA318" s="7">
        <f t="shared" si="118"/>
        <v>5.5056691556283209E-4</v>
      </c>
      <c r="BB318" s="54">
        <f t="shared" si="112"/>
        <v>91.391538960456842</v>
      </c>
      <c r="BC318" s="55">
        <f t="shared" si="113"/>
        <v>32.357148311043986</v>
      </c>
      <c r="BD318" s="55">
        <f t="shared" si="114"/>
        <v>5.688334405697681</v>
      </c>
      <c r="BE318" s="55">
        <f t="shared" si="115"/>
        <v>5.574465283593752</v>
      </c>
      <c r="BF318" s="56">
        <f t="shared" si="116"/>
        <v>4.7694435521366381E-2</v>
      </c>
      <c r="BG318" s="56">
        <f t="shared" si="119"/>
        <v>8.8123895072372733E-6</v>
      </c>
      <c r="BH318" s="56">
        <f t="shared" si="120"/>
        <v>2.9685669113626652E-3</v>
      </c>
      <c r="BI318" s="56">
        <f t="shared" si="117"/>
        <v>2.9091421159840648E-3</v>
      </c>
      <c r="BJ318" s="57">
        <f t="shared" si="121"/>
        <v>1.1383307321351415E-2</v>
      </c>
      <c r="BK318" s="57">
        <f t="shared" si="122"/>
        <v>7.0851261969329376E-4</v>
      </c>
      <c r="BL318" s="58">
        <f t="shared" si="123"/>
        <v>20.084863521446081</v>
      </c>
      <c r="BM318" s="58">
        <f t="shared" si="123"/>
        <v>1.2501093810469677</v>
      </c>
    </row>
    <row r="319" spans="47:65" x14ac:dyDescent="0.2">
      <c r="AU319" s="2">
        <v>-1318</v>
      </c>
      <c r="AV319" s="53">
        <v>317</v>
      </c>
      <c r="AW319" s="4" t="s">
        <v>2368</v>
      </c>
      <c r="AX319" t="s">
        <v>2369</v>
      </c>
      <c r="AY319" s="4">
        <v>11384</v>
      </c>
      <c r="AZ319" s="9">
        <v>21.48325683876314</v>
      </c>
      <c r="BA319" s="7">
        <f t="shared" si="118"/>
        <v>5.5062498189567067E-4</v>
      </c>
      <c r="BB319" s="54">
        <f t="shared" si="112"/>
        <v>91.526353935643598</v>
      </c>
      <c r="BC319" s="55">
        <f t="shared" si="113"/>
        <v>32.437195752188835</v>
      </c>
      <c r="BD319" s="55">
        <f t="shared" si="114"/>
        <v>5.6953661648913174</v>
      </c>
      <c r="BE319" s="55">
        <f t="shared" si="115"/>
        <v>5.581356280977495</v>
      </c>
      <c r="BF319" s="56">
        <f t="shared" si="116"/>
        <v>4.7764791313756952E-2</v>
      </c>
      <c r="BG319" s="56">
        <f t="shared" si="119"/>
        <v>8.8341902303311268E-6</v>
      </c>
      <c r="BH319" s="56">
        <f t="shared" si="120"/>
        <v>2.9722365703845188E-3</v>
      </c>
      <c r="BI319" s="56">
        <f t="shared" si="117"/>
        <v>2.9127383157432525E-3</v>
      </c>
      <c r="BJ319" s="57">
        <f t="shared" si="121"/>
        <v>1.7301754439274584E-3</v>
      </c>
      <c r="BK319" s="57">
        <f t="shared" si="122"/>
        <v>1.0766279064934068E-4</v>
      </c>
      <c r="BL319" s="58">
        <f t="shared" si="123"/>
        <v>3.0527452767843628</v>
      </c>
      <c r="BM319" s="58">
        <f t="shared" si="123"/>
        <v>0.18996170405362572</v>
      </c>
    </row>
    <row r="320" spans="47:65" x14ac:dyDescent="0.2">
      <c r="AU320" s="2">
        <v>-1317</v>
      </c>
      <c r="AV320" s="53">
        <v>318</v>
      </c>
      <c r="AW320" s="4" t="s">
        <v>2894</v>
      </c>
      <c r="AX320" t="s">
        <v>1353</v>
      </c>
      <c r="AY320" s="4">
        <v>39822</v>
      </c>
      <c r="AZ320" s="9">
        <v>21.490374970185233</v>
      </c>
      <c r="BA320" s="7">
        <f t="shared" si="118"/>
        <v>5.5080742262217863E-4</v>
      </c>
      <c r="BB320" s="54">
        <f t="shared" si="112"/>
        <v>91.95122950646352</v>
      </c>
      <c r="BC320" s="55">
        <f t="shared" si="113"/>
        <v>32.689965978234255</v>
      </c>
      <c r="BD320" s="55">
        <f t="shared" si="114"/>
        <v>5.7175139683462302</v>
      </c>
      <c r="BE320" s="55">
        <f t="shared" si="115"/>
        <v>5.6030607295316459</v>
      </c>
      <c r="BF320" s="56">
        <f t="shared" si="116"/>
        <v>4.7986520816811325E-2</v>
      </c>
      <c r="BG320" s="56">
        <f t="shared" si="119"/>
        <v>8.9030315777305115E-6</v>
      </c>
      <c r="BH320" s="56">
        <f t="shared" si="120"/>
        <v>2.9837948283570892E-3</v>
      </c>
      <c r="BI320" s="56">
        <f t="shared" si="117"/>
        <v>2.9240652004183828E-3</v>
      </c>
      <c r="BJ320" s="57">
        <f t="shared" si="121"/>
        <v>6.0803657420404203E-3</v>
      </c>
      <c r="BK320" s="57">
        <f t="shared" si="122"/>
        <v>3.7807625030535357E-4</v>
      </c>
      <c r="BL320" s="58">
        <f t="shared" si="123"/>
        <v>10.728280686957657</v>
      </c>
      <c r="BM320" s="58">
        <f t="shared" si="123"/>
        <v>0.6670829200789431</v>
      </c>
    </row>
    <row r="321" spans="47:65" x14ac:dyDescent="0.2">
      <c r="AU321" s="2">
        <v>-1316</v>
      </c>
      <c r="AV321" s="53">
        <v>319</v>
      </c>
      <c r="AW321" s="4" t="s">
        <v>2202</v>
      </c>
      <c r="AX321" t="s">
        <v>2203</v>
      </c>
      <c r="AY321" s="4">
        <v>29930</v>
      </c>
      <c r="AZ321" s="9">
        <v>21.492902853122253</v>
      </c>
      <c r="BA321" s="7">
        <f t="shared" si="118"/>
        <v>5.5087221333370237E-4</v>
      </c>
      <c r="BB321" s="54">
        <f t="shared" si="112"/>
        <v>92.102590974501226</v>
      </c>
      <c r="BC321" s="55">
        <f t="shared" si="113"/>
        <v>32.78019719434247</v>
      </c>
      <c r="BD321" s="55">
        <f t="shared" si="114"/>
        <v>5.7253993043579472</v>
      </c>
      <c r="BE321" s="55">
        <f t="shared" si="115"/>
        <v>5.6107882168261263</v>
      </c>
      <c r="BF321" s="56">
        <f t="shared" si="116"/>
        <v>4.8065511715310857E-2</v>
      </c>
      <c r="BG321" s="56">
        <f t="shared" si="119"/>
        <v>8.9276058268086764E-6</v>
      </c>
      <c r="BH321" s="56">
        <f t="shared" si="120"/>
        <v>2.9879099428879508E-3</v>
      </c>
      <c r="BI321" s="56">
        <f t="shared" si="117"/>
        <v>2.9280979385547562E-3</v>
      </c>
      <c r="BJ321" s="57">
        <f t="shared" si="121"/>
        <v>4.5774926880932766E-3</v>
      </c>
      <c r="BK321" s="57">
        <f t="shared" si="122"/>
        <v>2.8455196726625214E-4</v>
      </c>
      <c r="BL321" s="58">
        <f t="shared" si="123"/>
        <v>8.0765908637399395</v>
      </c>
      <c r="BM321" s="58">
        <f t="shared" si="123"/>
        <v>0.5020673927147532</v>
      </c>
    </row>
    <row r="322" spans="47:65" x14ac:dyDescent="0.2">
      <c r="AU322" s="2">
        <v>-1315</v>
      </c>
      <c r="AV322" s="53">
        <v>320</v>
      </c>
      <c r="AW322" s="4" t="s">
        <v>2828</v>
      </c>
      <c r="AX322" t="s">
        <v>1060</v>
      </c>
      <c r="AY322" s="4">
        <v>15871</v>
      </c>
      <c r="AZ322" s="9">
        <v>21.500638327627598</v>
      </c>
      <c r="BA322" s="7">
        <f t="shared" si="118"/>
        <v>5.5107047682519388E-4</v>
      </c>
      <c r="BB322" s="54">
        <f t="shared" si="112"/>
        <v>92.567315854214641</v>
      </c>
      <c r="BC322" s="55">
        <f t="shared" si="113"/>
        <v>33.057830673320673</v>
      </c>
      <c r="BD322" s="55">
        <f t="shared" si="114"/>
        <v>5.7495939572565185</v>
      </c>
      <c r="BE322" s="55">
        <f t="shared" si="115"/>
        <v>5.63449854097595</v>
      </c>
      <c r="BF322" s="56">
        <f t="shared" si="116"/>
        <v>4.8308037348020173E-2</v>
      </c>
      <c r="BG322" s="56">
        <f t="shared" si="119"/>
        <v>9.0032186197994385E-6</v>
      </c>
      <c r="BH322" s="56">
        <f t="shared" si="120"/>
        <v>3.0005363886811036E-3</v>
      </c>
      <c r="BI322" s="56">
        <f t="shared" si="117"/>
        <v>2.9404716280584196E-3</v>
      </c>
      <c r="BJ322" s="57">
        <f t="shared" si="121"/>
        <v>2.4395574907883888E-3</v>
      </c>
      <c r="BK322" s="57">
        <f t="shared" si="122"/>
        <v>1.515271873012685E-4</v>
      </c>
      <c r="BL322" s="58">
        <f t="shared" si="123"/>
        <v>4.3043886870471688</v>
      </c>
      <c r="BM322" s="58">
        <f t="shared" si="123"/>
        <v>0.26735664695849271</v>
      </c>
    </row>
    <row r="323" spans="47:65" x14ac:dyDescent="0.2">
      <c r="AU323" s="2">
        <v>-1314</v>
      </c>
      <c r="AV323" s="53">
        <v>321</v>
      </c>
      <c r="AW323" s="4" t="s">
        <v>2836</v>
      </c>
      <c r="AX323" t="s">
        <v>1066</v>
      </c>
      <c r="AY323" s="4">
        <v>33062</v>
      </c>
      <c r="AZ323" s="9">
        <v>21.506945448681268</v>
      </c>
      <c r="BA323" s="7">
        <f t="shared" si="118"/>
        <v>5.512321310120825E-4</v>
      </c>
      <c r="BB323" s="54">
        <f t="shared" ref="BB323:BB386" si="124">IFERROR(IF(MATCH(AX323,$S$4:$S$20,0),VLOOKUP(AX323,$S$4:$AT$20,20,FALSE)),AVERAGE((2^(($AE$23*AZ323)+$AE$24)),(2^(($AF$23*AZ323)+$AF$24)),(2^(($AG$23*AZ323)+$AG$24)),(2^(($AH$23*AZ323)+$AH$24))))</f>
        <v>92.947964382983741</v>
      </c>
      <c r="BC323" s="55">
        <f t="shared" ref="BC323:BC386" si="125">IFERROR(IF(MATCH(AX323,$S$4:$S$20,0),VLOOKUP(AX323,$S$4:$AT$20,21,FALSE)),_xlfn.VAR.S((2^(($AE$23*AZ323)+$AE$24)),(2^(($AF$23*AZ323)+$AF$24)),(2^(($AG$23*AZ323)+$AG$24)),(2^(($AH$23*AZ323)+$AH$24))))</f>
        <v>33.285905265188404</v>
      </c>
      <c r="BD323" s="55">
        <f t="shared" ref="BD323:BD386" si="126">SQRT(BC323)</f>
        <v>5.7693938386271055</v>
      </c>
      <c r="BE323" s="55">
        <f t="shared" ref="BE323:BE386" si="127">_xlfn.CONFIDENCE.NORM(0.05,BD323,4)</f>
        <v>5.6539020681682084</v>
      </c>
      <c r="BF323" s="56">
        <f t="shared" ref="BF323:BF386" si="128">IFERROR(IF(MATCH(AX323,$S$4:$S$20,0),VLOOKUP(AX323,$S$4:$AT$20,24,FALSE)),AVERAGE((2^(($AI$23*AZ323)+$AI$24)),(2^(($AJ$23*AZ323)+$AJ$24)),(2^(($AK$23*AZ323)+$AK$24)),(2^(($AL$23*AZ323)+$AL$24))))</f>
        <v>4.8506686117022094E-2</v>
      </c>
      <c r="BG323" s="56">
        <f t="shared" si="119"/>
        <v>9.0653341721627677E-6</v>
      </c>
      <c r="BH323" s="56">
        <f t="shared" si="120"/>
        <v>3.0108693382747062E-3</v>
      </c>
      <c r="BI323" s="56">
        <f t="shared" ref="BI323:BI386" si="129">_xlfn.CONFIDENCE.NORM(0.05,BH323,4)</f>
        <v>2.9505977325871837E-3</v>
      </c>
      <c r="BJ323" s="57">
        <f t="shared" si="121"/>
        <v>5.1029122375056508E-3</v>
      </c>
      <c r="BK323" s="57">
        <f t="shared" si="122"/>
        <v>3.1674400421307877E-4</v>
      </c>
      <c r="BL323" s="58">
        <f t="shared" si="123"/>
        <v>9.0036483210795364</v>
      </c>
      <c r="BM323" s="58">
        <f t="shared" si="123"/>
        <v>0.55886746410890775</v>
      </c>
    </row>
    <row r="324" spans="47:65" x14ac:dyDescent="0.2">
      <c r="AU324" s="2">
        <v>-1313</v>
      </c>
      <c r="AV324" s="53">
        <v>322</v>
      </c>
      <c r="AW324" s="4" t="s">
        <v>2484</v>
      </c>
      <c r="AX324" t="s">
        <v>796</v>
      </c>
      <c r="AY324" s="4">
        <v>82588</v>
      </c>
      <c r="AZ324" s="9">
        <v>21.515969912852903</v>
      </c>
      <c r="BA324" s="7">
        <f t="shared" ref="BA324:BA387" si="130">AZ324/$AZ$1637</f>
        <v>5.5146343185526561E-4</v>
      </c>
      <c r="BB324" s="54">
        <f t="shared" si="124"/>
        <v>93.495334448072825</v>
      </c>
      <c r="BC324" s="55">
        <f t="shared" si="125"/>
        <v>33.614929557873481</v>
      </c>
      <c r="BD324" s="55">
        <f t="shared" si="126"/>
        <v>5.797838352168287</v>
      </c>
      <c r="BE324" s="55">
        <f t="shared" si="127"/>
        <v>5.6817771792174474</v>
      </c>
      <c r="BF324" s="56">
        <f t="shared" si="128"/>
        <v>4.8792341732111492E-2</v>
      </c>
      <c r="BG324" s="56">
        <f t="shared" ref="BG324:BG387" si="131">IFERROR(IF(MATCH(AX324,$S$4:$S$20,0),VLOOKUP(AX324,$S$4:$AT$20,25,FALSE)),_xlfn.VAR.S((2^(($AI$23*AZ324)+$AI$24)),(2^(($AJ$23*AZ324)+$AJ$24)),(2^(($AK$23*AZ324)+$AK$24)),(2^(($AL$23*AZ324)+$AL$24))))</f>
        <v>9.1549431264689549E-6</v>
      </c>
      <c r="BH324" s="56">
        <f t="shared" ref="BH324:BH387" si="132">SQRT(BG324)</f>
        <v>3.0257136557296617E-3</v>
      </c>
      <c r="BI324" s="56">
        <f t="shared" si="129"/>
        <v>2.9651448963805799E-3</v>
      </c>
      <c r="BJ324" s="57">
        <f t="shared" ref="BJ324:BJ387" si="133">(((BF324*0.000001)*AY324)*1000000000000000)*$S$24</f>
        <v>1.2822006223098325E-2</v>
      </c>
      <c r="BK324" s="57">
        <f t="shared" ref="BK324:BK387" si="134">((((BH324*0.000001)*AY324)*1000000000000000)*$S$24)</f>
        <v>7.9511902781962285E-4</v>
      </c>
      <c r="BL324" s="58">
        <f t="shared" ref="BL324:BM387" si="135">((BJ324/$S$26)*0.000000001)/0.45</f>
        <v>22.623323590589724</v>
      </c>
      <c r="BM324" s="58">
        <f t="shared" si="135"/>
        <v>1.4029189150597481</v>
      </c>
    </row>
    <row r="325" spans="47:65" x14ac:dyDescent="0.2">
      <c r="AU325" s="2">
        <v>-1312</v>
      </c>
      <c r="AV325" s="53">
        <v>323</v>
      </c>
      <c r="AW325" s="4" t="s">
        <v>3223</v>
      </c>
      <c r="AX325" t="s">
        <v>3224</v>
      </c>
      <c r="AY325" s="5">
        <v>17393.439999999999</v>
      </c>
      <c r="AZ325" s="9">
        <v>21.516466948840808</v>
      </c>
      <c r="BA325" s="7">
        <f t="shared" si="130"/>
        <v>5.514761710983839E-4</v>
      </c>
      <c r="BB325" s="54">
        <f t="shared" si="124"/>
        <v>93.525575172588987</v>
      </c>
      <c r="BC325" s="55">
        <f t="shared" si="125"/>
        <v>33.633143470694996</v>
      </c>
      <c r="BD325" s="55">
        <f t="shared" si="126"/>
        <v>5.7994088897658349</v>
      </c>
      <c r="BE325" s="55">
        <f t="shared" si="127"/>
        <v>5.6833162777812269</v>
      </c>
      <c r="BF325" s="56">
        <f t="shared" si="128"/>
        <v>4.8808123436872831E-2</v>
      </c>
      <c r="BG325" s="56">
        <f t="shared" si="131"/>
        <v>9.1599036406862871E-6</v>
      </c>
      <c r="BH325" s="56">
        <f t="shared" si="132"/>
        <v>3.0265332710357386E-3</v>
      </c>
      <c r="BI325" s="56">
        <f t="shared" si="129"/>
        <v>2.9659481046211242E-3</v>
      </c>
      <c r="BJ325" s="57">
        <f t="shared" si="133"/>
        <v>2.7012511567811831E-3</v>
      </c>
      <c r="BK325" s="57">
        <f t="shared" si="134"/>
        <v>1.675013486227536E-4</v>
      </c>
      <c r="BL325" s="58">
        <f t="shared" si="135"/>
        <v>4.7661245795705538</v>
      </c>
      <c r="BM325" s="58">
        <f t="shared" si="135"/>
        <v>0.29554167622584809</v>
      </c>
    </row>
    <row r="326" spans="47:65" x14ac:dyDescent="0.2">
      <c r="AU326" s="2">
        <v>-1311</v>
      </c>
      <c r="AV326" s="53">
        <v>324</v>
      </c>
      <c r="AW326" s="4" t="s">
        <v>2634</v>
      </c>
      <c r="AX326" t="s">
        <v>920</v>
      </c>
      <c r="AY326" s="4">
        <v>39035</v>
      </c>
      <c r="AZ326" s="9">
        <v>21.524842653207823</v>
      </c>
      <c r="BA326" s="7">
        <f t="shared" si="130"/>
        <v>5.5169084395269383E-4</v>
      </c>
      <c r="BB326" s="54">
        <f t="shared" si="124"/>
        <v>94.036644628604648</v>
      </c>
      <c r="BC326" s="55">
        <f t="shared" si="125"/>
        <v>33.941531725287284</v>
      </c>
      <c r="BD326" s="55">
        <f t="shared" si="126"/>
        <v>5.825936124374115</v>
      </c>
      <c r="BE326" s="55">
        <f t="shared" si="127"/>
        <v>5.7093124900020635</v>
      </c>
      <c r="BF326" s="56">
        <f t="shared" si="128"/>
        <v>4.907483487968399E-2</v>
      </c>
      <c r="BG326" s="56">
        <f t="shared" si="131"/>
        <v>9.2438924209337494E-6</v>
      </c>
      <c r="BH326" s="56">
        <f t="shared" si="132"/>
        <v>3.0403770195378318E-3</v>
      </c>
      <c r="BI326" s="56">
        <f t="shared" si="129"/>
        <v>2.9795147288586908E-3</v>
      </c>
      <c r="BJ326" s="57">
        <f t="shared" si="133"/>
        <v>6.0953746267068008E-3</v>
      </c>
      <c r="BK326" s="57">
        <f t="shared" si="134"/>
        <v>3.7763218125845034E-4</v>
      </c>
      <c r="BL326" s="58">
        <f t="shared" si="135"/>
        <v>10.754762568859231</v>
      </c>
      <c r="BM326" s="58">
        <f t="shared" si="135"/>
        <v>0.66629939856367826</v>
      </c>
    </row>
    <row r="327" spans="47:65" x14ac:dyDescent="0.2">
      <c r="AU327" s="2">
        <v>-1310</v>
      </c>
      <c r="AV327" s="53">
        <v>325</v>
      </c>
      <c r="AW327" s="4" t="s">
        <v>2744</v>
      </c>
      <c r="AX327" t="s">
        <v>1000</v>
      </c>
      <c r="AY327" s="4">
        <v>27552</v>
      </c>
      <c r="AZ327" s="9">
        <v>21.537773882266666</v>
      </c>
      <c r="BA327" s="7">
        <f t="shared" si="130"/>
        <v>5.5202227683644395E-4</v>
      </c>
      <c r="BB327" s="54">
        <f t="shared" si="124"/>
        <v>94.831173616703069</v>
      </c>
      <c r="BC327" s="55">
        <f t="shared" si="125"/>
        <v>34.4231060731071</v>
      </c>
      <c r="BD327" s="55">
        <f t="shared" si="126"/>
        <v>5.867120765171542</v>
      </c>
      <c r="BE327" s="55">
        <f t="shared" si="127"/>
        <v>5.7496726963416522</v>
      </c>
      <c r="BF327" s="56">
        <f t="shared" si="128"/>
        <v>4.9489475140957077E-2</v>
      </c>
      <c r="BG327" s="56">
        <f t="shared" si="131"/>
        <v>9.3750480063668388E-6</v>
      </c>
      <c r="BH327" s="56">
        <f t="shared" si="132"/>
        <v>3.0618700178758141E-3</v>
      </c>
      <c r="BI327" s="56">
        <f t="shared" si="129"/>
        <v>3.0005774801898028E-3</v>
      </c>
      <c r="BJ327" s="57">
        <f t="shared" si="133"/>
        <v>4.3386373422012962E-3</v>
      </c>
      <c r="BK327" s="57">
        <f t="shared" si="134"/>
        <v>2.6842765171151604E-4</v>
      </c>
      <c r="BL327" s="58">
        <f t="shared" si="135"/>
        <v>7.6551512163529374</v>
      </c>
      <c r="BM327" s="58">
        <f t="shared" si="135"/>
        <v>0.47361742925939104</v>
      </c>
    </row>
    <row r="328" spans="47:65" x14ac:dyDescent="0.2">
      <c r="AU328" s="2">
        <v>-1309</v>
      </c>
      <c r="AV328" s="53">
        <v>326</v>
      </c>
      <c r="AW328" s="4" t="s">
        <v>2204</v>
      </c>
      <c r="AX328" t="s">
        <v>590</v>
      </c>
      <c r="AY328" s="4">
        <v>34987</v>
      </c>
      <c r="AZ328" s="9">
        <v>21.542426087943777</v>
      </c>
      <c r="BA328" s="7">
        <f t="shared" si="130"/>
        <v>5.5214151484053048E-4</v>
      </c>
      <c r="BB328" s="54">
        <f t="shared" si="124"/>
        <v>95.118656655456419</v>
      </c>
      <c r="BC328" s="55">
        <f t="shared" si="125"/>
        <v>34.597993828835214</v>
      </c>
      <c r="BD328" s="55">
        <f t="shared" si="126"/>
        <v>5.8820059358041465</v>
      </c>
      <c r="BE328" s="55">
        <f t="shared" si="127"/>
        <v>5.7642598955134705</v>
      </c>
      <c r="BF328" s="56">
        <f t="shared" si="128"/>
        <v>4.963950370389926E-2</v>
      </c>
      <c r="BG328" s="56">
        <f t="shared" si="131"/>
        <v>9.4226782551358802E-6</v>
      </c>
      <c r="BH328" s="56">
        <f t="shared" si="132"/>
        <v>3.0696381309750307E-3</v>
      </c>
      <c r="BI328" s="56">
        <f t="shared" si="129"/>
        <v>3.008190091140952E-3</v>
      </c>
      <c r="BJ328" s="57">
        <f t="shared" si="133"/>
        <v>5.5261352248762623E-3</v>
      </c>
      <c r="BK328" s="57">
        <f t="shared" si="134"/>
        <v>3.4172854556303633E-4</v>
      </c>
      <c r="BL328" s="58">
        <f t="shared" si="135"/>
        <v>9.7503887630715962</v>
      </c>
      <c r="BM328" s="58">
        <f t="shared" si="135"/>
        <v>0.60295053144546196</v>
      </c>
    </row>
    <row r="329" spans="47:65" x14ac:dyDescent="0.2">
      <c r="AU329" s="2">
        <v>-1308</v>
      </c>
      <c r="AV329" s="53">
        <v>327</v>
      </c>
      <c r="AW329" s="4" t="s">
        <v>2351</v>
      </c>
      <c r="AX329" t="s">
        <v>699</v>
      </c>
      <c r="AY329" s="4">
        <v>19867</v>
      </c>
      <c r="AZ329" s="9">
        <v>21.548443774452803</v>
      </c>
      <c r="BA329" s="7">
        <f t="shared" si="130"/>
        <v>5.5229575069731677E-4</v>
      </c>
      <c r="BB329" s="54">
        <f t="shared" si="124"/>
        <v>95.491812818853518</v>
      </c>
      <c r="BC329" s="55">
        <f t="shared" si="125"/>
        <v>34.825506526938646</v>
      </c>
      <c r="BD329" s="55">
        <f t="shared" si="126"/>
        <v>5.9013139661382743</v>
      </c>
      <c r="BE329" s="55">
        <f t="shared" si="127"/>
        <v>5.7831814175471195</v>
      </c>
      <c r="BF329" s="56">
        <f t="shared" si="128"/>
        <v>4.9834242437670311E-2</v>
      </c>
      <c r="BG329" s="56">
        <f t="shared" si="131"/>
        <v>9.4846407771190257E-6</v>
      </c>
      <c r="BH329" s="56">
        <f t="shared" si="132"/>
        <v>3.0797143986283902E-3</v>
      </c>
      <c r="BI329" s="56">
        <f t="shared" si="129"/>
        <v>3.0180646519905375E-3</v>
      </c>
      <c r="BJ329" s="57">
        <f t="shared" si="133"/>
        <v>3.1502681658857308E-3</v>
      </c>
      <c r="BK329" s="57">
        <f t="shared" si="134"/>
        <v>1.9468393127784623E-4</v>
      </c>
      <c r="BL329" s="58">
        <f t="shared" si="135"/>
        <v>5.5583763471879539</v>
      </c>
      <c r="BM329" s="58">
        <f t="shared" si="135"/>
        <v>0.34350299777990306</v>
      </c>
    </row>
    <row r="330" spans="47:65" x14ac:dyDescent="0.2">
      <c r="AU330" s="2">
        <v>-1307</v>
      </c>
      <c r="AV330" s="53">
        <v>328</v>
      </c>
      <c r="AW330" s="4" t="s">
        <v>1708</v>
      </c>
      <c r="AX330" t="s">
        <v>226</v>
      </c>
      <c r="AY330" s="4">
        <v>40701</v>
      </c>
      <c r="AZ330" s="9">
        <v>21.561476902606923</v>
      </c>
      <c r="BA330" s="7">
        <f t="shared" si="130"/>
        <v>5.5262979529808499E-4</v>
      </c>
      <c r="BB330" s="54">
        <f t="shared" si="124"/>
        <v>96.30502257757459</v>
      </c>
      <c r="BC330" s="55">
        <f t="shared" si="125"/>
        <v>35.323296514563026</v>
      </c>
      <c r="BD330" s="55">
        <f t="shared" si="126"/>
        <v>5.9433405181398635</v>
      </c>
      <c r="BE330" s="55">
        <f t="shared" si="127"/>
        <v>5.824366681705877</v>
      </c>
      <c r="BF330" s="56">
        <f t="shared" si="128"/>
        <v>5.0258631619030394E-2</v>
      </c>
      <c r="BG330" s="56">
        <f t="shared" si="131"/>
        <v>9.6202126520439106E-6</v>
      </c>
      <c r="BH330" s="56">
        <f t="shared" si="132"/>
        <v>3.1016467645500691E-3</v>
      </c>
      <c r="BI330" s="56">
        <f t="shared" si="129"/>
        <v>3.0395579756416595E-3</v>
      </c>
      <c r="BJ330" s="57">
        <f t="shared" si="133"/>
        <v>6.5088327458731315E-3</v>
      </c>
      <c r="BK330" s="57">
        <f t="shared" si="134"/>
        <v>4.0168423566054145E-4</v>
      </c>
      <c r="BL330" s="58">
        <f t="shared" si="135"/>
        <v>11.484273743499438</v>
      </c>
      <c r="BM330" s="58">
        <f t="shared" si="135"/>
        <v>0.70873717314350448</v>
      </c>
    </row>
    <row r="331" spans="47:65" x14ac:dyDescent="0.2">
      <c r="AU331" s="2">
        <v>-1306</v>
      </c>
      <c r="AV331" s="53">
        <v>329</v>
      </c>
      <c r="AW331" s="4" t="s">
        <v>1657</v>
      </c>
      <c r="AX331" t="s">
        <v>202</v>
      </c>
      <c r="AY331" s="4">
        <v>194006</v>
      </c>
      <c r="AZ331" s="9">
        <v>21.566719293356808</v>
      </c>
      <c r="BA331" s="7">
        <f t="shared" si="130"/>
        <v>5.5276415999583133E-4</v>
      </c>
      <c r="BB331" s="54">
        <f t="shared" si="124"/>
        <v>96.634074550940909</v>
      </c>
      <c r="BC331" s="55">
        <f t="shared" si="125"/>
        <v>35.525487543688548</v>
      </c>
      <c r="BD331" s="55">
        <f t="shared" si="126"/>
        <v>5.9603261272927464</v>
      </c>
      <c r="BE331" s="55">
        <f t="shared" si="127"/>
        <v>5.8410122728034386</v>
      </c>
      <c r="BF331" s="56">
        <f t="shared" si="128"/>
        <v>5.0430353731442674E-2</v>
      </c>
      <c r="BG331" s="56">
        <f t="shared" si="131"/>
        <v>9.6752788799572163E-6</v>
      </c>
      <c r="BH331" s="56">
        <f t="shared" si="132"/>
        <v>3.1105110319619854E-3</v>
      </c>
      <c r="BI331" s="56">
        <f t="shared" si="129"/>
        <v>3.0482447980800034E-3</v>
      </c>
      <c r="BJ331" s="57">
        <f t="shared" si="133"/>
        <v>3.1131105847491708E-2</v>
      </c>
      <c r="BK331" s="57">
        <f t="shared" si="134"/>
        <v>1.9201461225409708E-3</v>
      </c>
      <c r="BL331" s="58">
        <f t="shared" si="135"/>
        <v>54.928150015397478</v>
      </c>
      <c r="BM331" s="58">
        <f t="shared" si="135"/>
        <v>3.387932146936957</v>
      </c>
    </row>
    <row r="332" spans="47:65" x14ac:dyDescent="0.2">
      <c r="AU332" s="2">
        <v>-1305</v>
      </c>
      <c r="AV332" s="53">
        <v>330</v>
      </c>
      <c r="AW332" s="4" t="s">
        <v>3004</v>
      </c>
      <c r="AX332" t="s">
        <v>3005</v>
      </c>
      <c r="AY332" s="4">
        <v>56990</v>
      </c>
      <c r="AZ332" s="9">
        <v>21.575132343271473</v>
      </c>
      <c r="BA332" s="7">
        <f t="shared" si="130"/>
        <v>5.5297979003236244E-4</v>
      </c>
      <c r="BB332" s="54">
        <f t="shared" si="124"/>
        <v>97.164492716853331</v>
      </c>
      <c r="BC332" s="55">
        <f t="shared" si="125"/>
        <v>35.852340717328062</v>
      </c>
      <c r="BD332" s="55">
        <f t="shared" si="126"/>
        <v>5.9876824162047928</v>
      </c>
      <c r="BE332" s="55">
        <f t="shared" si="127"/>
        <v>5.867820943312581</v>
      </c>
      <c r="BF332" s="56">
        <f t="shared" si="128"/>
        <v>5.0707162671320721E-2</v>
      </c>
      <c r="BG332" s="56">
        <f t="shared" si="131"/>
        <v>9.7642965353485715E-6</v>
      </c>
      <c r="BH332" s="56">
        <f t="shared" si="132"/>
        <v>3.1247874384265836E-3</v>
      </c>
      <c r="BI332" s="56">
        <f t="shared" si="129"/>
        <v>3.0622354193296369E-3</v>
      </c>
      <c r="BJ332" s="57">
        <f t="shared" si="133"/>
        <v>9.1950763421762994E-3</v>
      </c>
      <c r="BK332" s="57">
        <f t="shared" si="134"/>
        <v>5.6663906114503941E-4</v>
      </c>
      <c r="BL332" s="58">
        <f t="shared" si="135"/>
        <v>16.223918777584522</v>
      </c>
      <c r="BM332" s="58">
        <f t="shared" si="135"/>
        <v>0.99978572902724117</v>
      </c>
    </row>
    <row r="333" spans="47:65" x14ac:dyDescent="0.2">
      <c r="AU333" s="2">
        <v>-1304</v>
      </c>
      <c r="AV333" s="53">
        <v>331</v>
      </c>
      <c r="AW333" s="4" t="s">
        <v>2331</v>
      </c>
      <c r="AX333" t="s">
        <v>2332</v>
      </c>
      <c r="AY333" s="4">
        <v>7345</v>
      </c>
      <c r="AZ333" s="9">
        <v>21.575717115669388</v>
      </c>
      <c r="BA333" s="7">
        <f t="shared" si="130"/>
        <v>5.5299477799687039E-4</v>
      </c>
      <c r="BB333" s="54">
        <f t="shared" si="124"/>
        <v>97.201468946079046</v>
      </c>
      <c r="BC333" s="55">
        <f t="shared" si="125"/>
        <v>35.875168852501766</v>
      </c>
      <c r="BD333" s="55">
        <f t="shared" si="126"/>
        <v>5.989588370873391</v>
      </c>
      <c r="BE333" s="55">
        <f t="shared" si="127"/>
        <v>5.8696887445658898</v>
      </c>
      <c r="BF333" s="56">
        <f t="shared" si="128"/>
        <v>5.0726459428993141E-2</v>
      </c>
      <c r="BG333" s="56">
        <f t="shared" si="131"/>
        <v>9.7705137216388178E-6</v>
      </c>
      <c r="BH333" s="56">
        <f t="shared" si="132"/>
        <v>3.1257820975939474E-3</v>
      </c>
      <c r="BI333" s="56">
        <f t="shared" si="129"/>
        <v>3.0632101674020998E-3</v>
      </c>
      <c r="BJ333" s="57">
        <f t="shared" si="133"/>
        <v>1.1855332067442694E-3</v>
      </c>
      <c r="BK333" s="57">
        <f t="shared" si="134"/>
        <v>7.3052969110364241E-5</v>
      </c>
      <c r="BL333" s="58">
        <f t="shared" si="135"/>
        <v>2.0917710455676355</v>
      </c>
      <c r="BM333" s="58">
        <f t="shared" si="135"/>
        <v>0.12889566037332378</v>
      </c>
    </row>
    <row r="334" spans="47:65" x14ac:dyDescent="0.2">
      <c r="AU334" s="2">
        <v>-1303</v>
      </c>
      <c r="AV334" s="53">
        <v>332</v>
      </c>
      <c r="AW334" s="4" t="s">
        <v>2434</v>
      </c>
      <c r="AX334" t="s">
        <v>762</v>
      </c>
      <c r="AY334" s="4">
        <v>41439</v>
      </c>
      <c r="AZ334" s="9">
        <v>21.578130639463261</v>
      </c>
      <c r="BA334" s="7">
        <f t="shared" si="130"/>
        <v>5.5305663763506585E-4</v>
      </c>
      <c r="BB334" s="54">
        <f t="shared" si="124"/>
        <v>97.354229433109722</v>
      </c>
      <c r="BC334" s="55">
        <f t="shared" si="125"/>
        <v>35.969538043841574</v>
      </c>
      <c r="BD334" s="55">
        <f t="shared" si="126"/>
        <v>5.9974609664291751</v>
      </c>
      <c r="BE334" s="55">
        <f t="shared" si="127"/>
        <v>5.8774037464429831</v>
      </c>
      <c r="BF334" s="56">
        <f t="shared" si="128"/>
        <v>5.080618043251027E-2</v>
      </c>
      <c r="BG334" s="56">
        <f t="shared" si="131"/>
        <v>9.7962149380615447E-6</v>
      </c>
      <c r="BH334" s="56">
        <f t="shared" si="132"/>
        <v>3.1298905632723877E-3</v>
      </c>
      <c r="BI334" s="56">
        <f t="shared" si="129"/>
        <v>3.0672363897828307E-3</v>
      </c>
      <c r="BJ334" s="57">
        <f t="shared" si="133"/>
        <v>6.6990494700466547E-3</v>
      </c>
      <c r="BK334" s="57">
        <f t="shared" si="134"/>
        <v>4.1269175404843461E-4</v>
      </c>
      <c r="BL334" s="58">
        <f t="shared" si="135"/>
        <v>11.819894739811799</v>
      </c>
      <c r="BM334" s="58">
        <f t="shared" si="135"/>
        <v>0.72815898951807956</v>
      </c>
    </row>
    <row r="335" spans="47:65" x14ac:dyDescent="0.2">
      <c r="AU335" s="2">
        <v>-1302</v>
      </c>
      <c r="AV335" s="53">
        <v>333</v>
      </c>
      <c r="AW335" s="4" t="s">
        <v>2871</v>
      </c>
      <c r="AX335" t="s">
        <v>2872</v>
      </c>
      <c r="AY335" s="4">
        <v>40359</v>
      </c>
      <c r="AZ335" s="9">
        <v>21.582011472672821</v>
      </c>
      <c r="BA335" s="7">
        <f t="shared" si="130"/>
        <v>5.531561050357394E-4</v>
      </c>
      <c r="BB335" s="54">
        <f t="shared" si="124"/>
        <v>97.600364717884872</v>
      </c>
      <c r="BC335" s="55">
        <f t="shared" si="125"/>
        <v>36.121789929086184</v>
      </c>
      <c r="BD335" s="55">
        <f t="shared" si="126"/>
        <v>6.0101405914575894</v>
      </c>
      <c r="BE335" s="55">
        <f t="shared" si="127"/>
        <v>5.8898295506395657</v>
      </c>
      <c r="BF335" s="56">
        <f t="shared" si="128"/>
        <v>5.093463087335813E-2</v>
      </c>
      <c r="BG335" s="56">
        <f t="shared" si="131"/>
        <v>9.8376803633547347E-6</v>
      </c>
      <c r="BH335" s="56">
        <f t="shared" si="132"/>
        <v>3.1365076699021053E-3</v>
      </c>
      <c r="BI335" s="56">
        <f t="shared" si="129"/>
        <v>3.0737210351208847E-3</v>
      </c>
      <c r="BJ335" s="57">
        <f t="shared" si="133"/>
        <v>6.5409515494043429E-3</v>
      </c>
      <c r="BK335" s="57">
        <f t="shared" si="134"/>
        <v>4.027857736747779E-4</v>
      </c>
      <c r="BL335" s="58">
        <f t="shared" si="135"/>
        <v>11.540944600850931</v>
      </c>
      <c r="BM335" s="58">
        <f t="shared" si="135"/>
        <v>0.71068074191970054</v>
      </c>
    </row>
    <row r="336" spans="47:65" x14ac:dyDescent="0.2">
      <c r="AU336" s="2">
        <v>-1301</v>
      </c>
      <c r="AV336" s="53">
        <v>334</v>
      </c>
      <c r="AW336" s="4" t="s">
        <v>1738</v>
      </c>
      <c r="AX336" t="s">
        <v>1739</v>
      </c>
      <c r="AY336" s="4">
        <v>14839</v>
      </c>
      <c r="AZ336" s="9">
        <v>21.582562838662227</v>
      </c>
      <c r="BA336" s="7">
        <f t="shared" si="130"/>
        <v>5.5317023677983258E-4</v>
      </c>
      <c r="BB336" s="54">
        <f t="shared" si="124"/>
        <v>97.635384627310629</v>
      </c>
      <c r="BC336" s="55">
        <f t="shared" si="125"/>
        <v>36.143472190342521</v>
      </c>
      <c r="BD336" s="55">
        <f t="shared" si="126"/>
        <v>6.0119441273470366</v>
      </c>
      <c r="BE336" s="55">
        <f t="shared" si="127"/>
        <v>5.8915969833336366</v>
      </c>
      <c r="BF336" s="56">
        <f t="shared" si="128"/>
        <v>5.0952906687848944E-2</v>
      </c>
      <c r="BG336" s="56">
        <f t="shared" si="131"/>
        <v>9.8435854737106761E-6</v>
      </c>
      <c r="BH336" s="56">
        <f t="shared" si="132"/>
        <v>3.1374488798561603E-3</v>
      </c>
      <c r="BI336" s="56">
        <f t="shared" si="129"/>
        <v>3.0746434039268041E-3</v>
      </c>
      <c r="BJ336" s="57">
        <f t="shared" si="133"/>
        <v>2.405808035050693E-3</v>
      </c>
      <c r="BK336" s="57">
        <f t="shared" si="134"/>
        <v>1.4813874644994075E-4</v>
      </c>
      <c r="BL336" s="58">
        <f t="shared" si="135"/>
        <v>4.2448406845836608</v>
      </c>
      <c r="BM336" s="58">
        <f t="shared" si="135"/>
        <v>0.26137803545937605</v>
      </c>
    </row>
    <row r="337" spans="47:65" x14ac:dyDescent="0.2">
      <c r="AU337" s="2">
        <v>-1300</v>
      </c>
      <c r="AV337" s="53">
        <v>335</v>
      </c>
      <c r="AW337" s="4" t="s">
        <v>2637</v>
      </c>
      <c r="AX337" t="s">
        <v>921</v>
      </c>
      <c r="AY337" s="4">
        <v>55913</v>
      </c>
      <c r="AZ337" s="9">
        <v>21.594457648730401</v>
      </c>
      <c r="BA337" s="7">
        <f t="shared" si="130"/>
        <v>5.534751058053997E-4</v>
      </c>
      <c r="BB337" s="54">
        <f t="shared" si="124"/>
        <v>98.393948674718175</v>
      </c>
      <c r="BC337" s="55">
        <f t="shared" si="125"/>
        <v>36.614350978326414</v>
      </c>
      <c r="BD337" s="55">
        <f t="shared" si="126"/>
        <v>6.0509793404312999</v>
      </c>
      <c r="BE337" s="55">
        <f t="shared" si="127"/>
        <v>5.9298507892206382</v>
      </c>
      <c r="BF337" s="56">
        <f t="shared" si="128"/>
        <v>5.1348777951856911E-2</v>
      </c>
      <c r="BG337" s="56">
        <f t="shared" si="131"/>
        <v>9.9718281498119051E-6</v>
      </c>
      <c r="BH337" s="56">
        <f t="shared" si="132"/>
        <v>3.1578201579272854E-3</v>
      </c>
      <c r="BI337" s="56">
        <f t="shared" si="129"/>
        <v>3.094606889596032E-3</v>
      </c>
      <c r="BJ337" s="57">
        <f t="shared" si="133"/>
        <v>9.1354570325713983E-3</v>
      </c>
      <c r="BK337" s="57">
        <f t="shared" si="134"/>
        <v>5.6180753505720611E-4</v>
      </c>
      <c r="BL337" s="58">
        <f t="shared" si="135"/>
        <v>16.118725650239956</v>
      </c>
      <c r="BM337" s="58">
        <f t="shared" si="135"/>
        <v>0.99126091814978912</v>
      </c>
    </row>
    <row r="338" spans="47:65" x14ac:dyDescent="0.2">
      <c r="AU338" s="2">
        <v>-1299</v>
      </c>
      <c r="AV338" s="53">
        <v>336</v>
      </c>
      <c r="AW338" s="4" t="s">
        <v>1626</v>
      </c>
      <c r="AX338" t="s">
        <v>1627</v>
      </c>
      <c r="AY338" s="4">
        <v>53111</v>
      </c>
      <c r="AZ338" s="9">
        <v>21.60595389022933</v>
      </c>
      <c r="BA338" s="7">
        <f t="shared" si="130"/>
        <v>5.5376975934953992E-4</v>
      </c>
      <c r="BB338" s="54">
        <f t="shared" si="124"/>
        <v>99.132695546203209</v>
      </c>
      <c r="BC338" s="55">
        <f t="shared" si="125"/>
        <v>37.075165856578685</v>
      </c>
      <c r="BD338" s="55">
        <f t="shared" si="126"/>
        <v>6.0889379908633234</v>
      </c>
      <c r="BE338" s="55">
        <f t="shared" si="127"/>
        <v>5.9670495830948935</v>
      </c>
      <c r="BF338" s="56">
        <f t="shared" si="128"/>
        <v>5.1734307240776031E-2</v>
      </c>
      <c r="BG338" s="56">
        <f t="shared" si="131"/>
        <v>1.0097329944928694E-5</v>
      </c>
      <c r="BH338" s="56">
        <f t="shared" si="132"/>
        <v>3.1776296110353538E-3</v>
      </c>
      <c r="BI338" s="56">
        <f t="shared" si="129"/>
        <v>3.1140197969186565E-3</v>
      </c>
      <c r="BJ338" s="57">
        <f t="shared" si="133"/>
        <v>8.7427988949617223E-3</v>
      </c>
      <c r="BK338" s="57">
        <f t="shared" si="134"/>
        <v>5.3700103729350363E-4</v>
      </c>
      <c r="BL338" s="58">
        <f t="shared" si="135"/>
        <v>15.425914248259879</v>
      </c>
      <c r="BM338" s="58">
        <f t="shared" si="135"/>
        <v>0.94749199335809053</v>
      </c>
    </row>
    <row r="339" spans="47:65" x14ac:dyDescent="0.2">
      <c r="AU339" s="2">
        <v>-1298</v>
      </c>
      <c r="AV339" s="53">
        <v>337</v>
      </c>
      <c r="AW339" s="4" t="s">
        <v>1600</v>
      </c>
      <c r="AX339" t="s">
        <v>1284</v>
      </c>
      <c r="AY339" s="4">
        <v>24873</v>
      </c>
      <c r="AZ339" s="9">
        <v>21.607625305861756</v>
      </c>
      <c r="BA339" s="7">
        <f t="shared" si="130"/>
        <v>5.5381259844089611E-4</v>
      </c>
      <c r="BB339" s="54">
        <f t="shared" si="124"/>
        <v>99.240561355634966</v>
      </c>
      <c r="BC339" s="55">
        <f t="shared" si="125"/>
        <v>37.142634565644535</v>
      </c>
      <c r="BD339" s="55">
        <f t="shared" si="126"/>
        <v>6.0944757416569093</v>
      </c>
      <c r="BE339" s="55">
        <f t="shared" si="127"/>
        <v>5.9724764791502869</v>
      </c>
      <c r="BF339" s="56">
        <f t="shared" si="128"/>
        <v>5.1790599091766004E-2</v>
      </c>
      <c r="BG339" s="56">
        <f t="shared" si="131"/>
        <v>1.0115704881376184E-5</v>
      </c>
      <c r="BH339" s="56">
        <f t="shared" si="132"/>
        <v>3.180519592987313E-3</v>
      </c>
      <c r="BI339" s="56">
        <f t="shared" si="129"/>
        <v>3.116851927189562E-3</v>
      </c>
      <c r="BJ339" s="57">
        <f t="shared" si="133"/>
        <v>4.0988920129511192E-3</v>
      </c>
      <c r="BK339" s="57">
        <f t="shared" si="134"/>
        <v>2.5171762028917879E-4</v>
      </c>
      <c r="BL339" s="58">
        <f t="shared" si="135"/>
        <v>7.2321412701256138</v>
      </c>
      <c r="BM339" s="58">
        <f t="shared" si="135"/>
        <v>0.44413402069611646</v>
      </c>
    </row>
    <row r="340" spans="47:65" x14ac:dyDescent="0.2">
      <c r="AU340" s="2">
        <v>-1297</v>
      </c>
      <c r="AV340" s="53">
        <v>338</v>
      </c>
      <c r="AW340" s="4" t="s">
        <v>2557</v>
      </c>
      <c r="AX340" t="s">
        <v>862</v>
      </c>
      <c r="AY340" s="4">
        <v>55195</v>
      </c>
      <c r="AZ340" s="9">
        <v>21.60842268666957</v>
      </c>
      <c r="BA340" s="7">
        <f t="shared" si="130"/>
        <v>5.5383303564909793E-4</v>
      </c>
      <c r="BB340" s="54">
        <f t="shared" si="124"/>
        <v>99.292062152006494</v>
      </c>
      <c r="BC340" s="55">
        <f t="shared" si="125"/>
        <v>37.17486420501325</v>
      </c>
      <c r="BD340" s="55">
        <f t="shared" si="126"/>
        <v>6.0971193366222751</v>
      </c>
      <c r="BE340" s="55">
        <f t="shared" si="127"/>
        <v>5.9750671546112013</v>
      </c>
      <c r="BF340" s="56">
        <f t="shared" si="128"/>
        <v>5.1817475774660102E-2</v>
      </c>
      <c r="BG340" s="56">
        <f t="shared" si="131"/>
        <v>1.012448254413732E-5</v>
      </c>
      <c r="BH340" s="56">
        <f t="shared" si="132"/>
        <v>3.1818992039562345E-3</v>
      </c>
      <c r="BI340" s="56">
        <f t="shared" si="129"/>
        <v>3.1182039210954429E-3</v>
      </c>
      <c r="BJ340" s="57">
        <f t="shared" si="133"/>
        <v>9.1004603719660581E-3</v>
      </c>
      <c r="BK340" s="57">
        <f t="shared" si="134"/>
        <v>5.5882204179761588E-4</v>
      </c>
      <c r="BL340" s="58">
        <f t="shared" si="135"/>
        <v>16.056977062406769</v>
      </c>
      <c r="BM340" s="58">
        <f t="shared" si="135"/>
        <v>0.98599327290660077</v>
      </c>
    </row>
    <row r="341" spans="47:65" x14ac:dyDescent="0.2">
      <c r="AU341" s="2">
        <v>-1296</v>
      </c>
      <c r="AV341" s="53">
        <v>339</v>
      </c>
      <c r="AW341" s="4" t="s">
        <v>1778</v>
      </c>
      <c r="AX341" t="s">
        <v>274</v>
      </c>
      <c r="AY341" s="4">
        <v>49644</v>
      </c>
      <c r="AZ341" s="9">
        <v>21.618494838820773</v>
      </c>
      <c r="BA341" s="7">
        <f t="shared" si="130"/>
        <v>5.5409118917942759E-4</v>
      </c>
      <c r="BB341" s="54">
        <f t="shared" si="124"/>
        <v>99.944902607278877</v>
      </c>
      <c r="BC341" s="55">
        <f t="shared" si="125"/>
        <v>37.584342719077611</v>
      </c>
      <c r="BD341" s="55">
        <f t="shared" si="126"/>
        <v>6.1306070432770046</v>
      </c>
      <c r="BE341" s="55">
        <f t="shared" si="127"/>
        <v>6.0078845040952578</v>
      </c>
      <c r="BF341" s="56">
        <f t="shared" si="128"/>
        <v>5.2158173145050113E-2</v>
      </c>
      <c r="BG341" s="56">
        <f t="shared" si="131"/>
        <v>1.0236003007130543E-5</v>
      </c>
      <c r="BH341" s="56">
        <f t="shared" si="132"/>
        <v>3.1993754089088299E-3</v>
      </c>
      <c r="BI341" s="56">
        <f t="shared" si="129"/>
        <v>3.135330287242207E-3</v>
      </c>
      <c r="BJ341" s="57">
        <f t="shared" si="133"/>
        <v>8.2390380926260429E-3</v>
      </c>
      <c r="BK341" s="57">
        <f t="shared" si="134"/>
        <v>5.0538150163551997E-4</v>
      </c>
      <c r="BL341" s="58">
        <f t="shared" si="135"/>
        <v>14.537071781239048</v>
      </c>
      <c r="BM341" s="58">
        <f t="shared" si="135"/>
        <v>0.89170205108789402</v>
      </c>
    </row>
    <row r="342" spans="47:65" x14ac:dyDescent="0.2">
      <c r="AU342" s="2">
        <v>-1295</v>
      </c>
      <c r="AV342" s="53">
        <v>340</v>
      </c>
      <c r="AW342" s="4" t="s">
        <v>2029</v>
      </c>
      <c r="AX342" t="s">
        <v>453</v>
      </c>
      <c r="AY342" s="4">
        <v>15825</v>
      </c>
      <c r="AZ342" s="9">
        <v>21.626656703178913</v>
      </c>
      <c r="BA342" s="7">
        <f t="shared" si="130"/>
        <v>5.5430038122363976E-4</v>
      </c>
      <c r="BB342" s="54">
        <f t="shared" si="124"/>
        <v>100.47707251999859</v>
      </c>
      <c r="BC342" s="55">
        <f t="shared" si="125"/>
        <v>37.91940019540796</v>
      </c>
      <c r="BD342" s="55">
        <f t="shared" si="126"/>
        <v>6.1578730252748768</v>
      </c>
      <c r="BE342" s="55">
        <f t="shared" si="127"/>
        <v>6.0346046754547311</v>
      </c>
      <c r="BF342" s="56">
        <f t="shared" si="128"/>
        <v>5.2435896267751927E-2</v>
      </c>
      <c r="BG342" s="56">
        <f t="shared" si="131"/>
        <v>1.0327255084116743E-5</v>
      </c>
      <c r="BH342" s="56">
        <f t="shared" si="132"/>
        <v>3.2136046869701853E-3</v>
      </c>
      <c r="BI342" s="56">
        <f t="shared" si="129"/>
        <v>3.1492747235053382E-3</v>
      </c>
      <c r="BJ342" s="57">
        <f t="shared" si="133"/>
        <v>2.6403395826098525E-3</v>
      </c>
      <c r="BK342" s="57">
        <f t="shared" si="134"/>
        <v>1.6181677556422746E-4</v>
      </c>
      <c r="BL342" s="58">
        <f t="shared" si="135"/>
        <v>4.6586513629059283</v>
      </c>
      <c r="BM342" s="58">
        <f t="shared" si="135"/>
        <v>0.28551173757664433</v>
      </c>
    </row>
    <row r="343" spans="47:65" x14ac:dyDescent="0.2">
      <c r="AU343" s="2">
        <v>-1294</v>
      </c>
      <c r="AV343" s="53">
        <v>341</v>
      </c>
      <c r="AW343" s="4" t="s">
        <v>1931</v>
      </c>
      <c r="AX343" t="s">
        <v>386</v>
      </c>
      <c r="AY343" s="4">
        <v>47832</v>
      </c>
      <c r="AZ343" s="9">
        <v>21.631682719544433</v>
      </c>
      <c r="BA343" s="7">
        <f t="shared" si="130"/>
        <v>5.5442920015416977E-4</v>
      </c>
      <c r="BB343" s="54">
        <f t="shared" si="124"/>
        <v>100.80618772539508</v>
      </c>
      <c r="BC343" s="55">
        <f t="shared" si="125"/>
        <v>38.127181191215797</v>
      </c>
      <c r="BD343" s="55">
        <f t="shared" si="126"/>
        <v>6.1747211427898341</v>
      </c>
      <c r="BE343" s="55">
        <f t="shared" si="127"/>
        <v>6.0511155272230379</v>
      </c>
      <c r="BF343" s="56">
        <f t="shared" si="128"/>
        <v>5.2607651379017475E-2</v>
      </c>
      <c r="BG343" s="56">
        <f t="shared" si="131"/>
        <v>1.0383843725663858E-5</v>
      </c>
      <c r="BH343" s="56">
        <f t="shared" si="132"/>
        <v>3.2223972017217024E-3</v>
      </c>
      <c r="BI343" s="56">
        <f t="shared" si="129"/>
        <v>3.1578912296285934E-3</v>
      </c>
      <c r="BJ343" s="57">
        <f t="shared" si="133"/>
        <v>8.0067234085278976E-3</v>
      </c>
      <c r="BK343" s="57">
        <f t="shared" si="134"/>
        <v>4.90438984259438E-4</v>
      </c>
      <c r="BL343" s="58">
        <f t="shared" si="135"/>
        <v>14.127172567204196</v>
      </c>
      <c r="BM343" s="58">
        <f t="shared" si="135"/>
        <v>0.86533726854332393</v>
      </c>
    </row>
    <row r="344" spans="47:65" x14ac:dyDescent="0.2">
      <c r="AU344" s="2">
        <v>-1293</v>
      </c>
      <c r="AV344" s="53">
        <v>342</v>
      </c>
      <c r="AW344" s="4" t="s">
        <v>2592</v>
      </c>
      <c r="AX344" t="s">
        <v>889</v>
      </c>
      <c r="AY344" s="4">
        <v>36470</v>
      </c>
      <c r="AZ344" s="9">
        <v>21.634152240109991</v>
      </c>
      <c r="BA344" s="7">
        <f t="shared" si="130"/>
        <v>5.5449249501336674E-4</v>
      </c>
      <c r="BB344" s="54">
        <f t="shared" si="124"/>
        <v>100.96829244320936</v>
      </c>
      <c r="BC344" s="55">
        <f t="shared" si="125"/>
        <v>38.229682418654441</v>
      </c>
      <c r="BD344" s="55">
        <f t="shared" si="126"/>
        <v>6.1830156411458672</v>
      </c>
      <c r="BE344" s="55">
        <f t="shared" si="127"/>
        <v>6.0592439862468641</v>
      </c>
      <c r="BF344" s="56">
        <f t="shared" si="128"/>
        <v>5.2692248849411857E-2</v>
      </c>
      <c r="BG344" s="56">
        <f t="shared" si="131"/>
        <v>1.0411759682053992E-5</v>
      </c>
      <c r="BH344" s="56">
        <f t="shared" si="132"/>
        <v>3.2267258455056253E-3</v>
      </c>
      <c r="BI344" s="56">
        <f t="shared" si="129"/>
        <v>3.1621332225877895E-3</v>
      </c>
      <c r="BJ344" s="57">
        <f t="shared" si="133"/>
        <v>6.1146255919553435E-3</v>
      </c>
      <c r="BK344" s="57">
        <f t="shared" si="134"/>
        <v>3.744425577571959E-4</v>
      </c>
      <c r="BL344" s="58">
        <f t="shared" si="135"/>
        <v>10.7887292359058</v>
      </c>
      <c r="BM344" s="58">
        <f t="shared" si="135"/>
        <v>0.66067158312314012</v>
      </c>
    </row>
    <row r="345" spans="47:65" x14ac:dyDescent="0.2">
      <c r="AU345" s="2">
        <v>-1292</v>
      </c>
      <c r="AV345" s="53">
        <v>343</v>
      </c>
      <c r="AW345" s="4" t="s">
        <v>2821</v>
      </c>
      <c r="AX345" t="s">
        <v>1057</v>
      </c>
      <c r="AY345" s="4">
        <v>16157</v>
      </c>
      <c r="AZ345" s="9">
        <v>21.636233998234967</v>
      </c>
      <c r="BA345" s="7">
        <f t="shared" si="130"/>
        <v>5.5454585135679641E-4</v>
      </c>
      <c r="BB345" s="54">
        <f t="shared" si="124"/>
        <v>101.10514608196478</v>
      </c>
      <c r="BC345" s="55">
        <f t="shared" si="125"/>
        <v>38.316298789556775</v>
      </c>
      <c r="BD345" s="55">
        <f t="shared" si="126"/>
        <v>6.1900160572939367</v>
      </c>
      <c r="BE345" s="55">
        <f t="shared" si="127"/>
        <v>6.0661042680103687</v>
      </c>
      <c r="BF345" s="56">
        <f t="shared" si="128"/>
        <v>5.2763668557666357E-2</v>
      </c>
      <c r="BG345" s="56">
        <f t="shared" si="131"/>
        <v>1.0435349436959578E-5</v>
      </c>
      <c r="BH345" s="56">
        <f t="shared" si="132"/>
        <v>3.2303791475552183E-3</v>
      </c>
      <c r="BI345" s="56">
        <f t="shared" si="129"/>
        <v>3.1657133928087136E-3</v>
      </c>
      <c r="BJ345" s="57">
        <f t="shared" si="133"/>
        <v>2.7125832814242808E-3</v>
      </c>
      <c r="BK345" s="57">
        <f t="shared" si="134"/>
        <v>1.660739805978999E-4</v>
      </c>
      <c r="BL345" s="58">
        <f t="shared" si="135"/>
        <v>4.7861191356726902</v>
      </c>
      <c r="BM345" s="58">
        <f t="shared" si="135"/>
        <v>0.29302320851125957</v>
      </c>
    </row>
    <row r="346" spans="47:65" x14ac:dyDescent="0.2">
      <c r="AU346" s="2">
        <v>-1291</v>
      </c>
      <c r="AV346" s="53">
        <v>344</v>
      </c>
      <c r="AW346" s="4" t="s">
        <v>2425</v>
      </c>
      <c r="AX346" t="s">
        <v>1328</v>
      </c>
      <c r="AY346" s="4">
        <v>29996</v>
      </c>
      <c r="AZ346" s="9">
        <v>21.639888257875775</v>
      </c>
      <c r="BA346" s="7">
        <f t="shared" si="130"/>
        <v>5.5463951158083336E-4</v>
      </c>
      <c r="BB346" s="54">
        <f t="shared" si="124"/>
        <v>101.3458238857997</v>
      </c>
      <c r="BC346" s="55">
        <f t="shared" si="125"/>
        <v>38.468808231030408</v>
      </c>
      <c r="BD346" s="55">
        <f t="shared" si="126"/>
        <v>6.2023228093215534</v>
      </c>
      <c r="BE346" s="55">
        <f t="shared" si="127"/>
        <v>6.0781646633807656</v>
      </c>
      <c r="BF346" s="56">
        <f t="shared" si="128"/>
        <v>5.2889270906931941E-2</v>
      </c>
      <c r="BG346" s="56">
        <f t="shared" si="131"/>
        <v>1.0476885007056061E-5</v>
      </c>
      <c r="BH346" s="56">
        <f t="shared" si="132"/>
        <v>3.2368016632249898E-3</v>
      </c>
      <c r="BI346" s="56">
        <f t="shared" si="129"/>
        <v>3.1720073425101619E-3</v>
      </c>
      <c r="BJ346" s="57">
        <f t="shared" si="133"/>
        <v>5.0479878073897699E-3</v>
      </c>
      <c r="BK346" s="57">
        <f t="shared" si="134"/>
        <v>3.0893478111374678E-4</v>
      </c>
      <c r="BL346" s="58">
        <f t="shared" si="135"/>
        <v>8.906738903479825</v>
      </c>
      <c r="BM346" s="58">
        <f t="shared" si="135"/>
        <v>0.54508876379529925</v>
      </c>
    </row>
    <row r="347" spans="47:65" x14ac:dyDescent="0.2">
      <c r="AU347" s="2">
        <v>-1290</v>
      </c>
      <c r="AV347" s="53">
        <v>345</v>
      </c>
      <c r="AW347" s="4" t="s">
        <v>2976</v>
      </c>
      <c r="AX347" t="s">
        <v>2977</v>
      </c>
      <c r="AY347" s="4">
        <v>11505</v>
      </c>
      <c r="AZ347" s="9">
        <v>21.64124152004435</v>
      </c>
      <c r="BA347" s="7">
        <f t="shared" si="130"/>
        <v>5.546741962640108E-4</v>
      </c>
      <c r="BB347" s="54">
        <f t="shared" si="124"/>
        <v>101.4350981017627</v>
      </c>
      <c r="BC347" s="55">
        <f t="shared" si="125"/>
        <v>38.525437088727379</v>
      </c>
      <c r="BD347" s="55">
        <f t="shared" si="126"/>
        <v>6.2068862635565809</v>
      </c>
      <c r="BE347" s="55">
        <f t="shared" si="127"/>
        <v>6.0826367663536409</v>
      </c>
      <c r="BF347" s="56">
        <f t="shared" si="128"/>
        <v>5.2935860376650837E-2</v>
      </c>
      <c r="BG347" s="56">
        <f t="shared" si="131"/>
        <v>1.0492307736728387E-5</v>
      </c>
      <c r="BH347" s="56">
        <f t="shared" si="132"/>
        <v>3.2391831897452769E-3</v>
      </c>
      <c r="BI347" s="56">
        <f t="shared" si="129"/>
        <v>3.1743411956141566E-3</v>
      </c>
      <c r="BJ347" s="57">
        <f t="shared" si="133"/>
        <v>1.9378670184210544E-3</v>
      </c>
      <c r="BK347" s="57">
        <f t="shared" si="134"/>
        <v>1.1857947004862531E-4</v>
      </c>
      <c r="BL347" s="58">
        <f t="shared" si="135"/>
        <v>3.4191991386100753</v>
      </c>
      <c r="BM347" s="58">
        <f t="shared" si="135"/>
        <v>0.20922324287114963</v>
      </c>
    </row>
    <row r="348" spans="47:65" x14ac:dyDescent="0.2">
      <c r="AU348" s="2">
        <v>-1289</v>
      </c>
      <c r="AV348" s="53">
        <v>346</v>
      </c>
      <c r="AW348" s="4" t="s">
        <v>3127</v>
      </c>
      <c r="AX348" t="s">
        <v>3128</v>
      </c>
      <c r="AY348" s="4">
        <v>16891</v>
      </c>
      <c r="AZ348" s="9">
        <v>21.657615025806177</v>
      </c>
      <c r="BA348" s="7">
        <f t="shared" si="130"/>
        <v>5.5509385615921838E-4</v>
      </c>
      <c r="BB348" s="54">
        <f t="shared" si="124"/>
        <v>102.52150516673159</v>
      </c>
      <c r="BC348" s="55">
        <f t="shared" si="125"/>
        <v>39.217115631238705</v>
      </c>
      <c r="BD348" s="55">
        <f t="shared" si="126"/>
        <v>6.262357034794384</v>
      </c>
      <c r="BE348" s="55">
        <f t="shared" si="127"/>
        <v>6.1369971232640177</v>
      </c>
      <c r="BF348" s="56">
        <f t="shared" si="128"/>
        <v>5.3502822836190324E-2</v>
      </c>
      <c r="BG348" s="56">
        <f t="shared" si="131"/>
        <v>1.0680684681192609E-5</v>
      </c>
      <c r="BH348" s="56">
        <f t="shared" si="132"/>
        <v>3.268131680516042E-3</v>
      </c>
      <c r="BI348" s="56">
        <f t="shared" si="129"/>
        <v>3.2027101952729017E-3</v>
      </c>
      <c r="BJ348" s="57">
        <f t="shared" si="133"/>
        <v>2.8755401131957295E-3</v>
      </c>
      <c r="BK348" s="57">
        <f t="shared" si="134"/>
        <v>1.7564762463659965E-4</v>
      </c>
      <c r="BL348" s="58">
        <f t="shared" si="135"/>
        <v>5.0736424040533814</v>
      </c>
      <c r="BM348" s="58">
        <f t="shared" si="135"/>
        <v>0.30991507732336881</v>
      </c>
    </row>
    <row r="349" spans="47:65" x14ac:dyDescent="0.2">
      <c r="AU349" s="2">
        <v>-1288</v>
      </c>
      <c r="AV349" s="53">
        <v>347</v>
      </c>
      <c r="AW349" s="4" t="s">
        <v>2811</v>
      </c>
      <c r="AX349" t="s">
        <v>1050</v>
      </c>
      <c r="AY349" s="4">
        <v>20243</v>
      </c>
      <c r="AZ349" s="9">
        <v>21.668909215446369</v>
      </c>
      <c r="BA349" s="7">
        <f t="shared" si="130"/>
        <v>5.5538333102854724E-4</v>
      </c>
      <c r="BB349" s="54">
        <f t="shared" si="124"/>
        <v>103.27766621263528</v>
      </c>
      <c r="BC349" s="55">
        <f t="shared" si="125"/>
        <v>39.701304074779223</v>
      </c>
      <c r="BD349" s="55">
        <f t="shared" si="126"/>
        <v>6.3008970849220525</v>
      </c>
      <c r="BE349" s="55">
        <f t="shared" si="127"/>
        <v>6.1747656783703171</v>
      </c>
      <c r="BF349" s="56">
        <f t="shared" si="128"/>
        <v>5.389744004756284E-2</v>
      </c>
      <c r="BG349" s="56">
        <f t="shared" si="131"/>
        <v>1.0812552209145439E-5</v>
      </c>
      <c r="BH349" s="56">
        <f t="shared" si="132"/>
        <v>3.288244548257541E-3</v>
      </c>
      <c r="BI349" s="56">
        <f t="shared" si="129"/>
        <v>3.2224204434724794E-3</v>
      </c>
      <c r="BJ349" s="57">
        <f t="shared" si="133"/>
        <v>3.4716056408750405E-3</v>
      </c>
      <c r="BK349" s="57">
        <f t="shared" si="134"/>
        <v>2.1180019518985801E-4</v>
      </c>
      <c r="BL349" s="58">
        <f t="shared" si="135"/>
        <v>6.1253485941183969</v>
      </c>
      <c r="BM349" s="58">
        <f t="shared" si="135"/>
        <v>0.37370316851806745</v>
      </c>
    </row>
    <row r="350" spans="47:65" x14ac:dyDescent="0.2">
      <c r="AU350" s="2">
        <v>-1287</v>
      </c>
      <c r="AV350" s="53">
        <v>348</v>
      </c>
      <c r="AW350" s="4" t="s">
        <v>3105</v>
      </c>
      <c r="AX350" t="s">
        <v>1250</v>
      </c>
      <c r="AY350" s="4">
        <v>26204</v>
      </c>
      <c r="AZ350" s="9">
        <v>21.676217658287324</v>
      </c>
      <c r="BA350" s="7">
        <f t="shared" si="130"/>
        <v>5.5557064951741459E-4</v>
      </c>
      <c r="BB350" s="54">
        <f t="shared" si="124"/>
        <v>103.76994603250574</v>
      </c>
      <c r="BC350" s="55">
        <f t="shared" si="125"/>
        <v>40.01773883002501</v>
      </c>
      <c r="BD350" s="55">
        <f t="shared" si="126"/>
        <v>6.3259575425404977</v>
      </c>
      <c r="BE350" s="55">
        <f t="shared" si="127"/>
        <v>6.1993244755544401</v>
      </c>
      <c r="BF350" s="56">
        <f t="shared" si="128"/>
        <v>5.4154345756716571E-2</v>
      </c>
      <c r="BG350" s="56">
        <f t="shared" si="131"/>
        <v>1.0898732433992034E-5</v>
      </c>
      <c r="BH350" s="56">
        <f t="shared" si="132"/>
        <v>3.3013228309258145E-3</v>
      </c>
      <c r="BI350" s="56">
        <f t="shared" si="129"/>
        <v>3.2352369249772045E-3</v>
      </c>
      <c r="BJ350" s="57">
        <f t="shared" si="133"/>
        <v>4.5153173201061313E-3</v>
      </c>
      <c r="BK350" s="57">
        <f t="shared" si="134"/>
        <v>2.7525990665102501E-4</v>
      </c>
      <c r="BL350" s="58">
        <f t="shared" si="135"/>
        <v>7.9668877919380234</v>
      </c>
      <c r="BM350" s="58">
        <f t="shared" si="135"/>
        <v>0.48567235355598581</v>
      </c>
    </row>
    <row r="351" spans="47:65" x14ac:dyDescent="0.2">
      <c r="AU351" s="2">
        <v>-1286</v>
      </c>
      <c r="AV351" s="53">
        <v>349</v>
      </c>
      <c r="AW351" s="4" t="s">
        <v>3058</v>
      </c>
      <c r="AX351" t="s">
        <v>1215</v>
      </c>
      <c r="AY351" s="4">
        <v>18772</v>
      </c>
      <c r="AZ351" s="9">
        <v>21.682575171832244</v>
      </c>
      <c r="BA351" s="7">
        <f t="shared" si="130"/>
        <v>5.5573359528522084E-4</v>
      </c>
      <c r="BB351" s="54">
        <f t="shared" si="124"/>
        <v>104.20008159552006</v>
      </c>
      <c r="BC351" s="55">
        <f t="shared" si="125"/>
        <v>40.295010590106337</v>
      </c>
      <c r="BD351" s="55">
        <f t="shared" si="126"/>
        <v>6.3478351105007711</v>
      </c>
      <c r="BE351" s="55">
        <f t="shared" si="127"/>
        <v>6.2207640981901715</v>
      </c>
      <c r="BF351" s="56">
        <f t="shared" si="128"/>
        <v>5.4378820288046054E-2</v>
      </c>
      <c r="BG351" s="56">
        <f t="shared" si="131"/>
        <v>1.0974246713734012E-5</v>
      </c>
      <c r="BH351" s="56">
        <f t="shared" si="132"/>
        <v>3.3127400612988052E-3</v>
      </c>
      <c r="BI351" s="56">
        <f t="shared" si="129"/>
        <v>3.2464256051443338E-3</v>
      </c>
      <c r="BJ351" s="57">
        <f t="shared" si="133"/>
        <v>3.2480873441403098E-3</v>
      </c>
      <c r="BK351" s="57">
        <f t="shared" si="134"/>
        <v>1.9787242552403442E-4</v>
      </c>
      <c r="BL351" s="58">
        <f t="shared" si="135"/>
        <v>5.7309698465603294</v>
      </c>
      <c r="BM351" s="58">
        <f t="shared" si="135"/>
        <v>0.34912882074731838</v>
      </c>
    </row>
    <row r="352" spans="47:65" x14ac:dyDescent="0.2">
      <c r="AU352" s="2">
        <v>-1285</v>
      </c>
      <c r="AV352" s="53">
        <v>350</v>
      </c>
      <c r="AW352" s="4" t="s">
        <v>3102</v>
      </c>
      <c r="AX352" t="s">
        <v>1365</v>
      </c>
      <c r="AY352" s="4">
        <v>87516</v>
      </c>
      <c r="AZ352" s="9">
        <v>21.684830788592034</v>
      </c>
      <c r="BA352" s="7">
        <f t="shared" si="130"/>
        <v>5.5579140769917859E-4</v>
      </c>
      <c r="BB352" s="54">
        <f t="shared" si="124"/>
        <v>104.35311989136504</v>
      </c>
      <c r="BC352" s="55">
        <f t="shared" si="125"/>
        <v>40.393837184698732</v>
      </c>
      <c r="BD352" s="55">
        <f t="shared" si="126"/>
        <v>6.3556146189569054</v>
      </c>
      <c r="BE352" s="55">
        <f t="shared" si="127"/>
        <v>6.2283878763858951</v>
      </c>
      <c r="BF352" s="56">
        <f t="shared" si="128"/>
        <v>5.4458686271445705E-2</v>
      </c>
      <c r="BG352" s="56">
        <f t="shared" si="131"/>
        <v>1.1001161892934514E-5</v>
      </c>
      <c r="BH352" s="56">
        <f t="shared" si="132"/>
        <v>3.3167999476806727E-3</v>
      </c>
      <c r="BI352" s="56">
        <f t="shared" si="129"/>
        <v>3.2504042206892261E-3</v>
      </c>
      <c r="BJ352" s="57">
        <f t="shared" si="133"/>
        <v>1.5164985249784765E-2</v>
      </c>
      <c r="BK352" s="57">
        <f t="shared" si="134"/>
        <v>9.236216612415355E-4</v>
      </c>
      <c r="BL352" s="58">
        <f t="shared" si="135"/>
        <v>26.757307911327626</v>
      </c>
      <c r="BM352" s="58">
        <f t="shared" si="135"/>
        <v>1.6296507234494317</v>
      </c>
    </row>
    <row r="353" spans="47:65" x14ac:dyDescent="0.2">
      <c r="AU353" s="2">
        <v>-1284</v>
      </c>
      <c r="AV353" s="53">
        <v>351</v>
      </c>
      <c r="AW353" s="4" t="s">
        <v>3187</v>
      </c>
      <c r="AX353" t="s">
        <v>3188</v>
      </c>
      <c r="AY353" s="5">
        <v>26732.104999999996</v>
      </c>
      <c r="AZ353" s="9">
        <v>21.691221553560666</v>
      </c>
      <c r="BA353" s="7">
        <f t="shared" si="130"/>
        <v>5.5595520571507368E-4</v>
      </c>
      <c r="BB353" s="54">
        <f t="shared" si="124"/>
        <v>104.78794002855959</v>
      </c>
      <c r="BC353" s="55">
        <f t="shared" si="125"/>
        <v>40.67513114801087</v>
      </c>
      <c r="BD353" s="55">
        <f t="shared" si="126"/>
        <v>6.3777057903301611</v>
      </c>
      <c r="BE353" s="55">
        <f t="shared" si="127"/>
        <v>6.2500368265198372</v>
      </c>
      <c r="BF353" s="56">
        <f t="shared" si="128"/>
        <v>5.468560553807264E-2</v>
      </c>
      <c r="BG353" s="56">
        <f t="shared" si="131"/>
        <v>1.1077771609801638E-5</v>
      </c>
      <c r="BH353" s="56">
        <f t="shared" si="132"/>
        <v>3.3283286511102891E-3</v>
      </c>
      <c r="BI353" s="56">
        <f t="shared" si="129"/>
        <v>3.261702142444472E-3</v>
      </c>
      <c r="BJ353" s="57">
        <f t="shared" si="133"/>
        <v>4.6515056831237748E-3</v>
      </c>
      <c r="BK353" s="57">
        <f t="shared" si="134"/>
        <v>2.831044748176861E-4</v>
      </c>
      <c r="BL353" s="58">
        <f t="shared" si="135"/>
        <v>8.2071804070102647</v>
      </c>
      <c r="BM353" s="58">
        <f t="shared" si="135"/>
        <v>0.4995134171910281</v>
      </c>
    </row>
    <row r="354" spans="47:65" x14ac:dyDescent="0.2">
      <c r="AU354" s="2">
        <v>-1283</v>
      </c>
      <c r="AV354" s="53">
        <v>352</v>
      </c>
      <c r="AW354" s="4" t="s">
        <v>3153</v>
      </c>
      <c r="AX354" t="s">
        <v>3154</v>
      </c>
      <c r="AY354" s="5">
        <v>16952.329999999998</v>
      </c>
      <c r="AZ354" s="9">
        <v>21.702989368868195</v>
      </c>
      <c r="BA354" s="7">
        <f t="shared" si="130"/>
        <v>5.5625681981107827E-4</v>
      </c>
      <c r="BB354" s="54">
        <f t="shared" si="124"/>
        <v>105.59335403077981</v>
      </c>
      <c r="BC354" s="55">
        <f t="shared" si="125"/>
        <v>41.198130776303969</v>
      </c>
      <c r="BD354" s="55">
        <f t="shared" si="126"/>
        <v>6.4185770055600306</v>
      </c>
      <c r="BE354" s="55">
        <f t="shared" si="127"/>
        <v>6.2900898814473019</v>
      </c>
      <c r="BF354" s="56">
        <f t="shared" si="128"/>
        <v>5.5105926353695558E-2</v>
      </c>
      <c r="BG354" s="56">
        <f t="shared" si="131"/>
        <v>1.1220209268162922E-5</v>
      </c>
      <c r="BH354" s="56">
        <f t="shared" si="132"/>
        <v>3.3496580822768946E-3</v>
      </c>
      <c r="BI354" s="56">
        <f t="shared" si="129"/>
        <v>3.2826046008931084E-3</v>
      </c>
      <c r="BJ354" s="57">
        <f t="shared" si="133"/>
        <v>2.9724535556136552E-3</v>
      </c>
      <c r="BK354" s="57">
        <f t="shared" si="134"/>
        <v>1.8068298158799119E-4</v>
      </c>
      <c r="BL354" s="58">
        <f t="shared" si="135"/>
        <v>5.244637810696454</v>
      </c>
      <c r="BM354" s="58">
        <f t="shared" si="135"/>
        <v>0.31879953017133583</v>
      </c>
    </row>
    <row r="355" spans="47:65" x14ac:dyDescent="0.2">
      <c r="AU355" s="2">
        <v>-1282</v>
      </c>
      <c r="AV355" s="53">
        <v>353</v>
      </c>
      <c r="AW355" s="4" t="s">
        <v>3085</v>
      </c>
      <c r="AX355" t="s">
        <v>1362</v>
      </c>
      <c r="AY355" s="4">
        <v>48882</v>
      </c>
      <c r="AZ355" s="9">
        <v>21.725561529743924</v>
      </c>
      <c r="BA355" s="7">
        <f t="shared" si="130"/>
        <v>5.5683535386514779E-4</v>
      </c>
      <c r="BB355" s="54">
        <f t="shared" si="124"/>
        <v>107.15560752198169</v>
      </c>
      <c r="BC355" s="55">
        <f t="shared" si="125"/>
        <v>42.219819115667654</v>
      </c>
      <c r="BD355" s="55">
        <f t="shared" si="126"/>
        <v>6.497677978760386</v>
      </c>
      <c r="BE355" s="55">
        <f t="shared" si="127"/>
        <v>6.3676074107546841</v>
      </c>
      <c r="BF355" s="56">
        <f t="shared" si="128"/>
        <v>5.5921218439283493E-2</v>
      </c>
      <c r="BG355" s="56">
        <f t="shared" si="131"/>
        <v>1.1498463566561274E-5</v>
      </c>
      <c r="BH355" s="56">
        <f t="shared" si="132"/>
        <v>3.3909384492439958E-3</v>
      </c>
      <c r="BI355" s="56">
        <f t="shared" si="129"/>
        <v>3.3230586171551662E-3</v>
      </c>
      <c r="BJ355" s="57">
        <f t="shared" si="133"/>
        <v>8.6978710409585658E-3</v>
      </c>
      <c r="BK355" s="57">
        <f t="shared" si="134"/>
        <v>5.2741957637019972E-4</v>
      </c>
      <c r="BL355" s="58">
        <f t="shared" si="135"/>
        <v>15.346642926622776</v>
      </c>
      <c r="BM355" s="58">
        <f t="shared" si="135"/>
        <v>0.93058633232760346</v>
      </c>
    </row>
    <row r="356" spans="47:65" x14ac:dyDescent="0.2">
      <c r="AU356" s="2">
        <v>-1281</v>
      </c>
      <c r="AV356" s="53">
        <v>354</v>
      </c>
      <c r="AW356" s="4" t="s">
        <v>1662</v>
      </c>
      <c r="AX356" t="s">
        <v>207</v>
      </c>
      <c r="AY356" s="4">
        <v>35580</v>
      </c>
      <c r="AZ356" s="9">
        <v>21.730738786523794</v>
      </c>
      <c r="BA356" s="7">
        <f t="shared" si="130"/>
        <v>5.5696804915162507E-4</v>
      </c>
      <c r="BB356" s="54">
        <f t="shared" si="124"/>
        <v>107.51717997200421</v>
      </c>
      <c r="BC356" s="55">
        <f t="shared" si="125"/>
        <v>42.457635993480849</v>
      </c>
      <c r="BD356" s="55">
        <f t="shared" si="126"/>
        <v>6.5159524241265645</v>
      </c>
      <c r="BE356" s="55">
        <f t="shared" si="127"/>
        <v>6.3855160381322618</v>
      </c>
      <c r="BF356" s="56">
        <f t="shared" si="128"/>
        <v>5.6109911989037205E-2</v>
      </c>
      <c r="BG356" s="56">
        <f t="shared" si="131"/>
        <v>1.1563232406465203E-5</v>
      </c>
      <c r="BH356" s="56">
        <f t="shared" si="132"/>
        <v>3.4004753206669804E-3</v>
      </c>
      <c r="BI356" s="56">
        <f t="shared" si="129"/>
        <v>3.3324045794122857E-3</v>
      </c>
      <c r="BJ356" s="57">
        <f t="shared" si="133"/>
        <v>6.352327835649256E-3</v>
      </c>
      <c r="BK356" s="57">
        <f t="shared" si="134"/>
        <v>3.8497536831160237E-4</v>
      </c>
      <c r="BL356" s="58">
        <f t="shared" si="135"/>
        <v>11.208134333963624</v>
      </c>
      <c r="BM356" s="58">
        <f t="shared" si="135"/>
        <v>0.67925581848729488</v>
      </c>
    </row>
    <row r="357" spans="47:65" x14ac:dyDescent="0.2">
      <c r="AU357" s="2">
        <v>-1280</v>
      </c>
      <c r="AV357" s="53">
        <v>355</v>
      </c>
      <c r="AW357" s="4" t="s">
        <v>2265</v>
      </c>
      <c r="AX357" t="s">
        <v>2266</v>
      </c>
      <c r="AY357" s="4">
        <v>20216</v>
      </c>
      <c r="AZ357" s="9">
        <v>21.740598792537934</v>
      </c>
      <c r="BA357" s="7">
        <f t="shared" si="130"/>
        <v>5.5722076528650971E-4</v>
      </c>
      <c r="BB357" s="54">
        <f t="shared" si="124"/>
        <v>108.20916722382697</v>
      </c>
      <c r="BC357" s="55">
        <f t="shared" si="125"/>
        <v>42.914190492339777</v>
      </c>
      <c r="BD357" s="55">
        <f t="shared" si="126"/>
        <v>6.5508923432109443</v>
      </c>
      <c r="BE357" s="55">
        <f t="shared" si="127"/>
        <v>6.4197565296463255</v>
      </c>
      <c r="BF357" s="56">
        <f t="shared" si="128"/>
        <v>5.64710388694801E-2</v>
      </c>
      <c r="BG357" s="56">
        <f t="shared" si="131"/>
        <v>1.1687573897765504E-5</v>
      </c>
      <c r="BH357" s="56">
        <f t="shared" si="132"/>
        <v>3.4187093906568751E-3</v>
      </c>
      <c r="BI357" s="56">
        <f t="shared" si="129"/>
        <v>3.3502736396481738E-3</v>
      </c>
      <c r="BJ357" s="57">
        <f t="shared" si="133"/>
        <v>3.6325230466163856E-3</v>
      </c>
      <c r="BK357" s="57">
        <f t="shared" si="134"/>
        <v>2.199099024890896E-4</v>
      </c>
      <c r="BL357" s="58">
        <f t="shared" si="135"/>
        <v>6.4092734712477251</v>
      </c>
      <c r="BM357" s="58">
        <f t="shared" si="135"/>
        <v>0.38801204727410582</v>
      </c>
    </row>
    <row r="358" spans="47:65" x14ac:dyDescent="0.2">
      <c r="AU358" s="2">
        <v>-1279</v>
      </c>
      <c r="AV358" s="53">
        <v>356</v>
      </c>
      <c r="AW358" s="4" t="s">
        <v>2476</v>
      </c>
      <c r="AX358" t="s">
        <v>795</v>
      </c>
      <c r="AY358" s="4">
        <v>23407</v>
      </c>
      <c r="AZ358" s="9">
        <v>21.748100013300657</v>
      </c>
      <c r="BA358" s="7">
        <f t="shared" si="130"/>
        <v>5.5741302475525176E-4</v>
      </c>
      <c r="BB358" s="54">
        <f t="shared" si="124"/>
        <v>108.73859371603261</v>
      </c>
      <c r="BC358" s="55">
        <f t="shared" si="125"/>
        <v>43.264743113276637</v>
      </c>
      <c r="BD358" s="55">
        <f t="shared" si="126"/>
        <v>6.5775940216219366</v>
      </c>
      <c r="BE358" s="55">
        <f t="shared" si="127"/>
        <v>6.4459236936524835</v>
      </c>
      <c r="BF358" s="56">
        <f t="shared" si="128"/>
        <v>5.6747330285326976E-2</v>
      </c>
      <c r="BG358" s="56">
        <f t="shared" si="131"/>
        <v>1.1783046039154169E-5</v>
      </c>
      <c r="BH358" s="56">
        <f t="shared" si="132"/>
        <v>3.4326441760185642E-3</v>
      </c>
      <c r="BI358" s="56">
        <f t="shared" si="129"/>
        <v>3.3639294783687772E-3</v>
      </c>
      <c r="BJ358" s="57">
        <f t="shared" si="133"/>
        <v>4.2264775063232899E-3</v>
      </c>
      <c r="BK358" s="57">
        <f t="shared" si="134"/>
        <v>2.5565948784211624E-4</v>
      </c>
      <c r="BL358" s="58">
        <f t="shared" si="135"/>
        <v>7.4572548640360514</v>
      </c>
      <c r="BM358" s="58">
        <f t="shared" si="135"/>
        <v>0.4510891058559332</v>
      </c>
    </row>
    <row r="359" spans="47:65" x14ac:dyDescent="0.2">
      <c r="AU359" s="2">
        <v>-1278</v>
      </c>
      <c r="AV359" s="53">
        <v>357</v>
      </c>
      <c r="AW359" s="4" t="s">
        <v>2932</v>
      </c>
      <c r="AX359" t="s">
        <v>1139</v>
      </c>
      <c r="AY359" s="4">
        <v>67420</v>
      </c>
      <c r="AZ359" s="9">
        <v>21.774145200094871</v>
      </c>
      <c r="BA359" s="7">
        <f t="shared" si="130"/>
        <v>5.5808057393621005E-4</v>
      </c>
      <c r="BB359" s="54">
        <f t="shared" si="124"/>
        <v>110.59702299617094</v>
      </c>
      <c r="BC359" s="55">
        <f t="shared" si="125"/>
        <v>44.503825875891444</v>
      </c>
      <c r="BD359" s="55">
        <f t="shared" si="126"/>
        <v>6.6711187874217499</v>
      </c>
      <c r="BE359" s="55">
        <f t="shared" si="127"/>
        <v>6.5375762799675723</v>
      </c>
      <c r="BF359" s="56">
        <f t="shared" si="128"/>
        <v>5.771718741303028E-2</v>
      </c>
      <c r="BG359" s="56">
        <f t="shared" si="131"/>
        <v>1.2120507172344695E-5</v>
      </c>
      <c r="BH359" s="56">
        <f t="shared" si="132"/>
        <v>3.4814518770686313E-3</v>
      </c>
      <c r="BI359" s="56">
        <f t="shared" si="129"/>
        <v>3.4117601464819418E-3</v>
      </c>
      <c r="BJ359" s="57">
        <f t="shared" si="133"/>
        <v>1.2381728587949718E-2</v>
      </c>
      <c r="BK359" s="57">
        <f t="shared" si="134"/>
        <v>7.4685538512814188E-4</v>
      </c>
      <c r="BL359" s="58">
        <f t="shared" si="135"/>
        <v>21.846491694211213</v>
      </c>
      <c r="BM359" s="58">
        <f t="shared" si="135"/>
        <v>1.3177618821218771</v>
      </c>
    </row>
    <row r="360" spans="47:65" x14ac:dyDescent="0.2">
      <c r="AU360" s="2">
        <v>-1277</v>
      </c>
      <c r="AV360" s="53">
        <v>358</v>
      </c>
      <c r="AW360" s="4" t="s">
        <v>1685</v>
      </c>
      <c r="AX360" t="s">
        <v>220</v>
      </c>
      <c r="AY360" s="4">
        <v>30847</v>
      </c>
      <c r="AZ360" s="9">
        <v>21.776596883973717</v>
      </c>
      <c r="BA360" s="7">
        <f t="shared" si="130"/>
        <v>5.581434116335637E-4</v>
      </c>
      <c r="BB360" s="54">
        <f t="shared" si="124"/>
        <v>110.77358793354901</v>
      </c>
      <c r="BC360" s="55">
        <f t="shared" si="125"/>
        <v>44.622237793842167</v>
      </c>
      <c r="BD360" s="55">
        <f t="shared" si="126"/>
        <v>6.6799878588094881</v>
      </c>
      <c r="BE360" s="55">
        <f t="shared" si="127"/>
        <v>6.5462678102157126</v>
      </c>
      <c r="BF360" s="56">
        <f t="shared" si="128"/>
        <v>5.7809331227620747E-2</v>
      </c>
      <c r="BG360" s="56">
        <f t="shared" si="131"/>
        <v>1.2152756366039048E-5</v>
      </c>
      <c r="BH360" s="56">
        <f t="shared" si="132"/>
        <v>3.4860803728599043E-3</v>
      </c>
      <c r="BI360" s="56">
        <f t="shared" si="129"/>
        <v>3.4162959890086868E-3</v>
      </c>
      <c r="BJ360" s="57">
        <f t="shared" si="133"/>
        <v>5.6741165317592407E-3</v>
      </c>
      <c r="BK360" s="57">
        <f t="shared" si="134"/>
        <v>3.4216666850549719E-4</v>
      </c>
      <c r="BL360" s="58">
        <f t="shared" si="135"/>
        <v>10.011489010000272</v>
      </c>
      <c r="BM360" s="58">
        <f t="shared" si="135"/>
        <v>0.60372356157251783</v>
      </c>
    </row>
    <row r="361" spans="47:65" x14ac:dyDescent="0.2">
      <c r="AU361" s="2">
        <v>-1276</v>
      </c>
      <c r="AV361" s="53">
        <v>359</v>
      </c>
      <c r="AW361" s="4" t="s">
        <v>2751</v>
      </c>
      <c r="AX361" t="s">
        <v>1003</v>
      </c>
      <c r="AY361" s="4">
        <v>41329</v>
      </c>
      <c r="AZ361" s="9">
        <v>21.780900686562944</v>
      </c>
      <c r="BA361" s="7">
        <f t="shared" si="130"/>
        <v>5.5825371991878136E-4</v>
      </c>
      <c r="BB361" s="54">
        <f t="shared" si="124"/>
        <v>111.08422049398925</v>
      </c>
      <c r="BC361" s="55">
        <f t="shared" si="125"/>
        <v>44.830850616140594</v>
      </c>
      <c r="BD361" s="55">
        <f t="shared" si="126"/>
        <v>6.695584411844913</v>
      </c>
      <c r="BE361" s="55">
        <f t="shared" si="127"/>
        <v>6.5615521513319139</v>
      </c>
      <c r="BF361" s="56">
        <f t="shared" si="128"/>
        <v>5.7971440814495789E-2</v>
      </c>
      <c r="BG361" s="56">
        <f t="shared" si="131"/>
        <v>1.2209571553478555E-5</v>
      </c>
      <c r="BH361" s="56">
        <f t="shared" si="132"/>
        <v>3.494219734572878E-3</v>
      </c>
      <c r="BI361" s="56">
        <f t="shared" si="129"/>
        <v>3.4242724169159734E-3</v>
      </c>
      <c r="BJ361" s="57">
        <f t="shared" si="133"/>
        <v>7.6235343896244928E-3</v>
      </c>
      <c r="BK361" s="57">
        <f t="shared" si="134"/>
        <v>4.5950737013181122E-4</v>
      </c>
      <c r="BL361" s="58">
        <f t="shared" si="135"/>
        <v>13.45106860810648</v>
      </c>
      <c r="BM361" s="58">
        <f t="shared" si="135"/>
        <v>0.810761104453812</v>
      </c>
    </row>
    <row r="362" spans="47:65" x14ac:dyDescent="0.2">
      <c r="AU362" s="2">
        <v>-1275</v>
      </c>
      <c r="AV362" s="53">
        <v>360</v>
      </c>
      <c r="AW362" s="4" t="s">
        <v>2784</v>
      </c>
      <c r="AX362" t="s">
        <v>1029</v>
      </c>
      <c r="AY362" s="4">
        <v>17236</v>
      </c>
      <c r="AZ362" s="9">
        <v>21.784086842985001</v>
      </c>
      <c r="BA362" s="7">
        <f t="shared" si="130"/>
        <v>5.5833538245884126E-4</v>
      </c>
      <c r="BB362" s="54">
        <f t="shared" si="124"/>
        <v>111.31474653314947</v>
      </c>
      <c r="BC362" s="55">
        <f t="shared" si="125"/>
        <v>44.985904342862774</v>
      </c>
      <c r="BD362" s="55">
        <f t="shared" si="126"/>
        <v>6.7071532219610708</v>
      </c>
      <c r="BE362" s="55">
        <f t="shared" si="127"/>
        <v>6.5728893769177397</v>
      </c>
      <c r="BF362" s="56">
        <f t="shared" si="128"/>
        <v>5.8091745269763559E-2</v>
      </c>
      <c r="BG362" s="56">
        <f t="shared" si="131"/>
        <v>1.2251800053384955E-5</v>
      </c>
      <c r="BH362" s="56">
        <f t="shared" si="132"/>
        <v>3.5002571410376344E-3</v>
      </c>
      <c r="BI362" s="56">
        <f t="shared" si="129"/>
        <v>3.4301889665314493E-3</v>
      </c>
      <c r="BJ362" s="57">
        <f t="shared" si="133"/>
        <v>3.1859450566904062E-3</v>
      </c>
      <c r="BK362" s="57">
        <f t="shared" si="134"/>
        <v>1.9196577558220661E-4</v>
      </c>
      <c r="BL362" s="58">
        <f t="shared" si="135"/>
        <v>5.6213251425119095</v>
      </c>
      <c r="BM362" s="58">
        <f t="shared" si="135"/>
        <v>0.33870704660018192</v>
      </c>
    </row>
    <row r="363" spans="47:65" x14ac:dyDescent="0.2">
      <c r="AU363" s="2">
        <v>-1274</v>
      </c>
      <c r="AV363" s="53">
        <v>361</v>
      </c>
      <c r="AW363" s="4" t="s">
        <v>1719</v>
      </c>
      <c r="AX363" t="s">
        <v>1292</v>
      </c>
      <c r="AY363" s="4">
        <v>26103</v>
      </c>
      <c r="AZ363" s="9">
        <v>21.789350558307437</v>
      </c>
      <c r="BA363" s="7">
        <f t="shared" si="130"/>
        <v>5.5847029371442381E-4</v>
      </c>
      <c r="BB363" s="54">
        <f t="shared" si="124"/>
        <v>111.69663749774919</v>
      </c>
      <c r="BC363" s="55">
        <f t="shared" si="125"/>
        <v>45.243213685083752</v>
      </c>
      <c r="BD363" s="55">
        <f t="shared" si="126"/>
        <v>6.7263075818077001</v>
      </c>
      <c r="BE363" s="55">
        <f t="shared" si="127"/>
        <v>6.5916603046408966</v>
      </c>
      <c r="BF363" s="56">
        <f t="shared" si="128"/>
        <v>5.8291042427842707E-2</v>
      </c>
      <c r="BG363" s="56">
        <f t="shared" si="131"/>
        <v>1.2321877617875575E-5</v>
      </c>
      <c r="BH363" s="56">
        <f t="shared" si="132"/>
        <v>3.5102532127861625E-3</v>
      </c>
      <c r="BI363" s="56">
        <f t="shared" si="129"/>
        <v>3.4399849368384459E-3</v>
      </c>
      <c r="BJ363" s="57">
        <f t="shared" si="133"/>
        <v>4.8414964469175887E-3</v>
      </c>
      <c r="BK363" s="57">
        <f t="shared" si="134"/>
        <v>2.9155214505767105E-4</v>
      </c>
      <c r="BL363" s="58">
        <f t="shared" si="135"/>
        <v>8.5424027157303843</v>
      </c>
      <c r="BM363" s="58">
        <f t="shared" si="135"/>
        <v>0.51441860239375325</v>
      </c>
    </row>
    <row r="364" spans="47:65" x14ac:dyDescent="0.2">
      <c r="AU364" s="2">
        <v>-1273</v>
      </c>
      <c r="AV364" s="53">
        <v>362</v>
      </c>
      <c r="AW364" s="4" t="s">
        <v>3219</v>
      </c>
      <c r="AX364" t="s">
        <v>3220</v>
      </c>
      <c r="AY364" s="5">
        <v>35053.75</v>
      </c>
      <c r="AZ364" s="9">
        <v>21.798977464942073</v>
      </c>
      <c r="BA364" s="7">
        <f t="shared" si="130"/>
        <v>5.5871703541337527E-4</v>
      </c>
      <c r="BB364" s="54">
        <f t="shared" si="124"/>
        <v>112.3984777651406</v>
      </c>
      <c r="BC364" s="55">
        <f t="shared" si="125"/>
        <v>45.717546260567381</v>
      </c>
      <c r="BD364" s="55">
        <f t="shared" si="126"/>
        <v>6.761475154178072</v>
      </c>
      <c r="BE364" s="55">
        <f t="shared" si="127"/>
        <v>6.6261238922757135</v>
      </c>
      <c r="BF364" s="56">
        <f t="shared" si="128"/>
        <v>5.8657311294306208E-2</v>
      </c>
      <c r="BG364" s="56">
        <f t="shared" si="131"/>
        <v>1.2451060924480284E-5</v>
      </c>
      <c r="BH364" s="56">
        <f t="shared" si="132"/>
        <v>3.528606088029703E-3</v>
      </c>
      <c r="BI364" s="56">
        <f t="shared" si="129"/>
        <v>3.4579704240834939E-3</v>
      </c>
      <c r="BJ364" s="57">
        <f t="shared" si="133"/>
        <v>6.5425041871485243E-3</v>
      </c>
      <c r="BK364" s="57">
        <f t="shared" si="134"/>
        <v>3.9357276350259564E-4</v>
      </c>
      <c r="BL364" s="58">
        <f t="shared" si="135"/>
        <v>11.543684096175955</v>
      </c>
      <c r="BM364" s="58">
        <f t="shared" si="135"/>
        <v>0.69442518044655166</v>
      </c>
    </row>
    <row r="365" spans="47:65" x14ac:dyDescent="0.2">
      <c r="AU365" s="2">
        <v>-1272</v>
      </c>
      <c r="AV365" s="53">
        <v>363</v>
      </c>
      <c r="AW365" s="4" t="s">
        <v>2896</v>
      </c>
      <c r="AX365" t="s">
        <v>1354</v>
      </c>
      <c r="AY365" s="4">
        <v>46278</v>
      </c>
      <c r="AZ365" s="9">
        <v>21.805198056754872</v>
      </c>
      <c r="BA365" s="7">
        <f t="shared" si="130"/>
        <v>5.5887647181913122E-4</v>
      </c>
      <c r="BB365" s="54">
        <f t="shared" si="124"/>
        <v>112.854327864406</v>
      </c>
      <c r="BC365" s="55">
        <f t="shared" si="125"/>
        <v>46.026631536807365</v>
      </c>
      <c r="BD365" s="55">
        <f t="shared" si="126"/>
        <v>6.7842930019868222</v>
      </c>
      <c r="BE365" s="55">
        <f t="shared" si="127"/>
        <v>6.6484849722306469</v>
      </c>
      <c r="BF365" s="56">
        <f t="shared" si="128"/>
        <v>5.8895205451841175E-2</v>
      </c>
      <c r="BG365" s="56">
        <f t="shared" si="131"/>
        <v>1.2535239536853658E-5</v>
      </c>
      <c r="BH365" s="56">
        <f t="shared" si="132"/>
        <v>3.5405140215586856E-3</v>
      </c>
      <c r="BI365" s="56">
        <f t="shared" si="129"/>
        <v>3.4696399845070454E-3</v>
      </c>
      <c r="BJ365" s="57">
        <f t="shared" si="133"/>
        <v>8.6724518046954E-3</v>
      </c>
      <c r="BK365" s="57">
        <f t="shared" si="134"/>
        <v>5.2134867312626202E-4</v>
      </c>
      <c r="BL365" s="58">
        <f t="shared" si="135"/>
        <v>15.301792877620983</v>
      </c>
      <c r="BM365" s="58">
        <f t="shared" si="135"/>
        <v>0.91987474740204445</v>
      </c>
    </row>
    <row r="366" spans="47:65" x14ac:dyDescent="0.2">
      <c r="AU366" s="2">
        <v>-1271</v>
      </c>
      <c r="AV366" s="53">
        <v>364</v>
      </c>
      <c r="AW366" s="4" t="s">
        <v>1587</v>
      </c>
      <c r="AX366" t="s">
        <v>1588</v>
      </c>
      <c r="AY366" s="4">
        <v>53339</v>
      </c>
      <c r="AZ366" s="9">
        <v>21.809404416050509</v>
      </c>
      <c r="BA366" s="7">
        <f t="shared" si="130"/>
        <v>5.5898428259141728E-4</v>
      </c>
      <c r="BB366" s="54">
        <f t="shared" si="124"/>
        <v>113.1636207114546</v>
      </c>
      <c r="BC366" s="55">
        <f t="shared" si="125"/>
        <v>46.236793756873823</v>
      </c>
      <c r="BD366" s="55">
        <f t="shared" si="126"/>
        <v>6.7997642427420839</v>
      </c>
      <c r="BE366" s="55">
        <f t="shared" si="127"/>
        <v>6.6636465095688777</v>
      </c>
      <c r="BF366" s="56">
        <f t="shared" si="128"/>
        <v>5.9056615883469402E-2</v>
      </c>
      <c r="BG366" s="56">
        <f t="shared" si="131"/>
        <v>1.2592476698952677E-5</v>
      </c>
      <c r="BH366" s="56">
        <f t="shared" si="132"/>
        <v>3.5485879866437968E-3</v>
      </c>
      <c r="BI366" s="56">
        <f t="shared" si="129"/>
        <v>3.4775523248966713E-3</v>
      </c>
      <c r="BJ366" s="57">
        <f t="shared" si="133"/>
        <v>1.0023070807524577E-2</v>
      </c>
      <c r="BK366" s="57">
        <f t="shared" si="134"/>
        <v>6.0226526909439222E-4</v>
      </c>
      <c r="BL366" s="58">
        <f t="shared" si="135"/>
        <v>17.684843565395539</v>
      </c>
      <c r="BM366" s="58">
        <f t="shared" si="135"/>
        <v>1.0626450988263216</v>
      </c>
    </row>
    <row r="367" spans="47:65" x14ac:dyDescent="0.2">
      <c r="AU367" s="2">
        <v>-1270</v>
      </c>
      <c r="AV367" s="53">
        <v>365</v>
      </c>
      <c r="AW367" s="4" t="s">
        <v>2957</v>
      </c>
      <c r="AX367" t="s">
        <v>2958</v>
      </c>
      <c r="AY367" s="4">
        <v>54718</v>
      </c>
      <c r="AZ367" s="9">
        <v>21.817728482661586</v>
      </c>
      <c r="BA367" s="7">
        <f t="shared" si="130"/>
        <v>5.5919763194814756E-4</v>
      </c>
      <c r="BB367" s="54">
        <f t="shared" si="124"/>
        <v>113.77818878385558</v>
      </c>
      <c r="BC367" s="55">
        <f t="shared" si="125"/>
        <v>46.655463004428555</v>
      </c>
      <c r="BD367" s="55">
        <f t="shared" si="126"/>
        <v>6.8304804373066288</v>
      </c>
      <c r="BE367" s="55">
        <f t="shared" si="127"/>
        <v>6.693747827113194</v>
      </c>
      <c r="BF367" s="56">
        <f t="shared" si="128"/>
        <v>5.9377340073433038E-2</v>
      </c>
      <c r="BG367" s="56">
        <f t="shared" si="131"/>
        <v>1.2706500235535305E-5</v>
      </c>
      <c r="BH367" s="56">
        <f t="shared" si="132"/>
        <v>3.5646178246111189E-3</v>
      </c>
      <c r="BI367" s="56">
        <f t="shared" si="129"/>
        <v>3.4932612774436532E-3</v>
      </c>
      <c r="BJ367" s="57">
        <f t="shared" si="133"/>
        <v>1.0338042800120196E-2</v>
      </c>
      <c r="BK367" s="57">
        <f t="shared" si="134"/>
        <v>6.2062685178094156E-4</v>
      </c>
      <c r="BL367" s="58">
        <f t="shared" si="135"/>
        <v>18.240584467909439</v>
      </c>
      <c r="BM367" s="58">
        <f t="shared" si="135"/>
        <v>1.0950425270856254</v>
      </c>
    </row>
    <row r="368" spans="47:65" x14ac:dyDescent="0.2">
      <c r="AU368" s="2">
        <v>-1269</v>
      </c>
      <c r="AV368" s="53">
        <v>366</v>
      </c>
      <c r="AW368" s="4" t="s">
        <v>3189</v>
      </c>
      <c r="AX368" t="s">
        <v>3190</v>
      </c>
      <c r="AY368" s="5">
        <v>33222.899999999994</v>
      </c>
      <c r="AZ368" s="9">
        <v>21.827995434119117</v>
      </c>
      <c r="BA368" s="7">
        <f t="shared" si="130"/>
        <v>5.5946077826729535E-4</v>
      </c>
      <c r="BB368" s="54">
        <f t="shared" si="124"/>
        <v>114.5407999048433</v>
      </c>
      <c r="BC368" s="55">
        <f t="shared" si="125"/>
        <v>47.176968634379683</v>
      </c>
      <c r="BD368" s="55">
        <f t="shared" si="126"/>
        <v>6.8685492379671915</v>
      </c>
      <c r="BE368" s="55">
        <f t="shared" si="127"/>
        <v>6.7310545662278631</v>
      </c>
      <c r="BF368" s="56">
        <f t="shared" si="128"/>
        <v>5.9775323380767048E-2</v>
      </c>
      <c r="BG368" s="56">
        <f t="shared" si="131"/>
        <v>1.2848531007134073E-5</v>
      </c>
      <c r="BH368" s="56">
        <f t="shared" si="132"/>
        <v>3.5844847617382994E-3</v>
      </c>
      <c r="BI368" s="56">
        <f t="shared" si="129"/>
        <v>3.5127305180698508E-3</v>
      </c>
      <c r="BJ368" s="57">
        <f t="shared" si="133"/>
        <v>6.3189780304681994E-3</v>
      </c>
      <c r="BK368" s="57">
        <f t="shared" si="134"/>
        <v>3.78923595539429E-4</v>
      </c>
      <c r="BL368" s="58">
        <f t="shared" si="135"/>
        <v>11.149291480422109</v>
      </c>
      <c r="BM368" s="58">
        <f t="shared" si="135"/>
        <v>0.66857798762842691</v>
      </c>
    </row>
    <row r="369" spans="47:65" x14ac:dyDescent="0.2">
      <c r="AU369" s="2">
        <v>-1268</v>
      </c>
      <c r="AV369" s="53">
        <v>367</v>
      </c>
      <c r="AW369" s="4" t="s">
        <v>2834</v>
      </c>
      <c r="AX369" t="s">
        <v>1352</v>
      </c>
      <c r="AY369" s="4">
        <v>41594</v>
      </c>
      <c r="AZ369" s="9">
        <v>21.842927797780582</v>
      </c>
      <c r="BA369" s="7">
        <f t="shared" si="130"/>
        <v>5.5984350107941199E-4</v>
      </c>
      <c r="BB369" s="54">
        <f t="shared" si="124"/>
        <v>115.65908294092766</v>
      </c>
      <c r="BC369" s="55">
        <f t="shared" si="125"/>
        <v>47.945655887122342</v>
      </c>
      <c r="BD369" s="55">
        <f t="shared" si="126"/>
        <v>6.9242801710446651</v>
      </c>
      <c r="BE369" s="55">
        <f t="shared" si="127"/>
        <v>6.7856698770561925</v>
      </c>
      <c r="BF369" s="56">
        <f t="shared" si="128"/>
        <v>6.0358920930013223E-2</v>
      </c>
      <c r="BG369" s="56">
        <f t="shared" si="131"/>
        <v>1.3057881083824236E-5</v>
      </c>
      <c r="BH369" s="56">
        <f t="shared" si="132"/>
        <v>3.6135690229777313E-3</v>
      </c>
      <c r="BI369" s="56">
        <f t="shared" si="129"/>
        <v>3.5412325703429713E-3</v>
      </c>
      <c r="BJ369" s="57">
        <f t="shared" si="133"/>
        <v>7.988394917377125E-3</v>
      </c>
      <c r="BK369" s="57">
        <f t="shared" si="134"/>
        <v>4.7824937841777962E-4</v>
      </c>
      <c r="BL369" s="58">
        <f t="shared" si="135"/>
        <v>14.094833526104354</v>
      </c>
      <c r="BM369" s="58">
        <f t="shared" si="135"/>
        <v>0.84382976085698436</v>
      </c>
    </row>
    <row r="370" spans="47:65" x14ac:dyDescent="0.2">
      <c r="AU370" s="2">
        <v>-1267</v>
      </c>
      <c r="AV370" s="53">
        <v>368</v>
      </c>
      <c r="AW370" s="4" t="s">
        <v>2179</v>
      </c>
      <c r="AX370" t="s">
        <v>572</v>
      </c>
      <c r="AY370" s="4">
        <v>114489</v>
      </c>
      <c r="AZ370" s="9">
        <v>21.843886301517049</v>
      </c>
      <c r="BA370" s="7">
        <f t="shared" si="130"/>
        <v>5.5986806793659281E-4</v>
      </c>
      <c r="BB370" s="54">
        <f t="shared" si="124"/>
        <v>115.73123698232934</v>
      </c>
      <c r="BC370" s="55">
        <f t="shared" si="125"/>
        <v>47.995414450395437</v>
      </c>
      <c r="BD370" s="55">
        <f t="shared" si="126"/>
        <v>6.9278722888341004</v>
      </c>
      <c r="BE370" s="55">
        <f t="shared" si="127"/>
        <v>6.7891900878039522</v>
      </c>
      <c r="BF370" s="56">
        <f t="shared" si="128"/>
        <v>6.0396575906769126E-2</v>
      </c>
      <c r="BG370" s="56">
        <f t="shared" si="131"/>
        <v>1.3071432705761791E-5</v>
      </c>
      <c r="BH370" s="56">
        <f t="shared" si="132"/>
        <v>3.615443638858417E-3</v>
      </c>
      <c r="BI370" s="56">
        <f t="shared" si="129"/>
        <v>3.543069660148467E-3</v>
      </c>
      <c r="BJ370" s="57">
        <f t="shared" si="133"/>
        <v>2.2002065429738715E-2</v>
      </c>
      <c r="BK370" s="57">
        <f t="shared" si="134"/>
        <v>1.3170817435493062E-3</v>
      </c>
      <c r="BL370" s="58">
        <f t="shared" si="135"/>
        <v>38.820745928325337</v>
      </c>
      <c r="BM370" s="58">
        <f t="shared" si="135"/>
        <v>2.3238770876507919</v>
      </c>
    </row>
    <row r="371" spans="47:65" x14ac:dyDescent="0.2">
      <c r="AU371" s="2">
        <v>-1266</v>
      </c>
      <c r="AV371" s="53">
        <v>369</v>
      </c>
      <c r="AW371" s="4" t="s">
        <v>2931</v>
      </c>
      <c r="AX371" t="s">
        <v>1138</v>
      </c>
      <c r="AY371" s="4">
        <v>35386</v>
      </c>
      <c r="AZ371" s="9">
        <v>21.84935673743497</v>
      </c>
      <c r="BA371" s="7">
        <f t="shared" si="130"/>
        <v>5.6000827752868934E-4</v>
      </c>
      <c r="BB371" s="54">
        <f t="shared" si="124"/>
        <v>116.14390177282652</v>
      </c>
      <c r="BC371" s="55">
        <f t="shared" si="125"/>
        <v>48.280369217415561</v>
      </c>
      <c r="BD371" s="55">
        <f t="shared" si="126"/>
        <v>6.9484076749580233</v>
      </c>
      <c r="BE371" s="55">
        <f t="shared" si="127"/>
        <v>6.8093143964097083</v>
      </c>
      <c r="BF371" s="56">
        <f t="shared" si="128"/>
        <v>6.0611932978837005E-2</v>
      </c>
      <c r="BG371" s="56">
        <f t="shared" si="131"/>
        <v>1.3149039433487204E-5</v>
      </c>
      <c r="BH371" s="56">
        <f t="shared" si="132"/>
        <v>3.6261604257792021E-3</v>
      </c>
      <c r="BI371" s="56">
        <f t="shared" si="129"/>
        <v>3.553571918345831E-3</v>
      </c>
      <c r="BJ371" s="57">
        <f t="shared" si="133"/>
        <v>6.8245965091570677E-3</v>
      </c>
      <c r="BK371" s="57">
        <f t="shared" si="134"/>
        <v>4.0828728877623542E-4</v>
      </c>
      <c r="BL371" s="58">
        <f t="shared" si="135"/>
        <v>12.041411657072272</v>
      </c>
      <c r="BM371" s="58">
        <f t="shared" si="135"/>
        <v>0.72038769059943031</v>
      </c>
    </row>
    <row r="372" spans="47:65" x14ac:dyDescent="0.2">
      <c r="AU372" s="2">
        <v>-1265</v>
      </c>
      <c r="AV372" s="53">
        <v>370</v>
      </c>
      <c r="AW372" s="4" t="s">
        <v>1463</v>
      </c>
      <c r="AX372" t="s">
        <v>62</v>
      </c>
      <c r="AY372" s="4">
        <v>16017</v>
      </c>
      <c r="AZ372" s="9">
        <v>21.850501753753562</v>
      </c>
      <c r="BA372" s="7">
        <f t="shared" si="130"/>
        <v>5.6003762478243335E-4</v>
      </c>
      <c r="BB372" s="54">
        <f t="shared" si="124"/>
        <v>116.23046266000154</v>
      </c>
      <c r="BC372" s="55">
        <f t="shared" si="125"/>
        <v>48.340222404195252</v>
      </c>
      <c r="BD372" s="55">
        <f t="shared" si="126"/>
        <v>6.952713312383537</v>
      </c>
      <c r="BE372" s="55">
        <f t="shared" si="127"/>
        <v>6.8135338435519559</v>
      </c>
      <c r="BF372" s="56">
        <f t="shared" si="128"/>
        <v>6.0657106445648069E-2</v>
      </c>
      <c r="BG372" s="56">
        <f t="shared" si="131"/>
        <v>1.3165340301229285E-5</v>
      </c>
      <c r="BH372" s="56">
        <f t="shared" si="132"/>
        <v>3.6284074056298151E-3</v>
      </c>
      <c r="BI372" s="56">
        <f t="shared" si="129"/>
        <v>3.5557739181364253E-3</v>
      </c>
      <c r="BJ372" s="57">
        <f t="shared" si="133"/>
        <v>3.0913646529573723E-3</v>
      </c>
      <c r="BK372" s="57">
        <f t="shared" si="134"/>
        <v>1.8492030130622122E-4</v>
      </c>
      <c r="BL372" s="58">
        <f t="shared" si="135"/>
        <v>5.4544461813142133</v>
      </c>
      <c r="BM372" s="58">
        <f t="shared" si="135"/>
        <v>0.32627591518272447</v>
      </c>
    </row>
    <row r="373" spans="47:65" x14ac:dyDescent="0.2">
      <c r="AU373" s="2">
        <v>-1264</v>
      </c>
      <c r="AV373" s="53">
        <v>371</v>
      </c>
      <c r="AW373" s="4" t="s">
        <v>2092</v>
      </c>
      <c r="AX373" t="s">
        <v>502</v>
      </c>
      <c r="AY373" s="4">
        <v>12345</v>
      </c>
      <c r="AZ373" s="9">
        <v>21.864020354678988</v>
      </c>
      <c r="BA373" s="7">
        <f t="shared" si="130"/>
        <v>5.6038411225617553E-4</v>
      </c>
      <c r="BB373" s="54">
        <f t="shared" si="124"/>
        <v>117.25733185621364</v>
      </c>
      <c r="BC373" s="55">
        <f t="shared" si="125"/>
        <v>49.052393671561425</v>
      </c>
      <c r="BD373" s="55">
        <f t="shared" si="126"/>
        <v>7.0037414052463003</v>
      </c>
      <c r="BE373" s="55">
        <f t="shared" si="127"/>
        <v>6.8635404556573469</v>
      </c>
      <c r="BF373" s="56">
        <f t="shared" si="128"/>
        <v>6.1192997921212355E-2</v>
      </c>
      <c r="BG373" s="56">
        <f t="shared" si="131"/>
        <v>1.3359298388746126E-5</v>
      </c>
      <c r="BH373" s="56">
        <f t="shared" si="132"/>
        <v>3.6550373990899363E-3</v>
      </c>
      <c r="BI373" s="56">
        <f t="shared" si="129"/>
        <v>3.5818708321816127E-3</v>
      </c>
      <c r="BJ373" s="57">
        <f t="shared" si="133"/>
        <v>2.403699630810616E-3</v>
      </c>
      <c r="BK373" s="57">
        <f t="shared" si="134"/>
        <v>1.4357217892973945E-4</v>
      </c>
      <c r="BL373" s="58">
        <f t="shared" si="135"/>
        <v>4.2411205872328184</v>
      </c>
      <c r="BM373" s="58">
        <f t="shared" si="135"/>
        <v>0.25332072111166654</v>
      </c>
    </row>
    <row r="374" spans="47:65" x14ac:dyDescent="0.2">
      <c r="AU374" s="2">
        <v>-1263</v>
      </c>
      <c r="AV374" s="53">
        <v>372</v>
      </c>
      <c r="AW374" s="4" t="s">
        <v>2006</v>
      </c>
      <c r="AX374" t="s">
        <v>433</v>
      </c>
      <c r="AY374" s="4">
        <v>40201</v>
      </c>
      <c r="AZ374" s="9">
        <v>21.872361761432504</v>
      </c>
      <c r="BA374" s="7">
        <f t="shared" si="130"/>
        <v>5.6059790604810896E-4</v>
      </c>
      <c r="BB374" s="54">
        <f t="shared" si="124"/>
        <v>117.89546400643262</v>
      </c>
      <c r="BC374" s="55">
        <f t="shared" si="125"/>
        <v>49.496940572643268</v>
      </c>
      <c r="BD374" s="55">
        <f t="shared" si="126"/>
        <v>7.0354062123407823</v>
      </c>
      <c r="BE374" s="55">
        <f t="shared" si="127"/>
        <v>6.8945713963986428</v>
      </c>
      <c r="BF374" s="56">
        <f t="shared" si="128"/>
        <v>6.152601947921351E-2</v>
      </c>
      <c r="BG374" s="56">
        <f t="shared" si="131"/>
        <v>1.3480369640418149E-5</v>
      </c>
      <c r="BH374" s="56">
        <f t="shared" si="132"/>
        <v>3.6715622887836382E-3</v>
      </c>
      <c r="BI374" s="56">
        <f t="shared" si="129"/>
        <v>3.5980649265056892E-3</v>
      </c>
      <c r="BJ374" s="57">
        <f t="shared" si="133"/>
        <v>7.8701506755248785E-3</v>
      </c>
      <c r="BK374" s="57">
        <f t="shared" si="134"/>
        <v>4.6965086758236674E-4</v>
      </c>
      <c r="BL374" s="58">
        <f t="shared" si="135"/>
        <v>13.88620176445942</v>
      </c>
      <c r="BM374" s="58">
        <f t="shared" si="135"/>
        <v>0.82865843043941645</v>
      </c>
    </row>
    <row r="375" spans="47:65" x14ac:dyDescent="0.2">
      <c r="AU375" s="2">
        <v>-1262</v>
      </c>
      <c r="AV375" s="53">
        <v>373</v>
      </c>
      <c r="AW375" s="4" t="s">
        <v>2660</v>
      </c>
      <c r="AX375" t="s">
        <v>932</v>
      </c>
      <c r="AY375" s="4">
        <v>11848</v>
      </c>
      <c r="AZ375" s="9">
        <v>21.876501958382082</v>
      </c>
      <c r="BA375" s="7">
        <f t="shared" si="130"/>
        <v>5.60704021051412E-4</v>
      </c>
      <c r="BB375" s="54">
        <f t="shared" si="124"/>
        <v>118.21348484233533</v>
      </c>
      <c r="BC375" s="55">
        <f t="shared" si="125"/>
        <v>49.719050691130313</v>
      </c>
      <c r="BD375" s="55">
        <f t="shared" si="126"/>
        <v>7.0511737101797678</v>
      </c>
      <c r="BE375" s="55">
        <f t="shared" si="127"/>
        <v>6.9100232603440057</v>
      </c>
      <c r="BF375" s="56">
        <f t="shared" si="128"/>
        <v>6.1691984779994533E-2</v>
      </c>
      <c r="BG375" s="56">
        <f t="shared" si="131"/>
        <v>1.3540860783172758E-5</v>
      </c>
      <c r="BH375" s="56">
        <f t="shared" si="132"/>
        <v>3.679790861336111E-3</v>
      </c>
      <c r="BI375" s="56">
        <f t="shared" si="129"/>
        <v>3.6061287794292001E-3</v>
      </c>
      <c r="BJ375" s="57">
        <f t="shared" si="133"/>
        <v>2.3257399900247894E-3</v>
      </c>
      <c r="BK375" s="57">
        <f t="shared" si="134"/>
        <v>1.3872526214965325E-4</v>
      </c>
      <c r="BL375" s="58">
        <f t="shared" si="135"/>
        <v>4.1035675280768613</v>
      </c>
      <c r="BM375" s="58">
        <f t="shared" si="135"/>
        <v>0.24476875468577183</v>
      </c>
    </row>
    <row r="376" spans="47:65" x14ac:dyDescent="0.2">
      <c r="AU376" s="2">
        <v>-1261</v>
      </c>
      <c r="AV376" s="53">
        <v>374</v>
      </c>
      <c r="AW376" s="4" t="s">
        <v>2485</v>
      </c>
      <c r="AX376" t="s">
        <v>797</v>
      </c>
      <c r="AY376" s="4">
        <v>38938</v>
      </c>
      <c r="AZ376" s="9">
        <v>21.887550854096112</v>
      </c>
      <c r="BA376" s="7">
        <f t="shared" si="130"/>
        <v>5.6098720893340615E-4</v>
      </c>
      <c r="BB376" s="54">
        <f t="shared" si="124"/>
        <v>119.06638946861473</v>
      </c>
      <c r="BC376" s="55">
        <f t="shared" si="125"/>
        <v>50.316581462668864</v>
      </c>
      <c r="BD376" s="55">
        <f t="shared" si="126"/>
        <v>7.0934181790353277</v>
      </c>
      <c r="BE376" s="55">
        <f t="shared" si="127"/>
        <v>6.9514220790954662</v>
      </c>
      <c r="BF376" s="56">
        <f t="shared" si="128"/>
        <v>6.2137089492823198E-2</v>
      </c>
      <c r="BG376" s="56">
        <f t="shared" si="131"/>
        <v>1.370359681450453E-5</v>
      </c>
      <c r="BH376" s="56">
        <f t="shared" si="132"/>
        <v>3.7018369513667844E-3</v>
      </c>
      <c r="BI376" s="56">
        <f t="shared" si="129"/>
        <v>3.6277335506592237E-3</v>
      </c>
      <c r="BJ376" s="57">
        <f t="shared" si="133"/>
        <v>7.6986029173029642E-3</v>
      </c>
      <c r="BK376" s="57">
        <f t="shared" si="134"/>
        <v>4.586467275147134E-4</v>
      </c>
      <c r="BL376" s="58">
        <f t="shared" si="135"/>
        <v>13.583520547653958</v>
      </c>
      <c r="BM376" s="58">
        <f t="shared" si="135"/>
        <v>0.80924257481939488</v>
      </c>
    </row>
    <row r="377" spans="47:65" x14ac:dyDescent="0.2">
      <c r="AU377" s="2">
        <v>-1260</v>
      </c>
      <c r="AV377" s="53">
        <v>375</v>
      </c>
      <c r="AW377" s="4" t="s">
        <v>1855</v>
      </c>
      <c r="AX377" t="s">
        <v>1298</v>
      </c>
      <c r="AY377" s="4">
        <v>22095</v>
      </c>
      <c r="AZ377" s="9">
        <v>21.893031383457135</v>
      </c>
      <c r="BA377" s="7">
        <f t="shared" si="130"/>
        <v>5.6112767722472901E-4</v>
      </c>
      <c r="BB377" s="54">
        <f t="shared" si="124"/>
        <v>119.49173219131602</v>
      </c>
      <c r="BC377" s="55">
        <f t="shared" si="125"/>
        <v>50.615574705893941</v>
      </c>
      <c r="BD377" s="55">
        <f t="shared" si="126"/>
        <v>7.1144623623921115</v>
      </c>
      <c r="BE377" s="55">
        <f t="shared" si="127"/>
        <v>6.9720449998271432</v>
      </c>
      <c r="BF377" s="56">
        <f t="shared" si="128"/>
        <v>6.2359062788087803E-2</v>
      </c>
      <c r="BG377" s="56">
        <f t="shared" si="131"/>
        <v>1.3785026886586169E-5</v>
      </c>
      <c r="BH377" s="56">
        <f t="shared" si="132"/>
        <v>3.7128192639268301E-3</v>
      </c>
      <c r="BI377" s="56">
        <f t="shared" si="129"/>
        <v>3.6384960192015494E-3</v>
      </c>
      <c r="BJ377" s="57">
        <f t="shared" si="133"/>
        <v>4.384105105558353E-3</v>
      </c>
      <c r="BK377" s="57">
        <f t="shared" si="134"/>
        <v>2.6102685260539907E-4</v>
      </c>
      <c r="BL377" s="58">
        <f t="shared" si="135"/>
        <v>7.7353751614570987</v>
      </c>
      <c r="BM377" s="58">
        <f t="shared" si="135"/>
        <v>0.46055935783956825</v>
      </c>
    </row>
    <row r="378" spans="47:65" x14ac:dyDescent="0.2">
      <c r="AU378" s="2">
        <v>-1259</v>
      </c>
      <c r="AV378" s="53">
        <v>376</v>
      </c>
      <c r="AW378" s="4" t="s">
        <v>1774</v>
      </c>
      <c r="AX378" t="s">
        <v>272</v>
      </c>
      <c r="AY378" s="4">
        <v>35146</v>
      </c>
      <c r="AZ378" s="9">
        <v>21.897962119703671</v>
      </c>
      <c r="BA378" s="7">
        <f t="shared" si="130"/>
        <v>5.6125405408540972E-4</v>
      </c>
      <c r="BB378" s="54">
        <f t="shared" si="124"/>
        <v>119.87570399903659</v>
      </c>
      <c r="BC378" s="55">
        <f t="shared" si="125"/>
        <v>50.886059648833367</v>
      </c>
      <c r="BD378" s="55">
        <f t="shared" si="126"/>
        <v>7.1334465476958169</v>
      </c>
      <c r="BE378" s="55">
        <f t="shared" si="127"/>
        <v>6.9906491595626914</v>
      </c>
      <c r="BF378" s="56">
        <f t="shared" si="128"/>
        <v>6.2559445874242739E-2</v>
      </c>
      <c r="BG378" s="56">
        <f t="shared" si="131"/>
        <v>1.3858692793424674E-5</v>
      </c>
      <c r="BH378" s="56">
        <f t="shared" si="132"/>
        <v>3.7227265268113202E-3</v>
      </c>
      <c r="BI378" s="56">
        <f t="shared" si="129"/>
        <v>3.6482049584210348E-3</v>
      </c>
      <c r="BJ378" s="57">
        <f t="shared" si="133"/>
        <v>6.9961026031642014E-3</v>
      </c>
      <c r="BK378" s="57">
        <f t="shared" si="134"/>
        <v>4.1631725443105785E-4</v>
      </c>
      <c r="BL378" s="58">
        <f t="shared" si="135"/>
        <v>12.344019360965889</v>
      </c>
      <c r="BM378" s="58">
        <f t="shared" si="135"/>
        <v>0.73455587210468554</v>
      </c>
    </row>
    <row r="379" spans="47:65" x14ac:dyDescent="0.2">
      <c r="AU379" s="2">
        <v>-1258</v>
      </c>
      <c r="AV379" s="53">
        <v>377</v>
      </c>
      <c r="AW379" s="4" t="s">
        <v>2709</v>
      </c>
      <c r="AX379" t="s">
        <v>971</v>
      </c>
      <c r="AY379" s="4">
        <v>36190</v>
      </c>
      <c r="AZ379" s="9">
        <v>21.898933950484263</v>
      </c>
      <c r="BA379" s="7">
        <f t="shared" si="130"/>
        <v>5.6127896252038242E-4</v>
      </c>
      <c r="BB379" s="54">
        <f t="shared" si="124"/>
        <v>119.95152893824439</v>
      </c>
      <c r="BC379" s="55">
        <f t="shared" si="125"/>
        <v>50.939537974282693</v>
      </c>
      <c r="BD379" s="55">
        <f t="shared" si="126"/>
        <v>7.1371939846330852</v>
      </c>
      <c r="BE379" s="55">
        <f t="shared" si="127"/>
        <v>6.994321580278382</v>
      </c>
      <c r="BF379" s="56">
        <f t="shared" si="128"/>
        <v>6.2599016579748978E-2</v>
      </c>
      <c r="BG379" s="56">
        <f t="shared" si="131"/>
        <v>1.3873257483412657E-5</v>
      </c>
      <c r="BH379" s="56">
        <f t="shared" si="132"/>
        <v>3.7246821989819021E-3</v>
      </c>
      <c r="BI379" s="56">
        <f t="shared" si="129"/>
        <v>3.6501214819309887E-3</v>
      </c>
      <c r="BJ379" s="57">
        <f t="shared" si="133"/>
        <v>7.2084761490051261E-3</v>
      </c>
      <c r="BK379" s="57">
        <f t="shared" si="134"/>
        <v>4.2890901903834148E-4</v>
      </c>
      <c r="BL379" s="58">
        <f t="shared" si="135"/>
        <v>12.718734157234268</v>
      </c>
      <c r="BM379" s="58">
        <f t="shared" si="135"/>
        <v>0.75677295423134494</v>
      </c>
    </row>
    <row r="380" spans="47:65" x14ac:dyDescent="0.2">
      <c r="AU380" s="2">
        <v>-1257</v>
      </c>
      <c r="AV380" s="53">
        <v>378</v>
      </c>
      <c r="AW380" s="4" t="s">
        <v>1851</v>
      </c>
      <c r="AX380" t="s">
        <v>1297</v>
      </c>
      <c r="AY380" s="4">
        <v>37816</v>
      </c>
      <c r="AZ380" s="9">
        <v>21.899671612648625</v>
      </c>
      <c r="BA380" s="7">
        <f t="shared" si="130"/>
        <v>5.6129786911443124E-4</v>
      </c>
      <c r="BB380" s="54">
        <f t="shared" si="124"/>
        <v>120.00911541089613</v>
      </c>
      <c r="BC380" s="55">
        <f t="shared" si="125"/>
        <v>50.980167096097603</v>
      </c>
      <c r="BD380" s="55">
        <f t="shared" si="126"/>
        <v>7.1400397125014372</v>
      </c>
      <c r="BE380" s="55">
        <f t="shared" si="127"/>
        <v>6.9971103423442678</v>
      </c>
      <c r="BF380" s="56">
        <f t="shared" si="128"/>
        <v>6.2629069190067513E-2</v>
      </c>
      <c r="BG380" s="56">
        <f t="shared" si="131"/>
        <v>1.388432272449384E-5</v>
      </c>
      <c r="BH380" s="56">
        <f t="shared" si="132"/>
        <v>3.7261672969009108E-3</v>
      </c>
      <c r="BI380" s="56">
        <f t="shared" si="129"/>
        <v>3.651576851148375E-3</v>
      </c>
      <c r="BJ380" s="57">
        <f t="shared" si="133"/>
        <v>7.5359657953836734E-3</v>
      </c>
      <c r="BK380" s="57">
        <f t="shared" si="134"/>
        <v>4.4835840066701524E-4</v>
      </c>
      <c r="BL380" s="58">
        <f t="shared" si="135"/>
        <v>13.296561379720156</v>
      </c>
      <c r="BM380" s="58">
        <f t="shared" si="135"/>
        <v>0.79108970985962535</v>
      </c>
    </row>
    <row r="381" spans="47:65" x14ac:dyDescent="0.2">
      <c r="AU381" s="2">
        <v>-1256</v>
      </c>
      <c r="AV381" s="53">
        <v>379</v>
      </c>
      <c r="AW381" s="4" t="s">
        <v>3108</v>
      </c>
      <c r="AX381" t="s">
        <v>3109</v>
      </c>
      <c r="AY381" s="4">
        <v>17240</v>
      </c>
      <c r="AZ381" s="9">
        <v>21.911093990012432</v>
      </c>
      <c r="BA381" s="7">
        <f t="shared" si="130"/>
        <v>5.6159062948946917E-4</v>
      </c>
      <c r="BB381" s="54">
        <f t="shared" si="124"/>
        <v>120.90435377199117</v>
      </c>
      <c r="BC381" s="55">
        <f t="shared" si="125"/>
        <v>51.613355121422764</v>
      </c>
      <c r="BD381" s="55">
        <f t="shared" si="126"/>
        <v>7.1842435316060076</v>
      </c>
      <c r="BE381" s="55">
        <f t="shared" si="127"/>
        <v>7.0404292890563083</v>
      </c>
      <c r="BF381" s="56">
        <f t="shared" si="128"/>
        <v>6.3096266578087992E-2</v>
      </c>
      <c r="BG381" s="56">
        <f t="shared" si="131"/>
        <v>1.4056769920917313E-5</v>
      </c>
      <c r="BH381" s="56">
        <f t="shared" si="132"/>
        <v>3.7492359116114995E-3</v>
      </c>
      <c r="BI381" s="56">
        <f t="shared" si="129"/>
        <v>3.6741836781513672E-3</v>
      </c>
      <c r="BJ381" s="57">
        <f t="shared" si="133"/>
        <v>3.4612127617958152E-3</v>
      </c>
      <c r="BK381" s="57">
        <f t="shared" si="134"/>
        <v>2.0566832061596964E-4</v>
      </c>
      <c r="BL381" s="58">
        <f t="shared" si="135"/>
        <v>6.1070112557677394</v>
      </c>
      <c r="BM381" s="58">
        <f t="shared" si="135"/>
        <v>0.36288400494192741</v>
      </c>
    </row>
    <row r="382" spans="47:65" x14ac:dyDescent="0.2">
      <c r="AU382" s="2">
        <v>-1255</v>
      </c>
      <c r="AV382" s="53">
        <v>380</v>
      </c>
      <c r="AW382" s="4" t="s">
        <v>1468</v>
      </c>
      <c r="AX382" t="s">
        <v>67</v>
      </c>
      <c r="AY382" s="4">
        <v>53907</v>
      </c>
      <c r="AZ382" s="9">
        <v>21.911825462344527</v>
      </c>
      <c r="BA382" s="7">
        <f t="shared" si="130"/>
        <v>5.6160937743549239E-4</v>
      </c>
      <c r="BB382" s="54">
        <f t="shared" si="124"/>
        <v>120.96191054390077</v>
      </c>
      <c r="BC382" s="55">
        <f t="shared" si="125"/>
        <v>51.654164814619122</v>
      </c>
      <c r="BD382" s="55">
        <f t="shared" si="126"/>
        <v>7.1870831924097773</v>
      </c>
      <c r="BE382" s="55">
        <f t="shared" si="127"/>
        <v>7.0432121055081582</v>
      </c>
      <c r="BF382" s="56">
        <f t="shared" si="128"/>
        <v>6.3126303688501931E-2</v>
      </c>
      <c r="BG382" s="56">
        <f t="shared" si="131"/>
        <v>1.4067884340168983E-5</v>
      </c>
      <c r="BH382" s="56">
        <f t="shared" si="132"/>
        <v>3.7507178433159941E-3</v>
      </c>
      <c r="BI382" s="56">
        <f t="shared" si="129"/>
        <v>3.6756359445355461E-3</v>
      </c>
      <c r="BJ382" s="57">
        <f t="shared" si="133"/>
        <v>1.0827866581415775E-2</v>
      </c>
      <c r="BK382" s="57">
        <f t="shared" si="134"/>
        <v>6.4334944419307705E-4</v>
      </c>
      <c r="BL382" s="58">
        <f t="shared" si="135"/>
        <v>19.104836263907895</v>
      </c>
      <c r="BM382" s="58">
        <f t="shared" si="135"/>
        <v>1.1351345807012885</v>
      </c>
    </row>
    <row r="383" spans="47:65" x14ac:dyDescent="0.2">
      <c r="AU383" s="2">
        <v>-1254</v>
      </c>
      <c r="AV383" s="53">
        <v>381</v>
      </c>
      <c r="AW383" s="4" t="s">
        <v>2588</v>
      </c>
      <c r="AX383" t="s">
        <v>1338</v>
      </c>
      <c r="AY383" s="4">
        <v>31611</v>
      </c>
      <c r="AZ383" s="9">
        <v>21.912775822263271</v>
      </c>
      <c r="BA383" s="7">
        <f t="shared" si="130"/>
        <v>5.6163373556317197E-4</v>
      </c>
      <c r="BB383" s="54">
        <f t="shared" si="124"/>
        <v>121.03673167728324</v>
      </c>
      <c r="BC383" s="55">
        <f t="shared" si="125"/>
        <v>51.707233683639743</v>
      </c>
      <c r="BD383" s="55">
        <f t="shared" si="126"/>
        <v>7.19077420613662</v>
      </c>
      <c r="BE383" s="55">
        <f t="shared" si="127"/>
        <v>7.0468292324936854</v>
      </c>
      <c r="BF383" s="56">
        <f t="shared" si="128"/>
        <v>6.3165350538597051E-2</v>
      </c>
      <c r="BG383" s="56">
        <f t="shared" si="131"/>
        <v>1.4082337515709195E-5</v>
      </c>
      <c r="BH383" s="56">
        <f t="shared" si="132"/>
        <v>3.7526440699471079E-3</v>
      </c>
      <c r="BI383" s="56">
        <f t="shared" si="129"/>
        <v>3.6775236119470688E-3</v>
      </c>
      <c r="BJ383" s="57">
        <f t="shared" si="133"/>
        <v>6.3533754060526079E-3</v>
      </c>
      <c r="BK383" s="57">
        <f t="shared" si="134"/>
        <v>3.774530868328284E-4</v>
      </c>
      <c r="BL383" s="58">
        <f t="shared" si="135"/>
        <v>11.20998268154719</v>
      </c>
      <c r="BM383" s="58">
        <f t="shared" si="135"/>
        <v>0.66598340190343519</v>
      </c>
    </row>
    <row r="384" spans="47:65" x14ac:dyDescent="0.2">
      <c r="AU384" s="2">
        <v>-1253</v>
      </c>
      <c r="AV384" s="53">
        <v>382</v>
      </c>
      <c r="AW384" s="4" t="s">
        <v>2213</v>
      </c>
      <c r="AX384" t="s">
        <v>1312</v>
      </c>
      <c r="AY384" s="4">
        <v>58575</v>
      </c>
      <c r="AZ384" s="9">
        <v>21.929980731308095</v>
      </c>
      <c r="BA384" s="7">
        <f t="shared" si="130"/>
        <v>5.6207470467704629E-4</v>
      </c>
      <c r="BB384" s="54">
        <f t="shared" si="124"/>
        <v>122.39929331288536</v>
      </c>
      <c r="BC384" s="55">
        <f t="shared" si="125"/>
        <v>52.677250509698887</v>
      </c>
      <c r="BD384" s="55">
        <f t="shared" si="126"/>
        <v>7.257909513744222</v>
      </c>
      <c r="BE384" s="55">
        <f t="shared" si="127"/>
        <v>7.1126206249946442</v>
      </c>
      <c r="BF384" s="56">
        <f t="shared" si="128"/>
        <v>6.3876429581715369E-2</v>
      </c>
      <c r="BG384" s="56">
        <f t="shared" si="131"/>
        <v>1.4346519204949042E-5</v>
      </c>
      <c r="BH384" s="56">
        <f t="shared" si="132"/>
        <v>3.7876799237724721E-3</v>
      </c>
      <c r="BI384" s="56">
        <f t="shared" si="129"/>
        <v>3.7118581177797306E-3</v>
      </c>
      <c r="BJ384" s="57">
        <f t="shared" si="133"/>
        <v>1.19052988694689E-2</v>
      </c>
      <c r="BK384" s="57">
        <f t="shared" si="134"/>
        <v>7.0594837265773645E-4</v>
      </c>
      <c r="BL384" s="58">
        <f t="shared" si="135"/>
        <v>21.005872566297501</v>
      </c>
      <c r="BM384" s="58">
        <f t="shared" si="135"/>
        <v>1.2455849884174339</v>
      </c>
    </row>
    <row r="385" spans="47:65" x14ac:dyDescent="0.2">
      <c r="AU385" s="2">
        <v>-1252</v>
      </c>
      <c r="AV385" s="53">
        <v>383</v>
      </c>
      <c r="AW385" s="4" t="s">
        <v>3116</v>
      </c>
      <c r="AX385" t="s">
        <v>1257</v>
      </c>
      <c r="AY385" s="4">
        <v>11381</v>
      </c>
      <c r="AZ385" s="9">
        <v>21.931087590809671</v>
      </c>
      <c r="BA385" s="7">
        <f t="shared" si="130"/>
        <v>5.6210307395539129E-4</v>
      </c>
      <c r="BB385" s="54">
        <f t="shared" si="124"/>
        <v>122.48747562315225</v>
      </c>
      <c r="BC385" s="55">
        <f t="shared" si="125"/>
        <v>52.740261714593352</v>
      </c>
      <c r="BD385" s="55">
        <f t="shared" si="126"/>
        <v>7.262249081007436</v>
      </c>
      <c r="BE385" s="55">
        <f t="shared" si="127"/>
        <v>7.1168733227668382</v>
      </c>
      <c r="BF385" s="56">
        <f t="shared" si="128"/>
        <v>6.3922449219408137E-2</v>
      </c>
      <c r="BG385" s="56">
        <f t="shared" si="131"/>
        <v>1.4363680151134006E-5</v>
      </c>
      <c r="BH385" s="56">
        <f t="shared" si="132"/>
        <v>3.7899446105627991E-3</v>
      </c>
      <c r="BI385" s="56">
        <f t="shared" si="129"/>
        <v>3.7140774700523825E-3</v>
      </c>
      <c r="BJ385" s="57">
        <f t="shared" si="133"/>
        <v>2.3148411941266689E-3</v>
      </c>
      <c r="BK385" s="57">
        <f t="shared" si="134"/>
        <v>1.3724630415640313E-4</v>
      </c>
      <c r="BL385" s="58">
        <f t="shared" si="135"/>
        <v>4.0843375431540032</v>
      </c>
      <c r="BM385" s="58">
        <f t="shared" si="135"/>
        <v>0.24215926092356233</v>
      </c>
    </row>
    <row r="386" spans="47:65" x14ac:dyDescent="0.2">
      <c r="AU386" s="2">
        <v>-1251</v>
      </c>
      <c r="AV386" s="53">
        <v>384</v>
      </c>
      <c r="AW386" s="4" t="s">
        <v>1898</v>
      </c>
      <c r="AX386" t="s">
        <v>361</v>
      </c>
      <c r="AY386" s="4">
        <v>19609</v>
      </c>
      <c r="AZ386" s="9">
        <v>21.938943499251824</v>
      </c>
      <c r="BA386" s="7">
        <f t="shared" si="130"/>
        <v>5.6230442421974832E-4</v>
      </c>
      <c r="BB386" s="54">
        <f t="shared" si="124"/>
        <v>123.11517586223084</v>
      </c>
      <c r="BC386" s="55">
        <f t="shared" si="125"/>
        <v>53.189607066825594</v>
      </c>
      <c r="BD386" s="55">
        <f t="shared" si="126"/>
        <v>7.2931205301177897</v>
      </c>
      <c r="BE386" s="55">
        <f t="shared" si="127"/>
        <v>7.1471267869702659</v>
      </c>
      <c r="BF386" s="56">
        <f t="shared" si="128"/>
        <v>6.4250026683580555E-2</v>
      </c>
      <c r="BG386" s="56">
        <f t="shared" si="131"/>
        <v>1.4486058249137754E-5</v>
      </c>
      <c r="BH386" s="56">
        <f t="shared" si="132"/>
        <v>3.8060554711062413E-3</v>
      </c>
      <c r="BI386" s="56">
        <f t="shared" si="129"/>
        <v>3.7298658232649299E-3</v>
      </c>
      <c r="BJ386" s="57">
        <f t="shared" si="133"/>
        <v>4.0088160733181138E-3</v>
      </c>
      <c r="BK386" s="57">
        <f t="shared" si="134"/>
        <v>2.3747501963933433E-4</v>
      </c>
      <c r="BL386" s="58">
        <f t="shared" si="135"/>
        <v>7.0732100471495363</v>
      </c>
      <c r="BM386" s="58">
        <f t="shared" si="135"/>
        <v>0.41900418082031621</v>
      </c>
    </row>
    <row r="387" spans="47:65" x14ac:dyDescent="0.2">
      <c r="AU387" s="2">
        <v>-1250</v>
      </c>
      <c r="AV387" s="53">
        <v>385</v>
      </c>
      <c r="AW387" s="4" t="s">
        <v>2581</v>
      </c>
      <c r="AX387" t="s">
        <v>882</v>
      </c>
      <c r="AY387" s="4">
        <v>35368</v>
      </c>
      <c r="AZ387" s="9">
        <v>21.939158784027523</v>
      </c>
      <c r="BA387" s="7">
        <f t="shared" si="130"/>
        <v>5.6230994205983247E-4</v>
      </c>
      <c r="BB387" s="54">
        <f t="shared" ref="BB387:BB450" si="136">IFERROR(IF(MATCH(AX387,$S$4:$S$20,0),VLOOKUP(AX387,$S$4:$AT$20,20,FALSE)),AVERAGE((2^(($AE$23*AZ387)+$AE$24)),(2^(($AF$23*AZ387)+$AF$24)),(2^(($AG$23*AZ387)+$AG$24)),(2^(($AH$23*AZ387)+$AH$24))))</f>
        <v>123.13242268854444</v>
      </c>
      <c r="BC387" s="55">
        <f t="shared" ref="BC387:BC450" si="137">IFERROR(IF(MATCH(AX387,$S$4:$S$20,0),VLOOKUP(AX387,$S$4:$AT$20,21,FALSE)),_xlfn.VAR.S((2^(($AE$23*AZ387)+$AE$24)),(2^(($AF$23*AZ387)+$AF$24)),(2^(($AG$23*AZ387)+$AG$24)),(2^(($AH$23*AZ387)+$AH$24))))</f>
        <v>53.201973613128693</v>
      </c>
      <c r="BD387" s="55">
        <f t="shared" ref="BD387:BD450" si="138">SQRT(BC387)</f>
        <v>7.2939683035456557</v>
      </c>
      <c r="BE387" s="55">
        <f t="shared" ref="BE387:BE450" si="139">_xlfn.CONFIDENCE.NORM(0.05,BD387,4)</f>
        <v>7.1479575896630996</v>
      </c>
      <c r="BF387" s="56">
        <f t="shared" ref="BF387:BF450" si="140">IFERROR(IF(MATCH(AX387,$S$4:$S$20,0),VLOOKUP(AX387,$S$4:$AT$20,24,FALSE)),AVERAGE((2^(($AI$23*AZ387)+$AI$24)),(2^(($AJ$23*AZ387)+$AJ$24)),(2^(($AK$23*AZ387)+$AK$24)),(2^(($AL$23*AZ387)+$AL$24))))</f>
        <v>6.4259027272200897E-2</v>
      </c>
      <c r="BG387" s="56">
        <f t="shared" si="131"/>
        <v>1.4489426247511581E-5</v>
      </c>
      <c r="BH387" s="56">
        <f t="shared" si="132"/>
        <v>3.806497898004356E-3</v>
      </c>
      <c r="BI387" s="56">
        <f t="shared" ref="BI387:BI450" si="141">_xlfn.CONFIDENCE.NORM(0.05,BH387,4)</f>
        <v>3.730299393657978E-3</v>
      </c>
      <c r="BJ387" s="57">
        <f t="shared" si="133"/>
        <v>7.2315604537981472E-3</v>
      </c>
      <c r="BK387" s="57">
        <f t="shared" si="134"/>
        <v>4.2837435976225089E-4</v>
      </c>
      <c r="BL387" s="58">
        <f t="shared" si="135"/>
        <v>12.759464421134432</v>
      </c>
      <c r="BM387" s="58">
        <f t="shared" si="135"/>
        <v>0.75582959407356254</v>
      </c>
    </row>
    <row r="388" spans="47:65" x14ac:dyDescent="0.2">
      <c r="AU388" s="2">
        <v>-1249</v>
      </c>
      <c r="AV388" s="53">
        <v>386</v>
      </c>
      <c r="AW388" s="4" t="s">
        <v>1869</v>
      </c>
      <c r="AX388" t="s">
        <v>342</v>
      </c>
      <c r="AY388" s="4">
        <v>92701</v>
      </c>
      <c r="AZ388" s="9">
        <v>21.944375586630994</v>
      </c>
      <c r="BA388" s="7">
        <f t="shared" ref="BA388:BA451" si="142">AZ388/$AZ$1637</f>
        <v>5.6244365092253639E-4</v>
      </c>
      <c r="BB388" s="54">
        <f t="shared" si="136"/>
        <v>123.55108902208653</v>
      </c>
      <c r="BC388" s="55">
        <f t="shared" si="137"/>
        <v>53.502502821118235</v>
      </c>
      <c r="BD388" s="55">
        <f t="shared" si="138"/>
        <v>7.3145405064924098</v>
      </c>
      <c r="BE388" s="55">
        <f t="shared" si="139"/>
        <v>7.1681179780922424</v>
      </c>
      <c r="BF388" s="56">
        <f t="shared" si="140"/>
        <v>6.4477516365143484E-2</v>
      </c>
      <c r="BG388" s="56">
        <f t="shared" ref="BG388:BG451" si="143">IFERROR(IF(MATCH(AX388,$S$4:$S$20,0),VLOOKUP(AX388,$S$4:$AT$20,25,FALSE)),_xlfn.VAR.S((2^(($AI$23*AZ388)+$AI$24)),(2^(($AJ$23*AZ388)+$AJ$24)),(2^(($AK$23*AZ388)+$AK$24)),(2^(($AL$23*AZ388)+$AL$24))))</f>
        <v>1.4571274635806567E-5</v>
      </c>
      <c r="BH388" s="56">
        <f t="shared" ref="BH388:BH451" si="144">SQRT(BG388)</f>
        <v>3.8172338984933277E-3</v>
      </c>
      <c r="BI388" s="56">
        <f t="shared" si="141"/>
        <v>3.7408204808061724E-3</v>
      </c>
      <c r="BJ388" s="57">
        <f t="shared" ref="BJ388:BJ451" si="145">(((BF388*0.000001)*AY388)*1000000000000000)*$S$24</f>
        <v>1.9018667752564739E-2</v>
      </c>
      <c r="BK388" s="57">
        <f t="shared" ref="BK388:BK451" si="146">((((BH388*0.000001)*AY388)*1000000000000000)*$S$24)</f>
        <v>1.1259537795801152E-3</v>
      </c>
      <c r="BL388" s="58">
        <f t="shared" ref="BL388:BM451" si="147">((BJ388/$S$26)*0.000000001)/0.45</f>
        <v>33.556798159486156</v>
      </c>
      <c r="BM388" s="58">
        <f t="shared" si="147"/>
        <v>1.9866482873483742</v>
      </c>
    </row>
    <row r="389" spans="47:65" x14ac:dyDescent="0.2">
      <c r="AU389" s="2">
        <v>-1248</v>
      </c>
      <c r="AV389" s="53">
        <v>387</v>
      </c>
      <c r="AW389" s="4" t="s">
        <v>1878</v>
      </c>
      <c r="AX389" t="s">
        <v>347</v>
      </c>
      <c r="AY389" s="4">
        <v>24301</v>
      </c>
      <c r="AZ389" s="9">
        <v>21.946150009639805</v>
      </c>
      <c r="BA389" s="7">
        <f t="shared" si="142"/>
        <v>5.6248913013662554E-4</v>
      </c>
      <c r="BB389" s="54">
        <f t="shared" si="136"/>
        <v>123.69381679006581</v>
      </c>
      <c r="BC389" s="55">
        <f t="shared" si="137"/>
        <v>53.605101857552597</v>
      </c>
      <c r="BD389" s="55">
        <f t="shared" si="138"/>
        <v>7.3215505091170821</v>
      </c>
      <c r="BE389" s="55">
        <f t="shared" si="139"/>
        <v>7.1749876544301872</v>
      </c>
      <c r="BF389" s="56">
        <f t="shared" si="140"/>
        <v>6.4552001600915024E-2</v>
      </c>
      <c r="BG389" s="56">
        <f t="shared" si="143"/>
        <v>1.4599217230236263E-5</v>
      </c>
      <c r="BH389" s="56">
        <f t="shared" si="144"/>
        <v>3.820892203430537E-3</v>
      </c>
      <c r="BI389" s="56">
        <f t="shared" si="141"/>
        <v>3.7444055537668702E-3</v>
      </c>
      <c r="BJ389" s="57">
        <f t="shared" si="145"/>
        <v>4.9913868533518627E-3</v>
      </c>
      <c r="BK389" s="57">
        <f t="shared" si="146"/>
        <v>2.9544476761828991E-4</v>
      </c>
      <c r="BL389" s="58">
        <f t="shared" si="147"/>
        <v>8.8068714040842249</v>
      </c>
      <c r="BM389" s="58">
        <f t="shared" si="147"/>
        <v>0.52128679901389419</v>
      </c>
    </row>
    <row r="390" spans="47:65" x14ac:dyDescent="0.2">
      <c r="AU390" s="2">
        <v>-1247</v>
      </c>
      <c r="AV390" s="53">
        <v>388</v>
      </c>
      <c r="AW390" s="4" t="s">
        <v>2722</v>
      </c>
      <c r="AX390" t="s">
        <v>983</v>
      </c>
      <c r="AY390" s="4">
        <v>11495</v>
      </c>
      <c r="AZ390" s="9">
        <v>21.94878973920736</v>
      </c>
      <c r="BA390" s="7">
        <f t="shared" si="142"/>
        <v>5.6255678752471403E-4</v>
      </c>
      <c r="BB390" s="54">
        <f t="shared" si="136"/>
        <v>123.90645166783858</v>
      </c>
      <c r="BC390" s="55">
        <f t="shared" si="137"/>
        <v>53.758090252784221</v>
      </c>
      <c r="BD390" s="55">
        <f t="shared" si="138"/>
        <v>7.3319908792076536</v>
      </c>
      <c r="BE390" s="55">
        <f t="shared" si="139"/>
        <v>7.1852190291115816</v>
      </c>
      <c r="BF390" s="56">
        <f t="shared" si="140"/>
        <v>6.4662969208889254E-2</v>
      </c>
      <c r="BG390" s="56">
        <f t="shared" si="143"/>
        <v>1.4640883242206892E-5</v>
      </c>
      <c r="BH390" s="56">
        <f t="shared" si="144"/>
        <v>3.8263407117253546E-3</v>
      </c>
      <c r="BI390" s="56">
        <f t="shared" si="141"/>
        <v>3.7497449937805251E-3</v>
      </c>
      <c r="BJ390" s="57">
        <f t="shared" si="145"/>
        <v>2.3651135189695386E-3</v>
      </c>
      <c r="BK390" s="57">
        <f t="shared" si="146"/>
        <v>1.3995228267744148E-4</v>
      </c>
      <c r="BL390" s="58">
        <f t="shared" si="147"/>
        <v>4.173038722422084</v>
      </c>
      <c r="BM390" s="58">
        <f t="shared" si="147"/>
        <v>0.24693372652944806</v>
      </c>
    </row>
    <row r="391" spans="47:65" x14ac:dyDescent="0.2">
      <c r="AU391" s="2">
        <v>-1246</v>
      </c>
      <c r="AV391" s="53">
        <v>389</v>
      </c>
      <c r="AW391" s="4" t="s">
        <v>3129</v>
      </c>
      <c r="AX391" t="s">
        <v>1266</v>
      </c>
      <c r="AY391" s="4">
        <v>6741</v>
      </c>
      <c r="AZ391" s="9">
        <v>21.949074826287088</v>
      </c>
      <c r="BA391" s="7">
        <f t="shared" si="142"/>
        <v>5.625640944274473E-4</v>
      </c>
      <c r="BB391" s="54">
        <f t="shared" si="136"/>
        <v>123.92943779608325</v>
      </c>
      <c r="BC391" s="55">
        <f t="shared" si="137"/>
        <v>53.774638329841217</v>
      </c>
      <c r="BD391" s="55">
        <f t="shared" si="138"/>
        <v>7.3331192769408311</v>
      </c>
      <c r="BE391" s="55">
        <f t="shared" si="139"/>
        <v>7.1863248385702141</v>
      </c>
      <c r="BF391" s="56">
        <f t="shared" si="140"/>
        <v>6.4674964962806142E-2</v>
      </c>
      <c r="BG391" s="56">
        <f t="shared" si="143"/>
        <v>1.4645390070163342E-5</v>
      </c>
      <c r="BH391" s="56">
        <f t="shared" si="144"/>
        <v>3.8269295878240748E-3</v>
      </c>
      <c r="BI391" s="56">
        <f t="shared" si="141"/>
        <v>3.7503220817529494E-3</v>
      </c>
      <c r="BJ391" s="57">
        <f t="shared" si="145"/>
        <v>1.3872281767032034E-3</v>
      </c>
      <c r="BK391" s="57">
        <f t="shared" si="146"/>
        <v>8.2084691619729188E-5</v>
      </c>
      <c r="BL391" s="58">
        <f t="shared" si="147"/>
        <v>2.447644416129191</v>
      </c>
      <c r="BM391" s="58">
        <f t="shared" si="147"/>
        <v>0.1448313554084493</v>
      </c>
    </row>
    <row r="392" spans="47:65" x14ac:dyDescent="0.2">
      <c r="AU392" s="2">
        <v>-1245</v>
      </c>
      <c r="AV392" s="53">
        <v>390</v>
      </c>
      <c r="AW392" s="4" t="s">
        <v>2128</v>
      </c>
      <c r="AX392" t="s">
        <v>530</v>
      </c>
      <c r="AY392" s="4">
        <v>62671</v>
      </c>
      <c r="AZ392" s="9">
        <v>21.949597339662947</v>
      </c>
      <c r="BA392" s="7">
        <f t="shared" si="142"/>
        <v>5.6257748666682151E-4</v>
      </c>
      <c r="BB392" s="54">
        <f t="shared" si="136"/>
        <v>123.97157830909293</v>
      </c>
      <c r="BC392" s="55">
        <f t="shared" si="137"/>
        <v>53.804980924101358</v>
      </c>
      <c r="BD392" s="55">
        <f t="shared" si="138"/>
        <v>7.3351878588146162</v>
      </c>
      <c r="BE392" s="55">
        <f t="shared" si="139"/>
        <v>7.1883520115560593</v>
      </c>
      <c r="BF392" s="56">
        <f t="shared" si="140"/>
        <v>6.469695680147558E-2</v>
      </c>
      <c r="BG392" s="56">
        <f t="shared" si="143"/>
        <v>1.4653653800845895E-5</v>
      </c>
      <c r="BH392" s="56">
        <f t="shared" si="144"/>
        <v>3.8280091171320235E-3</v>
      </c>
      <c r="BI392" s="56">
        <f t="shared" si="141"/>
        <v>3.751380001034867E-3</v>
      </c>
      <c r="BJ392" s="57">
        <f t="shared" si="145"/>
        <v>1.290142997687658E-2</v>
      </c>
      <c r="BK392" s="57">
        <f t="shared" si="146"/>
        <v>7.6335571280529771E-4</v>
      </c>
      <c r="BL392" s="58">
        <f t="shared" si="147"/>
        <v>22.763459950784892</v>
      </c>
      <c r="BM392" s="58">
        <f t="shared" si="147"/>
        <v>1.3468752865217739</v>
      </c>
    </row>
    <row r="393" spans="47:65" x14ac:dyDescent="0.2">
      <c r="AU393" s="2">
        <v>-1244</v>
      </c>
      <c r="AV393" s="53">
        <v>391</v>
      </c>
      <c r="AW393" s="4" t="s">
        <v>1988</v>
      </c>
      <c r="AX393" t="s">
        <v>418</v>
      </c>
      <c r="AY393" s="4">
        <v>16097</v>
      </c>
      <c r="AZ393" s="9">
        <v>21.956928165045056</v>
      </c>
      <c r="BA393" s="7">
        <f t="shared" si="142"/>
        <v>5.6276537882970904E-4</v>
      </c>
      <c r="BB393" s="54">
        <f t="shared" si="136"/>
        <v>124.5643198584194</v>
      </c>
      <c r="BC393" s="55">
        <f t="shared" si="137"/>
        <v>54.232456165316563</v>
      </c>
      <c r="BD393" s="55">
        <f t="shared" si="138"/>
        <v>7.3642688819268791</v>
      </c>
      <c r="BE393" s="55">
        <f t="shared" si="139"/>
        <v>7.2168508905228661</v>
      </c>
      <c r="BF393" s="56">
        <f t="shared" si="140"/>
        <v>6.500629039982353E-2</v>
      </c>
      <c r="BG393" s="56">
        <f t="shared" si="143"/>
        <v>1.4770075628075025E-5</v>
      </c>
      <c r="BH393" s="56">
        <f t="shared" si="144"/>
        <v>3.8431856093708284E-3</v>
      </c>
      <c r="BI393" s="56">
        <f t="shared" si="141"/>
        <v>3.7662526901347214E-3</v>
      </c>
      <c r="BJ393" s="57">
        <f t="shared" si="145"/>
        <v>3.3295665500895914E-3</v>
      </c>
      <c r="BK393" s="57">
        <f t="shared" si="146"/>
        <v>1.9684467721575342E-4</v>
      </c>
      <c r="BL393" s="58">
        <f t="shared" si="147"/>
        <v>5.8747328747496486</v>
      </c>
      <c r="BM393" s="58">
        <f t="shared" si="147"/>
        <v>0.34731544754008686</v>
      </c>
    </row>
    <row r="394" spans="47:65" x14ac:dyDescent="0.2">
      <c r="AU394" s="2">
        <v>-1243</v>
      </c>
      <c r="AV394" s="53">
        <v>392</v>
      </c>
      <c r="AW394" s="4" t="s">
        <v>2193</v>
      </c>
      <c r="AX394" t="s">
        <v>1311</v>
      </c>
      <c r="AY394" s="4">
        <v>112905</v>
      </c>
      <c r="AZ394" s="9">
        <v>21.966394670999982</v>
      </c>
      <c r="BA394" s="7">
        <f t="shared" si="142"/>
        <v>5.6300800939122807E-4</v>
      </c>
      <c r="BB394" s="54">
        <f t="shared" si="136"/>
        <v>125.3339391674629</v>
      </c>
      <c r="BC394" s="55">
        <f t="shared" si="137"/>
        <v>54.789387346618646</v>
      </c>
      <c r="BD394" s="55">
        <f t="shared" si="138"/>
        <v>7.4019853651988967</v>
      </c>
      <c r="BE394" s="55">
        <f t="shared" si="139"/>
        <v>7.2538123649411963</v>
      </c>
      <c r="BF394" s="56">
        <f t="shared" si="140"/>
        <v>6.5407931065126823E-2</v>
      </c>
      <c r="BG394" s="56">
        <f t="shared" si="143"/>
        <v>1.4921754461177723E-5</v>
      </c>
      <c r="BH394" s="56">
        <f t="shared" si="144"/>
        <v>3.8628686828803441E-3</v>
      </c>
      <c r="BI394" s="56">
        <f t="shared" si="141"/>
        <v>3.7855417477265741E-3</v>
      </c>
      <c r="BJ394" s="57">
        <f t="shared" si="145"/>
        <v>2.349800323782265E-2</v>
      </c>
      <c r="BK394" s="57">
        <f t="shared" si="146"/>
        <v>1.387747622336907E-3</v>
      </c>
      <c r="BL394" s="58">
        <f t="shared" si="147"/>
        <v>41.460199108648517</v>
      </c>
      <c r="BM394" s="58">
        <f t="shared" si="147"/>
        <v>2.4485609331277423</v>
      </c>
    </row>
    <row r="395" spans="47:65" x14ac:dyDescent="0.2">
      <c r="AU395" s="2">
        <v>-1242</v>
      </c>
      <c r="AV395" s="53">
        <v>393</v>
      </c>
      <c r="AW395" s="4" t="s">
        <v>3251</v>
      </c>
      <c r="AX395" t="s">
        <v>3252</v>
      </c>
      <c r="AY395" s="5">
        <v>81268.434999999998</v>
      </c>
      <c r="AZ395" s="9">
        <v>21.972646802920028</v>
      </c>
      <c r="BA395" s="7">
        <f t="shared" si="142"/>
        <v>5.6316825418330598E-4</v>
      </c>
      <c r="BB395" s="54">
        <f t="shared" si="136"/>
        <v>125.84483815434649</v>
      </c>
      <c r="BC395" s="55">
        <f t="shared" si="137"/>
        <v>55.160276139186664</v>
      </c>
      <c r="BD395" s="55">
        <f t="shared" si="138"/>
        <v>7.4269964413069882</v>
      </c>
      <c r="BE395" s="55">
        <f t="shared" si="139"/>
        <v>7.2783227691344212</v>
      </c>
      <c r="BF395" s="56">
        <f t="shared" si="140"/>
        <v>6.5674553545336828E-2</v>
      </c>
      <c r="BG395" s="56">
        <f t="shared" si="143"/>
        <v>1.5022765108734398E-5</v>
      </c>
      <c r="BH395" s="56">
        <f t="shared" si="144"/>
        <v>3.8759211948560563E-3</v>
      </c>
      <c r="BI395" s="56">
        <f t="shared" si="141"/>
        <v>3.7983329744166608E-3</v>
      </c>
      <c r="BJ395" s="57">
        <f t="shared" si="145"/>
        <v>1.6982686704422476E-2</v>
      </c>
      <c r="BK395" s="57">
        <f t="shared" si="146"/>
        <v>1.0022687904201971E-3</v>
      </c>
      <c r="BL395" s="58">
        <f t="shared" si="147"/>
        <v>29.96448528153309</v>
      </c>
      <c r="BM395" s="58">
        <f t="shared" si="147"/>
        <v>1.7684167965522906</v>
      </c>
    </row>
    <row r="396" spans="47:65" x14ac:dyDescent="0.2">
      <c r="AU396" s="2">
        <v>-1241</v>
      </c>
      <c r="AV396" s="53">
        <v>394</v>
      </c>
      <c r="AW396" s="4" t="s">
        <v>2840</v>
      </c>
      <c r="AX396" t="s">
        <v>1068</v>
      </c>
      <c r="AY396" s="4">
        <v>59371</v>
      </c>
      <c r="AZ396" s="9">
        <v>21.973080250098356</v>
      </c>
      <c r="BA396" s="7">
        <f t="shared" si="142"/>
        <v>5.6317936361827256E-4</v>
      </c>
      <c r="BB396" s="54">
        <f t="shared" si="136"/>
        <v>125.88033481240285</v>
      </c>
      <c r="BC396" s="55">
        <f t="shared" si="137"/>
        <v>55.186079955812453</v>
      </c>
      <c r="BD396" s="55">
        <f t="shared" si="138"/>
        <v>7.4287334018534041</v>
      </c>
      <c r="BE396" s="55">
        <f t="shared" si="139"/>
        <v>7.2800249591911923</v>
      </c>
      <c r="BF396" s="56">
        <f t="shared" si="140"/>
        <v>6.5693078160286494E-2</v>
      </c>
      <c r="BG396" s="56">
        <f t="shared" si="143"/>
        <v>1.5029792714526319E-5</v>
      </c>
      <c r="BH396" s="56">
        <f t="shared" si="144"/>
        <v>3.8768276611846342E-3</v>
      </c>
      <c r="BI396" s="56">
        <f t="shared" si="141"/>
        <v>3.7992212950952661E-3</v>
      </c>
      <c r="BJ396" s="57">
        <f t="shared" si="145"/>
        <v>1.2410273366818604E-2</v>
      </c>
      <c r="BK396" s="57">
        <f t="shared" si="146"/>
        <v>7.3238296056023179E-4</v>
      </c>
      <c r="BL396" s="58">
        <f t="shared" si="147"/>
        <v>21.896856493442812</v>
      </c>
      <c r="BM396" s="58">
        <f t="shared" si="147"/>
        <v>1.292226537773782</v>
      </c>
    </row>
    <row r="397" spans="47:65" x14ac:dyDescent="0.2">
      <c r="AU397" s="2">
        <v>-1240</v>
      </c>
      <c r="AV397" s="53">
        <v>395</v>
      </c>
      <c r="AW397" s="4" t="s">
        <v>1477</v>
      </c>
      <c r="AX397" t="s">
        <v>74</v>
      </c>
      <c r="AY397" s="4">
        <v>45585</v>
      </c>
      <c r="AZ397" s="9">
        <v>21.993241096476609</v>
      </c>
      <c r="BA397" s="7">
        <f t="shared" si="142"/>
        <v>5.6369609465934994E-4</v>
      </c>
      <c r="BB397" s="54">
        <f t="shared" si="136"/>
        <v>127.54249604245518</v>
      </c>
      <c r="BC397" s="55">
        <f t="shared" si="137"/>
        <v>56.399428800183358</v>
      </c>
      <c r="BD397" s="55">
        <f t="shared" si="138"/>
        <v>7.5099553127953671</v>
      </c>
      <c r="BE397" s="55">
        <f t="shared" si="139"/>
        <v>7.3596209692920764</v>
      </c>
      <c r="BF397" s="56">
        <f t="shared" si="140"/>
        <v>6.656050902439678E-2</v>
      </c>
      <c r="BG397" s="56">
        <f t="shared" si="143"/>
        <v>1.5360245278576924E-5</v>
      </c>
      <c r="BH397" s="56">
        <f t="shared" si="144"/>
        <v>3.9192148803780741E-3</v>
      </c>
      <c r="BI397" s="56">
        <f t="shared" si="141"/>
        <v>3.8407600066072398E-3</v>
      </c>
      <c r="BJ397" s="57">
        <f t="shared" si="145"/>
        <v>9.6544150580061341E-3</v>
      </c>
      <c r="BK397" s="57">
        <f t="shared" si="146"/>
        <v>5.6847112065827078E-4</v>
      </c>
      <c r="BL397" s="58">
        <f t="shared" si="147"/>
        <v>17.034382306075404</v>
      </c>
      <c r="BM397" s="58">
        <f t="shared" si="147"/>
        <v>1.0030182399529017</v>
      </c>
    </row>
    <row r="398" spans="47:65" x14ac:dyDescent="0.2">
      <c r="AU398" s="2">
        <v>-1239</v>
      </c>
      <c r="AV398" s="53">
        <v>396</v>
      </c>
      <c r="AW398" s="4" t="s">
        <v>1449</v>
      </c>
      <c r="AX398" t="s">
        <v>1275</v>
      </c>
      <c r="AY398" s="4">
        <v>40029</v>
      </c>
      <c r="AZ398" s="9">
        <v>22.003765857671258</v>
      </c>
      <c r="BA398" s="7">
        <f t="shared" si="142"/>
        <v>5.6396584875137402E-4</v>
      </c>
      <c r="BB398" s="54">
        <f t="shared" si="136"/>
        <v>128.41891199241414</v>
      </c>
      <c r="BC398" s="55">
        <f t="shared" si="137"/>
        <v>57.043175998671295</v>
      </c>
      <c r="BD398" s="55">
        <f t="shared" si="138"/>
        <v>7.5526932943600515</v>
      </c>
      <c r="BE398" s="55">
        <f t="shared" si="139"/>
        <v>7.4015034216114355</v>
      </c>
      <c r="BF398" s="56">
        <f t="shared" si="140"/>
        <v>6.7017883574499323E-2</v>
      </c>
      <c r="BG398" s="56">
        <f t="shared" si="143"/>
        <v>1.5535568239758256E-5</v>
      </c>
      <c r="BH398" s="56">
        <f t="shared" si="144"/>
        <v>3.9415185195249627E-3</v>
      </c>
      <c r="BI398" s="56">
        <f t="shared" si="141"/>
        <v>3.8626171713332796E-3</v>
      </c>
      <c r="BJ398" s="57">
        <f t="shared" si="145"/>
        <v>8.5359688503867954E-3</v>
      </c>
      <c r="BK398" s="57">
        <f t="shared" si="146"/>
        <v>5.0202539249821581E-4</v>
      </c>
      <c r="BL398" s="58">
        <f t="shared" si="147"/>
        <v>15.060980481635642</v>
      </c>
      <c r="BM398" s="58">
        <f t="shared" si="147"/>
        <v>0.88578048610832094</v>
      </c>
    </row>
    <row r="399" spans="47:65" x14ac:dyDescent="0.2">
      <c r="AU399" s="2">
        <v>-1238</v>
      </c>
      <c r="AV399" s="53">
        <v>397</v>
      </c>
      <c r="AW399" s="4" t="s">
        <v>1964</v>
      </c>
      <c r="AX399" t="s">
        <v>405</v>
      </c>
      <c r="AY399" s="4">
        <v>114611</v>
      </c>
      <c r="AZ399" s="9">
        <v>22.006850175958125</v>
      </c>
      <c r="BA399" s="7">
        <f t="shared" si="142"/>
        <v>5.640449011368485E-4</v>
      </c>
      <c r="BB399" s="54">
        <f t="shared" si="136"/>
        <v>128.67688805485011</v>
      </c>
      <c r="BC399" s="55">
        <f t="shared" si="137"/>
        <v>57.233186668955092</v>
      </c>
      <c r="BD399" s="55">
        <f t="shared" si="138"/>
        <v>7.5652618374353109</v>
      </c>
      <c r="BE399" s="55">
        <f t="shared" si="139"/>
        <v>7.4138203674942593</v>
      </c>
      <c r="BF399" s="56">
        <f t="shared" si="140"/>
        <v>6.7152513353315416E-2</v>
      </c>
      <c r="BG399" s="56">
        <f t="shared" si="143"/>
        <v>1.5587317176993561E-5</v>
      </c>
      <c r="BH399" s="56">
        <f t="shared" si="144"/>
        <v>3.9480776558970523E-3</v>
      </c>
      <c r="BI399" s="56">
        <f t="shared" si="141"/>
        <v>3.8690450068627705E-3</v>
      </c>
      <c r="BJ399" s="57">
        <f t="shared" si="145"/>
        <v>2.4489276001076584E-2</v>
      </c>
      <c r="BK399" s="57">
        <f t="shared" si="146"/>
        <v>1.4397906878071136E-3</v>
      </c>
      <c r="BL399" s="58">
        <f t="shared" si="147"/>
        <v>43.209214364095239</v>
      </c>
      <c r="BM399" s="58">
        <f t="shared" si="147"/>
        <v>2.5403864314384283</v>
      </c>
    </row>
    <row r="400" spans="47:65" x14ac:dyDescent="0.2">
      <c r="AU400" s="2">
        <v>-1237</v>
      </c>
      <c r="AV400" s="53">
        <v>398</v>
      </c>
      <c r="AW400" s="4" t="s">
        <v>2766</v>
      </c>
      <c r="AX400" t="s">
        <v>1014</v>
      </c>
      <c r="AY400" s="4">
        <v>54298</v>
      </c>
      <c r="AZ400" s="9">
        <v>22.008800172516203</v>
      </c>
      <c r="BA400" s="7">
        <f t="shared" si="142"/>
        <v>5.6409488037545029E-4</v>
      </c>
      <c r="BB400" s="54">
        <f t="shared" si="136"/>
        <v>128.84025544651934</v>
      </c>
      <c r="BC400" s="55">
        <f t="shared" si="137"/>
        <v>57.353636357440287</v>
      </c>
      <c r="BD400" s="55">
        <f t="shared" si="138"/>
        <v>7.5732183619277933</v>
      </c>
      <c r="BE400" s="55">
        <f t="shared" si="139"/>
        <v>7.4216176182179474</v>
      </c>
      <c r="BF400" s="56">
        <f t="shared" si="140"/>
        <v>6.7237769774389888E-2</v>
      </c>
      <c r="BG400" s="56">
        <f t="shared" si="143"/>
        <v>1.5620121352465141E-5</v>
      </c>
      <c r="BH400" s="56">
        <f t="shared" si="144"/>
        <v>3.9522299215082541E-3</v>
      </c>
      <c r="BI400" s="56">
        <f t="shared" si="141"/>
        <v>3.8731141523888706E-3</v>
      </c>
      <c r="BJ400" s="57">
        <f t="shared" si="145"/>
        <v>1.161674630761721E-2</v>
      </c>
      <c r="BK400" s="57">
        <f t="shared" si="146"/>
        <v>6.8283127922875639E-4</v>
      </c>
      <c r="BL400" s="58">
        <f t="shared" si="147"/>
        <v>20.49674646964154</v>
      </c>
      <c r="BM400" s="58">
        <f t="shared" si="147"/>
        <v>1.2047968717984003</v>
      </c>
    </row>
    <row r="401" spans="47:65" x14ac:dyDescent="0.2">
      <c r="AU401" s="2">
        <v>-1236</v>
      </c>
      <c r="AV401" s="53">
        <v>399</v>
      </c>
      <c r="AW401" s="4" t="s">
        <v>2234</v>
      </c>
      <c r="AX401" t="s">
        <v>2235</v>
      </c>
      <c r="AY401" s="4">
        <v>58563</v>
      </c>
      <c r="AZ401" s="9">
        <v>22.011547358280662</v>
      </c>
      <c r="BA401" s="7">
        <f t="shared" si="142"/>
        <v>5.6416529191142802E-4</v>
      </c>
      <c r="BB401" s="54">
        <f t="shared" si="136"/>
        <v>129.07076201344381</v>
      </c>
      <c r="BC401" s="55">
        <f t="shared" si="137"/>
        <v>57.523748684268931</v>
      </c>
      <c r="BD401" s="55">
        <f t="shared" si="138"/>
        <v>7.5844412242609494</v>
      </c>
      <c r="BE401" s="55">
        <f t="shared" si="139"/>
        <v>7.4326158212061664</v>
      </c>
      <c r="BF401" s="56">
        <f t="shared" si="140"/>
        <v>6.7358064067696316E-2</v>
      </c>
      <c r="BG401" s="56">
        <f t="shared" si="143"/>
        <v>1.5666451024956571E-5</v>
      </c>
      <c r="BH401" s="56">
        <f t="shared" si="144"/>
        <v>3.9580867884568384E-3</v>
      </c>
      <c r="BI401" s="56">
        <f t="shared" si="141"/>
        <v>3.8788537765296048E-3</v>
      </c>
      <c r="BJ401" s="57">
        <f t="shared" si="145"/>
        <v>1.2551634521386983E-2</v>
      </c>
      <c r="BK401" s="57">
        <f t="shared" si="146"/>
        <v>7.3755769944205431E-4</v>
      </c>
      <c r="BL401" s="58">
        <f t="shared" si="147"/>
        <v>22.146276052854549</v>
      </c>
      <c r="BM401" s="58">
        <f t="shared" si="147"/>
        <v>1.3013569180109543</v>
      </c>
    </row>
    <row r="402" spans="47:65" x14ac:dyDescent="0.2">
      <c r="AU402" s="2">
        <v>-1235</v>
      </c>
      <c r="AV402" s="53">
        <v>400</v>
      </c>
      <c r="AW402" s="4" t="s">
        <v>2736</v>
      </c>
      <c r="AX402" t="s">
        <v>995</v>
      </c>
      <c r="AY402" s="4">
        <v>28381</v>
      </c>
      <c r="AZ402" s="9">
        <v>22.015610150050026</v>
      </c>
      <c r="BA402" s="7">
        <f t="shared" si="142"/>
        <v>5.6426942298714157E-4</v>
      </c>
      <c r="BB402" s="54">
        <f t="shared" si="136"/>
        <v>129.41241259475694</v>
      </c>
      <c r="BC402" s="55">
        <f t="shared" si="137"/>
        <v>57.776231677952666</v>
      </c>
      <c r="BD402" s="55">
        <f t="shared" si="138"/>
        <v>7.6010677985367732</v>
      </c>
      <c r="BE402" s="55">
        <f t="shared" si="139"/>
        <v>7.4489095645896137</v>
      </c>
      <c r="BF402" s="56">
        <f t="shared" si="140"/>
        <v>6.7536361006413262E-2</v>
      </c>
      <c r="BG402" s="56">
        <f t="shared" si="143"/>
        <v>1.5735214145331256E-5</v>
      </c>
      <c r="BH402" s="56">
        <f t="shared" si="144"/>
        <v>3.9667636866003572E-3</v>
      </c>
      <c r="BI402" s="56">
        <f t="shared" si="141"/>
        <v>3.8873569804590141E-3</v>
      </c>
      <c r="BJ402" s="57">
        <f t="shared" si="145"/>
        <v>6.0989169862182488E-3</v>
      </c>
      <c r="BK402" s="57">
        <f t="shared" si="146"/>
        <v>3.5822129099054171E-4</v>
      </c>
      <c r="BL402" s="58">
        <f t="shared" si="147"/>
        <v>10.76101275655274</v>
      </c>
      <c r="BM402" s="58">
        <f t="shared" si="147"/>
        <v>0.63205055762011098</v>
      </c>
    </row>
    <row r="403" spans="47:65" x14ac:dyDescent="0.2">
      <c r="AU403" s="2">
        <v>-1234</v>
      </c>
      <c r="AV403" s="53">
        <v>401</v>
      </c>
      <c r="AW403" s="4" t="s">
        <v>1438</v>
      </c>
      <c r="AX403" t="s">
        <v>47</v>
      </c>
      <c r="AY403" s="4">
        <v>33376</v>
      </c>
      <c r="AZ403" s="9">
        <v>22.025613168106435</v>
      </c>
      <c r="BA403" s="7">
        <f t="shared" si="142"/>
        <v>5.6452580458130812E-4</v>
      </c>
      <c r="BB403" s="54">
        <f t="shared" si="136"/>
        <v>130.25745169757752</v>
      </c>
      <c r="BC403" s="55">
        <f t="shared" si="137"/>
        <v>58.402501004979676</v>
      </c>
      <c r="BD403" s="55">
        <f t="shared" si="138"/>
        <v>7.642152903794825</v>
      </c>
      <c r="BE403" s="55">
        <f t="shared" si="139"/>
        <v>7.4891722278930235</v>
      </c>
      <c r="BF403" s="56">
        <f t="shared" si="140"/>
        <v>6.7977360944273535E-2</v>
      </c>
      <c r="BG403" s="56">
        <f t="shared" si="143"/>
        <v>1.5905777051342699E-5</v>
      </c>
      <c r="BH403" s="56">
        <f t="shared" si="144"/>
        <v>3.9882047403992059E-3</v>
      </c>
      <c r="BI403" s="56">
        <f t="shared" si="141"/>
        <v>3.9083688270771791E-3</v>
      </c>
      <c r="BJ403" s="57">
        <f t="shared" si="145"/>
        <v>7.2191482269201518E-3</v>
      </c>
      <c r="BK403" s="57">
        <f t="shared" si="146"/>
        <v>4.2354455630971177E-4</v>
      </c>
      <c r="BL403" s="58">
        <f t="shared" si="147"/>
        <v>12.737564117839081</v>
      </c>
      <c r="BM403" s="58">
        <f t="shared" si="147"/>
        <v>0.74730782263744344</v>
      </c>
    </row>
    <row r="404" spans="47:65" x14ac:dyDescent="0.2">
      <c r="AU404" s="2">
        <v>-1233</v>
      </c>
      <c r="AV404" s="53">
        <v>402</v>
      </c>
      <c r="AW404" s="4" t="s">
        <v>2292</v>
      </c>
      <c r="AX404" t="s">
        <v>647</v>
      </c>
      <c r="AY404" s="4">
        <v>7392</v>
      </c>
      <c r="AZ404" s="9">
        <v>22.035580865885969</v>
      </c>
      <c r="BA404" s="7">
        <f t="shared" si="142"/>
        <v>5.6478128090180224E-4</v>
      </c>
      <c r="BB404" s="54">
        <f t="shared" si="136"/>
        <v>131.10499616282829</v>
      </c>
      <c r="BC404" s="55">
        <f t="shared" si="137"/>
        <v>59.033163248471986</v>
      </c>
      <c r="BD404" s="55">
        <f t="shared" si="138"/>
        <v>7.6833041882039259</v>
      </c>
      <c r="BE404" s="55">
        <f t="shared" si="139"/>
        <v>7.5294997455727239</v>
      </c>
      <c r="BF404" s="56">
        <f t="shared" si="140"/>
        <v>6.8419668353790722E-2</v>
      </c>
      <c r="BG404" s="56">
        <f t="shared" si="143"/>
        <v>1.6077536357315863E-5</v>
      </c>
      <c r="BH404" s="56">
        <f t="shared" si="144"/>
        <v>4.0096803310632964E-3</v>
      </c>
      <c r="BI404" s="56">
        <f t="shared" si="141"/>
        <v>3.9294145192013494E-3</v>
      </c>
      <c r="BJ404" s="57">
        <f t="shared" si="145"/>
        <v>1.6092751129890993E-3</v>
      </c>
      <c r="BK404" s="57">
        <f t="shared" si="146"/>
        <v>9.4310290053672131E-5</v>
      </c>
      <c r="BL404" s="58">
        <f t="shared" si="147"/>
        <v>2.83942707513659</v>
      </c>
      <c r="BM404" s="58">
        <f t="shared" si="147"/>
        <v>0.16640236891813265</v>
      </c>
    </row>
    <row r="405" spans="47:65" x14ac:dyDescent="0.2">
      <c r="AU405" s="2">
        <v>-1232</v>
      </c>
      <c r="AV405" s="53">
        <v>403</v>
      </c>
      <c r="AW405" s="4" t="s">
        <v>2767</v>
      </c>
      <c r="AX405" t="s">
        <v>1015</v>
      </c>
      <c r="AY405" s="4">
        <v>15664</v>
      </c>
      <c r="AZ405" s="9">
        <v>22.036721407048216</v>
      </c>
      <c r="BA405" s="7">
        <f t="shared" si="142"/>
        <v>5.648105134553916E-4</v>
      </c>
      <c r="BB405" s="54">
        <f t="shared" si="136"/>
        <v>131.20232632545273</v>
      </c>
      <c r="BC405" s="55">
        <f t="shared" si="137"/>
        <v>59.105749345749992</v>
      </c>
      <c r="BD405" s="55">
        <f t="shared" si="138"/>
        <v>7.6880263621914038</v>
      </c>
      <c r="BE405" s="55">
        <f t="shared" si="139"/>
        <v>7.5341273910448185</v>
      </c>
      <c r="BF405" s="56">
        <f t="shared" si="140"/>
        <v>6.847046197449537E-2</v>
      </c>
      <c r="BG405" s="56">
        <f t="shared" si="143"/>
        <v>1.6097305001816983E-5</v>
      </c>
      <c r="BH405" s="56">
        <f t="shared" si="144"/>
        <v>4.0121446885446419E-3</v>
      </c>
      <c r="BI405" s="56">
        <f t="shared" si="141"/>
        <v>3.9318295451555843E-3</v>
      </c>
      <c r="BJ405" s="57">
        <f t="shared" si="145"/>
        <v>3.4126622206539737E-3</v>
      </c>
      <c r="BK405" s="57">
        <f t="shared" si="146"/>
        <v>1.9997082256424656E-4</v>
      </c>
      <c r="BL405" s="58">
        <f t="shared" si="147"/>
        <v>6.0213480152702079</v>
      </c>
      <c r="BM405" s="58">
        <f t="shared" si="147"/>
        <v>0.3528312612575043</v>
      </c>
    </row>
    <row r="406" spans="47:65" x14ac:dyDescent="0.2">
      <c r="AU406" s="2">
        <v>-1231</v>
      </c>
      <c r="AV406" s="53">
        <v>404</v>
      </c>
      <c r="AW406" s="4" t="s">
        <v>1901</v>
      </c>
      <c r="AX406" t="s">
        <v>362</v>
      </c>
      <c r="AY406" s="4">
        <v>60782</v>
      </c>
      <c r="AZ406" s="9">
        <v>22.06224689051794</v>
      </c>
      <c r="BA406" s="7">
        <f t="shared" si="142"/>
        <v>5.6546474241978386E-4</v>
      </c>
      <c r="BB406" s="54">
        <f t="shared" si="136"/>
        <v>133.39959611817977</v>
      </c>
      <c r="BC406" s="55">
        <f t="shared" si="137"/>
        <v>60.753269445370272</v>
      </c>
      <c r="BD406" s="55">
        <f t="shared" si="138"/>
        <v>7.7944383662564345</v>
      </c>
      <c r="BE406" s="55">
        <f t="shared" si="139"/>
        <v>7.6384092387899134</v>
      </c>
      <c r="BF406" s="56">
        <f t="shared" si="140"/>
        <v>6.9617149552407914E-2</v>
      </c>
      <c r="BG406" s="56">
        <f t="shared" si="143"/>
        <v>1.6546003035997594E-5</v>
      </c>
      <c r="BH406" s="56">
        <f t="shared" si="144"/>
        <v>4.0676778431923038E-3</v>
      </c>
      <c r="BI406" s="56">
        <f t="shared" si="141"/>
        <v>3.9862510366842395E-3</v>
      </c>
      <c r="BJ406" s="57">
        <f t="shared" si="145"/>
        <v>1.346413928291945E-2</v>
      </c>
      <c r="BK406" s="57">
        <f t="shared" si="146"/>
        <v>7.8669956168712842E-4</v>
      </c>
      <c r="BL406" s="58">
        <f t="shared" si="147"/>
        <v>23.756311966026534</v>
      </c>
      <c r="BM406" s="58">
        <f t="shared" si="147"/>
        <v>1.3880634935710034</v>
      </c>
    </row>
    <row r="407" spans="47:65" x14ac:dyDescent="0.2">
      <c r="AU407" s="2">
        <v>-1230</v>
      </c>
      <c r="AV407" s="53">
        <v>405</v>
      </c>
      <c r="AW407" s="4" t="s">
        <v>2255</v>
      </c>
      <c r="AX407" t="s">
        <v>618</v>
      </c>
      <c r="AY407" s="4">
        <v>32001</v>
      </c>
      <c r="AZ407" s="9">
        <v>22.064605948071524</v>
      </c>
      <c r="BA407" s="7">
        <f t="shared" si="142"/>
        <v>5.6552520606514638E-4</v>
      </c>
      <c r="BB407" s="54">
        <f t="shared" si="136"/>
        <v>133.60451553722154</v>
      </c>
      <c r="BC407" s="55">
        <f t="shared" si="137"/>
        <v>60.907780830865256</v>
      </c>
      <c r="BD407" s="55">
        <f t="shared" si="138"/>
        <v>7.8043437155769384</v>
      </c>
      <c r="BE407" s="55">
        <f t="shared" si="139"/>
        <v>7.6481163027511512</v>
      </c>
      <c r="BF407" s="56">
        <f t="shared" si="140"/>
        <v>6.9724090699583366E-2</v>
      </c>
      <c r="BG407" s="56">
        <f t="shared" si="143"/>
        <v>1.6588083830608817E-5</v>
      </c>
      <c r="BH407" s="56">
        <f t="shared" si="144"/>
        <v>4.0728471405895922E-3</v>
      </c>
      <c r="BI407" s="56">
        <f t="shared" si="141"/>
        <v>3.9913168550462707E-3</v>
      </c>
      <c r="BJ407" s="57">
        <f t="shared" si="145"/>
        <v>7.0995983715734807E-3</v>
      </c>
      <c r="BK407" s="57">
        <f t="shared" si="146"/>
        <v>4.1471432093083367E-4</v>
      </c>
      <c r="BL407" s="58">
        <f t="shared" si="147"/>
        <v>12.5266287138425</v>
      </c>
      <c r="BM407" s="58">
        <f t="shared" si="147"/>
        <v>0.7317276342580652</v>
      </c>
    </row>
    <row r="408" spans="47:65" x14ac:dyDescent="0.2">
      <c r="AU408" s="2">
        <v>-1229</v>
      </c>
      <c r="AV408" s="53">
        <v>406</v>
      </c>
      <c r="AW408" s="4" t="s">
        <v>2649</v>
      </c>
      <c r="AX408" t="s">
        <v>926</v>
      </c>
      <c r="AY408" s="4">
        <v>88884</v>
      </c>
      <c r="AZ408" s="9">
        <v>22.072532593512847</v>
      </c>
      <c r="BA408" s="7">
        <f t="shared" si="142"/>
        <v>5.6572836934878532E-4</v>
      </c>
      <c r="BB408" s="54">
        <f t="shared" si="136"/>
        <v>134.29537201585308</v>
      </c>
      <c r="BC408" s="55">
        <f t="shared" si="137"/>
        <v>61.429773501877129</v>
      </c>
      <c r="BD408" s="55">
        <f t="shared" si="138"/>
        <v>7.8377148137628181</v>
      </c>
      <c r="BE408" s="55">
        <f t="shared" si="139"/>
        <v>7.6808193780355882</v>
      </c>
      <c r="BF408" s="56">
        <f t="shared" si="140"/>
        <v>7.00846274642489E-2</v>
      </c>
      <c r="BG408" s="56">
        <f t="shared" si="143"/>
        <v>1.6730247246638406E-5</v>
      </c>
      <c r="BH408" s="56">
        <f t="shared" si="144"/>
        <v>4.0902624911658674E-3</v>
      </c>
      <c r="BI408" s="56">
        <f t="shared" si="141"/>
        <v>4.0083835850000899E-3</v>
      </c>
      <c r="BJ408" s="57">
        <f t="shared" si="145"/>
        <v>1.9821372901571922E-2</v>
      </c>
      <c r="BK408" s="57">
        <f t="shared" si="146"/>
        <v>1.1568102883056405E-3</v>
      </c>
      <c r="BL408" s="58">
        <f t="shared" si="147"/>
        <v>34.973102130787289</v>
      </c>
      <c r="BM408" s="58">
        <f t="shared" si="147"/>
        <v>2.0410919344366012</v>
      </c>
    </row>
    <row r="409" spans="47:65" x14ac:dyDescent="0.2">
      <c r="AU409" s="2">
        <v>-1228</v>
      </c>
      <c r="AV409" s="53">
        <v>407</v>
      </c>
      <c r="AW409" s="4" t="s">
        <v>1902</v>
      </c>
      <c r="AX409" t="s">
        <v>363</v>
      </c>
      <c r="AY409" s="4">
        <v>34185</v>
      </c>
      <c r="AZ409" s="9">
        <v>22.080990537815335</v>
      </c>
      <c r="BA409" s="7">
        <f t="shared" si="142"/>
        <v>5.6594515004751206E-4</v>
      </c>
      <c r="BB409" s="54">
        <f t="shared" si="136"/>
        <v>135.0364748172085</v>
      </c>
      <c r="BC409" s="55">
        <f t="shared" si="137"/>
        <v>61.991578612590537</v>
      </c>
      <c r="BD409" s="55">
        <f t="shared" si="138"/>
        <v>7.873473097216408</v>
      </c>
      <c r="BE409" s="55">
        <f t="shared" si="139"/>
        <v>7.7158618518945943</v>
      </c>
      <c r="BF409" s="56">
        <f t="shared" si="140"/>
        <v>7.0471386240564635E-2</v>
      </c>
      <c r="BG409" s="56">
        <f t="shared" si="143"/>
        <v>1.688325348239043E-5</v>
      </c>
      <c r="BH409" s="56">
        <f t="shared" si="144"/>
        <v>4.1089236403698756E-3</v>
      </c>
      <c r="BI409" s="56">
        <f t="shared" si="141"/>
        <v>4.0266711751750818E-3</v>
      </c>
      <c r="BJ409" s="57">
        <f t="shared" si="145"/>
        <v>7.6654167428736831E-3</v>
      </c>
      <c r="BK409" s="57">
        <f t="shared" si="146"/>
        <v>4.4694185467790166E-4</v>
      </c>
      <c r="BL409" s="58">
        <f t="shared" si="147"/>
        <v>13.524966406454519</v>
      </c>
      <c r="BM409" s="58">
        <f t="shared" si="147"/>
        <v>0.78859033669328449</v>
      </c>
    </row>
    <row r="410" spans="47:65" x14ac:dyDescent="0.2">
      <c r="AU410" s="2">
        <v>-1227</v>
      </c>
      <c r="AV410" s="53">
        <v>408</v>
      </c>
      <c r="AW410" s="4" t="s">
        <v>2118</v>
      </c>
      <c r="AX410" t="s">
        <v>522</v>
      </c>
      <c r="AY410" s="4">
        <v>35380</v>
      </c>
      <c r="AZ410" s="9">
        <v>22.086162579216047</v>
      </c>
      <c r="BA410" s="7">
        <f t="shared" si="142"/>
        <v>5.6607771166161018E-4</v>
      </c>
      <c r="BB410" s="54">
        <f t="shared" si="136"/>
        <v>135.49167373422415</v>
      </c>
      <c r="BC410" s="55">
        <f t="shared" si="137"/>
        <v>62.337595484715713</v>
      </c>
      <c r="BD410" s="55">
        <f t="shared" si="138"/>
        <v>7.8954161058626742</v>
      </c>
      <c r="BE410" s="55">
        <f t="shared" si="139"/>
        <v>7.7373656052241602</v>
      </c>
      <c r="BF410" s="56">
        <f t="shared" si="140"/>
        <v>7.0708940566095682E-2</v>
      </c>
      <c r="BG410" s="56">
        <f t="shared" si="143"/>
        <v>1.6977490323782065E-5</v>
      </c>
      <c r="BH410" s="56">
        <f t="shared" si="144"/>
        <v>4.1203750222257758E-3</v>
      </c>
      <c r="BI410" s="56">
        <f t="shared" si="141"/>
        <v>4.0378933231804718E-3</v>
      </c>
      <c r="BJ410" s="57">
        <f t="shared" si="145"/>
        <v>7.9601184627181871E-3</v>
      </c>
      <c r="BK410" s="57">
        <f t="shared" si="146"/>
        <v>4.6385468407751727E-4</v>
      </c>
      <c r="BL410" s="58">
        <f t="shared" si="147"/>
        <v>14.044942161787954</v>
      </c>
      <c r="BM410" s="58">
        <f t="shared" si="147"/>
        <v>0.81843156478835899</v>
      </c>
    </row>
    <row r="411" spans="47:65" x14ac:dyDescent="0.2">
      <c r="AU411" s="2">
        <v>-1226</v>
      </c>
      <c r="AV411" s="53">
        <v>409</v>
      </c>
      <c r="AW411" s="4" t="s">
        <v>1542</v>
      </c>
      <c r="AX411" t="s">
        <v>1543</v>
      </c>
      <c r="AY411" s="4">
        <v>11135</v>
      </c>
      <c r="AZ411" s="9">
        <v>22.089797864344646</v>
      </c>
      <c r="BA411" s="7">
        <f t="shared" si="142"/>
        <v>5.6617088556085388E-4</v>
      </c>
      <c r="BB411" s="54">
        <f t="shared" si="136"/>
        <v>135.81253854597341</v>
      </c>
      <c r="BC411" s="55">
        <f t="shared" si="137"/>
        <v>62.581930764819106</v>
      </c>
      <c r="BD411" s="55">
        <f t="shared" si="138"/>
        <v>7.9108742098973552</v>
      </c>
      <c r="BE411" s="55">
        <f t="shared" si="139"/>
        <v>7.7525142688127842</v>
      </c>
      <c r="BF411" s="56">
        <f t="shared" si="140"/>
        <v>7.0876390050469446E-2</v>
      </c>
      <c r="BG411" s="56">
        <f t="shared" si="143"/>
        <v>1.7044034434465463E-5</v>
      </c>
      <c r="BH411" s="56">
        <f t="shared" si="144"/>
        <v>4.1284421316600123E-3</v>
      </c>
      <c r="BI411" s="56">
        <f t="shared" si="141"/>
        <v>4.0457989451556948E-3</v>
      </c>
      <c r="BJ411" s="57">
        <f t="shared" si="145"/>
        <v>2.5111877435834997E-3</v>
      </c>
      <c r="BK411" s="57">
        <f t="shared" si="146"/>
        <v>1.462728741367337E-4</v>
      </c>
      <c r="BL411" s="58">
        <f t="shared" si="147"/>
        <v>4.4307740872461059</v>
      </c>
      <c r="BM411" s="58">
        <f t="shared" si="147"/>
        <v>0.25808586476581002</v>
      </c>
    </row>
    <row r="412" spans="47:65" x14ac:dyDescent="0.2">
      <c r="AU412" s="2">
        <v>-1225</v>
      </c>
      <c r="AV412" s="53">
        <v>410</v>
      </c>
      <c r="AW412" s="4" t="s">
        <v>2348</v>
      </c>
      <c r="AX412" t="s">
        <v>696</v>
      </c>
      <c r="AY412" s="4">
        <v>130215</v>
      </c>
      <c r="AZ412" s="9">
        <v>22.099022844805404</v>
      </c>
      <c r="BA412" s="7">
        <f t="shared" si="142"/>
        <v>5.6640732572154804E-4</v>
      </c>
      <c r="BB412" s="54">
        <f t="shared" si="136"/>
        <v>136.63018732613199</v>
      </c>
      <c r="BC412" s="55">
        <f t="shared" si="137"/>
        <v>63.206172717393791</v>
      </c>
      <c r="BD412" s="55">
        <f t="shared" si="138"/>
        <v>7.9502309851597266</v>
      </c>
      <c r="BE412" s="55">
        <f t="shared" si="139"/>
        <v>7.7910831998437269</v>
      </c>
      <c r="BF412" s="56">
        <f t="shared" si="140"/>
        <v>7.1303095820696841E-2</v>
      </c>
      <c r="BG412" s="56">
        <f t="shared" si="143"/>
        <v>1.7214045190048096E-5</v>
      </c>
      <c r="BH412" s="56">
        <f t="shared" si="144"/>
        <v>4.1489812231496172E-3</v>
      </c>
      <c r="BI412" s="56">
        <f t="shared" si="141"/>
        <v>4.0659268849530944E-3</v>
      </c>
      <c r="BJ412" s="57">
        <f t="shared" si="145"/>
        <v>2.9543148248330972E-2</v>
      </c>
      <c r="BK412" s="57">
        <f t="shared" si="146"/>
        <v>1.7190553361565498E-3</v>
      </c>
      <c r="BL412" s="58">
        <f t="shared" si="147"/>
        <v>52.126335853957436</v>
      </c>
      <c r="BM412" s="58">
        <f t="shared" si="147"/>
        <v>3.0331248061586114</v>
      </c>
    </row>
    <row r="413" spans="47:65" x14ac:dyDescent="0.2">
      <c r="AU413" s="2">
        <v>-1224</v>
      </c>
      <c r="AV413" s="53">
        <v>411</v>
      </c>
      <c r="AW413" s="4" t="s">
        <v>2329</v>
      </c>
      <c r="AX413" t="s">
        <v>680</v>
      </c>
      <c r="AY413" s="4">
        <v>27821</v>
      </c>
      <c r="AZ413" s="9">
        <v>22.115880605859505</v>
      </c>
      <c r="BA413" s="7">
        <f t="shared" si="142"/>
        <v>5.6683939728522585E-4</v>
      </c>
      <c r="BB413" s="54">
        <f t="shared" si="136"/>
        <v>138.13710071191852</v>
      </c>
      <c r="BC413" s="55">
        <f t="shared" si="137"/>
        <v>64.362681897014582</v>
      </c>
      <c r="BD413" s="55">
        <f t="shared" si="138"/>
        <v>8.0226355954271398</v>
      </c>
      <c r="BE413" s="55">
        <f t="shared" si="139"/>
        <v>7.8620384140631208</v>
      </c>
      <c r="BF413" s="56">
        <f t="shared" si="140"/>
        <v>7.2089507605991116E-2</v>
      </c>
      <c r="BG413" s="56">
        <f t="shared" si="143"/>
        <v>1.7529017611645464E-5</v>
      </c>
      <c r="BH413" s="56">
        <f t="shared" si="144"/>
        <v>4.186766964095979E-3</v>
      </c>
      <c r="BI413" s="56">
        <f t="shared" si="141"/>
        <v>4.1029562306451094E-3</v>
      </c>
      <c r="BJ413" s="57">
        <f t="shared" si="145"/>
        <v>6.3816380362715554E-3</v>
      </c>
      <c r="BK413" s="57">
        <f t="shared" si="146"/>
        <v>3.7062857265042005E-4</v>
      </c>
      <c r="BL413" s="58">
        <f t="shared" si="147"/>
        <v>11.25984965383212</v>
      </c>
      <c r="BM413" s="58">
        <f t="shared" si="147"/>
        <v>0.65394213550480718</v>
      </c>
    </row>
    <row r="414" spans="47:65" x14ac:dyDescent="0.2">
      <c r="AU414" s="2">
        <v>-1223</v>
      </c>
      <c r="AV414" s="53">
        <v>412</v>
      </c>
      <c r="AW414" s="4" t="s">
        <v>1395</v>
      </c>
      <c r="AX414" t="s">
        <v>18</v>
      </c>
      <c r="AY414" s="4">
        <v>54180</v>
      </c>
      <c r="AZ414" s="9">
        <v>22.118121948755071</v>
      </c>
      <c r="BA414" s="7">
        <f t="shared" si="142"/>
        <v>5.6689684385399124E-4</v>
      </c>
      <c r="BB414" s="54">
        <f t="shared" si="136"/>
        <v>138.33870199705817</v>
      </c>
      <c r="BC414" s="55">
        <f t="shared" si="137"/>
        <v>64.517996828462046</v>
      </c>
      <c r="BD414" s="55">
        <f t="shared" si="138"/>
        <v>8.0323095575595218</v>
      </c>
      <c r="BE414" s="55">
        <f t="shared" si="139"/>
        <v>7.8715187227467576</v>
      </c>
      <c r="BF414" s="56">
        <f t="shared" si="140"/>
        <v>7.2194717121056615E-2</v>
      </c>
      <c r="BG414" s="56">
        <f t="shared" si="143"/>
        <v>1.7571317250014567E-5</v>
      </c>
      <c r="BH414" s="56">
        <f t="shared" si="144"/>
        <v>4.1918155076308599E-3</v>
      </c>
      <c r="BI414" s="56">
        <f t="shared" si="141"/>
        <v>4.1079037123964834E-3</v>
      </c>
      <c r="BJ414" s="57">
        <f t="shared" si="145"/>
        <v>1.2446057179866347E-2</v>
      </c>
      <c r="BK414" s="57">
        <f t="shared" si="146"/>
        <v>7.2265087496558081E-4</v>
      </c>
      <c r="BL414" s="58">
        <f t="shared" si="147"/>
        <v>21.959993943838516</v>
      </c>
      <c r="BM414" s="58">
        <f t="shared" si="147"/>
        <v>1.2750551125078611</v>
      </c>
    </row>
    <row r="415" spans="47:65" x14ac:dyDescent="0.2">
      <c r="AU415" s="2">
        <v>-1222</v>
      </c>
      <c r="AV415" s="53">
        <v>413</v>
      </c>
      <c r="AW415" s="4" t="s">
        <v>2488</v>
      </c>
      <c r="AX415" t="s">
        <v>799</v>
      </c>
      <c r="AY415" s="4">
        <v>24402</v>
      </c>
      <c r="AZ415" s="9">
        <v>22.120496929695658</v>
      </c>
      <c r="BA415" s="7">
        <f t="shared" si="142"/>
        <v>5.6695771562251447E-4</v>
      </c>
      <c r="BB415" s="54">
        <f t="shared" si="136"/>
        <v>138.55264467193524</v>
      </c>
      <c r="BC415" s="55">
        <f t="shared" si="137"/>
        <v>64.682972142679148</v>
      </c>
      <c r="BD415" s="55">
        <f t="shared" si="138"/>
        <v>8.0425724828986862</v>
      </c>
      <c r="BE415" s="55">
        <f t="shared" si="139"/>
        <v>7.8815762047671507</v>
      </c>
      <c r="BF415" s="56">
        <f t="shared" si="140"/>
        <v>7.2306367228148122E-2</v>
      </c>
      <c r="BG415" s="56">
        <f t="shared" si="143"/>
        <v>1.7616247869795329E-5</v>
      </c>
      <c r="BH415" s="56">
        <f t="shared" si="144"/>
        <v>4.1971714129631788E-3</v>
      </c>
      <c r="BI415" s="56">
        <f t="shared" si="141"/>
        <v>4.1131524031744592E-3</v>
      </c>
      <c r="BJ415" s="57">
        <f t="shared" si="145"/>
        <v>5.6142188427154701E-3</v>
      </c>
      <c r="BK415" s="57">
        <f t="shared" si="146"/>
        <v>3.2588884957273072E-4</v>
      </c>
      <c r="BL415" s="58">
        <f t="shared" si="147"/>
        <v>9.9058047061567258</v>
      </c>
      <c r="BM415" s="58">
        <f t="shared" si="147"/>
        <v>0.57500275465217787</v>
      </c>
    </row>
    <row r="416" spans="47:65" x14ac:dyDescent="0.2">
      <c r="AU416" s="2">
        <v>-1221</v>
      </c>
      <c r="AV416" s="53">
        <v>414</v>
      </c>
      <c r="AW416" s="4" t="s">
        <v>3076</v>
      </c>
      <c r="AX416" t="s">
        <v>1361</v>
      </c>
      <c r="AY416" s="4">
        <v>43573</v>
      </c>
      <c r="AZ416" s="9">
        <v>22.12603390096217</v>
      </c>
      <c r="BA416" s="7">
        <f t="shared" si="142"/>
        <v>5.67099630543807E-4</v>
      </c>
      <c r="BB416" s="54">
        <f t="shared" si="136"/>
        <v>139.05271113190943</v>
      </c>
      <c r="BC416" s="55">
        <f t="shared" si="137"/>
        <v>65.069194791038939</v>
      </c>
      <c r="BD416" s="55">
        <f t="shared" si="138"/>
        <v>8.0665478856223825</v>
      </c>
      <c r="BE416" s="55">
        <f t="shared" si="139"/>
        <v>7.9050716676937949</v>
      </c>
      <c r="BF416" s="56">
        <f t="shared" si="140"/>
        <v>7.2567336545471428E-2</v>
      </c>
      <c r="BG416" s="56">
        <f t="shared" si="143"/>
        <v>1.772143465514245E-5</v>
      </c>
      <c r="BH416" s="56">
        <f t="shared" si="144"/>
        <v>4.2096834388279658E-3</v>
      </c>
      <c r="BI416" s="56">
        <f t="shared" si="141"/>
        <v>4.1254139632087676E-3</v>
      </c>
      <c r="BJ416" s="57">
        <f t="shared" si="145"/>
        <v>1.0061112789243792E-2</v>
      </c>
      <c r="BK416" s="57">
        <f t="shared" si="146"/>
        <v>5.836523965368403E-4</v>
      </c>
      <c r="BL416" s="58">
        <f t="shared" si="147"/>
        <v>17.751965359558351</v>
      </c>
      <c r="BM416" s="58">
        <f t="shared" si="147"/>
        <v>1.0298042912730281</v>
      </c>
    </row>
    <row r="417" spans="47:65" x14ac:dyDescent="0.2">
      <c r="AU417" s="2">
        <v>-1220</v>
      </c>
      <c r="AV417" s="53">
        <v>415</v>
      </c>
      <c r="AW417" s="4" t="s">
        <v>3068</v>
      </c>
      <c r="AX417" t="s">
        <v>3069</v>
      </c>
      <c r="AY417" s="4">
        <v>29803</v>
      </c>
      <c r="AZ417" s="9">
        <v>22.126874167179402</v>
      </c>
      <c r="BA417" s="7">
        <f t="shared" si="142"/>
        <v>5.6712116692323605E-4</v>
      </c>
      <c r="BB417" s="54">
        <f t="shared" si="136"/>
        <v>139.12875658393693</v>
      </c>
      <c r="BC417" s="55">
        <f t="shared" si="137"/>
        <v>65.128002929613785</v>
      </c>
      <c r="BD417" s="55">
        <f t="shared" si="138"/>
        <v>8.0701922486155055</v>
      </c>
      <c r="BE417" s="55">
        <f t="shared" si="139"/>
        <v>7.9086430778003507</v>
      </c>
      <c r="BF417" s="56">
        <f t="shared" si="140"/>
        <v>7.2607022329841356E-2</v>
      </c>
      <c r="BG417" s="56">
        <f t="shared" si="143"/>
        <v>1.7737450906586151E-5</v>
      </c>
      <c r="BH417" s="56">
        <f t="shared" si="144"/>
        <v>4.2115853198749463E-3</v>
      </c>
      <c r="BI417" s="56">
        <f t="shared" si="141"/>
        <v>4.1272777723862482E-3</v>
      </c>
      <c r="BJ417" s="57">
        <f t="shared" si="145"/>
        <v>6.8853493635868991E-3</v>
      </c>
      <c r="BK417" s="57">
        <f t="shared" si="146"/>
        <v>3.9938611130695915E-4</v>
      </c>
      <c r="BL417" s="58">
        <f t="shared" si="147"/>
        <v>12.148604826448688</v>
      </c>
      <c r="BM417" s="58">
        <f t="shared" si="147"/>
        <v>0.70468233102302202</v>
      </c>
    </row>
    <row r="418" spans="47:65" x14ac:dyDescent="0.2">
      <c r="AU418" s="2">
        <v>-1219</v>
      </c>
      <c r="AV418" s="53">
        <v>416</v>
      </c>
      <c r="AW418" s="4" t="s">
        <v>1974</v>
      </c>
      <c r="AX418" t="s">
        <v>1975</v>
      </c>
      <c r="AY418" s="4">
        <v>19170</v>
      </c>
      <c r="AZ418" s="9">
        <v>22.129863644553197</v>
      </c>
      <c r="BA418" s="7">
        <f t="shared" si="142"/>
        <v>5.6719778849589496E-4</v>
      </c>
      <c r="BB418" s="54">
        <f t="shared" si="136"/>
        <v>139.39964649219147</v>
      </c>
      <c r="BC418" s="55">
        <f t="shared" si="137"/>
        <v>65.337650607364637</v>
      </c>
      <c r="BD418" s="55">
        <f t="shared" si="138"/>
        <v>8.0831708263134363</v>
      </c>
      <c r="BE418" s="55">
        <f t="shared" si="139"/>
        <v>7.9213618502295997</v>
      </c>
      <c r="BF418" s="56">
        <f t="shared" si="140"/>
        <v>7.2748391447919392E-2</v>
      </c>
      <c r="BG418" s="56">
        <f t="shared" si="143"/>
        <v>1.7794547934353807E-5</v>
      </c>
      <c r="BH418" s="56">
        <f t="shared" si="144"/>
        <v>4.2183584407152752E-3</v>
      </c>
      <c r="BI418" s="56">
        <f t="shared" si="141"/>
        <v>4.1339153088412392E-3</v>
      </c>
      <c r="BJ418" s="57">
        <f t="shared" si="145"/>
        <v>4.4374439456070312E-3</v>
      </c>
      <c r="BK418" s="57">
        <f t="shared" si="146"/>
        <v>2.5730780778229393E-4</v>
      </c>
      <c r="BL418" s="58">
        <f t="shared" si="147"/>
        <v>7.8294869422012185</v>
      </c>
      <c r="BM418" s="58">
        <f t="shared" si="147"/>
        <v>0.45399742415952937</v>
      </c>
    </row>
    <row r="419" spans="47:65" x14ac:dyDescent="0.2">
      <c r="AU419" s="2">
        <v>-1218</v>
      </c>
      <c r="AV419" s="53">
        <v>417</v>
      </c>
      <c r="AW419" s="4" t="s">
        <v>2189</v>
      </c>
      <c r="AX419" t="s">
        <v>1310</v>
      </c>
      <c r="AY419" s="4">
        <v>79255</v>
      </c>
      <c r="AZ419" s="9">
        <v>22.138607625854359</v>
      </c>
      <c r="BA419" s="7">
        <f t="shared" si="142"/>
        <v>5.6742190044418029E-4</v>
      </c>
      <c r="BB419" s="54">
        <f t="shared" si="136"/>
        <v>140.19500925091148</v>
      </c>
      <c r="BC419" s="55">
        <f t="shared" si="137"/>
        <v>65.954647576865028</v>
      </c>
      <c r="BD419" s="55">
        <f t="shared" si="138"/>
        <v>8.1212466762723707</v>
      </c>
      <c r="BE419" s="55">
        <f t="shared" si="139"/>
        <v>7.9586754975297316</v>
      </c>
      <c r="BF419" s="56">
        <f t="shared" si="140"/>
        <v>7.31634668284563E-2</v>
      </c>
      <c r="BG419" s="56">
        <f t="shared" si="143"/>
        <v>1.7962585536672383E-5</v>
      </c>
      <c r="BH419" s="56">
        <f t="shared" si="144"/>
        <v>4.2382290566547231E-3</v>
      </c>
      <c r="BI419" s="56">
        <f t="shared" si="141"/>
        <v>4.1533881546372119E-3</v>
      </c>
      <c r="BJ419" s="57">
        <f t="shared" si="145"/>
        <v>1.845050759720028E-2</v>
      </c>
      <c r="BK419" s="57">
        <f t="shared" si="146"/>
        <v>1.0688049760111792E-3</v>
      </c>
      <c r="BL419" s="58">
        <f t="shared" si="147"/>
        <v>32.554328590961497</v>
      </c>
      <c r="BM419" s="58">
        <f t="shared" si="147"/>
        <v>1.8858141547283176</v>
      </c>
    </row>
    <row r="420" spans="47:65" x14ac:dyDescent="0.2">
      <c r="AU420" s="2">
        <v>-1217</v>
      </c>
      <c r="AV420" s="53">
        <v>418</v>
      </c>
      <c r="AW420" s="4" t="s">
        <v>1854</v>
      </c>
      <c r="AX420" t="s">
        <v>330</v>
      </c>
      <c r="AY420" s="4">
        <v>32587</v>
      </c>
      <c r="AZ420" s="9">
        <v>22.147785423185837</v>
      </c>
      <c r="BA420" s="7">
        <f t="shared" si="142"/>
        <v>5.67657131281265E-4</v>
      </c>
      <c r="BB420" s="54">
        <f t="shared" si="136"/>
        <v>141.03471463106493</v>
      </c>
      <c r="BC420" s="55">
        <f t="shared" si="137"/>
        <v>66.608382177224115</v>
      </c>
      <c r="BD420" s="55">
        <f t="shared" si="138"/>
        <v>8.1613958473550419</v>
      </c>
      <c r="BE420" s="55">
        <f t="shared" si="139"/>
        <v>7.9980209621953176</v>
      </c>
      <c r="BF420" s="56">
        <f t="shared" si="140"/>
        <v>7.3601683260373543E-2</v>
      </c>
      <c r="BG420" s="56">
        <f t="shared" si="143"/>
        <v>1.814062854211034E-5</v>
      </c>
      <c r="BH420" s="56">
        <f t="shared" si="144"/>
        <v>4.2591816751707525E-3</v>
      </c>
      <c r="BI420" s="56">
        <f t="shared" si="141"/>
        <v>4.1739213434738246E-3</v>
      </c>
      <c r="BJ420" s="57">
        <f t="shared" si="145"/>
        <v>7.6316685350208205E-3</v>
      </c>
      <c r="BK420" s="57">
        <f t="shared" si="146"/>
        <v>4.4162933964905809E-4</v>
      </c>
      <c r="BL420" s="58">
        <f t="shared" si="147"/>
        <v>13.465420605776123</v>
      </c>
      <c r="BM420" s="58">
        <f t="shared" si="147"/>
        <v>0.77921686233317322</v>
      </c>
    </row>
    <row r="421" spans="47:65" x14ac:dyDescent="0.2">
      <c r="AU421" s="2">
        <v>-1216</v>
      </c>
      <c r="AV421" s="53">
        <v>419</v>
      </c>
      <c r="AW421" s="4" t="s">
        <v>2830</v>
      </c>
      <c r="AX421" t="s">
        <v>1062</v>
      </c>
      <c r="AY421" s="4">
        <v>17683</v>
      </c>
      <c r="AZ421" s="9">
        <v>22.149574719608601</v>
      </c>
      <c r="BA421" s="7">
        <f t="shared" si="142"/>
        <v>5.6770299170726016E-4</v>
      </c>
      <c r="BB421" s="54">
        <f t="shared" si="136"/>
        <v>141.19900791746591</v>
      </c>
      <c r="BC421" s="55">
        <f t="shared" si="137"/>
        <v>66.736569608506258</v>
      </c>
      <c r="BD421" s="55">
        <f t="shared" si="138"/>
        <v>8.1692453512246939</v>
      </c>
      <c r="BE421" s="55">
        <f t="shared" si="139"/>
        <v>8.0057133346358302</v>
      </c>
      <c r="BF421" s="56">
        <f t="shared" si="140"/>
        <v>7.3687422877453779E-2</v>
      </c>
      <c r="BG421" s="56">
        <f t="shared" si="143"/>
        <v>1.8175540072741982E-5</v>
      </c>
      <c r="BH421" s="56">
        <f t="shared" si="144"/>
        <v>4.2632780900079669E-3</v>
      </c>
      <c r="BI421" s="56">
        <f t="shared" si="141"/>
        <v>4.1779357562471619E-3</v>
      </c>
      <c r="BJ421" s="57">
        <f t="shared" si="145"/>
        <v>4.1460705418985685E-3</v>
      </c>
      <c r="BK421" s="57">
        <f t="shared" si="146"/>
        <v>2.39876101112934E-4</v>
      </c>
      <c r="BL421" s="58">
        <f t="shared" si="147"/>
        <v>7.3153837134948425</v>
      </c>
      <c r="BM421" s="58">
        <f t="shared" si="147"/>
        <v>0.42324068189506686</v>
      </c>
    </row>
    <row r="422" spans="47:65" x14ac:dyDescent="0.2">
      <c r="AU422" s="2">
        <v>-1215</v>
      </c>
      <c r="AV422" s="53">
        <v>420</v>
      </c>
      <c r="AW422" s="4" t="s">
        <v>2374</v>
      </c>
      <c r="AX422" t="s">
        <v>715</v>
      </c>
      <c r="AY422" s="4">
        <v>17129</v>
      </c>
      <c r="AZ422" s="9">
        <v>22.149843439492628</v>
      </c>
      <c r="BA422" s="7">
        <f t="shared" si="142"/>
        <v>5.6770987911182772E-4</v>
      </c>
      <c r="BB422" s="54">
        <f t="shared" si="136"/>
        <v>141.22369831625301</v>
      </c>
      <c r="BC422" s="55">
        <f t="shared" si="137"/>
        <v>66.755841853318614</v>
      </c>
      <c r="BD422" s="55">
        <f t="shared" si="138"/>
        <v>8.1704248269792323</v>
      </c>
      <c r="BE422" s="55">
        <f t="shared" si="139"/>
        <v>8.006869199635597</v>
      </c>
      <c r="BF422" s="56">
        <f t="shared" si="140"/>
        <v>7.370030803779079E-2</v>
      </c>
      <c r="BG422" s="56">
        <f t="shared" si="143"/>
        <v>1.8180788821065253E-5</v>
      </c>
      <c r="BH422" s="56">
        <f t="shared" si="144"/>
        <v>4.2638936221563095E-3</v>
      </c>
      <c r="BI422" s="56">
        <f t="shared" si="141"/>
        <v>4.1785389666682011E-3</v>
      </c>
      <c r="BJ422" s="57">
        <f t="shared" si="145"/>
        <v>4.0168783972289344E-3</v>
      </c>
      <c r="BK422" s="57">
        <f t="shared" si="146"/>
        <v>2.3239444494776797E-4</v>
      </c>
      <c r="BL422" s="58">
        <f t="shared" si="147"/>
        <v>7.0874353220053585</v>
      </c>
      <c r="BM422" s="58">
        <f t="shared" si="147"/>
        <v>0.41003994517157599</v>
      </c>
    </row>
    <row r="423" spans="47:65" x14ac:dyDescent="0.2">
      <c r="AU423" s="2">
        <v>-1214</v>
      </c>
      <c r="AV423" s="53">
        <v>421</v>
      </c>
      <c r="AW423" s="4" t="s">
        <v>1412</v>
      </c>
      <c r="AX423" t="s">
        <v>27</v>
      </c>
      <c r="AY423" s="4">
        <v>25827</v>
      </c>
      <c r="AZ423" s="9">
        <v>22.156030803066418</v>
      </c>
      <c r="BA423" s="7">
        <f t="shared" si="142"/>
        <v>5.678684638637287E-4</v>
      </c>
      <c r="BB423" s="54">
        <f t="shared" si="136"/>
        <v>141.79339866787242</v>
      </c>
      <c r="BC423" s="55">
        <f t="shared" si="137"/>
        <v>67.20109945281861</v>
      </c>
      <c r="BD423" s="55">
        <f t="shared" si="138"/>
        <v>8.1976276722487587</v>
      </c>
      <c r="BE423" s="55">
        <f t="shared" si="139"/>
        <v>8.0335274981382412</v>
      </c>
      <c r="BF423" s="56">
        <f t="shared" si="140"/>
        <v>7.3997617143161748E-2</v>
      </c>
      <c r="BG423" s="56">
        <f t="shared" si="143"/>
        <v>1.8302053629697788E-5</v>
      </c>
      <c r="BH423" s="56">
        <f t="shared" si="144"/>
        <v>4.2780899510994142E-3</v>
      </c>
      <c r="BI423" s="56">
        <f t="shared" si="141"/>
        <v>4.1924511133887852E-3</v>
      </c>
      <c r="BJ423" s="57">
        <f t="shared" si="145"/>
        <v>6.0810569347617026E-3</v>
      </c>
      <c r="BK423" s="57">
        <f t="shared" si="146"/>
        <v>3.5156954465623036E-4</v>
      </c>
      <c r="BL423" s="58">
        <f t="shared" si="147"/>
        <v>10.729500236872463</v>
      </c>
      <c r="BM423" s="58">
        <f t="shared" si="147"/>
        <v>0.62031412518159346</v>
      </c>
    </row>
    <row r="424" spans="47:65" x14ac:dyDescent="0.2">
      <c r="AU424" s="2">
        <v>-1213</v>
      </c>
      <c r="AV424" s="53">
        <v>422</v>
      </c>
      <c r="AW424" s="4" t="s">
        <v>2765</v>
      </c>
      <c r="AX424" t="s">
        <v>1013</v>
      </c>
      <c r="AY424" s="4">
        <v>17251</v>
      </c>
      <c r="AZ424" s="9">
        <v>22.164566938638991</v>
      </c>
      <c r="BA424" s="7">
        <f t="shared" si="142"/>
        <v>5.680872486378616E-4</v>
      </c>
      <c r="BB424" s="54">
        <f t="shared" si="136"/>
        <v>142.58313638587515</v>
      </c>
      <c r="BC424" s="55">
        <f t="shared" si="137"/>
        <v>67.820148675172163</v>
      </c>
      <c r="BD424" s="55">
        <f t="shared" si="138"/>
        <v>8.2352989426718537</v>
      </c>
      <c r="BE424" s="55">
        <f t="shared" si="139"/>
        <v>8.0704446647788082</v>
      </c>
      <c r="BF424" s="56">
        <f t="shared" si="140"/>
        <v>7.4409756987818126E-2</v>
      </c>
      <c r="BG424" s="56">
        <f t="shared" si="143"/>
        <v>1.8470650158017163E-5</v>
      </c>
      <c r="BH424" s="56">
        <f t="shared" si="144"/>
        <v>4.2977494294126973E-3</v>
      </c>
      <c r="BI424" s="56">
        <f t="shared" si="141"/>
        <v>4.2117170481132263E-3</v>
      </c>
      <c r="BJ424" s="57">
        <f t="shared" si="145"/>
        <v>4.084430715722771E-3</v>
      </c>
      <c r="BK424" s="57">
        <f t="shared" si="146"/>
        <v>2.3590803798548941E-4</v>
      </c>
      <c r="BL424" s="58">
        <f t="shared" si="147"/>
        <v>7.2066255590080175</v>
      </c>
      <c r="BM424" s="58">
        <f t="shared" si="147"/>
        <v>0.41623937690440566</v>
      </c>
    </row>
    <row r="425" spans="47:65" x14ac:dyDescent="0.2">
      <c r="AU425" s="2">
        <v>-1212</v>
      </c>
      <c r="AV425" s="53">
        <v>423</v>
      </c>
      <c r="AW425" s="4" t="s">
        <v>2774</v>
      </c>
      <c r="AX425" t="s">
        <v>1022</v>
      </c>
      <c r="AY425" s="4">
        <v>12156</v>
      </c>
      <c r="AZ425" s="9">
        <v>22.170151644033364</v>
      </c>
      <c r="BA425" s="7">
        <f t="shared" si="142"/>
        <v>5.6823038700509092E-4</v>
      </c>
      <c r="BB425" s="54">
        <f t="shared" si="136"/>
        <v>143.10219550965385</v>
      </c>
      <c r="BC425" s="55">
        <f t="shared" si="137"/>
        <v>68.228169856383843</v>
      </c>
      <c r="BD425" s="55">
        <f t="shared" si="138"/>
        <v>8.2600344948664617</v>
      </c>
      <c r="BE425" s="55">
        <f t="shared" si="139"/>
        <v>8.0946850604983798</v>
      </c>
      <c r="BF425" s="56">
        <f t="shared" si="140"/>
        <v>7.4680637992694879E-2</v>
      </c>
      <c r="BG425" s="56">
        <f t="shared" si="143"/>
        <v>1.8581773720002754E-5</v>
      </c>
      <c r="BH425" s="56">
        <f t="shared" si="144"/>
        <v>4.3106581539253093E-3</v>
      </c>
      <c r="BI425" s="56">
        <f t="shared" si="141"/>
        <v>4.2243673656787604E-3</v>
      </c>
      <c r="BJ425" s="57">
        <f t="shared" si="145"/>
        <v>2.8885911943728562E-3</v>
      </c>
      <c r="BK425" s="57">
        <f t="shared" si="146"/>
        <v>1.6673303174777654E-4</v>
      </c>
      <c r="BL425" s="58">
        <f t="shared" si="147"/>
        <v>5.0966699106338478</v>
      </c>
      <c r="BM425" s="58">
        <f t="shared" si="147"/>
        <v>0.2941860473967649</v>
      </c>
    </row>
    <row r="426" spans="47:65" x14ac:dyDescent="0.2">
      <c r="AU426" s="2">
        <v>-1211</v>
      </c>
      <c r="AV426" s="53">
        <v>424</v>
      </c>
      <c r="AW426" s="4" t="s">
        <v>2136</v>
      </c>
      <c r="AX426" t="s">
        <v>536</v>
      </c>
      <c r="AY426" s="4">
        <v>20038</v>
      </c>
      <c r="AZ426" s="9">
        <v>22.175095485836223</v>
      </c>
      <c r="BA426" s="7">
        <f t="shared" si="142"/>
        <v>5.683570997667371E-4</v>
      </c>
      <c r="BB426" s="54">
        <f t="shared" si="136"/>
        <v>143.56326754338954</v>
      </c>
      <c r="BC426" s="55">
        <f t="shared" si="137"/>
        <v>68.591370657822452</v>
      </c>
      <c r="BD426" s="55">
        <f t="shared" si="138"/>
        <v>8.2819907424376211</v>
      </c>
      <c r="BE426" s="55">
        <f t="shared" si="139"/>
        <v>8.1162017877359389</v>
      </c>
      <c r="BF426" s="56">
        <f t="shared" si="140"/>
        <v>7.4921257317348458E-2</v>
      </c>
      <c r="BG426" s="56">
        <f t="shared" si="143"/>
        <v>1.8680690562144977E-5</v>
      </c>
      <c r="BH426" s="56">
        <f t="shared" si="144"/>
        <v>4.3221164447692726E-3</v>
      </c>
      <c r="BI426" s="56">
        <f t="shared" si="141"/>
        <v>4.2355962843680373E-3</v>
      </c>
      <c r="BJ426" s="57">
        <f t="shared" si="145"/>
        <v>4.7769071673555673E-3</v>
      </c>
      <c r="BK426" s="57">
        <f t="shared" si="146"/>
        <v>2.7557397943431098E-4</v>
      </c>
      <c r="BL426" s="58">
        <f t="shared" si="147"/>
        <v>8.428440505247103</v>
      </c>
      <c r="BM426" s="58">
        <f t="shared" si="147"/>
        <v>0.48622650788126409</v>
      </c>
    </row>
    <row r="427" spans="47:65" x14ac:dyDescent="0.2">
      <c r="AU427" s="2">
        <v>-1210</v>
      </c>
      <c r="AV427" s="53">
        <v>425</v>
      </c>
      <c r="AW427" s="4" t="s">
        <v>1401</v>
      </c>
      <c r="AX427" t="s">
        <v>1402</v>
      </c>
      <c r="AY427" s="4">
        <v>34162</v>
      </c>
      <c r="AZ427" s="9">
        <v>22.180639661265804</v>
      </c>
      <c r="BA427" s="7">
        <f t="shared" si="142"/>
        <v>5.6849919933378372E-4</v>
      </c>
      <c r="BB427" s="54">
        <f t="shared" si="136"/>
        <v>144.08209530584708</v>
      </c>
      <c r="BC427" s="55">
        <f t="shared" si="137"/>
        <v>69.000923193776643</v>
      </c>
      <c r="BD427" s="55">
        <f t="shared" si="138"/>
        <v>8.3066794324673836</v>
      </c>
      <c r="BE427" s="55">
        <f t="shared" si="139"/>
        <v>8.1403962593778427</v>
      </c>
      <c r="BF427" s="56">
        <f t="shared" si="140"/>
        <v>7.5192017581861892E-2</v>
      </c>
      <c r="BG427" s="56">
        <f t="shared" si="143"/>
        <v>1.8792231184816295E-5</v>
      </c>
      <c r="BH427" s="56">
        <f t="shared" si="144"/>
        <v>4.3350007133582218E-3</v>
      </c>
      <c r="BI427" s="56">
        <f t="shared" si="141"/>
        <v>4.2482226355687776E-3</v>
      </c>
      <c r="BJ427" s="57">
        <f t="shared" si="145"/>
        <v>8.173393321920245E-3</v>
      </c>
      <c r="BK427" s="57">
        <f t="shared" si="146"/>
        <v>4.712157888635849E-4</v>
      </c>
      <c r="BL427" s="58">
        <f t="shared" si="147"/>
        <v>14.421247247709186</v>
      </c>
      <c r="BM427" s="58">
        <f t="shared" si="147"/>
        <v>0.83141959900561324</v>
      </c>
    </row>
    <row r="428" spans="47:65" x14ac:dyDescent="0.2">
      <c r="AU428" s="2">
        <v>-1209</v>
      </c>
      <c r="AV428" s="53">
        <v>426</v>
      </c>
      <c r="AW428" s="4" t="s">
        <v>1760</v>
      </c>
      <c r="AX428" t="s">
        <v>1293</v>
      </c>
      <c r="AY428" s="4">
        <v>45454</v>
      </c>
      <c r="AZ428" s="9">
        <v>22.183408828078893</v>
      </c>
      <c r="BA428" s="7">
        <f t="shared" si="142"/>
        <v>5.6857017425335796E-4</v>
      </c>
      <c r="BB428" s="54">
        <f t="shared" si="136"/>
        <v>144.34193762168087</v>
      </c>
      <c r="BC428" s="55">
        <f t="shared" si="137"/>
        <v>69.206377728383799</v>
      </c>
      <c r="BD428" s="55">
        <f t="shared" si="138"/>
        <v>8.3190370673764757</v>
      </c>
      <c r="BE428" s="55">
        <f t="shared" si="139"/>
        <v>8.1525065190557999</v>
      </c>
      <c r="BF428" s="56">
        <f t="shared" si="140"/>
        <v>7.5327621300972258E-2</v>
      </c>
      <c r="BG428" s="56">
        <f t="shared" si="143"/>
        <v>1.8848186220395485E-5</v>
      </c>
      <c r="BH428" s="56">
        <f t="shared" si="144"/>
        <v>4.3414497832400967E-3</v>
      </c>
      <c r="BI428" s="56">
        <f t="shared" si="141"/>
        <v>4.2545426079199063E-3</v>
      </c>
      <c r="BJ428" s="57">
        <f t="shared" si="145"/>
        <v>1.0894661301602047E-2</v>
      </c>
      <c r="BK428" s="57">
        <f t="shared" si="146"/>
        <v>6.2790546322088624E-4</v>
      </c>
      <c r="BL428" s="58">
        <f t="shared" si="147"/>
        <v>19.22268978406878</v>
      </c>
      <c r="BM428" s="58">
        <f t="shared" si="147"/>
        <v>1.1078850089118624</v>
      </c>
    </row>
    <row r="429" spans="47:65" x14ac:dyDescent="0.2">
      <c r="AU429" s="2">
        <v>-1208</v>
      </c>
      <c r="AV429" s="53">
        <v>427</v>
      </c>
      <c r="AW429" s="4" t="s">
        <v>2349</v>
      </c>
      <c r="AX429" t="s">
        <v>697</v>
      </c>
      <c r="AY429" s="4">
        <v>111951</v>
      </c>
      <c r="AZ429" s="9">
        <v>22.192326932289408</v>
      </c>
      <c r="BA429" s="7">
        <f t="shared" si="142"/>
        <v>5.6879874904563978E-4</v>
      </c>
      <c r="BB429" s="54">
        <f t="shared" si="136"/>
        <v>145.18194923651947</v>
      </c>
      <c r="BC429" s="55">
        <f t="shared" si="137"/>
        <v>69.87211577294228</v>
      </c>
      <c r="BD429" s="55">
        <f t="shared" si="138"/>
        <v>8.3589542272309565</v>
      </c>
      <c r="BE429" s="55">
        <f t="shared" si="139"/>
        <v>8.1916246168957549</v>
      </c>
      <c r="BF429" s="56">
        <f t="shared" si="140"/>
        <v>7.5765997547360311E-2</v>
      </c>
      <c r="BG429" s="56">
        <f t="shared" si="143"/>
        <v>1.9029498334245949E-5</v>
      </c>
      <c r="BH429" s="56">
        <f t="shared" si="144"/>
        <v>4.3622813222264738E-3</v>
      </c>
      <c r="BI429" s="56">
        <f t="shared" si="141"/>
        <v>4.2749571409978265E-3</v>
      </c>
      <c r="BJ429" s="57">
        <f t="shared" si="145"/>
        <v>2.6989180324341753E-2</v>
      </c>
      <c r="BK429" s="57">
        <f t="shared" si="146"/>
        <v>1.5539212977098873E-3</v>
      </c>
      <c r="BL429" s="58">
        <f t="shared" si="147"/>
        <v>47.620079829817641</v>
      </c>
      <c r="BM429" s="58">
        <f t="shared" si="147"/>
        <v>2.7417600444671306</v>
      </c>
    </row>
    <row r="430" spans="47:65" x14ac:dyDescent="0.2">
      <c r="AU430" s="2">
        <v>-1207</v>
      </c>
      <c r="AV430" s="53">
        <v>428</v>
      </c>
      <c r="AW430" s="4" t="s">
        <v>1539</v>
      </c>
      <c r="AX430" t="s">
        <v>128</v>
      </c>
      <c r="AY430" s="4">
        <v>105478</v>
      </c>
      <c r="AZ430" s="9">
        <v>22.196545297900343</v>
      </c>
      <c r="BA430" s="7">
        <f t="shared" si="142"/>
        <v>5.6890686754487772E-4</v>
      </c>
      <c r="BB430" s="54">
        <f t="shared" si="136"/>
        <v>145.58098581327164</v>
      </c>
      <c r="BC430" s="55">
        <f t="shared" si="137"/>
        <v>70.189193914902788</v>
      </c>
      <c r="BD430" s="55">
        <f t="shared" si="138"/>
        <v>8.3778991349205665</v>
      </c>
      <c r="BE430" s="55">
        <f t="shared" si="139"/>
        <v>8.2101902852767914</v>
      </c>
      <c r="BF430" s="56">
        <f t="shared" si="140"/>
        <v>7.597424247349964E-2</v>
      </c>
      <c r="BG430" s="56">
        <f t="shared" si="143"/>
        <v>1.9115853783877025E-5</v>
      </c>
      <c r="BH430" s="56">
        <f t="shared" si="144"/>
        <v>4.3721680873311615E-3</v>
      </c>
      <c r="BI430" s="56">
        <f t="shared" si="141"/>
        <v>4.2846459927622241E-3</v>
      </c>
      <c r="BJ430" s="57">
        <f t="shared" si="145"/>
        <v>2.5498558953673516E-2</v>
      </c>
      <c r="BK430" s="57">
        <f t="shared" si="146"/>
        <v>1.4673918699363146E-3</v>
      </c>
      <c r="BL430" s="58">
        <f t="shared" si="147"/>
        <v>44.990007044567726</v>
      </c>
      <c r="BM430" s="58">
        <f t="shared" si="147"/>
        <v>2.5890863356442799</v>
      </c>
    </row>
    <row r="431" spans="47:65" x14ac:dyDescent="0.2">
      <c r="AU431" s="2">
        <v>-1206</v>
      </c>
      <c r="AV431" s="53">
        <v>429</v>
      </c>
      <c r="AW431" s="4" t="s">
        <v>2532</v>
      </c>
      <c r="AX431" t="s">
        <v>839</v>
      </c>
      <c r="AY431" s="4">
        <v>26840</v>
      </c>
      <c r="AZ431" s="9">
        <v>22.196555303101935</v>
      </c>
      <c r="BA431" s="7">
        <f t="shared" si="142"/>
        <v>5.6890712398243685E-4</v>
      </c>
      <c r="BB431" s="54">
        <f t="shared" si="136"/>
        <v>145.58193355864714</v>
      </c>
      <c r="BC431" s="55">
        <f t="shared" si="137"/>
        <v>70.189947635994727</v>
      </c>
      <c r="BD431" s="55">
        <f t="shared" si="138"/>
        <v>8.3779441175024996</v>
      </c>
      <c r="BE431" s="55">
        <f t="shared" si="139"/>
        <v>8.2102343673970513</v>
      </c>
      <c r="BF431" s="56">
        <f t="shared" si="140"/>
        <v>7.5974737072684775E-2</v>
      </c>
      <c r="BG431" s="56">
        <f t="shared" si="143"/>
        <v>1.9116059057956233E-5</v>
      </c>
      <c r="BH431" s="56">
        <f t="shared" si="144"/>
        <v>4.3721915623581992E-3</v>
      </c>
      <c r="BI431" s="56">
        <f t="shared" si="141"/>
        <v>4.2846689978659888E-3</v>
      </c>
      <c r="BJ431" s="57">
        <f t="shared" si="145"/>
        <v>6.4884220188177692E-3</v>
      </c>
      <c r="BK431" s="57">
        <f t="shared" si="146"/>
        <v>3.7339548772053052E-4</v>
      </c>
      <c r="BL431" s="58">
        <f t="shared" si="147"/>
        <v>11.448260776818699</v>
      </c>
      <c r="BM431" s="58">
        <f t="shared" si="147"/>
        <v>0.65882411839341504</v>
      </c>
    </row>
    <row r="432" spans="47:65" x14ac:dyDescent="0.2">
      <c r="AU432" s="2">
        <v>-1205</v>
      </c>
      <c r="AV432" s="53">
        <v>430</v>
      </c>
      <c r="AW432" s="4" t="s">
        <v>1757</v>
      </c>
      <c r="AX432" t="s">
        <v>1758</v>
      </c>
      <c r="AY432" s="4">
        <v>18723</v>
      </c>
      <c r="AZ432" s="9">
        <v>22.197965342348727</v>
      </c>
      <c r="BA432" s="7">
        <f t="shared" si="142"/>
        <v>5.6894326388620307E-4</v>
      </c>
      <c r="BB432" s="54">
        <f t="shared" si="136"/>
        <v>145.71556163056869</v>
      </c>
      <c r="BC432" s="55">
        <f t="shared" si="137"/>
        <v>70.296249159402237</v>
      </c>
      <c r="BD432" s="55">
        <f t="shared" si="138"/>
        <v>8.384285846713615</v>
      </c>
      <c r="BE432" s="55">
        <f t="shared" si="139"/>
        <v>8.2164491478237967</v>
      </c>
      <c r="BF432" s="56">
        <f t="shared" si="140"/>
        <v>7.6044473456737413E-2</v>
      </c>
      <c r="BG432" s="56">
        <f t="shared" si="143"/>
        <v>1.9145010015576805E-5</v>
      </c>
      <c r="BH432" s="56">
        <f t="shared" si="144"/>
        <v>4.375501115938242E-3</v>
      </c>
      <c r="BI432" s="56">
        <f t="shared" si="141"/>
        <v>4.2879123007768839E-3</v>
      </c>
      <c r="BJ432" s="57">
        <f t="shared" si="145"/>
        <v>4.530336554749991E-3</v>
      </c>
      <c r="BK432" s="57">
        <f t="shared" si="146"/>
        <v>2.6066973377311426E-4</v>
      </c>
      <c r="BL432" s="58">
        <f t="shared" si="147"/>
        <v>7.9933879354817794</v>
      </c>
      <c r="BM432" s="58">
        <f t="shared" si="147"/>
        <v>0.45992925247520494</v>
      </c>
    </row>
    <row r="433" spans="47:65" x14ac:dyDescent="0.2">
      <c r="AU433" s="2">
        <v>-1204</v>
      </c>
      <c r="AV433" s="53">
        <v>431</v>
      </c>
      <c r="AW433" s="4" t="s">
        <v>2951</v>
      </c>
      <c r="AX433" t="s">
        <v>1152</v>
      </c>
      <c r="AY433" s="4">
        <v>38412</v>
      </c>
      <c r="AZ433" s="9">
        <v>22.199693509856687</v>
      </c>
      <c r="BA433" s="7">
        <f t="shared" si="142"/>
        <v>5.6898755755219253E-4</v>
      </c>
      <c r="BB433" s="54">
        <f t="shared" si="136"/>
        <v>145.87950572618664</v>
      </c>
      <c r="BC433" s="55">
        <f t="shared" si="137"/>
        <v>70.426748664600439</v>
      </c>
      <c r="BD433" s="55">
        <f t="shared" si="138"/>
        <v>8.3920646246677837</v>
      </c>
      <c r="BE433" s="55">
        <f t="shared" si="139"/>
        <v>8.2240722101407489</v>
      </c>
      <c r="BF433" s="56">
        <f t="shared" si="140"/>
        <v>7.6130030841879387E-2</v>
      </c>
      <c r="BG433" s="56">
        <f t="shared" si="143"/>
        <v>1.9180551233834263E-5</v>
      </c>
      <c r="BH433" s="56">
        <f t="shared" si="144"/>
        <v>4.3795606210936576E-3</v>
      </c>
      <c r="BI433" s="56">
        <f t="shared" si="141"/>
        <v>4.2918905427267182E-3</v>
      </c>
      <c r="BJ433" s="57">
        <f t="shared" si="145"/>
        <v>9.3048697465762924E-3</v>
      </c>
      <c r="BK433" s="57">
        <f t="shared" si="146"/>
        <v>5.352847053372513E-4</v>
      </c>
      <c r="BL433" s="58">
        <f t="shared" si="147"/>
        <v>16.417639765753982</v>
      </c>
      <c r="BM433" s="58">
        <f t="shared" si="147"/>
        <v>0.94446367372077678</v>
      </c>
    </row>
    <row r="434" spans="47:65" x14ac:dyDescent="0.2">
      <c r="AU434" s="2">
        <v>-1203</v>
      </c>
      <c r="AV434" s="53">
        <v>432</v>
      </c>
      <c r="AW434" s="4" t="s">
        <v>1503</v>
      </c>
      <c r="AX434" t="s">
        <v>98</v>
      </c>
      <c r="AY434" s="4">
        <v>14683</v>
      </c>
      <c r="AZ434" s="9">
        <v>22.200891023949243</v>
      </c>
      <c r="BA434" s="7">
        <f t="shared" si="142"/>
        <v>5.6901825034614292E-4</v>
      </c>
      <c r="BB434" s="54">
        <f t="shared" si="136"/>
        <v>145.99321711702811</v>
      </c>
      <c r="BC434" s="55">
        <f t="shared" si="137"/>
        <v>70.517315652005166</v>
      </c>
      <c r="BD434" s="55">
        <f t="shared" si="138"/>
        <v>8.3974588806379504</v>
      </c>
      <c r="BE434" s="55">
        <f t="shared" si="139"/>
        <v>8.2293584838532077</v>
      </c>
      <c r="BF434" s="56">
        <f t="shared" si="140"/>
        <v>7.618937332215954E-2</v>
      </c>
      <c r="BG434" s="56">
        <f t="shared" si="143"/>
        <v>1.9205216929397609E-5</v>
      </c>
      <c r="BH434" s="56">
        <f t="shared" si="144"/>
        <v>4.3823757175072984E-3</v>
      </c>
      <c r="BI434" s="56">
        <f t="shared" si="141"/>
        <v>4.2946492865185903E-3</v>
      </c>
      <c r="BJ434" s="57">
        <f t="shared" si="145"/>
        <v>3.5595620861759358E-3</v>
      </c>
      <c r="BK434" s="57">
        <f t="shared" si="146"/>
        <v>2.0474428087834137E-4</v>
      </c>
      <c r="BL434" s="58">
        <f t="shared" si="147"/>
        <v>6.2805401522331863</v>
      </c>
      <c r="BM434" s="58">
        <f t="shared" si="147"/>
        <v>0.3612536165587687</v>
      </c>
    </row>
    <row r="435" spans="47:65" x14ac:dyDescent="0.2">
      <c r="AU435" s="2">
        <v>-1202</v>
      </c>
      <c r="AV435" s="53">
        <v>433</v>
      </c>
      <c r="AW435" s="4" t="s">
        <v>1575</v>
      </c>
      <c r="AX435" t="s">
        <v>1279</v>
      </c>
      <c r="AY435" s="4">
        <v>79936</v>
      </c>
      <c r="AZ435" s="9">
        <v>22.2089880263892</v>
      </c>
      <c r="BA435" s="7">
        <f t="shared" si="142"/>
        <v>5.6922577995188988E-4</v>
      </c>
      <c r="BB435" s="54">
        <f t="shared" si="136"/>
        <v>146.76440720203209</v>
      </c>
      <c r="BC435" s="55">
        <f t="shared" si="137"/>
        <v>71.132678559424377</v>
      </c>
      <c r="BD435" s="55">
        <f t="shared" si="138"/>
        <v>8.4340191225431997</v>
      </c>
      <c r="BE435" s="55">
        <f t="shared" si="139"/>
        <v>8.2651868625533886</v>
      </c>
      <c r="BF435" s="56">
        <f t="shared" si="140"/>
        <v>7.6591833727163272E-2</v>
      </c>
      <c r="BG435" s="56">
        <f t="shared" si="143"/>
        <v>1.9372809498938957E-5</v>
      </c>
      <c r="BH435" s="56">
        <f t="shared" si="144"/>
        <v>4.4014553841813459E-3</v>
      </c>
      <c r="BI435" s="56">
        <f t="shared" si="141"/>
        <v>4.3133470162776714E-3</v>
      </c>
      <c r="BJ435" s="57">
        <f t="shared" si="145"/>
        <v>1.9481045102933543E-2</v>
      </c>
      <c r="BK435" s="57">
        <f t="shared" si="146"/>
        <v>1.1195051310982915E-3</v>
      </c>
      <c r="BL435" s="58">
        <f t="shared" si="147"/>
        <v>34.37262309642221</v>
      </c>
      <c r="BM435" s="58">
        <f t="shared" si="147"/>
        <v>1.9752702035455876</v>
      </c>
    </row>
    <row r="436" spans="47:65" x14ac:dyDescent="0.2">
      <c r="AU436" s="2">
        <v>-1201</v>
      </c>
      <c r="AV436" s="53">
        <v>434</v>
      </c>
      <c r="AW436" s="4" t="s">
        <v>1958</v>
      </c>
      <c r="AX436" t="s">
        <v>401</v>
      </c>
      <c r="AY436" s="4">
        <v>26057</v>
      </c>
      <c r="AZ436" s="9">
        <v>22.210276961484116</v>
      </c>
      <c r="BA436" s="7">
        <f t="shared" si="142"/>
        <v>5.6925881590489411E-4</v>
      </c>
      <c r="BB436" s="54">
        <f t="shared" si="136"/>
        <v>146.88754573684542</v>
      </c>
      <c r="BC436" s="55">
        <f t="shared" si="137"/>
        <v>71.231119076649932</v>
      </c>
      <c r="BD436" s="55">
        <f t="shared" si="138"/>
        <v>8.439853024588162</v>
      </c>
      <c r="BE436" s="55">
        <f t="shared" si="139"/>
        <v>8.2709039815021193</v>
      </c>
      <c r="BF436" s="56">
        <f t="shared" si="140"/>
        <v>7.6656095944165642E-2</v>
      </c>
      <c r="BG436" s="56">
        <f t="shared" si="143"/>
        <v>1.9399619530921266E-5</v>
      </c>
      <c r="BH436" s="56">
        <f t="shared" si="144"/>
        <v>4.4044999183699921E-3</v>
      </c>
      <c r="BI436" s="56">
        <f t="shared" si="141"/>
        <v>4.3163306049573951E-3</v>
      </c>
      <c r="BJ436" s="57">
        <f t="shared" si="145"/>
        <v>6.3556281833612761E-3</v>
      </c>
      <c r="BK436" s="57">
        <f t="shared" si="146"/>
        <v>3.6518118317940975E-4</v>
      </c>
      <c r="BL436" s="58">
        <f t="shared" si="147"/>
        <v>11.213957512719846</v>
      </c>
      <c r="BM436" s="58">
        <f t="shared" si="147"/>
        <v>0.64433068682958894</v>
      </c>
    </row>
    <row r="437" spans="47:65" x14ac:dyDescent="0.2">
      <c r="AU437" s="2">
        <v>-1200</v>
      </c>
      <c r="AV437" s="53">
        <v>435</v>
      </c>
      <c r="AW437" s="4" t="s">
        <v>3271</v>
      </c>
      <c r="AX437" t="s">
        <v>3272</v>
      </c>
      <c r="AY437" s="5">
        <v>27108.744999999995</v>
      </c>
      <c r="AZ437" s="9">
        <v>22.215658201925496</v>
      </c>
      <c r="BA437" s="7">
        <f t="shared" si="142"/>
        <v>5.693967393791071E-4</v>
      </c>
      <c r="BB437" s="54">
        <f t="shared" si="136"/>
        <v>147.40276020649182</v>
      </c>
      <c r="BC437" s="55">
        <f t="shared" si="137"/>
        <v>71.643543396522304</v>
      </c>
      <c r="BD437" s="55">
        <f t="shared" si="138"/>
        <v>8.4642509058109976</v>
      </c>
      <c r="BE437" s="55">
        <f t="shared" si="139"/>
        <v>8.2948134657500407</v>
      </c>
      <c r="BF437" s="56">
        <f t="shared" si="140"/>
        <v>7.6924970542205387E-2</v>
      </c>
      <c r="BG437" s="56">
        <f t="shared" si="143"/>
        <v>1.9511942276857798E-5</v>
      </c>
      <c r="BH437" s="56">
        <f t="shared" si="144"/>
        <v>4.4172324227798789E-3</v>
      </c>
      <c r="BI437" s="56">
        <f t="shared" si="141"/>
        <v>4.3288082299955833E-3</v>
      </c>
      <c r="BJ437" s="57">
        <f t="shared" si="145"/>
        <v>6.6353543888145799E-3</v>
      </c>
      <c r="BK437" s="57">
        <f t="shared" si="146"/>
        <v>3.8101935348581594E-4</v>
      </c>
      <c r="BL437" s="58">
        <f t="shared" si="147"/>
        <v>11.707510265122792</v>
      </c>
      <c r="BM437" s="58">
        <f t="shared" si="147"/>
        <v>0.67227577168528119</v>
      </c>
    </row>
    <row r="438" spans="47:65" x14ac:dyDescent="0.2">
      <c r="AU438" s="2">
        <v>-1199</v>
      </c>
      <c r="AV438" s="53">
        <v>436</v>
      </c>
      <c r="AW438" s="4" t="s">
        <v>2523</v>
      </c>
      <c r="AX438" t="s">
        <v>832</v>
      </c>
      <c r="AY438" s="4">
        <v>30763</v>
      </c>
      <c r="AZ438" s="9">
        <v>22.216023477418435</v>
      </c>
      <c r="BA438" s="7">
        <f t="shared" si="142"/>
        <v>5.6940610154487164E-4</v>
      </c>
      <c r="BB438" s="54">
        <f t="shared" si="136"/>
        <v>147.43779809816749</v>
      </c>
      <c r="BC438" s="55">
        <f t="shared" si="137"/>
        <v>71.671622934095538</v>
      </c>
      <c r="BD438" s="55">
        <f t="shared" si="138"/>
        <v>8.4659094569984354</v>
      </c>
      <c r="BE438" s="55">
        <f t="shared" si="139"/>
        <v>8.2964388160469884</v>
      </c>
      <c r="BF438" s="56">
        <f t="shared" si="140"/>
        <v>7.6943255741079769E-2</v>
      </c>
      <c r="BG438" s="56">
        <f t="shared" si="143"/>
        <v>1.9519589669634682E-5</v>
      </c>
      <c r="BH438" s="56">
        <f t="shared" si="144"/>
        <v>4.4180979696736783E-3</v>
      </c>
      <c r="BI438" s="56">
        <f t="shared" si="141"/>
        <v>4.3296564503649713E-3</v>
      </c>
      <c r="BJ438" s="57">
        <f t="shared" si="145"/>
        <v>7.5315890702753532E-3</v>
      </c>
      <c r="BK438" s="57">
        <f t="shared" si="146"/>
        <v>4.3246543260105929E-4</v>
      </c>
      <c r="BL438" s="58">
        <f t="shared" si="147"/>
        <v>13.28883902592702</v>
      </c>
      <c r="BM438" s="58">
        <f t="shared" si="147"/>
        <v>0.76304793908561708</v>
      </c>
    </row>
    <row r="439" spans="47:65" x14ac:dyDescent="0.2">
      <c r="AU439" s="2">
        <v>-1198</v>
      </c>
      <c r="AV439" s="53">
        <v>437</v>
      </c>
      <c r="AW439" s="4" t="s">
        <v>2959</v>
      </c>
      <c r="AX439" t="s">
        <v>1157</v>
      </c>
      <c r="AY439" s="4">
        <v>6842</v>
      </c>
      <c r="AZ439" s="9">
        <v>22.218351169003352</v>
      </c>
      <c r="BA439" s="7">
        <f t="shared" si="142"/>
        <v>5.6946576126715772E-4</v>
      </c>
      <c r="BB439" s="54">
        <f t="shared" si="136"/>
        <v>147.66127025985674</v>
      </c>
      <c r="BC439" s="55">
        <f t="shared" si="137"/>
        <v>71.850810522859248</v>
      </c>
      <c r="BD439" s="55">
        <f t="shared" si="138"/>
        <v>8.4764857413234207</v>
      </c>
      <c r="BE439" s="55">
        <f t="shared" si="139"/>
        <v>8.3068033842306015</v>
      </c>
      <c r="BF439" s="56">
        <f t="shared" si="140"/>
        <v>7.7059878994476472E-2</v>
      </c>
      <c r="BG439" s="56">
        <f t="shared" si="143"/>
        <v>1.956839096732264E-5</v>
      </c>
      <c r="BH439" s="56">
        <f t="shared" si="144"/>
        <v>4.4236174074305567E-3</v>
      </c>
      <c r="BI439" s="56">
        <f t="shared" si="141"/>
        <v>4.3350653999741674E-3</v>
      </c>
      <c r="BJ439" s="57">
        <f t="shared" si="145"/>
        <v>1.6776399700218548E-3</v>
      </c>
      <c r="BK439" s="57">
        <f t="shared" si="146"/>
        <v>9.6304814796320859E-5</v>
      </c>
      <c r="BL439" s="58">
        <f t="shared" si="147"/>
        <v>2.960050966278541</v>
      </c>
      <c r="BM439" s="58">
        <f t="shared" si="147"/>
        <v>0.16992153572223956</v>
      </c>
    </row>
    <row r="440" spans="47:65" x14ac:dyDescent="0.2">
      <c r="AU440" s="2">
        <v>-1197</v>
      </c>
      <c r="AV440" s="53">
        <v>438</v>
      </c>
      <c r="AW440" s="4" t="s">
        <v>2285</v>
      </c>
      <c r="AX440" t="s">
        <v>640</v>
      </c>
      <c r="AY440" s="4">
        <v>39355</v>
      </c>
      <c r="AZ440" s="9">
        <v>22.223456945073046</v>
      </c>
      <c r="BA440" s="7">
        <f t="shared" si="142"/>
        <v>5.6959662447272474E-4</v>
      </c>
      <c r="BB440" s="54">
        <f t="shared" si="136"/>
        <v>148.15264212115255</v>
      </c>
      <c r="BC440" s="55">
        <f t="shared" si="137"/>
        <v>72.245391840357442</v>
      </c>
      <c r="BD440" s="55">
        <f t="shared" si="138"/>
        <v>8.4997289274633605</v>
      </c>
      <c r="BE440" s="55">
        <f t="shared" si="139"/>
        <v>8.3295812880907221</v>
      </c>
      <c r="BF440" s="56">
        <f t="shared" si="140"/>
        <v>7.7316310867953625E-2</v>
      </c>
      <c r="BG440" s="56">
        <f t="shared" si="143"/>
        <v>1.9675854215586158E-5</v>
      </c>
      <c r="BH440" s="56">
        <f t="shared" si="144"/>
        <v>4.4357473119629072E-3</v>
      </c>
      <c r="BI440" s="56">
        <f t="shared" si="141"/>
        <v>4.3469524879838255E-3</v>
      </c>
      <c r="BJ440" s="57">
        <f t="shared" si="145"/>
        <v>9.6818513952346558E-3</v>
      </c>
      <c r="BK440" s="57">
        <f t="shared" si="146"/>
        <v>5.5546165898400347E-4</v>
      </c>
      <c r="BL440" s="58">
        <f t="shared" si="147"/>
        <v>17.082791355678204</v>
      </c>
      <c r="BM440" s="58">
        <f t="shared" si="147"/>
        <v>0.98006416739395041</v>
      </c>
    </row>
    <row r="441" spans="47:65" x14ac:dyDescent="0.2">
      <c r="AU441" s="2">
        <v>-1196</v>
      </c>
      <c r="AV441" s="53">
        <v>439</v>
      </c>
      <c r="AW441" s="4" t="s">
        <v>3095</v>
      </c>
      <c r="AX441" t="s">
        <v>1241</v>
      </c>
      <c r="AY441" s="4">
        <v>33088</v>
      </c>
      <c r="AZ441" s="9">
        <v>22.225213714320549</v>
      </c>
      <c r="BA441" s="7">
        <f t="shared" si="142"/>
        <v>5.6964165121342614E-4</v>
      </c>
      <c r="BB441" s="54">
        <f t="shared" si="136"/>
        <v>148.32208868192754</v>
      </c>
      <c r="BC441" s="55">
        <f t="shared" si="137"/>
        <v>72.381646318475617</v>
      </c>
      <c r="BD441" s="55">
        <f t="shared" si="138"/>
        <v>8.5077403767672415</v>
      </c>
      <c r="BE441" s="55">
        <f t="shared" si="139"/>
        <v>8.3374323641405095</v>
      </c>
      <c r="BF441" s="56">
        <f t="shared" si="140"/>
        <v>7.7404739820558247E-2</v>
      </c>
      <c r="BG441" s="56">
        <f t="shared" si="143"/>
        <v>1.9712962786520241E-5</v>
      </c>
      <c r="BH441" s="56">
        <f t="shared" si="144"/>
        <v>4.4399282411453729E-3</v>
      </c>
      <c r="BI441" s="56">
        <f t="shared" si="141"/>
        <v>4.3510497232935987E-3</v>
      </c>
      <c r="BJ441" s="57">
        <f t="shared" si="145"/>
        <v>8.1493964244536005E-3</v>
      </c>
      <c r="BK441" s="57">
        <f t="shared" si="146"/>
        <v>4.6744857507564078E-4</v>
      </c>
      <c r="BL441" s="58">
        <f t="shared" si="147"/>
        <v>14.378906792782553</v>
      </c>
      <c r="BM441" s="58">
        <f t="shared" si="147"/>
        <v>0.82477267534353782</v>
      </c>
    </row>
    <row r="442" spans="47:65" x14ac:dyDescent="0.2">
      <c r="AU442" s="2">
        <v>-1195</v>
      </c>
      <c r="AV442" s="53">
        <v>440</v>
      </c>
      <c r="AW442" s="4" t="s">
        <v>2667</v>
      </c>
      <c r="AX442" t="s">
        <v>937</v>
      </c>
      <c r="AY442" s="4">
        <v>118052</v>
      </c>
      <c r="AZ442" s="9">
        <v>22.229513180347034</v>
      </c>
      <c r="BA442" s="7">
        <f t="shared" si="142"/>
        <v>5.6975184835070204E-4</v>
      </c>
      <c r="BB442" s="54">
        <f t="shared" si="136"/>
        <v>148.73760533970511</v>
      </c>
      <c r="BC442" s="55">
        <f t="shared" si="137"/>
        <v>72.716171642799495</v>
      </c>
      <c r="BD442" s="55">
        <f t="shared" si="138"/>
        <v>8.5273777706162104</v>
      </c>
      <c r="BE442" s="55">
        <f t="shared" si="139"/>
        <v>8.3566766564876129</v>
      </c>
      <c r="BF442" s="56">
        <f t="shared" si="140"/>
        <v>7.7621585194515744E-2</v>
      </c>
      <c r="BG442" s="56">
        <f t="shared" si="143"/>
        <v>1.9804069933220363E-5</v>
      </c>
      <c r="BH442" s="56">
        <f t="shared" si="144"/>
        <v>4.4501763934950223E-3</v>
      </c>
      <c r="BI442" s="56">
        <f t="shared" si="141"/>
        <v>4.361092728050295E-3</v>
      </c>
      <c r="BJ442" s="57">
        <f t="shared" si="145"/>
        <v>2.9157026327851495E-2</v>
      </c>
      <c r="BK442" s="57">
        <f t="shared" si="146"/>
        <v>1.6716214947628402E-3</v>
      </c>
      <c r="BL442" s="58">
        <f t="shared" si="147"/>
        <v>51.44505704310405</v>
      </c>
      <c r="BM442" s="58">
        <f t="shared" si="147"/>
        <v>2.9494318860084534</v>
      </c>
    </row>
    <row r="443" spans="47:65" x14ac:dyDescent="0.2">
      <c r="AU443" s="2">
        <v>-1194</v>
      </c>
      <c r="AV443" s="53">
        <v>441</v>
      </c>
      <c r="AW443" s="4" t="s">
        <v>2093</v>
      </c>
      <c r="AX443" t="s">
        <v>503</v>
      </c>
      <c r="AY443" s="4">
        <v>27412</v>
      </c>
      <c r="AZ443" s="9">
        <v>22.231174686078674</v>
      </c>
      <c r="BA443" s="7">
        <f t="shared" si="142"/>
        <v>5.6979443344709916E-4</v>
      </c>
      <c r="BB443" s="54">
        <f t="shared" si="136"/>
        <v>148.89849122377836</v>
      </c>
      <c r="BC443" s="55">
        <f t="shared" si="137"/>
        <v>72.845851443186618</v>
      </c>
      <c r="BD443" s="55">
        <f t="shared" si="138"/>
        <v>8.5349781161515939</v>
      </c>
      <c r="BE443" s="55">
        <f t="shared" si="139"/>
        <v>8.3641248582473189</v>
      </c>
      <c r="BF443" s="56">
        <f t="shared" si="140"/>
        <v>7.770554659303805E-2</v>
      </c>
      <c r="BG443" s="56">
        <f t="shared" si="143"/>
        <v>1.9839387906895015E-5</v>
      </c>
      <c r="BH443" s="56">
        <f t="shared" si="144"/>
        <v>4.4541427802546937E-3</v>
      </c>
      <c r="BI443" s="56">
        <f t="shared" si="141"/>
        <v>4.3649797156491508E-3</v>
      </c>
      <c r="BJ443" s="57">
        <f t="shared" si="145"/>
        <v>6.777665247259263E-3</v>
      </c>
      <c r="BK443" s="57">
        <f t="shared" si="146"/>
        <v>3.8850107941673895E-4</v>
      </c>
      <c r="BL443" s="58">
        <f t="shared" si="147"/>
        <v>11.958605495075867</v>
      </c>
      <c r="BM443" s="58">
        <f t="shared" si="147"/>
        <v>0.68547663150443028</v>
      </c>
    </row>
    <row r="444" spans="47:65" x14ac:dyDescent="0.2">
      <c r="AU444" s="2">
        <v>-1193</v>
      </c>
      <c r="AV444" s="53">
        <v>442</v>
      </c>
      <c r="AW444" s="4" t="s">
        <v>2472</v>
      </c>
      <c r="AX444" t="s">
        <v>791</v>
      </c>
      <c r="AY444" s="4">
        <v>43499</v>
      </c>
      <c r="AZ444" s="9">
        <v>22.237373756833289</v>
      </c>
      <c r="BA444" s="7">
        <f t="shared" si="142"/>
        <v>5.6995331825900866E-4</v>
      </c>
      <c r="BB444" s="54">
        <f t="shared" si="136"/>
        <v>149.50029330308772</v>
      </c>
      <c r="BC444" s="55">
        <f t="shared" si="137"/>
        <v>73.331683440207129</v>
      </c>
      <c r="BD444" s="55">
        <f t="shared" si="138"/>
        <v>8.5633920522306539</v>
      </c>
      <c r="BE444" s="55">
        <f t="shared" si="139"/>
        <v>8.3919700039343095</v>
      </c>
      <c r="BF444" s="56">
        <f t="shared" si="140"/>
        <v>7.8019608603534046E-2</v>
      </c>
      <c r="BG444" s="56">
        <f t="shared" si="143"/>
        <v>1.9971703052581737E-5</v>
      </c>
      <c r="BH444" s="56">
        <f t="shared" si="144"/>
        <v>4.4689711402717443E-3</v>
      </c>
      <c r="BI444" s="56">
        <f t="shared" si="141"/>
        <v>4.3795112414407571E-3</v>
      </c>
      <c r="BJ444" s="57">
        <f t="shared" si="145"/>
        <v>1.0798673552088002E-2</v>
      </c>
      <c r="BK444" s="57">
        <f t="shared" si="146"/>
        <v>6.1854912273055242E-4</v>
      </c>
      <c r="BL444" s="58">
        <f t="shared" si="147"/>
        <v>19.053327682678074</v>
      </c>
      <c r="BM444" s="58">
        <f t="shared" si="147"/>
        <v>1.091376553460075</v>
      </c>
    </row>
    <row r="445" spans="47:65" x14ac:dyDescent="0.2">
      <c r="AU445" s="2">
        <v>-1192</v>
      </c>
      <c r="AV445" s="53">
        <v>443</v>
      </c>
      <c r="AW445" s="4" t="s">
        <v>2652</v>
      </c>
      <c r="AX445" t="s">
        <v>1341</v>
      </c>
      <c r="AY445" s="4">
        <v>30135</v>
      </c>
      <c r="AZ445" s="9">
        <v>22.241026126700827</v>
      </c>
      <c r="BA445" s="7">
        <f t="shared" si="142"/>
        <v>5.7004693004735548E-4</v>
      </c>
      <c r="BB445" s="54">
        <f t="shared" si="136"/>
        <v>149.85600134500896</v>
      </c>
      <c r="BC445" s="55">
        <f t="shared" si="137"/>
        <v>73.619406560666789</v>
      </c>
      <c r="BD445" s="55">
        <f t="shared" si="138"/>
        <v>8.5801752057091925</v>
      </c>
      <c r="BE445" s="55">
        <f t="shared" si="139"/>
        <v>8.4084171921167812</v>
      </c>
      <c r="BF445" s="56">
        <f t="shared" si="140"/>
        <v>7.8205241698925718E-2</v>
      </c>
      <c r="BG445" s="56">
        <f t="shared" si="143"/>
        <v>2.0050063734536105E-5</v>
      </c>
      <c r="BH445" s="56">
        <f t="shared" si="144"/>
        <v>4.4777297522892228E-3</v>
      </c>
      <c r="BI445" s="56">
        <f t="shared" si="141"/>
        <v>4.388094523495166E-3</v>
      </c>
      <c r="BJ445" s="57">
        <f t="shared" si="145"/>
        <v>7.4988459262391172E-3</v>
      </c>
      <c r="BK445" s="57">
        <f t="shared" si="146"/>
        <v>4.2935492279432436E-4</v>
      </c>
      <c r="BL445" s="58">
        <f t="shared" si="147"/>
        <v>13.231066573627736</v>
      </c>
      <c r="BM445" s="58">
        <f t="shared" si="147"/>
        <v>0.75755971293246671</v>
      </c>
    </row>
    <row r="446" spans="47:65" x14ac:dyDescent="0.2">
      <c r="AU446" s="2">
        <v>-1191</v>
      </c>
      <c r="AV446" s="53">
        <v>444</v>
      </c>
      <c r="AW446" s="4" t="s">
        <v>3006</v>
      </c>
      <c r="AX446" t="s">
        <v>3007</v>
      </c>
      <c r="AY446" s="4">
        <v>24492</v>
      </c>
      <c r="AZ446" s="9">
        <v>22.248245326512009</v>
      </c>
      <c r="BA446" s="7">
        <f t="shared" si="142"/>
        <v>5.7023196119952973E-4</v>
      </c>
      <c r="BB446" s="54">
        <f t="shared" si="136"/>
        <v>150.56157843994538</v>
      </c>
      <c r="BC446" s="55">
        <f t="shared" si="137"/>
        <v>74.191362336933466</v>
      </c>
      <c r="BD446" s="55">
        <f t="shared" si="138"/>
        <v>8.6134407954622567</v>
      </c>
      <c r="BE446" s="55">
        <f t="shared" si="139"/>
        <v>8.4410168710370268</v>
      </c>
      <c r="BF446" s="56">
        <f t="shared" si="140"/>
        <v>7.8573460700844117E-2</v>
      </c>
      <c r="BG446" s="56">
        <f t="shared" si="143"/>
        <v>2.0205834479006807E-5</v>
      </c>
      <c r="BH446" s="56">
        <f t="shared" si="144"/>
        <v>4.4950900412568827E-3</v>
      </c>
      <c r="BI446" s="56">
        <f t="shared" si="141"/>
        <v>4.405107294064077E-3</v>
      </c>
      <c r="BJ446" s="57">
        <f t="shared" si="145"/>
        <v>6.1233277361285553E-3</v>
      </c>
      <c r="BK446" s="57">
        <f t="shared" si="146"/>
        <v>3.5030797015318202E-4</v>
      </c>
      <c r="BL446" s="58">
        <f t="shared" si="147"/>
        <v>10.804083418405561</v>
      </c>
      <c r="BM446" s="58">
        <f t="shared" si="147"/>
        <v>0.61808818583017699</v>
      </c>
    </row>
    <row r="447" spans="47:65" x14ac:dyDescent="0.2">
      <c r="AU447" s="2">
        <v>-1190</v>
      </c>
      <c r="AV447" s="53">
        <v>445</v>
      </c>
      <c r="AW447" s="4" t="s">
        <v>1528</v>
      </c>
      <c r="AX447" t="s">
        <v>121</v>
      </c>
      <c r="AY447" s="4">
        <v>34134</v>
      </c>
      <c r="AZ447" s="9">
        <v>22.260290164726005</v>
      </c>
      <c r="BA447" s="7">
        <f t="shared" si="142"/>
        <v>5.7054067551008767E-4</v>
      </c>
      <c r="BB447" s="54">
        <f t="shared" si="136"/>
        <v>151.74619869976078</v>
      </c>
      <c r="BC447" s="55">
        <f t="shared" si="137"/>
        <v>75.155316835144134</v>
      </c>
      <c r="BD447" s="55">
        <f t="shared" si="138"/>
        <v>8.6692166217683209</v>
      </c>
      <c r="BE447" s="55">
        <f t="shared" si="139"/>
        <v>8.4956761764209503</v>
      </c>
      <c r="BF447" s="56">
        <f t="shared" si="140"/>
        <v>7.919167760846739E-2</v>
      </c>
      <c r="BG447" s="56">
        <f t="shared" si="143"/>
        <v>2.0468365108214866E-5</v>
      </c>
      <c r="BH447" s="56">
        <f t="shared" si="144"/>
        <v>4.5241977308927228E-3</v>
      </c>
      <c r="BI447" s="56">
        <f t="shared" si="141"/>
        <v>4.4336323057437852E-3</v>
      </c>
      <c r="BJ447" s="57">
        <f t="shared" si="145"/>
        <v>8.6011020307224118E-3</v>
      </c>
      <c r="BK447" s="57">
        <f t="shared" si="146"/>
        <v>4.9137848149854611E-4</v>
      </c>
      <c r="BL447" s="58">
        <f t="shared" si="147"/>
        <v>15.17590235810162</v>
      </c>
      <c r="BM447" s="58">
        <f t="shared" si="147"/>
        <v>0.86699493035404118</v>
      </c>
    </row>
    <row r="448" spans="47:65" x14ac:dyDescent="0.2">
      <c r="AU448" s="2">
        <v>-1189</v>
      </c>
      <c r="AV448" s="53">
        <v>446</v>
      </c>
      <c r="AW448" s="4" t="s">
        <v>2319</v>
      </c>
      <c r="AX448" t="s">
        <v>671</v>
      </c>
      <c r="AY448" s="4">
        <v>14756</v>
      </c>
      <c r="AZ448" s="9">
        <v>22.260988808723251</v>
      </c>
      <c r="BA448" s="7">
        <f t="shared" si="142"/>
        <v>5.7055858205196921E-4</v>
      </c>
      <c r="BB448" s="54">
        <f t="shared" si="136"/>
        <v>151.81519625427168</v>
      </c>
      <c r="BC448" s="55">
        <f t="shared" si="137"/>
        <v>75.211603522285074</v>
      </c>
      <c r="BD448" s="55">
        <f t="shared" si="138"/>
        <v>8.6724623678794401</v>
      </c>
      <c r="BE448" s="55">
        <f t="shared" si="139"/>
        <v>8.4988569491613273</v>
      </c>
      <c r="BF448" s="56">
        <f t="shared" si="140"/>
        <v>7.9227685311720683E-2</v>
      </c>
      <c r="BG448" s="56">
        <f t="shared" si="143"/>
        <v>2.048369464858158E-5</v>
      </c>
      <c r="BH448" s="56">
        <f t="shared" si="144"/>
        <v>4.5258915860393279E-3</v>
      </c>
      <c r="BI448" s="56">
        <f t="shared" si="141"/>
        <v>4.4352922532849724E-3</v>
      </c>
      <c r="BJ448" s="57">
        <f t="shared" si="145"/>
        <v>3.7199147451484863E-3</v>
      </c>
      <c r="BK448" s="57">
        <f t="shared" si="146"/>
        <v>2.1250060227823557E-4</v>
      </c>
      <c r="BL448" s="58">
        <f t="shared" si="147"/>
        <v>6.5634685824200565</v>
      </c>
      <c r="BM448" s="58">
        <f t="shared" si="147"/>
        <v>0.37493897638852092</v>
      </c>
    </row>
    <row r="449" spans="47:65" x14ac:dyDescent="0.2">
      <c r="AU449" s="2">
        <v>-1188</v>
      </c>
      <c r="AV449" s="53">
        <v>447</v>
      </c>
      <c r="AW449" s="4" t="s">
        <v>3233</v>
      </c>
      <c r="AX449" t="s">
        <v>3234</v>
      </c>
      <c r="AY449" s="5">
        <v>31460.865000000002</v>
      </c>
      <c r="AZ449" s="9">
        <v>22.264114205560322</v>
      </c>
      <c r="BA449" s="7">
        <f t="shared" si="142"/>
        <v>5.7063868729810324E-4</v>
      </c>
      <c r="BB449" s="54">
        <f t="shared" si="136"/>
        <v>152.12424241549897</v>
      </c>
      <c r="BC449" s="55">
        <f t="shared" si="137"/>
        <v>75.463907623274423</v>
      </c>
      <c r="BD449" s="55">
        <f t="shared" si="138"/>
        <v>8.6869964673225475</v>
      </c>
      <c r="BE449" s="55">
        <f t="shared" si="139"/>
        <v>8.5131001048894355</v>
      </c>
      <c r="BF449" s="56">
        <f t="shared" si="140"/>
        <v>7.9388967005600122E-2</v>
      </c>
      <c r="BG449" s="56">
        <f t="shared" si="143"/>
        <v>2.0552409047971804E-5</v>
      </c>
      <c r="BH449" s="56">
        <f t="shared" si="144"/>
        <v>4.533476485873926E-3</v>
      </c>
      <c r="BI449" s="56">
        <f t="shared" si="141"/>
        <v>4.4427253185360498E-3</v>
      </c>
      <c r="BJ449" s="57">
        <f t="shared" si="145"/>
        <v>7.9472739226908937E-3</v>
      </c>
      <c r="BK449" s="57">
        <f t="shared" si="146"/>
        <v>4.5382602664141884E-4</v>
      </c>
      <c r="BL449" s="58">
        <f t="shared" si="147"/>
        <v>14.022279079244267</v>
      </c>
      <c r="BM449" s="58">
        <f t="shared" si="147"/>
        <v>0.80073686409890599</v>
      </c>
    </row>
    <row r="450" spans="47:65" x14ac:dyDescent="0.2">
      <c r="AU450" s="2">
        <v>-1187</v>
      </c>
      <c r="AV450" s="53">
        <v>448</v>
      </c>
      <c r="AW450" s="4" t="s">
        <v>1413</v>
      </c>
      <c r="AX450" t="s">
        <v>28</v>
      </c>
      <c r="AY450" s="4">
        <v>22083</v>
      </c>
      <c r="AZ450" s="9">
        <v>22.271143068333117</v>
      </c>
      <c r="BA450" s="7">
        <f t="shared" si="142"/>
        <v>5.7081884003127887E-4</v>
      </c>
      <c r="BB450" s="54">
        <f t="shared" si="136"/>
        <v>152.82157246291132</v>
      </c>
      <c r="BC450" s="55">
        <f t="shared" si="137"/>
        <v>76.034351318321114</v>
      </c>
      <c r="BD450" s="55">
        <f t="shared" si="138"/>
        <v>8.7197678477308731</v>
      </c>
      <c r="BE450" s="55">
        <f t="shared" si="139"/>
        <v>8.545215467551424</v>
      </c>
      <c r="BF450" s="56">
        <f t="shared" si="140"/>
        <v>7.9752882126865446E-2</v>
      </c>
      <c r="BG450" s="56">
        <f t="shared" si="143"/>
        <v>2.0707767980854332E-5</v>
      </c>
      <c r="BH450" s="56">
        <f t="shared" si="144"/>
        <v>4.5505788621728483E-3</v>
      </c>
      <c r="BI450" s="56">
        <f t="shared" si="141"/>
        <v>4.4594853393340192E-3</v>
      </c>
      <c r="BJ450" s="57">
        <f t="shared" si="145"/>
        <v>5.6039187670578385E-3</v>
      </c>
      <c r="BK450" s="57">
        <f t="shared" si="146"/>
        <v>3.197511313276649E-4</v>
      </c>
      <c r="BL450" s="58">
        <f t="shared" si="147"/>
        <v>9.8876311114356152</v>
      </c>
      <c r="BM450" s="58">
        <f t="shared" si="147"/>
        <v>0.56417328042248616</v>
      </c>
    </row>
    <row r="451" spans="47:65" x14ac:dyDescent="0.2">
      <c r="AU451" s="2">
        <v>-1186</v>
      </c>
      <c r="AV451" s="53">
        <v>449</v>
      </c>
      <c r="AW451" s="4" t="s">
        <v>2334</v>
      </c>
      <c r="AX451" t="s">
        <v>683</v>
      </c>
      <c r="AY451" s="4">
        <v>84629</v>
      </c>
      <c r="AZ451" s="9">
        <v>22.278043298225665</v>
      </c>
      <c r="BA451" s="7">
        <f t="shared" si="142"/>
        <v>5.709956958491921E-4</v>
      </c>
      <c r="BB451" s="54">
        <f t="shared" ref="BB451:BB514" si="148">IFERROR(IF(MATCH(AX451,$S$4:$S$20,0),VLOOKUP(AX451,$S$4:$AT$20,20,FALSE)),AVERAGE((2^(($AE$23*AZ451)+$AE$24)),(2^(($AF$23*AZ451)+$AF$24)),(2^(($AG$23*AZ451)+$AG$24)),(2^(($AH$23*AZ451)+$AH$24))))</f>
        <v>153.50925038557352</v>
      </c>
      <c r="BC451" s="55">
        <f t="shared" ref="BC451:BC514" si="149">IFERROR(IF(MATCH(AX451,$S$4:$S$20,0),VLOOKUP(AX451,$S$4:$AT$20,21,FALSE)),_xlfn.VAR.S((2^(($AE$23*AZ451)+$AE$24)),(2^(($AF$23*AZ451)+$AF$24)),(2^(($AG$23*AZ451)+$AG$24)),(2^(($AH$23*AZ451)+$AH$24))))</f>
        <v>76.598451698396104</v>
      </c>
      <c r="BD451" s="55">
        <f t="shared" ref="BD451:BD514" si="150">SQRT(BC451)</f>
        <v>8.7520541416513247</v>
      </c>
      <c r="BE451" s="55">
        <f t="shared" ref="BE451:BE514" si="151">_xlfn.CONFIDENCE.NORM(0.05,BD451,4)</f>
        <v>8.5768554541906052</v>
      </c>
      <c r="BF451" s="56">
        <f t="shared" ref="BF451:BF514" si="152">IFERROR(IF(MATCH(AX451,$S$4:$S$20,0),VLOOKUP(AX451,$S$4:$AT$20,24,FALSE)),AVERAGE((2^(($AI$23*AZ451)+$AI$24)),(2^(($AJ$23*AZ451)+$AJ$24)),(2^(($AK$23*AZ451)+$AK$24)),(2^(($AL$23*AZ451)+$AL$24))))</f>
        <v>8.0111760100854593E-2</v>
      </c>
      <c r="BG451" s="56">
        <f t="shared" si="143"/>
        <v>2.0861399327554766E-5</v>
      </c>
      <c r="BH451" s="56">
        <f t="shared" si="144"/>
        <v>4.5674280867414613E-3</v>
      </c>
      <c r="BI451" s="56">
        <f t="shared" ref="BI451:BI514" si="153">_xlfn.CONFIDENCE.NORM(0.05,BH451,4)</f>
        <v>4.4759972759949741E-3</v>
      </c>
      <c r="BJ451" s="57">
        <f t="shared" si="145"/>
        <v>2.1572618081066287E-2</v>
      </c>
      <c r="BK451" s="57">
        <f t="shared" si="146"/>
        <v>1.2299240661291849E-3</v>
      </c>
      <c r="BL451" s="58">
        <f t="shared" si="147"/>
        <v>38.063023137906242</v>
      </c>
      <c r="BM451" s="58">
        <f t="shared" si="147"/>
        <v>2.170094886537246</v>
      </c>
    </row>
    <row r="452" spans="47:65" x14ac:dyDescent="0.2">
      <c r="AU452" s="2">
        <v>-1185</v>
      </c>
      <c r="AV452" s="53">
        <v>450</v>
      </c>
      <c r="AW452" s="4" t="s">
        <v>2468</v>
      </c>
      <c r="AX452" t="s">
        <v>787</v>
      </c>
      <c r="AY452" s="4">
        <v>17649</v>
      </c>
      <c r="AZ452" s="9">
        <v>22.278326941550976</v>
      </c>
      <c r="BA452" s="7">
        <f t="shared" ref="BA452:BA515" si="154">AZ452/$AZ$1637</f>
        <v>5.7100296574788751E-4</v>
      </c>
      <c r="BB452" s="54">
        <f t="shared" si="148"/>
        <v>153.53758444679139</v>
      </c>
      <c r="BC452" s="55">
        <f t="shared" si="149"/>
        <v>76.621727070264242</v>
      </c>
      <c r="BD452" s="55">
        <f t="shared" si="150"/>
        <v>8.7533837497429676</v>
      </c>
      <c r="BE452" s="55">
        <f t="shared" si="151"/>
        <v>8.5781584461771914</v>
      </c>
      <c r="BF452" s="56">
        <f t="shared" si="152"/>
        <v>8.0126546776636456E-2</v>
      </c>
      <c r="BG452" s="56">
        <f t="shared" ref="BG452:BG515" si="155">IFERROR(IF(MATCH(AX452,$S$4:$S$20,0),VLOOKUP(AX452,$S$4:$AT$20,25,FALSE)),_xlfn.VAR.S((2^(($AI$23*AZ452)+$AI$24)),(2^(($AJ$23*AZ452)+$AJ$24)),(2^(($AK$23*AZ452)+$AK$24)),(2^(($AL$23*AZ452)+$AL$24))))</f>
        <v>2.0867738317654646E-5</v>
      </c>
      <c r="BH452" s="56">
        <f t="shared" ref="BH452:BH515" si="156">SQRT(BG452)</f>
        <v>4.568121968342641E-3</v>
      </c>
      <c r="BI452" s="56">
        <f t="shared" si="153"/>
        <v>4.4766772674688978E-3</v>
      </c>
      <c r="BJ452" s="57">
        <f t="shared" ref="BJ452:BJ515" si="157">(((BF452*0.000001)*AY452)*1000000000000000)*$S$24</f>
        <v>4.4997035404775341E-3</v>
      </c>
      <c r="BK452" s="57">
        <f t="shared" ref="BK452:BK515" si="158">((((BH452*0.000001)*AY452)*1000000000000000)*$S$24)</f>
        <v>2.5653413782556931E-4</v>
      </c>
      <c r="BL452" s="58">
        <f t="shared" ref="BL452:BM515" si="159">((BJ452/$S$26)*0.000000001)/0.45</f>
        <v>7.9393386250710183</v>
      </c>
      <c r="BM452" s="58">
        <f t="shared" si="159"/>
        <v>0.45263235027961141</v>
      </c>
    </row>
    <row r="453" spans="47:65" x14ac:dyDescent="0.2">
      <c r="AU453" s="2">
        <v>-1184</v>
      </c>
      <c r="AV453" s="53">
        <v>451</v>
      </c>
      <c r="AW453" s="4" t="s">
        <v>1376</v>
      </c>
      <c r="AX453" t="s">
        <v>0</v>
      </c>
      <c r="AY453" s="4">
        <v>86056</v>
      </c>
      <c r="AZ453" s="9">
        <v>22.292475919961841</v>
      </c>
      <c r="BA453" s="7">
        <f t="shared" si="154"/>
        <v>5.7136561006386791E-4</v>
      </c>
      <c r="BB453" s="54">
        <f t="shared" si="148"/>
        <v>154.95762991181408</v>
      </c>
      <c r="BC453" s="55">
        <f t="shared" si="149"/>
        <v>77.791580498566049</v>
      </c>
      <c r="BD453" s="55">
        <f t="shared" si="150"/>
        <v>8.8199535428802598</v>
      </c>
      <c r="BE453" s="55">
        <f t="shared" si="151"/>
        <v>8.6433956446808775</v>
      </c>
      <c r="BF453" s="56">
        <f t="shared" si="152"/>
        <v>8.0867624863725437E-2</v>
      </c>
      <c r="BG453" s="56">
        <f t="shared" si="155"/>
        <v>2.1186345012456328E-5</v>
      </c>
      <c r="BH453" s="56">
        <f t="shared" si="156"/>
        <v>4.6028626975455535E-3</v>
      </c>
      <c r="BI453" s="56">
        <f t="shared" si="153"/>
        <v>4.5107225564860812E-3</v>
      </c>
      <c r="BJ453" s="57">
        <f t="shared" si="157"/>
        <v>2.2143344439391168E-2</v>
      </c>
      <c r="BK453" s="57">
        <f t="shared" si="158"/>
        <v>1.260365619625062E-3</v>
      </c>
      <c r="BL453" s="58">
        <f t="shared" si="159"/>
        <v>39.070020550121086</v>
      </c>
      <c r="BM453" s="58">
        <f t="shared" si="159"/>
        <v>2.2238063809285706</v>
      </c>
    </row>
    <row r="454" spans="47:65" x14ac:dyDescent="0.2">
      <c r="AU454" s="2">
        <v>-1183</v>
      </c>
      <c r="AV454" s="53">
        <v>452</v>
      </c>
      <c r="AW454" s="4" t="s">
        <v>1466</v>
      </c>
      <c r="AX454" t="s">
        <v>65</v>
      </c>
      <c r="AY454" s="4">
        <v>49847</v>
      </c>
      <c r="AZ454" s="9">
        <v>22.314438679592509</v>
      </c>
      <c r="BA454" s="7">
        <f t="shared" si="154"/>
        <v>5.7192852490563413E-4</v>
      </c>
      <c r="BB454" s="54">
        <f t="shared" si="148"/>
        <v>157.18795893024605</v>
      </c>
      <c r="BC454" s="55">
        <f t="shared" si="149"/>
        <v>79.642120326812176</v>
      </c>
      <c r="BD454" s="55">
        <f t="shared" si="150"/>
        <v>8.9242434036063898</v>
      </c>
      <c r="BE454" s="55">
        <f t="shared" si="151"/>
        <v>8.7455978301688351</v>
      </c>
      <c r="BF454" s="56">
        <f t="shared" si="152"/>
        <v>8.2031565035551007E-2</v>
      </c>
      <c r="BG454" s="56">
        <f t="shared" si="155"/>
        <v>2.1690334968814629E-5</v>
      </c>
      <c r="BH454" s="56">
        <f t="shared" si="156"/>
        <v>4.6572883708027599E-3</v>
      </c>
      <c r="BI454" s="56">
        <f t="shared" si="153"/>
        <v>4.5640587361953158E-3</v>
      </c>
      <c r="BJ454" s="57">
        <f t="shared" si="157"/>
        <v>1.3010901685985116E-2</v>
      </c>
      <c r="BK454" s="57">
        <f t="shared" si="158"/>
        <v>7.3868542053946533E-4</v>
      </c>
      <c r="BL454" s="58">
        <f t="shared" si="159"/>
        <v>22.956613335371131</v>
      </c>
      <c r="BM454" s="58">
        <f t="shared" si="159"/>
        <v>1.3033466845781161</v>
      </c>
    </row>
    <row r="455" spans="47:65" x14ac:dyDescent="0.2">
      <c r="AU455" s="2">
        <v>-1182</v>
      </c>
      <c r="AV455" s="53">
        <v>453</v>
      </c>
      <c r="AW455" s="4" t="s">
        <v>1494</v>
      </c>
      <c r="AX455" t="s">
        <v>89</v>
      </c>
      <c r="AY455" s="4">
        <v>19241</v>
      </c>
      <c r="AZ455" s="9">
        <v>22.314982565807149</v>
      </c>
      <c r="BA455" s="7">
        <f t="shared" si="154"/>
        <v>5.7194246493992866E-4</v>
      </c>
      <c r="BB455" s="54">
        <f t="shared" si="148"/>
        <v>157.24359630682648</v>
      </c>
      <c r="BC455" s="55">
        <f t="shared" si="149"/>
        <v>79.688488337611275</v>
      </c>
      <c r="BD455" s="55">
        <f t="shared" si="150"/>
        <v>8.926840893485851</v>
      </c>
      <c r="BE455" s="55">
        <f t="shared" si="151"/>
        <v>8.7481433234758104</v>
      </c>
      <c r="BF455" s="56">
        <f t="shared" si="152"/>
        <v>8.2060600472529791E-2</v>
      </c>
      <c r="BG455" s="56">
        <f t="shared" si="155"/>
        <v>2.1702963182150818E-5</v>
      </c>
      <c r="BH455" s="56">
        <f t="shared" si="156"/>
        <v>4.6586439209442502E-3</v>
      </c>
      <c r="BI455" s="56">
        <f t="shared" si="153"/>
        <v>4.5653871509235954E-3</v>
      </c>
      <c r="BJ455" s="57">
        <f t="shared" si="157"/>
        <v>5.0240008279773913E-3</v>
      </c>
      <c r="BK455" s="57">
        <f t="shared" si="158"/>
        <v>2.8521642275711483E-4</v>
      </c>
      <c r="BL455" s="58">
        <f t="shared" si="159"/>
        <v>8.8644159481041314</v>
      </c>
      <c r="BM455" s="58">
        <f t="shared" si="159"/>
        <v>0.50323976709359663</v>
      </c>
    </row>
    <row r="456" spans="47:65" x14ac:dyDescent="0.2">
      <c r="AU456" s="2">
        <v>-1181</v>
      </c>
      <c r="AV456" s="53">
        <v>454</v>
      </c>
      <c r="AW456" s="4" t="s">
        <v>2642</v>
      </c>
      <c r="AX456" t="s">
        <v>2643</v>
      </c>
      <c r="AY456" s="4">
        <v>22993</v>
      </c>
      <c r="AZ456" s="9">
        <v>22.315268254381557</v>
      </c>
      <c r="BA456" s="7">
        <f t="shared" si="154"/>
        <v>5.7194978725922556E-4</v>
      </c>
      <c r="BB456" s="54">
        <f t="shared" si="148"/>
        <v>157.27282899032116</v>
      </c>
      <c r="BC456" s="55">
        <f t="shared" si="149"/>
        <v>79.712854746494102</v>
      </c>
      <c r="BD456" s="55">
        <f t="shared" si="150"/>
        <v>8.9282055725937504</v>
      </c>
      <c r="BE456" s="55">
        <f t="shared" si="151"/>
        <v>8.7494806844267785</v>
      </c>
      <c r="BF456" s="56">
        <f t="shared" si="152"/>
        <v>8.2075856111661322E-2</v>
      </c>
      <c r="BG456" s="56">
        <f t="shared" si="155"/>
        <v>2.1709599313490455E-5</v>
      </c>
      <c r="BH456" s="56">
        <f t="shared" si="156"/>
        <v>4.6593561050310862E-3</v>
      </c>
      <c r="BI456" s="56">
        <f t="shared" si="153"/>
        <v>4.5660850785038763E-3</v>
      </c>
      <c r="BJ456" s="57">
        <f t="shared" si="157"/>
        <v>6.004798421475715E-3</v>
      </c>
      <c r="BK456" s="57">
        <f t="shared" si="158"/>
        <v>3.4088580381690011E-4</v>
      </c>
      <c r="BL456" s="58">
        <f t="shared" si="159"/>
        <v>10.594948670402445</v>
      </c>
      <c r="BM456" s="58">
        <f t="shared" si="159"/>
        <v>0.6014635863532195</v>
      </c>
    </row>
    <row r="457" spans="47:65" x14ac:dyDescent="0.2">
      <c r="AU457" s="2">
        <v>-1180</v>
      </c>
      <c r="AV457" s="53">
        <v>455</v>
      </c>
      <c r="AW457" s="4" t="s">
        <v>3061</v>
      </c>
      <c r="AX457" t="s">
        <v>1218</v>
      </c>
      <c r="AY457" s="4">
        <v>52542</v>
      </c>
      <c r="AZ457" s="9">
        <v>22.319317100771002</v>
      </c>
      <c r="BA457" s="7">
        <f t="shared" si="154"/>
        <v>5.7205356090893886E-4</v>
      </c>
      <c r="BB457" s="54">
        <f t="shared" si="148"/>
        <v>157.68770633658184</v>
      </c>
      <c r="BC457" s="55">
        <f t="shared" si="149"/>
        <v>80.058964482703814</v>
      </c>
      <c r="BD457" s="55">
        <f t="shared" si="150"/>
        <v>8.9475675176387366</v>
      </c>
      <c r="BE457" s="55">
        <f t="shared" si="151"/>
        <v>8.7684550419061864</v>
      </c>
      <c r="BF457" s="56">
        <f t="shared" si="152"/>
        <v>8.2292367848585665E-2</v>
      </c>
      <c r="BG457" s="56">
        <f t="shared" si="155"/>
        <v>2.1803861446185094E-5</v>
      </c>
      <c r="BH457" s="56">
        <f t="shared" si="156"/>
        <v>4.669460509115062E-3</v>
      </c>
      <c r="BI457" s="56">
        <f t="shared" si="153"/>
        <v>4.575987212548792E-3</v>
      </c>
      <c r="BJ457" s="57">
        <f t="shared" si="157"/>
        <v>1.3757943796891438E-2</v>
      </c>
      <c r="BK457" s="57">
        <f t="shared" si="158"/>
        <v>7.8065775631115501E-4</v>
      </c>
      <c r="BL457" s="58">
        <f t="shared" si="159"/>
        <v>24.274704679016349</v>
      </c>
      <c r="BM457" s="58">
        <f t="shared" si="159"/>
        <v>1.3774032493226598</v>
      </c>
    </row>
    <row r="458" spans="47:65" x14ac:dyDescent="0.2">
      <c r="AU458" s="2">
        <v>-1179</v>
      </c>
      <c r="AV458" s="53">
        <v>456</v>
      </c>
      <c r="AW458" s="4" t="s">
        <v>3054</v>
      </c>
      <c r="AX458" t="s">
        <v>1212</v>
      </c>
      <c r="AY458" s="4">
        <v>53220</v>
      </c>
      <c r="AZ458" s="9">
        <v>22.33288956775009</v>
      </c>
      <c r="BA458" s="7">
        <f t="shared" si="154"/>
        <v>5.7240142899247614E-4</v>
      </c>
      <c r="BB458" s="54">
        <f t="shared" si="148"/>
        <v>159.08645102378912</v>
      </c>
      <c r="BC458" s="55">
        <f t="shared" si="149"/>
        <v>81.229925052387728</v>
      </c>
      <c r="BD458" s="55">
        <f t="shared" si="150"/>
        <v>9.0127645621300747</v>
      </c>
      <c r="BE458" s="55">
        <f t="shared" si="151"/>
        <v>8.8323469714569267</v>
      </c>
      <c r="BF458" s="56">
        <f t="shared" si="152"/>
        <v>8.3022329714352305E-2</v>
      </c>
      <c r="BG458" s="56">
        <f t="shared" si="155"/>
        <v>2.212276966820958E-5</v>
      </c>
      <c r="BH458" s="56">
        <f t="shared" si="156"/>
        <v>4.703484842987121E-3</v>
      </c>
      <c r="BI458" s="56">
        <f t="shared" si="153"/>
        <v>4.6093304470423927E-3</v>
      </c>
      <c r="BJ458" s="57">
        <f t="shared" si="157"/>
        <v>1.4059088295454762E-2</v>
      </c>
      <c r="BK458" s="57">
        <f t="shared" si="158"/>
        <v>7.9649305110330573E-4</v>
      </c>
      <c r="BL458" s="58">
        <f t="shared" si="159"/>
        <v>24.806048161462236</v>
      </c>
      <c r="BM458" s="58">
        <f t="shared" si="159"/>
        <v>1.4053432605815714</v>
      </c>
    </row>
    <row r="459" spans="47:65" x14ac:dyDescent="0.2">
      <c r="AU459" s="2">
        <v>-1178</v>
      </c>
      <c r="AV459" s="53">
        <v>457</v>
      </c>
      <c r="AW459" s="4" t="s">
        <v>2781</v>
      </c>
      <c r="AX459" t="s">
        <v>1027</v>
      </c>
      <c r="AY459" s="4">
        <v>70672</v>
      </c>
      <c r="AZ459" s="9">
        <v>22.334809019287725</v>
      </c>
      <c r="BA459" s="7">
        <f t="shared" si="154"/>
        <v>5.7245062534925259E-4</v>
      </c>
      <c r="BB459" s="54">
        <f t="shared" si="148"/>
        <v>159.28526388884367</v>
      </c>
      <c r="BC459" s="55">
        <f t="shared" si="149"/>
        <v>81.396869084634559</v>
      </c>
      <c r="BD459" s="55">
        <f t="shared" si="150"/>
        <v>9.0220213413976449</v>
      </c>
      <c r="BE459" s="55">
        <f t="shared" si="151"/>
        <v>8.8414184484455642</v>
      </c>
      <c r="BF459" s="56">
        <f t="shared" si="152"/>
        <v>8.312608403866957E-2</v>
      </c>
      <c r="BG459" s="56">
        <f t="shared" si="155"/>
        <v>2.2168236463489816E-5</v>
      </c>
      <c r="BH459" s="56">
        <f t="shared" si="156"/>
        <v>4.7083156716059109E-3</v>
      </c>
      <c r="BI459" s="56">
        <f t="shared" si="153"/>
        <v>4.61406457209655E-3</v>
      </c>
      <c r="BJ459" s="57">
        <f t="shared" si="157"/>
        <v>1.8692701720876989E-2</v>
      </c>
      <c r="BK459" s="57">
        <f t="shared" si="158"/>
        <v>1.0587668296285658E-3</v>
      </c>
      <c r="BL459" s="58">
        <f t="shared" si="159"/>
        <v>32.981659223651945</v>
      </c>
      <c r="BM459" s="58">
        <f t="shared" si="159"/>
        <v>1.8681027116115245</v>
      </c>
    </row>
    <row r="460" spans="47:65" x14ac:dyDescent="0.2">
      <c r="AU460" s="2">
        <v>-1177</v>
      </c>
      <c r="AV460" s="53">
        <v>458</v>
      </c>
      <c r="AW460" s="4" t="s">
        <v>2494</v>
      </c>
      <c r="AX460" t="s">
        <v>805</v>
      </c>
      <c r="AY460" s="4">
        <v>59904</v>
      </c>
      <c r="AZ460" s="9">
        <v>22.337497412725831</v>
      </c>
      <c r="BA460" s="7">
        <f t="shared" si="154"/>
        <v>5.7251953001297726E-4</v>
      </c>
      <c r="BB460" s="54">
        <f t="shared" si="148"/>
        <v>159.56413998490279</v>
      </c>
      <c r="BC460" s="55">
        <f t="shared" si="149"/>
        <v>81.631255037918578</v>
      </c>
      <c r="BD460" s="55">
        <f t="shared" si="150"/>
        <v>9.0350016623085683</v>
      </c>
      <c r="BE460" s="55">
        <f t="shared" si="151"/>
        <v>8.8541389291921551</v>
      </c>
      <c r="BF460" s="56">
        <f t="shared" si="152"/>
        <v>8.3271620902729729E-2</v>
      </c>
      <c r="BG460" s="56">
        <f t="shared" si="155"/>
        <v>2.2232070899562171E-5</v>
      </c>
      <c r="BH460" s="56">
        <f t="shared" si="156"/>
        <v>4.7150897021755768E-3</v>
      </c>
      <c r="BI460" s="56">
        <f t="shared" si="153"/>
        <v>4.6207030000699088E-3</v>
      </c>
      <c r="BJ460" s="57">
        <f t="shared" si="157"/>
        <v>1.5872312785605417E-2</v>
      </c>
      <c r="BK460" s="57">
        <f t="shared" si="158"/>
        <v>8.9873810253481609E-4</v>
      </c>
      <c r="BL460" s="58">
        <f t="shared" si="159"/>
        <v>28.005326314140277</v>
      </c>
      <c r="BM460" s="58">
        <f t="shared" si="159"/>
        <v>1.5857458312732431</v>
      </c>
    </row>
    <row r="461" spans="47:65" x14ac:dyDescent="0.2">
      <c r="AU461" s="2">
        <v>-1176</v>
      </c>
      <c r="AV461" s="53">
        <v>459</v>
      </c>
      <c r="AW461" s="4" t="s">
        <v>2236</v>
      </c>
      <c r="AX461" t="s">
        <v>2237</v>
      </c>
      <c r="AY461" s="4">
        <v>42373</v>
      </c>
      <c r="AZ461" s="9">
        <v>22.343193669082943</v>
      </c>
      <c r="BA461" s="7">
        <f t="shared" si="154"/>
        <v>5.7266552747868029E-4</v>
      </c>
      <c r="BB461" s="54">
        <f t="shared" si="148"/>
        <v>160.15664627116644</v>
      </c>
      <c r="BC461" s="55">
        <f t="shared" si="149"/>
        <v>82.130059104318974</v>
      </c>
      <c r="BD461" s="55">
        <f t="shared" si="150"/>
        <v>9.0625636055323202</v>
      </c>
      <c r="BE461" s="55">
        <f t="shared" si="151"/>
        <v>8.8811491372234013</v>
      </c>
      <c r="BF461" s="56">
        <f t="shared" si="152"/>
        <v>8.3580831724515248E-2</v>
      </c>
      <c r="BG461" s="56">
        <f t="shared" si="155"/>
        <v>2.2367918956339973E-5</v>
      </c>
      <c r="BH461" s="56">
        <f t="shared" si="156"/>
        <v>4.7294734333052316E-3</v>
      </c>
      <c r="BI461" s="56">
        <f t="shared" si="153"/>
        <v>4.6347987975586249E-3</v>
      </c>
      <c r="BJ461" s="57">
        <f t="shared" si="157"/>
        <v>1.1268945376448399E-2</v>
      </c>
      <c r="BK461" s="57">
        <f t="shared" si="158"/>
        <v>6.3766029458699593E-4</v>
      </c>
      <c r="BL461" s="58">
        <f t="shared" si="159"/>
        <v>19.883081737770972</v>
      </c>
      <c r="BM461" s="58">
        <f t="shared" si="159"/>
        <v>1.1250965671288267</v>
      </c>
    </row>
    <row r="462" spans="47:65" x14ac:dyDescent="0.2">
      <c r="AU462" s="2">
        <v>-1175</v>
      </c>
      <c r="AV462" s="53">
        <v>460</v>
      </c>
      <c r="AW462" s="4" t="s">
        <v>3092</v>
      </c>
      <c r="AX462" t="s">
        <v>1239</v>
      </c>
      <c r="AY462" s="4">
        <v>36637</v>
      </c>
      <c r="AZ462" s="9">
        <v>22.348093081254753</v>
      </c>
      <c r="BA462" s="7">
        <f t="shared" si="154"/>
        <v>5.7279110149004414E-4</v>
      </c>
      <c r="BB462" s="54">
        <f t="shared" si="148"/>
        <v>160.66802722914986</v>
      </c>
      <c r="BC462" s="55">
        <f t="shared" si="149"/>
        <v>82.561465402843154</v>
      </c>
      <c r="BD462" s="55">
        <f t="shared" si="150"/>
        <v>9.0863339913764545</v>
      </c>
      <c r="BE462" s="55">
        <f t="shared" si="151"/>
        <v>8.9044436872999633</v>
      </c>
      <c r="BF462" s="56">
        <f t="shared" si="152"/>
        <v>8.3847705730630287E-2</v>
      </c>
      <c r="BG462" s="56">
        <f t="shared" si="155"/>
        <v>2.2485411397327401E-5</v>
      </c>
      <c r="BH462" s="56">
        <f t="shared" si="156"/>
        <v>4.7418784671612365E-3</v>
      </c>
      <c r="BI462" s="56">
        <f t="shared" si="153"/>
        <v>4.6469555073510097E-3</v>
      </c>
      <c r="BJ462" s="57">
        <f t="shared" si="157"/>
        <v>9.7745879896968795E-3</v>
      </c>
      <c r="BK462" s="57">
        <f t="shared" si="158"/>
        <v>5.5278684025798514E-4</v>
      </c>
      <c r="BL462" s="58">
        <f t="shared" si="159"/>
        <v>17.246417074516859</v>
      </c>
      <c r="BM462" s="58">
        <f t="shared" si="159"/>
        <v>0.97534468055764945</v>
      </c>
    </row>
    <row r="463" spans="47:65" x14ac:dyDescent="0.2">
      <c r="AU463" s="2">
        <v>-1174</v>
      </c>
      <c r="AV463" s="53">
        <v>461</v>
      </c>
      <c r="AW463" s="4" t="s">
        <v>2668</v>
      </c>
      <c r="AX463" t="s">
        <v>938</v>
      </c>
      <c r="AY463" s="4">
        <v>50449</v>
      </c>
      <c r="AZ463" s="9">
        <v>22.350001420213541</v>
      </c>
      <c r="BA463" s="7">
        <f t="shared" si="154"/>
        <v>5.7284001302671287E-4</v>
      </c>
      <c r="BB463" s="54">
        <f t="shared" si="148"/>
        <v>160.86765359233326</v>
      </c>
      <c r="BC463" s="55">
        <f t="shared" si="149"/>
        <v>82.730097733672395</v>
      </c>
      <c r="BD463" s="55">
        <f t="shared" si="150"/>
        <v>9.0956087060554882</v>
      </c>
      <c r="BE463" s="55">
        <f t="shared" si="151"/>
        <v>8.9135327406688578</v>
      </c>
      <c r="BF463" s="56">
        <f t="shared" si="152"/>
        <v>8.3951884594620607E-2</v>
      </c>
      <c r="BG463" s="56">
        <f t="shared" si="155"/>
        <v>2.2531337996559474E-5</v>
      </c>
      <c r="BH463" s="56">
        <f t="shared" si="156"/>
        <v>4.7467186557199146E-3</v>
      </c>
      <c r="BI463" s="56">
        <f t="shared" si="153"/>
        <v>4.6516988049777053E-3</v>
      </c>
      <c r="BJ463" s="57">
        <f t="shared" si="157"/>
        <v>1.3476291115743465E-2</v>
      </c>
      <c r="BK463" s="57">
        <f t="shared" si="158"/>
        <v>7.6196219725019657E-4</v>
      </c>
      <c r="BL463" s="58">
        <f t="shared" si="159"/>
        <v>23.777752826482615</v>
      </c>
      <c r="BM463" s="58">
        <f t="shared" si="159"/>
        <v>1.3444165485689894</v>
      </c>
    </row>
    <row r="464" spans="47:65" x14ac:dyDescent="0.2">
      <c r="AU464" s="2">
        <v>-1173</v>
      </c>
      <c r="AV464" s="53">
        <v>462</v>
      </c>
      <c r="AW464" s="4" t="s">
        <v>1617</v>
      </c>
      <c r="AX464" t="s">
        <v>1618</v>
      </c>
      <c r="AY464" s="4">
        <v>37426</v>
      </c>
      <c r="AZ464" s="9">
        <v>22.353317001497956</v>
      </c>
      <c r="BA464" s="7">
        <f t="shared" si="154"/>
        <v>5.7292499278087242E-4</v>
      </c>
      <c r="BB464" s="54">
        <f t="shared" si="148"/>
        <v>161.21507795715712</v>
      </c>
      <c r="BC464" s="55">
        <f t="shared" si="149"/>
        <v>83.023882459953697</v>
      </c>
      <c r="BD464" s="55">
        <f t="shared" si="150"/>
        <v>9.1117442051428164</v>
      </c>
      <c r="BE464" s="55">
        <f t="shared" si="151"/>
        <v>8.9293452392107291</v>
      </c>
      <c r="BF464" s="56">
        <f t="shared" si="152"/>
        <v>8.4133194693510577E-2</v>
      </c>
      <c r="BG464" s="56">
        <f t="shared" si="155"/>
        <v>2.2611349541902903E-5</v>
      </c>
      <c r="BH464" s="56">
        <f t="shared" si="156"/>
        <v>4.7551392768143928E-3</v>
      </c>
      <c r="BI464" s="56">
        <f t="shared" si="153"/>
        <v>4.659950862014023E-3</v>
      </c>
      <c r="BJ464" s="57">
        <f t="shared" si="157"/>
        <v>1.0019087410949527E-2</v>
      </c>
      <c r="BK464" s="57">
        <f t="shared" si="158"/>
        <v>5.6627061695682277E-4</v>
      </c>
      <c r="BL464" s="58">
        <f t="shared" si="159"/>
        <v>17.677815205859677</v>
      </c>
      <c r="BM464" s="58">
        <f t="shared" si="159"/>
        <v>0.99913564104958286</v>
      </c>
    </row>
    <row r="465" spans="47:65" x14ac:dyDescent="0.2">
      <c r="AU465" s="2">
        <v>-1172</v>
      </c>
      <c r="AV465" s="53">
        <v>463</v>
      </c>
      <c r="AW465" s="4" t="s">
        <v>2477</v>
      </c>
      <c r="AX465" t="s">
        <v>2478</v>
      </c>
      <c r="AY465" s="4">
        <v>19420</v>
      </c>
      <c r="AZ465" s="9">
        <v>22.356848824130765</v>
      </c>
      <c r="BA465" s="7">
        <f t="shared" si="154"/>
        <v>5.7301551489247985E-4</v>
      </c>
      <c r="BB465" s="54">
        <f t="shared" si="148"/>
        <v>161.58598668383391</v>
      </c>
      <c r="BC465" s="55">
        <f t="shared" si="149"/>
        <v>83.337948043179196</v>
      </c>
      <c r="BD465" s="55">
        <f t="shared" si="150"/>
        <v>9.1289620463215417</v>
      </c>
      <c r="BE465" s="55">
        <f t="shared" si="151"/>
        <v>8.9462184135116445</v>
      </c>
      <c r="BF465" s="56">
        <f t="shared" si="152"/>
        <v>8.432676055912601E-2</v>
      </c>
      <c r="BG465" s="56">
        <f t="shared" si="155"/>
        <v>2.2696884528596094E-5</v>
      </c>
      <c r="BH465" s="56">
        <f t="shared" si="156"/>
        <v>4.7641247389836562E-3</v>
      </c>
      <c r="BI465" s="56">
        <f t="shared" si="153"/>
        <v>4.6687564531321252E-3</v>
      </c>
      <c r="BJ465" s="57">
        <f t="shared" si="157"/>
        <v>5.2107713280301459E-3</v>
      </c>
      <c r="BK465" s="57">
        <f t="shared" si="158"/>
        <v>2.9438774154794161E-4</v>
      </c>
      <c r="BL465" s="58">
        <f t="shared" si="159"/>
        <v>9.1939563793244741</v>
      </c>
      <c r="BM465" s="58">
        <f t="shared" si="159"/>
        <v>0.51942176772182536</v>
      </c>
    </row>
    <row r="466" spans="47:65" x14ac:dyDescent="0.2">
      <c r="AU466" s="2">
        <v>-1171</v>
      </c>
      <c r="AV466" s="53">
        <v>464</v>
      </c>
      <c r="AW466" s="4" t="s">
        <v>2414</v>
      </c>
      <c r="AX466" t="s">
        <v>745</v>
      </c>
      <c r="AY466" s="4">
        <v>150998</v>
      </c>
      <c r="AZ466" s="9">
        <v>22.357931737075479</v>
      </c>
      <c r="BA466" s="7">
        <f t="shared" si="154"/>
        <v>5.7304327041041885E-4</v>
      </c>
      <c r="BB466" s="54">
        <f t="shared" si="148"/>
        <v>161.69988405570476</v>
      </c>
      <c r="BC466" s="55">
        <f t="shared" si="149"/>
        <v>83.434477659740992</v>
      </c>
      <c r="BD466" s="55">
        <f t="shared" si="150"/>
        <v>9.1342475146965985</v>
      </c>
      <c r="BE466" s="55">
        <f t="shared" si="151"/>
        <v>8.9513980773399133</v>
      </c>
      <c r="BF466" s="56">
        <f t="shared" si="152"/>
        <v>8.4386200097189751E-2</v>
      </c>
      <c r="BG466" s="56">
        <f t="shared" si="155"/>
        <v>2.2723174131497449E-5</v>
      </c>
      <c r="BH466" s="56">
        <f t="shared" si="156"/>
        <v>4.7668830624945533E-3</v>
      </c>
      <c r="BI466" s="56">
        <f t="shared" si="153"/>
        <v>4.6714595605016592E-3</v>
      </c>
      <c r="BJ466" s="57">
        <f t="shared" si="157"/>
        <v>4.0544317882177855E-2</v>
      </c>
      <c r="BK466" s="57">
        <f t="shared" si="158"/>
        <v>2.2903036511936143E-3</v>
      </c>
      <c r="BL466" s="58">
        <f t="shared" si="159"/>
        <v>71.53695039984143</v>
      </c>
      <c r="BM466" s="58">
        <f t="shared" si="159"/>
        <v>4.0410431659533081</v>
      </c>
    </row>
    <row r="467" spans="47:65" x14ac:dyDescent="0.2">
      <c r="AU467" s="2">
        <v>-1170</v>
      </c>
      <c r="AV467" s="53">
        <v>465</v>
      </c>
      <c r="AW467" s="4" t="s">
        <v>1696</v>
      </c>
      <c r="AX467" t="s">
        <v>1697</v>
      </c>
      <c r="AY467" s="4">
        <v>12856</v>
      </c>
      <c r="AZ467" s="9">
        <v>22.358969138943543</v>
      </c>
      <c r="BA467" s="7">
        <f t="shared" si="154"/>
        <v>5.7306985946016628E-4</v>
      </c>
      <c r="BB467" s="54">
        <f t="shared" si="148"/>
        <v>161.80907001417856</v>
      </c>
      <c r="BC467" s="55">
        <f t="shared" si="149"/>
        <v>83.527052834165175</v>
      </c>
      <c r="BD467" s="55">
        <f t="shared" si="150"/>
        <v>9.1393135865974742</v>
      </c>
      <c r="BE467" s="55">
        <f t="shared" si="151"/>
        <v>8.9563627365743166</v>
      </c>
      <c r="BF467" s="56">
        <f t="shared" si="152"/>
        <v>8.4443180893393741E-2</v>
      </c>
      <c r="BG467" s="56">
        <f t="shared" si="155"/>
        <v>2.2748386751840429E-5</v>
      </c>
      <c r="BH467" s="56">
        <f t="shared" si="156"/>
        <v>4.7695268897282074E-3</v>
      </c>
      <c r="BI467" s="56">
        <f t="shared" si="153"/>
        <v>4.674050463581313E-3</v>
      </c>
      <c r="BJ467" s="57">
        <f t="shared" si="157"/>
        <v>3.4542822447829174E-3</v>
      </c>
      <c r="BK467" s="57">
        <f t="shared" si="158"/>
        <v>1.9510506208905441E-4</v>
      </c>
      <c r="BL467" s="58">
        <f t="shared" si="159"/>
        <v>6.0947829565215255</v>
      </c>
      <c r="BM467" s="58">
        <f t="shared" si="159"/>
        <v>0.34424604675758702</v>
      </c>
    </row>
    <row r="468" spans="47:65" x14ac:dyDescent="0.2">
      <c r="AU468" s="2">
        <v>-1169</v>
      </c>
      <c r="AV468" s="53">
        <v>466</v>
      </c>
      <c r="AW468" s="4" t="s">
        <v>2098</v>
      </c>
      <c r="AX468" t="s">
        <v>506</v>
      </c>
      <c r="AY468" s="4">
        <v>50967</v>
      </c>
      <c r="AZ468" s="9">
        <v>22.364919766494179</v>
      </c>
      <c r="BA468" s="7">
        <f t="shared" si="154"/>
        <v>5.7322237656741535E-4</v>
      </c>
      <c r="BB468" s="54">
        <f t="shared" si="148"/>
        <v>162.43679617755333</v>
      </c>
      <c r="BC468" s="55">
        <f t="shared" si="149"/>
        <v>84.06001252240263</v>
      </c>
      <c r="BD468" s="55">
        <f t="shared" si="150"/>
        <v>9.1684247568708681</v>
      </c>
      <c r="BE468" s="55">
        <f t="shared" si="151"/>
        <v>8.9848911592161489</v>
      </c>
      <c r="BF468" s="56">
        <f t="shared" si="152"/>
        <v>8.4770771886659574E-2</v>
      </c>
      <c r="BG468" s="56">
        <f t="shared" si="155"/>
        <v>2.2893537007952404E-5</v>
      </c>
      <c r="BH468" s="56">
        <f t="shared" si="156"/>
        <v>4.7847191148438798E-3</v>
      </c>
      <c r="BI468" s="56">
        <f t="shared" si="153"/>
        <v>4.6889385706171847E-3</v>
      </c>
      <c r="BJ468" s="57">
        <f t="shared" si="157"/>
        <v>1.3747463677337727E-2</v>
      </c>
      <c r="BK468" s="57">
        <f t="shared" si="158"/>
        <v>7.759484875934135E-4</v>
      </c>
      <c r="BL468" s="58">
        <f t="shared" si="159"/>
        <v>24.256213412376301</v>
      </c>
      <c r="BM468" s="58">
        <f t="shared" si="159"/>
        <v>1.3690941510253449</v>
      </c>
    </row>
    <row r="469" spans="47:65" x14ac:dyDescent="0.2">
      <c r="AU469" s="2">
        <v>-1168</v>
      </c>
      <c r="AV469" s="53">
        <v>467</v>
      </c>
      <c r="AW469" s="4" t="s">
        <v>1421</v>
      </c>
      <c r="AX469" t="s">
        <v>1274</v>
      </c>
      <c r="AY469" s="4">
        <v>39728</v>
      </c>
      <c r="AZ469" s="9">
        <v>22.368938368701077</v>
      </c>
      <c r="BA469" s="7">
        <f t="shared" si="154"/>
        <v>5.7332537504590608E-4</v>
      </c>
      <c r="BB469" s="54">
        <f t="shared" si="148"/>
        <v>162.86209190545478</v>
      </c>
      <c r="BC469" s="55">
        <f t="shared" si="149"/>
        <v>84.421809447634615</v>
      </c>
      <c r="BD469" s="55">
        <f t="shared" si="150"/>
        <v>9.188134165739779</v>
      </c>
      <c r="BE469" s="55">
        <f t="shared" si="151"/>
        <v>9.0042060249859688</v>
      </c>
      <c r="BF469" s="56">
        <f t="shared" si="152"/>
        <v>8.4992720656782456E-2</v>
      </c>
      <c r="BG469" s="56">
        <f t="shared" si="155"/>
        <v>2.2992071507870862E-5</v>
      </c>
      <c r="BH469" s="56">
        <f t="shared" si="156"/>
        <v>4.7950048496191184E-3</v>
      </c>
      <c r="BI469" s="56">
        <f t="shared" si="153"/>
        <v>4.6990184054741839E-3</v>
      </c>
      <c r="BJ469" s="57">
        <f t="shared" si="157"/>
        <v>1.0743995203864889E-2</v>
      </c>
      <c r="BK469" s="57">
        <f t="shared" si="158"/>
        <v>6.0614025187938933E-4</v>
      </c>
      <c r="BL469" s="58">
        <f t="shared" si="159"/>
        <v>18.956852455344144</v>
      </c>
      <c r="BM469" s="58">
        <f t="shared" si="159"/>
        <v>1.0694821715844858</v>
      </c>
    </row>
    <row r="470" spans="47:65" x14ac:dyDescent="0.2">
      <c r="AU470" s="2">
        <v>-1167</v>
      </c>
      <c r="AV470" s="53">
        <v>468</v>
      </c>
      <c r="AW470" s="4" t="s">
        <v>1949</v>
      </c>
      <c r="AX470" t="s">
        <v>1950</v>
      </c>
      <c r="AY470" s="4">
        <v>14721</v>
      </c>
      <c r="AZ470" s="9">
        <v>22.36894724701563</v>
      </c>
      <c r="BA470" s="7">
        <f t="shared" si="154"/>
        <v>5.7332560260087259E-4</v>
      </c>
      <c r="BB470" s="54">
        <f t="shared" si="148"/>
        <v>162.86303274487008</v>
      </c>
      <c r="BC470" s="55">
        <f t="shared" si="149"/>
        <v>84.422610447486065</v>
      </c>
      <c r="BD470" s="55">
        <f t="shared" si="150"/>
        <v>9.1881777544563246</v>
      </c>
      <c r="BE470" s="55">
        <f t="shared" si="151"/>
        <v>9.0042487411432504</v>
      </c>
      <c r="BF470" s="56">
        <f t="shared" si="152"/>
        <v>8.4993211651959194E-2</v>
      </c>
      <c r="BG470" s="56">
        <f t="shared" si="155"/>
        <v>2.2992289658205163E-5</v>
      </c>
      <c r="BH470" s="56">
        <f t="shared" si="156"/>
        <v>4.7950275972308189E-3</v>
      </c>
      <c r="BI470" s="56">
        <f t="shared" si="153"/>
        <v>4.6990406977240173E-3</v>
      </c>
      <c r="BJ470" s="57">
        <f t="shared" si="157"/>
        <v>3.9811535210821222E-3</v>
      </c>
      <c r="BK470" s="57">
        <f t="shared" si="158"/>
        <v>2.2460312572458697E-4</v>
      </c>
      <c r="BL470" s="58">
        <f t="shared" si="159"/>
        <v>7.0244018606857788</v>
      </c>
      <c r="BM470" s="58">
        <f t="shared" si="159"/>
        <v>0.39629283470253956</v>
      </c>
    </row>
    <row r="471" spans="47:65" x14ac:dyDescent="0.2">
      <c r="AU471" s="2">
        <v>-1166</v>
      </c>
      <c r="AV471" s="53">
        <v>469</v>
      </c>
      <c r="AW471" s="4" t="s">
        <v>2183</v>
      </c>
      <c r="AX471" t="s">
        <v>575</v>
      </c>
      <c r="AY471" s="4">
        <v>47166</v>
      </c>
      <c r="AZ471" s="9">
        <v>22.376977463433775</v>
      </c>
      <c r="BA471" s="7">
        <f t="shared" si="154"/>
        <v>5.7353142045256259E-4</v>
      </c>
      <c r="BB471" s="54">
        <f t="shared" si="148"/>
        <v>163.71622847411032</v>
      </c>
      <c r="BC471" s="55">
        <f t="shared" si="149"/>
        <v>85.150141178755959</v>
      </c>
      <c r="BD471" s="55">
        <f t="shared" si="150"/>
        <v>9.2276834134443497</v>
      </c>
      <c r="BE471" s="55">
        <f t="shared" si="151"/>
        <v>9.0429635755442757</v>
      </c>
      <c r="BF471" s="56">
        <f t="shared" si="152"/>
        <v>8.5438468282476823E-2</v>
      </c>
      <c r="BG471" s="56">
        <f t="shared" si="155"/>
        <v>2.3190430857818875E-5</v>
      </c>
      <c r="BH471" s="56">
        <f t="shared" si="156"/>
        <v>4.81564438656125E-3</v>
      </c>
      <c r="BI471" s="56">
        <f t="shared" si="153"/>
        <v>4.7192447800062645E-3</v>
      </c>
      <c r="BJ471" s="57">
        <f t="shared" si="157"/>
        <v>1.2822416294567342E-2</v>
      </c>
      <c r="BK471" s="57">
        <f t="shared" si="158"/>
        <v>7.2272125533586026E-4</v>
      </c>
      <c r="BL471" s="58">
        <f t="shared" si="159"/>
        <v>22.624047126312405</v>
      </c>
      <c r="BM471" s="58">
        <f t="shared" si="159"/>
        <v>1.2751792925982117</v>
      </c>
    </row>
    <row r="472" spans="47:65" x14ac:dyDescent="0.2">
      <c r="AU472" s="2">
        <v>-1165</v>
      </c>
      <c r="AV472" s="53">
        <v>470</v>
      </c>
      <c r="AW472" s="4" t="s">
        <v>2454</v>
      </c>
      <c r="AX472" t="s">
        <v>1334</v>
      </c>
      <c r="AY472" s="4">
        <v>16466</v>
      </c>
      <c r="AZ472" s="9">
        <v>22.382995107531173</v>
      </c>
      <c r="BA472" s="7">
        <f t="shared" si="154"/>
        <v>5.7368565522232084E-4</v>
      </c>
      <c r="BB472" s="54">
        <f t="shared" si="148"/>
        <v>164.35852077942377</v>
      </c>
      <c r="BC472" s="55">
        <f t="shared" si="149"/>
        <v>85.699342406333827</v>
      </c>
      <c r="BD472" s="55">
        <f t="shared" si="150"/>
        <v>9.2573939316815199</v>
      </c>
      <c r="BE472" s="55">
        <f t="shared" si="151"/>
        <v>9.0720793483977129</v>
      </c>
      <c r="BF472" s="56">
        <f t="shared" si="152"/>
        <v>8.5773660897571088E-2</v>
      </c>
      <c r="BG472" s="56">
        <f t="shared" si="155"/>
        <v>2.3340004457096862E-5</v>
      </c>
      <c r="BH472" s="56">
        <f t="shared" si="156"/>
        <v>4.8311493929599058E-3</v>
      </c>
      <c r="BI472" s="56">
        <f t="shared" si="153"/>
        <v>4.7344394070669791E-3</v>
      </c>
      <c r="BJ472" s="57">
        <f t="shared" si="157"/>
        <v>4.4939623516507465E-3</v>
      </c>
      <c r="BK472" s="57">
        <f t="shared" si="158"/>
        <v>2.5311970201538853E-4</v>
      </c>
      <c r="BL472" s="58">
        <f t="shared" si="159"/>
        <v>7.9292087927840003</v>
      </c>
      <c r="BM472" s="58">
        <f t="shared" si="159"/>
        <v>0.44660787291866128</v>
      </c>
    </row>
    <row r="473" spans="47:65" x14ac:dyDescent="0.2">
      <c r="AU473" s="2">
        <v>-1164</v>
      </c>
      <c r="AV473" s="53">
        <v>471</v>
      </c>
      <c r="AW473" s="4" t="s">
        <v>3096</v>
      </c>
      <c r="AX473" t="s">
        <v>1242</v>
      </c>
      <c r="AY473" s="4">
        <v>30880</v>
      </c>
      <c r="AZ473" s="9">
        <v>22.386007704010733</v>
      </c>
      <c r="BA473" s="7">
        <f t="shared" si="154"/>
        <v>5.7376286934746339E-4</v>
      </c>
      <c r="BB473" s="54">
        <f t="shared" si="148"/>
        <v>164.68101577773172</v>
      </c>
      <c r="BC473" s="55">
        <f t="shared" si="149"/>
        <v>85.975584694597487</v>
      </c>
      <c r="BD473" s="55">
        <f t="shared" si="150"/>
        <v>9.2723020170072914</v>
      </c>
      <c r="BE473" s="55">
        <f t="shared" si="151"/>
        <v>9.0866890035561934</v>
      </c>
      <c r="BF473" s="56">
        <f t="shared" si="152"/>
        <v>8.5941961126210484E-2</v>
      </c>
      <c r="BG473" s="56">
        <f t="shared" si="155"/>
        <v>2.3415238362729344E-5</v>
      </c>
      <c r="BH473" s="56">
        <f t="shared" si="156"/>
        <v>4.8389294645333845E-3</v>
      </c>
      <c r="BI473" s="56">
        <f t="shared" si="153"/>
        <v>4.7420637371075602E-3</v>
      </c>
      <c r="BJ473" s="57">
        <f t="shared" si="157"/>
        <v>8.4444219026170008E-3</v>
      </c>
      <c r="BK473" s="57">
        <f t="shared" si="158"/>
        <v>4.7545996647105175E-4</v>
      </c>
      <c r="BL473" s="58">
        <f t="shared" si="159"/>
        <v>14.8994537917331</v>
      </c>
      <c r="BM473" s="58">
        <f t="shared" si="159"/>
        <v>0.8389080841708042</v>
      </c>
    </row>
    <row r="474" spans="47:65" x14ac:dyDescent="0.2">
      <c r="AU474" s="2">
        <v>-1163</v>
      </c>
      <c r="AV474" s="53">
        <v>472</v>
      </c>
      <c r="AW474" s="4" t="s">
        <v>2150</v>
      </c>
      <c r="AX474" t="s">
        <v>548</v>
      </c>
      <c r="AY474" s="4">
        <v>41986</v>
      </c>
      <c r="AZ474" s="9">
        <v>22.392433427237499</v>
      </c>
      <c r="BA474" s="7">
        <f t="shared" si="154"/>
        <v>5.7392756335833709E-4</v>
      </c>
      <c r="BB474" s="54">
        <f t="shared" si="148"/>
        <v>165.37099807983708</v>
      </c>
      <c r="BC474" s="55">
        <f t="shared" si="149"/>
        <v>86.567703187280856</v>
      </c>
      <c r="BD474" s="55">
        <f t="shared" si="150"/>
        <v>9.3041766528415</v>
      </c>
      <c r="BE474" s="55">
        <f t="shared" si="151"/>
        <v>9.1179255726838822</v>
      </c>
      <c r="BF474" s="56">
        <f t="shared" si="152"/>
        <v>8.6302041685012501E-2</v>
      </c>
      <c r="BG474" s="56">
        <f t="shared" si="155"/>
        <v>2.3576500373269544E-5</v>
      </c>
      <c r="BH474" s="56">
        <f t="shared" si="156"/>
        <v>4.8555638573979792E-3</v>
      </c>
      <c r="BI474" s="56">
        <f t="shared" si="153"/>
        <v>4.7583651425672077E-3</v>
      </c>
      <c r="BJ474" s="57">
        <f t="shared" si="157"/>
        <v>1.1529565574720598E-2</v>
      </c>
      <c r="BK474" s="57">
        <f t="shared" si="158"/>
        <v>6.4868154684497351E-4</v>
      </c>
      <c r="BL474" s="58">
        <f t="shared" si="159"/>
        <v>20.342923589129146</v>
      </c>
      <c r="BM474" s="58">
        <f t="shared" si="159"/>
        <v>1.1445426157320922</v>
      </c>
    </row>
    <row r="475" spans="47:65" x14ac:dyDescent="0.2">
      <c r="AU475" s="2">
        <v>-1162</v>
      </c>
      <c r="AV475" s="53">
        <v>473</v>
      </c>
      <c r="AW475" s="4" t="s">
        <v>2995</v>
      </c>
      <c r="AX475" t="s">
        <v>1167</v>
      </c>
      <c r="AY475" s="4">
        <v>38580</v>
      </c>
      <c r="AZ475" s="9">
        <v>22.396498170454027</v>
      </c>
      <c r="BA475" s="7">
        <f t="shared" si="154"/>
        <v>5.7403174445046885E-4</v>
      </c>
      <c r="BB475" s="54">
        <f t="shared" si="148"/>
        <v>165.80895480907975</v>
      </c>
      <c r="BC475" s="55">
        <f t="shared" si="149"/>
        <v>86.94431493906508</v>
      </c>
      <c r="BD475" s="55">
        <f t="shared" si="150"/>
        <v>9.3243935426956899</v>
      </c>
      <c r="BE475" s="55">
        <f t="shared" si="151"/>
        <v>9.1377377606806949</v>
      </c>
      <c r="BF475" s="56">
        <f t="shared" si="152"/>
        <v>8.6530597842635087E-2</v>
      </c>
      <c r="BG475" s="56">
        <f t="shared" si="155"/>
        <v>2.3679069654646974E-5</v>
      </c>
      <c r="BH475" s="56">
        <f t="shared" si="156"/>
        <v>4.8661144309034669E-3</v>
      </c>
      <c r="BI475" s="56">
        <f t="shared" si="153"/>
        <v>4.7687045146107068E-3</v>
      </c>
      <c r="BJ475" s="57">
        <f t="shared" si="157"/>
        <v>1.0622318024404704E-2</v>
      </c>
      <c r="BK475" s="57">
        <f t="shared" si="158"/>
        <v>5.9735418819368755E-4</v>
      </c>
      <c r="BL475" s="58">
        <f t="shared" si="159"/>
        <v>18.742163571512609</v>
      </c>
      <c r="BM475" s="58">
        <f t="shared" si="159"/>
        <v>1.0539799203462135</v>
      </c>
    </row>
    <row r="476" spans="47:65" x14ac:dyDescent="0.2">
      <c r="AU476" s="2">
        <v>-1161</v>
      </c>
      <c r="AV476" s="53">
        <v>474</v>
      </c>
      <c r="AW476" s="4" t="s">
        <v>1516</v>
      </c>
      <c r="AX476" t="s">
        <v>111</v>
      </c>
      <c r="AY476" s="4">
        <v>34617</v>
      </c>
      <c r="AZ476" s="9">
        <v>22.412333463301113</v>
      </c>
      <c r="BA476" s="7">
        <f t="shared" si="154"/>
        <v>5.7443760972046402E-4</v>
      </c>
      <c r="BB476" s="54">
        <f t="shared" si="148"/>
        <v>167.52622224496673</v>
      </c>
      <c r="BC476" s="55">
        <f t="shared" si="149"/>
        <v>88.426815128198015</v>
      </c>
      <c r="BD476" s="55">
        <f t="shared" si="150"/>
        <v>9.4035533245788532</v>
      </c>
      <c r="BE476" s="55">
        <f t="shared" si="151"/>
        <v>9.215312921438219</v>
      </c>
      <c r="BF476" s="56">
        <f t="shared" si="152"/>
        <v>8.7426786942036108E-2</v>
      </c>
      <c r="BG476" s="56">
        <f t="shared" si="155"/>
        <v>2.4082824923361812E-5</v>
      </c>
      <c r="BH476" s="56">
        <f t="shared" si="156"/>
        <v>4.9074254883148061E-3</v>
      </c>
      <c r="BI476" s="56">
        <f t="shared" si="153"/>
        <v>4.8091886069554527E-3</v>
      </c>
      <c r="BJ476" s="57">
        <f t="shared" si="157"/>
        <v>9.6298898150206091E-3</v>
      </c>
      <c r="BK476" s="57">
        <f t="shared" si="158"/>
        <v>5.4054333209371276E-4</v>
      </c>
      <c r="BL476" s="58">
        <f t="shared" si="159"/>
        <v>16.991109631070781</v>
      </c>
      <c r="BM476" s="58">
        <f t="shared" si="159"/>
        <v>0.95374206687420127</v>
      </c>
    </row>
    <row r="477" spans="47:65" x14ac:dyDescent="0.2">
      <c r="AU477" s="2">
        <v>-1160</v>
      </c>
      <c r="AV477" s="53">
        <v>475</v>
      </c>
      <c r="AW477" s="4" t="s">
        <v>2056</v>
      </c>
      <c r="AX477" t="s">
        <v>476</v>
      </c>
      <c r="AY477" s="4">
        <v>53146</v>
      </c>
      <c r="AZ477" s="9">
        <v>22.424301975330138</v>
      </c>
      <c r="BA477" s="7">
        <f t="shared" si="154"/>
        <v>5.7474436775853811E-4</v>
      </c>
      <c r="BB477" s="54">
        <f t="shared" si="148"/>
        <v>168.83594676702654</v>
      </c>
      <c r="BC477" s="55">
        <f t="shared" si="149"/>
        <v>89.563647476999492</v>
      </c>
      <c r="BD477" s="55">
        <f t="shared" si="150"/>
        <v>9.4638072400593352</v>
      </c>
      <c r="BE477" s="55">
        <f t="shared" si="151"/>
        <v>9.2743606735728505</v>
      </c>
      <c r="BF477" s="56">
        <f t="shared" si="152"/>
        <v>8.8110291919396969E-2</v>
      </c>
      <c r="BG477" s="56">
        <f t="shared" si="155"/>
        <v>2.4392438408636105E-5</v>
      </c>
      <c r="BH477" s="56">
        <f t="shared" si="156"/>
        <v>4.9388701550694874E-3</v>
      </c>
      <c r="BI477" s="56">
        <f t="shared" si="153"/>
        <v>4.8400038141279723E-3</v>
      </c>
      <c r="BJ477" s="57">
        <f t="shared" si="157"/>
        <v>1.489994260326891E-2</v>
      </c>
      <c r="BK477" s="57">
        <f t="shared" si="158"/>
        <v>8.3519053486795915E-4</v>
      </c>
      <c r="BL477" s="58">
        <f t="shared" si="159"/>
        <v>26.289663031649383</v>
      </c>
      <c r="BM477" s="58">
        <f t="shared" si="159"/>
        <v>1.4736216315413542</v>
      </c>
    </row>
    <row r="478" spans="47:65" x14ac:dyDescent="0.2">
      <c r="AU478" s="2">
        <v>-1159</v>
      </c>
      <c r="AV478" s="53">
        <v>476</v>
      </c>
      <c r="AW478" s="4" t="s">
        <v>2415</v>
      </c>
      <c r="AX478" t="s">
        <v>746</v>
      </c>
      <c r="AY478" s="4">
        <v>81046</v>
      </c>
      <c r="AZ478" s="9">
        <v>22.427221098486136</v>
      </c>
      <c r="BA478" s="7">
        <f t="shared" si="154"/>
        <v>5.7481918612276408E-4</v>
      </c>
      <c r="BB478" s="54">
        <f t="shared" si="148"/>
        <v>169.15693925314235</v>
      </c>
      <c r="BC478" s="55">
        <f t="shared" si="149"/>
        <v>89.8430773022409</v>
      </c>
      <c r="BD478" s="55">
        <f t="shared" si="150"/>
        <v>9.4785588198966675</v>
      </c>
      <c r="BE478" s="55">
        <f t="shared" si="151"/>
        <v>9.2888169561709706</v>
      </c>
      <c r="BF478" s="56">
        <f t="shared" si="152"/>
        <v>8.8277808033098842E-2</v>
      </c>
      <c r="BG478" s="56">
        <f t="shared" si="155"/>
        <v>2.4468540432097809E-5</v>
      </c>
      <c r="BH478" s="56">
        <f t="shared" si="156"/>
        <v>4.9465685512381013E-3</v>
      </c>
      <c r="BI478" s="56">
        <f t="shared" si="153"/>
        <v>4.8475481037425746E-3</v>
      </c>
      <c r="BJ478" s="57">
        <f t="shared" si="157"/>
        <v>2.2765149062456601E-2</v>
      </c>
      <c r="BK478" s="57">
        <f t="shared" si="158"/>
        <v>1.2756249042157192E-3</v>
      </c>
      <c r="BL478" s="58">
        <f t="shared" si="159"/>
        <v>40.167141153010228</v>
      </c>
      <c r="BM478" s="58">
        <f t="shared" si="159"/>
        <v>2.2507300718899308</v>
      </c>
    </row>
    <row r="479" spans="47:65" x14ac:dyDescent="0.2">
      <c r="AU479" s="2">
        <v>-1158</v>
      </c>
      <c r="AV479" s="53">
        <v>477</v>
      </c>
      <c r="AW479" s="4" t="s">
        <v>2739</v>
      </c>
      <c r="AX479" t="s">
        <v>2740</v>
      </c>
      <c r="AY479" s="4">
        <v>37206</v>
      </c>
      <c r="AZ479" s="9">
        <v>22.429836459701907</v>
      </c>
      <c r="BA479" s="7">
        <f t="shared" si="154"/>
        <v>5.7488621893966385E-4</v>
      </c>
      <c r="BB479" s="54">
        <f t="shared" si="148"/>
        <v>169.44504781176954</v>
      </c>
      <c r="BC479" s="55">
        <f t="shared" si="149"/>
        <v>90.094152219891569</v>
      </c>
      <c r="BD479" s="55">
        <f t="shared" si="150"/>
        <v>9.4917939410783436</v>
      </c>
      <c r="BE479" s="55">
        <f t="shared" si="151"/>
        <v>9.3017871365945251</v>
      </c>
      <c r="BF479" s="56">
        <f t="shared" si="152"/>
        <v>8.8428163035639495E-2</v>
      </c>
      <c r="BG479" s="56">
        <f t="shared" si="155"/>
        <v>2.4536920066439933E-5</v>
      </c>
      <c r="BH479" s="56">
        <f t="shared" si="156"/>
        <v>4.953475554238653E-3</v>
      </c>
      <c r="BI479" s="56">
        <f t="shared" si="153"/>
        <v>4.8543168423036704E-3</v>
      </c>
      <c r="BJ479" s="57">
        <f t="shared" si="157"/>
        <v>1.0468656675853028E-2</v>
      </c>
      <c r="BK479" s="57">
        <f t="shared" si="158"/>
        <v>5.8642216630300746E-4</v>
      </c>
      <c r="BL479" s="58">
        <f t="shared" si="159"/>
        <v>18.47104138118107</v>
      </c>
      <c r="BM479" s="58">
        <f t="shared" si="159"/>
        <v>1.0346913110265008</v>
      </c>
    </row>
    <row r="480" spans="47:65" x14ac:dyDescent="0.2">
      <c r="AU480" s="2">
        <v>-1157</v>
      </c>
      <c r="AV480" s="53">
        <v>478</v>
      </c>
      <c r="AW480" s="4" t="s">
        <v>3257</v>
      </c>
      <c r="AX480" t="s">
        <v>3258</v>
      </c>
      <c r="AY480" s="5">
        <v>10728.199999999999</v>
      </c>
      <c r="AZ480" s="9">
        <v>22.433321909650747</v>
      </c>
      <c r="BA480" s="7">
        <f t="shared" si="154"/>
        <v>5.7497555249971864E-4</v>
      </c>
      <c r="BB480" s="54">
        <f t="shared" si="148"/>
        <v>169.8297684117685</v>
      </c>
      <c r="BC480" s="55">
        <f t="shared" si="149"/>
        <v>90.429820154334024</v>
      </c>
      <c r="BD480" s="55">
        <f t="shared" si="150"/>
        <v>9.5094595090538157</v>
      </c>
      <c r="BE480" s="55">
        <f t="shared" si="151"/>
        <v>9.3190990750937086</v>
      </c>
      <c r="BF480" s="56">
        <f t="shared" si="152"/>
        <v>8.8628936893472565E-2</v>
      </c>
      <c r="BG480" s="56">
        <f t="shared" si="155"/>
        <v>2.4628338400186865E-5</v>
      </c>
      <c r="BH480" s="56">
        <f t="shared" si="156"/>
        <v>4.9626946712634729E-3</v>
      </c>
      <c r="BI480" s="56">
        <f t="shared" si="153"/>
        <v>4.8633514109726241E-3</v>
      </c>
      <c r="BJ480" s="57">
        <f t="shared" si="157"/>
        <v>3.0254485605436727E-3</v>
      </c>
      <c r="BK480" s="57">
        <f t="shared" si="158"/>
        <v>1.6940717079387221E-4</v>
      </c>
      <c r="BL480" s="58">
        <f t="shared" si="159"/>
        <v>5.3381429240426685</v>
      </c>
      <c r="BM480" s="58">
        <f t="shared" si="159"/>
        <v>0.29890433499649083</v>
      </c>
    </row>
    <row r="481" spans="47:65" x14ac:dyDescent="0.2">
      <c r="AU481" s="2">
        <v>-1156</v>
      </c>
      <c r="AV481" s="53">
        <v>479</v>
      </c>
      <c r="AW481" s="4" t="s">
        <v>3155</v>
      </c>
      <c r="AX481" t="s">
        <v>3156</v>
      </c>
      <c r="AY481" s="5">
        <v>18745.699999999993</v>
      </c>
      <c r="AZ481" s="9">
        <v>22.438145124245981</v>
      </c>
      <c r="BA481" s="7">
        <f t="shared" si="154"/>
        <v>5.7509917353488625E-4</v>
      </c>
      <c r="BB481" s="54">
        <f t="shared" si="148"/>
        <v>170.36359144580933</v>
      </c>
      <c r="BC481" s="55">
        <f t="shared" si="149"/>
        <v>90.896335549085293</v>
      </c>
      <c r="BD481" s="55">
        <f t="shared" si="150"/>
        <v>9.5339569722694524</v>
      </c>
      <c r="BE481" s="55">
        <f t="shared" si="151"/>
        <v>9.3431061479013309</v>
      </c>
      <c r="BF481" s="56">
        <f t="shared" si="152"/>
        <v>8.8907522729387858E-2</v>
      </c>
      <c r="BG481" s="56">
        <f t="shared" si="155"/>
        <v>2.4755392716907268E-5</v>
      </c>
      <c r="BH481" s="56">
        <f t="shared" si="156"/>
        <v>4.9754791444550613E-3</v>
      </c>
      <c r="BI481" s="56">
        <f t="shared" si="153"/>
        <v>4.8758799644810398E-3</v>
      </c>
      <c r="BJ481" s="57">
        <f t="shared" si="157"/>
        <v>5.303072249930962E-3</v>
      </c>
      <c r="BK481" s="57">
        <f t="shared" si="158"/>
        <v>2.9677269786697547E-4</v>
      </c>
      <c r="BL481" s="58">
        <f t="shared" si="159"/>
        <v>9.3568133915220031</v>
      </c>
      <c r="BM481" s="58">
        <f t="shared" si="159"/>
        <v>0.52362981735275804</v>
      </c>
    </row>
    <row r="482" spans="47:65" x14ac:dyDescent="0.2">
      <c r="AU482" s="2">
        <v>-1155</v>
      </c>
      <c r="AV482" s="53">
        <v>480</v>
      </c>
      <c r="AW482" s="4" t="s">
        <v>1976</v>
      </c>
      <c r="AX482" t="s">
        <v>410</v>
      </c>
      <c r="AY482" s="4">
        <v>29693</v>
      </c>
      <c r="AZ482" s="9">
        <v>22.441044844822098</v>
      </c>
      <c r="BA482" s="7">
        <f t="shared" si="154"/>
        <v>5.7517349460276305E-4</v>
      </c>
      <c r="BB482" s="54">
        <f t="shared" si="148"/>
        <v>170.68533365783421</v>
      </c>
      <c r="BC482" s="55">
        <f t="shared" si="149"/>
        <v>91.177934353644559</v>
      </c>
      <c r="BD482" s="55">
        <f t="shared" si="150"/>
        <v>9.548713753885627</v>
      </c>
      <c r="BE482" s="55">
        <f t="shared" si="151"/>
        <v>9.357567528149044</v>
      </c>
      <c r="BF482" s="56">
        <f t="shared" si="152"/>
        <v>8.9075430102001016E-2</v>
      </c>
      <c r="BG482" s="56">
        <f t="shared" si="155"/>
        <v>2.4832085456535628E-5</v>
      </c>
      <c r="BH482" s="56">
        <f t="shared" si="156"/>
        <v>4.9831802552722923E-3</v>
      </c>
      <c r="BI482" s="56">
        <f t="shared" si="153"/>
        <v>4.8834269144024016E-3</v>
      </c>
      <c r="BJ482" s="57">
        <f t="shared" si="157"/>
        <v>8.4158769790006697E-3</v>
      </c>
      <c r="BK482" s="57">
        <f t="shared" si="158"/>
        <v>4.708125680059406E-4</v>
      </c>
      <c r="BL482" s="58">
        <f t="shared" si="159"/>
        <v>14.849088737107126</v>
      </c>
      <c r="BM482" s="58">
        <f t="shared" si="159"/>
        <v>0.83070815059557201</v>
      </c>
    </row>
    <row r="483" spans="47:65" x14ac:dyDescent="0.2">
      <c r="AU483" s="2">
        <v>-1154</v>
      </c>
      <c r="AV483" s="53">
        <v>481</v>
      </c>
      <c r="AW483" s="4" t="s">
        <v>3209</v>
      </c>
      <c r="AX483" t="s">
        <v>3210</v>
      </c>
      <c r="AY483" s="5">
        <v>18325.035</v>
      </c>
      <c r="AZ483" s="9">
        <v>22.442057949688678</v>
      </c>
      <c r="BA483" s="7">
        <f t="shared" si="154"/>
        <v>5.7519946091006021E-4</v>
      </c>
      <c r="BB483" s="54">
        <f t="shared" si="148"/>
        <v>170.79788719204234</v>
      </c>
      <c r="BC483" s="55">
        <f t="shared" si="149"/>
        <v>91.27651989219099</v>
      </c>
      <c r="BD483" s="55">
        <f t="shared" si="150"/>
        <v>9.5538746010292073</v>
      </c>
      <c r="BE483" s="55">
        <f t="shared" si="151"/>
        <v>9.3626250654146101</v>
      </c>
      <c r="BF483" s="56">
        <f t="shared" si="152"/>
        <v>8.913416833248769E-2</v>
      </c>
      <c r="BG483" s="56">
        <f t="shared" si="155"/>
        <v>2.4858934984716655E-5</v>
      </c>
      <c r="BH483" s="56">
        <f t="shared" si="156"/>
        <v>4.9858735427923415E-3</v>
      </c>
      <c r="BI483" s="56">
        <f t="shared" si="153"/>
        <v>4.8860662876720551E-3</v>
      </c>
      <c r="BJ483" s="57">
        <f t="shared" si="157"/>
        <v>5.1972834323638284E-3</v>
      </c>
      <c r="BK483" s="57">
        <f t="shared" si="158"/>
        <v>2.9071901880719061E-4</v>
      </c>
      <c r="BL483" s="58">
        <f t="shared" si="159"/>
        <v>9.1701581512698418</v>
      </c>
      <c r="BM483" s="58">
        <f t="shared" si="159"/>
        <v>0.51294862301388988</v>
      </c>
    </row>
    <row r="484" spans="47:65" x14ac:dyDescent="0.2">
      <c r="AU484" s="2">
        <v>-1153</v>
      </c>
      <c r="AV484" s="53">
        <v>482</v>
      </c>
      <c r="AW484" s="4" t="s">
        <v>2013</v>
      </c>
      <c r="AX484" t="s">
        <v>2014</v>
      </c>
      <c r="AY484" s="4">
        <v>18646</v>
      </c>
      <c r="AZ484" s="9">
        <v>22.455590441788257</v>
      </c>
      <c r="BA484" s="7">
        <f t="shared" si="154"/>
        <v>5.7554630442048591E-4</v>
      </c>
      <c r="BB484" s="54">
        <f t="shared" si="148"/>
        <v>172.30845166528002</v>
      </c>
      <c r="BC484" s="55">
        <f t="shared" si="149"/>
        <v>92.6033852066668</v>
      </c>
      <c r="BD484" s="55">
        <f t="shared" si="150"/>
        <v>9.6230652708306419</v>
      </c>
      <c r="BE484" s="55">
        <f t="shared" si="151"/>
        <v>9.4304306758531169</v>
      </c>
      <c r="BF484" s="56">
        <f t="shared" si="152"/>
        <v>8.9922485508116781E-2</v>
      </c>
      <c r="BG484" s="56">
        <f t="shared" si="155"/>
        <v>2.5220303479320971E-5</v>
      </c>
      <c r="BH484" s="56">
        <f t="shared" si="156"/>
        <v>5.0219820269810775E-3</v>
      </c>
      <c r="BI484" s="56">
        <f t="shared" si="153"/>
        <v>4.9214519519451836E-3</v>
      </c>
      <c r="BJ484" s="57">
        <f t="shared" si="157"/>
        <v>5.3350851407373426E-3</v>
      </c>
      <c r="BK484" s="57">
        <f t="shared" si="158"/>
        <v>2.9795330431317237E-4</v>
      </c>
      <c r="BL484" s="58">
        <f t="shared" si="159"/>
        <v>9.4132973750095683</v>
      </c>
      <c r="BM484" s="58">
        <f t="shared" si="159"/>
        <v>0.52571289555446199</v>
      </c>
    </row>
    <row r="485" spans="47:65" x14ac:dyDescent="0.2">
      <c r="AU485" s="2">
        <v>-1152</v>
      </c>
      <c r="AV485" s="53">
        <v>483</v>
      </c>
      <c r="AW485" s="4" t="s">
        <v>2344</v>
      </c>
      <c r="AX485" t="s">
        <v>692</v>
      </c>
      <c r="AY485" s="4">
        <v>28844</v>
      </c>
      <c r="AZ485" s="9">
        <v>22.462455009544247</v>
      </c>
      <c r="BA485" s="7">
        <f t="shared" si="154"/>
        <v>5.7572224620271802E-4</v>
      </c>
      <c r="BB485" s="54">
        <f t="shared" si="148"/>
        <v>173.07980938306051</v>
      </c>
      <c r="BC485" s="55">
        <f t="shared" si="149"/>
        <v>93.283633348438073</v>
      </c>
      <c r="BD485" s="55">
        <f t="shared" si="150"/>
        <v>9.658345269684558</v>
      </c>
      <c r="BE485" s="55">
        <f t="shared" si="151"/>
        <v>9.4650044394172621</v>
      </c>
      <c r="BF485" s="56">
        <f t="shared" si="152"/>
        <v>9.032503339551487E-2</v>
      </c>
      <c r="BG485" s="56">
        <f t="shared" si="155"/>
        <v>2.5405567382344837E-5</v>
      </c>
      <c r="BH485" s="56">
        <f t="shared" si="156"/>
        <v>5.0403935741512125E-3</v>
      </c>
      <c r="BI485" s="56">
        <f t="shared" si="153"/>
        <v>4.9394949366217463E-3</v>
      </c>
      <c r="BJ485" s="57">
        <f t="shared" si="157"/>
        <v>8.2899324138103782E-3</v>
      </c>
      <c r="BK485" s="57">
        <f t="shared" si="158"/>
        <v>4.6260178931517007E-4</v>
      </c>
      <c r="BL485" s="58">
        <f t="shared" si="159"/>
        <v>14.626870419380591</v>
      </c>
      <c r="BM485" s="58">
        <f t="shared" si="159"/>
        <v>0.8162209400904491</v>
      </c>
    </row>
    <row r="486" spans="47:65" x14ac:dyDescent="0.2">
      <c r="AU486" s="2">
        <v>-1151</v>
      </c>
      <c r="AV486" s="53">
        <v>484</v>
      </c>
      <c r="AW486" s="4" t="s">
        <v>1387</v>
      </c>
      <c r="AX486" t="s">
        <v>10</v>
      </c>
      <c r="AY486" s="4">
        <v>22937</v>
      </c>
      <c r="AZ486" s="9">
        <v>22.470752200778541</v>
      </c>
      <c r="BA486" s="7">
        <f t="shared" si="154"/>
        <v>5.7593490673214602E-4</v>
      </c>
      <c r="BB486" s="54">
        <f t="shared" si="148"/>
        <v>174.0167591800973</v>
      </c>
      <c r="BC486" s="55">
        <f t="shared" si="149"/>
        <v>94.112356952075928</v>
      </c>
      <c r="BD486" s="55">
        <f t="shared" si="150"/>
        <v>9.7011523517608946</v>
      </c>
      <c r="BE486" s="55">
        <f t="shared" si="151"/>
        <v>9.5069546089936967</v>
      </c>
      <c r="BF486" s="56">
        <f t="shared" si="152"/>
        <v>9.0813998700069593E-2</v>
      </c>
      <c r="BG486" s="56">
        <f t="shared" si="155"/>
        <v>2.5631268211072979E-5</v>
      </c>
      <c r="BH486" s="56">
        <f t="shared" si="156"/>
        <v>5.0627332747314449E-3</v>
      </c>
      <c r="BI486" s="56">
        <f t="shared" si="153"/>
        <v>4.9613874409030782E-3</v>
      </c>
      <c r="BJ486" s="57">
        <f t="shared" si="157"/>
        <v>6.6279127935930833E-3</v>
      </c>
      <c r="BK486" s="57">
        <f t="shared" si="158"/>
        <v>3.6949539853392929E-4</v>
      </c>
      <c r="BL486" s="58">
        <f t="shared" si="159"/>
        <v>11.69438021247761</v>
      </c>
      <c r="BM486" s="58">
        <f t="shared" si="159"/>
        <v>0.65194274755601112</v>
      </c>
    </row>
    <row r="487" spans="47:65" x14ac:dyDescent="0.2">
      <c r="AU487" s="2">
        <v>-1150</v>
      </c>
      <c r="AV487" s="53">
        <v>485</v>
      </c>
      <c r="AW487" s="4" t="s">
        <v>1925</v>
      </c>
      <c r="AX487" t="s">
        <v>381</v>
      </c>
      <c r="AY487" s="4">
        <v>74959</v>
      </c>
      <c r="AZ487" s="9">
        <v>22.476251774707826</v>
      </c>
      <c r="BA487" s="7">
        <f t="shared" si="154"/>
        <v>5.7607586314382855E-4</v>
      </c>
      <c r="BB487" s="54">
        <f t="shared" si="148"/>
        <v>174.64058524059197</v>
      </c>
      <c r="BC487" s="55">
        <f t="shared" si="149"/>
        <v>94.665607614507167</v>
      </c>
      <c r="BD487" s="55">
        <f t="shared" si="150"/>
        <v>9.7296252556050256</v>
      </c>
      <c r="BE487" s="55">
        <f t="shared" si="151"/>
        <v>9.5348575420285808</v>
      </c>
      <c r="BF487" s="56">
        <f t="shared" si="152"/>
        <v>9.1139554349500967E-2</v>
      </c>
      <c r="BG487" s="56">
        <f t="shared" si="155"/>
        <v>2.5781944663943288E-5</v>
      </c>
      <c r="BH487" s="56">
        <f t="shared" si="156"/>
        <v>5.0775924082130976E-3</v>
      </c>
      <c r="BI487" s="56">
        <f t="shared" si="153"/>
        <v>4.9759491241358348E-3</v>
      </c>
      <c r="BJ487" s="57">
        <f t="shared" si="157"/>
        <v>2.1737923545476576E-2</v>
      </c>
      <c r="BK487" s="57">
        <f t="shared" si="158"/>
        <v>1.2110692920612569E-3</v>
      </c>
      <c r="BL487" s="58">
        <f t="shared" si="159"/>
        <v>38.354690365918472</v>
      </c>
      <c r="BM487" s="58">
        <f t="shared" si="159"/>
        <v>2.1368272646421822</v>
      </c>
    </row>
    <row r="488" spans="47:65" x14ac:dyDescent="0.2">
      <c r="AU488" s="2">
        <v>-1149</v>
      </c>
      <c r="AV488" s="53">
        <v>486</v>
      </c>
      <c r="AW488" s="4" t="s">
        <v>1549</v>
      </c>
      <c r="AX488" t="s">
        <v>134</v>
      </c>
      <c r="AY488" s="4">
        <v>101965</v>
      </c>
      <c r="AZ488" s="9">
        <v>22.481804357817747</v>
      </c>
      <c r="BA488" s="7">
        <f t="shared" si="154"/>
        <v>5.7621817820328728E-4</v>
      </c>
      <c r="BB488" s="54">
        <f t="shared" si="148"/>
        <v>175.2726932013224</v>
      </c>
      <c r="BC488" s="55">
        <f t="shared" si="149"/>
        <v>95.227409002027699</v>
      </c>
      <c r="BD488" s="55">
        <f t="shared" si="150"/>
        <v>9.7584532074518702</v>
      </c>
      <c r="BE488" s="55">
        <f t="shared" si="151"/>
        <v>9.5631084157125166</v>
      </c>
      <c r="BF488" s="56">
        <f t="shared" si="152"/>
        <v>9.146943206814459E-2</v>
      </c>
      <c r="BG488" s="56">
        <f t="shared" si="155"/>
        <v>2.5934949885692607E-5</v>
      </c>
      <c r="BH488" s="56">
        <f t="shared" si="156"/>
        <v>5.0926368303357943E-3</v>
      </c>
      <c r="BI488" s="56">
        <f t="shared" si="153"/>
        <v>4.9906923869001861E-3</v>
      </c>
      <c r="BJ488" s="57">
        <f t="shared" si="157"/>
        <v>2.9676622908373088E-2</v>
      </c>
      <c r="BK488" s="57">
        <f t="shared" si="158"/>
        <v>1.6522707029663684E-3</v>
      </c>
      <c r="BL488" s="58">
        <f t="shared" si="159"/>
        <v>52.361840374290374</v>
      </c>
      <c r="BM488" s="58">
        <f t="shared" si="159"/>
        <v>2.915289083631937</v>
      </c>
    </row>
    <row r="489" spans="47:65" x14ac:dyDescent="0.2">
      <c r="AU489" s="2">
        <v>-1148</v>
      </c>
      <c r="AV489" s="53">
        <v>487</v>
      </c>
      <c r="AW489" s="4" t="s">
        <v>1573</v>
      </c>
      <c r="AX489" t="s">
        <v>1574</v>
      </c>
      <c r="AY489" s="4">
        <v>53342</v>
      </c>
      <c r="AZ489" s="9">
        <v>22.482346131873335</v>
      </c>
      <c r="BA489" s="7">
        <f t="shared" si="154"/>
        <v>5.762320641020496E-4</v>
      </c>
      <c r="BB489" s="54">
        <f t="shared" si="148"/>
        <v>175.33449132962136</v>
      </c>
      <c r="BC489" s="55">
        <f t="shared" si="149"/>
        <v>95.282398640417981</v>
      </c>
      <c r="BD489" s="55">
        <f t="shared" si="150"/>
        <v>9.7612703394803066</v>
      </c>
      <c r="BE489" s="55">
        <f t="shared" si="151"/>
        <v>9.5658691543702314</v>
      </c>
      <c r="BF489" s="56">
        <f t="shared" si="152"/>
        <v>9.1501682612112042E-2</v>
      </c>
      <c r="BG489" s="56">
        <f t="shared" si="155"/>
        <v>2.5949926178031223E-5</v>
      </c>
      <c r="BH489" s="56">
        <f t="shared" si="156"/>
        <v>5.0941070049647782E-3</v>
      </c>
      <c r="BI489" s="56">
        <f t="shared" si="153"/>
        <v>4.9921331315620826E-3</v>
      </c>
      <c r="BJ489" s="57">
        <f t="shared" si="157"/>
        <v>1.5530511070921254E-2</v>
      </c>
      <c r="BK489" s="57">
        <f t="shared" si="158"/>
        <v>8.6461891168098238E-4</v>
      </c>
      <c r="BL489" s="58">
        <f t="shared" si="159"/>
        <v>27.40224668209423</v>
      </c>
      <c r="BM489" s="58">
        <f t="shared" si="159"/>
        <v>1.5255454631011514</v>
      </c>
    </row>
    <row r="490" spans="47:65" x14ac:dyDescent="0.2">
      <c r="AU490" s="2">
        <v>-1147</v>
      </c>
      <c r="AV490" s="53">
        <v>488</v>
      </c>
      <c r="AW490" s="4" t="s">
        <v>1616</v>
      </c>
      <c r="AX490" t="s">
        <v>174</v>
      </c>
      <c r="AY490" s="4">
        <v>28254</v>
      </c>
      <c r="AZ490" s="9">
        <v>22.485420537505298</v>
      </c>
      <c r="BA490" s="7">
        <f t="shared" si="154"/>
        <v>5.7631086242197597E-4</v>
      </c>
      <c r="BB490" s="54">
        <f t="shared" si="148"/>
        <v>175.68559012344338</v>
      </c>
      <c r="BC490" s="55">
        <f t="shared" si="149"/>
        <v>95.595035447855437</v>
      </c>
      <c r="BD490" s="55">
        <f t="shared" si="150"/>
        <v>9.7772713702676501</v>
      </c>
      <c r="BE490" s="55">
        <f t="shared" si="151"/>
        <v>9.5815498763995866</v>
      </c>
      <c r="BF490" s="56">
        <f t="shared" si="152"/>
        <v>9.1684910282573057E-2</v>
      </c>
      <c r="BG490" s="56">
        <f t="shared" si="155"/>
        <v>2.6035072041163373E-5</v>
      </c>
      <c r="BH490" s="56">
        <f t="shared" si="156"/>
        <v>5.1024574511859848E-3</v>
      </c>
      <c r="BI490" s="56">
        <f t="shared" si="153"/>
        <v>5.0003164184862841E-3</v>
      </c>
      <c r="BJ490" s="57">
        <f t="shared" si="157"/>
        <v>8.2426180791850025E-3</v>
      </c>
      <c r="BK490" s="57">
        <f t="shared" si="158"/>
        <v>4.5871897464693162E-4</v>
      </c>
      <c r="BL490" s="58">
        <f t="shared" si="159"/>
        <v>14.543388358611114</v>
      </c>
      <c r="BM490" s="58">
        <f t="shared" si="159"/>
        <v>0.80937004865010642</v>
      </c>
    </row>
    <row r="491" spans="47:65" x14ac:dyDescent="0.2">
      <c r="AU491" s="2">
        <v>-1146</v>
      </c>
      <c r="AV491" s="53">
        <v>489</v>
      </c>
      <c r="AW491" s="4" t="s">
        <v>2948</v>
      </c>
      <c r="AX491" t="s">
        <v>2949</v>
      </c>
      <c r="AY491" s="4">
        <v>23779</v>
      </c>
      <c r="AZ491" s="9">
        <v>22.489950504061735</v>
      </c>
      <c r="BA491" s="7">
        <f t="shared" si="154"/>
        <v>5.76426967385569E-4</v>
      </c>
      <c r="BB491" s="54">
        <f t="shared" si="148"/>
        <v>176.20419641709071</v>
      </c>
      <c r="BC491" s="55">
        <f t="shared" si="149"/>
        <v>96.057512464663276</v>
      </c>
      <c r="BD491" s="55">
        <f t="shared" si="150"/>
        <v>9.8008934523676601</v>
      </c>
      <c r="BE491" s="55">
        <f t="shared" si="151"/>
        <v>9.6046990914775208</v>
      </c>
      <c r="BF491" s="56">
        <f t="shared" si="152"/>
        <v>9.195555496932073E-2</v>
      </c>
      <c r="BG491" s="56">
        <f t="shared" si="155"/>
        <v>2.6161026515616118E-5</v>
      </c>
      <c r="BH491" s="56">
        <f t="shared" si="156"/>
        <v>5.1147850898758318E-3</v>
      </c>
      <c r="BI491" s="56">
        <f t="shared" si="153"/>
        <v>5.0123972824095454E-3</v>
      </c>
      <c r="BJ491" s="57">
        <f t="shared" si="157"/>
        <v>6.9575915372187859E-3</v>
      </c>
      <c r="BK491" s="57">
        <f t="shared" si="158"/>
        <v>3.8699766934021247E-4</v>
      </c>
      <c r="BL491" s="58">
        <f t="shared" si="159"/>
        <v>12.276069908162464</v>
      </c>
      <c r="BM491" s="58">
        <f t="shared" si="159"/>
        <v>0.6828239941512102</v>
      </c>
    </row>
    <row r="492" spans="47:65" x14ac:dyDescent="0.2">
      <c r="AU492" s="2">
        <v>-1145</v>
      </c>
      <c r="AV492" s="53">
        <v>490</v>
      </c>
      <c r="AW492" s="4" t="s">
        <v>2399</v>
      </c>
      <c r="AX492" t="s">
        <v>736</v>
      </c>
      <c r="AY492" s="4">
        <v>25823</v>
      </c>
      <c r="AZ492" s="9">
        <v>22.490089285573507</v>
      </c>
      <c r="BA492" s="7">
        <f t="shared" si="154"/>
        <v>5.7643052441456056E-4</v>
      </c>
      <c r="BB492" s="54">
        <f t="shared" si="148"/>
        <v>176.22010875377359</v>
      </c>
      <c r="BC492" s="55">
        <f t="shared" si="149"/>
        <v>96.071715456319453</v>
      </c>
      <c r="BD492" s="55">
        <f t="shared" si="150"/>
        <v>9.8016180019586283</v>
      </c>
      <c r="BE492" s="55">
        <f t="shared" si="151"/>
        <v>9.6054091370291754</v>
      </c>
      <c r="BF492" s="56">
        <f t="shared" si="152"/>
        <v>9.1963859128814635E-2</v>
      </c>
      <c r="BG492" s="56">
        <f t="shared" si="155"/>
        <v>2.616489466534905E-5</v>
      </c>
      <c r="BH492" s="56">
        <f t="shared" si="156"/>
        <v>5.1151632100402281E-3</v>
      </c>
      <c r="BI492" s="56">
        <f t="shared" si="153"/>
        <v>5.0127678333615686E-3</v>
      </c>
      <c r="BJ492" s="57">
        <f t="shared" si="157"/>
        <v>7.5563358936222404E-3</v>
      </c>
      <c r="BK492" s="57">
        <f t="shared" si="158"/>
        <v>4.2029436054464474E-4</v>
      </c>
      <c r="BL492" s="58">
        <f t="shared" si="159"/>
        <v>13.332502660359454</v>
      </c>
      <c r="BM492" s="58">
        <f t="shared" si="159"/>
        <v>0.74157313266409008</v>
      </c>
    </row>
    <row r="493" spans="47:65" x14ac:dyDescent="0.2">
      <c r="AU493" s="2">
        <v>-1144</v>
      </c>
      <c r="AV493" s="53">
        <v>491</v>
      </c>
      <c r="AW493" s="4" t="s">
        <v>2747</v>
      </c>
      <c r="AX493" t="s">
        <v>1001</v>
      </c>
      <c r="AY493" s="4">
        <v>10790</v>
      </c>
      <c r="AZ493" s="9">
        <v>22.491998216909014</v>
      </c>
      <c r="BA493" s="7">
        <f t="shared" si="154"/>
        <v>5.7647945113409576E-4</v>
      </c>
      <c r="BB493" s="54">
        <f t="shared" si="148"/>
        <v>176.43912787452786</v>
      </c>
      <c r="BC493" s="55">
        <f t="shared" si="149"/>
        <v>96.267284723760255</v>
      </c>
      <c r="BD493" s="55">
        <f t="shared" si="150"/>
        <v>9.8115893067209168</v>
      </c>
      <c r="BE493" s="55">
        <f t="shared" si="151"/>
        <v>9.6151808361356554</v>
      </c>
      <c r="BF493" s="56">
        <f t="shared" si="152"/>
        <v>9.2078158476999086E-2</v>
      </c>
      <c r="BG493" s="56">
        <f t="shared" si="155"/>
        <v>2.6218157472807101E-5</v>
      </c>
      <c r="BH493" s="56">
        <f t="shared" si="156"/>
        <v>5.1203669275557877E-3</v>
      </c>
      <c r="BI493" s="56">
        <f t="shared" si="153"/>
        <v>5.0178673828196766E-3</v>
      </c>
      <c r="BJ493" s="57">
        <f t="shared" si="157"/>
        <v>3.1612980383423678E-3</v>
      </c>
      <c r="BK493" s="57">
        <f t="shared" si="158"/>
        <v>1.7579636899144469E-4</v>
      </c>
      <c r="BL493" s="58">
        <f t="shared" si="159"/>
        <v>5.5778376053879297</v>
      </c>
      <c r="BM493" s="58">
        <f t="shared" si="159"/>
        <v>0.31017752390258441</v>
      </c>
    </row>
    <row r="494" spans="47:65" x14ac:dyDescent="0.2">
      <c r="AU494" s="2">
        <v>-1143</v>
      </c>
      <c r="AV494" s="53">
        <v>492</v>
      </c>
      <c r="AW494" s="4" t="s">
        <v>2464</v>
      </c>
      <c r="AX494" t="s">
        <v>783</v>
      </c>
      <c r="AY494" s="4">
        <v>62716</v>
      </c>
      <c r="AZ494" s="9">
        <v>22.49262581760561</v>
      </c>
      <c r="BA494" s="7">
        <f t="shared" si="154"/>
        <v>5.7649553680605859E-4</v>
      </c>
      <c r="BB494" s="54">
        <f t="shared" si="148"/>
        <v>176.51119439263599</v>
      </c>
      <c r="BC494" s="55">
        <f t="shared" si="149"/>
        <v>96.331666942775726</v>
      </c>
      <c r="BD494" s="55">
        <f t="shared" si="150"/>
        <v>9.8148696854709048</v>
      </c>
      <c r="BE494" s="55">
        <f t="shared" si="151"/>
        <v>9.6183955482384693</v>
      </c>
      <c r="BF494" s="56">
        <f t="shared" si="152"/>
        <v>9.2115767778037844E-2</v>
      </c>
      <c r="BG494" s="56">
        <f t="shared" si="155"/>
        <v>2.6235691811304022E-5</v>
      </c>
      <c r="BH494" s="56">
        <f t="shared" si="156"/>
        <v>5.1220788564121135E-3</v>
      </c>
      <c r="BI494" s="56">
        <f t="shared" si="153"/>
        <v>5.0195450422709231E-3</v>
      </c>
      <c r="BJ494" s="57">
        <f t="shared" si="157"/>
        <v>1.8382293664619322E-2</v>
      </c>
      <c r="BK494" s="57">
        <f t="shared" si="158"/>
        <v>1.0221437652105578E-3</v>
      </c>
      <c r="BL494" s="58">
        <f t="shared" si="159"/>
        <v>32.433970992991718</v>
      </c>
      <c r="BM494" s="58">
        <f t="shared" si="159"/>
        <v>1.8034844745906256</v>
      </c>
    </row>
    <row r="495" spans="47:65" x14ac:dyDescent="0.2">
      <c r="AU495" s="2">
        <v>-1142</v>
      </c>
      <c r="AV495" s="53">
        <v>493</v>
      </c>
      <c r="AW495" s="4" t="s">
        <v>2181</v>
      </c>
      <c r="AX495" t="s">
        <v>1309</v>
      </c>
      <c r="AY495" s="4">
        <v>71682</v>
      </c>
      <c r="AZ495" s="9">
        <v>22.499130241517278</v>
      </c>
      <c r="BA495" s="7">
        <f t="shared" si="154"/>
        <v>5.7666224794885614E-4</v>
      </c>
      <c r="BB495" s="54">
        <f t="shared" si="148"/>
        <v>177.25982412101428</v>
      </c>
      <c r="BC495" s="55">
        <f t="shared" si="149"/>
        <v>97.001399061314615</v>
      </c>
      <c r="BD495" s="55">
        <f t="shared" si="150"/>
        <v>9.8489288281170264</v>
      </c>
      <c r="BE495" s="55">
        <f t="shared" si="151"/>
        <v>9.6517728947038233</v>
      </c>
      <c r="BF495" s="56">
        <f t="shared" si="152"/>
        <v>9.2506454626247708E-2</v>
      </c>
      <c r="BG495" s="56">
        <f t="shared" si="155"/>
        <v>2.6418091701347925E-5</v>
      </c>
      <c r="BH495" s="56">
        <f t="shared" si="156"/>
        <v>5.1398532762470884E-3</v>
      </c>
      <c r="BI495" s="56">
        <f t="shared" si="153"/>
        <v>5.0369636536322458E-3</v>
      </c>
      <c r="BJ495" s="57">
        <f t="shared" si="157"/>
        <v>2.1099371692941037E-2</v>
      </c>
      <c r="BK495" s="57">
        <f t="shared" si="158"/>
        <v>1.1723254897280128E-3</v>
      </c>
      <c r="BL495" s="58">
        <f t="shared" si="159"/>
        <v>37.228020721720526</v>
      </c>
      <c r="BM495" s="58">
        <f t="shared" si="159"/>
        <v>2.068467168564875</v>
      </c>
    </row>
    <row r="496" spans="47:65" x14ac:dyDescent="0.2">
      <c r="AU496" s="2">
        <v>-1141</v>
      </c>
      <c r="AV496" s="53">
        <v>494</v>
      </c>
      <c r="AW496" s="4" t="s">
        <v>2429</v>
      </c>
      <c r="AX496" t="s">
        <v>1329</v>
      </c>
      <c r="AY496" s="4">
        <v>58069</v>
      </c>
      <c r="AZ496" s="9">
        <v>22.500273612620557</v>
      </c>
      <c r="BA496" s="7">
        <f t="shared" si="154"/>
        <v>5.7669155303503405E-4</v>
      </c>
      <c r="BB496" s="54">
        <f t="shared" si="148"/>
        <v>177.39174872453839</v>
      </c>
      <c r="BC496" s="55">
        <f t="shared" si="149"/>
        <v>97.119595350820603</v>
      </c>
      <c r="BD496" s="55">
        <f t="shared" si="150"/>
        <v>9.8549274655281263</v>
      </c>
      <c r="BE496" s="55">
        <f t="shared" si="151"/>
        <v>9.6576514513448597</v>
      </c>
      <c r="BF496" s="56">
        <f t="shared" si="152"/>
        <v>9.2575302022495226E-2</v>
      </c>
      <c r="BG496" s="56">
        <f t="shared" si="155"/>
        <v>2.6450282169167266E-5</v>
      </c>
      <c r="BH496" s="56">
        <f t="shared" si="156"/>
        <v>5.1429837807606656E-3</v>
      </c>
      <c r="BI496" s="56">
        <f t="shared" si="153"/>
        <v>5.0400314916822717E-3</v>
      </c>
      <c r="BJ496" s="57">
        <f t="shared" si="157"/>
        <v>1.7105148814662765E-2</v>
      </c>
      <c r="BK496" s="57">
        <f t="shared" si="158"/>
        <v>9.5026968315946303E-4</v>
      </c>
      <c r="BL496" s="58">
        <f t="shared" si="159"/>
        <v>30.18055910799572</v>
      </c>
      <c r="BM496" s="58">
        <f t="shared" si="159"/>
        <v>1.6766688587091356</v>
      </c>
    </row>
    <row r="497" spans="47:65" x14ac:dyDescent="0.2">
      <c r="AU497" s="2">
        <v>-1140</v>
      </c>
      <c r="AV497" s="53">
        <v>495</v>
      </c>
      <c r="AW497" s="4" t="s">
        <v>2267</v>
      </c>
      <c r="AX497" t="s">
        <v>626</v>
      </c>
      <c r="AY497" s="4">
        <v>34844</v>
      </c>
      <c r="AZ497" s="9">
        <v>22.501407978883019</v>
      </c>
      <c r="BA497" s="7">
        <f t="shared" si="154"/>
        <v>5.7672062732332379E-4</v>
      </c>
      <c r="BB497" s="54">
        <f t="shared" si="148"/>
        <v>177.52273136523036</v>
      </c>
      <c r="BC497" s="55">
        <f t="shared" si="149"/>
        <v>97.236999563349684</v>
      </c>
      <c r="BD497" s="55">
        <f t="shared" si="150"/>
        <v>9.8608822913241223</v>
      </c>
      <c r="BE497" s="55">
        <f t="shared" si="151"/>
        <v>9.6634870733920408</v>
      </c>
      <c r="BF497" s="56">
        <f t="shared" si="152"/>
        <v>9.2643657837288909E-2</v>
      </c>
      <c r="BG497" s="56">
        <f t="shared" si="155"/>
        <v>2.6482256916775484E-5</v>
      </c>
      <c r="BH497" s="56">
        <f t="shared" si="156"/>
        <v>5.1460914213386734E-3</v>
      </c>
      <c r="BI497" s="56">
        <f t="shared" si="153"/>
        <v>5.0430769234871674E-3</v>
      </c>
      <c r="BJ497" s="57">
        <f t="shared" si="157"/>
        <v>1.0271433792597616E-2</v>
      </c>
      <c r="BK497" s="57">
        <f t="shared" si="158"/>
        <v>5.7054890274053493E-4</v>
      </c>
      <c r="BL497" s="58">
        <f t="shared" si="159"/>
        <v>18.123058621718794</v>
      </c>
      <c r="BM497" s="58">
        <f t="shared" si="159"/>
        <v>1.0066843071486196</v>
      </c>
    </row>
    <row r="498" spans="47:65" x14ac:dyDescent="0.2">
      <c r="AU498" s="2">
        <v>-1139</v>
      </c>
      <c r="AV498" s="53">
        <v>496</v>
      </c>
      <c r="AW498" s="4" t="s">
        <v>2679</v>
      </c>
      <c r="AX498" t="s">
        <v>945</v>
      </c>
      <c r="AY498" s="4">
        <v>52788</v>
      </c>
      <c r="AZ498" s="9">
        <v>22.507671422282044</v>
      </c>
      <c r="BA498" s="7">
        <f t="shared" si="154"/>
        <v>5.7688116203340406E-4</v>
      </c>
      <c r="BB498" s="54">
        <f t="shared" si="148"/>
        <v>178.24770002561084</v>
      </c>
      <c r="BC498" s="55">
        <f t="shared" si="149"/>
        <v>97.887747359331357</v>
      </c>
      <c r="BD498" s="55">
        <f t="shared" si="150"/>
        <v>9.8938236976070755</v>
      </c>
      <c r="BE498" s="55">
        <f t="shared" si="151"/>
        <v>9.6957690583493843</v>
      </c>
      <c r="BF498" s="56">
        <f t="shared" si="152"/>
        <v>9.3021996701267262E-2</v>
      </c>
      <c r="BG498" s="56">
        <f t="shared" si="155"/>
        <v>2.6659486473411823E-5</v>
      </c>
      <c r="BH498" s="56">
        <f t="shared" si="156"/>
        <v>5.1632825289162536E-3</v>
      </c>
      <c r="BI498" s="56">
        <f t="shared" si="153"/>
        <v>5.0599238993403722E-3</v>
      </c>
      <c r="BJ498" s="57">
        <f t="shared" si="157"/>
        <v>1.5624575879979334E-2</v>
      </c>
      <c r="BK498" s="57">
        <f t="shared" si="158"/>
        <v>8.6725831011671408E-4</v>
      </c>
      <c r="BL498" s="58">
        <f t="shared" si="159"/>
        <v>27.568215920977799</v>
      </c>
      <c r="BM498" s="58">
        <f t="shared" si="159"/>
        <v>1.530202453891601</v>
      </c>
    </row>
    <row r="499" spans="47:65" x14ac:dyDescent="0.2">
      <c r="AU499" s="2">
        <v>-1138</v>
      </c>
      <c r="AV499" s="53">
        <v>497</v>
      </c>
      <c r="AW499" s="4" t="s">
        <v>3145</v>
      </c>
      <c r="AX499" t="s">
        <v>3146</v>
      </c>
      <c r="AY499" s="5">
        <v>10341.785</v>
      </c>
      <c r="AZ499" s="9">
        <v>22.520269215068517</v>
      </c>
      <c r="BA499" s="7">
        <f t="shared" si="154"/>
        <v>5.7720404880411298E-4</v>
      </c>
      <c r="BB499" s="54">
        <f t="shared" si="148"/>
        <v>179.71482338707295</v>
      </c>
      <c r="BC499" s="55">
        <f t="shared" si="149"/>
        <v>99.209496896676072</v>
      </c>
      <c r="BD499" s="55">
        <f t="shared" si="150"/>
        <v>9.9603964226669248</v>
      </c>
      <c r="BE499" s="55">
        <f t="shared" si="151"/>
        <v>9.7610091300843802</v>
      </c>
      <c r="BF499" s="56">
        <f t="shared" si="152"/>
        <v>9.3787643295701065E-2</v>
      </c>
      <c r="BG499" s="56">
        <f t="shared" si="155"/>
        <v>2.7019461698736558E-5</v>
      </c>
      <c r="BH499" s="56">
        <f t="shared" si="156"/>
        <v>5.1980247881995099E-3</v>
      </c>
      <c r="BI499" s="56">
        <f t="shared" si="153"/>
        <v>5.0939706878087394E-3</v>
      </c>
      <c r="BJ499" s="57">
        <f t="shared" si="157"/>
        <v>3.0862315022293714E-3</v>
      </c>
      <c r="BK499" s="57">
        <f t="shared" si="158"/>
        <v>1.71049269253211E-4</v>
      </c>
      <c r="BL499" s="58">
        <f t="shared" si="159"/>
        <v>5.4453891797858844</v>
      </c>
      <c r="BM499" s="58">
        <f t="shared" si="159"/>
        <v>0.30180167603398828</v>
      </c>
    </row>
    <row r="500" spans="47:65" x14ac:dyDescent="0.2">
      <c r="AU500" s="2">
        <v>-1137</v>
      </c>
      <c r="AV500" s="53">
        <v>498</v>
      </c>
      <c r="AW500" s="4" t="s">
        <v>2426</v>
      </c>
      <c r="AX500" t="s">
        <v>755</v>
      </c>
      <c r="AY500" s="4">
        <v>71772</v>
      </c>
      <c r="AZ500" s="9">
        <v>22.531433816663025</v>
      </c>
      <c r="BA500" s="7">
        <f t="shared" si="154"/>
        <v>5.7749020227688421E-4</v>
      </c>
      <c r="BB500" s="54">
        <f t="shared" si="148"/>
        <v>181.02512984070236</v>
      </c>
      <c r="BC500" s="55">
        <f t="shared" si="149"/>
        <v>100.39541147321405</v>
      </c>
      <c r="BD500" s="55">
        <f t="shared" si="150"/>
        <v>10.019751068425505</v>
      </c>
      <c r="BE500" s="55">
        <f t="shared" si="151"/>
        <v>9.8191756140853563</v>
      </c>
      <c r="BF500" s="56">
        <f t="shared" si="152"/>
        <v>9.4471451965264061E-2</v>
      </c>
      <c r="BG500" s="56">
        <f t="shared" si="155"/>
        <v>2.7342442607632098E-5</v>
      </c>
      <c r="BH500" s="56">
        <f t="shared" si="156"/>
        <v>5.2290001537227074E-3</v>
      </c>
      <c r="BI500" s="56">
        <f t="shared" si="153"/>
        <v>5.1243259882254553E-3</v>
      </c>
      <c r="BJ500" s="57">
        <f t="shared" si="157"/>
        <v>2.1574612833573883E-2</v>
      </c>
      <c r="BK500" s="57">
        <f t="shared" si="158"/>
        <v>1.1941560278415735E-3</v>
      </c>
      <c r="BL500" s="58">
        <f t="shared" si="159"/>
        <v>38.066542706581942</v>
      </c>
      <c r="BM500" s="58">
        <f t="shared" si="159"/>
        <v>2.1069852693446176</v>
      </c>
    </row>
    <row r="501" spans="47:65" x14ac:dyDescent="0.2">
      <c r="AU501" s="2">
        <v>-1136</v>
      </c>
      <c r="AV501" s="53">
        <v>499</v>
      </c>
      <c r="AW501" s="4" t="s">
        <v>3098</v>
      </c>
      <c r="AX501" t="s">
        <v>1244</v>
      </c>
      <c r="AY501" s="4">
        <v>28800</v>
      </c>
      <c r="AZ501" s="9">
        <v>22.533336386928227</v>
      </c>
      <c r="BA501" s="7">
        <f t="shared" si="154"/>
        <v>5.7753896595949029E-4</v>
      </c>
      <c r="BB501" s="54">
        <f t="shared" si="148"/>
        <v>181.24937128493085</v>
      </c>
      <c r="BC501" s="55">
        <f t="shared" si="149"/>
        <v>100.59887804412347</v>
      </c>
      <c r="BD501" s="55">
        <f t="shared" si="150"/>
        <v>10.029899204085925</v>
      </c>
      <c r="BE501" s="55">
        <f t="shared" si="151"/>
        <v>9.8291206042876809</v>
      </c>
      <c r="BF501" s="56">
        <f t="shared" si="152"/>
        <v>9.4588476683576214E-2</v>
      </c>
      <c r="BG501" s="56">
        <f t="shared" si="155"/>
        <v>2.73978562262027E-5</v>
      </c>
      <c r="BH501" s="56">
        <f t="shared" si="156"/>
        <v>5.2342961538494074E-3</v>
      </c>
      <c r="BI501" s="56">
        <f t="shared" si="153"/>
        <v>5.1295159729806807E-3</v>
      </c>
      <c r="BJ501" s="57">
        <f t="shared" si="157"/>
        <v>8.6679838057024533E-3</v>
      </c>
      <c r="BK501" s="57">
        <f t="shared" si="158"/>
        <v>4.7966513349818245E-4</v>
      </c>
      <c r="BL501" s="58">
        <f t="shared" si="159"/>
        <v>15.293909478934294</v>
      </c>
      <c r="BM501" s="58">
        <f t="shared" si="159"/>
        <v>0.84632773853315146</v>
      </c>
    </row>
    <row r="502" spans="47:65" x14ac:dyDescent="0.2">
      <c r="AU502" s="2">
        <v>-1135</v>
      </c>
      <c r="AV502" s="53">
        <v>500</v>
      </c>
      <c r="AW502" s="4" t="s">
        <v>2787</v>
      </c>
      <c r="AX502" t="s">
        <v>1032</v>
      </c>
      <c r="AY502" s="4">
        <v>57448</v>
      </c>
      <c r="AZ502" s="9">
        <v>22.541331409888393</v>
      </c>
      <c r="BA502" s="7">
        <f t="shared" si="154"/>
        <v>5.7774388178793003E-4</v>
      </c>
      <c r="BB502" s="54">
        <f t="shared" si="148"/>
        <v>182.19472412278304</v>
      </c>
      <c r="BC502" s="55">
        <f t="shared" si="149"/>
        <v>101.4582932519487</v>
      </c>
      <c r="BD502" s="55">
        <f t="shared" si="150"/>
        <v>10.072650755980211</v>
      </c>
      <c r="BE502" s="55">
        <f t="shared" si="151"/>
        <v>9.8710163552856791</v>
      </c>
      <c r="BF502" s="56">
        <f t="shared" si="152"/>
        <v>9.5081827276888853E-2</v>
      </c>
      <c r="BG502" s="56">
        <f t="shared" si="155"/>
        <v>2.7631915837605467E-5</v>
      </c>
      <c r="BH502" s="56">
        <f t="shared" si="156"/>
        <v>5.2566068749341976E-3</v>
      </c>
      <c r="BI502" s="56">
        <f t="shared" si="153"/>
        <v>5.1513800778783345E-3</v>
      </c>
      <c r="BJ502" s="57">
        <f t="shared" si="157"/>
        <v>1.7380401520013685E-2</v>
      </c>
      <c r="BK502" s="57">
        <f t="shared" si="158"/>
        <v>9.6087697024547711E-4</v>
      </c>
      <c r="BL502" s="58">
        <f t="shared" si="159"/>
        <v>30.666218755479061</v>
      </c>
      <c r="BM502" s="58">
        <f t="shared" si="159"/>
        <v>1.6953845014868529</v>
      </c>
    </row>
    <row r="503" spans="47:65" x14ac:dyDescent="0.2">
      <c r="AU503" s="2">
        <v>-1134</v>
      </c>
      <c r="AV503" s="53">
        <v>501</v>
      </c>
      <c r="AW503" s="4" t="s">
        <v>1779</v>
      </c>
      <c r="AX503" t="s">
        <v>1780</v>
      </c>
      <c r="AY503" s="4">
        <v>86082</v>
      </c>
      <c r="AZ503" s="9">
        <v>22.549877713183328</v>
      </c>
      <c r="BA503" s="7">
        <f t="shared" si="154"/>
        <v>5.7796292716509818E-4</v>
      </c>
      <c r="BB503" s="54">
        <f t="shared" si="148"/>
        <v>183.21071535146999</v>
      </c>
      <c r="BC503" s="55">
        <f t="shared" si="149"/>
        <v>102.38488310936923</v>
      </c>
      <c r="BD503" s="55">
        <f t="shared" si="150"/>
        <v>10.118541550508612</v>
      </c>
      <c r="BE503" s="55">
        <f t="shared" si="151"/>
        <v>9.9159885075344754</v>
      </c>
      <c r="BF503" s="56">
        <f t="shared" si="152"/>
        <v>9.5612041875505455E-2</v>
      </c>
      <c r="BG503" s="56">
        <f t="shared" si="155"/>
        <v>2.7884270299085204E-5</v>
      </c>
      <c r="BH503" s="56">
        <f t="shared" si="156"/>
        <v>5.2805558702740006E-3</v>
      </c>
      <c r="BI503" s="56">
        <f t="shared" si="153"/>
        <v>5.1748496620443001E-3</v>
      </c>
      <c r="BJ503" s="57">
        <f t="shared" si="157"/>
        <v>2.6188601898655746E-2</v>
      </c>
      <c r="BK503" s="57">
        <f t="shared" si="158"/>
        <v>1.4463698586238811E-3</v>
      </c>
      <c r="BL503" s="58">
        <f t="shared" si="159"/>
        <v>46.207528278305219</v>
      </c>
      <c r="BM503" s="58">
        <f t="shared" si="159"/>
        <v>2.551994810638663</v>
      </c>
    </row>
    <row r="504" spans="47:65" x14ac:dyDescent="0.2">
      <c r="AU504" s="2">
        <v>-1133</v>
      </c>
      <c r="AV504" s="53">
        <v>502</v>
      </c>
      <c r="AW504" s="4" t="s">
        <v>1716</v>
      </c>
      <c r="AX504" t="s">
        <v>1717</v>
      </c>
      <c r="AY504" s="4">
        <v>12542</v>
      </c>
      <c r="AZ504" s="9">
        <v>22.555919057074398</v>
      </c>
      <c r="BA504" s="7">
        <f t="shared" si="154"/>
        <v>5.7811776937061719E-4</v>
      </c>
      <c r="BB504" s="54">
        <f t="shared" si="148"/>
        <v>183.93233149784163</v>
      </c>
      <c r="BC504" s="55">
        <f t="shared" si="149"/>
        <v>103.04485729534774</v>
      </c>
      <c r="BD504" s="55">
        <f t="shared" si="150"/>
        <v>10.151101284853173</v>
      </c>
      <c r="BE504" s="55">
        <f t="shared" si="151"/>
        <v>9.9478964608652412</v>
      </c>
      <c r="BF504" s="56">
        <f t="shared" si="152"/>
        <v>9.5988631165452587E-2</v>
      </c>
      <c r="BG504" s="56">
        <f t="shared" si="155"/>
        <v>2.8064012640272405E-5</v>
      </c>
      <c r="BH504" s="56">
        <f t="shared" si="156"/>
        <v>5.2975477949965119E-3</v>
      </c>
      <c r="BI504" s="56">
        <f t="shared" si="153"/>
        <v>5.1915014422863693E-3</v>
      </c>
      <c r="BJ504" s="57">
        <f t="shared" si="157"/>
        <v>3.8306631781939173E-3</v>
      </c>
      <c r="BK504" s="57">
        <f t="shared" si="158"/>
        <v>2.1141171643584435E-4</v>
      </c>
      <c r="BL504" s="58">
        <f t="shared" si="159"/>
        <v>6.7588746362265191</v>
      </c>
      <c r="BM504" s="58">
        <f t="shared" si="159"/>
        <v>0.37301773127781035</v>
      </c>
    </row>
    <row r="505" spans="47:65" x14ac:dyDescent="0.2">
      <c r="AU505" s="2">
        <v>-1132</v>
      </c>
      <c r="AV505" s="53">
        <v>503</v>
      </c>
      <c r="AW505" s="4" t="s">
        <v>1524</v>
      </c>
      <c r="AX505" t="s">
        <v>117</v>
      </c>
      <c r="AY505" s="4">
        <v>24358</v>
      </c>
      <c r="AZ505" s="9">
        <v>22.558669519535936</v>
      </c>
      <c r="BA505" s="7">
        <f t="shared" si="154"/>
        <v>5.7818826488973036E-4</v>
      </c>
      <c r="BB505" s="54">
        <f t="shared" si="148"/>
        <v>184.26180501417042</v>
      </c>
      <c r="BC505" s="55">
        <f t="shared" si="149"/>
        <v>103.34669807218297</v>
      </c>
      <c r="BD505" s="55">
        <f t="shared" si="150"/>
        <v>10.165957803974152</v>
      </c>
      <c r="BE505" s="55">
        <f t="shared" si="151"/>
        <v>9.9624555820716161</v>
      </c>
      <c r="BF505" s="56">
        <f t="shared" si="152"/>
        <v>9.6160573268182101E-2</v>
      </c>
      <c r="BG505" s="56">
        <f t="shared" si="155"/>
        <v>2.8146218231107286E-5</v>
      </c>
      <c r="BH505" s="56">
        <f t="shared" si="156"/>
        <v>5.3053009557523963E-3</v>
      </c>
      <c r="BI505" s="56">
        <f t="shared" si="153"/>
        <v>5.1990994002103106E-3</v>
      </c>
      <c r="BJ505" s="57">
        <f t="shared" si="157"/>
        <v>7.4529128354739894E-3</v>
      </c>
      <c r="BK505" s="57">
        <f t="shared" si="158"/>
        <v>4.1118666669037577E-4</v>
      </c>
      <c r="BL505" s="58">
        <f t="shared" si="159"/>
        <v>13.150021598464379</v>
      </c>
      <c r="BM505" s="58">
        <f t="shared" si="159"/>
        <v>0.72550339274632536</v>
      </c>
    </row>
    <row r="506" spans="47:65" x14ac:dyDescent="0.2">
      <c r="AU506" s="2">
        <v>-1131</v>
      </c>
      <c r="AV506" s="53">
        <v>504</v>
      </c>
      <c r="AW506" s="4" t="s">
        <v>2497</v>
      </c>
      <c r="AX506" t="s">
        <v>808</v>
      </c>
      <c r="AY506" s="4">
        <v>35888</v>
      </c>
      <c r="AZ506" s="9">
        <v>22.561461364277502</v>
      </c>
      <c r="BA506" s="7">
        <f t="shared" si="154"/>
        <v>5.7825982105422712E-4</v>
      </c>
      <c r="BB506" s="54">
        <f t="shared" si="148"/>
        <v>184.59683926645891</v>
      </c>
      <c r="BC506" s="55">
        <f t="shared" si="149"/>
        <v>103.6539616397569</v>
      </c>
      <c r="BD506" s="55">
        <f t="shared" si="150"/>
        <v>10.181058964555548</v>
      </c>
      <c r="BE506" s="55">
        <f t="shared" si="151"/>
        <v>9.9772544475037623</v>
      </c>
      <c r="BF506" s="56">
        <f t="shared" si="152"/>
        <v>9.6335417348115404E-2</v>
      </c>
      <c r="BG506" s="56">
        <f t="shared" si="155"/>
        <v>2.8229900705620386E-5</v>
      </c>
      <c r="BH506" s="56">
        <f t="shared" si="156"/>
        <v>5.3131817873681292E-3</v>
      </c>
      <c r="BI506" s="56">
        <f t="shared" si="153"/>
        <v>5.2068224732778412E-3</v>
      </c>
      <c r="BJ506" s="57">
        <f t="shared" si="157"/>
        <v>1.1000758015479607E-2</v>
      </c>
      <c r="BK506" s="57">
        <f t="shared" si="158"/>
        <v>6.0672418041103377E-4</v>
      </c>
      <c r="BL506" s="58">
        <f t="shared" si="159"/>
        <v>19.409888280792817</v>
      </c>
      <c r="BM506" s="58">
        <f t="shared" si="159"/>
        <v>1.0705124630923288</v>
      </c>
    </row>
    <row r="507" spans="47:65" x14ac:dyDescent="0.2">
      <c r="AU507" s="2">
        <v>-1130</v>
      </c>
      <c r="AV507" s="53">
        <v>505</v>
      </c>
      <c r="AW507" s="4" t="s">
        <v>2367</v>
      </c>
      <c r="AX507" t="s">
        <v>710</v>
      </c>
      <c r="AY507" s="4">
        <v>85477</v>
      </c>
      <c r="AZ507" s="9">
        <v>22.566223787917696</v>
      </c>
      <c r="BA507" s="7">
        <f t="shared" si="154"/>
        <v>5.7838188399144102E-4</v>
      </c>
      <c r="BB507" s="54">
        <f t="shared" si="148"/>
        <v>185.16975868484252</v>
      </c>
      <c r="BC507" s="55">
        <f t="shared" si="149"/>
        <v>104.18015872988845</v>
      </c>
      <c r="BD507" s="55">
        <f t="shared" si="150"/>
        <v>10.206868213604428</v>
      </c>
      <c r="BE507" s="55">
        <f t="shared" si="151"/>
        <v>10.002547046805677</v>
      </c>
      <c r="BF507" s="56">
        <f t="shared" si="152"/>
        <v>9.6634406385501526E-2</v>
      </c>
      <c r="BG507" s="56">
        <f t="shared" si="155"/>
        <v>2.8373209184823717E-5</v>
      </c>
      <c r="BH507" s="56">
        <f t="shared" si="156"/>
        <v>5.3266508412720013E-3</v>
      </c>
      <c r="BI507" s="56">
        <f t="shared" si="153"/>
        <v>5.2200219035565499E-3</v>
      </c>
      <c r="BJ507" s="57">
        <f t="shared" si="157"/>
        <v>2.6282606117585726E-2</v>
      </c>
      <c r="BK507" s="57">
        <f t="shared" si="158"/>
        <v>1.4487414081954062E-3</v>
      </c>
      <c r="BL507" s="58">
        <f t="shared" si="159"/>
        <v>46.373390611135981</v>
      </c>
      <c r="BM507" s="58">
        <f t="shared" si="159"/>
        <v>2.556179205220463</v>
      </c>
    </row>
    <row r="508" spans="47:65" x14ac:dyDescent="0.2">
      <c r="AU508" s="2">
        <v>-1129</v>
      </c>
      <c r="AV508" s="53">
        <v>506</v>
      </c>
      <c r="AW508" s="4" t="s">
        <v>1633</v>
      </c>
      <c r="AX508" t="s">
        <v>184</v>
      </c>
      <c r="AY508" s="4">
        <v>34273</v>
      </c>
      <c r="AZ508" s="9">
        <v>22.576847516427662</v>
      </c>
      <c r="BA508" s="7">
        <f t="shared" si="154"/>
        <v>5.7865417465771977E-4</v>
      </c>
      <c r="BB508" s="54">
        <f t="shared" si="148"/>
        <v>186.45420901198497</v>
      </c>
      <c r="BC508" s="55">
        <f t="shared" si="149"/>
        <v>105.36336795054194</v>
      </c>
      <c r="BD508" s="55">
        <f t="shared" si="150"/>
        <v>10.264665993131093</v>
      </c>
      <c r="BE508" s="55">
        <f t="shared" si="151"/>
        <v>10.059187829935002</v>
      </c>
      <c r="BF508" s="56">
        <f t="shared" si="152"/>
        <v>9.7304721537266381E-2</v>
      </c>
      <c r="BG508" s="56">
        <f t="shared" si="155"/>
        <v>2.8695453296717754E-5</v>
      </c>
      <c r="BH508" s="56">
        <f t="shared" si="156"/>
        <v>5.3568137261545464E-3</v>
      </c>
      <c r="BI508" s="56">
        <f t="shared" si="153"/>
        <v>5.2495809875763586E-3</v>
      </c>
      <c r="BJ508" s="57">
        <f t="shared" si="157"/>
        <v>1.0611417629869693E-2</v>
      </c>
      <c r="BK508" s="57">
        <f t="shared" si="158"/>
        <v>5.8417913042250547E-4</v>
      </c>
      <c r="BL508" s="58">
        <f t="shared" si="159"/>
        <v>18.722930765932897</v>
      </c>
      <c r="BM508" s="58">
        <f t="shared" si="159"/>
        <v>1.0307336677632739</v>
      </c>
    </row>
    <row r="509" spans="47:65" x14ac:dyDescent="0.2">
      <c r="AU509" s="2">
        <v>-1128</v>
      </c>
      <c r="AV509" s="53">
        <v>507</v>
      </c>
      <c r="AW509" s="4" t="s">
        <v>3229</v>
      </c>
      <c r="AX509" t="s">
        <v>3230</v>
      </c>
      <c r="AY509" s="5">
        <v>17582.134999999998</v>
      </c>
      <c r="AZ509" s="9">
        <v>22.588545376857056</v>
      </c>
      <c r="BA509" s="7">
        <f t="shared" si="154"/>
        <v>5.7895399578053626E-4</v>
      </c>
      <c r="BB509" s="54">
        <f t="shared" si="148"/>
        <v>187.87883586139031</v>
      </c>
      <c r="BC509" s="55">
        <f t="shared" si="149"/>
        <v>106.68136080114657</v>
      </c>
      <c r="BD509" s="55">
        <f t="shared" si="150"/>
        <v>10.328666942115355</v>
      </c>
      <c r="BE509" s="55">
        <f t="shared" si="151"/>
        <v>10.121907607427771</v>
      </c>
      <c r="BF509" s="56">
        <f t="shared" si="152"/>
        <v>9.8048190508068678E-2</v>
      </c>
      <c r="BG509" s="56">
        <f t="shared" si="155"/>
        <v>2.9054405397676227E-5</v>
      </c>
      <c r="BH509" s="56">
        <f t="shared" si="156"/>
        <v>5.3902138545401171E-3</v>
      </c>
      <c r="BI509" s="56">
        <f t="shared" si="153"/>
        <v>5.2823125119337245E-3</v>
      </c>
      <c r="BJ509" s="57">
        <f t="shared" si="157"/>
        <v>5.4852770226790498E-3</v>
      </c>
      <c r="BK509" s="57">
        <f t="shared" si="158"/>
        <v>3.0155392007160027E-4</v>
      </c>
      <c r="BL509" s="58">
        <f t="shared" si="159"/>
        <v>9.6782979908824434</v>
      </c>
      <c r="BM509" s="58">
        <f t="shared" si="159"/>
        <v>0.53206587136892913</v>
      </c>
    </row>
    <row r="510" spans="47:65" x14ac:dyDescent="0.2">
      <c r="AU510" s="2">
        <v>-1127</v>
      </c>
      <c r="AV510" s="53">
        <v>508</v>
      </c>
      <c r="AW510" s="4" t="s">
        <v>2858</v>
      </c>
      <c r="AX510" t="s">
        <v>1082</v>
      </c>
      <c r="AY510" s="4">
        <v>30594</v>
      </c>
      <c r="AZ510" s="9">
        <v>22.58923143798064</v>
      </c>
      <c r="BA510" s="7">
        <f t="shared" si="154"/>
        <v>5.7897157981803068E-4</v>
      </c>
      <c r="BB510" s="54">
        <f t="shared" si="148"/>
        <v>187.96272512225585</v>
      </c>
      <c r="BC510" s="55">
        <f t="shared" si="149"/>
        <v>106.75915585699896</v>
      </c>
      <c r="BD510" s="55">
        <f t="shared" si="150"/>
        <v>10.332432233361077</v>
      </c>
      <c r="BE510" s="55">
        <f t="shared" si="151"/>
        <v>10.125597525044231</v>
      </c>
      <c r="BF510" s="56">
        <f t="shared" si="152"/>
        <v>9.8091969735213697E-2</v>
      </c>
      <c r="BG510" s="56">
        <f t="shared" si="155"/>
        <v>2.9075592689193987E-5</v>
      </c>
      <c r="BH510" s="56">
        <f t="shared" si="156"/>
        <v>5.3921788443257318E-3</v>
      </c>
      <c r="BI510" s="56">
        <f t="shared" si="153"/>
        <v>5.2842381665386216E-3</v>
      </c>
      <c r="BJ510" s="57">
        <f t="shared" si="157"/>
        <v>9.5489823359664536E-3</v>
      </c>
      <c r="BK510" s="57">
        <f t="shared" si="158"/>
        <v>5.2491371797129148E-4</v>
      </c>
      <c r="BL510" s="58">
        <f t="shared" si="159"/>
        <v>16.84835536565453</v>
      </c>
      <c r="BM510" s="58">
        <f t="shared" si="159"/>
        <v>0.92616496140917637</v>
      </c>
    </row>
    <row r="511" spans="47:65" x14ac:dyDescent="0.2">
      <c r="AU511" s="2">
        <v>-1126</v>
      </c>
      <c r="AV511" s="53">
        <v>509</v>
      </c>
      <c r="AW511" s="4" t="s">
        <v>2603</v>
      </c>
      <c r="AX511" t="s">
        <v>899</v>
      </c>
      <c r="AY511" s="4">
        <v>21797</v>
      </c>
      <c r="AZ511" s="9">
        <v>22.594723397853851</v>
      </c>
      <c r="BA511" s="7">
        <f t="shared" si="154"/>
        <v>5.7911234107822752E-4</v>
      </c>
      <c r="BB511" s="54">
        <f t="shared" si="148"/>
        <v>188.63561520498223</v>
      </c>
      <c r="BC511" s="55">
        <f t="shared" si="149"/>
        <v>107.38390591668197</v>
      </c>
      <c r="BD511" s="55">
        <f t="shared" si="150"/>
        <v>10.362620610476965</v>
      </c>
      <c r="BE511" s="55">
        <f t="shared" si="151"/>
        <v>10.155181590993656</v>
      </c>
      <c r="BF511" s="56">
        <f t="shared" si="152"/>
        <v>9.8443130390003061E-2</v>
      </c>
      <c r="BG511" s="56">
        <f t="shared" si="155"/>
        <v>2.9245741826491943E-5</v>
      </c>
      <c r="BH511" s="56">
        <f t="shared" si="156"/>
        <v>5.4079332305874434E-3</v>
      </c>
      <c r="BI511" s="56">
        <f t="shared" si="153"/>
        <v>5.2996771813743652E-3</v>
      </c>
      <c r="BJ511" s="57">
        <f t="shared" si="157"/>
        <v>6.8276226697040919E-3</v>
      </c>
      <c r="BK511" s="57">
        <f t="shared" si="158"/>
        <v>3.7507266759118107E-4</v>
      </c>
      <c r="BL511" s="58">
        <f t="shared" si="159"/>
        <v>12.046751056235021</v>
      </c>
      <c r="BM511" s="58">
        <f t="shared" si="159"/>
        <v>0.66178335755405404</v>
      </c>
    </row>
    <row r="512" spans="47:65" x14ac:dyDescent="0.2">
      <c r="AU512" s="2">
        <v>-1125</v>
      </c>
      <c r="AV512" s="53">
        <v>510</v>
      </c>
      <c r="AW512" s="4" t="s">
        <v>2703</v>
      </c>
      <c r="AX512" t="s">
        <v>2704</v>
      </c>
      <c r="AY512" s="4">
        <v>34061</v>
      </c>
      <c r="AZ512" s="9">
        <v>22.604008998223748</v>
      </c>
      <c r="BA512" s="7">
        <f t="shared" si="154"/>
        <v>5.7935033495289643E-4</v>
      </c>
      <c r="BB512" s="54">
        <f t="shared" si="148"/>
        <v>189.77879710139183</v>
      </c>
      <c r="BC512" s="55">
        <f t="shared" si="149"/>
        <v>108.44832417405222</v>
      </c>
      <c r="BD512" s="55">
        <f t="shared" si="150"/>
        <v>10.413852513553868</v>
      </c>
      <c r="BE512" s="55">
        <f t="shared" si="151"/>
        <v>10.205387933438747</v>
      </c>
      <c r="BF512" s="56">
        <f t="shared" si="152"/>
        <v>9.9039721889256582E-2</v>
      </c>
      <c r="BG512" s="56">
        <f t="shared" si="155"/>
        <v>2.9535633512632921E-5</v>
      </c>
      <c r="BH512" s="56">
        <f t="shared" si="156"/>
        <v>5.4346695863348423E-3</v>
      </c>
      <c r="BI512" s="56">
        <f t="shared" si="153"/>
        <v>5.325878328545741E-3</v>
      </c>
      <c r="BJ512" s="57">
        <f t="shared" si="157"/>
        <v>1.0733816798289577E-2</v>
      </c>
      <c r="BK512" s="57">
        <f t="shared" si="158"/>
        <v>5.8900354914347077E-4</v>
      </c>
      <c r="BL512" s="58">
        <f t="shared" si="159"/>
        <v>18.938893536984576</v>
      </c>
      <c r="BM512" s="58">
        <f t="shared" si="159"/>
        <v>1.0392459383051706</v>
      </c>
    </row>
    <row r="513" spans="47:65" x14ac:dyDescent="0.2">
      <c r="AU513" s="2">
        <v>-1124</v>
      </c>
      <c r="AV513" s="53">
        <v>511</v>
      </c>
      <c r="AW513" s="4" t="s">
        <v>3101</v>
      </c>
      <c r="AX513" t="s">
        <v>1247</v>
      </c>
      <c r="AY513" s="4">
        <v>37033</v>
      </c>
      <c r="AZ513" s="9">
        <v>22.60750490820331</v>
      </c>
      <c r="BA513" s="7">
        <f t="shared" si="154"/>
        <v>5.7943993660797386E-4</v>
      </c>
      <c r="BB513" s="54">
        <f t="shared" si="148"/>
        <v>190.21098352423959</v>
      </c>
      <c r="BC513" s="55">
        <f t="shared" si="149"/>
        <v>108.85172247630004</v>
      </c>
      <c r="BD513" s="55">
        <f t="shared" si="150"/>
        <v>10.433202886760137</v>
      </c>
      <c r="BE513" s="55">
        <f t="shared" si="151"/>
        <v>10.224350950724594</v>
      </c>
      <c r="BF513" s="56">
        <f t="shared" si="152"/>
        <v>9.9265266701305768E-2</v>
      </c>
      <c r="BG513" s="56">
        <f t="shared" si="155"/>
        <v>2.9645498044938493E-5</v>
      </c>
      <c r="BH513" s="56">
        <f t="shared" si="156"/>
        <v>5.4447679514317681E-3</v>
      </c>
      <c r="BI513" s="56">
        <f t="shared" si="153"/>
        <v>5.335774544492097E-3</v>
      </c>
      <c r="BJ513" s="57">
        <f t="shared" si="157"/>
        <v>1.1696975522148472E-2</v>
      </c>
      <c r="BK513" s="57">
        <f t="shared" si="158"/>
        <v>6.4158712879213071E-4</v>
      </c>
      <c r="BL513" s="58">
        <f t="shared" si="159"/>
        <v>20.638303995833496</v>
      </c>
      <c r="BM513" s="58">
        <f t="shared" si="159"/>
        <v>1.1320251272436488</v>
      </c>
    </row>
    <row r="514" spans="47:65" x14ac:dyDescent="0.2">
      <c r="AU514" s="2">
        <v>-1123</v>
      </c>
      <c r="AV514" s="53">
        <v>512</v>
      </c>
      <c r="AW514" s="4" t="s">
        <v>1603</v>
      </c>
      <c r="AX514" t="s">
        <v>166</v>
      </c>
      <c r="AY514" s="4">
        <v>56561</v>
      </c>
      <c r="AZ514" s="9">
        <v>22.607986438563334</v>
      </c>
      <c r="BA514" s="7">
        <f t="shared" si="154"/>
        <v>5.7945227843527499E-4</v>
      </c>
      <c r="BB514" s="54">
        <f t="shared" si="148"/>
        <v>190.27059041856342</v>
      </c>
      <c r="BC514" s="55">
        <f t="shared" si="149"/>
        <v>108.90740144086207</v>
      </c>
      <c r="BD514" s="55">
        <f t="shared" si="150"/>
        <v>10.435870899971025</v>
      </c>
      <c r="BE514" s="55">
        <f t="shared" si="151"/>
        <v>10.226965555626403</v>
      </c>
      <c r="BF514" s="56">
        <f t="shared" si="152"/>
        <v>9.9296373707602942E-2</v>
      </c>
      <c r="BG514" s="56">
        <f t="shared" si="155"/>
        <v>2.9660662073560513E-5</v>
      </c>
      <c r="BH514" s="56">
        <f t="shared" si="156"/>
        <v>5.4461603055327443E-3</v>
      </c>
      <c r="BI514" s="56">
        <f t="shared" si="153"/>
        <v>5.3371390264379164E-3</v>
      </c>
      <c r="BJ514" s="57">
        <f t="shared" si="157"/>
        <v>1.7870546740893792E-2</v>
      </c>
      <c r="BK514" s="57">
        <f t="shared" si="158"/>
        <v>9.8015525305101105E-4</v>
      </c>
      <c r="BL514" s="58">
        <f t="shared" si="159"/>
        <v>31.531037703887922</v>
      </c>
      <c r="BM514" s="58">
        <f t="shared" si="159"/>
        <v>1.7293993680055426</v>
      </c>
    </row>
    <row r="515" spans="47:65" x14ac:dyDescent="0.2">
      <c r="AU515" s="2">
        <v>-1122</v>
      </c>
      <c r="AV515" s="53">
        <v>513</v>
      </c>
      <c r="AW515" s="4" t="s">
        <v>1485</v>
      </c>
      <c r="AX515" t="s">
        <v>82</v>
      </c>
      <c r="AY515" s="4">
        <v>26946</v>
      </c>
      <c r="AZ515" s="9">
        <v>22.608964052587638</v>
      </c>
      <c r="BA515" s="7">
        <f t="shared" si="154"/>
        <v>5.794773350972361E-4</v>
      </c>
      <c r="BB515" s="54">
        <f t="shared" ref="BB515:BB578" si="160">IFERROR(IF(MATCH(AX515,$S$4:$S$20,0),VLOOKUP(AX515,$S$4:$AT$20,20,FALSE)),AVERAGE((2^(($AE$23*AZ515)+$AE$24)),(2^(($AF$23*AZ515)+$AF$24)),(2^(($AG$23*AZ515)+$AG$24)),(2^(($AH$23*AZ515)+$AH$24))))</f>
        <v>190.3916631761092</v>
      </c>
      <c r="BC515" s="55">
        <f t="shared" ref="BC515:BC578" si="161">IFERROR(IF(MATCH(AX515,$S$4:$S$20,0),VLOOKUP(AX515,$S$4:$AT$20,21,FALSE)),_xlfn.VAR.S((2^(($AE$23*AZ515)+$AE$24)),(2^(($AF$23*AZ515)+$AF$24)),(2^(($AG$23*AZ515)+$AG$24)),(2^(($AH$23*AZ515)+$AH$24))))</f>
        <v>109.02052754219086</v>
      </c>
      <c r="BD515" s="55">
        <f t="shared" ref="BD515:BD578" si="162">SQRT(BC515)</f>
        <v>10.441289553603562</v>
      </c>
      <c r="BE515" s="55">
        <f t="shared" ref="BE515:BE578" si="163">_xlfn.CONFIDENCE.NORM(0.05,BD515,4)</f>
        <v>10.232275738608639</v>
      </c>
      <c r="BF515" s="56">
        <f t="shared" ref="BF515:BF578" si="164">IFERROR(IF(MATCH(AX515,$S$4:$S$20,0),VLOOKUP(AX515,$S$4:$AT$20,24,FALSE)),AVERAGE((2^(($AI$23*AZ515)+$AI$24)),(2^(($AJ$23*AZ515)+$AJ$24)),(2^(($AK$23*AZ515)+$AK$24)),(2^(($AL$23*AZ515)+$AL$24))))</f>
        <v>9.9359557858935202E-2</v>
      </c>
      <c r="BG515" s="56">
        <f t="shared" si="155"/>
        <v>2.9691471688140272E-5</v>
      </c>
      <c r="BH515" s="56">
        <f t="shared" si="156"/>
        <v>5.4489881343365272E-3</v>
      </c>
      <c r="BI515" s="56">
        <f t="shared" ref="BI515:BI578" si="165">_xlfn.CONFIDENCE.NORM(0.05,BH515,4)</f>
        <v>5.339910247742846E-3</v>
      </c>
      <c r="BJ515" s="57">
        <f t="shared" si="157"/>
        <v>8.5190531512372401E-3</v>
      </c>
      <c r="BK515" s="57">
        <f t="shared" si="158"/>
        <v>4.6719430457589791E-4</v>
      </c>
      <c r="BL515" s="58">
        <f t="shared" si="159"/>
        <v>15.031134190114425</v>
      </c>
      <c r="BM515" s="58">
        <f t="shared" si="159"/>
        <v>0.82432403698732937</v>
      </c>
    </row>
    <row r="516" spans="47:65" x14ac:dyDescent="0.2">
      <c r="AU516" s="2">
        <v>-1121</v>
      </c>
      <c r="AV516" s="53">
        <v>514</v>
      </c>
      <c r="AW516" s="4" t="s">
        <v>1602</v>
      </c>
      <c r="AX516" t="s">
        <v>165</v>
      </c>
      <c r="AY516" s="4">
        <v>113183</v>
      </c>
      <c r="AZ516" s="9">
        <v>22.609151979360544</v>
      </c>
      <c r="BA516" s="7">
        <f t="shared" ref="BA516:BA579" si="166">AZ516/$AZ$1637</f>
        <v>5.7948215174010852E-4</v>
      </c>
      <c r="BB516" s="54">
        <f t="shared" si="160"/>
        <v>190.4149458232971</v>
      </c>
      <c r="BC516" s="55">
        <f t="shared" si="161"/>
        <v>109.04228689416209</v>
      </c>
      <c r="BD516" s="55">
        <f t="shared" si="162"/>
        <v>10.442331487467829</v>
      </c>
      <c r="BE516" s="55">
        <f t="shared" si="163"/>
        <v>10.233296815032755</v>
      </c>
      <c r="BF516" s="56">
        <f t="shared" si="164"/>
        <v>9.9371708356975896E-2</v>
      </c>
      <c r="BG516" s="56">
        <f t="shared" ref="BG516:BG579" si="167">IFERROR(IF(MATCH(AX516,$S$4:$S$20,0),VLOOKUP(AX516,$S$4:$AT$20,25,FALSE)),_xlfn.VAR.S((2^(($AI$23*AZ516)+$AI$24)),(2^(($AJ$23*AZ516)+$AJ$24)),(2^(($AK$23*AZ516)+$AK$24)),(2^(($AL$23*AZ516)+$AL$24))))</f>
        <v>2.9697397793962738E-5</v>
      </c>
      <c r="BH516" s="56">
        <f t="shared" ref="BH516:BH579" si="168">SQRT(BG516)</f>
        <v>5.4495318875994051E-3</v>
      </c>
      <c r="BI516" s="56">
        <f t="shared" si="165"/>
        <v>5.3404431161487046E-3</v>
      </c>
      <c r="BJ516" s="57">
        <f t="shared" ref="BJ516:BJ579" si="169">(((BF516*0.000001)*AY516)*1000000000000000)*$S$24</f>
        <v>3.5787497384847315E-2</v>
      </c>
      <c r="BK516" s="57">
        <f t="shared" ref="BK516:BK579" si="170">((((BH516*0.000001)*AY516)*1000000000000000)*$S$24)</f>
        <v>1.9625818193193516E-3</v>
      </c>
      <c r="BL516" s="58">
        <f t="shared" ref="BL516:BM579" si="171">((BJ516/$S$26)*0.000000001)/0.45</f>
        <v>63.143951090607395</v>
      </c>
      <c r="BM516" s="58">
        <f t="shared" si="171"/>
        <v>3.4628062721951389</v>
      </c>
    </row>
    <row r="517" spans="47:65" x14ac:dyDescent="0.2">
      <c r="AU517" s="2">
        <v>-1120</v>
      </c>
      <c r="AV517" s="53">
        <v>515</v>
      </c>
      <c r="AW517" s="4" t="s">
        <v>1927</v>
      </c>
      <c r="AX517" t="s">
        <v>1300</v>
      </c>
      <c r="AY517" s="4">
        <v>27995</v>
      </c>
      <c r="AZ517" s="9">
        <v>22.631142410651705</v>
      </c>
      <c r="BA517" s="7">
        <f t="shared" si="166"/>
        <v>5.8004577581826635E-4</v>
      </c>
      <c r="BB517" s="54">
        <f t="shared" si="160"/>
        <v>193.15914150598203</v>
      </c>
      <c r="BC517" s="55">
        <f t="shared" si="161"/>
        <v>111.61791424861441</v>
      </c>
      <c r="BD517" s="55">
        <f t="shared" si="162"/>
        <v>10.564937967097318</v>
      </c>
      <c r="BE517" s="55">
        <f t="shared" si="163"/>
        <v>10.353448957205277</v>
      </c>
      <c r="BF517" s="56">
        <f t="shared" si="164"/>
        <v>0.10080381974862723</v>
      </c>
      <c r="BG517" s="56">
        <f t="shared" si="167"/>
        <v>3.0398863549061773E-5</v>
      </c>
      <c r="BH517" s="56">
        <f t="shared" si="168"/>
        <v>5.5135164413522677E-3</v>
      </c>
      <c r="BI517" s="56">
        <f t="shared" si="165"/>
        <v>5.4031468266099439E-3</v>
      </c>
      <c r="BJ517" s="57">
        <f t="shared" si="169"/>
        <v>8.9793486171229342E-3</v>
      </c>
      <c r="BK517" s="57">
        <f t="shared" si="170"/>
        <v>4.911300619023938E-4</v>
      </c>
      <c r="BL517" s="58">
        <f t="shared" si="171"/>
        <v>15.843285821522462</v>
      </c>
      <c r="BM517" s="58">
        <f t="shared" si="171"/>
        <v>0.8665566154123534</v>
      </c>
    </row>
    <row r="518" spans="47:65" x14ac:dyDescent="0.2">
      <c r="AU518" s="2">
        <v>-1119</v>
      </c>
      <c r="AV518" s="53">
        <v>516</v>
      </c>
      <c r="AW518" s="4" t="s">
        <v>2916</v>
      </c>
      <c r="AX518" t="s">
        <v>1128</v>
      </c>
      <c r="AY518" s="4">
        <v>37683</v>
      </c>
      <c r="AZ518" s="9">
        <v>22.641763363508755</v>
      </c>
      <c r="BA518" s="7">
        <f t="shared" si="166"/>
        <v>5.8031799534338389E-4</v>
      </c>
      <c r="BB518" s="54">
        <f t="shared" si="160"/>
        <v>194.49866439587964</v>
      </c>
      <c r="BC518" s="55">
        <f t="shared" si="161"/>
        <v>112.88302723670654</v>
      </c>
      <c r="BD518" s="55">
        <f t="shared" si="162"/>
        <v>10.624642452181934</v>
      </c>
      <c r="BE518" s="55">
        <f t="shared" si="163"/>
        <v>10.411958277445954</v>
      </c>
      <c r="BF518" s="56">
        <f t="shared" si="164"/>
        <v>0.10150287557839358</v>
      </c>
      <c r="BG518" s="56">
        <f t="shared" si="167"/>
        <v>3.0743413949938394E-5</v>
      </c>
      <c r="BH518" s="56">
        <f t="shared" si="168"/>
        <v>5.5446743772685509E-3</v>
      </c>
      <c r="BI518" s="56">
        <f t="shared" si="165"/>
        <v>5.4336810427242045E-3</v>
      </c>
      <c r="BJ518" s="57">
        <f t="shared" si="169"/>
        <v>1.2170577563430483E-2</v>
      </c>
      <c r="BK518" s="57">
        <f t="shared" si="170"/>
        <v>6.6482736757929903E-4</v>
      </c>
      <c r="BL518" s="58">
        <f t="shared" si="171"/>
        <v>21.473933931325579</v>
      </c>
      <c r="BM518" s="58">
        <f t="shared" si="171"/>
        <v>1.1730305232211931</v>
      </c>
    </row>
    <row r="519" spans="47:65" x14ac:dyDescent="0.2">
      <c r="AU519" s="2">
        <v>-1118</v>
      </c>
      <c r="AV519" s="53">
        <v>517</v>
      </c>
      <c r="AW519" s="4" t="s">
        <v>2210</v>
      </c>
      <c r="AX519" t="s">
        <v>596</v>
      </c>
      <c r="AY519" s="4">
        <v>18697</v>
      </c>
      <c r="AZ519" s="9">
        <v>22.64357732161972</v>
      </c>
      <c r="BA519" s="7">
        <f t="shared" si="166"/>
        <v>5.8036448785890452E-4</v>
      </c>
      <c r="BB519" s="54">
        <f t="shared" si="160"/>
        <v>194.72836926217525</v>
      </c>
      <c r="BC519" s="55">
        <f t="shared" si="161"/>
        <v>113.10048876517004</v>
      </c>
      <c r="BD519" s="55">
        <f t="shared" si="162"/>
        <v>10.634871356305634</v>
      </c>
      <c r="BE519" s="55">
        <f t="shared" si="163"/>
        <v>10.421982419287838</v>
      </c>
      <c r="BF519" s="56">
        <f t="shared" si="164"/>
        <v>0.10162275148877963</v>
      </c>
      <c r="BG519" s="56">
        <f t="shared" si="167"/>
        <v>3.0802639060668845E-5</v>
      </c>
      <c r="BH519" s="56">
        <f t="shared" si="168"/>
        <v>5.5500125279740447E-3</v>
      </c>
      <c r="BI519" s="56">
        <f t="shared" si="165"/>
        <v>5.4389123342876121E-3</v>
      </c>
      <c r="BJ519" s="57">
        <f t="shared" si="169"/>
        <v>6.0457509065461974E-3</v>
      </c>
      <c r="BK519" s="57">
        <f t="shared" si="170"/>
        <v>3.3018190100911213E-4</v>
      </c>
      <c r="BL519" s="58">
        <f t="shared" si="171"/>
        <v>10.667205796585968</v>
      </c>
      <c r="BM519" s="58">
        <f t="shared" si="171"/>
        <v>0.58257747347124533</v>
      </c>
    </row>
    <row r="520" spans="47:65" x14ac:dyDescent="0.2">
      <c r="AU520" s="2">
        <v>-1117</v>
      </c>
      <c r="AV520" s="53">
        <v>518</v>
      </c>
      <c r="AW520" s="4" t="s">
        <v>1932</v>
      </c>
      <c r="AX520" t="s">
        <v>387</v>
      </c>
      <c r="AY520" s="4">
        <v>13172</v>
      </c>
      <c r="AZ520" s="9">
        <v>22.645806758996876</v>
      </c>
      <c r="BA520" s="7">
        <f t="shared" si="166"/>
        <v>5.80421629284185E-4</v>
      </c>
      <c r="BB520" s="54">
        <f t="shared" si="160"/>
        <v>195.01105870346612</v>
      </c>
      <c r="BC520" s="55">
        <f t="shared" si="161"/>
        <v>113.36831802737851</v>
      </c>
      <c r="BD520" s="55">
        <f t="shared" si="162"/>
        <v>10.64745594155611</v>
      </c>
      <c r="BE520" s="55">
        <f t="shared" si="163"/>
        <v>10.434315086213491</v>
      </c>
      <c r="BF520" s="56">
        <f t="shared" si="164"/>
        <v>0.10177027842052407</v>
      </c>
      <c r="BG520" s="56">
        <f t="shared" si="167"/>
        <v>3.0875581699411599E-5</v>
      </c>
      <c r="BH520" s="56">
        <f t="shared" si="168"/>
        <v>5.5565800362643563E-3</v>
      </c>
      <c r="BI520" s="56">
        <f t="shared" si="165"/>
        <v>5.4453483741462019E-3</v>
      </c>
      <c r="BJ520" s="57">
        <f t="shared" si="169"/>
        <v>4.265402870092405E-3</v>
      </c>
      <c r="BK520" s="57">
        <f t="shared" si="170"/>
        <v>2.3288776254148816E-4</v>
      </c>
      <c r="BL520" s="58">
        <f t="shared" si="171"/>
        <v>7.5259353096003121</v>
      </c>
      <c r="BM520" s="58">
        <f t="shared" si="171"/>
        <v>0.41091036149812232</v>
      </c>
    </row>
    <row r="521" spans="47:65" x14ac:dyDescent="0.2">
      <c r="AU521" s="2">
        <v>-1116</v>
      </c>
      <c r="AV521" s="53">
        <v>519</v>
      </c>
      <c r="AW521" s="4" t="s">
        <v>2353</v>
      </c>
      <c r="AX521" t="s">
        <v>700</v>
      </c>
      <c r="AY521" s="4">
        <v>84303</v>
      </c>
      <c r="AZ521" s="9">
        <v>22.651358026209273</v>
      </c>
      <c r="BA521" s="7">
        <f t="shared" si="166"/>
        <v>5.8056391061663221E-4</v>
      </c>
      <c r="BB521" s="54">
        <f t="shared" si="160"/>
        <v>195.71673592364647</v>
      </c>
      <c r="BC521" s="55">
        <f t="shared" si="161"/>
        <v>114.03789660120943</v>
      </c>
      <c r="BD521" s="55">
        <f t="shared" si="162"/>
        <v>10.67885277551898</v>
      </c>
      <c r="BE521" s="55">
        <f t="shared" si="163"/>
        <v>10.465083418111394</v>
      </c>
      <c r="BF521" s="56">
        <f t="shared" si="164"/>
        <v>0.10213854967473002</v>
      </c>
      <c r="BG521" s="56">
        <f t="shared" si="167"/>
        <v>3.1057939771934897E-5</v>
      </c>
      <c r="BH521" s="56">
        <f t="shared" si="168"/>
        <v>5.5729650790162771E-3</v>
      </c>
      <c r="BI521" s="56">
        <f t="shared" si="165"/>
        <v>5.4614054209856586E-3</v>
      </c>
      <c r="BJ521" s="57">
        <f t="shared" si="169"/>
        <v>2.7398077422187073E-2</v>
      </c>
      <c r="BK521" s="57">
        <f t="shared" si="170"/>
        <v>1.4949157707083572E-3</v>
      </c>
      <c r="BL521" s="58">
        <f t="shared" si="171"/>
        <v>48.341543475900032</v>
      </c>
      <c r="BM521" s="58">
        <f t="shared" si="171"/>
        <v>2.6376498835639075</v>
      </c>
    </row>
    <row r="522" spans="47:65" x14ac:dyDescent="0.2">
      <c r="AU522" s="2">
        <v>-1115</v>
      </c>
      <c r="AV522" s="53">
        <v>520</v>
      </c>
      <c r="AW522" s="4" t="s">
        <v>1394</v>
      </c>
      <c r="AX522" t="s">
        <v>17</v>
      </c>
      <c r="AY522" s="4">
        <v>21601</v>
      </c>
      <c r="AZ522" s="9">
        <v>22.653211002497507</v>
      </c>
      <c r="BA522" s="7">
        <f t="shared" si="166"/>
        <v>5.8061140318458031E-4</v>
      </c>
      <c r="BB522" s="54">
        <f t="shared" si="160"/>
        <v>195.95285434967531</v>
      </c>
      <c r="BC522" s="55">
        <f t="shared" si="161"/>
        <v>114.2622539211409</v>
      </c>
      <c r="BD522" s="55">
        <f t="shared" si="162"/>
        <v>10.689352362100376</v>
      </c>
      <c r="BE522" s="55">
        <f t="shared" si="163"/>
        <v>10.475372823887444</v>
      </c>
      <c r="BF522" s="56">
        <f t="shared" si="164"/>
        <v>0.10226177262483822</v>
      </c>
      <c r="BG522" s="56">
        <f t="shared" si="167"/>
        <v>3.1119042934457481E-5</v>
      </c>
      <c r="BH522" s="56">
        <f t="shared" si="168"/>
        <v>5.5784444905777704E-3</v>
      </c>
      <c r="BI522" s="56">
        <f t="shared" si="165"/>
        <v>5.4667751456441583E-3</v>
      </c>
      <c r="BJ522" s="57">
        <f t="shared" si="169"/>
        <v>7.0286925320765222E-3</v>
      </c>
      <c r="BK522" s="57">
        <f t="shared" si="170"/>
        <v>3.8341963106166546E-4</v>
      </c>
      <c r="BL522" s="58">
        <f t="shared" si="171"/>
        <v>12.401521478399708</v>
      </c>
      <c r="BM522" s="58">
        <f t="shared" si="171"/>
        <v>0.67651085435181868</v>
      </c>
    </row>
    <row r="523" spans="47:65" x14ac:dyDescent="0.2">
      <c r="AU523" s="2">
        <v>-1114</v>
      </c>
      <c r="AV523" s="53">
        <v>521</v>
      </c>
      <c r="AW523" s="4" t="s">
        <v>2209</v>
      </c>
      <c r="AX523" t="s">
        <v>595</v>
      </c>
      <c r="AY523" s="4">
        <v>47477</v>
      </c>
      <c r="AZ523" s="9">
        <v>22.656386163607664</v>
      </c>
      <c r="BA523" s="7">
        <f t="shared" si="166"/>
        <v>5.8069278391013413E-4</v>
      </c>
      <c r="BB523" s="54">
        <f t="shared" si="160"/>
        <v>196.35811677574242</v>
      </c>
      <c r="BC523" s="55">
        <f t="shared" si="161"/>
        <v>114.64770071726093</v>
      </c>
      <c r="BD523" s="55">
        <f t="shared" si="162"/>
        <v>10.707366656524886</v>
      </c>
      <c r="BE523" s="55">
        <f t="shared" si="163"/>
        <v>10.493026508026913</v>
      </c>
      <c r="BF523" s="56">
        <f t="shared" si="164"/>
        <v>0.102473266630401</v>
      </c>
      <c r="BG523" s="56">
        <f t="shared" si="167"/>
        <v>3.1224018418360889E-5</v>
      </c>
      <c r="BH523" s="56">
        <f t="shared" si="168"/>
        <v>5.5878455972191007E-3</v>
      </c>
      <c r="BI523" s="56">
        <f t="shared" si="165"/>
        <v>5.4759880608600724E-3</v>
      </c>
      <c r="BJ523" s="57">
        <f t="shared" si="169"/>
        <v>1.5480365902706756E-2</v>
      </c>
      <c r="BK523" s="57">
        <f t="shared" si="170"/>
        <v>8.441410847648133E-4</v>
      </c>
      <c r="BL523" s="58">
        <f t="shared" si="171"/>
        <v>27.313769859724776</v>
      </c>
      <c r="BM523" s="58">
        <f t="shared" si="171"/>
        <v>1.489414104505957</v>
      </c>
    </row>
    <row r="524" spans="47:65" x14ac:dyDescent="0.2">
      <c r="AU524" s="2">
        <v>-1113</v>
      </c>
      <c r="AV524" s="53">
        <v>522</v>
      </c>
      <c r="AW524" s="4" t="s">
        <v>1415</v>
      </c>
      <c r="AX524" t="s">
        <v>30</v>
      </c>
      <c r="AY524" s="4">
        <v>21568</v>
      </c>
      <c r="AZ524" s="9">
        <v>22.66717017208925</v>
      </c>
      <c r="BA524" s="7">
        <f t="shared" si="166"/>
        <v>5.8096918262004579E-4</v>
      </c>
      <c r="BB524" s="54">
        <f t="shared" si="160"/>
        <v>197.74080453927374</v>
      </c>
      <c r="BC524" s="55">
        <f t="shared" si="161"/>
        <v>115.96629863562225</v>
      </c>
      <c r="BD524" s="55">
        <f t="shared" si="162"/>
        <v>10.768764954052171</v>
      </c>
      <c r="BE524" s="55">
        <f t="shared" si="163"/>
        <v>10.55319573395969</v>
      </c>
      <c r="BF524" s="56">
        <f t="shared" si="164"/>
        <v>0.10319484888116551</v>
      </c>
      <c r="BG524" s="56">
        <f t="shared" si="167"/>
        <v>3.1583135308031129E-5</v>
      </c>
      <c r="BH524" s="56">
        <f t="shared" si="168"/>
        <v>5.6198874817945535E-3</v>
      </c>
      <c r="BI524" s="56">
        <f t="shared" si="165"/>
        <v>5.5073885307424103E-3</v>
      </c>
      <c r="BJ524" s="57">
        <f t="shared" si="169"/>
        <v>7.0819893023807258E-3</v>
      </c>
      <c r="BK524" s="57">
        <f t="shared" si="170"/>
        <v>3.8567800096770565E-4</v>
      </c>
      <c r="BL524" s="58">
        <f t="shared" si="171"/>
        <v>12.495559030709831</v>
      </c>
      <c r="BM524" s="58">
        <f t="shared" si="171"/>
        <v>0.68049555317995969</v>
      </c>
    </row>
    <row r="525" spans="47:65" x14ac:dyDescent="0.2">
      <c r="AU525" s="2">
        <v>-1112</v>
      </c>
      <c r="AV525" s="53">
        <v>523</v>
      </c>
      <c r="AW525" s="4" t="s">
        <v>1806</v>
      </c>
      <c r="AX525" t="s">
        <v>289</v>
      </c>
      <c r="AY525" s="4">
        <v>24409</v>
      </c>
      <c r="AZ525" s="9">
        <v>22.667668286676818</v>
      </c>
      <c r="BA525" s="7">
        <f t="shared" si="166"/>
        <v>5.8098194950813081E-4</v>
      </c>
      <c r="BB525" s="54">
        <f t="shared" si="160"/>
        <v>197.80490578943972</v>
      </c>
      <c r="BC525" s="55">
        <f t="shared" si="161"/>
        <v>116.02756042240991</v>
      </c>
      <c r="BD525" s="55">
        <f t="shared" si="162"/>
        <v>10.771608998771256</v>
      </c>
      <c r="BE525" s="55">
        <f t="shared" si="163"/>
        <v>10.555982846569604</v>
      </c>
      <c r="BF525" s="56">
        <f t="shared" si="164"/>
        <v>0.10322830135365549</v>
      </c>
      <c r="BG525" s="56">
        <f t="shared" si="167"/>
        <v>3.1599819804509183E-5</v>
      </c>
      <c r="BH525" s="56">
        <f t="shared" si="168"/>
        <v>5.6213717013295951E-3</v>
      </c>
      <c r="BI525" s="56">
        <f t="shared" si="165"/>
        <v>5.5088430391593271E-3</v>
      </c>
      <c r="BJ525" s="57">
        <f t="shared" si="169"/>
        <v>8.0174477910155036E-3</v>
      </c>
      <c r="BK525" s="57">
        <f t="shared" si="170"/>
        <v>4.3659590963235443E-4</v>
      </c>
      <c r="BL525" s="58">
        <f t="shared" si="171"/>
        <v>14.146094814714051</v>
      </c>
      <c r="BM525" s="58">
        <f t="shared" si="171"/>
        <v>0.77033580939519086</v>
      </c>
    </row>
    <row r="526" spans="47:65" x14ac:dyDescent="0.2">
      <c r="AU526" s="2">
        <v>-1111</v>
      </c>
      <c r="AV526" s="53">
        <v>524</v>
      </c>
      <c r="AW526" s="4" t="s">
        <v>2302</v>
      </c>
      <c r="AX526" t="s">
        <v>656</v>
      </c>
      <c r="AY526" s="4">
        <v>38031</v>
      </c>
      <c r="AZ526" s="9">
        <v>22.668692851217212</v>
      </c>
      <c r="BA526" s="7">
        <f t="shared" si="166"/>
        <v>5.8100820953172687E-4</v>
      </c>
      <c r="BB526" s="54">
        <f t="shared" si="160"/>
        <v>197.93682004468675</v>
      </c>
      <c r="BC526" s="55">
        <f t="shared" si="161"/>
        <v>116.15366800743944</v>
      </c>
      <c r="BD526" s="55">
        <f t="shared" si="162"/>
        <v>10.777461111386087</v>
      </c>
      <c r="BE526" s="55">
        <f t="shared" si="163"/>
        <v>10.561717811548874</v>
      </c>
      <c r="BF526" s="56">
        <f t="shared" si="164"/>
        <v>0.10329714334945495</v>
      </c>
      <c r="BG526" s="56">
        <f t="shared" si="167"/>
        <v>3.1634164894146659E-5</v>
      </c>
      <c r="BH526" s="56">
        <f t="shared" si="168"/>
        <v>5.6244257390552022E-3</v>
      </c>
      <c r="BI526" s="56">
        <f t="shared" si="165"/>
        <v>5.5118359411341347E-3</v>
      </c>
      <c r="BJ526" s="57">
        <f t="shared" si="169"/>
        <v>1.2500098309092133E-2</v>
      </c>
      <c r="BK526" s="57">
        <f t="shared" si="170"/>
        <v>6.8061780210642371E-4</v>
      </c>
      <c r="BL526" s="58">
        <f t="shared" si="171"/>
        <v>22.055344853236246</v>
      </c>
      <c r="BM526" s="58">
        <f t="shared" si="171"/>
        <v>1.2008913824133858</v>
      </c>
    </row>
    <row r="527" spans="47:65" x14ac:dyDescent="0.2">
      <c r="AU527" s="2">
        <v>-1110</v>
      </c>
      <c r="AV527" s="53">
        <v>525</v>
      </c>
      <c r="AW527" s="4" t="s">
        <v>2552</v>
      </c>
      <c r="AX527" t="s">
        <v>857</v>
      </c>
      <c r="AY527" s="4">
        <v>36471</v>
      </c>
      <c r="AZ527" s="9">
        <v>22.669212070863843</v>
      </c>
      <c r="BA527" s="7">
        <f t="shared" si="166"/>
        <v>5.8102151735142432E-4</v>
      </c>
      <c r="BB527" s="54">
        <f t="shared" si="160"/>
        <v>198.00370395653755</v>
      </c>
      <c r="BC527" s="55">
        <f t="shared" si="161"/>
        <v>116.21762664269993</v>
      </c>
      <c r="BD527" s="55">
        <f t="shared" si="162"/>
        <v>10.780427943393525</v>
      </c>
      <c r="BE527" s="55">
        <f t="shared" si="163"/>
        <v>10.564625253490254</v>
      </c>
      <c r="BF527" s="56">
        <f t="shared" si="164"/>
        <v>0.10333204800756089</v>
      </c>
      <c r="BG527" s="56">
        <f t="shared" si="167"/>
        <v>3.1651583870651906E-5</v>
      </c>
      <c r="BH527" s="56">
        <f t="shared" si="168"/>
        <v>5.6259740375024757E-3</v>
      </c>
      <c r="BI527" s="56">
        <f t="shared" si="165"/>
        <v>5.5133532457311224E-3</v>
      </c>
      <c r="BJ527" s="57">
        <f t="shared" si="169"/>
        <v>1.1991405260731997E-2</v>
      </c>
      <c r="BK527" s="57">
        <f t="shared" si="170"/>
        <v>6.5287910160371999E-4</v>
      </c>
      <c r="BL527" s="58">
        <f t="shared" si="171"/>
        <v>21.157799863700749</v>
      </c>
      <c r="BM527" s="58">
        <f t="shared" si="171"/>
        <v>1.1519488389037258</v>
      </c>
    </row>
    <row r="528" spans="47:65" x14ac:dyDescent="0.2">
      <c r="AU528" s="2">
        <v>-1109</v>
      </c>
      <c r="AV528" s="53">
        <v>526</v>
      </c>
      <c r="AW528" s="4" t="s">
        <v>3020</v>
      </c>
      <c r="AX528" t="s">
        <v>1182</v>
      </c>
      <c r="AY528" s="4">
        <v>32074</v>
      </c>
      <c r="AZ528" s="9">
        <v>22.670113050277312</v>
      </c>
      <c r="BA528" s="7">
        <f t="shared" si="166"/>
        <v>5.8104460983581592E-4</v>
      </c>
      <c r="BB528" s="54">
        <f t="shared" si="160"/>
        <v>198.11981836206289</v>
      </c>
      <c r="BC528" s="55">
        <f t="shared" si="161"/>
        <v>116.32869271757852</v>
      </c>
      <c r="BD528" s="55">
        <f t="shared" si="162"/>
        <v>10.785577996453343</v>
      </c>
      <c r="BE528" s="55">
        <f t="shared" si="163"/>
        <v>10.569672212748111</v>
      </c>
      <c r="BF528" s="56">
        <f t="shared" si="164"/>
        <v>0.10339264454735457</v>
      </c>
      <c r="BG528" s="56">
        <f t="shared" si="167"/>
        <v>3.1681832442110459E-5</v>
      </c>
      <c r="BH528" s="56">
        <f t="shared" si="168"/>
        <v>5.6286616919220206E-3</v>
      </c>
      <c r="BI528" s="56">
        <f t="shared" si="165"/>
        <v>5.5159870986637213E-3</v>
      </c>
      <c r="BJ528" s="57">
        <f t="shared" si="169"/>
        <v>1.0551887219483145E-2</v>
      </c>
      <c r="BK528" s="57">
        <f t="shared" si="170"/>
        <v>5.7444128283790942E-4</v>
      </c>
      <c r="BL528" s="58">
        <f t="shared" si="171"/>
        <v>18.617894493588143</v>
      </c>
      <c r="BM528" s="58">
        <f t="shared" si="171"/>
        <v>1.0135520759632877</v>
      </c>
    </row>
    <row r="529" spans="47:65" x14ac:dyDescent="0.2">
      <c r="AU529" s="2">
        <v>-1108</v>
      </c>
      <c r="AV529" s="53">
        <v>527</v>
      </c>
      <c r="AW529" s="4" t="s">
        <v>2706</v>
      </c>
      <c r="AX529" t="s">
        <v>968</v>
      </c>
      <c r="AY529" s="4">
        <v>117750</v>
      </c>
      <c r="AZ529" s="9">
        <v>22.674975821314845</v>
      </c>
      <c r="BA529" s="7">
        <f t="shared" si="166"/>
        <v>5.8116924471937202E-4</v>
      </c>
      <c r="BB529" s="54">
        <f t="shared" si="160"/>
        <v>198.74768829076305</v>
      </c>
      <c r="BC529" s="55">
        <f t="shared" si="161"/>
        <v>116.92992629057066</v>
      </c>
      <c r="BD529" s="55">
        <f t="shared" si="162"/>
        <v>10.81341418288279</v>
      </c>
      <c r="BE529" s="55">
        <f t="shared" si="163"/>
        <v>10.59695117418244</v>
      </c>
      <c r="BF529" s="56">
        <f t="shared" si="164"/>
        <v>0.10372031056732556</v>
      </c>
      <c r="BG529" s="56">
        <f t="shared" si="167"/>
        <v>3.1845576922283856E-5</v>
      </c>
      <c r="BH529" s="56">
        <f t="shared" si="168"/>
        <v>5.6431885421527302E-3</v>
      </c>
      <c r="BI529" s="56">
        <f t="shared" si="165"/>
        <v>5.5302231502942206E-3</v>
      </c>
      <c r="BJ529" s="57">
        <f t="shared" si="169"/>
        <v>3.8860832174892571E-2</v>
      </c>
      <c r="BK529" s="57">
        <f t="shared" si="170"/>
        <v>2.114330372405947E-3</v>
      </c>
      <c r="BL529" s="58">
        <f t="shared" si="171"/>
        <v>68.566585134580734</v>
      </c>
      <c r="BM529" s="58">
        <f t="shared" si="171"/>
        <v>3.7305534999805472</v>
      </c>
    </row>
    <row r="530" spans="47:65" x14ac:dyDescent="0.2">
      <c r="AU530" s="2">
        <v>-1107</v>
      </c>
      <c r="AV530" s="53">
        <v>528</v>
      </c>
      <c r="AW530" s="4" t="s">
        <v>3041</v>
      </c>
      <c r="AX530" t="s">
        <v>1201</v>
      </c>
      <c r="AY530" s="4">
        <v>33551</v>
      </c>
      <c r="AZ530" s="9">
        <v>22.677616136430952</v>
      </c>
      <c r="BA530" s="7">
        <f t="shared" si="166"/>
        <v>5.8123691711531821E-4</v>
      </c>
      <c r="BB530" s="54">
        <f t="shared" si="160"/>
        <v>199.08943294254425</v>
      </c>
      <c r="BC530" s="55">
        <f t="shared" si="161"/>
        <v>117.25764187405832</v>
      </c>
      <c r="BD530" s="55">
        <f t="shared" si="162"/>
        <v>10.828556777062136</v>
      </c>
      <c r="BE530" s="55">
        <f t="shared" si="163"/>
        <v>10.611790643794453</v>
      </c>
      <c r="BF530" s="56">
        <f t="shared" si="164"/>
        <v>0.10389865659852877</v>
      </c>
      <c r="BG530" s="56">
        <f t="shared" si="167"/>
        <v>3.193482945286892E-5</v>
      </c>
      <c r="BH530" s="56">
        <f t="shared" si="168"/>
        <v>5.6510909966898358E-3</v>
      </c>
      <c r="BI530" s="56">
        <f t="shared" si="165"/>
        <v>5.5379674134353168E-3</v>
      </c>
      <c r="BJ530" s="57">
        <f t="shared" si="169"/>
        <v>1.1091818983467304E-2</v>
      </c>
      <c r="BK530" s="57">
        <f t="shared" si="170"/>
        <v>6.0328863188855765E-4</v>
      </c>
      <c r="BL530" s="58">
        <f t="shared" si="171"/>
        <v>19.570557501304258</v>
      </c>
      <c r="BM530" s="58">
        <f t="shared" si="171"/>
        <v>1.0644507341723153</v>
      </c>
    </row>
    <row r="531" spans="47:65" x14ac:dyDescent="0.2">
      <c r="AU531" s="2">
        <v>-1106</v>
      </c>
      <c r="AV531" s="53">
        <v>529</v>
      </c>
      <c r="AW531" s="4" t="s">
        <v>2107</v>
      </c>
      <c r="AX531" t="s">
        <v>513</v>
      </c>
      <c r="AY531" s="4">
        <v>62528</v>
      </c>
      <c r="AZ531" s="9">
        <v>22.687253785940417</v>
      </c>
      <c r="BA531" s="7">
        <f t="shared" si="166"/>
        <v>5.814839341587066E-4</v>
      </c>
      <c r="BB531" s="54">
        <f t="shared" si="160"/>
        <v>200.34186074728794</v>
      </c>
      <c r="BC531" s="55">
        <f t="shared" si="161"/>
        <v>118.46147524257776</v>
      </c>
      <c r="BD531" s="55">
        <f t="shared" si="162"/>
        <v>10.88400088398461</v>
      </c>
      <c r="BE531" s="55">
        <f t="shared" si="163"/>
        <v>10.666124870155972</v>
      </c>
      <c r="BF531" s="56">
        <f t="shared" si="164"/>
        <v>0.10455226017997576</v>
      </c>
      <c r="BG531" s="56">
        <f t="shared" si="167"/>
        <v>3.2262690500548521E-5</v>
      </c>
      <c r="BH531" s="56">
        <f t="shared" si="168"/>
        <v>5.6800255721738187E-3</v>
      </c>
      <c r="BI531" s="56">
        <f t="shared" si="165"/>
        <v>5.5663227763635978E-3</v>
      </c>
      <c r="BJ531" s="57">
        <f t="shared" si="169"/>
        <v>2.0801532685530037E-2</v>
      </c>
      <c r="BK531" s="57">
        <f t="shared" si="170"/>
        <v>1.1300878373249107E-3</v>
      </c>
      <c r="BL531" s="58">
        <f t="shared" si="171"/>
        <v>36.702509493187449</v>
      </c>
      <c r="BM531" s="58">
        <f t="shared" si="171"/>
        <v>1.9939424755179453</v>
      </c>
    </row>
    <row r="532" spans="47:65" x14ac:dyDescent="0.2">
      <c r="AU532" s="2">
        <v>-1105</v>
      </c>
      <c r="AV532" s="53">
        <v>530</v>
      </c>
      <c r="AW532" s="4" t="s">
        <v>1556</v>
      </c>
      <c r="AX532" t="s">
        <v>1557</v>
      </c>
      <c r="AY532" s="4">
        <v>14696</v>
      </c>
      <c r="AZ532" s="9">
        <v>22.687965658452367</v>
      </c>
      <c r="BA532" s="7">
        <f t="shared" si="166"/>
        <v>5.8150217975302899E-4</v>
      </c>
      <c r="BB532" s="54">
        <f t="shared" si="160"/>
        <v>200.43468159648052</v>
      </c>
      <c r="BC532" s="55">
        <f t="shared" si="161"/>
        <v>118.55087067156808</v>
      </c>
      <c r="BD532" s="55">
        <f t="shared" si="162"/>
        <v>10.888106845157614</v>
      </c>
      <c r="BE532" s="55">
        <f t="shared" si="163"/>
        <v>10.670148638166475</v>
      </c>
      <c r="BF532" s="56">
        <f t="shared" si="164"/>
        <v>0.10460070052858164</v>
      </c>
      <c r="BG532" s="56">
        <f t="shared" si="167"/>
        <v>3.2287037125066873E-5</v>
      </c>
      <c r="BH532" s="56">
        <f t="shared" si="168"/>
        <v>5.6821683471247903E-3</v>
      </c>
      <c r="BI532" s="56">
        <f t="shared" si="165"/>
        <v>5.5684226572290376E-3</v>
      </c>
      <c r="BJ532" s="57">
        <f t="shared" si="169"/>
        <v>4.8912640513849815E-3</v>
      </c>
      <c r="BK532" s="57">
        <f t="shared" si="170"/>
        <v>2.657055414520365E-4</v>
      </c>
      <c r="BL532" s="58">
        <f t="shared" si="171"/>
        <v>8.6302133594474348</v>
      </c>
      <c r="BM532" s="58">
        <f t="shared" si="171"/>
        <v>0.46881450059300728</v>
      </c>
    </row>
    <row r="533" spans="47:65" x14ac:dyDescent="0.2">
      <c r="AU533" s="2">
        <v>-1104</v>
      </c>
      <c r="AV533" s="53">
        <v>531</v>
      </c>
      <c r="AW533" s="4" t="s">
        <v>2518</v>
      </c>
      <c r="AX533" t="s">
        <v>827</v>
      </c>
      <c r="AY533" s="4">
        <v>17196</v>
      </c>
      <c r="AZ533" s="9">
        <v>22.694165432061062</v>
      </c>
      <c r="BA533" s="7">
        <f t="shared" si="166"/>
        <v>5.8166108257938661E-4</v>
      </c>
      <c r="BB533" s="54">
        <f t="shared" si="160"/>
        <v>201.24488878615279</v>
      </c>
      <c r="BC533" s="55">
        <f t="shared" si="161"/>
        <v>119.332207769139</v>
      </c>
      <c r="BD533" s="55">
        <f t="shared" si="162"/>
        <v>10.923928220614552</v>
      </c>
      <c r="BE533" s="55">
        <f t="shared" si="163"/>
        <v>10.705252941052619</v>
      </c>
      <c r="BF533" s="56">
        <f t="shared" si="164"/>
        <v>0.10502352276143062</v>
      </c>
      <c r="BG533" s="56">
        <f t="shared" si="167"/>
        <v>3.2499832355785033E-5</v>
      </c>
      <c r="BH533" s="56">
        <f t="shared" si="168"/>
        <v>5.7008624221064159E-3</v>
      </c>
      <c r="BI533" s="56">
        <f t="shared" si="165"/>
        <v>5.586742514073176E-3</v>
      </c>
      <c r="BJ533" s="57">
        <f t="shared" si="169"/>
        <v>5.7464732600849902E-3</v>
      </c>
      <c r="BK533" s="57">
        <f t="shared" si="170"/>
        <v>3.1192872421994936E-4</v>
      </c>
      <c r="BL533" s="58">
        <f t="shared" si="171"/>
        <v>10.139156213586627</v>
      </c>
      <c r="BM533" s="58">
        <f t="shared" si="171"/>
        <v>0.55037131806371142</v>
      </c>
    </row>
    <row r="534" spans="47:65" x14ac:dyDescent="0.2">
      <c r="AU534" s="2">
        <v>-1103</v>
      </c>
      <c r="AV534" s="53">
        <v>532</v>
      </c>
      <c r="AW534" s="4" t="s">
        <v>2713</v>
      </c>
      <c r="AX534" t="s">
        <v>974</v>
      </c>
      <c r="AY534" s="4">
        <v>130935</v>
      </c>
      <c r="AZ534" s="9">
        <v>22.695624502815136</v>
      </c>
      <c r="BA534" s="7">
        <f t="shared" si="166"/>
        <v>5.816984791814743E-4</v>
      </c>
      <c r="BB534" s="54">
        <f t="shared" si="160"/>
        <v>201.43604066755</v>
      </c>
      <c r="BC534" s="55">
        <f t="shared" si="161"/>
        <v>119.51681738833251</v>
      </c>
      <c r="BD534" s="55">
        <f t="shared" si="162"/>
        <v>10.932374736914781</v>
      </c>
      <c r="BE534" s="55">
        <f t="shared" si="163"/>
        <v>10.713530374924257</v>
      </c>
      <c r="BF534" s="56">
        <f t="shared" si="164"/>
        <v>0.10512327905381594</v>
      </c>
      <c r="BG534" s="56">
        <f t="shared" si="167"/>
        <v>3.2550110330082328E-5</v>
      </c>
      <c r="BH534" s="56">
        <f t="shared" si="168"/>
        <v>5.7052703993835671E-3</v>
      </c>
      <c r="BI534" s="56">
        <f t="shared" si="165"/>
        <v>5.5910622524271199E-3</v>
      </c>
      <c r="BJ534" s="57">
        <f t="shared" si="169"/>
        <v>4.3796764075668321E-2</v>
      </c>
      <c r="BK534" s="57">
        <f t="shared" si="170"/>
        <v>2.3769462284541029E-3</v>
      </c>
      <c r="BL534" s="58">
        <f t="shared" si="171"/>
        <v>77.275611059962088</v>
      </c>
      <c r="BM534" s="58">
        <f t="shared" si="171"/>
        <v>4.1939165172823367</v>
      </c>
    </row>
    <row r="535" spans="47:65" x14ac:dyDescent="0.2">
      <c r="AU535" s="2">
        <v>-1102</v>
      </c>
      <c r="AV535" s="53">
        <v>533</v>
      </c>
      <c r="AW535" s="4" t="s">
        <v>2622</v>
      </c>
      <c r="AX535" t="s">
        <v>912</v>
      </c>
      <c r="AY535" s="4">
        <v>21732</v>
      </c>
      <c r="AZ535" s="9">
        <v>22.702517394587854</v>
      </c>
      <c r="BA535" s="7">
        <f t="shared" si="166"/>
        <v>5.8187514692026484E-4</v>
      </c>
      <c r="BB535" s="54">
        <f t="shared" si="160"/>
        <v>202.34153182759505</v>
      </c>
      <c r="BC535" s="55">
        <f t="shared" si="161"/>
        <v>120.39271097649167</v>
      </c>
      <c r="BD535" s="55">
        <f t="shared" si="162"/>
        <v>10.972361230678276</v>
      </c>
      <c r="BE535" s="55">
        <f t="shared" si="163"/>
        <v>10.7527164187465</v>
      </c>
      <c r="BF535" s="56">
        <f t="shared" si="164"/>
        <v>0.10559582706251755</v>
      </c>
      <c r="BG535" s="56">
        <f t="shared" si="167"/>
        <v>3.2788657787714399E-5</v>
      </c>
      <c r="BH535" s="56">
        <f t="shared" si="168"/>
        <v>5.7261381216064285E-3</v>
      </c>
      <c r="BI535" s="56">
        <f t="shared" si="165"/>
        <v>5.611512244425217E-3</v>
      </c>
      <c r="BJ535" s="57">
        <f t="shared" si="169"/>
        <v>7.3018654257922594E-3</v>
      </c>
      <c r="BK535" s="57">
        <f t="shared" si="170"/>
        <v>3.9595778674771597E-4</v>
      </c>
      <c r="BL535" s="58">
        <f t="shared" si="171"/>
        <v>12.883511477716333</v>
      </c>
      <c r="BM535" s="58">
        <f t="shared" si="171"/>
        <v>0.69863334816278877</v>
      </c>
    </row>
    <row r="536" spans="47:65" x14ac:dyDescent="0.2">
      <c r="AU536" s="2">
        <v>-1101</v>
      </c>
      <c r="AV536" s="53">
        <v>534</v>
      </c>
      <c r="AW536" s="4" t="s">
        <v>3025</v>
      </c>
      <c r="AX536" t="s">
        <v>1187</v>
      </c>
      <c r="AY536" s="4">
        <v>23062</v>
      </c>
      <c r="AZ536" s="9">
        <v>22.706071014433835</v>
      </c>
      <c r="BA536" s="7">
        <f t="shared" si="166"/>
        <v>5.819662277036881E-4</v>
      </c>
      <c r="BB536" s="54">
        <f t="shared" si="160"/>
        <v>202.80994555110414</v>
      </c>
      <c r="BC536" s="55">
        <f t="shared" si="161"/>
        <v>120.84671543873473</v>
      </c>
      <c r="BD536" s="55">
        <f t="shared" si="162"/>
        <v>10.993030311917398</v>
      </c>
      <c r="BE536" s="55">
        <f t="shared" si="163"/>
        <v>10.772971746157605</v>
      </c>
      <c r="BF536" s="56">
        <f t="shared" si="164"/>
        <v>0.10584027778943755</v>
      </c>
      <c r="BG536" s="56">
        <f t="shared" si="167"/>
        <v>3.2912304782833492E-5</v>
      </c>
      <c r="BH536" s="56">
        <f t="shared" si="168"/>
        <v>5.7369246798989349E-3</v>
      </c>
      <c r="BI536" s="56">
        <f t="shared" si="165"/>
        <v>5.6220828773104444E-3</v>
      </c>
      <c r="BJ536" s="57">
        <f t="shared" si="169"/>
        <v>7.7666781957332516E-3</v>
      </c>
      <c r="BK536" s="57">
        <f t="shared" si="170"/>
        <v>4.2098196218435868E-4</v>
      </c>
      <c r="BL536" s="58">
        <f t="shared" si="171"/>
        <v>13.703633502339121</v>
      </c>
      <c r="BM536" s="58">
        <f t="shared" si="171"/>
        <v>0.74278634642533814</v>
      </c>
    </row>
    <row r="537" spans="47:65" x14ac:dyDescent="0.2">
      <c r="AU537" s="2">
        <v>-1100</v>
      </c>
      <c r="AV537" s="53">
        <v>535</v>
      </c>
      <c r="AW537" s="4" t="s">
        <v>1504</v>
      </c>
      <c r="AX537" t="s">
        <v>99</v>
      </c>
      <c r="AY537" s="4">
        <v>10591</v>
      </c>
      <c r="AZ537" s="9">
        <v>22.720653001611577</v>
      </c>
      <c r="BA537" s="7">
        <f t="shared" si="166"/>
        <v>5.8233997021796366E-4</v>
      </c>
      <c r="BB537" s="54">
        <f t="shared" si="160"/>
        <v>204.74342500607153</v>
      </c>
      <c r="BC537" s="55">
        <f t="shared" si="161"/>
        <v>122.72720421865982</v>
      </c>
      <c r="BD537" s="55">
        <f t="shared" si="162"/>
        <v>11.078231096102835</v>
      </c>
      <c r="BE537" s="55">
        <f t="shared" si="163"/>
        <v>10.856466980386619</v>
      </c>
      <c r="BF537" s="56">
        <f t="shared" si="164"/>
        <v>0.10684930129692798</v>
      </c>
      <c r="BG537" s="56">
        <f t="shared" si="167"/>
        <v>3.3424451262288879E-5</v>
      </c>
      <c r="BH537" s="56">
        <f t="shared" si="168"/>
        <v>5.7813883507587416E-3</v>
      </c>
      <c r="BI537" s="56">
        <f t="shared" si="165"/>
        <v>5.6656564740632763E-3</v>
      </c>
      <c r="BJ537" s="57">
        <f t="shared" si="169"/>
        <v>3.6007753492566992E-3</v>
      </c>
      <c r="BK537" s="57">
        <f t="shared" si="170"/>
        <v>1.9483029280688839E-4</v>
      </c>
      <c r="BL537" s="58">
        <f t="shared" si="171"/>
        <v>6.3532573987137386</v>
      </c>
      <c r="BM537" s="58">
        <f t="shared" si="171"/>
        <v>0.34376124006859959</v>
      </c>
    </row>
    <row r="538" spans="47:65" x14ac:dyDescent="0.2">
      <c r="AU538" s="2">
        <v>-1099</v>
      </c>
      <c r="AV538" s="53">
        <v>536</v>
      </c>
      <c r="AW538" s="4" t="s">
        <v>3103</v>
      </c>
      <c r="AX538" t="s">
        <v>1248</v>
      </c>
      <c r="AY538" s="4">
        <v>47461</v>
      </c>
      <c r="AZ538" s="9">
        <v>22.721520345072129</v>
      </c>
      <c r="BA538" s="7">
        <f t="shared" si="166"/>
        <v>5.8236220059861997E-4</v>
      </c>
      <c r="BB538" s="54">
        <f t="shared" si="160"/>
        <v>204.85900839420339</v>
      </c>
      <c r="BC538" s="55">
        <f t="shared" si="161"/>
        <v>122.83994986764861</v>
      </c>
      <c r="BD538" s="55">
        <f t="shared" si="162"/>
        <v>11.083318540385303</v>
      </c>
      <c r="BE538" s="55">
        <f t="shared" si="163"/>
        <v>10.861452584170115</v>
      </c>
      <c r="BF538" s="56">
        <f t="shared" si="164"/>
        <v>0.10690962071506344</v>
      </c>
      <c r="BG538" s="56">
        <f t="shared" si="167"/>
        <v>3.3455157261611933E-5</v>
      </c>
      <c r="BH538" s="56">
        <f t="shared" si="168"/>
        <v>5.7840433315814585E-3</v>
      </c>
      <c r="BI538" s="56">
        <f t="shared" si="165"/>
        <v>5.6682583074593607E-3</v>
      </c>
      <c r="BJ538" s="57">
        <f t="shared" si="169"/>
        <v>1.6145111381981107E-2</v>
      </c>
      <c r="BK538" s="57">
        <f t="shared" si="170"/>
        <v>8.7348569008093057E-4</v>
      </c>
      <c r="BL538" s="58">
        <f t="shared" si="171"/>
        <v>28.486655898097894</v>
      </c>
      <c r="BM538" s="58">
        <f t="shared" si="171"/>
        <v>1.5411901284879701</v>
      </c>
    </row>
    <row r="539" spans="47:65" x14ac:dyDescent="0.2">
      <c r="AU539" s="2">
        <v>-1098</v>
      </c>
      <c r="AV539" s="53">
        <v>537</v>
      </c>
      <c r="AW539" s="4" t="s">
        <v>2516</v>
      </c>
      <c r="AX539" t="s">
        <v>825</v>
      </c>
      <c r="AY539" s="4">
        <v>27582</v>
      </c>
      <c r="AZ539" s="9">
        <v>22.73200949414397</v>
      </c>
      <c r="BA539" s="7">
        <f t="shared" si="166"/>
        <v>5.8263104193683661E-4</v>
      </c>
      <c r="BB539" s="54">
        <f t="shared" si="160"/>
        <v>206.26198410147998</v>
      </c>
      <c r="BC539" s="55">
        <f t="shared" si="161"/>
        <v>124.21144001974268</v>
      </c>
      <c r="BD539" s="55">
        <f t="shared" si="162"/>
        <v>11.145018619084613</v>
      </c>
      <c r="BE539" s="55">
        <f t="shared" si="163"/>
        <v>10.921917550217083</v>
      </c>
      <c r="BF539" s="56">
        <f t="shared" si="164"/>
        <v>0.10764179062017576</v>
      </c>
      <c r="BG539" s="56">
        <f t="shared" si="167"/>
        <v>3.382867922063626E-5</v>
      </c>
      <c r="BH539" s="56">
        <f t="shared" si="168"/>
        <v>5.8162427064760852E-3</v>
      </c>
      <c r="BI539" s="56">
        <f t="shared" si="165"/>
        <v>5.6998131150184468E-3</v>
      </c>
      <c r="BJ539" s="57">
        <f t="shared" si="169"/>
        <v>9.4470027095464402E-3</v>
      </c>
      <c r="BK539" s="57">
        <f t="shared" si="170"/>
        <v>5.1045286678053949E-4</v>
      </c>
      <c r="BL539" s="58">
        <f t="shared" si="171"/>
        <v>16.668421114492553</v>
      </c>
      <c r="BM539" s="58">
        <f t="shared" si="171"/>
        <v>0.90065003728642901</v>
      </c>
    </row>
    <row r="540" spans="47:65" x14ac:dyDescent="0.2">
      <c r="AU540" s="2">
        <v>-1097</v>
      </c>
      <c r="AV540" s="53">
        <v>538</v>
      </c>
      <c r="AW540" s="4" t="s">
        <v>2132</v>
      </c>
      <c r="AX540" t="s">
        <v>532</v>
      </c>
      <c r="AY540" s="4">
        <v>41239</v>
      </c>
      <c r="AZ540" s="9">
        <v>22.737631357351223</v>
      </c>
      <c r="BA540" s="7">
        <f t="shared" si="166"/>
        <v>5.8277513267456535E-4</v>
      </c>
      <c r="BB540" s="54">
        <f t="shared" si="160"/>
        <v>207.01788725063278</v>
      </c>
      <c r="BC540" s="55">
        <f t="shared" si="161"/>
        <v>124.95264139403569</v>
      </c>
      <c r="BD540" s="55">
        <f t="shared" si="162"/>
        <v>11.178221745610331</v>
      </c>
      <c r="BE540" s="55">
        <f t="shared" si="163"/>
        <v>10.95445601629935</v>
      </c>
      <c r="BF540" s="56">
        <f t="shared" si="164"/>
        <v>0.10803627324315984</v>
      </c>
      <c r="BG540" s="56">
        <f t="shared" si="167"/>
        <v>3.403054358614582E-5</v>
      </c>
      <c r="BH540" s="56">
        <f t="shared" si="168"/>
        <v>5.8335703978049172E-3</v>
      </c>
      <c r="BI540" s="56">
        <f t="shared" si="165"/>
        <v>5.7167939404883152E-3</v>
      </c>
      <c r="BJ540" s="57">
        <f t="shared" si="169"/>
        <v>1.4176371718723095E-2</v>
      </c>
      <c r="BK540" s="57">
        <f t="shared" si="170"/>
        <v>7.654731130949837E-4</v>
      </c>
      <c r="BL540" s="58">
        <f t="shared" si="171"/>
        <v>25.012984641623333</v>
      </c>
      <c r="BM540" s="58">
        <f t="shared" si="171"/>
        <v>1.3506112566258972</v>
      </c>
    </row>
    <row r="541" spans="47:65" x14ac:dyDescent="0.2">
      <c r="AU541" s="2">
        <v>-1096</v>
      </c>
      <c r="AV541" s="53">
        <v>539</v>
      </c>
      <c r="AW541" s="4" t="s">
        <v>1594</v>
      </c>
      <c r="AX541" t="s">
        <v>159</v>
      </c>
      <c r="AY541" s="4">
        <v>55486</v>
      </c>
      <c r="AZ541" s="9">
        <v>22.738091984663036</v>
      </c>
      <c r="BA541" s="7">
        <f t="shared" si="166"/>
        <v>5.8278693874787779E-4</v>
      </c>
      <c r="BB541" s="54">
        <f t="shared" si="160"/>
        <v>207.07994482831126</v>
      </c>
      <c r="BC541" s="55">
        <f t="shared" si="161"/>
        <v>125.01356221921162</v>
      </c>
      <c r="BD541" s="55">
        <f t="shared" si="162"/>
        <v>11.180946391929961</v>
      </c>
      <c r="BE541" s="55">
        <f t="shared" si="163"/>
        <v>10.95712612062789</v>
      </c>
      <c r="BF541" s="56">
        <f t="shared" si="164"/>
        <v>0.108068659185785</v>
      </c>
      <c r="BG541" s="56">
        <f t="shared" si="167"/>
        <v>3.4047135222571578E-5</v>
      </c>
      <c r="BH541" s="56">
        <f t="shared" si="168"/>
        <v>5.8349923069847811E-3</v>
      </c>
      <c r="BI541" s="56">
        <f t="shared" si="165"/>
        <v>5.7181873858792257E-3</v>
      </c>
      <c r="BJ541" s="57">
        <f t="shared" si="169"/>
        <v>1.9079656554598787E-2</v>
      </c>
      <c r="BK541" s="57">
        <f t="shared" si="170"/>
        <v>1.030175168774923E-3</v>
      </c>
      <c r="BL541" s="58">
        <f t="shared" si="171"/>
        <v>33.664407638050676</v>
      </c>
      <c r="BM541" s="58">
        <f t="shared" si="171"/>
        <v>1.8176551931631943</v>
      </c>
    </row>
    <row r="542" spans="47:65" x14ac:dyDescent="0.2">
      <c r="AU542" s="2">
        <v>-1095</v>
      </c>
      <c r="AV542" s="53">
        <v>540</v>
      </c>
      <c r="AW542" s="4" t="s">
        <v>2038</v>
      </c>
      <c r="AX542" t="s">
        <v>461</v>
      </c>
      <c r="AY542" s="4">
        <v>34435</v>
      </c>
      <c r="AZ542" s="9">
        <v>22.738731119217896</v>
      </c>
      <c r="BA542" s="7">
        <f t="shared" si="166"/>
        <v>5.8280332003751831E-4</v>
      </c>
      <c r="BB542" s="54">
        <f t="shared" si="160"/>
        <v>207.16608244235729</v>
      </c>
      <c r="BC542" s="55">
        <f t="shared" si="161"/>
        <v>125.09813963464562</v>
      </c>
      <c r="BD542" s="55">
        <f t="shared" si="162"/>
        <v>11.184727964266525</v>
      </c>
      <c r="BE542" s="55">
        <f t="shared" si="163"/>
        <v>10.960831993420189</v>
      </c>
      <c r="BF542" s="56">
        <f t="shared" si="164"/>
        <v>0.10811361175935819</v>
      </c>
      <c r="BG542" s="56">
        <f t="shared" si="167"/>
        <v>3.4070169672986663E-5</v>
      </c>
      <c r="BH542" s="56">
        <f t="shared" si="168"/>
        <v>5.8369657933713013E-3</v>
      </c>
      <c r="BI542" s="56">
        <f t="shared" si="165"/>
        <v>5.7201213670000058E-3</v>
      </c>
      <c r="BJ542" s="57">
        <f t="shared" si="169"/>
        <v>1.1845893820520731E-2</v>
      </c>
      <c r="BK542" s="57">
        <f t="shared" si="170"/>
        <v>6.395501537418848E-4</v>
      </c>
      <c r="BL542" s="58">
        <f t="shared" si="171"/>
        <v>20.901057483393533</v>
      </c>
      <c r="BM542" s="58">
        <f t="shared" si="171"/>
        <v>1.1284310605347545</v>
      </c>
    </row>
    <row r="543" spans="47:65" x14ac:dyDescent="0.2">
      <c r="AU543" s="2">
        <v>-1094</v>
      </c>
      <c r="AV543" s="53">
        <v>541</v>
      </c>
      <c r="AW543" s="4" t="s">
        <v>2903</v>
      </c>
      <c r="AX543" t="s">
        <v>1117</v>
      </c>
      <c r="AY543" s="4">
        <v>35355</v>
      </c>
      <c r="AZ543" s="9">
        <v>22.740886967897215</v>
      </c>
      <c r="BA543" s="7">
        <f t="shared" si="166"/>
        <v>5.8285857535327089E-4</v>
      </c>
      <c r="BB543" s="54">
        <f t="shared" si="160"/>
        <v>207.45689542803586</v>
      </c>
      <c r="BC543" s="55">
        <f t="shared" si="161"/>
        <v>125.38383663196215</v>
      </c>
      <c r="BD543" s="55">
        <f t="shared" si="162"/>
        <v>11.197492426072998</v>
      </c>
      <c r="BE543" s="55">
        <f t="shared" si="163"/>
        <v>10.973340936131553</v>
      </c>
      <c r="BF543" s="56">
        <f t="shared" si="164"/>
        <v>0.10826537811926398</v>
      </c>
      <c r="BG543" s="56">
        <f t="shared" si="167"/>
        <v>3.4147978545301528E-5</v>
      </c>
      <c r="BH543" s="56">
        <f t="shared" si="168"/>
        <v>5.8436271737082549E-3</v>
      </c>
      <c r="BI543" s="56">
        <f t="shared" si="165"/>
        <v>5.7266493997738819E-3</v>
      </c>
      <c r="BJ543" s="57">
        <f t="shared" si="169"/>
        <v>1.217945375481458E-2</v>
      </c>
      <c r="BK543" s="57">
        <f t="shared" si="170"/>
        <v>6.5738639774716348E-4</v>
      </c>
      <c r="BL543" s="58">
        <f t="shared" si="171"/>
        <v>21.4895952051107</v>
      </c>
      <c r="BM543" s="58">
        <f t="shared" si="171"/>
        <v>1.1599015740215768</v>
      </c>
    </row>
    <row r="544" spans="47:65" x14ac:dyDescent="0.2">
      <c r="AU544" s="2">
        <v>-1093</v>
      </c>
      <c r="AV544" s="53">
        <v>542</v>
      </c>
      <c r="AW544" s="4" t="s">
        <v>2567</v>
      </c>
      <c r="AX544" t="s">
        <v>870</v>
      </c>
      <c r="AY544" s="4">
        <v>19008</v>
      </c>
      <c r="AZ544" s="9">
        <v>22.744628018784219</v>
      </c>
      <c r="BA544" s="7">
        <f t="shared" si="166"/>
        <v>5.829544600737482E-4</v>
      </c>
      <c r="BB544" s="54">
        <f t="shared" si="160"/>
        <v>207.96251337170102</v>
      </c>
      <c r="BC544" s="55">
        <f t="shared" si="161"/>
        <v>125.88111568965661</v>
      </c>
      <c r="BD544" s="55">
        <f t="shared" si="162"/>
        <v>11.219675382543677</v>
      </c>
      <c r="BE544" s="55">
        <f t="shared" si="163"/>
        <v>10.995079834008127</v>
      </c>
      <c r="BF544" s="56">
        <f t="shared" si="164"/>
        <v>0.10852924458531636</v>
      </c>
      <c r="BG544" s="56">
        <f t="shared" si="167"/>
        <v>3.4283411269719706E-5</v>
      </c>
      <c r="BH544" s="56">
        <f t="shared" si="168"/>
        <v>5.8552037769594072E-3</v>
      </c>
      <c r="BI544" s="56">
        <f t="shared" si="165"/>
        <v>5.7379942624916653E-3</v>
      </c>
      <c r="BJ544" s="57">
        <f t="shared" si="169"/>
        <v>6.5640302766904633E-3</v>
      </c>
      <c r="BK544" s="57">
        <f t="shared" si="170"/>
        <v>3.5413251990287835E-4</v>
      </c>
      <c r="BL544" s="58">
        <f t="shared" si="171"/>
        <v>11.581665023721442</v>
      </c>
      <c r="BM544" s="58">
        <f t="shared" si="171"/>
        <v>0.62483627384933738</v>
      </c>
    </row>
    <row r="545" spans="47:65" x14ac:dyDescent="0.2">
      <c r="AU545" s="2">
        <v>-1092</v>
      </c>
      <c r="AV545" s="53">
        <v>543</v>
      </c>
      <c r="AW545" s="4" t="s">
        <v>2947</v>
      </c>
      <c r="AX545" t="s">
        <v>1150</v>
      </c>
      <c r="AY545" s="4">
        <v>9965</v>
      </c>
      <c r="AZ545" s="9">
        <v>22.744792238211939</v>
      </c>
      <c r="BA545" s="7">
        <f t="shared" si="166"/>
        <v>5.8295866908731145E-4</v>
      </c>
      <c r="BB545" s="54">
        <f t="shared" si="160"/>
        <v>207.98473649672172</v>
      </c>
      <c r="BC545" s="55">
        <f t="shared" si="161"/>
        <v>125.90298848339188</v>
      </c>
      <c r="BD545" s="55">
        <f t="shared" si="162"/>
        <v>11.220650091834781</v>
      </c>
      <c r="BE545" s="55">
        <f t="shared" si="163"/>
        <v>10.996035031561108</v>
      </c>
      <c r="BF545" s="56">
        <f t="shared" si="164"/>
        <v>0.10854084215129919</v>
      </c>
      <c r="BG545" s="56">
        <f t="shared" si="167"/>
        <v>3.4289368271127938E-5</v>
      </c>
      <c r="BH545" s="56">
        <f t="shared" si="168"/>
        <v>5.8557124477836122E-3</v>
      </c>
      <c r="BI545" s="56">
        <f t="shared" si="165"/>
        <v>5.7384927507393799E-3</v>
      </c>
      <c r="BJ545" s="57">
        <f t="shared" si="169"/>
        <v>3.4415799431156248E-3</v>
      </c>
      <c r="BK545" s="57">
        <f t="shared" si="170"/>
        <v>1.856711456582646E-4</v>
      </c>
      <c r="BL545" s="58">
        <f t="shared" si="171"/>
        <v>6.0723708412905433</v>
      </c>
      <c r="BM545" s="58">
        <f t="shared" si="171"/>
        <v>0.32760071525276679</v>
      </c>
    </row>
    <row r="546" spans="47:65" x14ac:dyDescent="0.2">
      <c r="AU546" s="2">
        <v>-1091</v>
      </c>
      <c r="AV546" s="53">
        <v>544</v>
      </c>
      <c r="AW546" s="4" t="s">
        <v>2404</v>
      </c>
      <c r="AX546" t="s">
        <v>739</v>
      </c>
      <c r="AY546" s="4">
        <v>26759</v>
      </c>
      <c r="AZ546" s="9">
        <v>22.757733981879579</v>
      </c>
      <c r="BA546" s="7">
        <f t="shared" si="166"/>
        <v>5.832903714649432E-4</v>
      </c>
      <c r="BB546" s="54">
        <f t="shared" si="160"/>
        <v>209.74357769324951</v>
      </c>
      <c r="BC546" s="55">
        <f t="shared" si="161"/>
        <v>127.63841554083665</v>
      </c>
      <c r="BD546" s="55">
        <f t="shared" si="162"/>
        <v>11.297717271238321</v>
      </c>
      <c r="BE546" s="55">
        <f t="shared" si="163"/>
        <v>11.07155947957162</v>
      </c>
      <c r="BF546" s="56">
        <f t="shared" si="164"/>
        <v>0.1094587273187262</v>
      </c>
      <c r="BG546" s="56">
        <f t="shared" si="167"/>
        <v>3.4762007548377264E-5</v>
      </c>
      <c r="BH546" s="56">
        <f t="shared" si="168"/>
        <v>5.8959314402711018E-3</v>
      </c>
      <c r="BI546" s="56">
        <f t="shared" si="165"/>
        <v>5.777906639124363E-3</v>
      </c>
      <c r="BJ546" s="57">
        <f t="shared" si="169"/>
        <v>9.3198226044360535E-3</v>
      </c>
      <c r="BK546" s="57">
        <f t="shared" si="170"/>
        <v>5.0200688841595131E-4</v>
      </c>
      <c r="BL546" s="58">
        <f t="shared" si="171"/>
        <v>16.444022793189738</v>
      </c>
      <c r="BM546" s="58">
        <f t="shared" si="171"/>
        <v>0.88574783725185235</v>
      </c>
    </row>
    <row r="547" spans="47:65" x14ac:dyDescent="0.2">
      <c r="AU547" s="2">
        <v>-1090</v>
      </c>
      <c r="AV547" s="53">
        <v>545</v>
      </c>
      <c r="AW547" s="4" t="s">
        <v>3159</v>
      </c>
      <c r="AX547" t="s">
        <v>3160</v>
      </c>
      <c r="AY547" s="5">
        <v>55122.314999999995</v>
      </c>
      <c r="AZ547" s="9">
        <v>22.759407913446864</v>
      </c>
      <c r="BA547" s="7">
        <f t="shared" si="166"/>
        <v>5.8333327504077662E-4</v>
      </c>
      <c r="BB547" s="54">
        <f t="shared" si="160"/>
        <v>209.97215629045979</v>
      </c>
      <c r="BC547" s="55">
        <f t="shared" si="161"/>
        <v>127.86457551831522</v>
      </c>
      <c r="BD547" s="55">
        <f t="shared" si="162"/>
        <v>11.307721942032146</v>
      </c>
      <c r="BE547" s="55">
        <f t="shared" si="163"/>
        <v>11.081363876788158</v>
      </c>
      <c r="BF547" s="56">
        <f t="shared" si="164"/>
        <v>0.10957801546388936</v>
      </c>
      <c r="BG547" s="56">
        <f t="shared" si="167"/>
        <v>3.4823601660236317E-5</v>
      </c>
      <c r="BH547" s="56">
        <f t="shared" si="168"/>
        <v>5.9011525704930146E-3</v>
      </c>
      <c r="BI547" s="56">
        <f t="shared" si="165"/>
        <v>5.7830232527211339E-3</v>
      </c>
      <c r="BJ547" s="57">
        <f t="shared" si="169"/>
        <v>1.9219330342246297E-2</v>
      </c>
      <c r="BK547" s="57">
        <f t="shared" si="170"/>
        <v>1.0350269638682826E-3</v>
      </c>
      <c r="BL547" s="58">
        <f t="shared" si="171"/>
        <v>33.910849984130692</v>
      </c>
      <c r="BM547" s="58">
        <f t="shared" si="171"/>
        <v>1.8262157669519181</v>
      </c>
    </row>
    <row r="548" spans="47:65" x14ac:dyDescent="0.2">
      <c r="AU548" s="2">
        <v>-1089</v>
      </c>
      <c r="AV548" s="53">
        <v>546</v>
      </c>
      <c r="AW548" s="4" t="s">
        <v>2423</v>
      </c>
      <c r="AX548" t="s">
        <v>753</v>
      </c>
      <c r="AY548" s="4">
        <v>60833</v>
      </c>
      <c r="AZ548" s="9">
        <v>22.761134026224301</v>
      </c>
      <c r="BA548" s="7">
        <f t="shared" si="166"/>
        <v>5.8337751604315162E-4</v>
      </c>
      <c r="BB548" s="54">
        <f t="shared" si="160"/>
        <v>210.20812123114956</v>
      </c>
      <c r="BC548" s="55">
        <f t="shared" si="161"/>
        <v>128.09819401530459</v>
      </c>
      <c r="BD548" s="55">
        <f t="shared" si="162"/>
        <v>11.318047270413063</v>
      </c>
      <c r="BE548" s="55">
        <f t="shared" si="163"/>
        <v>11.091482512665731</v>
      </c>
      <c r="BF548" s="56">
        <f t="shared" si="164"/>
        <v>0.1097011583147163</v>
      </c>
      <c r="BG548" s="56">
        <f t="shared" si="167"/>
        <v>3.4887227081480234E-5</v>
      </c>
      <c r="BH548" s="56">
        <f t="shared" si="168"/>
        <v>5.9065410420550057E-3</v>
      </c>
      <c r="BI548" s="56">
        <f t="shared" si="165"/>
        <v>5.7883038578177446E-3</v>
      </c>
      <c r="BJ548" s="57">
        <f t="shared" si="169"/>
        <v>2.1234293689803018E-2</v>
      </c>
      <c r="BK548" s="57">
        <f t="shared" si="170"/>
        <v>1.1432990234985149E-3</v>
      </c>
      <c r="BL548" s="58">
        <f t="shared" si="171"/>
        <v>37.466078942983778</v>
      </c>
      <c r="BM548" s="58">
        <f t="shared" si="171"/>
        <v>2.0172524735494979</v>
      </c>
    </row>
    <row r="549" spans="47:65" x14ac:dyDescent="0.2">
      <c r="AU549" s="2">
        <v>-1088</v>
      </c>
      <c r="AV549" s="53">
        <v>547</v>
      </c>
      <c r="AW549" s="4" t="s">
        <v>2437</v>
      </c>
      <c r="AX549" t="s">
        <v>763</v>
      </c>
      <c r="AY549" s="4">
        <v>30202</v>
      </c>
      <c r="AZ549" s="9">
        <v>22.763722705742936</v>
      </c>
      <c r="BA549" s="7">
        <f t="shared" si="166"/>
        <v>5.8344386499684054E-4</v>
      </c>
      <c r="BB549" s="54">
        <f t="shared" si="160"/>
        <v>210.56249889281037</v>
      </c>
      <c r="BC549" s="55">
        <f t="shared" si="161"/>
        <v>128.44933443211536</v>
      </c>
      <c r="BD549" s="55">
        <f t="shared" si="162"/>
        <v>11.33354906603026</v>
      </c>
      <c r="BE549" s="55">
        <f t="shared" si="163"/>
        <v>11.106673993218436</v>
      </c>
      <c r="BF549" s="56">
        <f t="shared" si="164"/>
        <v>0.10988609712553551</v>
      </c>
      <c r="BG549" s="56">
        <f t="shared" si="167"/>
        <v>3.4982859307623828E-5</v>
      </c>
      <c r="BH549" s="56">
        <f t="shared" si="168"/>
        <v>5.91463095278343E-3</v>
      </c>
      <c r="BI549" s="56">
        <f t="shared" si="165"/>
        <v>5.7962318246506722E-3</v>
      </c>
      <c r="BJ549" s="57">
        <f t="shared" si="169"/>
        <v>1.0560046340266003E-2</v>
      </c>
      <c r="BK549" s="57">
        <f t="shared" si="170"/>
        <v>5.6839562584164616E-4</v>
      </c>
      <c r="BL549" s="58">
        <f t="shared" si="171"/>
        <v>18.632290558172233</v>
      </c>
      <c r="BM549" s="58">
        <f t="shared" si="171"/>
        <v>1.0028850358632924</v>
      </c>
    </row>
    <row r="550" spans="47:65" x14ac:dyDescent="0.2">
      <c r="AU550" s="2">
        <v>-1087</v>
      </c>
      <c r="AV550" s="53">
        <v>548</v>
      </c>
      <c r="AW550" s="4" t="s">
        <v>3043</v>
      </c>
      <c r="AX550" t="s">
        <v>1203</v>
      </c>
      <c r="AY550" s="4">
        <v>36310</v>
      </c>
      <c r="AZ550" s="9">
        <v>22.764829755514441</v>
      </c>
      <c r="BA550" s="7">
        <f t="shared" si="166"/>
        <v>5.8347223915188452E-4</v>
      </c>
      <c r="BB550" s="54">
        <f t="shared" si="160"/>
        <v>210.71423096396836</v>
      </c>
      <c r="BC550" s="55">
        <f t="shared" si="161"/>
        <v>128.59978559752611</v>
      </c>
      <c r="BD550" s="55">
        <f t="shared" si="162"/>
        <v>11.340184548653788</v>
      </c>
      <c r="BE550" s="55">
        <f t="shared" si="163"/>
        <v>11.113176646699515</v>
      </c>
      <c r="BF550" s="56">
        <f t="shared" si="164"/>
        <v>0.10996528143041406</v>
      </c>
      <c r="BG550" s="56">
        <f t="shared" si="167"/>
        <v>3.5023834311315225E-5</v>
      </c>
      <c r="BH550" s="56">
        <f t="shared" si="168"/>
        <v>5.9180938072419254E-3</v>
      </c>
      <c r="BI550" s="56">
        <f t="shared" si="165"/>
        <v>5.7996253596618499E-3</v>
      </c>
      <c r="BJ550" s="57">
        <f t="shared" si="169"/>
        <v>1.2704840322401106E-2</v>
      </c>
      <c r="BK550" s="57">
        <f t="shared" si="170"/>
        <v>6.8374705048682735E-4</v>
      </c>
      <c r="BL550" s="58">
        <f t="shared" si="171"/>
        <v>22.416594468864531</v>
      </c>
      <c r="BM550" s="58">
        <f t="shared" si="171"/>
        <v>1.2064126711628538</v>
      </c>
    </row>
    <row r="551" spans="47:65" x14ac:dyDescent="0.2">
      <c r="AU551" s="2">
        <v>-1086</v>
      </c>
      <c r="AV551" s="53">
        <v>549</v>
      </c>
      <c r="AW551" s="4" t="s">
        <v>3033</v>
      </c>
      <c r="AX551" t="s">
        <v>1195</v>
      </c>
      <c r="AY551" s="4">
        <v>33581</v>
      </c>
      <c r="AZ551" s="9">
        <v>22.770244742767972</v>
      </c>
      <c r="BA551" s="7">
        <f t="shared" si="166"/>
        <v>5.8361102757120188E-4</v>
      </c>
      <c r="BB551" s="54">
        <f t="shared" si="160"/>
        <v>211.45798528212211</v>
      </c>
      <c r="BC551" s="55">
        <f t="shared" si="161"/>
        <v>129.33817231804389</v>
      </c>
      <c r="BD551" s="55">
        <f t="shared" si="162"/>
        <v>11.37269415389528</v>
      </c>
      <c r="BE551" s="55">
        <f t="shared" si="163"/>
        <v>11.145035474411984</v>
      </c>
      <c r="BF551" s="56">
        <f t="shared" si="164"/>
        <v>0.11035342395185974</v>
      </c>
      <c r="BG551" s="56">
        <f t="shared" si="167"/>
        <v>3.5224932112815129E-5</v>
      </c>
      <c r="BH551" s="56">
        <f t="shared" si="168"/>
        <v>5.9350595711260669E-3</v>
      </c>
      <c r="BI551" s="56">
        <f t="shared" si="165"/>
        <v>5.8162515027534141E-3</v>
      </c>
      <c r="BJ551" s="57">
        <f t="shared" si="169"/>
        <v>1.1791439024074181E-2</v>
      </c>
      <c r="BK551" s="57">
        <f t="shared" si="170"/>
        <v>6.3417056336838296E-4</v>
      </c>
      <c r="BL551" s="58">
        <f t="shared" si="171"/>
        <v>20.804976693879432</v>
      </c>
      <c r="BM551" s="58">
        <f t="shared" si="171"/>
        <v>1.1189392375168163</v>
      </c>
    </row>
    <row r="552" spans="47:65" x14ac:dyDescent="0.2">
      <c r="AU552" s="2">
        <v>-1085</v>
      </c>
      <c r="AV552" s="53">
        <v>550</v>
      </c>
      <c r="AW552" s="4" t="s">
        <v>1702</v>
      </c>
      <c r="AX552" t="s">
        <v>224</v>
      </c>
      <c r="AY552" s="4">
        <v>36368</v>
      </c>
      <c r="AZ552" s="9">
        <v>22.770466566066897</v>
      </c>
      <c r="BA552" s="7">
        <f t="shared" si="166"/>
        <v>5.8361671299640868E-4</v>
      </c>
      <c r="BB552" s="54">
        <f t="shared" si="160"/>
        <v>211.48850886539083</v>
      </c>
      <c r="BC552" s="55">
        <f t="shared" si="161"/>
        <v>129.36850791900335</v>
      </c>
      <c r="BD552" s="55">
        <f t="shared" si="162"/>
        <v>11.374027779067683</v>
      </c>
      <c r="BE552" s="55">
        <f t="shared" si="163"/>
        <v>11.146342403065377</v>
      </c>
      <c r="BF552" s="56">
        <f t="shared" si="164"/>
        <v>0.11036935327191122</v>
      </c>
      <c r="BG552" s="56">
        <f t="shared" si="167"/>
        <v>3.5233193938888847E-5</v>
      </c>
      <c r="BH552" s="56">
        <f t="shared" si="168"/>
        <v>5.9357555491183133E-3</v>
      </c>
      <c r="BI552" s="56">
        <f t="shared" si="165"/>
        <v>5.8169335486528313E-3</v>
      </c>
      <c r="BJ552" s="57">
        <f t="shared" si="169"/>
        <v>1.2771893494115127E-2</v>
      </c>
      <c r="BK552" s="57">
        <f t="shared" si="170"/>
        <v>6.8688304708709085E-4</v>
      </c>
      <c r="BL552" s="58">
        <f t="shared" si="171"/>
        <v>22.534904004444769</v>
      </c>
      <c r="BM552" s="58">
        <f t="shared" si="171"/>
        <v>1.2119458665639713</v>
      </c>
    </row>
    <row r="553" spans="47:65" x14ac:dyDescent="0.2">
      <c r="AU553" s="2">
        <v>-1084</v>
      </c>
      <c r="AV553" s="53">
        <v>551</v>
      </c>
      <c r="AW553" s="4" t="s">
        <v>1439</v>
      </c>
      <c r="AX553" t="s">
        <v>48</v>
      </c>
      <c r="AY553" s="4">
        <v>83770</v>
      </c>
      <c r="AZ553" s="9">
        <v>22.770614429320275</v>
      </c>
      <c r="BA553" s="7">
        <f t="shared" si="166"/>
        <v>5.8362050279428827E-4</v>
      </c>
      <c r="BB553" s="54">
        <f t="shared" si="160"/>
        <v>211.50885776139938</v>
      </c>
      <c r="BC553" s="55">
        <f t="shared" si="161"/>
        <v>129.38873290837623</v>
      </c>
      <c r="BD553" s="55">
        <f t="shared" si="162"/>
        <v>11.374916830833367</v>
      </c>
      <c r="BE553" s="55">
        <f t="shared" si="163"/>
        <v>11.147213657785942</v>
      </c>
      <c r="BF553" s="56">
        <f t="shared" si="164"/>
        <v>0.11037997273537198</v>
      </c>
      <c r="BG553" s="56">
        <f t="shared" si="167"/>
        <v>3.5238702164843715E-5</v>
      </c>
      <c r="BH553" s="56">
        <f t="shared" si="168"/>
        <v>5.9362195179123653E-3</v>
      </c>
      <c r="BI553" s="56">
        <f t="shared" si="165"/>
        <v>5.8173882297159777E-3</v>
      </c>
      <c r="BJ553" s="57">
        <f t="shared" si="169"/>
        <v>2.9421592093417034E-2</v>
      </c>
      <c r="BK553" s="57">
        <f t="shared" si="170"/>
        <v>1.5822891137300457E-3</v>
      </c>
      <c r="BL553" s="58">
        <f t="shared" si="171"/>
        <v>51.911860507494737</v>
      </c>
      <c r="BM553" s="58">
        <f t="shared" si="171"/>
        <v>2.7918126080219849</v>
      </c>
    </row>
    <row r="554" spans="47:65" x14ac:dyDescent="0.2">
      <c r="AU554" s="2">
        <v>-1083</v>
      </c>
      <c r="AV554" s="53">
        <v>552</v>
      </c>
      <c r="AW554" s="4" t="s">
        <v>1476</v>
      </c>
      <c r="AX554" t="s">
        <v>73</v>
      </c>
      <c r="AY554" s="4">
        <v>30421</v>
      </c>
      <c r="AZ554" s="9">
        <v>22.778489732778826</v>
      </c>
      <c r="BA554" s="7">
        <f t="shared" si="166"/>
        <v>5.8382235016113924E-4</v>
      </c>
      <c r="BB554" s="54">
        <f t="shared" si="160"/>
        <v>212.59548876994046</v>
      </c>
      <c r="BC554" s="55">
        <f t="shared" si="161"/>
        <v>130.47038857586401</v>
      </c>
      <c r="BD554" s="55">
        <f t="shared" si="162"/>
        <v>11.422363528441213</v>
      </c>
      <c r="BE554" s="55">
        <f t="shared" si="163"/>
        <v>11.193710567034314</v>
      </c>
      <c r="BF554" s="56">
        <f t="shared" si="164"/>
        <v>0.11094705206417942</v>
      </c>
      <c r="BG554" s="56">
        <f t="shared" si="167"/>
        <v>3.5533288417098289E-5</v>
      </c>
      <c r="BH554" s="56">
        <f t="shared" si="168"/>
        <v>5.9609804912529527E-3</v>
      </c>
      <c r="BI554" s="56">
        <f t="shared" si="165"/>
        <v>5.8416535377008314E-3</v>
      </c>
      <c r="BJ554" s="57">
        <f t="shared" si="169"/>
        <v>1.0739316098139638E-2</v>
      </c>
      <c r="BK554" s="57">
        <f t="shared" si="170"/>
        <v>5.7700364777044631E-4</v>
      </c>
      <c r="BL554" s="58">
        <f t="shared" si="171"/>
        <v>18.948596577044363</v>
      </c>
      <c r="BM554" s="58">
        <f t="shared" si="171"/>
        <v>1.0180731477844456</v>
      </c>
    </row>
    <row r="555" spans="47:65" x14ac:dyDescent="0.2">
      <c r="AU555" s="2">
        <v>-1082</v>
      </c>
      <c r="AV555" s="53">
        <v>553</v>
      </c>
      <c r="AW555" s="4" t="s">
        <v>2124</v>
      </c>
      <c r="AX555" t="s">
        <v>526</v>
      </c>
      <c r="AY555" s="4">
        <v>44532</v>
      </c>
      <c r="AZ555" s="9">
        <v>22.778576623798269</v>
      </c>
      <c r="BA555" s="7">
        <f t="shared" si="166"/>
        <v>5.8382457721481017E-4</v>
      </c>
      <c r="BB555" s="54">
        <f t="shared" si="160"/>
        <v>212.60750904277137</v>
      </c>
      <c r="BC555" s="55">
        <f t="shared" si="161"/>
        <v>130.48237181266717</v>
      </c>
      <c r="BD555" s="55">
        <f t="shared" si="162"/>
        <v>11.422888067939175</v>
      </c>
      <c r="BE555" s="55">
        <f t="shared" si="163"/>
        <v>11.194224606296549</v>
      </c>
      <c r="BF555" s="56">
        <f t="shared" si="164"/>
        <v>0.11095332507516059</v>
      </c>
      <c r="BG555" s="56">
        <f t="shared" si="167"/>
        <v>3.5536552022073458E-5</v>
      </c>
      <c r="BH555" s="56">
        <f t="shared" si="168"/>
        <v>5.961254232296544E-3</v>
      </c>
      <c r="BI555" s="56">
        <f t="shared" si="165"/>
        <v>5.8419217989940965E-3</v>
      </c>
      <c r="BJ555" s="57">
        <f t="shared" si="169"/>
        <v>1.5721714099897307E-2</v>
      </c>
      <c r="BK555" s="57">
        <f t="shared" si="170"/>
        <v>8.4468973465627747E-4</v>
      </c>
      <c r="BL555" s="58">
        <f t="shared" si="171"/>
        <v>27.739607928124023</v>
      </c>
      <c r="BM555" s="58">
        <f t="shared" si="171"/>
        <v>1.4903821498973386</v>
      </c>
    </row>
    <row r="556" spans="47:65" x14ac:dyDescent="0.2">
      <c r="AU556" s="2">
        <v>-1081</v>
      </c>
      <c r="AV556" s="53">
        <v>554</v>
      </c>
      <c r="AW556" s="4" t="s">
        <v>2854</v>
      </c>
      <c r="AX556" t="s">
        <v>1080</v>
      </c>
      <c r="AY556" s="4">
        <v>37062</v>
      </c>
      <c r="AZ556" s="9">
        <v>22.785431181778645</v>
      </c>
      <c r="BA556" s="7">
        <f t="shared" si="166"/>
        <v>5.8400026244224913E-4</v>
      </c>
      <c r="BB556" s="54">
        <f t="shared" si="160"/>
        <v>213.5578952398613</v>
      </c>
      <c r="BC556" s="55">
        <f t="shared" si="161"/>
        <v>131.43107421399085</v>
      </c>
      <c r="BD556" s="55">
        <f t="shared" si="162"/>
        <v>11.464339240182612</v>
      </c>
      <c r="BE556" s="55">
        <f t="shared" si="163"/>
        <v>11.234846008653602</v>
      </c>
      <c r="BF556" s="56">
        <f t="shared" si="164"/>
        <v>0.11144930242397302</v>
      </c>
      <c r="BG556" s="56">
        <f t="shared" si="167"/>
        <v>3.5794928780328007E-5</v>
      </c>
      <c r="BH556" s="56">
        <f t="shared" si="168"/>
        <v>5.9828863252052522E-3</v>
      </c>
      <c r="BI556" s="56">
        <f t="shared" si="165"/>
        <v>5.863120860499743E-3</v>
      </c>
      <c r="BJ556" s="57">
        <f t="shared" si="169"/>
        <v>1.3142971870368305E-2</v>
      </c>
      <c r="BK556" s="57">
        <f t="shared" si="170"/>
        <v>7.0554866621461859E-4</v>
      </c>
      <c r="BL556" s="58">
        <f t="shared" si="171"/>
        <v>23.189639779593819</v>
      </c>
      <c r="BM556" s="58">
        <f t="shared" si="171"/>
        <v>1.2448797408885715</v>
      </c>
    </row>
    <row r="557" spans="47:65" x14ac:dyDescent="0.2">
      <c r="AU557" s="2">
        <v>-1080</v>
      </c>
      <c r="AV557" s="53">
        <v>555</v>
      </c>
      <c r="AW557" s="4" t="s">
        <v>3118</v>
      </c>
      <c r="AX557" t="s">
        <v>1259</v>
      </c>
      <c r="AY557" s="4">
        <v>23932</v>
      </c>
      <c r="AZ557" s="9">
        <v>22.787432058507555</v>
      </c>
      <c r="BA557" s="7">
        <f t="shared" si="166"/>
        <v>5.8405154576120309E-4</v>
      </c>
      <c r="BB557" s="54">
        <f t="shared" si="160"/>
        <v>213.83611758196787</v>
      </c>
      <c r="BC557" s="55">
        <f t="shared" si="161"/>
        <v>131.70926819805604</v>
      </c>
      <c r="BD557" s="55">
        <f t="shared" si="162"/>
        <v>11.476465840930999</v>
      </c>
      <c r="BE557" s="55">
        <f t="shared" si="163"/>
        <v>11.246729859014469</v>
      </c>
      <c r="BF557" s="56">
        <f t="shared" si="164"/>
        <v>0.11159449811393679</v>
      </c>
      <c r="BG557" s="56">
        <f t="shared" si="167"/>
        <v>3.5870694225496046E-5</v>
      </c>
      <c r="BH557" s="56">
        <f t="shared" si="168"/>
        <v>5.9892148254588468E-3</v>
      </c>
      <c r="BI557" s="56">
        <f t="shared" si="165"/>
        <v>5.8693226767863411E-3</v>
      </c>
      <c r="BJ557" s="57">
        <f t="shared" si="169"/>
        <v>8.4978517373284473E-3</v>
      </c>
      <c r="BK557" s="57">
        <f t="shared" si="170"/>
        <v>4.5607498998557279E-4</v>
      </c>
      <c r="BL557" s="58">
        <f t="shared" si="171"/>
        <v>14.993726124707891</v>
      </c>
      <c r="BM557" s="58">
        <f t="shared" si="171"/>
        <v>0.80470496586027573</v>
      </c>
    </row>
    <row r="558" spans="47:65" x14ac:dyDescent="0.2">
      <c r="AU558" s="2">
        <v>-1079</v>
      </c>
      <c r="AV558" s="53">
        <v>556</v>
      </c>
      <c r="AW558" s="4" t="s">
        <v>3099</v>
      </c>
      <c r="AX558" t="s">
        <v>1245</v>
      </c>
      <c r="AY558" s="4">
        <v>24686</v>
      </c>
      <c r="AZ558" s="9">
        <v>22.789098444444114</v>
      </c>
      <c r="BA558" s="7">
        <f t="shared" si="166"/>
        <v>5.8409425593932156E-4</v>
      </c>
      <c r="BB558" s="54">
        <f t="shared" si="160"/>
        <v>214.06810554966836</v>
      </c>
      <c r="BC558" s="55">
        <f t="shared" si="161"/>
        <v>131.94139317404088</v>
      </c>
      <c r="BD558" s="55">
        <f t="shared" si="162"/>
        <v>11.486574475188018</v>
      </c>
      <c r="BE558" s="55">
        <f t="shared" si="163"/>
        <v>11.256636138552791</v>
      </c>
      <c r="BF558" s="56">
        <f t="shared" si="164"/>
        <v>0.11171556550478139</v>
      </c>
      <c r="BG558" s="56">
        <f t="shared" si="167"/>
        <v>3.5933912889979738E-5</v>
      </c>
      <c r="BH558" s="56">
        <f t="shared" si="168"/>
        <v>5.9944902110170917E-3</v>
      </c>
      <c r="BI558" s="56">
        <f t="shared" si="165"/>
        <v>5.874492459635703E-3</v>
      </c>
      <c r="BJ558" s="57">
        <f t="shared" si="169"/>
        <v>8.7750941552198602E-3</v>
      </c>
      <c r="BK558" s="57">
        <f t="shared" si="170"/>
        <v>4.7085843209527845E-4</v>
      </c>
      <c r="BL558" s="58">
        <f t="shared" si="171"/>
        <v>15.482896448279872</v>
      </c>
      <c r="BM558" s="58">
        <f t="shared" si="171"/>
        <v>0.83078907382367106</v>
      </c>
    </row>
    <row r="559" spans="47:65" x14ac:dyDescent="0.2">
      <c r="AU559" s="2">
        <v>-1078</v>
      </c>
      <c r="AV559" s="53">
        <v>557</v>
      </c>
      <c r="AW559" s="4" t="s">
        <v>1385</v>
      </c>
      <c r="AX559" t="s">
        <v>8</v>
      </c>
      <c r="AY559" s="4">
        <v>23401</v>
      </c>
      <c r="AZ559" s="9">
        <v>22.790762907840826</v>
      </c>
      <c r="BA559" s="7">
        <f t="shared" si="166"/>
        <v>5.8413691684192862E-4</v>
      </c>
      <c r="BB559" s="54">
        <f t="shared" si="160"/>
        <v>214.3000771342366</v>
      </c>
      <c r="BC559" s="55">
        <f t="shared" si="161"/>
        <v>132.1736477407234</v>
      </c>
      <c r="BD559" s="55">
        <f t="shared" si="162"/>
        <v>11.496679857277204</v>
      </c>
      <c r="BE559" s="55">
        <f t="shared" si="163"/>
        <v>11.266539231025202</v>
      </c>
      <c r="BF559" s="56">
        <f t="shared" si="164"/>
        <v>0.11183662434577299</v>
      </c>
      <c r="BG559" s="56">
        <f t="shared" si="167"/>
        <v>3.5997166848169511E-5</v>
      </c>
      <c r="BH559" s="56">
        <f t="shared" si="168"/>
        <v>5.9997638993688337E-3</v>
      </c>
      <c r="BI559" s="56">
        <f t="shared" si="165"/>
        <v>5.879660579253254E-3</v>
      </c>
      <c r="BJ559" s="57">
        <f t="shared" si="169"/>
        <v>8.3273312125453271E-3</v>
      </c>
      <c r="BK559" s="57">
        <f t="shared" si="170"/>
        <v>4.4674114119043625E-4</v>
      </c>
      <c r="BL559" s="58">
        <f t="shared" si="171"/>
        <v>14.692857372666879</v>
      </c>
      <c r="BM559" s="58">
        <f t="shared" si="171"/>
        <v>0.7882361950638922</v>
      </c>
    </row>
    <row r="560" spans="47:65" x14ac:dyDescent="0.2">
      <c r="AU560" s="2">
        <v>-1077</v>
      </c>
      <c r="AV560" s="53">
        <v>558</v>
      </c>
      <c r="AW560" s="4" t="s">
        <v>1733</v>
      </c>
      <c r="AX560" t="s">
        <v>244</v>
      </c>
      <c r="AY560" s="4">
        <v>25826</v>
      </c>
      <c r="AZ560" s="9">
        <v>22.795599497235497</v>
      </c>
      <c r="BA560" s="7">
        <f t="shared" si="166"/>
        <v>5.842608806788768E-4</v>
      </c>
      <c r="BB560" s="54">
        <f t="shared" si="160"/>
        <v>214.97556656835576</v>
      </c>
      <c r="BC560" s="55">
        <f t="shared" si="161"/>
        <v>132.85079180917239</v>
      </c>
      <c r="BD560" s="55">
        <f t="shared" si="162"/>
        <v>11.526091783825617</v>
      </c>
      <c r="BE560" s="55">
        <f t="shared" si="163"/>
        <v>11.295362389400616</v>
      </c>
      <c r="BF560" s="56">
        <f t="shared" si="164"/>
        <v>0.11218914152217037</v>
      </c>
      <c r="BG560" s="56">
        <f t="shared" si="167"/>
        <v>3.6181585364485336E-5</v>
      </c>
      <c r="BH560" s="56">
        <f t="shared" si="168"/>
        <v>6.0151130799416678E-3</v>
      </c>
      <c r="BI560" s="56">
        <f t="shared" si="165"/>
        <v>5.8947024998107327E-3</v>
      </c>
      <c r="BJ560" s="57">
        <f t="shared" si="169"/>
        <v>9.2192447280448012E-3</v>
      </c>
      <c r="BK560" s="57">
        <f t="shared" si="170"/>
        <v>4.9429738741593623E-4</v>
      </c>
      <c r="BL560" s="58">
        <f t="shared" si="171"/>
        <v>16.26656180899878</v>
      </c>
      <c r="BM560" s="58">
        <f t="shared" si="171"/>
        <v>0.8721450879776308</v>
      </c>
    </row>
    <row r="561" spans="47:65" x14ac:dyDescent="0.2">
      <c r="AU561" s="2">
        <v>-1076</v>
      </c>
      <c r="AV561" s="53">
        <v>559</v>
      </c>
      <c r="AW561" s="4" t="s">
        <v>2172</v>
      </c>
      <c r="AX561" t="s">
        <v>566</v>
      </c>
      <c r="AY561" s="4">
        <v>38133</v>
      </c>
      <c r="AZ561" s="9">
        <v>22.804462979016787</v>
      </c>
      <c r="BA561" s="7">
        <f t="shared" si="166"/>
        <v>5.8448805547513727E-4</v>
      </c>
      <c r="BB561" s="54">
        <f t="shared" si="160"/>
        <v>216.21899282451147</v>
      </c>
      <c r="BC561" s="55">
        <f t="shared" si="161"/>
        <v>134.10049083730098</v>
      </c>
      <c r="BD561" s="55">
        <f t="shared" si="162"/>
        <v>11.580176632387824</v>
      </c>
      <c r="BE561" s="55">
        <f t="shared" si="163"/>
        <v>11.348364567046229</v>
      </c>
      <c r="BF561" s="56">
        <f t="shared" si="164"/>
        <v>0.11283804747204663</v>
      </c>
      <c r="BG561" s="56">
        <f t="shared" si="167"/>
        <v>3.6521937811394559E-5</v>
      </c>
      <c r="BH561" s="56">
        <f t="shared" si="168"/>
        <v>6.0433383002604247E-3</v>
      </c>
      <c r="BI561" s="56">
        <f t="shared" si="165"/>
        <v>5.9223627074509681E-3</v>
      </c>
      <c r="BJ561" s="57">
        <f t="shared" si="169"/>
        <v>1.3691275457021998E-2</v>
      </c>
      <c r="BK561" s="57">
        <f t="shared" si="170"/>
        <v>7.3327225348643181E-4</v>
      </c>
      <c r="BL561" s="58">
        <f t="shared" si="171"/>
        <v>24.157074146019358</v>
      </c>
      <c r="BM561" s="58">
        <f t="shared" si="171"/>
        <v>1.2937956184064214</v>
      </c>
    </row>
    <row r="562" spans="47:65" x14ac:dyDescent="0.2">
      <c r="AU562" s="2">
        <v>-1075</v>
      </c>
      <c r="AV562" s="53">
        <v>560</v>
      </c>
      <c r="AW562" s="4" t="s">
        <v>2899</v>
      </c>
      <c r="AX562" t="s">
        <v>1113</v>
      </c>
      <c r="AY562" s="4">
        <v>33537</v>
      </c>
      <c r="AZ562" s="9">
        <v>22.809253932559528</v>
      </c>
      <c r="BA562" s="7">
        <f t="shared" si="166"/>
        <v>5.8461084964585048E-4</v>
      </c>
      <c r="BB562" s="54">
        <f t="shared" si="160"/>
        <v>216.89409059904264</v>
      </c>
      <c r="BC562" s="55">
        <f t="shared" si="161"/>
        <v>134.7807419477586</v>
      </c>
      <c r="BD562" s="55">
        <f t="shared" si="162"/>
        <v>11.609510840158539</v>
      </c>
      <c r="BE562" s="55">
        <f t="shared" si="163"/>
        <v>11.377111562419037</v>
      </c>
      <c r="BF562" s="56">
        <f t="shared" si="164"/>
        <v>0.11319036025334189</v>
      </c>
      <c r="BG562" s="56">
        <f t="shared" si="167"/>
        <v>3.6707202522934857E-5</v>
      </c>
      <c r="BH562" s="56">
        <f t="shared" si="168"/>
        <v>6.0586469217916022E-3</v>
      </c>
      <c r="BI562" s="56">
        <f t="shared" si="165"/>
        <v>5.9373648808779995E-3</v>
      </c>
      <c r="BJ562" s="57">
        <f t="shared" si="169"/>
        <v>1.2078723095315363E-2</v>
      </c>
      <c r="BK562" s="57">
        <f t="shared" si="170"/>
        <v>6.465278344976815E-4</v>
      </c>
      <c r="BL562" s="58">
        <f t="shared" si="171"/>
        <v>21.311864648309143</v>
      </c>
      <c r="BM562" s="58">
        <f t="shared" si="171"/>
        <v>1.1407425761356318</v>
      </c>
    </row>
    <row r="563" spans="47:65" x14ac:dyDescent="0.2">
      <c r="AU563" s="2">
        <v>-1074</v>
      </c>
      <c r="AV563" s="53">
        <v>561</v>
      </c>
      <c r="AW563" s="4" t="s">
        <v>2501</v>
      </c>
      <c r="AX563" t="s">
        <v>812</v>
      </c>
      <c r="AY563" s="4">
        <v>52288</v>
      </c>
      <c r="AZ563" s="9">
        <v>22.813135309134264</v>
      </c>
      <c r="BA563" s="7">
        <f t="shared" si="166"/>
        <v>5.8471033097320382E-4</v>
      </c>
      <c r="BB563" s="54">
        <f t="shared" si="160"/>
        <v>217.44256441209487</v>
      </c>
      <c r="BC563" s="55">
        <f t="shared" si="161"/>
        <v>135.33430607136077</v>
      </c>
      <c r="BD563" s="55">
        <f t="shared" si="162"/>
        <v>11.633327386064607</v>
      </c>
      <c r="BE563" s="55">
        <f t="shared" si="163"/>
        <v>11.400451348525058</v>
      </c>
      <c r="BF563" s="56">
        <f t="shared" si="164"/>
        <v>0.11347659188057249</v>
      </c>
      <c r="BG563" s="56">
        <f t="shared" si="167"/>
        <v>3.6857964346180292E-5</v>
      </c>
      <c r="BH563" s="56">
        <f t="shared" si="168"/>
        <v>6.0710760451653288E-3</v>
      </c>
      <c r="BI563" s="56">
        <f t="shared" si="165"/>
        <v>5.9495451979639539E-3</v>
      </c>
      <c r="BJ563" s="57">
        <f t="shared" si="169"/>
        <v>1.8879725973825787E-2</v>
      </c>
      <c r="BK563" s="57">
        <f t="shared" si="170"/>
        <v>1.0100783800381537E-3</v>
      </c>
      <c r="BL563" s="58">
        <f t="shared" si="171"/>
        <v>33.311647379961428</v>
      </c>
      <c r="BM563" s="58">
        <f t="shared" si="171"/>
        <v>1.7821961435563858</v>
      </c>
    </row>
    <row r="564" spans="47:65" x14ac:dyDescent="0.2">
      <c r="AU564" s="2">
        <v>-1073</v>
      </c>
      <c r="AV564" s="53">
        <v>562</v>
      </c>
      <c r="AW564" s="4" t="s">
        <v>1502</v>
      </c>
      <c r="AX564" t="s">
        <v>97</v>
      </c>
      <c r="AY564" s="4">
        <v>15235</v>
      </c>
      <c r="AZ564" s="9">
        <v>22.817116903780295</v>
      </c>
      <c r="BA564" s="7">
        <f t="shared" si="166"/>
        <v>5.8481238093221804E-4</v>
      </c>
      <c r="BB564" s="54">
        <f t="shared" si="160"/>
        <v>218.00664123917289</v>
      </c>
      <c r="BC564" s="55">
        <f t="shared" si="161"/>
        <v>135.90446162792767</v>
      </c>
      <c r="BD564" s="55">
        <f t="shared" si="162"/>
        <v>11.657806896150221</v>
      </c>
      <c r="BE564" s="55">
        <f t="shared" si="163"/>
        <v>11.424440827588551</v>
      </c>
      <c r="BF564" s="56">
        <f t="shared" si="164"/>
        <v>0.11377096624130872</v>
      </c>
      <c r="BG564" s="56">
        <f t="shared" si="167"/>
        <v>3.7013244805258828E-5</v>
      </c>
      <c r="BH564" s="56">
        <f t="shared" si="168"/>
        <v>6.0838511491701393E-3</v>
      </c>
      <c r="BI564" s="56">
        <f t="shared" si="165"/>
        <v>5.9620645698380452E-3</v>
      </c>
      <c r="BJ564" s="57">
        <f t="shared" si="169"/>
        <v>5.5152001415822074E-3</v>
      </c>
      <c r="BK564" s="57">
        <f t="shared" si="170"/>
        <v>2.9492284216080906E-4</v>
      </c>
      <c r="BL564" s="58">
        <f t="shared" si="171"/>
        <v>9.7310947521697937</v>
      </c>
      <c r="BM564" s="58">
        <f t="shared" si="171"/>
        <v>0.52036590658026827</v>
      </c>
    </row>
    <row r="565" spans="47:65" x14ac:dyDescent="0.2">
      <c r="AU565" s="2">
        <v>-1072</v>
      </c>
      <c r="AV565" s="53">
        <v>563</v>
      </c>
      <c r="AW565" s="4" t="s">
        <v>1990</v>
      </c>
      <c r="AX565" t="s">
        <v>1991</v>
      </c>
      <c r="AY565" s="4">
        <v>33483</v>
      </c>
      <c r="AZ565" s="9">
        <v>22.817526820404023</v>
      </c>
      <c r="BA565" s="7">
        <f t="shared" si="166"/>
        <v>5.8482288726909297E-4</v>
      </c>
      <c r="BB565" s="54">
        <f t="shared" si="160"/>
        <v>218.06479759391544</v>
      </c>
      <c r="BC565" s="55">
        <f t="shared" si="161"/>
        <v>135.96329329436159</v>
      </c>
      <c r="BD565" s="55">
        <f t="shared" si="162"/>
        <v>11.660329896463548</v>
      </c>
      <c r="BE565" s="55">
        <f t="shared" si="163"/>
        <v>11.426913322462102</v>
      </c>
      <c r="BF565" s="56">
        <f t="shared" si="164"/>
        <v>0.11380131625557663</v>
      </c>
      <c r="BG565" s="56">
        <f t="shared" si="167"/>
        <v>3.7029267464453499E-5</v>
      </c>
      <c r="BH565" s="56">
        <f t="shared" si="168"/>
        <v>6.0851678254961461E-3</v>
      </c>
      <c r="BI565" s="56">
        <f t="shared" si="165"/>
        <v>5.9633548889271798E-3</v>
      </c>
      <c r="BJ565" s="57">
        <f t="shared" si="169"/>
        <v>1.2124365504435006E-2</v>
      </c>
      <c r="BK565" s="57">
        <f t="shared" si="170"/>
        <v>6.4831235085585279E-4</v>
      </c>
      <c r="BL565" s="58">
        <f t="shared" si="171"/>
        <v>21.392396740791479</v>
      </c>
      <c r="BM565" s="58">
        <f t="shared" si="171"/>
        <v>1.1438912012666103</v>
      </c>
    </row>
    <row r="566" spans="47:65" x14ac:dyDescent="0.2">
      <c r="AU566" s="2">
        <v>-1071</v>
      </c>
      <c r="AV566" s="53">
        <v>564</v>
      </c>
      <c r="AW566" s="4" t="s">
        <v>2177</v>
      </c>
      <c r="AX566" t="s">
        <v>570</v>
      </c>
      <c r="AY566" s="4">
        <v>82858</v>
      </c>
      <c r="AZ566" s="9">
        <v>22.817813042316661</v>
      </c>
      <c r="BA566" s="7">
        <f t="shared" si="166"/>
        <v>5.8483022325807484E-4</v>
      </c>
      <c r="BB566" s="54">
        <f t="shared" si="160"/>
        <v>218.10541413107671</v>
      </c>
      <c r="BC566" s="55">
        <f t="shared" si="161"/>
        <v>136.00438685502482</v>
      </c>
      <c r="BD566" s="55">
        <f t="shared" si="162"/>
        <v>11.662091873031391</v>
      </c>
      <c r="BE566" s="55">
        <f t="shared" si="163"/>
        <v>11.428640027769392</v>
      </c>
      <c r="BF566" s="56">
        <f t="shared" si="164"/>
        <v>0.113822512778086</v>
      </c>
      <c r="BG566" s="56">
        <f t="shared" si="167"/>
        <v>3.7040459194311113E-5</v>
      </c>
      <c r="BH566" s="56">
        <f t="shared" si="168"/>
        <v>6.0860873469176496E-3</v>
      </c>
      <c r="BI566" s="56">
        <f t="shared" si="165"/>
        <v>5.9642560033617599E-3</v>
      </c>
      <c r="BJ566" s="57">
        <f t="shared" si="169"/>
        <v>3.0008893853947647E-2</v>
      </c>
      <c r="BK566" s="57">
        <f t="shared" si="170"/>
        <v>1.6045749186330411E-3</v>
      </c>
      <c r="BL566" s="58">
        <f t="shared" si="171"/>
        <v>52.948103786637091</v>
      </c>
      <c r="BM566" s="58">
        <f t="shared" si="171"/>
        <v>2.8311339877674531</v>
      </c>
    </row>
    <row r="567" spans="47:65" x14ac:dyDescent="0.2">
      <c r="AU567" s="2">
        <v>-1070</v>
      </c>
      <c r="AV567" s="53">
        <v>565</v>
      </c>
      <c r="AW567" s="4" t="s">
        <v>2230</v>
      </c>
      <c r="AX567" t="s">
        <v>605</v>
      </c>
      <c r="AY567" s="4">
        <v>41125</v>
      </c>
      <c r="AZ567" s="9">
        <v>22.824917835256162</v>
      </c>
      <c r="BA567" s="7">
        <f t="shared" si="166"/>
        <v>5.8501232211361832E-4</v>
      </c>
      <c r="BB567" s="54">
        <f t="shared" si="160"/>
        <v>219.11605353813144</v>
      </c>
      <c r="BC567" s="55">
        <f t="shared" si="161"/>
        <v>137.02832028068411</v>
      </c>
      <c r="BD567" s="55">
        <f t="shared" si="162"/>
        <v>11.705909630638882</v>
      </c>
      <c r="BE567" s="55">
        <f t="shared" si="163"/>
        <v>11.471580641166385</v>
      </c>
      <c r="BF567" s="56">
        <f t="shared" si="164"/>
        <v>0.11434993442546615</v>
      </c>
      <c r="BG567" s="56">
        <f t="shared" si="167"/>
        <v>3.7319324936423844E-5</v>
      </c>
      <c r="BH567" s="56">
        <f t="shared" si="168"/>
        <v>6.1089544879974218E-3</v>
      </c>
      <c r="BI567" s="56">
        <f t="shared" si="165"/>
        <v>5.9866653898346346E-3</v>
      </c>
      <c r="BJ567" s="57">
        <f t="shared" si="169"/>
        <v>1.4963362699450092E-2</v>
      </c>
      <c r="BK567" s="57">
        <f t="shared" si="170"/>
        <v>7.9939269032043635E-4</v>
      </c>
      <c r="BL567" s="58">
        <f t="shared" si="171"/>
        <v>26.401562318944109</v>
      </c>
      <c r="BM567" s="58">
        <f t="shared" si="171"/>
        <v>1.4104594237750456</v>
      </c>
    </row>
    <row r="568" spans="47:65" x14ac:dyDescent="0.2">
      <c r="AU568" s="2">
        <v>-1069</v>
      </c>
      <c r="AV568" s="53">
        <v>566</v>
      </c>
      <c r="AW568" s="4" t="s">
        <v>2412</v>
      </c>
      <c r="AX568" t="s">
        <v>743</v>
      </c>
      <c r="AY568" s="4">
        <v>38102</v>
      </c>
      <c r="AZ568" s="9">
        <v>22.840669603092216</v>
      </c>
      <c r="BA568" s="7">
        <f t="shared" si="166"/>
        <v>5.8541604660216522E-4</v>
      </c>
      <c r="BB568" s="54">
        <f t="shared" si="160"/>
        <v>221.37343738398738</v>
      </c>
      <c r="BC568" s="55">
        <f t="shared" si="161"/>
        <v>139.32526043033906</v>
      </c>
      <c r="BD568" s="55">
        <f t="shared" si="162"/>
        <v>11.803612177225201</v>
      </c>
      <c r="BE568" s="55">
        <f t="shared" si="163"/>
        <v>11.5673273774199</v>
      </c>
      <c r="BF568" s="56">
        <f t="shared" si="164"/>
        <v>0.11552799368027013</v>
      </c>
      <c r="BG568" s="56">
        <f t="shared" si="167"/>
        <v>3.7944890918907619E-5</v>
      </c>
      <c r="BH568" s="56">
        <f t="shared" si="168"/>
        <v>6.1599424444476443E-3</v>
      </c>
      <c r="BI568" s="56">
        <f t="shared" si="165"/>
        <v>6.0366326689785012E-3</v>
      </c>
      <c r="BJ568" s="57">
        <f t="shared" si="169"/>
        <v>1.4006266195577297E-2</v>
      </c>
      <c r="BK568" s="57">
        <f t="shared" si="170"/>
        <v>7.4681287952725291E-4</v>
      </c>
      <c r="BL568" s="58">
        <f t="shared" si="171"/>
        <v>24.712848124161557</v>
      </c>
      <c r="BM568" s="58">
        <f t="shared" si="171"/>
        <v>1.3176868846568475</v>
      </c>
    </row>
    <row r="569" spans="47:65" x14ac:dyDescent="0.2">
      <c r="AU569" s="2">
        <v>-1068</v>
      </c>
      <c r="AV569" s="53">
        <v>567</v>
      </c>
      <c r="AW569" s="4" t="s">
        <v>1378</v>
      </c>
      <c r="AX569" t="s">
        <v>1</v>
      </c>
      <c r="AY569" s="4">
        <v>23371</v>
      </c>
      <c r="AZ569" s="9">
        <v>22.84206459960334</v>
      </c>
      <c r="BA569" s="7">
        <f t="shared" si="166"/>
        <v>5.8545180095423801E-4</v>
      </c>
      <c r="BB569" s="54">
        <f t="shared" si="160"/>
        <v>221.57447175044359</v>
      </c>
      <c r="BC569" s="55">
        <f t="shared" si="161"/>
        <v>139.53047626345608</v>
      </c>
      <c r="BD569" s="55">
        <f t="shared" si="162"/>
        <v>11.812301903670431</v>
      </c>
      <c r="BE569" s="55">
        <f t="shared" si="163"/>
        <v>11.575843152853979</v>
      </c>
      <c r="BF569" s="56">
        <f t="shared" si="164"/>
        <v>0.11563290733789748</v>
      </c>
      <c r="BG569" s="56">
        <f t="shared" si="167"/>
        <v>3.8000780944723591E-5</v>
      </c>
      <c r="BH569" s="56">
        <f t="shared" si="168"/>
        <v>6.164477345624979E-3</v>
      </c>
      <c r="BI569" s="56">
        <f t="shared" si="165"/>
        <v>6.0410767904690134E-3</v>
      </c>
      <c r="BJ569" s="57">
        <f t="shared" si="169"/>
        <v>8.5989636430945267E-3</v>
      </c>
      <c r="BK569" s="57">
        <f t="shared" si="170"/>
        <v>4.5841722563293353E-4</v>
      </c>
      <c r="BL569" s="58">
        <f t="shared" si="171"/>
        <v>15.172129357650208</v>
      </c>
      <c r="BM569" s="58">
        <f t="shared" si="171"/>
        <v>0.80883763855233837</v>
      </c>
    </row>
    <row r="570" spans="47:65" x14ac:dyDescent="0.2">
      <c r="AU570" s="2">
        <v>-1067</v>
      </c>
      <c r="AV570" s="53">
        <v>568</v>
      </c>
      <c r="AW570" s="4" t="s">
        <v>2806</v>
      </c>
      <c r="AX570" t="s">
        <v>1045</v>
      </c>
      <c r="AY570" s="4">
        <v>42190</v>
      </c>
      <c r="AZ570" s="9">
        <v>22.853988451321875</v>
      </c>
      <c r="BA570" s="7">
        <f t="shared" si="166"/>
        <v>5.8575741432961782E-4</v>
      </c>
      <c r="BB570" s="54">
        <f t="shared" si="160"/>
        <v>223.30029722177608</v>
      </c>
      <c r="BC570" s="55">
        <f t="shared" si="161"/>
        <v>141.2966146272519</v>
      </c>
      <c r="BD570" s="55">
        <f t="shared" si="162"/>
        <v>11.886825254341543</v>
      </c>
      <c r="BE570" s="55">
        <f t="shared" si="163"/>
        <v>11.648874694515294</v>
      </c>
      <c r="BF570" s="56">
        <f t="shared" si="164"/>
        <v>0.11653356261299039</v>
      </c>
      <c r="BG570" s="56">
        <f t="shared" si="167"/>
        <v>3.8481784370485351E-5</v>
      </c>
      <c r="BH570" s="56">
        <f t="shared" si="168"/>
        <v>6.2033687920746219E-3</v>
      </c>
      <c r="BI570" s="56">
        <f t="shared" si="165"/>
        <v>6.0791897076429976E-3</v>
      </c>
      <c r="BJ570" s="57">
        <f t="shared" si="169"/>
        <v>1.5644004105295466E-2</v>
      </c>
      <c r="BK570" s="57">
        <f t="shared" si="170"/>
        <v>8.3276890085448368E-4</v>
      </c>
      <c r="BL570" s="58">
        <f t="shared" si="171"/>
        <v>27.602495348118143</v>
      </c>
      <c r="BM570" s="58">
        <f t="shared" si="171"/>
        <v>1.4693488672834378</v>
      </c>
    </row>
    <row r="571" spans="47:65" x14ac:dyDescent="0.2">
      <c r="AU571" s="2">
        <v>-1066</v>
      </c>
      <c r="AV571" s="53">
        <v>569</v>
      </c>
      <c r="AW571" s="4" t="s">
        <v>2311</v>
      </c>
      <c r="AX571" t="s">
        <v>663</v>
      </c>
      <c r="AY571" s="4">
        <v>64595</v>
      </c>
      <c r="AZ571" s="9">
        <v>22.857783110575113</v>
      </c>
      <c r="BA571" s="7">
        <f t="shared" si="166"/>
        <v>5.8585467305525218E-4</v>
      </c>
      <c r="BB571" s="54">
        <f t="shared" si="160"/>
        <v>223.85234065969169</v>
      </c>
      <c r="BC571" s="55">
        <f t="shared" si="161"/>
        <v>141.8632193722112</v>
      </c>
      <c r="BD571" s="55">
        <f t="shared" si="162"/>
        <v>11.910634717436817</v>
      </c>
      <c r="BE571" s="55">
        <f t="shared" si="163"/>
        <v>11.672207539594281</v>
      </c>
      <c r="BF571" s="56">
        <f t="shared" si="164"/>
        <v>0.11682165711773498</v>
      </c>
      <c r="BG571" s="56">
        <f t="shared" si="167"/>
        <v>3.8636097774780887E-5</v>
      </c>
      <c r="BH571" s="56">
        <f t="shared" si="168"/>
        <v>6.2157942191469698E-3</v>
      </c>
      <c r="BI571" s="56">
        <f t="shared" si="165"/>
        <v>6.0913664024201631E-3</v>
      </c>
      <c r="BJ571" s="57">
        <f t="shared" si="169"/>
        <v>2.4010966241295426E-2</v>
      </c>
      <c r="BK571" s="57">
        <f t="shared" si="170"/>
        <v>1.2775646985418389E-3</v>
      </c>
      <c r="BL571" s="58">
        <f t="shared" si="171"/>
        <v>42.365278065532777</v>
      </c>
      <c r="BM571" s="58">
        <f t="shared" si="171"/>
        <v>2.2541526715966711</v>
      </c>
    </row>
    <row r="572" spans="47:65" x14ac:dyDescent="0.2">
      <c r="AU572" s="2">
        <v>-1065</v>
      </c>
      <c r="AV572" s="53">
        <v>570</v>
      </c>
      <c r="AW572" s="4" t="s">
        <v>2301</v>
      </c>
      <c r="AX572" t="s">
        <v>655</v>
      </c>
      <c r="AY572" s="4">
        <v>20265</v>
      </c>
      <c r="AZ572" s="9">
        <v>22.865707599678146</v>
      </c>
      <c r="BA572" s="7">
        <f t="shared" si="166"/>
        <v>5.860577810710264E-4</v>
      </c>
      <c r="BB572" s="54">
        <f t="shared" si="160"/>
        <v>225.00959311924601</v>
      </c>
      <c r="BC572" s="55">
        <f t="shared" si="161"/>
        <v>143.05361025175202</v>
      </c>
      <c r="BD572" s="55">
        <f t="shared" si="162"/>
        <v>11.960502090286679</v>
      </c>
      <c r="BE572" s="55">
        <f t="shared" si="163"/>
        <v>11.72107666698896</v>
      </c>
      <c r="BF572" s="56">
        <f t="shared" si="164"/>
        <v>0.11742559161147442</v>
      </c>
      <c r="BG572" s="56">
        <f t="shared" si="167"/>
        <v>3.8960297793755414E-5</v>
      </c>
      <c r="BH572" s="56">
        <f t="shared" si="168"/>
        <v>6.2418184685038231E-3</v>
      </c>
      <c r="BI572" s="56">
        <f t="shared" si="165"/>
        <v>6.116869698152224E-3</v>
      </c>
      <c r="BJ572" s="57">
        <f t="shared" si="169"/>
        <v>7.5717582102389864E-3</v>
      </c>
      <c r="BK572" s="57">
        <f t="shared" si="170"/>
        <v>4.0248075046612683E-4</v>
      </c>
      <c r="BL572" s="58">
        <f t="shared" si="171"/>
        <v>13.359714007263081</v>
      </c>
      <c r="BM572" s="58">
        <f t="shared" si="171"/>
        <v>0.7101425547879926</v>
      </c>
    </row>
    <row r="573" spans="47:65" x14ac:dyDescent="0.2">
      <c r="AU573" s="2">
        <v>-1064</v>
      </c>
      <c r="AV573" s="53">
        <v>571</v>
      </c>
      <c r="AW573" s="4" t="s">
        <v>2338</v>
      </c>
      <c r="AX573" t="s">
        <v>1321</v>
      </c>
      <c r="AY573" s="4">
        <v>17337</v>
      </c>
      <c r="AZ573" s="9">
        <v>22.871002037633591</v>
      </c>
      <c r="BA573" s="7">
        <f t="shared" si="166"/>
        <v>5.8619347976071969E-4</v>
      </c>
      <c r="BB573" s="54">
        <f t="shared" si="160"/>
        <v>225.78609831877509</v>
      </c>
      <c r="BC573" s="55">
        <f t="shared" si="161"/>
        <v>143.85433064019421</v>
      </c>
      <c r="BD573" s="55">
        <f t="shared" si="162"/>
        <v>11.993928907584628</v>
      </c>
      <c r="BE573" s="55">
        <f t="shared" si="163"/>
        <v>11.75383434599985</v>
      </c>
      <c r="BF573" s="56">
        <f t="shared" si="164"/>
        <v>0.11783082581140365</v>
      </c>
      <c r="BG573" s="56">
        <f t="shared" si="167"/>
        <v>3.9178372015916773E-5</v>
      </c>
      <c r="BH573" s="56">
        <f t="shared" si="168"/>
        <v>6.25926289717222E-3</v>
      </c>
      <c r="BI573" s="56">
        <f t="shared" si="165"/>
        <v>6.1339649241126922E-3</v>
      </c>
      <c r="BJ573" s="57">
        <f t="shared" si="169"/>
        <v>6.5001030639346719E-3</v>
      </c>
      <c r="BK573" s="57">
        <f t="shared" si="170"/>
        <v>3.452904081399062E-4</v>
      </c>
      <c r="BL573" s="58">
        <f t="shared" si="171"/>
        <v>11.468870972989087</v>
      </c>
      <c r="BM573" s="58">
        <f t="shared" si="171"/>
        <v>0.60923513061501888</v>
      </c>
    </row>
    <row r="574" spans="47:65" x14ac:dyDescent="0.2">
      <c r="AU574" s="2">
        <v>-1063</v>
      </c>
      <c r="AV574" s="53">
        <v>572</v>
      </c>
      <c r="AW574" s="4" t="s">
        <v>1628</v>
      </c>
      <c r="AX574" t="s">
        <v>182</v>
      </c>
      <c r="AY574" s="4">
        <v>14560</v>
      </c>
      <c r="AZ574" s="9">
        <v>22.890349391364083</v>
      </c>
      <c r="BA574" s="7">
        <f t="shared" si="166"/>
        <v>5.8668936064030586E-4</v>
      </c>
      <c r="BB574" s="54">
        <f t="shared" si="160"/>
        <v>228.64652485541123</v>
      </c>
      <c r="BC574" s="55">
        <f t="shared" si="161"/>
        <v>146.81761798598208</v>
      </c>
      <c r="BD574" s="55">
        <f t="shared" si="162"/>
        <v>12.116832011131544</v>
      </c>
      <c r="BE574" s="55">
        <f t="shared" si="163"/>
        <v>11.874277174269926</v>
      </c>
      <c r="BF574" s="56">
        <f t="shared" si="164"/>
        <v>0.1193235945137037</v>
      </c>
      <c r="BG574" s="56">
        <f t="shared" si="167"/>
        <v>3.9985416013178703E-5</v>
      </c>
      <c r="BH574" s="56">
        <f t="shared" si="168"/>
        <v>6.3234022498318658E-3</v>
      </c>
      <c r="BI574" s="56">
        <f t="shared" si="165"/>
        <v>6.1968203347150018E-3</v>
      </c>
      <c r="BJ574" s="57">
        <f t="shared" si="169"/>
        <v>5.5280896153985419E-3</v>
      </c>
      <c r="BK574" s="57">
        <f t="shared" si="170"/>
        <v>2.9295408384021456E-4</v>
      </c>
      <c r="BL574" s="58">
        <f t="shared" si="171"/>
        <v>9.7538371165069808</v>
      </c>
      <c r="BM574" s="58">
        <f t="shared" si="171"/>
        <v>0.51689220240453337</v>
      </c>
    </row>
    <row r="575" spans="47:65" x14ac:dyDescent="0.2">
      <c r="AU575" s="2">
        <v>-1062</v>
      </c>
      <c r="AV575" s="53">
        <v>573</v>
      </c>
      <c r="AW575" s="4" t="s">
        <v>3165</v>
      </c>
      <c r="AX575" t="s">
        <v>3166</v>
      </c>
      <c r="AY575" s="5">
        <v>46416.784999999989</v>
      </c>
      <c r="AZ575" s="9">
        <v>22.893346221303933</v>
      </c>
      <c r="BA575" s="7">
        <f t="shared" si="166"/>
        <v>5.8676617066235042E-4</v>
      </c>
      <c r="BB575" s="54">
        <f t="shared" si="160"/>
        <v>229.09282386816739</v>
      </c>
      <c r="BC575" s="55">
        <f t="shared" si="161"/>
        <v>147.28189676919865</v>
      </c>
      <c r="BD575" s="55">
        <f t="shared" si="162"/>
        <v>12.135975311823877</v>
      </c>
      <c r="BE575" s="55">
        <f t="shared" si="163"/>
        <v>11.893037264221023</v>
      </c>
      <c r="BF575" s="56">
        <f t="shared" si="164"/>
        <v>0.11955650425271529</v>
      </c>
      <c r="BG575" s="56">
        <f t="shared" si="167"/>
        <v>4.0111861194268732E-5</v>
      </c>
      <c r="BH575" s="56">
        <f t="shared" si="168"/>
        <v>6.3333925501478849E-3</v>
      </c>
      <c r="BI575" s="56">
        <f t="shared" si="165"/>
        <v>6.2066106491220699E-3</v>
      </c>
      <c r="BJ575" s="57">
        <f t="shared" si="169"/>
        <v>1.7657761091423817E-2</v>
      </c>
      <c r="BK575" s="57">
        <f t="shared" si="170"/>
        <v>9.3540316562220715E-4</v>
      </c>
      <c r="BL575" s="58">
        <f t="shared" si="171"/>
        <v>31.155595786325833</v>
      </c>
      <c r="BM575" s="58">
        <f t="shared" si="171"/>
        <v>1.6504381713222716</v>
      </c>
    </row>
    <row r="576" spans="47:65" x14ac:dyDescent="0.2">
      <c r="AU576" s="2">
        <v>-1061</v>
      </c>
      <c r="AV576" s="53">
        <v>574</v>
      </c>
      <c r="AW576" s="4" t="s">
        <v>2445</v>
      </c>
      <c r="AX576" t="s">
        <v>1332</v>
      </c>
      <c r="AY576" s="4">
        <v>36292</v>
      </c>
      <c r="AZ576" s="9">
        <v>22.894444529060017</v>
      </c>
      <c r="BA576" s="7">
        <f t="shared" si="166"/>
        <v>5.8679432075583245E-4</v>
      </c>
      <c r="BB576" s="54">
        <f t="shared" si="160"/>
        <v>229.25660598958439</v>
      </c>
      <c r="BC576" s="55">
        <f t="shared" si="161"/>
        <v>147.4524074250925</v>
      </c>
      <c r="BD576" s="55">
        <f t="shared" si="162"/>
        <v>12.142998288112063</v>
      </c>
      <c r="BE576" s="55">
        <f t="shared" si="163"/>
        <v>11.899919654515584</v>
      </c>
      <c r="BF576" s="56">
        <f t="shared" si="164"/>
        <v>0.11964197710849964</v>
      </c>
      <c r="BG576" s="56">
        <f t="shared" si="167"/>
        <v>4.0158299350695257E-5</v>
      </c>
      <c r="BH576" s="56">
        <f t="shared" si="168"/>
        <v>6.3370576256410399E-3</v>
      </c>
      <c r="BI576" s="56">
        <f t="shared" si="165"/>
        <v>6.210202357105672E-3</v>
      </c>
      <c r="BJ576" s="57">
        <f t="shared" si="169"/>
        <v>1.381598508054477E-2</v>
      </c>
      <c r="BK576" s="57">
        <f t="shared" si="170"/>
        <v>7.3178909047123342E-4</v>
      </c>
      <c r="BL576" s="58">
        <f t="shared" si="171"/>
        <v>24.377113515734663</v>
      </c>
      <c r="BM576" s="58">
        <f t="shared" si="171"/>
        <v>1.2911787052458286</v>
      </c>
    </row>
    <row r="577" spans="47:65" x14ac:dyDescent="0.2">
      <c r="AU577" s="2">
        <v>-1060</v>
      </c>
      <c r="AV577" s="53">
        <v>575</v>
      </c>
      <c r="AW577" s="4" t="s">
        <v>1849</v>
      </c>
      <c r="AX577" t="s">
        <v>1850</v>
      </c>
      <c r="AY577" s="4">
        <v>53579</v>
      </c>
      <c r="AZ577" s="9">
        <v>22.895813157958703</v>
      </c>
      <c r="BA577" s="7">
        <f t="shared" si="166"/>
        <v>5.8682939929481821E-4</v>
      </c>
      <c r="BB577" s="54">
        <f t="shared" si="160"/>
        <v>229.46086289571073</v>
      </c>
      <c r="BC577" s="55">
        <f t="shared" si="161"/>
        <v>147.66515365723996</v>
      </c>
      <c r="BD577" s="55">
        <f t="shared" si="162"/>
        <v>12.15175516776239</v>
      </c>
      <c r="BE577" s="55">
        <f t="shared" si="163"/>
        <v>11.908501238881382</v>
      </c>
      <c r="BF577" s="56">
        <f t="shared" si="164"/>
        <v>0.11974857251054496</v>
      </c>
      <c r="BG577" s="56">
        <f t="shared" si="167"/>
        <v>4.0216240262108341E-5</v>
      </c>
      <c r="BH577" s="56">
        <f t="shared" si="168"/>
        <v>6.3416275720124355E-3</v>
      </c>
      <c r="BI577" s="56">
        <f t="shared" si="165"/>
        <v>6.2146808222552797E-3</v>
      </c>
      <c r="BJ577" s="57">
        <f t="shared" si="169"/>
        <v>2.0415138040427876E-2</v>
      </c>
      <c r="BK577" s="57">
        <f t="shared" si="170"/>
        <v>1.0811419256978344E-3</v>
      </c>
      <c r="BL577" s="58">
        <f t="shared" si="171"/>
        <v>36.020749483270301</v>
      </c>
      <c r="BM577" s="58">
        <f t="shared" si="171"/>
        <v>1.9075816379150932</v>
      </c>
    </row>
    <row r="578" spans="47:65" x14ac:dyDescent="0.2">
      <c r="AU578" s="2">
        <v>-1059</v>
      </c>
      <c r="AV578" s="53">
        <v>576</v>
      </c>
      <c r="AW578" s="4" t="s">
        <v>1996</v>
      </c>
      <c r="AX578" t="s">
        <v>424</v>
      </c>
      <c r="AY578" s="4">
        <v>25307</v>
      </c>
      <c r="AZ578" s="9">
        <v>22.89986211408657</v>
      </c>
      <c r="BA578" s="7">
        <f t="shared" si="166"/>
        <v>5.8693317575717388E-4</v>
      </c>
      <c r="BB578" s="54">
        <f t="shared" si="160"/>
        <v>230.06620345206881</v>
      </c>
      <c r="BC578" s="55">
        <f t="shared" si="161"/>
        <v>148.29629172016544</v>
      </c>
      <c r="BD578" s="55">
        <f t="shared" si="162"/>
        <v>12.177696486617059</v>
      </c>
      <c r="BE578" s="55">
        <f t="shared" si="163"/>
        <v>11.933923264214691</v>
      </c>
      <c r="BF578" s="56">
        <f t="shared" si="164"/>
        <v>0.1200644811434675</v>
      </c>
      <c r="BG578" s="56">
        <f t="shared" si="167"/>
        <v>4.0388129156331985E-5</v>
      </c>
      <c r="BH578" s="56">
        <f t="shared" si="168"/>
        <v>6.3551655490893377E-3</v>
      </c>
      <c r="BI578" s="56">
        <f t="shared" si="165"/>
        <v>6.2279477960024083E-3</v>
      </c>
      <c r="BJ578" s="57">
        <f t="shared" si="169"/>
        <v>9.6681323205885517E-3</v>
      </c>
      <c r="BK578" s="57">
        <f t="shared" si="170"/>
        <v>5.1174652872086721E-4</v>
      </c>
      <c r="BL578" s="58">
        <f t="shared" si="171"/>
        <v>17.058585232261798</v>
      </c>
      <c r="BM578" s="58">
        <f t="shared" si="171"/>
        <v>0.90293259215215205</v>
      </c>
    </row>
    <row r="579" spans="47:65" x14ac:dyDescent="0.2">
      <c r="AU579" s="2">
        <v>-1058</v>
      </c>
      <c r="AV579" s="53">
        <v>577</v>
      </c>
      <c r="AW579" s="4" t="s">
        <v>2953</v>
      </c>
      <c r="AX579" t="s">
        <v>1154</v>
      </c>
      <c r="AY579" s="4">
        <v>22758</v>
      </c>
      <c r="AZ579" s="9">
        <v>22.904420492970036</v>
      </c>
      <c r="BA579" s="7">
        <f t="shared" si="166"/>
        <v>5.8705000894075589E-4</v>
      </c>
      <c r="BB579" s="54">
        <f t="shared" ref="BB579:BB642" si="172">IFERROR(IF(MATCH(AX579,$S$4:$S$20,0),VLOOKUP(AX579,$S$4:$AT$20,20,FALSE)),AVERAGE((2^(($AE$23*AZ579)+$AE$24)),(2^(($AF$23*AZ579)+$AF$24)),(2^(($AG$23*AZ579)+$AG$24)),(2^(($AH$23*AZ579)+$AH$24))))</f>
        <v>230.7496167672233</v>
      </c>
      <c r="BC579" s="55">
        <f t="shared" ref="BC579:BC642" si="173">IFERROR(IF(MATCH(AX579,$S$4:$S$20,0),VLOOKUP(AX579,$S$4:$AT$20,21,FALSE)),_xlfn.VAR.S((2^(($AE$23*AZ579)+$AE$24)),(2^(($AF$23*AZ579)+$AF$24)),(2^(($AG$23*AZ579)+$AG$24)),(2^(($AH$23*AZ579)+$AH$24))))</f>
        <v>149.0099754729483</v>
      </c>
      <c r="BD579" s="55">
        <f t="shared" ref="BD579:BD642" si="174">SQRT(BC579)</f>
        <v>12.206964220187929</v>
      </c>
      <c r="BE579" s="55">
        <f t="shared" ref="BE579:BE642" si="175">_xlfn.CONFIDENCE.NORM(0.05,BD579,4)</f>
        <v>11.962605116068701</v>
      </c>
      <c r="BF579" s="56">
        <f t="shared" ref="BF579:BF642" si="176">IFERROR(IF(MATCH(AX579,$S$4:$S$20,0),VLOOKUP(AX579,$S$4:$AT$20,24,FALSE)),AVERAGE((2^(($AI$23*AZ579)+$AI$24)),(2^(($AJ$23*AZ579)+$AJ$24)),(2^(($AK$23*AZ579)+$AK$24)),(2^(($AL$23*AZ579)+$AL$24))))</f>
        <v>0.12042113354985921</v>
      </c>
      <c r="BG579" s="56">
        <f t="shared" si="167"/>
        <v>4.0582499165520311E-5</v>
      </c>
      <c r="BH579" s="56">
        <f t="shared" si="168"/>
        <v>6.3704394797784803E-3</v>
      </c>
      <c r="BI579" s="56">
        <f t="shared" ref="BI579:BI642" si="177">_xlfn.CONFIDENCE.NORM(0.05,BH579,4)</f>
        <v>6.2429159730289481E-3</v>
      </c>
      <c r="BJ579" s="57">
        <f t="shared" si="169"/>
        <v>8.7201544314415031E-3</v>
      </c>
      <c r="BK579" s="57">
        <f t="shared" si="170"/>
        <v>4.6130786534092673E-4</v>
      </c>
      <c r="BL579" s="58">
        <f t="shared" si="171"/>
        <v>15.385960046332388</v>
      </c>
      <c r="BM579" s="58">
        <f t="shared" si="171"/>
        <v>0.81393792288849254</v>
      </c>
    </row>
    <row r="580" spans="47:65" x14ac:dyDescent="0.2">
      <c r="AU580" s="2">
        <v>-1057</v>
      </c>
      <c r="AV580" s="53">
        <v>578</v>
      </c>
      <c r="AW580" s="4" t="s">
        <v>2946</v>
      </c>
      <c r="AX580" t="s">
        <v>1149</v>
      </c>
      <c r="AY580" s="4">
        <v>21386</v>
      </c>
      <c r="AZ580" s="9">
        <v>22.90518596702476</v>
      </c>
      <c r="BA580" s="7">
        <f t="shared" ref="BA580:BA643" si="178">AZ580/$AZ$1637</f>
        <v>5.8706962836534713E-4</v>
      </c>
      <c r="BB580" s="54">
        <f t="shared" si="172"/>
        <v>230.86457911843186</v>
      </c>
      <c r="BC580" s="55">
        <f t="shared" si="173"/>
        <v>149.13014910929917</v>
      </c>
      <c r="BD580" s="55">
        <f t="shared" si="174"/>
        <v>12.211885567319207</v>
      </c>
      <c r="BE580" s="55">
        <f t="shared" si="175"/>
        <v>11.967427947635063</v>
      </c>
      <c r="BF580" s="56">
        <f t="shared" si="176"/>
        <v>0.12048112886791011</v>
      </c>
      <c r="BG580" s="56">
        <f t="shared" ref="BG580:BG643" si="179">IFERROR(IF(MATCH(AX580,$S$4:$S$20,0),VLOOKUP(AX580,$S$4:$AT$20,25,FALSE)),_xlfn.VAR.S((2^(($AI$23*AZ580)+$AI$24)),(2^(($AJ$23*AZ580)+$AJ$24)),(2^(($AK$23*AZ580)+$AK$24)),(2^(($AL$23*AZ580)+$AL$24))))</f>
        <v>4.0615228158874602E-5</v>
      </c>
      <c r="BH580" s="56">
        <f t="shared" ref="BH580:BH643" si="180">SQRT(BG580)</f>
        <v>6.3730077796025483E-3</v>
      </c>
      <c r="BI580" s="56">
        <f t="shared" si="177"/>
        <v>6.2454328606072855E-3</v>
      </c>
      <c r="BJ580" s="57">
        <f t="shared" ref="BJ580:BJ643" si="181">(((BF580*0.000001)*AY580)*1000000000000000)*$S$24</f>
        <v>8.1985294814541365E-3</v>
      </c>
      <c r="BK580" s="57">
        <f t="shared" ref="BK580:BK643" si="182">((((BH580*0.000001)*AY580)*1000000000000000)*$S$24)</f>
        <v>4.3367200040009366E-4</v>
      </c>
      <c r="BL580" s="58">
        <f t="shared" ref="BL580:BM643" si="183">((BJ580/$S$26)*0.000000001)/0.45</f>
        <v>14.465597832248406</v>
      </c>
      <c r="BM580" s="58">
        <f t="shared" si="183"/>
        <v>0.76517682385424002</v>
      </c>
    </row>
    <row r="581" spans="47:65" x14ac:dyDescent="0.2">
      <c r="AU581" s="2">
        <v>-1056</v>
      </c>
      <c r="AV581" s="53">
        <v>579</v>
      </c>
      <c r="AW581" s="4" t="s">
        <v>3104</v>
      </c>
      <c r="AX581" t="s">
        <v>1249</v>
      </c>
      <c r="AY581" s="4">
        <v>18258</v>
      </c>
      <c r="AZ581" s="9">
        <v>22.905932678261006</v>
      </c>
      <c r="BA581" s="7">
        <f t="shared" si="178"/>
        <v>5.8708876689094532E-4</v>
      </c>
      <c r="BB581" s="54">
        <f t="shared" si="172"/>
        <v>230.97677877610482</v>
      </c>
      <c r="BC581" s="55">
        <f t="shared" si="173"/>
        <v>149.2474679091259</v>
      </c>
      <c r="BD581" s="55">
        <f t="shared" si="174"/>
        <v>12.216688090850397</v>
      </c>
      <c r="BE581" s="55">
        <f t="shared" si="175"/>
        <v>11.972134334213083</v>
      </c>
      <c r="BF581" s="56">
        <f t="shared" si="176"/>
        <v>0.12053968242110857</v>
      </c>
      <c r="BG581" s="56">
        <f t="shared" si="179"/>
        <v>4.0647179644542784E-5</v>
      </c>
      <c r="BH581" s="56">
        <f t="shared" si="180"/>
        <v>6.3755140690412394E-3</v>
      </c>
      <c r="BI581" s="56">
        <f t="shared" si="177"/>
        <v>6.2478889791246191E-3</v>
      </c>
      <c r="BJ581" s="57">
        <f t="shared" si="181"/>
        <v>7.0027821782149644E-3</v>
      </c>
      <c r="BK581" s="57">
        <f t="shared" si="182"/>
        <v>3.7038704103821679E-4</v>
      </c>
      <c r="BL581" s="58">
        <f t="shared" si="183"/>
        <v>12.355804894773293</v>
      </c>
      <c r="BM581" s="58">
        <f t="shared" si="183"/>
        <v>0.65351597381644444</v>
      </c>
    </row>
    <row r="582" spans="47:65" x14ac:dyDescent="0.2">
      <c r="AU582" s="2">
        <v>-1055</v>
      </c>
      <c r="AV582" s="53">
        <v>580</v>
      </c>
      <c r="AW582" s="4" t="s">
        <v>2535</v>
      </c>
      <c r="AX582" t="s">
        <v>842</v>
      </c>
      <c r="AY582" s="4">
        <v>36098</v>
      </c>
      <c r="AZ582" s="9">
        <v>22.907797767235088</v>
      </c>
      <c r="BA582" s="7">
        <f t="shared" si="178"/>
        <v>5.8713656991216763E-4</v>
      </c>
      <c r="BB582" s="54">
        <f t="shared" si="172"/>
        <v>231.25726238696973</v>
      </c>
      <c r="BC582" s="55">
        <f t="shared" si="173"/>
        <v>149.54089160369622</v>
      </c>
      <c r="BD582" s="55">
        <f t="shared" si="174"/>
        <v>12.228691328335024</v>
      </c>
      <c r="BE582" s="55">
        <f t="shared" si="175"/>
        <v>11.983897290796957</v>
      </c>
      <c r="BF582" s="56">
        <f t="shared" si="176"/>
        <v>0.12068605819774333</v>
      </c>
      <c r="BG582" s="56">
        <f t="shared" si="179"/>
        <v>4.0727092863790881E-5</v>
      </c>
      <c r="BH582" s="56">
        <f t="shared" si="180"/>
        <v>6.3817781897987395E-3</v>
      </c>
      <c r="BI582" s="56">
        <f t="shared" si="177"/>
        <v>6.2540277046643743E-3</v>
      </c>
      <c r="BJ582" s="57">
        <f t="shared" si="181"/>
        <v>1.386205493176915E-2</v>
      </c>
      <c r="BK582" s="57">
        <f t="shared" si="182"/>
        <v>7.3301391354093119E-4</v>
      </c>
      <c r="BL582" s="58">
        <f t="shared" si="183"/>
        <v>24.458399792927537</v>
      </c>
      <c r="BM582" s="58">
        <f t="shared" si="183"/>
        <v>1.2933397998643192</v>
      </c>
    </row>
    <row r="583" spans="47:65" x14ac:dyDescent="0.2">
      <c r="AU583" s="2">
        <v>-1054</v>
      </c>
      <c r="AV583" s="53">
        <v>581</v>
      </c>
      <c r="AW583" s="4" t="s">
        <v>2279</v>
      </c>
      <c r="AX583" t="s">
        <v>635</v>
      </c>
      <c r="AY583" s="4">
        <v>36764</v>
      </c>
      <c r="AZ583" s="9">
        <v>22.910679324339959</v>
      </c>
      <c r="BA583" s="7">
        <f t="shared" si="178"/>
        <v>5.8721042544257473E-4</v>
      </c>
      <c r="BB583" s="54">
        <f t="shared" si="172"/>
        <v>231.69127858687784</v>
      </c>
      <c r="BC583" s="55">
        <f t="shared" si="173"/>
        <v>149.99533325863493</v>
      </c>
      <c r="BD583" s="55">
        <f t="shared" si="174"/>
        <v>12.247258193515597</v>
      </c>
      <c r="BE583" s="55">
        <f t="shared" si="175"/>
        <v>12.002092484326823</v>
      </c>
      <c r="BF583" s="56">
        <f t="shared" si="176"/>
        <v>0.12091255791420732</v>
      </c>
      <c r="BG583" s="56">
        <f t="shared" si="179"/>
        <v>4.0850858927263201E-5</v>
      </c>
      <c r="BH583" s="56">
        <f t="shared" si="180"/>
        <v>6.3914676661360964E-3</v>
      </c>
      <c r="BI583" s="56">
        <f t="shared" si="177"/>
        <v>6.2635232169895106E-3</v>
      </c>
      <c r="BJ583" s="57">
        <f t="shared" si="181"/>
        <v>1.41443025808496E-2</v>
      </c>
      <c r="BK583" s="57">
        <f t="shared" si="182"/>
        <v>7.4767132682521109E-4</v>
      </c>
      <c r="BL583" s="58">
        <f t="shared" si="183"/>
        <v>24.956401415039309</v>
      </c>
      <c r="BM583" s="58">
        <f t="shared" si="183"/>
        <v>1.3192015408400732</v>
      </c>
    </row>
    <row r="584" spans="47:65" x14ac:dyDescent="0.2">
      <c r="AU584" s="2">
        <v>-1053</v>
      </c>
      <c r="AV584" s="53">
        <v>582</v>
      </c>
      <c r="AW584" s="4" t="s">
        <v>3042</v>
      </c>
      <c r="AX584" t="s">
        <v>1202</v>
      </c>
      <c r="AY584" s="4">
        <v>38488</v>
      </c>
      <c r="AZ584" s="9">
        <v>22.910789100382082</v>
      </c>
      <c r="BA584" s="7">
        <f t="shared" si="178"/>
        <v>5.872132390490805E-4</v>
      </c>
      <c r="BB584" s="54">
        <f t="shared" si="172"/>
        <v>231.70782900282342</v>
      </c>
      <c r="BC584" s="55">
        <f t="shared" si="173"/>
        <v>150.01267222680187</v>
      </c>
      <c r="BD584" s="55">
        <f t="shared" si="174"/>
        <v>12.247966044482727</v>
      </c>
      <c r="BE584" s="55">
        <f t="shared" si="175"/>
        <v>12.002786165527823</v>
      </c>
      <c r="BF584" s="56">
        <f t="shared" si="176"/>
        <v>0.12092119506765889</v>
      </c>
      <c r="BG584" s="56">
        <f t="shared" si="179"/>
        <v>4.0855581152461787E-5</v>
      </c>
      <c r="BH584" s="56">
        <f t="shared" si="180"/>
        <v>6.391837071801955E-3</v>
      </c>
      <c r="BI584" s="56">
        <f t="shared" si="177"/>
        <v>6.2638852278898939E-3</v>
      </c>
      <c r="BJ584" s="57">
        <f t="shared" si="181"/>
        <v>1.4808639018637139E-2</v>
      </c>
      <c r="BK584" s="57">
        <f t="shared" si="182"/>
        <v>7.8277764133323285E-4</v>
      </c>
      <c r="BL584" s="58">
        <f t="shared" si="183"/>
        <v>26.128565735004479</v>
      </c>
      <c r="BM584" s="58">
        <f t="shared" si="183"/>
        <v>1.3811436035226847</v>
      </c>
    </row>
    <row r="585" spans="47:65" x14ac:dyDescent="0.2">
      <c r="AU585" s="2">
        <v>-1052</v>
      </c>
      <c r="AV585" s="53">
        <v>583</v>
      </c>
      <c r="AW585" s="4" t="s">
        <v>2222</v>
      </c>
      <c r="AX585" t="s">
        <v>1313</v>
      </c>
      <c r="AY585" s="4">
        <v>16415</v>
      </c>
      <c r="AZ585" s="9">
        <v>22.912282444291439</v>
      </c>
      <c r="BA585" s="7">
        <f t="shared" si="178"/>
        <v>5.8725151408667027E-4</v>
      </c>
      <c r="BB585" s="54">
        <f t="shared" si="172"/>
        <v>231.93309089587109</v>
      </c>
      <c r="BC585" s="55">
        <f t="shared" si="173"/>
        <v>150.2487373840755</v>
      </c>
      <c r="BD585" s="55">
        <f t="shared" si="174"/>
        <v>12.257599168845239</v>
      </c>
      <c r="BE585" s="55">
        <f t="shared" si="175"/>
        <v>12.012226453932382</v>
      </c>
      <c r="BF585" s="56">
        <f t="shared" si="176"/>
        <v>0.12103875232684935</v>
      </c>
      <c r="BG585" s="56">
        <f t="shared" si="179"/>
        <v>4.0919872915598161E-5</v>
      </c>
      <c r="BH585" s="56">
        <f t="shared" si="180"/>
        <v>6.3968643033597457E-3</v>
      </c>
      <c r="BI585" s="56">
        <f t="shared" si="177"/>
        <v>6.2688118242875011E-3</v>
      </c>
      <c r="BJ585" s="57">
        <f t="shared" si="181"/>
        <v>6.3219738851933273E-3</v>
      </c>
      <c r="BK585" s="57">
        <f t="shared" si="182"/>
        <v>3.3411455666496455E-4</v>
      </c>
      <c r="BL585" s="58">
        <f t="shared" si="183"/>
        <v>11.154577407577163</v>
      </c>
      <c r="BM585" s="58">
        <f t="shared" si="183"/>
        <v>0.58951630503353525</v>
      </c>
    </row>
    <row r="586" spans="47:65" x14ac:dyDescent="0.2">
      <c r="AU586" s="2">
        <v>-1051</v>
      </c>
      <c r="AV586" s="53">
        <v>584</v>
      </c>
      <c r="AW586" s="4" t="s">
        <v>1957</v>
      </c>
      <c r="AX586" t="s">
        <v>400</v>
      </c>
      <c r="AY586" s="4">
        <v>43009</v>
      </c>
      <c r="AZ586" s="9">
        <v>22.914011571934491</v>
      </c>
      <c r="BA586" s="7">
        <f t="shared" si="178"/>
        <v>5.8729583236132932E-4</v>
      </c>
      <c r="BB586" s="54">
        <f t="shared" si="172"/>
        <v>232.19419296540605</v>
      </c>
      <c r="BC586" s="55">
        <f t="shared" si="173"/>
        <v>150.52252598856998</v>
      </c>
      <c r="BD586" s="55">
        <f t="shared" si="174"/>
        <v>12.268762202788428</v>
      </c>
      <c r="BE586" s="55">
        <f t="shared" si="175"/>
        <v>12.023166026175806</v>
      </c>
      <c r="BF586" s="56">
        <f t="shared" si="176"/>
        <v>0.12117501347270127</v>
      </c>
      <c r="BG586" s="56">
        <f t="shared" si="179"/>
        <v>4.0994438566508997E-5</v>
      </c>
      <c r="BH586" s="56">
        <f t="shared" si="180"/>
        <v>6.4026899477101808E-3</v>
      </c>
      <c r="BI586" s="56">
        <f t="shared" si="177"/>
        <v>6.2745208508442965E-3</v>
      </c>
      <c r="BJ586" s="57">
        <f t="shared" si="181"/>
        <v>1.6582873726979523E-2</v>
      </c>
      <c r="BK586" s="57">
        <f t="shared" si="182"/>
        <v>8.7621198358520135E-4</v>
      </c>
      <c r="BL586" s="58">
        <f t="shared" si="183"/>
        <v>29.259049782046695</v>
      </c>
      <c r="BM586" s="58">
        <f t="shared" si="183"/>
        <v>1.5460004381288228</v>
      </c>
    </row>
    <row r="587" spans="47:65" x14ac:dyDescent="0.2">
      <c r="AU587" s="2">
        <v>-1050</v>
      </c>
      <c r="AV587" s="53">
        <v>585</v>
      </c>
      <c r="AW587" s="4" t="s">
        <v>3235</v>
      </c>
      <c r="AX587" t="s">
        <v>3236</v>
      </c>
      <c r="AY587" s="5">
        <v>23383.524999999994</v>
      </c>
      <c r="AZ587" s="9">
        <v>22.91458343264199</v>
      </c>
      <c r="BA587" s="7">
        <f t="shared" si="178"/>
        <v>5.8731048939373719E-4</v>
      </c>
      <c r="BB587" s="54">
        <f t="shared" si="172"/>
        <v>232.28060985775798</v>
      </c>
      <c r="BC587" s="55">
        <f t="shared" si="173"/>
        <v>150.61318060545545</v>
      </c>
      <c r="BD587" s="55">
        <f t="shared" si="174"/>
        <v>12.272456176554694</v>
      </c>
      <c r="BE587" s="55">
        <f t="shared" si="175"/>
        <v>12.026786053946665</v>
      </c>
      <c r="BF587" s="56">
        <f t="shared" si="176"/>
        <v>0.12122011179303938</v>
      </c>
      <c r="BG587" s="56">
        <f t="shared" si="179"/>
        <v>4.1019128127743944E-5</v>
      </c>
      <c r="BH587" s="56">
        <f t="shared" si="180"/>
        <v>6.4046177190948675E-3</v>
      </c>
      <c r="BI587" s="56">
        <f t="shared" si="177"/>
        <v>6.2764100320865032E-3</v>
      </c>
      <c r="BJ587" s="57">
        <f t="shared" si="181"/>
        <v>9.019283387768225E-3</v>
      </c>
      <c r="BK587" s="57">
        <f t="shared" si="182"/>
        <v>4.7653034916731785E-4</v>
      </c>
      <c r="BL587" s="58">
        <f t="shared" si="183"/>
        <v>15.91374727841966</v>
      </c>
      <c r="BM587" s="58">
        <f t="shared" si="183"/>
        <v>0.84079668207678337</v>
      </c>
    </row>
    <row r="588" spans="47:65" x14ac:dyDescent="0.2">
      <c r="AU588" s="2">
        <v>-1049</v>
      </c>
      <c r="AV588" s="53">
        <v>586</v>
      </c>
      <c r="AW588" s="4" t="s">
        <v>1620</v>
      </c>
      <c r="AX588" t="s">
        <v>176</v>
      </c>
      <c r="AY588" s="4">
        <v>48364</v>
      </c>
      <c r="AZ588" s="9">
        <v>22.914692912029633</v>
      </c>
      <c r="BA588" s="7">
        <f t="shared" si="178"/>
        <v>5.873132953968629E-4</v>
      </c>
      <c r="BB588" s="54">
        <f t="shared" si="172"/>
        <v>232.29715753429781</v>
      </c>
      <c r="BC588" s="55">
        <f t="shared" si="173"/>
        <v>150.63054195374951</v>
      </c>
      <c r="BD588" s="55">
        <f t="shared" si="174"/>
        <v>12.273163485986387</v>
      </c>
      <c r="BE588" s="55">
        <f t="shared" si="175"/>
        <v>12.027479204452687</v>
      </c>
      <c r="BF588" s="56">
        <f t="shared" si="176"/>
        <v>0.12122874751687918</v>
      </c>
      <c r="BG588" s="56">
        <f t="shared" si="179"/>
        <v>4.1023856448118273E-5</v>
      </c>
      <c r="BH588" s="56">
        <f t="shared" si="180"/>
        <v>6.4049868421502841E-3</v>
      </c>
      <c r="BI588" s="56">
        <f t="shared" si="177"/>
        <v>6.2767717660337429E-3</v>
      </c>
      <c r="BJ588" s="57">
        <f t="shared" si="181"/>
        <v>1.8655856945405145E-2</v>
      </c>
      <c r="BK588" s="57">
        <f t="shared" si="182"/>
        <v>9.8566157542558769E-4</v>
      </c>
      <c r="BL588" s="58">
        <f t="shared" si="183"/>
        <v>32.916649796607636</v>
      </c>
      <c r="BM588" s="58">
        <f t="shared" si="183"/>
        <v>1.7391147987038793</v>
      </c>
    </row>
    <row r="589" spans="47:65" x14ac:dyDescent="0.2">
      <c r="AU589" s="2">
        <v>-1048</v>
      </c>
      <c r="AV589" s="53">
        <v>587</v>
      </c>
      <c r="AW589" s="4" t="s">
        <v>2086</v>
      </c>
      <c r="AX589" t="s">
        <v>496</v>
      </c>
      <c r="AY589" s="4">
        <v>38015</v>
      </c>
      <c r="AZ589" s="9">
        <v>22.915361772275354</v>
      </c>
      <c r="BA589" s="7">
        <f t="shared" si="178"/>
        <v>5.8733043856856423E-4</v>
      </c>
      <c r="BB589" s="54">
        <f t="shared" si="172"/>
        <v>232.39828055548895</v>
      </c>
      <c r="BC589" s="55">
        <f t="shared" si="173"/>
        <v>150.73665272324661</v>
      </c>
      <c r="BD589" s="55">
        <f t="shared" si="174"/>
        <v>12.277485602648721</v>
      </c>
      <c r="BE589" s="55">
        <f t="shared" si="175"/>
        <v>12.031714800950263</v>
      </c>
      <c r="BF589" s="56">
        <f t="shared" si="176"/>
        <v>0.12128152051390698</v>
      </c>
      <c r="BG589" s="56">
        <f t="shared" si="179"/>
        <v>4.1052755454382183E-5</v>
      </c>
      <c r="BH589" s="56">
        <f t="shared" si="180"/>
        <v>6.4072424220082526E-3</v>
      </c>
      <c r="BI589" s="56">
        <f t="shared" si="177"/>
        <v>6.2789821936766795E-3</v>
      </c>
      <c r="BJ589" s="57">
        <f t="shared" si="181"/>
        <v>1.4670232611161974E-2</v>
      </c>
      <c r="BK589" s="57">
        <f t="shared" si="182"/>
        <v>7.7502109413435068E-4</v>
      </c>
      <c r="BL589" s="58">
        <f t="shared" si="183"/>
        <v>25.884359571878388</v>
      </c>
      <c r="BM589" s="58">
        <f t="shared" si="183"/>
        <v>1.3674578452901018</v>
      </c>
    </row>
    <row r="590" spans="47:65" x14ac:dyDescent="0.2">
      <c r="AU590" s="2">
        <v>-1047</v>
      </c>
      <c r="AV590" s="53">
        <v>588</v>
      </c>
      <c r="AW590" s="4" t="s">
        <v>1802</v>
      </c>
      <c r="AX590" t="s">
        <v>1803</v>
      </c>
      <c r="AY590" s="4">
        <v>17762</v>
      </c>
      <c r="AZ590" s="9">
        <v>22.917311857140096</v>
      </c>
      <c r="BA590" s="7">
        <f t="shared" si="178"/>
        <v>5.8738042007050321E-4</v>
      </c>
      <c r="BB590" s="54">
        <f t="shared" si="172"/>
        <v>232.69335953083427</v>
      </c>
      <c r="BC590" s="55">
        <f t="shared" si="173"/>
        <v>151.04643722070173</v>
      </c>
      <c r="BD590" s="55">
        <f t="shared" si="174"/>
        <v>12.2900950859097</v>
      </c>
      <c r="BE590" s="55">
        <f t="shared" si="175"/>
        <v>12.044071867477854</v>
      </c>
      <c r="BF590" s="56">
        <f t="shared" si="176"/>
        <v>0.12143551316271668</v>
      </c>
      <c r="BG590" s="56">
        <f t="shared" si="179"/>
        <v>4.1137124497928225E-5</v>
      </c>
      <c r="BH590" s="56">
        <f t="shared" si="180"/>
        <v>6.4138229238051327E-3</v>
      </c>
      <c r="BI590" s="56">
        <f t="shared" si="177"/>
        <v>6.2854309669377224E-3</v>
      </c>
      <c r="BJ590" s="57">
        <f t="shared" si="181"/>
        <v>6.8631730629524204E-3</v>
      </c>
      <c r="BK590" s="57">
        <f t="shared" si="182"/>
        <v>3.6249014456111311E-4</v>
      </c>
      <c r="BL590" s="58">
        <f t="shared" si="183"/>
        <v>12.109476657536071</v>
      </c>
      <c r="BM590" s="58">
        <f t="shared" si="183"/>
        <v>0.6395825813929511</v>
      </c>
    </row>
    <row r="591" spans="47:65" x14ac:dyDescent="0.2">
      <c r="AU591" s="2">
        <v>-1046</v>
      </c>
      <c r="AV591" s="53">
        <v>589</v>
      </c>
      <c r="AW591" s="4" t="s">
        <v>2503</v>
      </c>
      <c r="AX591" t="s">
        <v>814</v>
      </c>
      <c r="AY591" s="4">
        <v>41415</v>
      </c>
      <c r="AZ591" s="9">
        <v>22.92167026345318</v>
      </c>
      <c r="BA591" s="7">
        <f t="shared" si="178"/>
        <v>5.8749212787231593E-4</v>
      </c>
      <c r="BB591" s="54">
        <f t="shared" si="172"/>
        <v>233.35421125147306</v>
      </c>
      <c r="BC591" s="55">
        <f t="shared" si="173"/>
        <v>151.74103921459638</v>
      </c>
      <c r="BD591" s="55">
        <f t="shared" si="174"/>
        <v>12.318321282325623</v>
      </c>
      <c r="BE591" s="55">
        <f t="shared" si="175"/>
        <v>12.071733031675736</v>
      </c>
      <c r="BF591" s="56">
        <f t="shared" si="176"/>
        <v>0.1217803913662977</v>
      </c>
      <c r="BG591" s="56">
        <f t="shared" si="179"/>
        <v>4.1326297637162824E-5</v>
      </c>
      <c r="BH591" s="56">
        <f t="shared" si="180"/>
        <v>6.4285533082617296E-3</v>
      </c>
      <c r="BI591" s="56">
        <f t="shared" si="177"/>
        <v>6.2998664784444016E-3</v>
      </c>
      <c r="BJ591" s="57">
        <f t="shared" si="181"/>
        <v>1.6048054969056424E-2</v>
      </c>
      <c r="BK591" s="57">
        <f t="shared" si="182"/>
        <v>8.4714604465497341E-4</v>
      </c>
      <c r="BL591" s="58">
        <f t="shared" si="183"/>
        <v>28.315408232332345</v>
      </c>
      <c r="BM591" s="58">
        <f t="shared" si="183"/>
        <v>1.4947160969390418</v>
      </c>
    </row>
    <row r="592" spans="47:65" x14ac:dyDescent="0.2">
      <c r="AU592" s="2">
        <v>-1045</v>
      </c>
      <c r="AV592" s="53">
        <v>590</v>
      </c>
      <c r="AW592" s="4" t="s">
        <v>2047</v>
      </c>
      <c r="AX592" t="s">
        <v>468</v>
      </c>
      <c r="AY592" s="4">
        <v>23742</v>
      </c>
      <c r="AZ592" s="9">
        <v>22.924355124288812</v>
      </c>
      <c r="BA592" s="7">
        <f t="shared" si="178"/>
        <v>5.8756094199394139E-4</v>
      </c>
      <c r="BB592" s="54">
        <f t="shared" si="172"/>
        <v>233.76224235316124</v>
      </c>
      <c r="BC592" s="55">
        <f t="shared" si="173"/>
        <v>152.1704716288107</v>
      </c>
      <c r="BD592" s="55">
        <f t="shared" si="174"/>
        <v>12.335739606071892</v>
      </c>
      <c r="BE592" s="55">
        <f t="shared" si="175"/>
        <v>12.088802675282608</v>
      </c>
      <c r="BF592" s="56">
        <f t="shared" si="176"/>
        <v>0.12199333025857972</v>
      </c>
      <c r="BG592" s="56">
        <f t="shared" si="179"/>
        <v>4.14432524956289E-5</v>
      </c>
      <c r="BH592" s="56">
        <f t="shared" si="180"/>
        <v>6.4376433961216666E-3</v>
      </c>
      <c r="BI592" s="56">
        <f t="shared" si="177"/>
        <v>6.3087746008552922E-3</v>
      </c>
      <c r="BJ592" s="57">
        <f t="shared" si="181"/>
        <v>9.2159637947169075E-3</v>
      </c>
      <c r="BK592" s="57">
        <f t="shared" si="182"/>
        <v>4.8633059148562018E-4</v>
      </c>
      <c r="BL592" s="58">
        <f t="shared" si="183"/>
        <v>16.260772885248112</v>
      </c>
      <c r="BM592" s="58">
        <f t="shared" si="183"/>
        <v>0.8580883640004543</v>
      </c>
    </row>
    <row r="593" spans="47:65" x14ac:dyDescent="0.2">
      <c r="AU593" s="2">
        <v>-1044</v>
      </c>
      <c r="AV593" s="53">
        <v>591</v>
      </c>
      <c r="AW593" s="4" t="s">
        <v>2060</v>
      </c>
      <c r="AX593" t="s">
        <v>1306</v>
      </c>
      <c r="AY593" s="4">
        <v>24777</v>
      </c>
      <c r="AZ593" s="9">
        <v>22.925496489840775</v>
      </c>
      <c r="BA593" s="7">
        <f t="shared" si="178"/>
        <v>5.8759019567698875E-4</v>
      </c>
      <c r="BB593" s="54">
        <f t="shared" si="172"/>
        <v>233.93591718185732</v>
      </c>
      <c r="BC593" s="55">
        <f t="shared" si="173"/>
        <v>152.35338597084856</v>
      </c>
      <c r="BD593" s="55">
        <f t="shared" si="174"/>
        <v>12.343151379240577</v>
      </c>
      <c r="BE593" s="55">
        <f t="shared" si="175"/>
        <v>12.09606607951871</v>
      </c>
      <c r="BF593" s="56">
        <f t="shared" si="176"/>
        <v>0.12208396581426849</v>
      </c>
      <c r="BG593" s="56">
        <f t="shared" si="179"/>
        <v>4.1493068765376637E-5</v>
      </c>
      <c r="BH593" s="56">
        <f t="shared" si="180"/>
        <v>6.4415113727584643E-3</v>
      </c>
      <c r="BI593" s="56">
        <f t="shared" si="177"/>
        <v>6.3125651483058754E-3</v>
      </c>
      <c r="BJ593" s="57">
        <f t="shared" si="181"/>
        <v>9.6248666587384953E-3</v>
      </c>
      <c r="BK593" s="57">
        <f t="shared" si="182"/>
        <v>5.0783645198640599E-4</v>
      </c>
      <c r="BL593" s="58">
        <f t="shared" si="183"/>
        <v>16.982246705250979</v>
      </c>
      <c r="BM593" s="58">
        <f t="shared" si="183"/>
        <v>0.89603359914835867</v>
      </c>
    </row>
    <row r="594" spans="47:65" x14ac:dyDescent="0.2">
      <c r="AU594" s="2">
        <v>-1043</v>
      </c>
      <c r="AV594" s="53">
        <v>592</v>
      </c>
      <c r="AW594" s="4" t="s">
        <v>2862</v>
      </c>
      <c r="AX594" t="s">
        <v>1084</v>
      </c>
      <c r="AY594" s="4">
        <v>85995</v>
      </c>
      <c r="AZ594" s="9">
        <v>22.930810955536682</v>
      </c>
      <c r="BA594" s="7">
        <f t="shared" si="178"/>
        <v>5.8772640768616196E-4</v>
      </c>
      <c r="BB594" s="54">
        <f t="shared" si="172"/>
        <v>234.74628874411226</v>
      </c>
      <c r="BC594" s="55">
        <f t="shared" si="173"/>
        <v>153.20789613673304</v>
      </c>
      <c r="BD594" s="55">
        <f t="shared" si="174"/>
        <v>12.377717727300661</v>
      </c>
      <c r="BE594" s="55">
        <f t="shared" si="175"/>
        <v>12.129940478156131</v>
      </c>
      <c r="BF594" s="56">
        <f t="shared" si="176"/>
        <v>0.12250687382811681</v>
      </c>
      <c r="BG594" s="56">
        <f t="shared" si="179"/>
        <v>4.1725792500708657E-5</v>
      </c>
      <c r="BH594" s="56">
        <f t="shared" si="180"/>
        <v>6.459550487511392E-3</v>
      </c>
      <c r="BI594" s="56">
        <f t="shared" si="177"/>
        <v>6.3302431559202369E-3</v>
      </c>
      <c r="BJ594" s="57">
        <f t="shared" si="181"/>
        <v>3.3521313717125169E-2</v>
      </c>
      <c r="BK594" s="57">
        <f t="shared" si="182"/>
        <v>1.7675140308231533E-3</v>
      </c>
      <c r="BL594" s="58">
        <f t="shared" si="183"/>
        <v>59.145465554215342</v>
      </c>
      <c r="BM594" s="58">
        <f t="shared" si="183"/>
        <v>3.1186259914758687</v>
      </c>
    </row>
    <row r="595" spans="47:65" x14ac:dyDescent="0.2">
      <c r="AU595" s="2">
        <v>-1042</v>
      </c>
      <c r="AV595" s="53">
        <v>593</v>
      </c>
      <c r="AW595" s="4" t="s">
        <v>2621</v>
      </c>
      <c r="AX595" t="s">
        <v>911</v>
      </c>
      <c r="AY595" s="4">
        <v>36941</v>
      </c>
      <c r="AZ595" s="9">
        <v>22.933664964477973</v>
      </c>
      <c r="BA595" s="7">
        <f t="shared" si="178"/>
        <v>5.8779955714545592E-4</v>
      </c>
      <c r="BB595" s="54">
        <f t="shared" si="172"/>
        <v>235.18263778822754</v>
      </c>
      <c r="BC595" s="55">
        <f t="shared" si="173"/>
        <v>153.66871147774799</v>
      </c>
      <c r="BD595" s="55">
        <f t="shared" si="174"/>
        <v>12.396318464679261</v>
      </c>
      <c r="BE595" s="55">
        <f t="shared" si="175"/>
        <v>12.148168865830103</v>
      </c>
      <c r="BF595" s="56">
        <f t="shared" si="176"/>
        <v>0.12273459098427913</v>
      </c>
      <c r="BG595" s="56">
        <f t="shared" si="179"/>
        <v>4.1851294421856906E-5</v>
      </c>
      <c r="BH595" s="56">
        <f t="shared" si="180"/>
        <v>6.4692576407078504E-3</v>
      </c>
      <c r="BI595" s="56">
        <f t="shared" si="177"/>
        <v>6.3397559912489725E-3</v>
      </c>
      <c r="BJ595" s="57">
        <f t="shared" si="181"/>
        <v>1.4426567081485228E-2</v>
      </c>
      <c r="BK595" s="57">
        <f t="shared" si="182"/>
        <v>7.6041463594429576E-4</v>
      </c>
      <c r="BL595" s="58">
        <f t="shared" si="183"/>
        <v>25.454432770266102</v>
      </c>
      <c r="BM595" s="58">
        <f t="shared" si="183"/>
        <v>1.341686010181276</v>
      </c>
    </row>
    <row r="596" spans="47:65" x14ac:dyDescent="0.2">
      <c r="AU596" s="2">
        <v>-1041</v>
      </c>
      <c r="AV596" s="53">
        <v>594</v>
      </c>
      <c r="AW596" s="4" t="s">
        <v>2928</v>
      </c>
      <c r="AX596" t="s">
        <v>1356</v>
      </c>
      <c r="AY596" s="4">
        <v>41579</v>
      </c>
      <c r="AZ596" s="9">
        <v>22.938111959193499</v>
      </c>
      <c r="BA596" s="7">
        <f t="shared" si="178"/>
        <v>5.8791353550558564E-4</v>
      </c>
      <c r="BB596" s="54">
        <f t="shared" si="172"/>
        <v>235.86415541233981</v>
      </c>
      <c r="BC596" s="55">
        <f t="shared" si="173"/>
        <v>154.38942031521262</v>
      </c>
      <c r="BD596" s="55">
        <f t="shared" si="174"/>
        <v>12.425353931184922</v>
      </c>
      <c r="BE596" s="55">
        <f t="shared" si="175"/>
        <v>12.176623100142809</v>
      </c>
      <c r="BF596" s="56">
        <f t="shared" si="176"/>
        <v>0.12309025408777453</v>
      </c>
      <c r="BG596" s="56">
        <f t="shared" si="179"/>
        <v>4.2047577695526296E-5</v>
      </c>
      <c r="BH596" s="56">
        <f t="shared" si="180"/>
        <v>6.4844103583538183E-3</v>
      </c>
      <c r="BI596" s="56">
        <f t="shared" si="177"/>
        <v>6.3546053816759731E-3</v>
      </c>
      <c r="BJ596" s="57">
        <f t="shared" si="181"/>
        <v>1.6284899412995581E-2</v>
      </c>
      <c r="BK596" s="57">
        <f t="shared" si="182"/>
        <v>8.5789058785334547E-4</v>
      </c>
      <c r="BL596" s="58">
        <f t="shared" si="183"/>
        <v>28.733299816741045</v>
      </c>
      <c r="BM596" s="58">
        <f t="shared" si="183"/>
        <v>1.5136739162834087</v>
      </c>
    </row>
    <row r="597" spans="47:65" x14ac:dyDescent="0.2">
      <c r="AU597" s="2">
        <v>-1040</v>
      </c>
      <c r="AV597" s="53">
        <v>595</v>
      </c>
      <c r="AW597" s="4" t="s">
        <v>2520</v>
      </c>
      <c r="AX597" t="s">
        <v>829</v>
      </c>
      <c r="AY597" s="4">
        <v>87415</v>
      </c>
      <c r="AZ597" s="9">
        <v>22.942503528236792</v>
      </c>
      <c r="BA597" s="7">
        <f t="shared" si="178"/>
        <v>5.8802609328223487E-4</v>
      </c>
      <c r="BB597" s="54">
        <f t="shared" si="172"/>
        <v>236.53911714022138</v>
      </c>
      <c r="BC597" s="55">
        <f t="shared" si="173"/>
        <v>155.10437007647946</v>
      </c>
      <c r="BD597" s="55">
        <f t="shared" si="174"/>
        <v>12.454090495755981</v>
      </c>
      <c r="BE597" s="55">
        <f t="shared" si="175"/>
        <v>12.204784415942152</v>
      </c>
      <c r="BF597" s="56">
        <f t="shared" si="176"/>
        <v>0.12344249587050421</v>
      </c>
      <c r="BG597" s="56">
        <f t="shared" si="179"/>
        <v>4.2242292499000674E-5</v>
      </c>
      <c r="BH597" s="56">
        <f t="shared" si="180"/>
        <v>6.4994070882658734E-3</v>
      </c>
      <c r="BI597" s="56">
        <f t="shared" si="177"/>
        <v>6.3693019069327242E-3</v>
      </c>
      <c r="BJ597" s="57">
        <f t="shared" si="181"/>
        <v>3.433507719516031E-2</v>
      </c>
      <c r="BK597" s="57">
        <f t="shared" si="182"/>
        <v>1.8077862289213726E-3</v>
      </c>
      <c r="BL597" s="58">
        <f t="shared" si="183"/>
        <v>60.581280992881076</v>
      </c>
      <c r="BM597" s="58">
        <f t="shared" si="183"/>
        <v>3.1896828099976888</v>
      </c>
    </row>
    <row r="598" spans="47:65" x14ac:dyDescent="0.2">
      <c r="AU598" s="2">
        <v>-1039</v>
      </c>
      <c r="AV598" s="53">
        <v>596</v>
      </c>
      <c r="AW598" s="4" t="s">
        <v>1446</v>
      </c>
      <c r="AX598" t="s">
        <v>1447</v>
      </c>
      <c r="AY598" s="4">
        <v>29077</v>
      </c>
      <c r="AZ598" s="9">
        <v>22.945227343863163</v>
      </c>
      <c r="BA598" s="7">
        <f t="shared" si="178"/>
        <v>5.8809590583166419E-4</v>
      </c>
      <c r="BB598" s="54">
        <f t="shared" si="172"/>
        <v>236.95872393207446</v>
      </c>
      <c r="BC598" s="55">
        <f t="shared" si="173"/>
        <v>155.54942439298102</v>
      </c>
      <c r="BD598" s="55">
        <f t="shared" si="174"/>
        <v>12.471945493505856</v>
      </c>
      <c r="BE598" s="55">
        <f t="shared" si="175"/>
        <v>12.222281992209052</v>
      </c>
      <c r="BF598" s="56">
        <f t="shared" si="176"/>
        <v>0.12366147575973677</v>
      </c>
      <c r="BG598" s="56">
        <f t="shared" si="179"/>
        <v>4.2363501944011441E-5</v>
      </c>
      <c r="BH598" s="56">
        <f t="shared" si="180"/>
        <v>6.5087250628684144E-3</v>
      </c>
      <c r="BI598" s="56">
        <f t="shared" si="177"/>
        <v>6.3784333542476444E-3</v>
      </c>
      <c r="BJ598" s="57">
        <f t="shared" si="181"/>
        <v>1.1441195157331628E-2</v>
      </c>
      <c r="BK598" s="57">
        <f t="shared" si="182"/>
        <v>6.0218910709408809E-4</v>
      </c>
      <c r="BL598" s="58">
        <f t="shared" si="183"/>
        <v>20.187001612985931</v>
      </c>
      <c r="BM598" s="58">
        <f t="shared" si="183"/>
        <v>1.0625107175486801</v>
      </c>
    </row>
    <row r="599" spans="47:65" x14ac:dyDescent="0.2">
      <c r="AU599" s="2">
        <v>-1038</v>
      </c>
      <c r="AV599" s="53">
        <v>597</v>
      </c>
      <c r="AW599" s="4" t="s">
        <v>1798</v>
      </c>
      <c r="AX599" t="s">
        <v>285</v>
      </c>
      <c r="AY599" s="4">
        <v>25690</v>
      </c>
      <c r="AZ599" s="9">
        <v>22.9513534971226</v>
      </c>
      <c r="BA599" s="7">
        <f t="shared" si="178"/>
        <v>5.8825292173725449E-4</v>
      </c>
      <c r="BB599" s="54">
        <f t="shared" si="172"/>
        <v>237.90518654076124</v>
      </c>
      <c r="BC599" s="55">
        <f t="shared" si="173"/>
        <v>156.5549386534511</v>
      </c>
      <c r="BD599" s="55">
        <f t="shared" si="174"/>
        <v>12.512191600732907</v>
      </c>
      <c r="BE599" s="55">
        <f t="shared" si="175"/>
        <v>12.261722452550529</v>
      </c>
      <c r="BF599" s="56">
        <f t="shared" si="176"/>
        <v>0.12415540550834234</v>
      </c>
      <c r="BG599" s="56">
        <f t="shared" si="179"/>
        <v>4.2637351271928197E-5</v>
      </c>
      <c r="BH599" s="56">
        <f t="shared" si="180"/>
        <v>6.5297282693790705E-3</v>
      </c>
      <c r="BI599" s="56">
        <f t="shared" si="177"/>
        <v>6.3990161184080156E-3</v>
      </c>
      <c r="BJ599" s="57">
        <f t="shared" si="181"/>
        <v>1.0148856436953716E-2</v>
      </c>
      <c r="BK599" s="57">
        <f t="shared" si="182"/>
        <v>5.3376068892782612E-4</v>
      </c>
      <c r="BL599" s="58">
        <f t="shared" si="183"/>
        <v>17.906781454685827</v>
      </c>
      <c r="BM599" s="58">
        <f t="shared" si="183"/>
        <v>0.94177467827124384</v>
      </c>
    </row>
    <row r="600" spans="47:65" x14ac:dyDescent="0.2">
      <c r="AU600" s="2">
        <v>-1037</v>
      </c>
      <c r="AV600" s="53">
        <v>598</v>
      </c>
      <c r="AW600" s="4" t="s">
        <v>2506</v>
      </c>
      <c r="AX600" t="s">
        <v>817</v>
      </c>
      <c r="AY600" s="4">
        <v>24625</v>
      </c>
      <c r="AZ600" s="9">
        <v>22.959666175499134</v>
      </c>
      <c r="BA600" s="7">
        <f t="shared" si="178"/>
        <v>5.8846597920870472E-4</v>
      </c>
      <c r="BB600" s="54">
        <f t="shared" si="172"/>
        <v>239.19550569924834</v>
      </c>
      <c r="BC600" s="55">
        <f t="shared" si="173"/>
        <v>157.92944373216952</v>
      </c>
      <c r="BD600" s="55">
        <f t="shared" si="174"/>
        <v>12.566998198940331</v>
      </c>
      <c r="BE600" s="55">
        <f t="shared" si="175"/>
        <v>12.315431931851384</v>
      </c>
      <c r="BF600" s="56">
        <f t="shared" si="176"/>
        <v>0.12482878342282361</v>
      </c>
      <c r="BG600" s="56">
        <f t="shared" si="179"/>
        <v>4.3011694338781341E-5</v>
      </c>
      <c r="BH600" s="56">
        <f t="shared" si="180"/>
        <v>6.5583301486568466E-3</v>
      </c>
      <c r="BI600" s="56">
        <f t="shared" si="177"/>
        <v>6.4270454450453176E-3</v>
      </c>
      <c r="BJ600" s="57">
        <f t="shared" si="181"/>
        <v>9.7808894269691988E-3</v>
      </c>
      <c r="BK600" s="57">
        <f t="shared" si="182"/>
        <v>5.1387428644796538E-4</v>
      </c>
      <c r="BL600" s="58">
        <f t="shared" si="183"/>
        <v>17.257535416843091</v>
      </c>
      <c r="BM600" s="58">
        <f t="shared" si="183"/>
        <v>0.90668683706086262</v>
      </c>
    </row>
    <row r="601" spans="47:65" x14ac:dyDescent="0.2">
      <c r="AU601" s="2">
        <v>-1036</v>
      </c>
      <c r="AV601" s="53">
        <v>599</v>
      </c>
      <c r="AW601" s="4" t="s">
        <v>2238</v>
      </c>
      <c r="AX601" t="s">
        <v>2239</v>
      </c>
      <c r="AY601" s="4">
        <v>46455</v>
      </c>
      <c r="AZ601" s="9">
        <v>22.959831234139084</v>
      </c>
      <c r="BA601" s="7">
        <f t="shared" si="178"/>
        <v>5.8847020973163322E-4</v>
      </c>
      <c r="BB601" s="54">
        <f t="shared" si="172"/>
        <v>239.22119734193319</v>
      </c>
      <c r="BC601" s="55">
        <f t="shared" si="173"/>
        <v>157.95685464094046</v>
      </c>
      <c r="BD601" s="55">
        <f t="shared" si="174"/>
        <v>12.568088742563067</v>
      </c>
      <c r="BE601" s="55">
        <f t="shared" si="175"/>
        <v>12.316500644963449</v>
      </c>
      <c r="BF601" s="56">
        <f t="shared" si="176"/>
        <v>0.12484219110158043</v>
      </c>
      <c r="BG601" s="56">
        <f t="shared" si="179"/>
        <v>4.3019159632153839E-5</v>
      </c>
      <c r="BH601" s="56">
        <f t="shared" si="180"/>
        <v>6.5588992698587647E-3</v>
      </c>
      <c r="BI601" s="56">
        <f t="shared" si="177"/>
        <v>6.4276031735746161E-3</v>
      </c>
      <c r="BJ601" s="57">
        <f t="shared" si="181"/>
        <v>1.8453604941484424E-2</v>
      </c>
      <c r="BK601" s="57">
        <f t="shared" si="182"/>
        <v>9.6950666204249295E-4</v>
      </c>
      <c r="BL601" s="58">
        <f t="shared" si="183"/>
        <v>32.559793587686066</v>
      </c>
      <c r="BM601" s="58">
        <f t="shared" si="183"/>
        <v>1.7106108480206152</v>
      </c>
    </row>
    <row r="602" spans="47:65" x14ac:dyDescent="0.2">
      <c r="AU602" s="2">
        <v>-1035</v>
      </c>
      <c r="AV602" s="53">
        <v>600</v>
      </c>
      <c r="AW602" s="4" t="s">
        <v>2143</v>
      </c>
      <c r="AX602" t="s">
        <v>541</v>
      </c>
      <c r="AY602" s="4">
        <v>69298</v>
      </c>
      <c r="AZ602" s="9">
        <v>22.961698617780648</v>
      </c>
      <c r="BA602" s="7">
        <f t="shared" si="178"/>
        <v>5.88518071566156E-4</v>
      </c>
      <c r="BB602" s="54">
        <f t="shared" si="172"/>
        <v>239.51205090470927</v>
      </c>
      <c r="BC602" s="55">
        <f t="shared" si="173"/>
        <v>158.26728894159211</v>
      </c>
      <c r="BD602" s="55">
        <f t="shared" si="174"/>
        <v>12.580432780377315</v>
      </c>
      <c r="BE602" s="55">
        <f t="shared" si="175"/>
        <v>12.328597579733314</v>
      </c>
      <c r="BF602" s="56">
        <f t="shared" si="176"/>
        <v>0.12499397863742642</v>
      </c>
      <c r="BG602" s="56">
        <f t="shared" si="179"/>
        <v>4.3103705647996799E-5</v>
      </c>
      <c r="BH602" s="56">
        <f t="shared" si="180"/>
        <v>6.5653412438346874E-3</v>
      </c>
      <c r="BI602" s="56">
        <f t="shared" si="177"/>
        <v>6.4339161920656928E-3</v>
      </c>
      <c r="BJ602" s="57">
        <f t="shared" si="181"/>
        <v>2.7561139227423117E-2</v>
      </c>
      <c r="BK602" s="57">
        <f t="shared" si="182"/>
        <v>1.4476560076686006E-3</v>
      </c>
      <c r="BL602" s="58">
        <f t="shared" si="183"/>
        <v>48.629251960901016</v>
      </c>
      <c r="BM602" s="58">
        <f t="shared" si="183"/>
        <v>2.5542641096483609</v>
      </c>
    </row>
    <row r="603" spans="47:65" x14ac:dyDescent="0.2">
      <c r="AU603" s="2">
        <v>-1034</v>
      </c>
      <c r="AV603" s="53">
        <v>601</v>
      </c>
      <c r="AW603" s="4" t="s">
        <v>2324</v>
      </c>
      <c r="AX603" t="s">
        <v>675</v>
      </c>
      <c r="AY603" s="4">
        <v>46164</v>
      </c>
      <c r="AZ603" s="9">
        <v>22.964562736698952</v>
      </c>
      <c r="BA603" s="7">
        <f t="shared" si="178"/>
        <v>5.8859148014844755E-4</v>
      </c>
      <c r="BB603" s="54">
        <f t="shared" si="172"/>
        <v>239.95883789586443</v>
      </c>
      <c r="BC603" s="55">
        <f t="shared" si="173"/>
        <v>158.74457301644017</v>
      </c>
      <c r="BD603" s="55">
        <f t="shared" si="174"/>
        <v>12.59938780324029</v>
      </c>
      <c r="BE603" s="55">
        <f t="shared" si="175"/>
        <v>12.347173160802097</v>
      </c>
      <c r="BF603" s="56">
        <f t="shared" si="176"/>
        <v>0.12522714303736798</v>
      </c>
      <c r="BG603" s="56">
        <f t="shared" si="179"/>
        <v>4.3233692788170795E-5</v>
      </c>
      <c r="BH603" s="56">
        <f t="shared" si="180"/>
        <v>6.5752332877374621E-3</v>
      </c>
      <c r="BI603" s="56">
        <f t="shared" si="177"/>
        <v>6.4436102169571569E-3</v>
      </c>
      <c r="BJ603" s="57">
        <f t="shared" si="181"/>
        <v>1.8394554628521284E-2</v>
      </c>
      <c r="BK603" s="57">
        <f t="shared" si="182"/>
        <v>9.6583284560334615E-4</v>
      </c>
      <c r="BL603" s="58">
        <f t="shared" si="183"/>
        <v>32.455604405818086</v>
      </c>
      <c r="BM603" s="58">
        <f t="shared" si="183"/>
        <v>1.7041287159213871</v>
      </c>
    </row>
    <row r="604" spans="47:65" x14ac:dyDescent="0.2">
      <c r="AU604" s="2">
        <v>-1033</v>
      </c>
      <c r="AV604" s="53">
        <v>602</v>
      </c>
      <c r="AW604" s="4" t="s">
        <v>2513</v>
      </c>
      <c r="AX604" t="s">
        <v>2514</v>
      </c>
      <c r="AY604" s="4">
        <v>19417</v>
      </c>
      <c r="AZ604" s="9">
        <v>22.9656140347237</v>
      </c>
      <c r="BA604" s="7">
        <f t="shared" si="178"/>
        <v>5.8861842536258278E-4</v>
      </c>
      <c r="BB604" s="54">
        <f t="shared" si="172"/>
        <v>240.12304371654039</v>
      </c>
      <c r="BC604" s="55">
        <f t="shared" si="173"/>
        <v>158.92011466040293</v>
      </c>
      <c r="BD604" s="55">
        <f t="shared" si="174"/>
        <v>12.606352155179662</v>
      </c>
      <c r="BE604" s="55">
        <f t="shared" si="175"/>
        <v>12.353998100290511</v>
      </c>
      <c r="BF604" s="56">
        <f t="shared" si="176"/>
        <v>0.12531283700877432</v>
      </c>
      <c r="BG604" s="56">
        <f t="shared" si="179"/>
        <v>4.3281501121787188E-5</v>
      </c>
      <c r="BH604" s="56">
        <f t="shared" si="180"/>
        <v>6.5788677689848111E-3</v>
      </c>
      <c r="BI604" s="56">
        <f t="shared" si="177"/>
        <v>6.4471719431308016E-3</v>
      </c>
      <c r="BJ604" s="57">
        <f t="shared" si="181"/>
        <v>7.7422121047785271E-3</v>
      </c>
      <c r="BK604" s="57">
        <f t="shared" si="182"/>
        <v>4.0646266490004579E-4</v>
      </c>
      <c r="BL604" s="58">
        <f t="shared" si="183"/>
        <v>13.660465195988714</v>
      </c>
      <c r="BM604" s="58">
        <f t="shared" si="183"/>
        <v>0.71716829921372094</v>
      </c>
    </row>
    <row r="605" spans="47:65" x14ac:dyDescent="0.2">
      <c r="AU605" s="2">
        <v>-1032</v>
      </c>
      <c r="AV605" s="53">
        <v>603</v>
      </c>
      <c r="AW605" s="4" t="s">
        <v>2913</v>
      </c>
      <c r="AX605" t="s">
        <v>1125</v>
      </c>
      <c r="AY605" s="4">
        <v>32098</v>
      </c>
      <c r="AZ605" s="9">
        <v>22.965837116765055</v>
      </c>
      <c r="BA605" s="7">
        <f t="shared" si="178"/>
        <v>5.8862414304989186E-4</v>
      </c>
      <c r="BB605" s="54">
        <f t="shared" si="172"/>
        <v>240.15790211109774</v>
      </c>
      <c r="BC605" s="55">
        <f t="shared" si="173"/>
        <v>158.95738828105502</v>
      </c>
      <c r="BD605" s="55">
        <f t="shared" si="174"/>
        <v>12.607830435132566</v>
      </c>
      <c r="BE605" s="55">
        <f t="shared" si="175"/>
        <v>12.355446788023892</v>
      </c>
      <c r="BF605" s="56">
        <f t="shared" si="176"/>
        <v>0.12533102853361902</v>
      </c>
      <c r="BG605" s="56">
        <f t="shared" si="179"/>
        <v>4.3291652500406404E-5</v>
      </c>
      <c r="BH605" s="56">
        <f t="shared" si="180"/>
        <v>6.5796392378614805E-3</v>
      </c>
      <c r="BI605" s="56">
        <f t="shared" si="177"/>
        <v>6.4479279687375346E-3</v>
      </c>
      <c r="BJ605" s="57">
        <f t="shared" si="181"/>
        <v>1.2800412009566458E-2</v>
      </c>
      <c r="BK605" s="57">
        <f t="shared" si="182"/>
        <v>6.7199714312042764E-4</v>
      </c>
      <c r="BL605" s="58">
        <f t="shared" si="183"/>
        <v>22.585222464142316</v>
      </c>
      <c r="BM605" s="58">
        <f t="shared" si="183"/>
        <v>1.1856809734952418</v>
      </c>
    </row>
    <row r="606" spans="47:65" x14ac:dyDescent="0.2">
      <c r="AU606" s="2">
        <v>-1031</v>
      </c>
      <c r="AV606" s="53">
        <v>604</v>
      </c>
      <c r="AW606" s="4" t="s">
        <v>2273</v>
      </c>
      <c r="AX606" t="s">
        <v>632</v>
      </c>
      <c r="AY606" s="4">
        <v>40156</v>
      </c>
      <c r="AZ606" s="9">
        <v>22.96710450716299</v>
      </c>
      <c r="BA606" s="7">
        <f t="shared" si="178"/>
        <v>5.8865662680317719E-4</v>
      </c>
      <c r="BB606" s="54">
        <f t="shared" si="172"/>
        <v>240.35603830292604</v>
      </c>
      <c r="BC606" s="55">
        <f t="shared" si="173"/>
        <v>159.16931124188329</v>
      </c>
      <c r="BD606" s="55">
        <f t="shared" si="174"/>
        <v>12.616232054059694</v>
      </c>
      <c r="BE606" s="55">
        <f t="shared" si="175"/>
        <v>12.363680223278392</v>
      </c>
      <c r="BF606" s="56">
        <f t="shared" si="176"/>
        <v>0.12543442972297519</v>
      </c>
      <c r="BG606" s="56">
        <f t="shared" si="179"/>
        <v>4.3349369195906419E-5</v>
      </c>
      <c r="BH606" s="56">
        <f t="shared" si="180"/>
        <v>6.5840237845793369E-3</v>
      </c>
      <c r="BI606" s="56">
        <f t="shared" si="177"/>
        <v>6.4522247455652999E-3</v>
      </c>
      <c r="BJ606" s="57">
        <f t="shared" si="181"/>
        <v>1.6027086371166042E-2</v>
      </c>
      <c r="BK606" s="57">
        <f t="shared" si="182"/>
        <v>8.4125800307231324E-4</v>
      </c>
      <c r="BL606" s="58">
        <f t="shared" si="183"/>
        <v>28.27841095070098</v>
      </c>
      <c r="BM606" s="58">
        <f t="shared" si="183"/>
        <v>1.4843271556359718</v>
      </c>
    </row>
    <row r="607" spans="47:65" x14ac:dyDescent="0.2">
      <c r="AU607" s="2">
        <v>-1030</v>
      </c>
      <c r="AV607" s="53">
        <v>605</v>
      </c>
      <c r="AW607" s="4" t="s">
        <v>2887</v>
      </c>
      <c r="AX607" t="s">
        <v>1105</v>
      </c>
      <c r="AY607" s="4">
        <v>18166</v>
      </c>
      <c r="AZ607" s="9">
        <v>22.967245259615293</v>
      </c>
      <c r="BA607" s="7">
        <f t="shared" si="178"/>
        <v>5.8866023434821018E-4</v>
      </c>
      <c r="BB607" s="54">
        <f t="shared" si="172"/>
        <v>240.37805277824515</v>
      </c>
      <c r="BC607" s="55">
        <f t="shared" si="173"/>
        <v>159.19286368007718</v>
      </c>
      <c r="BD607" s="55">
        <f t="shared" si="174"/>
        <v>12.617165437612252</v>
      </c>
      <c r="BE607" s="55">
        <f t="shared" si="175"/>
        <v>12.364594922351779</v>
      </c>
      <c r="BF607" s="56">
        <f t="shared" si="176"/>
        <v>0.12544591840109123</v>
      </c>
      <c r="BG607" s="56">
        <f t="shared" si="179"/>
        <v>4.3355783644338711E-5</v>
      </c>
      <c r="BH607" s="56">
        <f t="shared" si="180"/>
        <v>6.5845108887706083E-3</v>
      </c>
      <c r="BI607" s="56">
        <f t="shared" si="177"/>
        <v>6.4527020989011055E-3</v>
      </c>
      <c r="BJ607" s="57">
        <f t="shared" si="181"/>
        <v>7.2510886938571759E-3</v>
      </c>
      <c r="BK607" s="57">
        <f t="shared" si="182"/>
        <v>3.8060124289965503E-4</v>
      </c>
      <c r="BL607" s="58">
        <f t="shared" si="183"/>
        <v>12.793920315658507</v>
      </c>
      <c r="BM607" s="58">
        <f t="shared" si="183"/>
        <v>0.67153805163408298</v>
      </c>
    </row>
    <row r="608" spans="47:65" x14ac:dyDescent="0.2">
      <c r="AU608" s="2">
        <v>-1029</v>
      </c>
      <c r="AV608" s="53">
        <v>606</v>
      </c>
      <c r="AW608" s="4" t="s">
        <v>2154</v>
      </c>
      <c r="AX608" t="s">
        <v>552</v>
      </c>
      <c r="AY608" s="4">
        <v>74109</v>
      </c>
      <c r="AZ608" s="9">
        <v>22.968353205565386</v>
      </c>
      <c r="BA608" s="7">
        <f t="shared" si="178"/>
        <v>5.8868863147269138E-4</v>
      </c>
      <c r="BB608" s="54">
        <f t="shared" si="172"/>
        <v>240.55141218165991</v>
      </c>
      <c r="BC608" s="55">
        <f t="shared" si="173"/>
        <v>159.3783771537569</v>
      </c>
      <c r="BD608" s="55">
        <f t="shared" si="174"/>
        <v>12.624514927463823</v>
      </c>
      <c r="BE608" s="55">
        <f t="shared" si="175"/>
        <v>12.371797290058689</v>
      </c>
      <c r="BF608" s="56">
        <f t="shared" si="176"/>
        <v>0.12553638934601929</v>
      </c>
      <c r="BG608" s="56">
        <f t="shared" si="179"/>
        <v>4.3406307781173388E-5</v>
      </c>
      <c r="BH608" s="56">
        <f t="shared" si="180"/>
        <v>6.5883463616580899E-3</v>
      </c>
      <c r="BI608" s="56">
        <f t="shared" si="177"/>
        <v>6.4564607932626776E-3</v>
      </c>
      <c r="BJ608" s="57">
        <f t="shared" si="181"/>
        <v>2.9602470612063114E-2</v>
      </c>
      <c r="BK608" s="57">
        <f t="shared" si="182"/>
        <v>1.5535840290539702E-3</v>
      </c>
      <c r="BL608" s="58">
        <f t="shared" si="183"/>
        <v>52.231005045932491</v>
      </c>
      <c r="BM608" s="58">
        <f t="shared" si="183"/>
        <v>2.741164963026129</v>
      </c>
    </row>
    <row r="609" spans="47:65" x14ac:dyDescent="0.2">
      <c r="AU609" s="2">
        <v>-1028</v>
      </c>
      <c r="AV609" s="53">
        <v>607</v>
      </c>
      <c r="AW609" s="4" t="s">
        <v>1987</v>
      </c>
      <c r="AX609" t="s">
        <v>417</v>
      </c>
      <c r="AY609" s="4">
        <v>22066</v>
      </c>
      <c r="AZ609" s="9">
        <v>22.970736214658857</v>
      </c>
      <c r="BA609" s="7">
        <f t="shared" si="178"/>
        <v>5.8874970900617697E-4</v>
      </c>
      <c r="BB609" s="54">
        <f t="shared" si="172"/>
        <v>240.92470347747565</v>
      </c>
      <c r="BC609" s="55">
        <f t="shared" si="173"/>
        <v>159.77809810701348</v>
      </c>
      <c r="BD609" s="55">
        <f t="shared" si="174"/>
        <v>12.64033615482648</v>
      </c>
      <c r="BE609" s="55">
        <f t="shared" si="175"/>
        <v>12.387301807969704</v>
      </c>
      <c r="BF609" s="56">
        <f t="shared" si="176"/>
        <v>0.12573119860124665</v>
      </c>
      <c r="BG609" s="56">
        <f t="shared" si="179"/>
        <v>4.3515170796555277E-5</v>
      </c>
      <c r="BH609" s="56">
        <f t="shared" si="180"/>
        <v>6.5966029739976985E-3</v>
      </c>
      <c r="BI609" s="56">
        <f t="shared" si="177"/>
        <v>6.4645521246726482E-3</v>
      </c>
      <c r="BJ609" s="57">
        <f t="shared" si="181"/>
        <v>8.8278316357763911E-3</v>
      </c>
      <c r="BK609" s="57">
        <f t="shared" si="182"/>
        <v>4.6316030603669198E-4</v>
      </c>
      <c r="BL609" s="58">
        <f t="shared" si="183"/>
        <v>15.575947182090429</v>
      </c>
      <c r="BM609" s="58">
        <f t="shared" si="183"/>
        <v>0.8172063946520749</v>
      </c>
    </row>
    <row r="610" spans="47:65" x14ac:dyDescent="0.2">
      <c r="AU610" s="2">
        <v>-1027</v>
      </c>
      <c r="AV610" s="53">
        <v>608</v>
      </c>
      <c r="AW610" s="4" t="s">
        <v>2229</v>
      </c>
      <c r="AX610" t="s">
        <v>604</v>
      </c>
      <c r="AY610" s="4">
        <v>17615</v>
      </c>
      <c r="AZ610" s="9">
        <v>22.97780932181011</v>
      </c>
      <c r="BA610" s="7">
        <f t="shared" si="178"/>
        <v>5.8893099574153262E-4</v>
      </c>
      <c r="BB610" s="54">
        <f t="shared" si="172"/>
        <v>242.03609983017401</v>
      </c>
      <c r="BC610" s="55">
        <f t="shared" si="173"/>
        <v>160.97027100752695</v>
      </c>
      <c r="BD610" s="55">
        <f t="shared" si="174"/>
        <v>12.687405999948412</v>
      </c>
      <c r="BE610" s="55">
        <f t="shared" si="175"/>
        <v>12.433429408568136</v>
      </c>
      <c r="BF610" s="56">
        <f t="shared" si="176"/>
        <v>0.1263112022020767</v>
      </c>
      <c r="BG610" s="56">
        <f t="shared" si="179"/>
        <v>4.3839856144547236E-5</v>
      </c>
      <c r="BH610" s="56">
        <f t="shared" si="180"/>
        <v>6.6211672796076702E-3</v>
      </c>
      <c r="BI610" s="56">
        <f t="shared" si="177"/>
        <v>6.4886247018230382E-3</v>
      </c>
      <c r="BJ610" s="57">
        <f t="shared" si="181"/>
        <v>7.079651639012685E-3</v>
      </c>
      <c r="BK610" s="57">
        <f t="shared" si="182"/>
        <v>3.7111164303747649E-4</v>
      </c>
      <c r="BL610" s="58">
        <f t="shared" si="183"/>
        <v>12.491434425410095</v>
      </c>
      <c r="BM610" s="58">
        <f t="shared" si="183"/>
        <v>0.65479447151940995</v>
      </c>
    </row>
    <row r="611" spans="47:65" x14ac:dyDescent="0.2">
      <c r="AU611" s="2">
        <v>-1026</v>
      </c>
      <c r="AV611" s="53">
        <v>609</v>
      </c>
      <c r="AW611" s="4" t="s">
        <v>1658</v>
      </c>
      <c r="AX611" t="s">
        <v>203</v>
      </c>
      <c r="AY611" s="4">
        <v>60539</v>
      </c>
      <c r="AZ611" s="9">
        <v>22.98474943158028</v>
      </c>
      <c r="BA611" s="7">
        <f t="shared" si="178"/>
        <v>5.8910887369761878E-4</v>
      </c>
      <c r="BB611" s="54">
        <f t="shared" si="172"/>
        <v>243.13158180875826</v>
      </c>
      <c r="BC611" s="55">
        <f t="shared" si="173"/>
        <v>162.14842532807154</v>
      </c>
      <c r="BD611" s="55">
        <f t="shared" si="174"/>
        <v>12.733751423994091</v>
      </c>
      <c r="BE611" s="55">
        <f t="shared" si="175"/>
        <v>12.47884708955702</v>
      </c>
      <c r="BF611" s="56">
        <f t="shared" si="176"/>
        <v>0.12688290058014001</v>
      </c>
      <c r="BG611" s="56">
        <f t="shared" si="179"/>
        <v>4.4160723566870175E-5</v>
      </c>
      <c r="BH611" s="56">
        <f t="shared" si="180"/>
        <v>6.6453535321207837E-3</v>
      </c>
      <c r="BI611" s="56">
        <f t="shared" si="177"/>
        <v>6.5123267937463852E-3</v>
      </c>
      <c r="BJ611" s="57">
        <f t="shared" si="181"/>
        <v>2.4441379436230412E-2</v>
      </c>
      <c r="BK611" s="57">
        <f t="shared" si="182"/>
        <v>1.2800905908032232E-3</v>
      </c>
      <c r="BL611" s="58">
        <f t="shared" si="183"/>
        <v>43.124705008340868</v>
      </c>
      <c r="BM611" s="58">
        <f t="shared" si="183"/>
        <v>2.2586093905367477</v>
      </c>
    </row>
    <row r="612" spans="47:65" x14ac:dyDescent="0.2">
      <c r="AU612" s="2">
        <v>-1025</v>
      </c>
      <c r="AV612" s="53">
        <v>610</v>
      </c>
      <c r="AW612" s="4" t="s">
        <v>2648</v>
      </c>
      <c r="AX612" t="s">
        <v>925</v>
      </c>
      <c r="AY612" s="4">
        <v>35013</v>
      </c>
      <c r="AZ612" s="9">
        <v>22.996112315541708</v>
      </c>
      <c r="BA612" s="7">
        <f t="shared" si="178"/>
        <v>5.8940010923152792E-4</v>
      </c>
      <c r="BB612" s="54">
        <f t="shared" si="172"/>
        <v>244.93590550941926</v>
      </c>
      <c r="BC612" s="55">
        <f t="shared" si="173"/>
        <v>164.09549979725386</v>
      </c>
      <c r="BD612" s="55">
        <f t="shared" si="174"/>
        <v>12.809976572861242</v>
      </c>
      <c r="BE612" s="55">
        <f t="shared" si="175"/>
        <v>12.55354636280493</v>
      </c>
      <c r="BF612" s="56">
        <f t="shared" si="176"/>
        <v>0.12782452166869698</v>
      </c>
      <c r="BG612" s="56">
        <f t="shared" si="179"/>
        <v>4.4691004494504273E-5</v>
      </c>
      <c r="BH612" s="56">
        <f t="shared" si="180"/>
        <v>6.6851330947486952E-3</v>
      </c>
      <c r="BI612" s="56">
        <f t="shared" si="177"/>
        <v>6.5513100487821158E-3</v>
      </c>
      <c r="BJ612" s="57">
        <f t="shared" si="181"/>
        <v>1.4240684740551551E-2</v>
      </c>
      <c r="BK612" s="57">
        <f t="shared" si="182"/>
        <v>7.4477785332685272E-4</v>
      </c>
      <c r="BL612" s="58">
        <f t="shared" si="183"/>
        <v>25.126459419173568</v>
      </c>
      <c r="BM612" s="58">
        <f t="shared" si="183"/>
        <v>1.3140962565253431</v>
      </c>
    </row>
    <row r="613" spans="47:65" x14ac:dyDescent="0.2">
      <c r="AU613" s="2">
        <v>-1024</v>
      </c>
      <c r="AV613" s="53">
        <v>611</v>
      </c>
      <c r="AW613" s="4" t="s">
        <v>1553</v>
      </c>
      <c r="AX613" t="s">
        <v>1554</v>
      </c>
      <c r="AY613" s="4">
        <v>20717</v>
      </c>
      <c r="AZ613" s="9">
        <v>23.003394152117082</v>
      </c>
      <c r="BA613" s="7">
        <f t="shared" si="178"/>
        <v>5.8958674579052712E-4</v>
      </c>
      <c r="BB613" s="54">
        <f t="shared" si="172"/>
        <v>246.09923002668026</v>
      </c>
      <c r="BC613" s="55">
        <f t="shared" si="173"/>
        <v>165.35519211424486</v>
      </c>
      <c r="BD613" s="55">
        <f t="shared" si="174"/>
        <v>12.859050980311295</v>
      </c>
      <c r="BE613" s="55">
        <f t="shared" si="175"/>
        <v>12.601638398387305</v>
      </c>
      <c r="BF613" s="56">
        <f t="shared" si="176"/>
        <v>0.12843162498274605</v>
      </c>
      <c r="BG613" s="56">
        <f t="shared" si="179"/>
        <v>4.5034078588980453E-5</v>
      </c>
      <c r="BH613" s="56">
        <f t="shared" si="180"/>
        <v>6.7107435198329891E-3</v>
      </c>
      <c r="BI613" s="56">
        <f t="shared" si="177"/>
        <v>6.5764078041791046E-3</v>
      </c>
      <c r="BJ613" s="57">
        <f t="shared" si="181"/>
        <v>8.4661550066427137E-3</v>
      </c>
      <c r="BK613" s="57">
        <f t="shared" si="182"/>
        <v>4.4236919727802098E-4</v>
      </c>
      <c r="BL613" s="58">
        <f t="shared" si="183"/>
        <v>14.937799978472267</v>
      </c>
      <c r="BM613" s="58">
        <f t="shared" si="183"/>
        <v>0.78052227727836643</v>
      </c>
    </row>
    <row r="614" spans="47:65" x14ac:dyDescent="0.2">
      <c r="AU614" s="2">
        <v>-1023</v>
      </c>
      <c r="AV614" s="53">
        <v>612</v>
      </c>
      <c r="AW614" s="4" t="s">
        <v>2528</v>
      </c>
      <c r="AX614" t="s">
        <v>835</v>
      </c>
      <c r="AY614" s="4">
        <v>26868</v>
      </c>
      <c r="AZ614" s="9">
        <v>23.00368580610521</v>
      </c>
      <c r="BA614" s="7">
        <f t="shared" si="178"/>
        <v>5.8959422100590708E-4</v>
      </c>
      <c r="BB614" s="54">
        <f t="shared" si="172"/>
        <v>246.14593871422812</v>
      </c>
      <c r="BC614" s="55">
        <f t="shared" si="173"/>
        <v>165.40584078770334</v>
      </c>
      <c r="BD614" s="55">
        <f t="shared" si="174"/>
        <v>12.861020207887995</v>
      </c>
      <c r="BE614" s="55">
        <f t="shared" si="175"/>
        <v>12.60356820595115</v>
      </c>
      <c r="BF614" s="56">
        <f t="shared" si="176"/>
        <v>0.12845600081131689</v>
      </c>
      <c r="BG614" s="56">
        <f t="shared" si="179"/>
        <v>4.50478726302299E-5</v>
      </c>
      <c r="BH614" s="56">
        <f t="shared" si="180"/>
        <v>6.711771199186538E-3</v>
      </c>
      <c r="BI614" s="56">
        <f t="shared" si="177"/>
        <v>6.5774149114394102E-3</v>
      </c>
      <c r="BJ614" s="57">
        <f t="shared" si="181"/>
        <v>1.0981890495442872E-2</v>
      </c>
      <c r="BK614" s="57">
        <f t="shared" si="182"/>
        <v>5.7379908976148226E-4</v>
      </c>
      <c r="BL614" s="58">
        <f t="shared" si="183"/>
        <v>19.376598169735622</v>
      </c>
      <c r="BM614" s="58">
        <f t="shared" si="183"/>
        <v>1.0124189816937281</v>
      </c>
    </row>
    <row r="615" spans="47:65" x14ac:dyDescent="0.2">
      <c r="AU615" s="2">
        <v>-1022</v>
      </c>
      <c r="AV615" s="53">
        <v>613</v>
      </c>
      <c r="AW615" s="4" t="s">
        <v>2681</v>
      </c>
      <c r="AX615" t="s">
        <v>947</v>
      </c>
      <c r="AY615" s="4">
        <v>11699</v>
      </c>
      <c r="AZ615" s="9">
        <v>23.003937381785526</v>
      </c>
      <c r="BA615" s="7">
        <f t="shared" si="178"/>
        <v>5.8960066899726418E-4</v>
      </c>
      <c r="BB615" s="54">
        <f t="shared" si="172"/>
        <v>246.18623594138472</v>
      </c>
      <c r="BC615" s="55">
        <f t="shared" si="173"/>
        <v>165.44954156174833</v>
      </c>
      <c r="BD615" s="55">
        <f t="shared" si="174"/>
        <v>12.862719057872186</v>
      </c>
      <c r="BE615" s="55">
        <f t="shared" si="175"/>
        <v>12.605233048343226</v>
      </c>
      <c r="BF615" s="56">
        <f t="shared" si="176"/>
        <v>0.12847703069574801</v>
      </c>
      <c r="BG615" s="56">
        <f t="shared" si="179"/>
        <v>4.5059774428218449E-5</v>
      </c>
      <c r="BH615" s="56">
        <f t="shared" si="180"/>
        <v>6.7126577767839804E-3</v>
      </c>
      <c r="BI615" s="56">
        <f t="shared" si="177"/>
        <v>6.5782837415196537E-3</v>
      </c>
      <c r="BJ615" s="57">
        <f t="shared" si="181"/>
        <v>4.7825729585702454E-3</v>
      </c>
      <c r="BK615" s="57">
        <f t="shared" si="182"/>
        <v>2.4987949510920493E-4</v>
      </c>
      <c r="BL615" s="58">
        <f t="shared" si="183"/>
        <v>8.4384373049534922</v>
      </c>
      <c r="BM615" s="58">
        <f t="shared" si="183"/>
        <v>0.44089080742488534</v>
      </c>
    </row>
    <row r="616" spans="47:65" x14ac:dyDescent="0.2">
      <c r="AU616" s="2">
        <v>-1021</v>
      </c>
      <c r="AV616" s="53">
        <v>614</v>
      </c>
      <c r="AW616" s="4" t="s">
        <v>1550</v>
      </c>
      <c r="AX616" t="s">
        <v>1551</v>
      </c>
      <c r="AY616" s="4">
        <v>55076</v>
      </c>
      <c r="AZ616" s="9">
        <v>23.014634397792967</v>
      </c>
      <c r="BA616" s="7">
        <f t="shared" si="178"/>
        <v>5.8987483805317785E-4</v>
      </c>
      <c r="BB616" s="54">
        <f t="shared" si="172"/>
        <v>247.90579524328325</v>
      </c>
      <c r="BC616" s="55">
        <f t="shared" si="173"/>
        <v>167.31811378114281</v>
      </c>
      <c r="BD616" s="55">
        <f t="shared" si="174"/>
        <v>12.935150319232584</v>
      </c>
      <c r="BE616" s="55">
        <f t="shared" si="175"/>
        <v>12.676214380153821</v>
      </c>
      <c r="BF616" s="56">
        <f t="shared" si="176"/>
        <v>0.12937441584958645</v>
      </c>
      <c r="BG616" s="56">
        <f t="shared" si="179"/>
        <v>4.5568675461813071E-5</v>
      </c>
      <c r="BH616" s="56">
        <f t="shared" si="180"/>
        <v>6.7504574261166234E-3</v>
      </c>
      <c r="BI616" s="56">
        <f t="shared" si="177"/>
        <v>6.6153267171797656E-3</v>
      </c>
      <c r="BJ616" s="57">
        <f t="shared" si="181"/>
        <v>2.26724349899276E-2</v>
      </c>
      <c r="BK616" s="57">
        <f t="shared" si="182"/>
        <v>1.1829951551150708E-3</v>
      </c>
      <c r="BL616" s="58">
        <f t="shared" si="183"/>
        <v>40.003555172179361</v>
      </c>
      <c r="BM616" s="58">
        <f t="shared" si="183"/>
        <v>2.0872928724722626</v>
      </c>
    </row>
    <row r="617" spans="47:65" x14ac:dyDescent="0.2">
      <c r="AU617" s="2">
        <v>-1020</v>
      </c>
      <c r="AV617" s="53">
        <v>615</v>
      </c>
      <c r="AW617" s="4" t="s">
        <v>1576</v>
      </c>
      <c r="AX617" t="s">
        <v>150</v>
      </c>
      <c r="AY617" s="4">
        <v>43538</v>
      </c>
      <c r="AZ617" s="9">
        <v>23.020965022849591</v>
      </c>
      <c r="BA617" s="7">
        <f t="shared" si="178"/>
        <v>5.9003709465762816E-4</v>
      </c>
      <c r="BB617" s="54">
        <f t="shared" si="172"/>
        <v>248.9291039853465</v>
      </c>
      <c r="BC617" s="55">
        <f t="shared" si="173"/>
        <v>168.43359544698041</v>
      </c>
      <c r="BD617" s="55">
        <f t="shared" si="174"/>
        <v>12.978196925882285</v>
      </c>
      <c r="BE617" s="55">
        <f t="shared" si="175"/>
        <v>12.718399279498859</v>
      </c>
      <c r="BF617" s="56">
        <f t="shared" si="176"/>
        <v>0.12990844923355102</v>
      </c>
      <c r="BG617" s="56">
        <f t="shared" si="179"/>
        <v>4.5872474141259556E-5</v>
      </c>
      <c r="BH617" s="56">
        <f t="shared" si="180"/>
        <v>6.7729221272106437E-3</v>
      </c>
      <c r="BI617" s="56">
        <f t="shared" si="177"/>
        <v>6.6373417197136348E-3</v>
      </c>
      <c r="BJ617" s="57">
        <f t="shared" si="181"/>
        <v>1.7996715269948532E-2</v>
      </c>
      <c r="BK617" s="57">
        <f t="shared" si="182"/>
        <v>9.3827885551776629E-4</v>
      </c>
      <c r="BL617" s="58">
        <f t="shared" si="183"/>
        <v>31.753651186527794</v>
      </c>
      <c r="BM617" s="58">
        <f t="shared" si="183"/>
        <v>1.6555120780043806</v>
      </c>
    </row>
    <row r="618" spans="47:65" x14ac:dyDescent="0.2">
      <c r="AU618" s="2">
        <v>-1019</v>
      </c>
      <c r="AV618" s="53">
        <v>616</v>
      </c>
      <c r="AW618" s="4" t="s">
        <v>3031</v>
      </c>
      <c r="AX618" t="s">
        <v>1193</v>
      </c>
      <c r="AY618" s="4">
        <v>15297</v>
      </c>
      <c r="AZ618" s="9">
        <v>23.028555636320426</v>
      </c>
      <c r="BA618" s="7">
        <f t="shared" si="178"/>
        <v>5.9023164529938259E-4</v>
      </c>
      <c r="BB618" s="54">
        <f t="shared" si="172"/>
        <v>250.16165326639543</v>
      </c>
      <c r="BC618" s="55">
        <f t="shared" si="173"/>
        <v>169.78061620950163</v>
      </c>
      <c r="BD618" s="55">
        <f t="shared" si="174"/>
        <v>13.029989110106794</v>
      </c>
      <c r="BE618" s="55">
        <f t="shared" si="175"/>
        <v>12.76915468737921</v>
      </c>
      <c r="BF618" s="56">
        <f t="shared" si="176"/>
        <v>0.13055167882439239</v>
      </c>
      <c r="BG618" s="56">
        <f t="shared" si="179"/>
        <v>4.6239331922405857E-5</v>
      </c>
      <c r="BH618" s="56">
        <f t="shared" si="180"/>
        <v>6.7999508764700544E-3</v>
      </c>
      <c r="BI618" s="56">
        <f t="shared" si="177"/>
        <v>6.6638294072614386E-3</v>
      </c>
      <c r="BJ618" s="57">
        <f t="shared" si="181"/>
        <v>6.3544226830698622E-3</v>
      </c>
      <c r="BK618" s="57">
        <f t="shared" si="182"/>
        <v>3.3097821860509659E-4</v>
      </c>
      <c r="BL618" s="58">
        <f t="shared" si="183"/>
        <v>11.211830511476306</v>
      </c>
      <c r="BM618" s="58">
        <f t="shared" si="183"/>
        <v>0.58398250715640954</v>
      </c>
    </row>
    <row r="619" spans="47:65" x14ac:dyDescent="0.2">
      <c r="AU619" s="2">
        <v>-1018</v>
      </c>
      <c r="AV619" s="53">
        <v>617</v>
      </c>
      <c r="AW619" s="4" t="s">
        <v>2380</v>
      </c>
      <c r="AX619" t="s">
        <v>1323</v>
      </c>
      <c r="AY619" s="4">
        <v>35089</v>
      </c>
      <c r="AZ619" s="9">
        <v>23.033957954812617</v>
      </c>
      <c r="BA619" s="7">
        <f t="shared" si="178"/>
        <v>5.9037010901297508E-4</v>
      </c>
      <c r="BB619" s="54">
        <f t="shared" si="172"/>
        <v>251.04258731250903</v>
      </c>
      <c r="BC619" s="55">
        <f t="shared" si="173"/>
        <v>170.74567130922898</v>
      </c>
      <c r="BD619" s="55">
        <f t="shared" si="174"/>
        <v>13.066968711573047</v>
      </c>
      <c r="BE619" s="55">
        <f t="shared" si="175"/>
        <v>12.80539403089746</v>
      </c>
      <c r="BF619" s="56">
        <f t="shared" si="176"/>
        <v>0.13101141123002696</v>
      </c>
      <c r="BG619" s="56">
        <f t="shared" si="179"/>
        <v>4.650216229772178E-5</v>
      </c>
      <c r="BH619" s="56">
        <f t="shared" si="180"/>
        <v>6.8192493940111756E-3</v>
      </c>
      <c r="BI619" s="56">
        <f t="shared" si="177"/>
        <v>6.6827416069292446E-3</v>
      </c>
      <c r="BJ619" s="57">
        <f t="shared" si="181"/>
        <v>1.4627411810445582E-2</v>
      </c>
      <c r="BK619" s="57">
        <f t="shared" si="182"/>
        <v>7.6136855704269637E-4</v>
      </c>
      <c r="BL619" s="58">
        <f t="shared" si="183"/>
        <v>25.808805963951578</v>
      </c>
      <c r="BM619" s="58">
        <f t="shared" si="183"/>
        <v>1.3433691216471033</v>
      </c>
    </row>
    <row r="620" spans="47:65" x14ac:dyDescent="0.2">
      <c r="AU620" s="2">
        <v>-1017</v>
      </c>
      <c r="AV620" s="53">
        <v>618</v>
      </c>
      <c r="AW620" s="4" t="s">
        <v>1410</v>
      </c>
      <c r="AX620" t="s">
        <v>25</v>
      </c>
      <c r="AY620" s="4">
        <v>17049</v>
      </c>
      <c r="AZ620" s="9">
        <v>23.045407953424164</v>
      </c>
      <c r="BA620" s="7">
        <f t="shared" si="178"/>
        <v>5.906635773323042E-4</v>
      </c>
      <c r="BB620" s="54">
        <f t="shared" si="172"/>
        <v>252.91996133087068</v>
      </c>
      <c r="BC620" s="55">
        <f t="shared" si="173"/>
        <v>172.8087088070514</v>
      </c>
      <c r="BD620" s="55">
        <f t="shared" si="174"/>
        <v>13.145672626649858</v>
      </c>
      <c r="BE620" s="55">
        <f t="shared" si="175"/>
        <v>12.882522450393884</v>
      </c>
      <c r="BF620" s="56">
        <f t="shared" si="176"/>
        <v>0.13199115503439574</v>
      </c>
      <c r="BG620" s="56">
        <f t="shared" si="179"/>
        <v>4.7064025470091567E-5</v>
      </c>
      <c r="BH620" s="56">
        <f t="shared" si="180"/>
        <v>6.8603225485462105E-3</v>
      </c>
      <c r="BI620" s="56">
        <f t="shared" si="177"/>
        <v>6.7229925587393028E-3</v>
      </c>
      <c r="BJ620" s="57">
        <f t="shared" si="181"/>
        <v>7.1602982459825718E-3</v>
      </c>
      <c r="BK620" s="57">
        <f t="shared" si="182"/>
        <v>3.7216096410724924E-4</v>
      </c>
      <c r="BL620" s="58">
        <f t="shared" si="183"/>
        <v>12.633728404543882</v>
      </c>
      <c r="BM620" s="58">
        <f t="shared" si="183"/>
        <v>0.6566459080028153</v>
      </c>
    </row>
    <row r="621" spans="47:65" x14ac:dyDescent="0.2">
      <c r="AU621" s="2">
        <v>-1016</v>
      </c>
      <c r="AV621" s="53">
        <v>619</v>
      </c>
      <c r="AW621" s="4" t="s">
        <v>2419</v>
      </c>
      <c r="AX621" t="s">
        <v>749</v>
      </c>
      <c r="AY621" s="4">
        <v>44008</v>
      </c>
      <c r="AZ621" s="9">
        <v>23.049568296512824</v>
      </c>
      <c r="BA621" s="7">
        <f t="shared" si="178"/>
        <v>5.9077020868969412E-4</v>
      </c>
      <c r="BB621" s="54">
        <f t="shared" si="172"/>
        <v>253.60557508391557</v>
      </c>
      <c r="BC621" s="55">
        <f t="shared" si="173"/>
        <v>173.56428951487507</v>
      </c>
      <c r="BD621" s="55">
        <f t="shared" si="174"/>
        <v>13.174380042904298</v>
      </c>
      <c r="BE621" s="55">
        <f t="shared" si="175"/>
        <v>12.910655201367835</v>
      </c>
      <c r="BF621" s="56">
        <f t="shared" si="176"/>
        <v>0.13234895578169814</v>
      </c>
      <c r="BG621" s="56">
        <f t="shared" si="179"/>
        <v>4.726980601161342E-5</v>
      </c>
      <c r="BH621" s="56">
        <f t="shared" si="180"/>
        <v>6.8753040668477657E-3</v>
      </c>
      <c r="BI621" s="56">
        <f t="shared" si="177"/>
        <v>6.7376741768916913E-3</v>
      </c>
      <c r="BJ621" s="57">
        <f t="shared" si="181"/>
        <v>1.853273531614031E-2</v>
      </c>
      <c r="BK621" s="57">
        <f t="shared" si="182"/>
        <v>9.6274420705699825E-4</v>
      </c>
      <c r="BL621" s="58">
        <f t="shared" si="183"/>
        <v>32.699412305735024</v>
      </c>
      <c r="BM621" s="58">
        <f t="shared" si="183"/>
        <v>1.698679079719954</v>
      </c>
    </row>
    <row r="622" spans="47:65" x14ac:dyDescent="0.2">
      <c r="AU622" s="2">
        <v>-1015</v>
      </c>
      <c r="AV622" s="53">
        <v>620</v>
      </c>
      <c r="AW622" s="4" t="s">
        <v>2502</v>
      </c>
      <c r="AX622" t="s">
        <v>813</v>
      </c>
      <c r="AY622" s="4">
        <v>60721</v>
      </c>
      <c r="AZ622" s="9">
        <v>23.053567541892253</v>
      </c>
      <c r="BA622" s="7">
        <f t="shared" si="178"/>
        <v>5.9087271104448945E-4</v>
      </c>
      <c r="BB622" s="54">
        <f t="shared" si="172"/>
        <v>254.26639243322799</v>
      </c>
      <c r="BC622" s="55">
        <f t="shared" si="173"/>
        <v>174.29363573108981</v>
      </c>
      <c r="BD622" s="55">
        <f t="shared" si="174"/>
        <v>13.202031500155186</v>
      </c>
      <c r="BE622" s="55">
        <f t="shared" si="175"/>
        <v>12.93775313153373</v>
      </c>
      <c r="BF622" s="56">
        <f t="shared" si="176"/>
        <v>0.13269381604794023</v>
      </c>
      <c r="BG622" s="56">
        <f t="shared" si="179"/>
        <v>4.7468441654070148E-5</v>
      </c>
      <c r="BH622" s="56">
        <f t="shared" si="180"/>
        <v>6.889734512596995E-3</v>
      </c>
      <c r="BI622" s="56">
        <f t="shared" si="177"/>
        <v>6.7518157538663656E-3</v>
      </c>
      <c r="BJ622" s="57">
        <f t="shared" si="181"/>
        <v>2.5637576615508594E-2</v>
      </c>
      <c r="BK622" s="57">
        <f t="shared" si="182"/>
        <v>1.3311554501032911E-3</v>
      </c>
      <c r="BL622" s="58">
        <f t="shared" si="183"/>
        <v>45.235291713267735</v>
      </c>
      <c r="BM622" s="58">
        <f t="shared" si="183"/>
        <v>2.3487089284680445</v>
      </c>
    </row>
    <row r="623" spans="47:65" x14ac:dyDescent="0.2">
      <c r="AU623" s="2">
        <v>-1014</v>
      </c>
      <c r="AV623" s="53">
        <v>621</v>
      </c>
      <c r="AW623" s="4" t="s">
        <v>3010</v>
      </c>
      <c r="AX623" t="s">
        <v>1172</v>
      </c>
      <c r="AY623" s="4">
        <v>29707</v>
      </c>
      <c r="AZ623" s="9">
        <v>23.057263748987587</v>
      </c>
      <c r="BA623" s="7">
        <f t="shared" si="178"/>
        <v>5.9096744639957201E-4</v>
      </c>
      <c r="BB623" s="54">
        <f t="shared" si="172"/>
        <v>254.87866823849896</v>
      </c>
      <c r="BC623" s="55">
        <f t="shared" si="173"/>
        <v>174.97036201901656</v>
      </c>
      <c r="BD623" s="55">
        <f t="shared" si="174"/>
        <v>13.227636297502913</v>
      </c>
      <c r="BE623" s="55">
        <f t="shared" si="175"/>
        <v>12.962845371850227</v>
      </c>
      <c r="BF623" s="56">
        <f t="shared" si="176"/>
        <v>0.13301334397413517</v>
      </c>
      <c r="BG623" s="56">
        <f t="shared" si="179"/>
        <v>4.7652746388890422E-5</v>
      </c>
      <c r="BH623" s="56">
        <f t="shared" si="180"/>
        <v>6.9030968694413107E-3</v>
      </c>
      <c r="BI623" s="56">
        <f t="shared" si="177"/>
        <v>6.764910622948081E-3</v>
      </c>
      <c r="BJ623" s="57">
        <f t="shared" si="181"/>
        <v>1.257307135256799E-2</v>
      </c>
      <c r="BK623" s="57">
        <f t="shared" si="182"/>
        <v>6.5251445381338193E-4</v>
      </c>
      <c r="BL623" s="58">
        <f t="shared" si="183"/>
        <v>22.18409949172414</v>
      </c>
      <c r="BM623" s="58">
        <f t="shared" si="183"/>
        <v>1.1513054493425392</v>
      </c>
    </row>
    <row r="624" spans="47:65" x14ac:dyDescent="0.2">
      <c r="AU624" s="2">
        <v>-1013</v>
      </c>
      <c r="AV624" s="53">
        <v>622</v>
      </c>
      <c r="AW624" s="4" t="s">
        <v>1667</v>
      </c>
      <c r="AX624" t="s">
        <v>210</v>
      </c>
      <c r="AY624" s="4">
        <v>83724</v>
      </c>
      <c r="AZ624" s="9">
        <v>23.060279890976297</v>
      </c>
      <c r="BA624" s="7">
        <f t="shared" si="178"/>
        <v>5.9104475139761729E-4</v>
      </c>
      <c r="BB624" s="54">
        <f t="shared" si="172"/>
        <v>255.37938377056881</v>
      </c>
      <c r="BC624" s="55">
        <f t="shared" si="173"/>
        <v>175.52446697068748</v>
      </c>
      <c r="BD624" s="55">
        <f t="shared" si="174"/>
        <v>13.248564713609074</v>
      </c>
      <c r="BE624" s="55">
        <f t="shared" si="175"/>
        <v>12.983354842760997</v>
      </c>
      <c r="BF624" s="56">
        <f t="shared" si="176"/>
        <v>0.13327465202223773</v>
      </c>
      <c r="BG624" s="56">
        <f t="shared" si="179"/>
        <v>4.780365550532806E-5</v>
      </c>
      <c r="BH624" s="56">
        <f t="shared" si="180"/>
        <v>6.9140187666311735E-3</v>
      </c>
      <c r="BI624" s="56">
        <f t="shared" si="177"/>
        <v>6.7756138855155712E-3</v>
      </c>
      <c r="BJ624" s="57">
        <f t="shared" si="181"/>
        <v>3.5504622420663247E-2</v>
      </c>
      <c r="BK624" s="57">
        <f t="shared" si="182"/>
        <v>1.8419078346395511E-3</v>
      </c>
      <c r="BL624" s="58">
        <f t="shared" si="183"/>
        <v>62.644842625125285</v>
      </c>
      <c r="BM624" s="58">
        <f t="shared" si="183"/>
        <v>3.2498874389895427</v>
      </c>
    </row>
    <row r="625" spans="47:65" x14ac:dyDescent="0.2">
      <c r="AU625" s="2">
        <v>-1012</v>
      </c>
      <c r="AV625" s="53">
        <v>623</v>
      </c>
      <c r="AW625" s="4" t="s">
        <v>3093</v>
      </c>
      <c r="AX625" t="s">
        <v>1240</v>
      </c>
      <c r="AY625" s="4">
        <v>29231</v>
      </c>
      <c r="AZ625" s="9">
        <v>23.062257871812616</v>
      </c>
      <c r="BA625" s="7">
        <f t="shared" si="178"/>
        <v>5.9109544788513613E-4</v>
      </c>
      <c r="BB625" s="54">
        <f t="shared" si="172"/>
        <v>255.70828616415585</v>
      </c>
      <c r="BC625" s="55">
        <f t="shared" si="173"/>
        <v>175.88877263179634</v>
      </c>
      <c r="BD625" s="55">
        <f t="shared" si="174"/>
        <v>13.262306459730009</v>
      </c>
      <c r="BE625" s="55">
        <f t="shared" si="175"/>
        <v>12.99682150650186</v>
      </c>
      <c r="BF625" s="56">
        <f t="shared" si="176"/>
        <v>0.13344629607356012</v>
      </c>
      <c r="BG625" s="56">
        <f t="shared" si="179"/>
        <v>4.7902873253274972E-5</v>
      </c>
      <c r="BH625" s="56">
        <f t="shared" si="180"/>
        <v>6.9211901616177962E-3</v>
      </c>
      <c r="BI625" s="56">
        <f t="shared" si="177"/>
        <v>6.782641723461917E-3</v>
      </c>
      <c r="BJ625" s="57">
        <f t="shared" si="181"/>
        <v>1.2411880029215581E-2</v>
      </c>
      <c r="BK625" s="57">
        <f t="shared" si="182"/>
        <v>6.4374197316075042E-4</v>
      </c>
      <c r="BL625" s="58">
        <f t="shared" si="183"/>
        <v>21.899691310605991</v>
      </c>
      <c r="BM625" s="58">
        <f t="shared" si="183"/>
        <v>1.1358271641940616</v>
      </c>
    </row>
    <row r="626" spans="47:65" x14ac:dyDescent="0.2">
      <c r="AU626" s="2">
        <v>-1011</v>
      </c>
      <c r="AV626" s="53">
        <v>624</v>
      </c>
      <c r="AW626" s="4" t="s">
        <v>2287</v>
      </c>
      <c r="AX626" t="s">
        <v>642</v>
      </c>
      <c r="AY626" s="4">
        <v>43424</v>
      </c>
      <c r="AZ626" s="9">
        <v>23.063103180592915</v>
      </c>
      <c r="BA626" s="7">
        <f t="shared" si="178"/>
        <v>5.9111711350759465E-4</v>
      </c>
      <c r="BB626" s="54">
        <f t="shared" si="172"/>
        <v>255.84897488004839</v>
      </c>
      <c r="BC626" s="55">
        <f t="shared" si="173"/>
        <v>176.04468589184376</v>
      </c>
      <c r="BD626" s="55">
        <f t="shared" si="174"/>
        <v>13.268183217450826</v>
      </c>
      <c r="BE626" s="55">
        <f t="shared" si="175"/>
        <v>13.002580623241194</v>
      </c>
      <c r="BF626" s="56">
        <f t="shared" si="176"/>
        <v>0.13351971719071223</v>
      </c>
      <c r="BG626" s="56">
        <f t="shared" si="179"/>
        <v>4.7945335844962228E-5</v>
      </c>
      <c r="BH626" s="56">
        <f t="shared" si="180"/>
        <v>6.9242570608666915E-3</v>
      </c>
      <c r="BI626" s="56">
        <f t="shared" si="177"/>
        <v>6.7856472294979403E-3</v>
      </c>
      <c r="BJ626" s="57">
        <f t="shared" si="181"/>
        <v>1.8448565475571777E-2</v>
      </c>
      <c r="BK626" s="57">
        <f t="shared" si="182"/>
        <v>9.5673217742536722E-4</v>
      </c>
      <c r="BL626" s="58">
        <f t="shared" si="183"/>
        <v>32.550901884930518</v>
      </c>
      <c r="BM626" s="58">
        <f t="shared" si="183"/>
        <v>1.6880713722032017</v>
      </c>
    </row>
    <row r="627" spans="47:65" x14ac:dyDescent="0.2">
      <c r="AU627" s="2">
        <v>-1010</v>
      </c>
      <c r="AV627" s="53">
        <v>625</v>
      </c>
      <c r="AW627" s="4" t="s">
        <v>1615</v>
      </c>
      <c r="AX627" t="s">
        <v>173</v>
      </c>
      <c r="AY627" s="4">
        <v>60593</v>
      </c>
      <c r="AZ627" s="9">
        <v>23.072963210514835</v>
      </c>
      <c r="BA627" s="7">
        <f t="shared" si="178"/>
        <v>5.9136983025524586E-4</v>
      </c>
      <c r="BB627" s="54">
        <f t="shared" si="172"/>
        <v>257.49575500623695</v>
      </c>
      <c r="BC627" s="55">
        <f t="shared" si="173"/>
        <v>177.87326177165241</v>
      </c>
      <c r="BD627" s="55">
        <f t="shared" si="174"/>
        <v>13.336913502443226</v>
      </c>
      <c r="BE627" s="55">
        <f t="shared" si="175"/>
        <v>13.069935064857333</v>
      </c>
      <c r="BF627" s="56">
        <f t="shared" si="176"/>
        <v>0.13437912112941103</v>
      </c>
      <c r="BG627" s="56">
        <f t="shared" si="179"/>
        <v>4.8443343974154068E-5</v>
      </c>
      <c r="BH627" s="56">
        <f t="shared" si="180"/>
        <v>6.9601252843719749E-3</v>
      </c>
      <c r="BI627" s="56">
        <f t="shared" si="177"/>
        <v>6.8207974426278345E-3</v>
      </c>
      <c r="BJ627" s="57">
        <f t="shared" si="181"/>
        <v>2.5908461461234693E-2</v>
      </c>
      <c r="BK627" s="57">
        <f t="shared" si="182"/>
        <v>1.3419207997487728E-3</v>
      </c>
      <c r="BL627" s="58">
        <f t="shared" si="183"/>
        <v>45.713244649338584</v>
      </c>
      <c r="BM627" s="58">
        <f t="shared" si="183"/>
        <v>2.3677034589929815</v>
      </c>
    </row>
    <row r="628" spans="47:65" x14ac:dyDescent="0.2">
      <c r="AU628" s="2">
        <v>-1009</v>
      </c>
      <c r="AV628" s="53">
        <v>626</v>
      </c>
      <c r="AW628" s="4" t="s">
        <v>1635</v>
      </c>
      <c r="AX628" t="s">
        <v>186</v>
      </c>
      <c r="AY628" s="4">
        <v>17588</v>
      </c>
      <c r="AZ628" s="9">
        <v>23.075348353011169</v>
      </c>
      <c r="BA628" s="7">
        <f t="shared" si="178"/>
        <v>5.9143096246875139E-4</v>
      </c>
      <c r="BB628" s="54">
        <f t="shared" si="172"/>
        <v>257.89570101288979</v>
      </c>
      <c r="BC628" s="55">
        <f t="shared" si="173"/>
        <v>178.31835643815256</v>
      </c>
      <c r="BD628" s="55">
        <f t="shared" si="174"/>
        <v>13.353589646164531</v>
      </c>
      <c r="BE628" s="55">
        <f t="shared" si="175"/>
        <v>13.086277385404719</v>
      </c>
      <c r="BF628" s="56">
        <f t="shared" si="176"/>
        <v>0.13458784065906668</v>
      </c>
      <c r="BG628" s="56">
        <f t="shared" si="179"/>
        <v>4.8564564408386846E-5</v>
      </c>
      <c r="BH628" s="56">
        <f t="shared" si="180"/>
        <v>6.968828051285729E-3</v>
      </c>
      <c r="BI628" s="56">
        <f t="shared" si="177"/>
        <v>6.8293259974862375E-3</v>
      </c>
      <c r="BJ628" s="57">
        <f t="shared" si="181"/>
        <v>7.5319886068002644E-3</v>
      </c>
      <c r="BK628" s="57">
        <f t="shared" si="182"/>
        <v>3.899990759046197E-4</v>
      </c>
      <c r="BL628" s="58">
        <f t="shared" si="183"/>
        <v>13.289543973649868</v>
      </c>
      <c r="BM628" s="58">
        <f t="shared" si="183"/>
        <v>0.68811971704761488</v>
      </c>
    </row>
    <row r="629" spans="47:65" x14ac:dyDescent="0.2">
      <c r="AU629" s="2">
        <v>-1008</v>
      </c>
      <c r="AV629" s="53">
        <v>627</v>
      </c>
      <c r="AW629" s="4" t="s">
        <v>2955</v>
      </c>
      <c r="AX629" t="s">
        <v>1155</v>
      </c>
      <c r="AY629" s="4">
        <v>80559</v>
      </c>
      <c r="AZ629" s="9">
        <v>23.079808538587631</v>
      </c>
      <c r="BA629" s="7">
        <f t="shared" si="178"/>
        <v>5.9154527891623989E-4</v>
      </c>
      <c r="BB629" s="54">
        <f t="shared" si="172"/>
        <v>258.64526269684598</v>
      </c>
      <c r="BC629" s="55">
        <f t="shared" si="173"/>
        <v>179.1535806721067</v>
      </c>
      <c r="BD629" s="55">
        <f t="shared" si="174"/>
        <v>13.384826508853475</v>
      </c>
      <c r="BE629" s="55">
        <f t="shared" si="175"/>
        <v>13.116888948334896</v>
      </c>
      <c r="BF629" s="56">
        <f t="shared" si="176"/>
        <v>0.13497901386625166</v>
      </c>
      <c r="BG629" s="56">
        <f t="shared" si="179"/>
        <v>4.8792035667743373E-5</v>
      </c>
      <c r="BH629" s="56">
        <f t="shared" si="180"/>
        <v>6.9851296099459293E-3</v>
      </c>
      <c r="BI629" s="56">
        <f t="shared" si="177"/>
        <v>6.8453012314191675E-3</v>
      </c>
      <c r="BJ629" s="57">
        <f t="shared" si="181"/>
        <v>3.4599330054845612E-2</v>
      </c>
      <c r="BK629" s="57">
        <f t="shared" si="182"/>
        <v>1.7905065234057158E-3</v>
      </c>
      <c r="BL629" s="58">
        <f t="shared" si="183"/>
        <v>61.04753236184623</v>
      </c>
      <c r="BM629" s="58">
        <f t="shared" si="183"/>
        <v>3.1591942606530035</v>
      </c>
    </row>
    <row r="630" spans="47:65" x14ac:dyDescent="0.2">
      <c r="AU630" s="2">
        <v>-1007</v>
      </c>
      <c r="AV630" s="53">
        <v>628</v>
      </c>
      <c r="AW630" s="4" t="s">
        <v>3083</v>
      </c>
      <c r="AX630" t="s">
        <v>1232</v>
      </c>
      <c r="AY630" s="4">
        <v>15402</v>
      </c>
      <c r="AZ630" s="9">
        <v>23.084455042974188</v>
      </c>
      <c r="BA630" s="7">
        <f t="shared" si="178"/>
        <v>5.9166437079383226E-4</v>
      </c>
      <c r="BB630" s="54">
        <f t="shared" si="172"/>
        <v>259.42845366517565</v>
      </c>
      <c r="BC630" s="55">
        <f t="shared" si="173"/>
        <v>180.02773377073933</v>
      </c>
      <c r="BD630" s="55">
        <f t="shared" si="174"/>
        <v>13.417441401800096</v>
      </c>
      <c r="BE630" s="55">
        <f t="shared" si="175"/>
        <v>13.148850956102399</v>
      </c>
      <c r="BF630" s="56">
        <f t="shared" si="176"/>
        <v>0.13538773716344954</v>
      </c>
      <c r="BG630" s="56">
        <f t="shared" si="179"/>
        <v>4.903010910734488E-5</v>
      </c>
      <c r="BH630" s="56">
        <f t="shared" si="180"/>
        <v>7.0021503202476933E-3</v>
      </c>
      <c r="BI630" s="56">
        <f t="shared" si="177"/>
        <v>6.8619812210105411E-3</v>
      </c>
      <c r="BJ630" s="57">
        <f t="shared" si="181"/>
        <v>6.6350442077857587E-3</v>
      </c>
      <c r="BK630" s="57">
        <f t="shared" si="182"/>
        <v>3.4315941678170892E-4</v>
      </c>
      <c r="BL630" s="58">
        <f t="shared" si="183"/>
        <v>11.706962977462453</v>
      </c>
      <c r="BM630" s="58">
        <f t="shared" si="183"/>
        <v>0.60547518024325908</v>
      </c>
    </row>
    <row r="631" spans="47:65" x14ac:dyDescent="0.2">
      <c r="AU631" s="2">
        <v>-1006</v>
      </c>
      <c r="AV631" s="53">
        <v>629</v>
      </c>
      <c r="AW631" s="4" t="s">
        <v>2868</v>
      </c>
      <c r="AX631" t="s">
        <v>2869</v>
      </c>
      <c r="AY631" s="4">
        <v>14639</v>
      </c>
      <c r="AZ631" s="9">
        <v>23.088596105667875</v>
      </c>
      <c r="BA631" s="7">
        <f t="shared" si="178"/>
        <v>5.9177050798652387E-4</v>
      </c>
      <c r="BB631" s="54">
        <f t="shared" si="172"/>
        <v>260.12844852804199</v>
      </c>
      <c r="BC631" s="55">
        <f t="shared" si="173"/>
        <v>180.8102854375966</v>
      </c>
      <c r="BD631" s="55">
        <f t="shared" si="174"/>
        <v>13.446571512381757</v>
      </c>
      <c r="BE631" s="55">
        <f t="shared" si="175"/>
        <v>13.177397939905262</v>
      </c>
      <c r="BF631" s="56">
        <f t="shared" si="176"/>
        <v>0.13575304297000473</v>
      </c>
      <c r="BG631" s="56">
        <f t="shared" si="179"/>
        <v>4.9243235123011612E-5</v>
      </c>
      <c r="BH631" s="56">
        <f t="shared" si="180"/>
        <v>7.0173524297281534E-3</v>
      </c>
      <c r="BI631" s="56">
        <f t="shared" si="177"/>
        <v>6.8768790145459094E-3</v>
      </c>
      <c r="BJ631" s="57">
        <f t="shared" si="181"/>
        <v>6.3233665310548724E-3</v>
      </c>
      <c r="BK631" s="57">
        <f t="shared" si="182"/>
        <v>3.2686774837573313E-4</v>
      </c>
      <c r="BL631" s="58">
        <f t="shared" si="183"/>
        <v>11.157034611030712</v>
      </c>
      <c r="BM631" s="58">
        <f t="shared" si="183"/>
        <v>0.57672993712248977</v>
      </c>
    </row>
    <row r="632" spans="47:65" x14ac:dyDescent="0.2">
      <c r="AU632" s="2">
        <v>-1005</v>
      </c>
      <c r="AV632" s="53">
        <v>630</v>
      </c>
      <c r="AW632" s="4" t="s">
        <v>1715</v>
      </c>
      <c r="AX632" t="s">
        <v>233</v>
      </c>
      <c r="AY632" s="4">
        <v>73401</v>
      </c>
      <c r="AZ632" s="9">
        <v>23.092187626936408</v>
      </c>
      <c r="BA632" s="7">
        <f t="shared" si="178"/>
        <v>5.918625601994777E-4</v>
      </c>
      <c r="BB632" s="54">
        <f t="shared" si="172"/>
        <v>260.73707962924038</v>
      </c>
      <c r="BC632" s="55">
        <f t="shared" si="173"/>
        <v>181.49166095131281</v>
      </c>
      <c r="BD632" s="55">
        <f t="shared" si="174"/>
        <v>13.471884090627888</v>
      </c>
      <c r="BE632" s="55">
        <f t="shared" si="175"/>
        <v>13.202203810764397</v>
      </c>
      <c r="BF632" s="56">
        <f t="shared" si="176"/>
        <v>0.13607066883715391</v>
      </c>
      <c r="BG632" s="56">
        <f t="shared" si="179"/>
        <v>4.9428806063004635E-5</v>
      </c>
      <c r="BH632" s="56">
        <f t="shared" si="180"/>
        <v>7.0305622864038856E-3</v>
      </c>
      <c r="BI632" s="56">
        <f t="shared" si="177"/>
        <v>6.8898244362085945E-3</v>
      </c>
      <c r="BJ632" s="57">
        <f t="shared" si="181"/>
        <v>3.177999820573086E-2</v>
      </c>
      <c r="BK632" s="57">
        <f t="shared" si="182"/>
        <v>1.6420236540072547E-3</v>
      </c>
      <c r="BL632" s="58">
        <f t="shared" si="183"/>
        <v>56.073064589644034</v>
      </c>
      <c r="BM632" s="58">
        <f t="shared" si="183"/>
        <v>2.8972090499447729</v>
      </c>
    </row>
    <row r="633" spans="47:65" x14ac:dyDescent="0.2">
      <c r="AU633" s="2">
        <v>-1004</v>
      </c>
      <c r="AV633" s="53">
        <v>631</v>
      </c>
      <c r="AW633" s="4" t="s">
        <v>3056</v>
      </c>
      <c r="AX633" t="s">
        <v>1213</v>
      </c>
      <c r="AY633" s="4">
        <v>43704</v>
      </c>
      <c r="AZ633" s="9">
        <v>23.098380404948465</v>
      </c>
      <c r="BA633" s="7">
        <f t="shared" si="178"/>
        <v>5.9202128372572724E-4</v>
      </c>
      <c r="BB633" s="54">
        <f t="shared" si="172"/>
        <v>261.78987511983286</v>
      </c>
      <c r="BC633" s="55">
        <f t="shared" si="173"/>
        <v>182.67239889650253</v>
      </c>
      <c r="BD633" s="55">
        <f t="shared" si="174"/>
        <v>13.51563534934642</v>
      </c>
      <c r="BE633" s="55">
        <f t="shared" si="175"/>
        <v>13.245079256447704</v>
      </c>
      <c r="BF633" s="56">
        <f t="shared" si="176"/>
        <v>0.13662009044898354</v>
      </c>
      <c r="BG633" s="56">
        <f t="shared" si="179"/>
        <v>4.9750377129124821E-5</v>
      </c>
      <c r="BH633" s="56">
        <f t="shared" si="180"/>
        <v>7.053394723757123E-3</v>
      </c>
      <c r="BI633" s="56">
        <f t="shared" si="177"/>
        <v>6.9121998136544007E-3</v>
      </c>
      <c r="BJ633" s="57">
        <f t="shared" si="181"/>
        <v>1.8998666889749848E-2</v>
      </c>
      <c r="BK633" s="57">
        <f t="shared" si="182"/>
        <v>9.8085937696418594E-4</v>
      </c>
      <c r="BL633" s="58">
        <f t="shared" si="183"/>
        <v>33.521508362891211</v>
      </c>
      <c r="BM633" s="58">
        <f t="shared" si="183"/>
        <v>1.7306417338926325</v>
      </c>
    </row>
    <row r="634" spans="47:65" x14ac:dyDescent="0.2">
      <c r="AU634" s="2">
        <v>-1003</v>
      </c>
      <c r="AV634" s="53">
        <v>632</v>
      </c>
      <c r="AW634" s="4" t="s">
        <v>1441</v>
      </c>
      <c r="AX634" t="s">
        <v>50</v>
      </c>
      <c r="AY634" s="4">
        <v>46496</v>
      </c>
      <c r="AZ634" s="9">
        <v>23.102054509773538</v>
      </c>
      <c r="BA634" s="7">
        <f t="shared" si="178"/>
        <v>5.9211545259025145E-4</v>
      </c>
      <c r="BB634" s="54">
        <f t="shared" si="172"/>
        <v>262.41649495248078</v>
      </c>
      <c r="BC634" s="55">
        <f t="shared" si="173"/>
        <v>183.37643733885986</v>
      </c>
      <c r="BD634" s="55">
        <f t="shared" si="174"/>
        <v>13.541655635071358</v>
      </c>
      <c r="BE634" s="55">
        <f t="shared" si="175"/>
        <v>13.270578667891865</v>
      </c>
      <c r="BF634" s="56">
        <f t="shared" si="176"/>
        <v>0.13694710408224303</v>
      </c>
      <c r="BG634" s="56">
        <f t="shared" si="179"/>
        <v>4.9942120261815355E-5</v>
      </c>
      <c r="BH634" s="56">
        <f t="shared" si="180"/>
        <v>7.0669739112165508E-3</v>
      </c>
      <c r="BI634" s="56">
        <f t="shared" si="177"/>
        <v>6.925507172834299E-3</v>
      </c>
      <c r="BJ634" s="57">
        <f t="shared" si="181"/>
        <v>2.0260763994941026E-2</v>
      </c>
      <c r="BK634" s="57">
        <f t="shared" si="182"/>
        <v>1.0455298893182606E-3</v>
      </c>
      <c r="BL634" s="58">
        <f t="shared" si="183"/>
        <v>35.748369800694121</v>
      </c>
      <c r="BM634" s="58">
        <f t="shared" si="183"/>
        <v>1.8447472726280458</v>
      </c>
    </row>
    <row r="635" spans="47:65" x14ac:dyDescent="0.2">
      <c r="AU635" s="2">
        <v>-1002</v>
      </c>
      <c r="AV635" s="53">
        <v>633</v>
      </c>
      <c r="AW635" s="4" t="s">
        <v>3117</v>
      </c>
      <c r="AX635" t="s">
        <v>1258</v>
      </c>
      <c r="AY635" s="4">
        <v>7239</v>
      </c>
      <c r="AZ635" s="9">
        <v>23.103325164644783</v>
      </c>
      <c r="BA635" s="7">
        <f t="shared" si="178"/>
        <v>5.9214802001337206E-4</v>
      </c>
      <c r="BB635" s="54">
        <f t="shared" si="172"/>
        <v>262.6335544771531</v>
      </c>
      <c r="BC635" s="55">
        <f t="shared" si="173"/>
        <v>183.62053476084762</v>
      </c>
      <c r="BD635" s="55">
        <f t="shared" si="174"/>
        <v>13.550665472988683</v>
      </c>
      <c r="BE635" s="55">
        <f t="shared" si="175"/>
        <v>13.279408146804116</v>
      </c>
      <c r="BF635" s="56">
        <f t="shared" si="176"/>
        <v>0.13706038077745514</v>
      </c>
      <c r="BG635" s="56">
        <f t="shared" si="179"/>
        <v>5.0008599592430244E-5</v>
      </c>
      <c r="BH635" s="56">
        <f t="shared" si="180"/>
        <v>7.07167586873368E-3</v>
      </c>
      <c r="BI635" s="56">
        <f t="shared" si="177"/>
        <v>6.9301150065295041E-3</v>
      </c>
      <c r="BJ635" s="57">
        <f t="shared" si="181"/>
        <v>3.1570239952877065E-3</v>
      </c>
      <c r="BK635" s="57">
        <f t="shared" si="182"/>
        <v>1.6288770159437311E-4</v>
      </c>
      <c r="BL635" s="58">
        <f t="shared" si="183"/>
        <v>5.5702964252182063</v>
      </c>
      <c r="BM635" s="58">
        <f t="shared" si="183"/>
        <v>0.28740129414837062</v>
      </c>
    </row>
    <row r="636" spans="47:65" x14ac:dyDescent="0.2">
      <c r="AU636" s="2">
        <v>-1001</v>
      </c>
      <c r="AV636" s="53">
        <v>634</v>
      </c>
      <c r="AW636" s="4" t="s">
        <v>2827</v>
      </c>
      <c r="AX636" t="s">
        <v>1059</v>
      </c>
      <c r="AY636" s="4">
        <v>20841</v>
      </c>
      <c r="AZ636" s="9">
        <v>23.10427475539791</v>
      </c>
      <c r="BA636" s="7">
        <f t="shared" si="178"/>
        <v>5.921723584270107E-4</v>
      </c>
      <c r="BB636" s="54">
        <f t="shared" si="172"/>
        <v>262.79588547352995</v>
      </c>
      <c r="BC636" s="55">
        <f t="shared" si="173"/>
        <v>183.80316045173797</v>
      </c>
      <c r="BD636" s="55">
        <f t="shared" si="174"/>
        <v>13.557402422726042</v>
      </c>
      <c r="BE636" s="55">
        <f t="shared" si="175"/>
        <v>13.286010236229554</v>
      </c>
      <c r="BF636" s="56">
        <f t="shared" si="176"/>
        <v>0.13714509633567712</v>
      </c>
      <c r="BG636" s="56">
        <f t="shared" si="179"/>
        <v>5.0058337248747409E-5</v>
      </c>
      <c r="BH636" s="56">
        <f t="shared" si="180"/>
        <v>7.0751916757602696E-3</v>
      </c>
      <c r="BI636" s="56">
        <f t="shared" si="177"/>
        <v>6.9335604341038588E-3</v>
      </c>
      <c r="BJ636" s="57">
        <f t="shared" si="181"/>
        <v>9.0946545938511269E-3</v>
      </c>
      <c r="BK636" s="57">
        <f t="shared" si="182"/>
        <v>4.6918501787942684E-4</v>
      </c>
      <c r="BL636" s="58">
        <f t="shared" si="183"/>
        <v>16.046733267894126</v>
      </c>
      <c r="BM636" s="58">
        <f t="shared" si="183"/>
        <v>0.82783647883599221</v>
      </c>
    </row>
    <row r="637" spans="47:65" x14ac:dyDescent="0.2">
      <c r="AU637" s="2">
        <v>-1000</v>
      </c>
      <c r="AV637" s="53">
        <v>635</v>
      </c>
      <c r="AW637" s="4" t="s">
        <v>2735</v>
      </c>
      <c r="AX637" t="s">
        <v>994</v>
      </c>
      <c r="AY637" s="4">
        <v>88218</v>
      </c>
      <c r="AZ637" s="9">
        <v>23.104807959273167</v>
      </c>
      <c r="BA637" s="7">
        <f t="shared" si="178"/>
        <v>5.9218602466841745E-4</v>
      </c>
      <c r="BB637" s="54">
        <f t="shared" si="172"/>
        <v>262.88707979624621</v>
      </c>
      <c r="BC637" s="55">
        <f t="shared" si="173"/>
        <v>183.90578370935341</v>
      </c>
      <c r="BD637" s="55">
        <f t="shared" si="174"/>
        <v>13.561186663023019</v>
      </c>
      <c r="BE637" s="55">
        <f t="shared" si="175"/>
        <v>13.289718723575014</v>
      </c>
      <c r="BF637" s="56">
        <f t="shared" si="176"/>
        <v>0.13719268785010169</v>
      </c>
      <c r="BG637" s="56">
        <f t="shared" si="179"/>
        <v>5.0086286439754261E-5</v>
      </c>
      <c r="BH637" s="56">
        <f t="shared" si="180"/>
        <v>7.0771665544732141E-3</v>
      </c>
      <c r="BI637" s="56">
        <f t="shared" si="177"/>
        <v>6.9354957796794615E-3</v>
      </c>
      <c r="BJ637" s="57">
        <f t="shared" si="181"/>
        <v>3.8510179644861905E-2</v>
      </c>
      <c r="BK637" s="57">
        <f t="shared" si="182"/>
        <v>1.9865705648041201E-3</v>
      </c>
      <c r="BL637" s="58">
        <f t="shared" si="183"/>
        <v>67.94788900257825</v>
      </c>
      <c r="BM637" s="58">
        <f t="shared" si="183"/>
        <v>3.5051323436531732</v>
      </c>
    </row>
    <row r="638" spans="47:65" x14ac:dyDescent="0.2">
      <c r="AU638" s="2">
        <v>-999</v>
      </c>
      <c r="AV638" s="53">
        <v>636</v>
      </c>
      <c r="AW638" s="4" t="s">
        <v>2081</v>
      </c>
      <c r="AX638" t="s">
        <v>495</v>
      </c>
      <c r="AY638" s="4">
        <v>50782</v>
      </c>
      <c r="AZ638" s="9">
        <v>23.107763664187583</v>
      </c>
      <c r="BA638" s="7">
        <f t="shared" si="178"/>
        <v>5.9226178063862271E-4</v>
      </c>
      <c r="BB638" s="54">
        <f t="shared" si="172"/>
        <v>263.39317084766577</v>
      </c>
      <c r="BC638" s="55">
        <f t="shared" si="173"/>
        <v>184.47566364319343</v>
      </c>
      <c r="BD638" s="55">
        <f t="shared" si="174"/>
        <v>13.582181843989332</v>
      </c>
      <c r="BE638" s="55">
        <f t="shared" si="175"/>
        <v>13.310293622846451</v>
      </c>
      <c r="BF638" s="56">
        <f t="shared" si="176"/>
        <v>0.13745680121655135</v>
      </c>
      <c r="BG638" s="56">
        <f t="shared" si="179"/>
        <v>5.0241491833664259E-5</v>
      </c>
      <c r="BH638" s="56">
        <f t="shared" si="180"/>
        <v>7.088123294191789E-3</v>
      </c>
      <c r="BI638" s="56">
        <f t="shared" si="177"/>
        <v>6.9462331872976544E-3</v>
      </c>
      <c r="BJ638" s="57">
        <f t="shared" si="181"/>
        <v>2.2210759339911398E-2</v>
      </c>
      <c r="BK638" s="57">
        <f t="shared" si="182"/>
        <v>1.145324198334081E-3</v>
      </c>
      <c r="BL638" s="58">
        <f t="shared" si="183"/>
        <v>39.188968324966886</v>
      </c>
      <c r="BM638" s="58">
        <f t="shared" si="183"/>
        <v>2.0208257197978106</v>
      </c>
    </row>
    <row r="639" spans="47:65" x14ac:dyDescent="0.2">
      <c r="AU639" s="2">
        <v>-998</v>
      </c>
      <c r="AV639" s="53">
        <v>637</v>
      </c>
      <c r="AW639" s="4" t="s">
        <v>3163</v>
      </c>
      <c r="AX639" t="s">
        <v>3164</v>
      </c>
      <c r="AY639" s="5">
        <v>125634.29</v>
      </c>
      <c r="AZ639" s="9">
        <v>23.112411294929458</v>
      </c>
      <c r="BA639" s="7">
        <f t="shared" si="178"/>
        <v>5.9238090138517938E-4</v>
      </c>
      <c r="BB639" s="54">
        <f t="shared" si="172"/>
        <v>264.19093353520356</v>
      </c>
      <c r="BC639" s="55">
        <f t="shared" si="173"/>
        <v>185.3752258862271</v>
      </c>
      <c r="BD639" s="55">
        <f t="shared" si="174"/>
        <v>13.615257099527247</v>
      </c>
      <c r="BE639" s="55">
        <f t="shared" si="175"/>
        <v>13.342706777663338</v>
      </c>
      <c r="BF639" s="56">
        <f t="shared" si="176"/>
        <v>0.13787312904618326</v>
      </c>
      <c r="BG639" s="56">
        <f t="shared" si="179"/>
        <v>5.0486485391051521E-5</v>
      </c>
      <c r="BH639" s="56">
        <f t="shared" si="180"/>
        <v>7.105384253582034E-3</v>
      </c>
      <c r="BI639" s="56">
        <f t="shared" si="177"/>
        <v>6.9631486166693993E-3</v>
      </c>
      <c r="BJ639" s="57">
        <f t="shared" si="181"/>
        <v>5.5115683046023205E-2</v>
      </c>
      <c r="BK639" s="57">
        <f t="shared" si="182"/>
        <v>2.8404237225184872E-3</v>
      </c>
      <c r="BL639" s="58">
        <f t="shared" si="183"/>
        <v>97.246866892040899</v>
      </c>
      <c r="BM639" s="58">
        <f t="shared" si="183"/>
        <v>5.0116825628396358</v>
      </c>
    </row>
    <row r="640" spans="47:65" x14ac:dyDescent="0.2">
      <c r="AU640" s="2">
        <v>-997</v>
      </c>
      <c r="AV640" s="53">
        <v>638</v>
      </c>
      <c r="AW640" s="4" t="s">
        <v>2427</v>
      </c>
      <c r="AX640" t="s">
        <v>756</v>
      </c>
      <c r="AY640" s="4">
        <v>30664</v>
      </c>
      <c r="AZ640" s="9">
        <v>23.116055175014626</v>
      </c>
      <c r="BA640" s="7">
        <f t="shared" si="178"/>
        <v>5.924742955768042E-4</v>
      </c>
      <c r="BB640" s="54">
        <f t="shared" si="172"/>
        <v>264.8180927152959</v>
      </c>
      <c r="BC640" s="55">
        <f t="shared" si="173"/>
        <v>186.08348489978766</v>
      </c>
      <c r="BD640" s="55">
        <f t="shared" si="174"/>
        <v>13.641242058543924</v>
      </c>
      <c r="BE640" s="55">
        <f t="shared" si="175"/>
        <v>13.368171569569556</v>
      </c>
      <c r="BF640" s="56">
        <f t="shared" si="176"/>
        <v>0.13820042414829881</v>
      </c>
      <c r="BG640" s="56">
        <f t="shared" si="179"/>
        <v>5.0679377985894084E-5</v>
      </c>
      <c r="BH640" s="56">
        <f t="shared" si="180"/>
        <v>7.1189450051179692E-3</v>
      </c>
      <c r="BI640" s="56">
        <f t="shared" si="177"/>
        <v>6.9764379089762634E-3</v>
      </c>
      <c r="BJ640" s="57">
        <f t="shared" si="181"/>
        <v>1.348421145354462E-2</v>
      </c>
      <c r="BK640" s="57">
        <f t="shared" si="182"/>
        <v>6.9459526167704331E-4</v>
      </c>
      <c r="BL640" s="58">
        <f t="shared" si="183"/>
        <v>23.791727579099682</v>
      </c>
      <c r="BM640" s="58">
        <f t="shared" si="183"/>
        <v>1.2255534037334863</v>
      </c>
    </row>
    <row r="641" spans="47:65" x14ac:dyDescent="0.2">
      <c r="AU641" s="2">
        <v>-996</v>
      </c>
      <c r="AV641" s="53">
        <v>639</v>
      </c>
      <c r="AW641" s="4" t="s">
        <v>3015</v>
      </c>
      <c r="AX641" t="s">
        <v>1177</v>
      </c>
      <c r="AY641" s="4">
        <v>23565</v>
      </c>
      <c r="AZ641" s="9">
        <v>23.120728940360554</v>
      </c>
      <c r="BA641" s="7">
        <f t="shared" si="178"/>
        <v>5.925940861643441E-4</v>
      </c>
      <c r="BB641" s="54">
        <f t="shared" si="172"/>
        <v>265.62468866516008</v>
      </c>
      <c r="BC641" s="55">
        <f t="shared" si="173"/>
        <v>186.99576694482082</v>
      </c>
      <c r="BD641" s="55">
        <f t="shared" si="174"/>
        <v>13.674639554475315</v>
      </c>
      <c r="BE641" s="55">
        <f t="shared" si="175"/>
        <v>13.40090051416923</v>
      </c>
      <c r="BF641" s="56">
        <f t="shared" si="176"/>
        <v>0.13862136178607309</v>
      </c>
      <c r="BG641" s="56">
        <f t="shared" si="179"/>
        <v>5.092783574997323E-5</v>
      </c>
      <c r="BH641" s="56">
        <f t="shared" si="180"/>
        <v>7.1363741318664926E-3</v>
      </c>
      <c r="BI641" s="56">
        <f t="shared" si="177"/>
        <v>6.993518139330808E-3</v>
      </c>
      <c r="BJ641" s="57">
        <f t="shared" si="181"/>
        <v>1.0394054201446914E-2</v>
      </c>
      <c r="BK641" s="57">
        <f t="shared" si="182"/>
        <v>5.3509688963303953E-4</v>
      </c>
      <c r="BL641" s="58">
        <f t="shared" si="183"/>
        <v>18.339411752417693</v>
      </c>
      <c r="BM641" s="58">
        <f t="shared" si="183"/>
        <v>0.94413228911700686</v>
      </c>
    </row>
    <row r="642" spans="47:65" x14ac:dyDescent="0.2">
      <c r="AU642" s="2">
        <v>-995</v>
      </c>
      <c r="AV642" s="53">
        <v>640</v>
      </c>
      <c r="AW642" s="4" t="s">
        <v>2591</v>
      </c>
      <c r="AX642" t="s">
        <v>888</v>
      </c>
      <c r="AY642" s="4">
        <v>12094</v>
      </c>
      <c r="AZ642" s="9">
        <v>23.134576517928387</v>
      </c>
      <c r="BA642" s="7">
        <f t="shared" si="178"/>
        <v>5.9294900544892067E-4</v>
      </c>
      <c r="BB642" s="54">
        <f t="shared" si="172"/>
        <v>268.02894893107839</v>
      </c>
      <c r="BC642" s="55">
        <f t="shared" si="173"/>
        <v>189.72425406877173</v>
      </c>
      <c r="BD642" s="55">
        <f t="shared" si="174"/>
        <v>13.774042764155038</v>
      </c>
      <c r="BE642" s="55">
        <f t="shared" si="175"/>
        <v>13.4983138696292</v>
      </c>
      <c r="BF642" s="56">
        <f t="shared" si="176"/>
        <v>0.1398760713306737</v>
      </c>
      <c r="BG642" s="56">
        <f t="shared" si="179"/>
        <v>5.1670932486144309E-5</v>
      </c>
      <c r="BH642" s="56">
        <f t="shared" si="180"/>
        <v>7.188249612120068E-3</v>
      </c>
      <c r="BI642" s="56">
        <f t="shared" si="177"/>
        <v>7.0443551758196717E-3</v>
      </c>
      <c r="BJ642" s="57">
        <f t="shared" si="181"/>
        <v>5.3827072730887621E-3</v>
      </c>
      <c r="BK642" s="57">
        <f t="shared" si="182"/>
        <v>2.7661803123184557E-4</v>
      </c>
      <c r="BL642" s="58">
        <f t="shared" si="183"/>
        <v>9.4973225183072856</v>
      </c>
      <c r="BM642" s="58">
        <f t="shared" si="183"/>
        <v>0.48806864718848197</v>
      </c>
    </row>
    <row r="643" spans="47:65" x14ac:dyDescent="0.2">
      <c r="AU643" s="2">
        <v>-994</v>
      </c>
      <c r="AV643" s="53">
        <v>641</v>
      </c>
      <c r="AW643" s="4" t="s">
        <v>2068</v>
      </c>
      <c r="AX643" t="s">
        <v>487</v>
      </c>
      <c r="AY643" s="4">
        <v>18356</v>
      </c>
      <c r="AZ643" s="9">
        <v>23.142902710658937</v>
      </c>
      <c r="BA643" s="7">
        <f t="shared" si="178"/>
        <v>5.931624092989946E-4</v>
      </c>
      <c r="BB643" s="54">
        <f t="shared" ref="BB643:BB706" si="184">IFERROR(IF(MATCH(AX643,$S$4:$S$20,0),VLOOKUP(AX643,$S$4:$AT$20,20,FALSE)),AVERAGE((2^(($AE$23*AZ643)+$AE$24)),(2^(($AF$23*AZ643)+$AF$24)),(2^(($AG$23*AZ643)+$AG$24)),(2^(($AH$23*AZ643)+$AH$24))))</f>
        <v>269.48503335094904</v>
      </c>
      <c r="BC643" s="55">
        <f t="shared" ref="BC643:BC706" si="185">IFERROR(IF(MATCH(AX643,$S$4:$S$20,0),VLOOKUP(AX643,$S$4:$AT$20,21,FALSE)),_xlfn.VAR.S((2^(($AE$23*AZ643)+$AE$24)),(2^(($AF$23*AZ643)+$AF$24)),(2^(($AG$23*AZ643)+$AG$24)),(2^(($AH$23*AZ643)+$AH$24))))</f>
        <v>191.38337610533293</v>
      </c>
      <c r="BD643" s="55">
        <f t="shared" ref="BD643:BD706" si="186">SQRT(BC643)</f>
        <v>13.834138068753433</v>
      </c>
      <c r="BE643" s="55">
        <f t="shared" ref="BE643:BE706" si="187">_xlfn.CONFIDENCE.NORM(0.05,BD643,4)</f>
        <v>13.557206185955609</v>
      </c>
      <c r="BF643" s="56">
        <f t="shared" ref="BF643:BF706" si="188">IFERROR(IF(MATCH(AX643,$S$4:$S$20,0),VLOOKUP(AX643,$S$4:$AT$20,24,FALSE)),AVERAGE((2^(($AI$23*AZ643)+$AI$24)),(2^(($AJ$23*AZ643)+$AJ$24)),(2^(($AK$23*AZ643)+$AK$24)),(2^(($AL$23*AZ643)+$AL$24))))</f>
        <v>0.1406359570407418</v>
      </c>
      <c r="BG643" s="56">
        <f t="shared" si="179"/>
        <v>5.212279027922553E-5</v>
      </c>
      <c r="BH643" s="56">
        <f t="shared" si="180"/>
        <v>7.2196115047297059E-3</v>
      </c>
      <c r="BI643" s="56">
        <f t="shared" ref="BI643:BI706" si="189">_xlfn.CONFIDENCE.NORM(0.05,BH643,4)</f>
        <v>7.075089265820623E-3</v>
      </c>
      <c r="BJ643" s="57">
        <f t="shared" si="181"/>
        <v>8.2141342032222391E-3</v>
      </c>
      <c r="BK643" s="57">
        <f t="shared" si="182"/>
        <v>4.216763553420209E-4</v>
      </c>
      <c r="BL643" s="58">
        <f t="shared" si="183"/>
        <v>14.493131017302156</v>
      </c>
      <c r="BM643" s="58">
        <f t="shared" si="183"/>
        <v>0.74401154323397667</v>
      </c>
    </row>
    <row r="644" spans="47:65" x14ac:dyDescent="0.2">
      <c r="AU644" s="2">
        <v>-993</v>
      </c>
      <c r="AV644" s="53">
        <v>642</v>
      </c>
      <c r="AW644" s="4" t="s">
        <v>2365</v>
      </c>
      <c r="AX644" t="s">
        <v>708</v>
      </c>
      <c r="AY644" s="4">
        <v>11191</v>
      </c>
      <c r="AZ644" s="9">
        <v>23.153239462743162</v>
      </c>
      <c r="BA644" s="7">
        <f t="shared" ref="BA644:BA707" si="190">AZ644/$AZ$1637</f>
        <v>5.9342734463780071E-4</v>
      </c>
      <c r="BB644" s="54">
        <f t="shared" si="184"/>
        <v>271.30373614257257</v>
      </c>
      <c r="BC644" s="55">
        <f t="shared" si="185"/>
        <v>193.46272464263413</v>
      </c>
      <c r="BD644" s="55">
        <f t="shared" si="186"/>
        <v>13.909087843659416</v>
      </c>
      <c r="BE644" s="55">
        <f t="shared" si="187"/>
        <v>13.630655615688164</v>
      </c>
      <c r="BF644" s="56">
        <f t="shared" si="188"/>
        <v>0.14158508213497129</v>
      </c>
      <c r="BG644" s="56">
        <f t="shared" ref="BG644:BG707" si="191">IFERROR(IF(MATCH(AX644,$S$4:$S$20,0),VLOOKUP(AX644,$S$4:$AT$20,25,FALSE)),_xlfn.VAR.S((2^(($AI$23*AZ644)+$AI$24)),(2^(($AJ$23*AZ644)+$AJ$24)),(2^(($AK$23*AZ644)+$AK$24)),(2^(($AL$23*AZ644)+$AL$24))))</f>
        <v>5.2689095722951318E-5</v>
      </c>
      <c r="BH644" s="56">
        <f t="shared" ref="BH644:BH707" si="192">SQRT(BG644)</f>
        <v>7.2587254888824195E-3</v>
      </c>
      <c r="BI644" s="56">
        <f t="shared" si="189"/>
        <v>7.113420265936218E-3</v>
      </c>
      <c r="BJ644" s="57">
        <f t="shared" ref="BJ644:BJ707" si="193">(((BF644*0.000001)*AY644)*1000000000000000)*$S$24</f>
        <v>5.0416624453076967E-3</v>
      </c>
      <c r="BK644" s="57">
        <f t="shared" ref="BK644:BK707" si="194">((((BH644*0.000001)*AY644)*1000000000000000)*$S$24)</f>
        <v>2.5847386706467917E-4</v>
      </c>
      <c r="BL644" s="58">
        <f t="shared" ref="BL644:BM707" si="195">((BJ644/$S$26)*0.000000001)/0.45</f>
        <v>8.8955783478912149</v>
      </c>
      <c r="BM644" s="58">
        <f t="shared" si="195"/>
        <v>0.45605483514593886</v>
      </c>
    </row>
    <row r="645" spans="47:65" x14ac:dyDescent="0.2">
      <c r="AU645" s="2">
        <v>-992</v>
      </c>
      <c r="AV645" s="53">
        <v>643</v>
      </c>
      <c r="AW645" s="4" t="s">
        <v>2307</v>
      </c>
      <c r="AX645" t="s">
        <v>1319</v>
      </c>
      <c r="AY645" s="4">
        <v>29566</v>
      </c>
      <c r="AZ645" s="9">
        <v>23.159022145260963</v>
      </c>
      <c r="BA645" s="7">
        <f t="shared" si="190"/>
        <v>5.935755572426478E-4</v>
      </c>
      <c r="BB645" s="54">
        <f t="shared" si="184"/>
        <v>272.32652090424301</v>
      </c>
      <c r="BC645" s="55">
        <f t="shared" si="185"/>
        <v>194.63551501556523</v>
      </c>
      <c r="BD645" s="55">
        <f t="shared" si="186"/>
        <v>13.951183283706269</v>
      </c>
      <c r="BE645" s="55">
        <f t="shared" si="187"/>
        <v>13.671908388890765</v>
      </c>
      <c r="BF645" s="56">
        <f t="shared" si="188"/>
        <v>0.14211884206967201</v>
      </c>
      <c r="BG645" s="56">
        <f t="shared" si="191"/>
        <v>5.300850228737315E-5</v>
      </c>
      <c r="BH645" s="56">
        <f t="shared" si="192"/>
        <v>7.280693805357643E-3</v>
      </c>
      <c r="BI645" s="56">
        <f t="shared" si="189"/>
        <v>7.1349488204824254E-3</v>
      </c>
      <c r="BJ645" s="57">
        <f t="shared" si="193"/>
        <v>1.3370006089952001E-2</v>
      </c>
      <c r="BK645" s="57">
        <f t="shared" si="194"/>
        <v>6.8494028729129621E-4</v>
      </c>
      <c r="BL645" s="58">
        <f t="shared" si="195"/>
        <v>23.590222069635622</v>
      </c>
      <c r="BM645" s="58">
        <f t="shared" si="195"/>
        <v>1.2085180345418756</v>
      </c>
    </row>
    <row r="646" spans="47:65" x14ac:dyDescent="0.2">
      <c r="AU646" s="2">
        <v>-991</v>
      </c>
      <c r="AV646" s="53">
        <v>644</v>
      </c>
      <c r="AW646" s="4" t="s">
        <v>2909</v>
      </c>
      <c r="AX646" t="s">
        <v>1355</v>
      </c>
      <c r="AY646" s="4">
        <v>47561</v>
      </c>
      <c r="AZ646" s="9">
        <v>23.161289783956427</v>
      </c>
      <c r="BA646" s="7">
        <f t="shared" si="190"/>
        <v>5.9363367778391427E-4</v>
      </c>
      <c r="BB646" s="54">
        <f t="shared" si="184"/>
        <v>272.72865058518897</v>
      </c>
      <c r="BC646" s="55">
        <f t="shared" si="185"/>
        <v>195.09729645438946</v>
      </c>
      <c r="BD646" s="55">
        <f t="shared" si="186"/>
        <v>13.967723381223923</v>
      </c>
      <c r="BE646" s="55">
        <f t="shared" si="187"/>
        <v>13.688117386608456</v>
      </c>
      <c r="BF646" s="56">
        <f t="shared" si="188"/>
        <v>0.14232870119183225</v>
      </c>
      <c r="BG646" s="56">
        <f t="shared" si="191"/>
        <v>5.313426732288112E-5</v>
      </c>
      <c r="BH646" s="56">
        <f t="shared" si="192"/>
        <v>7.2893255739389989E-3</v>
      </c>
      <c r="BI646" s="56">
        <f t="shared" si="189"/>
        <v>7.143407798253597E-3</v>
      </c>
      <c r="BJ646" s="57">
        <f t="shared" si="193"/>
        <v>2.1539262832383745E-2</v>
      </c>
      <c r="BK646" s="57">
        <f t="shared" si="194"/>
        <v>1.103127465459501E-3</v>
      </c>
      <c r="BL646" s="58">
        <f t="shared" si="195"/>
        <v>38.004170679776067</v>
      </c>
      <c r="BM646" s="58">
        <f t="shared" si="195"/>
        <v>1.9463732257280781</v>
      </c>
    </row>
    <row r="647" spans="47:65" x14ac:dyDescent="0.2">
      <c r="AU647" s="2">
        <v>-990</v>
      </c>
      <c r="AV647" s="53">
        <v>645</v>
      </c>
      <c r="AW647" s="4" t="s">
        <v>2435</v>
      </c>
      <c r="AX647" t="s">
        <v>1330</v>
      </c>
      <c r="AY647" s="4">
        <v>22606</v>
      </c>
      <c r="AZ647" s="9">
        <v>23.162171251015565</v>
      </c>
      <c r="BA647" s="7">
        <f t="shared" si="190"/>
        <v>5.9365627015839091E-4</v>
      </c>
      <c r="BB647" s="54">
        <f t="shared" si="184"/>
        <v>272.8851249951083</v>
      </c>
      <c r="BC647" s="55">
        <f t="shared" si="185"/>
        <v>195.27708488415226</v>
      </c>
      <c r="BD647" s="55">
        <f t="shared" si="186"/>
        <v>13.97415775222794</v>
      </c>
      <c r="BE647" s="55">
        <f t="shared" si="187"/>
        <v>13.694422954323976</v>
      </c>
      <c r="BF647" s="56">
        <f t="shared" si="188"/>
        <v>0.14241036037756788</v>
      </c>
      <c r="BG647" s="56">
        <f t="shared" si="191"/>
        <v>5.3183232258131309E-5</v>
      </c>
      <c r="BH647" s="56">
        <f t="shared" si="192"/>
        <v>7.2926834744236162E-3</v>
      </c>
      <c r="BI647" s="56">
        <f t="shared" si="189"/>
        <v>7.1466984802603566E-3</v>
      </c>
      <c r="BJ647" s="57">
        <f t="shared" si="193"/>
        <v>1.0243601636878725E-2</v>
      </c>
      <c r="BK647" s="57">
        <f t="shared" si="194"/>
        <v>5.2456397257745621E-4</v>
      </c>
      <c r="BL647" s="58">
        <f t="shared" si="195"/>
        <v>18.073951184544271</v>
      </c>
      <c r="BM647" s="58">
        <f t="shared" si="195"/>
        <v>0.92554786584071524</v>
      </c>
    </row>
    <row r="648" spans="47:65" x14ac:dyDescent="0.2">
      <c r="AU648" s="2">
        <v>-989</v>
      </c>
      <c r="AV648" s="53">
        <v>646</v>
      </c>
      <c r="AW648" s="4" t="s">
        <v>1770</v>
      </c>
      <c r="AX648" t="s">
        <v>268</v>
      </c>
      <c r="AY648" s="4">
        <v>26120</v>
      </c>
      <c r="AZ648" s="9">
        <v>23.170737447989623</v>
      </c>
      <c r="BA648" s="7">
        <f t="shared" si="190"/>
        <v>5.9387582541899021E-4</v>
      </c>
      <c r="BB648" s="54">
        <f t="shared" si="184"/>
        <v>274.41044474556702</v>
      </c>
      <c r="BC648" s="55">
        <f t="shared" si="185"/>
        <v>197.0326791819617</v>
      </c>
      <c r="BD648" s="55">
        <f t="shared" si="186"/>
        <v>14.03683294699918</v>
      </c>
      <c r="BE648" s="55">
        <f t="shared" si="187"/>
        <v>13.755843516561807</v>
      </c>
      <c r="BF648" s="56">
        <f t="shared" si="188"/>
        <v>0.14320637787891655</v>
      </c>
      <c r="BG648" s="56">
        <f t="shared" si="191"/>
        <v>5.3661364033535243E-5</v>
      </c>
      <c r="BH648" s="56">
        <f t="shared" si="192"/>
        <v>7.3253917324287337E-3</v>
      </c>
      <c r="BI648" s="56">
        <f t="shared" si="189"/>
        <v>7.1787519841038936E-3</v>
      </c>
      <c r="BJ648" s="57">
        <f t="shared" si="193"/>
        <v>1.1902081095072044E-2</v>
      </c>
      <c r="BK648" s="57">
        <f t="shared" si="194"/>
        <v>6.0882348777968197E-4</v>
      </c>
      <c r="BL648" s="58">
        <f t="shared" si="195"/>
        <v>21.000195081030771</v>
      </c>
      <c r="BM648" s="58">
        <f t="shared" si="195"/>
        <v>1.0742165097984893</v>
      </c>
    </row>
    <row r="649" spans="47:65" x14ac:dyDescent="0.2">
      <c r="AU649" s="2">
        <v>-988</v>
      </c>
      <c r="AV649" s="53">
        <v>647</v>
      </c>
      <c r="AW649" s="4" t="s">
        <v>2530</v>
      </c>
      <c r="AX649" t="s">
        <v>837</v>
      </c>
      <c r="AY649" s="4">
        <v>44757</v>
      </c>
      <c r="AZ649" s="9">
        <v>23.175430565360891</v>
      </c>
      <c r="BA649" s="7">
        <f t="shared" si="190"/>
        <v>5.9399611200714505E-4</v>
      </c>
      <c r="BB649" s="54">
        <f t="shared" si="184"/>
        <v>275.24972600970875</v>
      </c>
      <c r="BC649" s="55">
        <f t="shared" si="185"/>
        <v>198.00098806891674</v>
      </c>
      <c r="BD649" s="55">
        <f t="shared" si="186"/>
        <v>14.07128238892663</v>
      </c>
      <c r="BE649" s="55">
        <f t="shared" si="187"/>
        <v>13.789603349294461</v>
      </c>
      <c r="BF649" s="56">
        <f t="shared" si="188"/>
        <v>0.14364437297772137</v>
      </c>
      <c r="BG649" s="56">
        <f t="shared" si="191"/>
        <v>5.3925080569774976E-5</v>
      </c>
      <c r="BH649" s="56">
        <f t="shared" si="192"/>
        <v>7.343369837463927E-3</v>
      </c>
      <c r="BI649" s="56">
        <f t="shared" si="189"/>
        <v>7.1963702032935223E-3</v>
      </c>
      <c r="BJ649" s="57">
        <f t="shared" si="193"/>
        <v>2.0456765120829674E-2</v>
      </c>
      <c r="BK649" s="57">
        <f t="shared" si="194"/>
        <v>1.0457882118618282E-3</v>
      </c>
      <c r="BL649" s="58">
        <f t="shared" si="195"/>
        <v>36.094196874706199</v>
      </c>
      <c r="BM649" s="58">
        <f t="shared" si="195"/>
        <v>1.8452030604659388</v>
      </c>
    </row>
    <row r="650" spans="47:65" x14ac:dyDescent="0.2">
      <c r="AU650" s="2">
        <v>-987</v>
      </c>
      <c r="AV650" s="53">
        <v>648</v>
      </c>
      <c r="AW650" s="4" t="s">
        <v>1722</v>
      </c>
      <c r="AX650" t="s">
        <v>235</v>
      </c>
      <c r="AY650" s="4">
        <v>27993</v>
      </c>
      <c r="AZ650" s="9">
        <v>23.176988170721074</v>
      </c>
      <c r="BA650" s="7">
        <f t="shared" si="190"/>
        <v>5.9403603409296699E-4</v>
      </c>
      <c r="BB650" s="54">
        <f t="shared" si="184"/>
        <v>275.52884326308174</v>
      </c>
      <c r="BC650" s="55">
        <f t="shared" si="185"/>
        <v>198.32338031904649</v>
      </c>
      <c r="BD650" s="55">
        <f t="shared" si="186"/>
        <v>14.082733410778125</v>
      </c>
      <c r="BE650" s="55">
        <f t="shared" si="187"/>
        <v>13.800825144502017</v>
      </c>
      <c r="BF650" s="56">
        <f t="shared" si="188"/>
        <v>0.14379003569437251</v>
      </c>
      <c r="BG650" s="56">
        <f t="shared" si="191"/>
        <v>5.4012883303653234E-5</v>
      </c>
      <c r="BH650" s="56">
        <f t="shared" si="192"/>
        <v>7.3493457738531554E-3</v>
      </c>
      <c r="BI650" s="56">
        <f t="shared" si="189"/>
        <v>7.2022265133419167E-3</v>
      </c>
      <c r="BJ650" s="57">
        <f t="shared" si="193"/>
        <v>1.2807536664475615E-2</v>
      </c>
      <c r="BK650" s="57">
        <f t="shared" si="194"/>
        <v>6.5461431318232185E-4</v>
      </c>
      <c r="BL650" s="58">
        <f t="shared" si="195"/>
        <v>22.597793302954635</v>
      </c>
      <c r="BM650" s="58">
        <f t="shared" si="195"/>
        <v>1.1550104700055834</v>
      </c>
    </row>
    <row r="651" spans="47:65" x14ac:dyDescent="0.2">
      <c r="AU651" s="2">
        <v>-986</v>
      </c>
      <c r="AV651" s="53">
        <v>649</v>
      </c>
      <c r="AW651" s="4" t="s">
        <v>1399</v>
      </c>
      <c r="AX651" t="s">
        <v>20</v>
      </c>
      <c r="AY651" s="4">
        <v>34435</v>
      </c>
      <c r="AZ651" s="9">
        <v>23.177049020180295</v>
      </c>
      <c r="BA651" s="7">
        <f t="shared" si="190"/>
        <v>5.9403759369040755E-4</v>
      </c>
      <c r="BB651" s="54">
        <f t="shared" si="184"/>
        <v>275.53975300953368</v>
      </c>
      <c r="BC651" s="55">
        <f t="shared" si="185"/>
        <v>198.33598523145974</v>
      </c>
      <c r="BD651" s="55">
        <f t="shared" si="186"/>
        <v>14.08318093441463</v>
      </c>
      <c r="BE651" s="55">
        <f t="shared" si="187"/>
        <v>13.801263709606907</v>
      </c>
      <c r="BF651" s="56">
        <f t="shared" si="188"/>
        <v>0.14379572915576538</v>
      </c>
      <c r="BG651" s="56">
        <f t="shared" si="191"/>
        <v>5.4016316220447924E-5</v>
      </c>
      <c r="BH651" s="56">
        <f t="shared" si="192"/>
        <v>7.3495793226856137E-3</v>
      </c>
      <c r="BI651" s="56">
        <f t="shared" si="189"/>
        <v>7.2024553869920417E-3</v>
      </c>
      <c r="BJ651" s="57">
        <f t="shared" si="193"/>
        <v>1.575554559415698E-2</v>
      </c>
      <c r="BK651" s="57">
        <f t="shared" si="194"/>
        <v>8.0528561450535783E-4</v>
      </c>
      <c r="BL651" s="58">
        <f t="shared" si="195"/>
        <v>27.799300680480584</v>
      </c>
      <c r="BM651" s="58">
        <f t="shared" si="195"/>
        <v>1.420856980008494</v>
      </c>
    </row>
    <row r="652" spans="47:65" x14ac:dyDescent="0.2">
      <c r="AU652" s="2">
        <v>-985</v>
      </c>
      <c r="AV652" s="53">
        <v>650</v>
      </c>
      <c r="AW652" s="4" t="s">
        <v>1921</v>
      </c>
      <c r="AX652" t="s">
        <v>379</v>
      </c>
      <c r="AY652" s="4">
        <v>19878</v>
      </c>
      <c r="AZ652" s="9">
        <v>23.17835666316854</v>
      </c>
      <c r="BA652" s="7">
        <f t="shared" si="190"/>
        <v>5.9407110913465015E-4</v>
      </c>
      <c r="BB652" s="54">
        <f t="shared" si="184"/>
        <v>275.77430575363974</v>
      </c>
      <c r="BC652" s="55">
        <f t="shared" si="185"/>
        <v>198.60705016008129</v>
      </c>
      <c r="BD652" s="55">
        <f t="shared" si="186"/>
        <v>14.09280135956231</v>
      </c>
      <c r="BE652" s="55">
        <f t="shared" si="187"/>
        <v>13.810691553009615</v>
      </c>
      <c r="BF652" s="56">
        <f t="shared" si="188"/>
        <v>0.14391813502459488</v>
      </c>
      <c r="BG652" s="56">
        <f t="shared" si="191"/>
        <v>5.4090140084955807E-5</v>
      </c>
      <c r="BH652" s="56">
        <f t="shared" si="192"/>
        <v>7.3545999269134825E-3</v>
      </c>
      <c r="BI652" s="56">
        <f t="shared" si="189"/>
        <v>7.2073754887256678E-3</v>
      </c>
      <c r="BJ652" s="57">
        <f t="shared" si="193"/>
        <v>9.1028121590429299E-3</v>
      </c>
      <c r="BK652" s="57">
        <f t="shared" si="194"/>
        <v>4.6517794041844195E-4</v>
      </c>
      <c r="BL652" s="58">
        <f t="shared" si="195"/>
        <v>16.061126587772026</v>
      </c>
      <c r="BM652" s="58">
        <f t="shared" si="195"/>
        <v>0.82076633642028263</v>
      </c>
    </row>
    <row r="653" spans="47:65" x14ac:dyDescent="0.2">
      <c r="AU653" s="2">
        <v>-984</v>
      </c>
      <c r="AV653" s="53">
        <v>651</v>
      </c>
      <c r="AW653" s="4" t="s">
        <v>1565</v>
      </c>
      <c r="AX653" t="s">
        <v>1278</v>
      </c>
      <c r="AY653" s="4">
        <v>29501</v>
      </c>
      <c r="AZ653" s="9">
        <v>23.184488776565036</v>
      </c>
      <c r="BA653" s="7">
        <f t="shared" si="190"/>
        <v>5.9422827780108046E-4</v>
      </c>
      <c r="BB653" s="54">
        <f t="shared" si="184"/>
        <v>276.87689332076206</v>
      </c>
      <c r="BC653" s="55">
        <f t="shared" si="185"/>
        <v>199.88299292164106</v>
      </c>
      <c r="BD653" s="55">
        <f t="shared" si="186"/>
        <v>14.137998193578929</v>
      </c>
      <c r="BE653" s="55">
        <f t="shared" si="187"/>
        <v>13.854983636453518</v>
      </c>
      <c r="BF653" s="56">
        <f t="shared" si="188"/>
        <v>0.14449354159094591</v>
      </c>
      <c r="BG653" s="56">
        <f t="shared" si="191"/>
        <v>5.4437639947913645E-5</v>
      </c>
      <c r="BH653" s="56">
        <f t="shared" si="192"/>
        <v>7.3781867655890662E-3</v>
      </c>
      <c r="BI653" s="56">
        <f t="shared" si="189"/>
        <v>7.2304901658823183E-3</v>
      </c>
      <c r="BJ653" s="57">
        <f t="shared" si="193"/>
        <v>1.3563524170434207E-2</v>
      </c>
      <c r="BK653" s="57">
        <f t="shared" si="194"/>
        <v>6.9258607289417998E-4</v>
      </c>
      <c r="BL653" s="58">
        <f t="shared" si="195"/>
        <v>23.931668024285987</v>
      </c>
      <c r="BM653" s="58">
        <f t="shared" si="195"/>
        <v>1.222008363495757</v>
      </c>
    </row>
    <row r="654" spans="47:65" x14ac:dyDescent="0.2">
      <c r="AU654" s="2">
        <v>-983</v>
      </c>
      <c r="AV654" s="53">
        <v>652</v>
      </c>
      <c r="AW654" s="4" t="s">
        <v>3183</v>
      </c>
      <c r="AX654" t="s">
        <v>3184</v>
      </c>
      <c r="AY654" s="5">
        <v>48246.635000000002</v>
      </c>
      <c r="AZ654" s="9">
        <v>23.185683851630589</v>
      </c>
      <c r="BA654" s="7">
        <f t="shared" si="190"/>
        <v>5.9425890808173444E-4</v>
      </c>
      <c r="BB654" s="54">
        <f t="shared" si="184"/>
        <v>277.09228713391065</v>
      </c>
      <c r="BC654" s="55">
        <f t="shared" si="185"/>
        <v>200.13258269620033</v>
      </c>
      <c r="BD654" s="55">
        <f t="shared" si="186"/>
        <v>14.146822353313141</v>
      </c>
      <c r="BE654" s="55">
        <f t="shared" si="187"/>
        <v>13.86363115408996</v>
      </c>
      <c r="BF654" s="56">
        <f t="shared" si="188"/>
        <v>0.14460594900250451</v>
      </c>
      <c r="BG654" s="56">
        <f t="shared" si="191"/>
        <v>5.4505615107200113E-5</v>
      </c>
      <c r="BH654" s="56">
        <f t="shared" si="192"/>
        <v>7.3827918233687253E-3</v>
      </c>
      <c r="BI654" s="56">
        <f t="shared" si="189"/>
        <v>7.2350030395797469E-3</v>
      </c>
      <c r="BJ654" s="57">
        <f t="shared" si="193"/>
        <v>2.2199365446030368E-2</v>
      </c>
      <c r="BK654" s="57">
        <f t="shared" si="194"/>
        <v>1.1333786391878567E-3</v>
      </c>
      <c r="BL654" s="58">
        <f t="shared" si="195"/>
        <v>39.168864782374385</v>
      </c>
      <c r="BM654" s="58">
        <f t="shared" si="195"/>
        <v>1.999748811447172</v>
      </c>
    </row>
    <row r="655" spans="47:65" x14ac:dyDescent="0.2">
      <c r="AU655" s="2">
        <v>-982</v>
      </c>
      <c r="AV655" s="53">
        <v>653</v>
      </c>
      <c r="AW655" s="4" t="s">
        <v>1489</v>
      </c>
      <c r="AX655" t="s">
        <v>1490</v>
      </c>
      <c r="AY655" s="4">
        <v>22707</v>
      </c>
      <c r="AZ655" s="9">
        <v>23.188337712085517</v>
      </c>
      <c r="BA655" s="7">
        <f t="shared" si="190"/>
        <v>5.9432692765045792E-4</v>
      </c>
      <c r="BB655" s="54">
        <f t="shared" si="184"/>
        <v>277.57120391817313</v>
      </c>
      <c r="BC655" s="55">
        <f t="shared" si="185"/>
        <v>200.68791899479064</v>
      </c>
      <c r="BD655" s="55">
        <f t="shared" si="186"/>
        <v>14.166436354806759</v>
      </c>
      <c r="BE655" s="55">
        <f t="shared" si="187"/>
        <v>13.882852522350063</v>
      </c>
      <c r="BF655" s="56">
        <f t="shared" si="188"/>
        <v>0.14485588095404967</v>
      </c>
      <c r="BG655" s="56">
        <f t="shared" si="191"/>
        <v>5.4656859577932006E-5</v>
      </c>
      <c r="BH655" s="56">
        <f t="shared" si="192"/>
        <v>7.3930277679670597E-3</v>
      </c>
      <c r="BI655" s="56">
        <f t="shared" si="189"/>
        <v>7.2450340809599887E-3</v>
      </c>
      <c r="BJ655" s="57">
        <f t="shared" si="193"/>
        <v>1.0466061051528298E-2</v>
      </c>
      <c r="BK655" s="57">
        <f t="shared" si="194"/>
        <v>5.3415767082133148E-4</v>
      </c>
      <c r="BL655" s="58">
        <f t="shared" si="195"/>
        <v>18.466461626032288</v>
      </c>
      <c r="BM655" s="58">
        <f t="shared" si="195"/>
        <v>0.94247511856741206</v>
      </c>
    </row>
    <row r="656" spans="47:65" x14ac:dyDescent="0.2">
      <c r="AU656" s="2">
        <v>-981</v>
      </c>
      <c r="AV656" s="53">
        <v>654</v>
      </c>
      <c r="AW656" s="4" t="s">
        <v>1478</v>
      </c>
      <c r="AX656" t="s">
        <v>75</v>
      </c>
      <c r="AY656" s="4">
        <v>30981</v>
      </c>
      <c r="AZ656" s="9">
        <v>23.192146299371782</v>
      </c>
      <c r="BA656" s="7">
        <f t="shared" si="190"/>
        <v>5.9442454335748441E-4</v>
      </c>
      <c r="BB656" s="54">
        <f t="shared" si="184"/>
        <v>278.25995001732554</v>
      </c>
      <c r="BC656" s="55">
        <f t="shared" si="185"/>
        <v>201.48750058628946</v>
      </c>
      <c r="BD656" s="55">
        <f t="shared" si="186"/>
        <v>14.194629286680559</v>
      </c>
      <c r="BE656" s="55">
        <f t="shared" si="187"/>
        <v>13.910481087895684</v>
      </c>
      <c r="BF656" s="56">
        <f t="shared" si="188"/>
        <v>0.1452153163765218</v>
      </c>
      <c r="BG656" s="56">
        <f t="shared" si="191"/>
        <v>5.4874623651558181E-5</v>
      </c>
      <c r="BH656" s="56">
        <f t="shared" si="192"/>
        <v>7.4077407926815431E-3</v>
      </c>
      <c r="BI656" s="56">
        <f t="shared" si="189"/>
        <v>7.2594525802320061E-3</v>
      </c>
      <c r="BJ656" s="57">
        <f t="shared" si="193"/>
        <v>1.4315127788919775E-2</v>
      </c>
      <c r="BK656" s="57">
        <f t="shared" si="194"/>
        <v>7.3024498186869628E-4</v>
      </c>
      <c r="BL656" s="58">
        <f t="shared" si="195"/>
        <v>25.257807754449708</v>
      </c>
      <c r="BM656" s="58">
        <f t="shared" si="195"/>
        <v>1.2884542588552721</v>
      </c>
    </row>
    <row r="657" spans="47:65" x14ac:dyDescent="0.2">
      <c r="AU657" s="2">
        <v>-980</v>
      </c>
      <c r="AV657" s="53">
        <v>655</v>
      </c>
      <c r="AW657" s="4" t="s">
        <v>2687</v>
      </c>
      <c r="AX657" t="s">
        <v>952</v>
      </c>
      <c r="AY657" s="4">
        <v>12390</v>
      </c>
      <c r="AZ657" s="9">
        <v>23.196530289967857</v>
      </c>
      <c r="BA657" s="7">
        <f t="shared" si="190"/>
        <v>5.9453690689531818E-4</v>
      </c>
      <c r="BB657" s="54">
        <f t="shared" si="184"/>
        <v>279.0548684734182</v>
      </c>
      <c r="BC657" s="55">
        <f t="shared" si="185"/>
        <v>202.41170795845653</v>
      </c>
      <c r="BD657" s="55">
        <f t="shared" si="186"/>
        <v>14.22714686641199</v>
      </c>
      <c r="BE657" s="55">
        <f t="shared" si="187"/>
        <v>13.942347730464691</v>
      </c>
      <c r="BF657" s="56">
        <f t="shared" si="188"/>
        <v>0.14563015988917197</v>
      </c>
      <c r="BG657" s="56">
        <f t="shared" si="191"/>
        <v>5.512632924905423E-5</v>
      </c>
      <c r="BH657" s="56">
        <f t="shared" si="192"/>
        <v>7.424710718206752E-3</v>
      </c>
      <c r="BI657" s="56">
        <f t="shared" si="189"/>
        <v>7.2760828016568743E-3</v>
      </c>
      <c r="BJ657" s="57">
        <f t="shared" si="193"/>
        <v>5.7412968829716679E-3</v>
      </c>
      <c r="BK657" s="57">
        <f t="shared" si="194"/>
        <v>2.9271044223152181E-4</v>
      </c>
      <c r="BL657" s="58">
        <f t="shared" si="195"/>
        <v>10.130022942831335</v>
      </c>
      <c r="BM657" s="58">
        <f t="shared" si="195"/>
        <v>0.51646231780943319</v>
      </c>
    </row>
    <row r="658" spans="47:65" x14ac:dyDescent="0.2">
      <c r="AU658" s="2">
        <v>-979</v>
      </c>
      <c r="AV658" s="53">
        <v>656</v>
      </c>
      <c r="AW658" s="4" t="s">
        <v>1810</v>
      </c>
      <c r="AX658" t="s">
        <v>291</v>
      </c>
      <c r="AY658" s="4">
        <v>16259</v>
      </c>
      <c r="AZ658" s="9">
        <v>23.199099373631963</v>
      </c>
      <c r="BA658" s="7">
        <f t="shared" si="190"/>
        <v>5.9460275359894666E-4</v>
      </c>
      <c r="BB658" s="54">
        <f t="shared" si="184"/>
        <v>279.52175748752552</v>
      </c>
      <c r="BC658" s="55">
        <f t="shared" si="185"/>
        <v>202.95521602365565</v>
      </c>
      <c r="BD658" s="55">
        <f t="shared" si="186"/>
        <v>14.246235152616837</v>
      </c>
      <c r="BE658" s="55">
        <f t="shared" si="187"/>
        <v>13.961053907208738</v>
      </c>
      <c r="BF658" s="56">
        <f t="shared" si="188"/>
        <v>0.14587381491711277</v>
      </c>
      <c r="BG658" s="56">
        <f t="shared" si="191"/>
        <v>5.5274352329607153E-5</v>
      </c>
      <c r="BH658" s="56">
        <f t="shared" si="192"/>
        <v>7.4346723081523342E-3</v>
      </c>
      <c r="BI658" s="56">
        <f t="shared" si="189"/>
        <v>7.2858449804179227E-3</v>
      </c>
      <c r="BJ658" s="57">
        <f t="shared" si="193"/>
        <v>7.5467253355977195E-3</v>
      </c>
      <c r="BK658" s="57">
        <f t="shared" si="194"/>
        <v>3.8462989332033924E-4</v>
      </c>
      <c r="BL658" s="58">
        <f t="shared" si="195"/>
        <v>13.315545660004613</v>
      </c>
      <c r="BM658" s="58">
        <f t="shared" si="195"/>
        <v>0.67864625767568632</v>
      </c>
    </row>
    <row r="659" spans="47:65" x14ac:dyDescent="0.2">
      <c r="AU659" s="2">
        <v>-978</v>
      </c>
      <c r="AV659" s="53">
        <v>657</v>
      </c>
      <c r="AW659" s="4" t="s">
        <v>1660</v>
      </c>
      <c r="AX659" t="s">
        <v>205</v>
      </c>
      <c r="AY659" s="4">
        <v>67457</v>
      </c>
      <c r="AZ659" s="9">
        <v>23.20582526004711</v>
      </c>
      <c r="BA659" s="7">
        <f t="shared" si="190"/>
        <v>5.947751409196108E-4</v>
      </c>
      <c r="BB659" s="54">
        <f t="shared" si="184"/>
        <v>280.74778072956224</v>
      </c>
      <c r="BC659" s="55">
        <f t="shared" si="185"/>
        <v>204.38483556780773</v>
      </c>
      <c r="BD659" s="55">
        <f t="shared" si="186"/>
        <v>14.296322449070871</v>
      </c>
      <c r="BE659" s="55">
        <f t="shared" si="187"/>
        <v>14.010138555775182</v>
      </c>
      <c r="BF659" s="56">
        <f t="shared" si="188"/>
        <v>0.14651363876875317</v>
      </c>
      <c r="BG659" s="56">
        <f t="shared" si="191"/>
        <v>5.5663705685134343E-5</v>
      </c>
      <c r="BH659" s="56">
        <f t="shared" si="192"/>
        <v>7.4608113288793425E-3</v>
      </c>
      <c r="BI659" s="56">
        <f t="shared" si="189"/>
        <v>7.3114607500259646E-3</v>
      </c>
      <c r="BJ659" s="57">
        <f t="shared" si="193"/>
        <v>3.1447957916683159E-2</v>
      </c>
      <c r="BK659" s="57">
        <f t="shared" si="194"/>
        <v>1.6014023176724847E-3</v>
      </c>
      <c r="BL659" s="58">
        <f t="shared" si="195"/>
        <v>55.487208150835976</v>
      </c>
      <c r="BM659" s="58">
        <f t="shared" si="195"/>
        <v>2.8255362071311296</v>
      </c>
    </row>
    <row r="660" spans="47:65" x14ac:dyDescent="0.2">
      <c r="AU660" s="2">
        <v>-977</v>
      </c>
      <c r="AV660" s="53">
        <v>658</v>
      </c>
      <c r="AW660" s="4" t="s">
        <v>1678</v>
      </c>
      <c r="AX660" t="s">
        <v>218</v>
      </c>
      <c r="AY660" s="4">
        <v>46100</v>
      </c>
      <c r="AZ660" s="9">
        <v>23.213247039406813</v>
      </c>
      <c r="BA660" s="7">
        <f t="shared" si="190"/>
        <v>5.9496536427150947E-4</v>
      </c>
      <c r="BB660" s="54">
        <f t="shared" si="184"/>
        <v>282.10689663315583</v>
      </c>
      <c r="BC660" s="55">
        <f t="shared" si="185"/>
        <v>205.97370157192725</v>
      </c>
      <c r="BD660" s="55">
        <f t="shared" si="186"/>
        <v>14.351783916012923</v>
      </c>
      <c r="BE660" s="55">
        <f t="shared" si="187"/>
        <v>14.064489794643272</v>
      </c>
      <c r="BF660" s="56">
        <f t="shared" si="188"/>
        <v>0.14722291959023115</v>
      </c>
      <c r="BG660" s="56">
        <f t="shared" si="191"/>
        <v>5.6096429421121742E-5</v>
      </c>
      <c r="BH660" s="56">
        <f t="shared" si="192"/>
        <v>7.489754964023973E-3</v>
      </c>
      <c r="BI660" s="56">
        <f t="shared" si="189"/>
        <v>7.3398249912585362E-3</v>
      </c>
      <c r="BJ660" s="57">
        <f t="shared" si="193"/>
        <v>2.1595522865869351E-2</v>
      </c>
      <c r="BK660" s="57">
        <f t="shared" si="194"/>
        <v>1.0986412647944162E-3</v>
      </c>
      <c r="BL660" s="58">
        <f t="shared" si="195"/>
        <v>38.10343665427461</v>
      </c>
      <c r="BM660" s="58">
        <f t="shared" si="195"/>
        <v>1.9384577117614967</v>
      </c>
    </row>
    <row r="661" spans="47:65" x14ac:dyDescent="0.2">
      <c r="AU661" s="2">
        <v>-976</v>
      </c>
      <c r="AV661" s="53">
        <v>659</v>
      </c>
      <c r="AW661" s="4" t="s">
        <v>2560</v>
      </c>
      <c r="AX661" t="s">
        <v>865</v>
      </c>
      <c r="AY661" s="4">
        <v>51225</v>
      </c>
      <c r="AZ661" s="9">
        <v>23.219420056440701</v>
      </c>
      <c r="BA661" s="7">
        <f t="shared" si="190"/>
        <v>5.9512358131550965E-4</v>
      </c>
      <c r="BB661" s="54">
        <f t="shared" si="184"/>
        <v>283.24234366798134</v>
      </c>
      <c r="BC661" s="55">
        <f t="shared" si="185"/>
        <v>207.30434654197612</v>
      </c>
      <c r="BD661" s="55">
        <f t="shared" si="186"/>
        <v>14.398067458585409</v>
      </c>
      <c r="BE661" s="55">
        <f t="shared" si="187"/>
        <v>14.10984683290277</v>
      </c>
      <c r="BF661" s="56">
        <f t="shared" si="188"/>
        <v>0.14781547450293309</v>
      </c>
      <c r="BG661" s="56">
        <f t="shared" si="191"/>
        <v>5.6458827295596829E-5</v>
      </c>
      <c r="BH661" s="56">
        <f t="shared" si="192"/>
        <v>7.5139089224981184E-3</v>
      </c>
      <c r="BI661" s="56">
        <f t="shared" si="189"/>
        <v>7.3634954356052362E-3</v>
      </c>
      <c r="BJ661" s="57">
        <f t="shared" si="193"/>
        <v>2.409290904389404E-2</v>
      </c>
      <c r="BK661" s="57">
        <f t="shared" si="194"/>
        <v>1.2247156452503817E-3</v>
      </c>
      <c r="BL661" s="58">
        <f t="shared" si="195"/>
        <v>42.50985907000684</v>
      </c>
      <c r="BM661" s="58">
        <f t="shared" si="195"/>
        <v>2.1609050773227665</v>
      </c>
    </row>
    <row r="662" spans="47:65" x14ac:dyDescent="0.2">
      <c r="AU662" s="2">
        <v>-975</v>
      </c>
      <c r="AV662" s="53">
        <v>660</v>
      </c>
      <c r="AW662" s="4" t="s">
        <v>2061</v>
      </c>
      <c r="AX662" t="s">
        <v>480</v>
      </c>
      <c r="AY662" s="4">
        <v>116993</v>
      </c>
      <c r="AZ662" s="9">
        <v>23.230671549582176</v>
      </c>
      <c r="BA662" s="7">
        <f t="shared" si="190"/>
        <v>5.9541196185547256E-4</v>
      </c>
      <c r="BB662" s="54">
        <f t="shared" si="184"/>
        <v>285.32368112839595</v>
      </c>
      <c r="BC662" s="55">
        <f t="shared" si="185"/>
        <v>209.75116704556072</v>
      </c>
      <c r="BD662" s="55">
        <f t="shared" si="186"/>
        <v>14.48278864879139</v>
      </c>
      <c r="BE662" s="55">
        <f t="shared" si="187"/>
        <v>14.192872073668315</v>
      </c>
      <c r="BF662" s="56">
        <f t="shared" si="188"/>
        <v>0.1489016605594663</v>
      </c>
      <c r="BG662" s="56">
        <f t="shared" si="191"/>
        <v>5.7125212822670199E-5</v>
      </c>
      <c r="BH662" s="56">
        <f t="shared" si="192"/>
        <v>7.5581223079988725E-3</v>
      </c>
      <c r="BI662" s="56">
        <f t="shared" si="189"/>
        <v>7.4068237572132685E-3</v>
      </c>
      <c r="BJ662" s="57">
        <f t="shared" si="193"/>
        <v>5.5430244052504435E-2</v>
      </c>
      <c r="BK662" s="57">
        <f t="shared" si="194"/>
        <v>2.8135922899512706E-3</v>
      </c>
      <c r="BL662" s="58">
        <f t="shared" si="195"/>
        <v>97.80188264501929</v>
      </c>
      <c r="BM662" s="58">
        <f t="shared" si="195"/>
        <v>4.9643408153154684</v>
      </c>
    </row>
    <row r="663" spans="47:65" x14ac:dyDescent="0.2">
      <c r="AU663" s="2">
        <v>-974</v>
      </c>
      <c r="AV663" s="53">
        <v>661</v>
      </c>
      <c r="AW663" s="4" t="s">
        <v>1625</v>
      </c>
      <c r="AX663" t="s">
        <v>181</v>
      </c>
      <c r="AY663" s="4">
        <v>18242</v>
      </c>
      <c r="AZ663" s="9">
        <v>23.233434193260798</v>
      </c>
      <c r="BA663" s="7">
        <f t="shared" si="190"/>
        <v>5.9548276958434454E-4</v>
      </c>
      <c r="BB663" s="54">
        <f t="shared" si="184"/>
        <v>285.83705840516626</v>
      </c>
      <c r="BC663" s="55">
        <f t="shared" si="185"/>
        <v>210.35621611594664</v>
      </c>
      <c r="BD663" s="55">
        <f t="shared" si="186"/>
        <v>14.503662162224638</v>
      </c>
      <c r="BE663" s="55">
        <f t="shared" si="187"/>
        <v>14.213327740948305</v>
      </c>
      <c r="BF663" s="56">
        <f t="shared" si="188"/>
        <v>0.14916957638300499</v>
      </c>
      <c r="BG663" s="56">
        <f t="shared" si="191"/>
        <v>5.7289996444143716E-5</v>
      </c>
      <c r="BH663" s="56">
        <f t="shared" si="192"/>
        <v>7.5690155531709484E-3</v>
      </c>
      <c r="BI663" s="56">
        <f t="shared" si="189"/>
        <v>7.4174989413192853E-3</v>
      </c>
      <c r="BJ663" s="57">
        <f t="shared" si="193"/>
        <v>8.6584485361535287E-3</v>
      </c>
      <c r="BK663" s="57">
        <f t="shared" si="194"/>
        <v>4.3933845778449797E-4</v>
      </c>
      <c r="BL663" s="58">
        <f t="shared" si="195"/>
        <v>15.277085318598122</v>
      </c>
      <c r="BM663" s="58">
        <f t="shared" si="195"/>
        <v>0.77517479895962793</v>
      </c>
    </row>
    <row r="664" spans="47:65" x14ac:dyDescent="0.2">
      <c r="AU664" s="2">
        <v>-973</v>
      </c>
      <c r="AV664" s="53">
        <v>662</v>
      </c>
      <c r="AW664" s="4" t="s">
        <v>3027</v>
      </c>
      <c r="AX664" t="s">
        <v>1189</v>
      </c>
      <c r="AY664" s="4">
        <v>20773</v>
      </c>
      <c r="AZ664" s="9">
        <v>23.233575599770788</v>
      </c>
      <c r="BA664" s="7">
        <f t="shared" si="190"/>
        <v>5.9548639389315333E-4</v>
      </c>
      <c r="BB664" s="54">
        <f t="shared" si="184"/>
        <v>285.86336056938666</v>
      </c>
      <c r="BC664" s="55">
        <f t="shared" si="185"/>
        <v>210.38723115078548</v>
      </c>
      <c r="BD664" s="55">
        <f t="shared" si="186"/>
        <v>14.504731336732352</v>
      </c>
      <c r="BE664" s="55">
        <f t="shared" si="187"/>
        <v>14.21437551271246</v>
      </c>
      <c r="BF664" s="56">
        <f t="shared" si="188"/>
        <v>0.14918330267418833</v>
      </c>
      <c r="BG664" s="56">
        <f t="shared" si="191"/>
        <v>5.7298443312358596E-5</v>
      </c>
      <c r="BH664" s="56">
        <f t="shared" si="192"/>
        <v>7.5695735224884765E-3</v>
      </c>
      <c r="BI664" s="56">
        <f t="shared" si="189"/>
        <v>7.4180457412027015E-3</v>
      </c>
      <c r="BJ664" s="57">
        <f t="shared" si="193"/>
        <v>9.860678762455808E-3</v>
      </c>
      <c r="BK664" s="57">
        <f t="shared" si="194"/>
        <v>5.0033168280946166E-4</v>
      </c>
      <c r="BL664" s="58">
        <f t="shared" si="195"/>
        <v>17.3983168144172</v>
      </c>
      <c r="BM664" s="58">
        <f t="shared" si="195"/>
        <v>0.88279208150996924</v>
      </c>
    </row>
    <row r="665" spans="47:65" x14ac:dyDescent="0.2">
      <c r="AU665" s="2">
        <v>-972</v>
      </c>
      <c r="AV665" s="53">
        <v>663</v>
      </c>
      <c r="AW665" s="4" t="s">
        <v>3277</v>
      </c>
      <c r="AX665" t="s">
        <v>3278</v>
      </c>
      <c r="AY665" s="5">
        <v>17025.579999999991</v>
      </c>
      <c r="AZ665" s="9">
        <v>23.235281137896777</v>
      </c>
      <c r="BA665" s="7">
        <f t="shared" si="190"/>
        <v>5.9553010755848787E-4</v>
      </c>
      <c r="BB665" s="54">
        <f t="shared" si="184"/>
        <v>286.18078805392867</v>
      </c>
      <c r="BC665" s="55">
        <f t="shared" si="185"/>
        <v>210.76166028701485</v>
      </c>
      <c r="BD665" s="55">
        <f t="shared" si="186"/>
        <v>14.517632737020691</v>
      </c>
      <c r="BE665" s="55">
        <f t="shared" si="187"/>
        <v>14.227018652670099</v>
      </c>
      <c r="BF665" s="56">
        <f t="shared" si="188"/>
        <v>0.1493489583231293</v>
      </c>
      <c r="BG665" s="56">
        <f t="shared" si="191"/>
        <v>5.7400418163777591E-5</v>
      </c>
      <c r="BH665" s="56">
        <f t="shared" si="192"/>
        <v>7.5763063668107819E-3</v>
      </c>
      <c r="BI665" s="56">
        <f t="shared" si="189"/>
        <v>7.4246438073953189E-3</v>
      </c>
      <c r="BJ665" s="57">
        <f t="shared" si="193"/>
        <v>8.0908003703188125E-3</v>
      </c>
      <c r="BK665" s="57">
        <f t="shared" si="194"/>
        <v>4.1043729428374807E-4</v>
      </c>
      <c r="BL665" s="58">
        <f t="shared" si="195"/>
        <v>14.27551911141995</v>
      </c>
      <c r="BM665" s="58">
        <f t="shared" si="195"/>
        <v>0.72418118979695723</v>
      </c>
    </row>
    <row r="666" spans="47:65" x14ac:dyDescent="0.2">
      <c r="AU666" s="2">
        <v>-971</v>
      </c>
      <c r="AV666" s="53">
        <v>664</v>
      </c>
      <c r="AW666" s="4" t="s">
        <v>2730</v>
      </c>
      <c r="AX666" t="s">
        <v>991</v>
      </c>
      <c r="AY666" s="4">
        <v>24857</v>
      </c>
      <c r="AZ666" s="9">
        <v>23.235510013821649</v>
      </c>
      <c r="BA666" s="7">
        <f t="shared" si="190"/>
        <v>5.9553597374548801E-4</v>
      </c>
      <c r="BB666" s="54">
        <f t="shared" si="184"/>
        <v>286.22341228308721</v>
      </c>
      <c r="BC666" s="55">
        <f t="shared" si="185"/>
        <v>210.81195620344388</v>
      </c>
      <c r="BD666" s="55">
        <f t="shared" si="186"/>
        <v>14.51936486914782</v>
      </c>
      <c r="BE666" s="55">
        <f t="shared" si="187"/>
        <v>14.228716110962917</v>
      </c>
      <c r="BF666" s="56">
        <f t="shared" si="188"/>
        <v>0.14937120259839107</v>
      </c>
      <c r="BG666" s="56">
        <f t="shared" si="191"/>
        <v>5.7414116132520019E-5</v>
      </c>
      <c r="BH666" s="56">
        <f t="shared" si="192"/>
        <v>7.5772103133356422E-3</v>
      </c>
      <c r="BI666" s="56">
        <f t="shared" si="189"/>
        <v>7.4255296587116566E-3</v>
      </c>
      <c r="BJ666" s="57">
        <f t="shared" si="193"/>
        <v>1.1814163094826156E-2</v>
      </c>
      <c r="BK666" s="57">
        <f t="shared" si="194"/>
        <v>5.9930158483245905E-4</v>
      </c>
      <c r="BL666" s="58">
        <f t="shared" si="195"/>
        <v>20.845071355898178</v>
      </c>
      <c r="BM666" s="58">
        <f t="shared" si="195"/>
        <v>1.0574159336776365</v>
      </c>
    </row>
    <row r="667" spans="47:65" x14ac:dyDescent="0.2">
      <c r="AU667" s="2">
        <v>-970</v>
      </c>
      <c r="AV667" s="53">
        <v>665</v>
      </c>
      <c r="AW667" s="4" t="s">
        <v>2510</v>
      </c>
      <c r="AX667" t="s">
        <v>821</v>
      </c>
      <c r="AY667" s="4">
        <v>43115</v>
      </c>
      <c r="AZ667" s="9">
        <v>23.243410715101557</v>
      </c>
      <c r="BA667" s="7">
        <f t="shared" si="190"/>
        <v>5.9573847206926926E-4</v>
      </c>
      <c r="BB667" s="54">
        <f t="shared" si="184"/>
        <v>287.69868169250617</v>
      </c>
      <c r="BC667" s="55">
        <f t="shared" si="185"/>
        <v>212.5552998730802</v>
      </c>
      <c r="BD667" s="55">
        <f t="shared" si="186"/>
        <v>14.579276383726327</v>
      </c>
      <c r="BE667" s="55">
        <f t="shared" si="187"/>
        <v>14.287428316379478</v>
      </c>
      <c r="BF667" s="56">
        <f t="shared" si="188"/>
        <v>0.15014110036490799</v>
      </c>
      <c r="BG667" s="56">
        <f t="shared" si="191"/>
        <v>5.7888911479565061E-5</v>
      </c>
      <c r="BH667" s="56">
        <f t="shared" si="192"/>
        <v>7.6084762915819785E-3</v>
      </c>
      <c r="BI667" s="56">
        <f t="shared" si="189"/>
        <v>7.4561697543637723E-3</v>
      </c>
      <c r="BJ667" s="57">
        <f t="shared" si="193"/>
        <v>2.0597540099315515E-2</v>
      </c>
      <c r="BK667" s="57">
        <f t="shared" si="194"/>
        <v>1.0437907750087329E-3</v>
      </c>
      <c r="BL667" s="58">
        <f t="shared" si="195"/>
        <v>36.342582177000487</v>
      </c>
      <c r="BM667" s="58">
        <f t="shared" si="195"/>
        <v>1.84167875549423</v>
      </c>
    </row>
    <row r="668" spans="47:65" x14ac:dyDescent="0.2">
      <c r="AU668" s="2">
        <v>-969</v>
      </c>
      <c r="AV668" s="53">
        <v>666</v>
      </c>
      <c r="AW668" s="4" t="s">
        <v>3091</v>
      </c>
      <c r="AX668" t="s">
        <v>1238</v>
      </c>
      <c r="AY668" s="4">
        <v>33427</v>
      </c>
      <c r="AZ668" s="9">
        <v>23.253169616268771</v>
      </c>
      <c r="BA668" s="7">
        <f t="shared" si="190"/>
        <v>5.9598859684405778E-4</v>
      </c>
      <c r="BB668" s="54">
        <f t="shared" si="184"/>
        <v>289.53142797959077</v>
      </c>
      <c r="BC668" s="55">
        <f t="shared" si="185"/>
        <v>214.72796292152009</v>
      </c>
      <c r="BD668" s="55">
        <f t="shared" si="186"/>
        <v>14.653598975047737</v>
      </c>
      <c r="BE668" s="55">
        <f t="shared" si="187"/>
        <v>14.360263117493304</v>
      </c>
      <c r="BF668" s="56">
        <f t="shared" si="188"/>
        <v>0.15109755432783123</v>
      </c>
      <c r="BG668" s="56">
        <f t="shared" si="191"/>
        <v>5.8480630900164619E-5</v>
      </c>
      <c r="BH668" s="56">
        <f t="shared" si="192"/>
        <v>7.6472629678967247E-3</v>
      </c>
      <c r="BI668" s="56">
        <f t="shared" si="189"/>
        <v>7.4941799986922306E-3</v>
      </c>
      <c r="BJ668" s="57">
        <f t="shared" si="193"/>
        <v>1.6070974366912481E-2</v>
      </c>
      <c r="BK668" s="57">
        <f t="shared" si="194"/>
        <v>8.1337495951428591E-4</v>
      </c>
      <c r="BL668" s="58">
        <f t="shared" si="195"/>
        <v>28.355847532171783</v>
      </c>
      <c r="BM668" s="58">
        <f t="shared" si="195"/>
        <v>1.435129931260321</v>
      </c>
    </row>
    <row r="669" spans="47:65" x14ac:dyDescent="0.2">
      <c r="AU669" s="2">
        <v>-968</v>
      </c>
      <c r="AV669" s="53">
        <v>667</v>
      </c>
      <c r="AW669" s="4" t="s">
        <v>2807</v>
      </c>
      <c r="AX669" t="s">
        <v>1046</v>
      </c>
      <c r="AY669" s="4">
        <v>84759</v>
      </c>
      <c r="AZ669" s="9">
        <v>23.262738718248521</v>
      </c>
      <c r="BA669" s="7">
        <f t="shared" si="190"/>
        <v>5.9623385698519477E-4</v>
      </c>
      <c r="BB669" s="54">
        <f t="shared" si="184"/>
        <v>291.3398668308439</v>
      </c>
      <c r="BC669" s="55">
        <f t="shared" si="185"/>
        <v>216.87925999895427</v>
      </c>
      <c r="BD669" s="55">
        <f t="shared" si="186"/>
        <v>14.726821109762767</v>
      </c>
      <c r="BE669" s="55">
        <f t="shared" si="187"/>
        <v>14.432019490949603</v>
      </c>
      <c r="BF669" s="56">
        <f t="shared" si="188"/>
        <v>0.15204132298701459</v>
      </c>
      <c r="BG669" s="56">
        <f t="shared" si="191"/>
        <v>5.9066531351275221E-5</v>
      </c>
      <c r="BH669" s="56">
        <f t="shared" si="192"/>
        <v>7.6854753497279027E-3</v>
      </c>
      <c r="BI669" s="56">
        <f t="shared" si="189"/>
        <v>7.531627444768531E-3</v>
      </c>
      <c r="BJ669" s="57">
        <f t="shared" si="193"/>
        <v>4.1004813060358004E-2</v>
      </c>
      <c r="BK669" s="57">
        <f t="shared" si="194"/>
        <v>2.0727357129252128E-3</v>
      </c>
      <c r="BL669" s="58">
        <f t="shared" si="195"/>
        <v>72.349454406360181</v>
      </c>
      <c r="BM669" s="58">
        <f t="shared" si="195"/>
        <v>3.657163312462322</v>
      </c>
    </row>
    <row r="670" spans="47:65" x14ac:dyDescent="0.2">
      <c r="AU670" s="2">
        <v>-967</v>
      </c>
      <c r="AV670" s="53">
        <v>668</v>
      </c>
      <c r="AW670" s="4" t="s">
        <v>1547</v>
      </c>
      <c r="AX670" t="s">
        <v>132</v>
      </c>
      <c r="AY670" s="4">
        <v>41185</v>
      </c>
      <c r="AZ670" s="9">
        <v>23.263097044377243</v>
      </c>
      <c r="BA670" s="7">
        <f t="shared" si="190"/>
        <v>5.9624304103580788E-4</v>
      </c>
      <c r="BB670" s="54">
        <f t="shared" si="184"/>
        <v>291.40780491103521</v>
      </c>
      <c r="BC670" s="55">
        <f t="shared" si="185"/>
        <v>216.96022215370922</v>
      </c>
      <c r="BD670" s="55">
        <f t="shared" si="186"/>
        <v>14.729569652698927</v>
      </c>
      <c r="BE670" s="55">
        <f t="shared" si="187"/>
        <v>14.434713013532022</v>
      </c>
      <c r="BF670" s="56">
        <f t="shared" si="188"/>
        <v>0.15207677778318032</v>
      </c>
      <c r="BG670" s="56">
        <f t="shared" si="191"/>
        <v>5.9088581194365747E-5</v>
      </c>
      <c r="BH670" s="56">
        <f t="shared" si="192"/>
        <v>7.6869097298176816E-3</v>
      </c>
      <c r="BI670" s="56">
        <f t="shared" si="189"/>
        <v>7.5330331114265847E-3</v>
      </c>
      <c r="BJ670" s="57">
        <f t="shared" si="193"/>
        <v>1.9929176091766178E-2</v>
      </c>
      <c r="BK670" s="57">
        <f t="shared" si="194"/>
        <v>1.007344972981079E-3</v>
      </c>
      <c r="BL670" s="58">
        <f t="shared" si="195"/>
        <v>35.163311557723077</v>
      </c>
      <c r="BM670" s="58">
        <f t="shared" si="195"/>
        <v>1.7773732826654278</v>
      </c>
    </row>
    <row r="671" spans="47:65" x14ac:dyDescent="0.2">
      <c r="AU671" s="2">
        <v>-966</v>
      </c>
      <c r="AV671" s="53">
        <v>669</v>
      </c>
      <c r="AW671" s="4" t="s">
        <v>2148</v>
      </c>
      <c r="AX671" t="s">
        <v>546</v>
      </c>
      <c r="AY671" s="4">
        <v>35035</v>
      </c>
      <c r="AZ671" s="9">
        <v>23.27188870731538</v>
      </c>
      <c r="BA671" s="7">
        <f t="shared" si="190"/>
        <v>5.964683750846663E-4</v>
      </c>
      <c r="BB671" s="54">
        <f t="shared" si="184"/>
        <v>293.07966296489133</v>
      </c>
      <c r="BC671" s="55">
        <f t="shared" si="185"/>
        <v>218.9558573389979</v>
      </c>
      <c r="BD671" s="55">
        <f t="shared" si="186"/>
        <v>14.797157069484594</v>
      </c>
      <c r="BE671" s="55">
        <f t="shared" si="187"/>
        <v>14.500947464886025</v>
      </c>
      <c r="BF671" s="56">
        <f t="shared" si="188"/>
        <v>0.15294926912162926</v>
      </c>
      <c r="BG671" s="56">
        <f t="shared" si="191"/>
        <v>5.9632087513219301E-5</v>
      </c>
      <c r="BH671" s="56">
        <f t="shared" si="192"/>
        <v>7.7221815255288642E-3</v>
      </c>
      <c r="BI671" s="56">
        <f t="shared" si="189"/>
        <v>7.5675988360585714E-3</v>
      </c>
      <c r="BJ671" s="57">
        <f t="shared" si="193"/>
        <v>1.7050491399960208E-2</v>
      </c>
      <c r="BK671" s="57">
        <f t="shared" si="194"/>
        <v>8.608539971855406E-4</v>
      </c>
      <c r="BL671" s="58">
        <f t="shared" si="195"/>
        <v>30.084120816052497</v>
      </c>
      <c r="BM671" s="58">
        <f t="shared" si="195"/>
        <v>1.5189025963422942</v>
      </c>
    </row>
    <row r="672" spans="47:65" x14ac:dyDescent="0.2">
      <c r="AU672" s="2">
        <v>-965</v>
      </c>
      <c r="AV672" s="53">
        <v>670</v>
      </c>
      <c r="AW672" s="4" t="s">
        <v>2231</v>
      </c>
      <c r="AX672" t="s">
        <v>606</v>
      </c>
      <c r="AY672" s="4">
        <v>23828</v>
      </c>
      <c r="AZ672" s="9">
        <v>23.304121410664763</v>
      </c>
      <c r="BA672" s="7">
        <f t="shared" si="190"/>
        <v>5.9729451293850315E-4</v>
      </c>
      <c r="BB672" s="54">
        <f t="shared" si="184"/>
        <v>299.29163718542532</v>
      </c>
      <c r="BC672" s="55">
        <f t="shared" si="185"/>
        <v>226.42566320548431</v>
      </c>
      <c r="BD672" s="55">
        <f t="shared" si="186"/>
        <v>15.047447066046928</v>
      </c>
      <c r="BE672" s="55">
        <f t="shared" si="187"/>
        <v>14.746227154362439</v>
      </c>
      <c r="BF672" s="56">
        <f t="shared" si="188"/>
        <v>0.15619110755975707</v>
      </c>
      <c r="BG672" s="56">
        <f t="shared" si="191"/>
        <v>6.166647071059381E-5</v>
      </c>
      <c r="BH672" s="56">
        <f t="shared" si="192"/>
        <v>7.8528001827751735E-3</v>
      </c>
      <c r="BI672" s="56">
        <f t="shared" si="189"/>
        <v>7.6956027680144447E-3</v>
      </c>
      <c r="BJ672" s="57">
        <f t="shared" si="193"/>
        <v>1.1842169367501853E-2</v>
      </c>
      <c r="BK672" s="57">
        <f t="shared" si="194"/>
        <v>5.9538722291212708E-4</v>
      </c>
      <c r="BL672" s="58">
        <f t="shared" si="195"/>
        <v>20.894486007418717</v>
      </c>
      <c r="BM672" s="58">
        <f t="shared" si="195"/>
        <v>1.0505093798331355</v>
      </c>
    </row>
    <row r="673" spans="47:65" x14ac:dyDescent="0.2">
      <c r="AU673" s="2">
        <v>-964</v>
      </c>
      <c r="AV673" s="53">
        <v>671</v>
      </c>
      <c r="AW673" s="4" t="s">
        <v>2168</v>
      </c>
      <c r="AX673" t="s">
        <v>564</v>
      </c>
      <c r="AY673" s="4">
        <v>41890</v>
      </c>
      <c r="AZ673" s="9">
        <v>23.305383797913148</v>
      </c>
      <c r="BA673" s="7">
        <f t="shared" si="190"/>
        <v>5.9732686845894421E-4</v>
      </c>
      <c r="BB673" s="54">
        <f t="shared" si="184"/>
        <v>299.53758942026928</v>
      </c>
      <c r="BC673" s="55">
        <f t="shared" si="185"/>
        <v>226.72318410228104</v>
      </c>
      <c r="BD673" s="55">
        <f t="shared" si="186"/>
        <v>15.057329912779391</v>
      </c>
      <c r="BE673" s="55">
        <f t="shared" si="187"/>
        <v>14.755912166192616</v>
      </c>
      <c r="BF673" s="56">
        <f t="shared" si="188"/>
        <v>0.1563194624724715</v>
      </c>
      <c r="BG673" s="56">
        <f t="shared" si="191"/>
        <v>6.1747499792756352E-5</v>
      </c>
      <c r="BH673" s="56">
        <f t="shared" si="192"/>
        <v>7.8579577367631822E-3</v>
      </c>
      <c r="BI673" s="56">
        <f t="shared" si="189"/>
        <v>7.7006570780468542E-3</v>
      </c>
      <c r="BJ673" s="57">
        <f t="shared" si="193"/>
        <v>2.0835829047396365E-2</v>
      </c>
      <c r="BK673" s="57">
        <f t="shared" si="194"/>
        <v>1.047387583575502E-3</v>
      </c>
      <c r="BL673" s="58">
        <f t="shared" si="195"/>
        <v>36.763022464323292</v>
      </c>
      <c r="BM673" s="58">
        <f t="shared" si="195"/>
        <v>1.8480250138475318</v>
      </c>
    </row>
    <row r="674" spans="47:65" x14ac:dyDescent="0.2">
      <c r="AU674" s="2">
        <v>-963</v>
      </c>
      <c r="AV674" s="53">
        <v>672</v>
      </c>
      <c r="AW674" s="4" t="s">
        <v>2370</v>
      </c>
      <c r="AX674" t="s">
        <v>711</v>
      </c>
      <c r="AY674" s="4">
        <v>37772</v>
      </c>
      <c r="AZ674" s="9">
        <v>23.307344803693258</v>
      </c>
      <c r="BA674" s="7">
        <f t="shared" si="190"/>
        <v>5.9737712986857473E-4</v>
      </c>
      <c r="BB674" s="54">
        <f t="shared" si="184"/>
        <v>299.92005518345934</v>
      </c>
      <c r="BC674" s="55">
        <f t="shared" si="185"/>
        <v>227.1861073238064</v>
      </c>
      <c r="BD674" s="55">
        <f t="shared" si="186"/>
        <v>15.072694096405142</v>
      </c>
      <c r="BE674" s="55">
        <f t="shared" si="187"/>
        <v>14.770968789471782</v>
      </c>
      <c r="BF674" s="56">
        <f t="shared" si="188"/>
        <v>0.15651905960027004</v>
      </c>
      <c r="BG674" s="56">
        <f t="shared" si="191"/>
        <v>6.1873575789959774E-5</v>
      </c>
      <c r="BH674" s="56">
        <f t="shared" si="192"/>
        <v>7.8659758320223545E-3</v>
      </c>
      <c r="BI674" s="56">
        <f t="shared" si="189"/>
        <v>7.7085146670131484E-3</v>
      </c>
      <c r="BJ674" s="57">
        <f t="shared" si="193"/>
        <v>1.8811550079316681E-2</v>
      </c>
      <c r="BK674" s="57">
        <f t="shared" si="194"/>
        <v>9.4538772891099028E-4</v>
      </c>
      <c r="BL674" s="58">
        <f t="shared" si="195"/>
        <v>33.191356896887193</v>
      </c>
      <c r="BM674" s="58">
        <f t="shared" si="195"/>
        <v>1.6680550716935991</v>
      </c>
    </row>
    <row r="675" spans="47:65" x14ac:dyDescent="0.2">
      <c r="AU675" s="2">
        <v>-962</v>
      </c>
      <c r="AV675" s="53">
        <v>673</v>
      </c>
      <c r="AW675" s="4" t="s">
        <v>1577</v>
      </c>
      <c r="AX675" t="s">
        <v>151</v>
      </c>
      <c r="AY675" s="4">
        <v>64716</v>
      </c>
      <c r="AZ675" s="9">
        <v>23.312718096348188</v>
      </c>
      <c r="BA675" s="7">
        <f t="shared" si="190"/>
        <v>5.9751484963765109E-4</v>
      </c>
      <c r="BB675" s="54">
        <f t="shared" si="184"/>
        <v>300.97054245011839</v>
      </c>
      <c r="BC675" s="55">
        <f t="shared" si="185"/>
        <v>228.4592449749548</v>
      </c>
      <c r="BD675" s="55">
        <f t="shared" si="186"/>
        <v>15.114868341304028</v>
      </c>
      <c r="BE675" s="55">
        <f t="shared" si="187"/>
        <v>14.812298790010276</v>
      </c>
      <c r="BF675" s="56">
        <f t="shared" si="188"/>
        <v>0.15706727662096545</v>
      </c>
      <c r="BG675" s="56">
        <f t="shared" si="191"/>
        <v>6.2220311688022069E-5</v>
      </c>
      <c r="BH675" s="56">
        <f t="shared" si="192"/>
        <v>7.8879852743284247E-3</v>
      </c>
      <c r="BI675" s="56">
        <f t="shared" si="189"/>
        <v>7.7300835241330039E-3</v>
      </c>
      <c r="BJ675" s="57">
        <f t="shared" si="193"/>
        <v>3.2343331502979529E-2</v>
      </c>
      <c r="BK675" s="57">
        <f t="shared" si="194"/>
        <v>1.6242958311035681E-3</v>
      </c>
      <c r="BL675" s="58">
        <f t="shared" si="195"/>
        <v>57.067017583525114</v>
      </c>
      <c r="BM675" s="58">
        <f t="shared" si="195"/>
        <v>2.8659298361362291</v>
      </c>
    </row>
    <row r="676" spans="47:65" x14ac:dyDescent="0.2">
      <c r="AU676" s="2">
        <v>-961</v>
      </c>
      <c r="AV676" s="53">
        <v>674</v>
      </c>
      <c r="AW676" s="4" t="s">
        <v>2430</v>
      </c>
      <c r="AX676" t="s">
        <v>758</v>
      </c>
      <c r="AY676" s="4">
        <v>45363</v>
      </c>
      <c r="AZ676" s="9">
        <v>23.31661299528378</v>
      </c>
      <c r="BA676" s="7">
        <f t="shared" si="190"/>
        <v>5.9761467754884678E-4</v>
      </c>
      <c r="BB676" s="54">
        <f t="shared" si="184"/>
        <v>301.73430099187817</v>
      </c>
      <c r="BC676" s="55">
        <f t="shared" si="185"/>
        <v>229.38641166220157</v>
      </c>
      <c r="BD676" s="55">
        <f t="shared" si="186"/>
        <v>15.145507969764552</v>
      </c>
      <c r="BE676" s="55">
        <f t="shared" si="187"/>
        <v>14.842325074151434</v>
      </c>
      <c r="BF676" s="56">
        <f t="shared" si="188"/>
        <v>0.15746585873193764</v>
      </c>
      <c r="BG676" s="56">
        <f t="shared" si="191"/>
        <v>6.2472823247680835E-5</v>
      </c>
      <c r="BH676" s="56">
        <f t="shared" si="192"/>
        <v>7.9039751547990613E-3</v>
      </c>
      <c r="BI676" s="56">
        <f t="shared" si="189"/>
        <v>7.7457533190527774E-3</v>
      </c>
      <c r="BJ676" s="57">
        <f t="shared" si="193"/>
        <v>2.2728749709562672E-2</v>
      </c>
      <c r="BK676" s="57">
        <f t="shared" si="194"/>
        <v>1.1408661817280214E-3</v>
      </c>
      <c r="BL676" s="58">
        <f t="shared" si="195"/>
        <v>40.102917635669861</v>
      </c>
      <c r="BM676" s="58">
        <f t="shared" si="195"/>
        <v>2.0129599341714224</v>
      </c>
    </row>
    <row r="677" spans="47:65" x14ac:dyDescent="0.2">
      <c r="AU677" s="2">
        <v>-960</v>
      </c>
      <c r="AV677" s="53">
        <v>675</v>
      </c>
      <c r="AW677" s="4" t="s">
        <v>2933</v>
      </c>
      <c r="AX677" t="s">
        <v>1140</v>
      </c>
      <c r="AY677" s="4">
        <v>64746</v>
      </c>
      <c r="AZ677" s="9">
        <v>23.322603026219461</v>
      </c>
      <c r="BA677" s="7">
        <f t="shared" si="190"/>
        <v>5.9776820458156202E-4</v>
      </c>
      <c r="BB677" s="54">
        <f t="shared" si="184"/>
        <v>302.91268260671546</v>
      </c>
      <c r="BC677" s="55">
        <f t="shared" si="185"/>
        <v>230.81943245844991</v>
      </c>
      <c r="BD677" s="55">
        <f t="shared" si="186"/>
        <v>15.192742756278404</v>
      </c>
      <c r="BE677" s="55">
        <f t="shared" si="187"/>
        <v>14.888614314343728</v>
      </c>
      <c r="BF677" s="56">
        <f t="shared" si="188"/>
        <v>0.1580808198824743</v>
      </c>
      <c r="BG677" s="56">
        <f t="shared" si="191"/>
        <v>6.286310292582777E-5</v>
      </c>
      <c r="BH677" s="56">
        <f t="shared" si="192"/>
        <v>7.9286255382523749E-3</v>
      </c>
      <c r="BI677" s="56">
        <f t="shared" si="189"/>
        <v>7.7699102509395761E-3</v>
      </c>
      <c r="BJ677" s="57">
        <f t="shared" si="193"/>
        <v>3.2567130526165035E-2</v>
      </c>
      <c r="BK677" s="57">
        <f t="shared" si="194"/>
        <v>1.6334213283390078E-3</v>
      </c>
      <c r="BL677" s="58">
        <f t="shared" si="195"/>
        <v>57.46189164868214</v>
      </c>
      <c r="BM677" s="58">
        <f t="shared" si="195"/>
        <v>2.8820309885838449</v>
      </c>
    </row>
    <row r="678" spans="47:65" x14ac:dyDescent="0.2">
      <c r="AU678" s="2">
        <v>-959</v>
      </c>
      <c r="AV678" s="53">
        <v>676</v>
      </c>
      <c r="AW678" s="4" t="s">
        <v>2250</v>
      </c>
      <c r="AX678" t="s">
        <v>615</v>
      </c>
      <c r="AY678" s="4">
        <v>77883</v>
      </c>
      <c r="AZ678" s="9">
        <v>23.322694704486004</v>
      </c>
      <c r="BA678" s="7">
        <f t="shared" si="190"/>
        <v>5.9777055433440603E-4</v>
      </c>
      <c r="BB678" s="54">
        <f t="shared" si="184"/>
        <v>302.93075361653115</v>
      </c>
      <c r="BC678" s="55">
        <f t="shared" si="185"/>
        <v>230.84143226126494</v>
      </c>
      <c r="BD678" s="55">
        <f t="shared" si="186"/>
        <v>15.193466762436575</v>
      </c>
      <c r="BE678" s="55">
        <f t="shared" si="187"/>
        <v>14.889323827341029</v>
      </c>
      <c r="BF678" s="56">
        <f t="shared" si="188"/>
        <v>0.15809025058713541</v>
      </c>
      <c r="BG678" s="56">
        <f t="shared" si="191"/>
        <v>6.2869094517839868E-5</v>
      </c>
      <c r="BH678" s="56">
        <f t="shared" si="192"/>
        <v>7.9290033748157691E-3</v>
      </c>
      <c r="BI678" s="56">
        <f t="shared" si="189"/>
        <v>7.7702805239677234E-3</v>
      </c>
      <c r="BJ678" s="57">
        <f t="shared" si="193"/>
        <v>3.9177356802943389E-2</v>
      </c>
      <c r="BK678" s="57">
        <f t="shared" si="194"/>
        <v>1.9649370733060101E-3</v>
      </c>
      <c r="BL678" s="58">
        <f t="shared" si="195"/>
        <v>69.125065528380944</v>
      </c>
      <c r="BM678" s="58">
        <f t="shared" si="195"/>
        <v>3.4669619146235613</v>
      </c>
    </row>
    <row r="679" spans="47:65" x14ac:dyDescent="0.2">
      <c r="AU679" s="2">
        <v>-958</v>
      </c>
      <c r="AV679" s="53">
        <v>677</v>
      </c>
      <c r="AW679" s="4" t="s">
        <v>2044</v>
      </c>
      <c r="AX679" t="s">
        <v>465</v>
      </c>
      <c r="AY679" s="4">
        <v>11062</v>
      </c>
      <c r="AZ679" s="9">
        <v>23.330146965250421</v>
      </c>
      <c r="BA679" s="7">
        <f t="shared" si="190"/>
        <v>5.9796155893763201E-4</v>
      </c>
      <c r="BB679" s="54">
        <f t="shared" si="184"/>
        <v>304.40330526882354</v>
      </c>
      <c r="BC679" s="55">
        <f t="shared" si="185"/>
        <v>232.63653968601716</v>
      </c>
      <c r="BD679" s="55">
        <f t="shared" si="186"/>
        <v>15.252427337509829</v>
      </c>
      <c r="BE679" s="55">
        <f t="shared" si="187"/>
        <v>14.947104129166704</v>
      </c>
      <c r="BF679" s="56">
        <f t="shared" si="188"/>
        <v>0.15885873003973025</v>
      </c>
      <c r="BG679" s="56">
        <f t="shared" si="191"/>
        <v>6.3357987595879977E-5</v>
      </c>
      <c r="BH679" s="56">
        <f t="shared" si="192"/>
        <v>7.9597730869591984E-3</v>
      </c>
      <c r="BI679" s="56">
        <f t="shared" si="189"/>
        <v>7.8004342877756169E-3</v>
      </c>
      <c r="BJ679" s="57">
        <f t="shared" si="193"/>
        <v>5.5915487111887572E-3</v>
      </c>
      <c r="BK679" s="57">
        <f t="shared" si="194"/>
        <v>2.8017005382461788E-4</v>
      </c>
      <c r="BL679" s="58">
        <f t="shared" si="195"/>
        <v>9.8658052152466293</v>
      </c>
      <c r="BM679" s="58">
        <f t="shared" si="195"/>
        <v>0.49433588455517513</v>
      </c>
    </row>
    <row r="680" spans="47:65" x14ac:dyDescent="0.2">
      <c r="AU680" s="2">
        <v>-957</v>
      </c>
      <c r="AV680" s="53">
        <v>678</v>
      </c>
      <c r="AW680" s="4" t="s">
        <v>2390</v>
      </c>
      <c r="AX680" t="s">
        <v>1324</v>
      </c>
      <c r="AY680" s="4">
        <v>41097</v>
      </c>
      <c r="AZ680" s="9">
        <v>23.333981512126936</v>
      </c>
      <c r="BA680" s="7">
        <f t="shared" si="190"/>
        <v>5.9805983999996364E-4</v>
      </c>
      <c r="BB680" s="54">
        <f t="shared" si="184"/>
        <v>305.16379119425596</v>
      </c>
      <c r="BC680" s="55">
        <f t="shared" si="185"/>
        <v>233.56546846481717</v>
      </c>
      <c r="BD680" s="55">
        <f t="shared" si="186"/>
        <v>15.282848833408552</v>
      </c>
      <c r="BE680" s="55">
        <f t="shared" si="187"/>
        <v>14.976916647325368</v>
      </c>
      <c r="BF680" s="56">
        <f t="shared" si="188"/>
        <v>0.15925560427281582</v>
      </c>
      <c r="BG680" s="56">
        <f t="shared" si="191"/>
        <v>6.3610979056821952E-5</v>
      </c>
      <c r="BH680" s="56">
        <f t="shared" si="192"/>
        <v>7.9756491307492929E-3</v>
      </c>
      <c r="BI680" s="56">
        <f t="shared" si="189"/>
        <v>7.8159925247984E-3</v>
      </c>
      <c r="BJ680" s="57">
        <f t="shared" si="193"/>
        <v>2.0825345575962495E-2</v>
      </c>
      <c r="BK680" s="57">
        <f t="shared" si="194"/>
        <v>1.0429501058935775E-3</v>
      </c>
      <c r="BL680" s="58">
        <f t="shared" si="195"/>
        <v>36.744525283579939</v>
      </c>
      <c r="BM680" s="58">
        <f t="shared" si="195"/>
        <v>1.8401954673805094</v>
      </c>
    </row>
    <row r="681" spans="47:65" x14ac:dyDescent="0.2">
      <c r="AU681" s="2">
        <v>-956</v>
      </c>
      <c r="AV681" s="53">
        <v>679</v>
      </c>
      <c r="AW681" s="4" t="s">
        <v>1893</v>
      </c>
      <c r="AX681" t="s">
        <v>358</v>
      </c>
      <c r="AY681" s="4">
        <v>48780</v>
      </c>
      <c r="AZ681" s="9">
        <v>23.33529984318934</v>
      </c>
      <c r="BA681" s="7">
        <f t="shared" si="190"/>
        <v>5.9809362938407877E-4</v>
      </c>
      <c r="BB681" s="54">
        <f t="shared" si="184"/>
        <v>305.42568768114495</v>
      </c>
      <c r="BC681" s="55">
        <f t="shared" si="185"/>
        <v>233.88566642649258</v>
      </c>
      <c r="BD681" s="55">
        <f t="shared" si="186"/>
        <v>15.293320974415353</v>
      </c>
      <c r="BE681" s="55">
        <f t="shared" si="187"/>
        <v>14.987179156932546</v>
      </c>
      <c r="BF681" s="56">
        <f t="shared" si="188"/>
        <v>0.15939228000067071</v>
      </c>
      <c r="BG681" s="56">
        <f t="shared" si="191"/>
        <v>6.3698184181658774E-5</v>
      </c>
      <c r="BH681" s="56">
        <f t="shared" si="192"/>
        <v>7.9811142193091551E-3</v>
      </c>
      <c r="BI681" s="56">
        <f t="shared" si="189"/>
        <v>7.8213482131732261E-3</v>
      </c>
      <c r="BJ681" s="57">
        <f t="shared" si="193"/>
        <v>2.4739815191777377E-2</v>
      </c>
      <c r="BK681" s="57">
        <f t="shared" si="194"/>
        <v>1.238775747541501E-3</v>
      </c>
      <c r="BL681" s="58">
        <f t="shared" si="195"/>
        <v>43.651269147467417</v>
      </c>
      <c r="BM681" s="58">
        <f t="shared" si="195"/>
        <v>2.1857129145920826</v>
      </c>
    </row>
    <row r="682" spans="47:65" x14ac:dyDescent="0.2">
      <c r="AU682" s="2">
        <v>-955</v>
      </c>
      <c r="AV682" s="53">
        <v>680</v>
      </c>
      <c r="AW682" s="4" t="s">
        <v>2923</v>
      </c>
      <c r="AX682" t="s">
        <v>1133</v>
      </c>
      <c r="AY682" s="4">
        <v>35678</v>
      </c>
      <c r="AZ682" s="9">
        <v>23.343469307750489</v>
      </c>
      <c r="BA682" s="7">
        <f t="shared" si="190"/>
        <v>5.9830301622471667E-4</v>
      </c>
      <c r="BB682" s="54">
        <f t="shared" si="184"/>
        <v>307.05363372971277</v>
      </c>
      <c r="BC682" s="55">
        <f t="shared" si="185"/>
        <v>235.87937478207888</v>
      </c>
      <c r="BD682" s="55">
        <f t="shared" si="186"/>
        <v>15.35836497749936</v>
      </c>
      <c r="BE682" s="55">
        <f t="shared" si="187"/>
        <v>15.050921108660027</v>
      </c>
      <c r="BF682" s="56">
        <f t="shared" si="188"/>
        <v>0.16024185501307187</v>
      </c>
      <c r="BG682" s="56">
        <f t="shared" si="191"/>
        <v>6.4241165733197047E-5</v>
      </c>
      <c r="BH682" s="56">
        <f t="shared" si="192"/>
        <v>8.0150586855741134E-3</v>
      </c>
      <c r="BI682" s="56">
        <f t="shared" si="189"/>
        <v>7.8546131788501013E-3</v>
      </c>
      <c r="BJ682" s="57">
        <f t="shared" si="193"/>
        <v>1.8191304235544756E-2</v>
      </c>
      <c r="BK682" s="57">
        <f t="shared" si="194"/>
        <v>9.0990191671913698E-4</v>
      </c>
      <c r="BL682" s="58">
        <f t="shared" si="195"/>
        <v>32.096986625556916</v>
      </c>
      <c r="BM682" s="58">
        <f t="shared" si="195"/>
        <v>1.6054434180941046</v>
      </c>
    </row>
    <row r="683" spans="47:65" x14ac:dyDescent="0.2">
      <c r="AU683" s="2">
        <v>-954</v>
      </c>
      <c r="AV683" s="53">
        <v>681</v>
      </c>
      <c r="AW683" s="4" t="s">
        <v>2364</v>
      </c>
      <c r="AX683" t="s">
        <v>707</v>
      </c>
      <c r="AY683" s="4">
        <v>18145</v>
      </c>
      <c r="AZ683" s="9">
        <v>23.350442139642929</v>
      </c>
      <c r="BA683" s="7">
        <f t="shared" si="190"/>
        <v>5.9848173286267115E-4</v>
      </c>
      <c r="BB683" s="54">
        <f t="shared" si="184"/>
        <v>308.44998679555306</v>
      </c>
      <c r="BC683" s="55">
        <f t="shared" si="185"/>
        <v>237.59405918675478</v>
      </c>
      <c r="BD683" s="55">
        <f t="shared" si="186"/>
        <v>15.414086388325284</v>
      </c>
      <c r="BE683" s="55">
        <f t="shared" si="187"/>
        <v>15.105527087853314</v>
      </c>
      <c r="BF683" s="56">
        <f t="shared" si="188"/>
        <v>0.16097056876514676</v>
      </c>
      <c r="BG683" s="56">
        <f t="shared" si="191"/>
        <v>6.4708155800138203E-5</v>
      </c>
      <c r="BH683" s="56">
        <f t="shared" si="192"/>
        <v>8.0441379774428418E-3</v>
      </c>
      <c r="BI683" s="56">
        <f t="shared" si="189"/>
        <v>7.8831103612294201E-3</v>
      </c>
      <c r="BJ683" s="57">
        <f t="shared" si="193"/>
        <v>9.2937465201831642E-3</v>
      </c>
      <c r="BK683" s="57">
        <f t="shared" si="194"/>
        <v>4.6443383973381139E-4</v>
      </c>
      <c r="BL683" s="58">
        <f t="shared" si="195"/>
        <v>16.398013792588422</v>
      </c>
      <c r="BM683" s="58">
        <f t="shared" si="195"/>
        <v>0.8194534349694903</v>
      </c>
    </row>
    <row r="684" spans="47:65" x14ac:dyDescent="0.2">
      <c r="AU684" s="2">
        <v>-953</v>
      </c>
      <c r="AV684" s="53">
        <v>682</v>
      </c>
      <c r="AW684" s="4" t="s">
        <v>1546</v>
      </c>
      <c r="AX684" t="s">
        <v>131</v>
      </c>
      <c r="AY684" s="4">
        <v>24525</v>
      </c>
      <c r="AZ684" s="9">
        <v>23.363013242452851</v>
      </c>
      <c r="BA684" s="7">
        <f t="shared" si="190"/>
        <v>5.9880393555796418E-4</v>
      </c>
      <c r="BB684" s="54">
        <f t="shared" si="184"/>
        <v>310.98349338150115</v>
      </c>
      <c r="BC684" s="55">
        <f t="shared" si="185"/>
        <v>240.71594739000386</v>
      </c>
      <c r="BD684" s="55">
        <f t="shared" si="186"/>
        <v>15.515023280356489</v>
      </c>
      <c r="BE684" s="55">
        <f t="shared" si="187"/>
        <v>15.204443424399599</v>
      </c>
      <c r="BF684" s="56">
        <f t="shared" si="188"/>
        <v>0.16229272799214861</v>
      </c>
      <c r="BG684" s="56">
        <f t="shared" si="191"/>
        <v>6.5558394349612154E-5</v>
      </c>
      <c r="BH684" s="56">
        <f t="shared" si="192"/>
        <v>8.0968138393822629E-3</v>
      </c>
      <c r="BI684" s="56">
        <f t="shared" si="189"/>
        <v>7.9347317573573543E-3</v>
      </c>
      <c r="BJ684" s="57">
        <f t="shared" si="193"/>
        <v>1.2664715802030591E-2</v>
      </c>
      <c r="BK684" s="57">
        <f t="shared" si="194"/>
        <v>6.3184498434634337E-4</v>
      </c>
      <c r="BL684" s="58">
        <f t="shared" si="195"/>
        <v>22.345798214950371</v>
      </c>
      <c r="BM684" s="58">
        <f t="shared" si="195"/>
        <v>1.1148359540028596</v>
      </c>
    </row>
    <row r="685" spans="47:65" x14ac:dyDescent="0.2">
      <c r="AU685" s="2">
        <v>-952</v>
      </c>
      <c r="AV685" s="53">
        <v>683</v>
      </c>
      <c r="AW685" s="4" t="s">
        <v>2069</v>
      </c>
      <c r="AX685" t="s">
        <v>488</v>
      </c>
      <c r="AY685" s="4">
        <v>20283</v>
      </c>
      <c r="AZ685" s="9">
        <v>23.370446897860674</v>
      </c>
      <c r="BA685" s="7">
        <f t="shared" si="190"/>
        <v>5.9899446329801176E-4</v>
      </c>
      <c r="BB685" s="54">
        <f t="shared" si="184"/>
        <v>312.49140952536817</v>
      </c>
      <c r="BC685" s="55">
        <f t="shared" si="185"/>
        <v>242.58065341858023</v>
      </c>
      <c r="BD685" s="55">
        <f t="shared" si="186"/>
        <v>15.575000912313945</v>
      </c>
      <c r="BE685" s="55">
        <f t="shared" si="187"/>
        <v>15.263220423656904</v>
      </c>
      <c r="BF685" s="56">
        <f t="shared" si="188"/>
        <v>0.16307966308606808</v>
      </c>
      <c r="BG685" s="56">
        <f t="shared" si="191"/>
        <v>6.606624243567844E-5</v>
      </c>
      <c r="BH685" s="56">
        <f t="shared" si="192"/>
        <v>8.1281143222569421E-3</v>
      </c>
      <c r="BI685" s="56">
        <f t="shared" si="189"/>
        <v>7.9654056669238964E-3</v>
      </c>
      <c r="BJ685" s="57">
        <f t="shared" si="193"/>
        <v>1.0524933690363135E-2</v>
      </c>
      <c r="BK685" s="57">
        <f t="shared" si="194"/>
        <v>5.2457714622758248E-4</v>
      </c>
      <c r="BL685" s="58">
        <f t="shared" si="195"/>
        <v>18.570337317232088</v>
      </c>
      <c r="BM685" s="58">
        <f t="shared" si="195"/>
        <v>0.92557110960963029</v>
      </c>
    </row>
    <row r="686" spans="47:65" x14ac:dyDescent="0.2">
      <c r="AU686" s="2">
        <v>-951</v>
      </c>
      <c r="AV686" s="53">
        <v>684</v>
      </c>
      <c r="AW686" s="4" t="s">
        <v>2071</v>
      </c>
      <c r="AX686" t="s">
        <v>490</v>
      </c>
      <c r="AY686" s="4">
        <v>54701</v>
      </c>
      <c r="AZ686" s="9">
        <v>23.372166470927453</v>
      </c>
      <c r="BA686" s="7">
        <f t="shared" si="190"/>
        <v>5.9903853668482969E-4</v>
      </c>
      <c r="BB686" s="54">
        <f t="shared" si="184"/>
        <v>312.84126482101584</v>
      </c>
      <c r="BC686" s="55">
        <f t="shared" si="185"/>
        <v>243.01398925527144</v>
      </c>
      <c r="BD686" s="55">
        <f t="shared" si="186"/>
        <v>15.588905967234245</v>
      </c>
      <c r="BE686" s="55">
        <f t="shared" si="187"/>
        <v>15.276847127080325</v>
      </c>
      <c r="BF686" s="56">
        <f t="shared" si="188"/>
        <v>0.16326224181304738</v>
      </c>
      <c r="BG686" s="56">
        <f t="shared" si="191"/>
        <v>6.6184260381625158E-5</v>
      </c>
      <c r="BH686" s="56">
        <f t="shared" si="192"/>
        <v>8.1353709430870558E-3</v>
      </c>
      <c r="BI686" s="56">
        <f t="shared" si="189"/>
        <v>7.9725170246621405E-3</v>
      </c>
      <c r="BJ686" s="57">
        <f t="shared" si="193"/>
        <v>2.841635656704404E-2</v>
      </c>
      <c r="BK686" s="57">
        <f t="shared" si="194"/>
        <v>1.4159893858903033E-3</v>
      </c>
      <c r="BL686" s="58">
        <f t="shared" si="195"/>
        <v>50.138209161348556</v>
      </c>
      <c r="BM686" s="58">
        <f t="shared" si="195"/>
        <v>2.4983910879818563</v>
      </c>
    </row>
    <row r="687" spans="47:65" x14ac:dyDescent="0.2">
      <c r="AU687" s="2">
        <v>-950</v>
      </c>
      <c r="AV687" s="53">
        <v>685</v>
      </c>
      <c r="AW687" s="4" t="s">
        <v>1985</v>
      </c>
      <c r="AX687" t="s">
        <v>415</v>
      </c>
      <c r="AY687" s="4">
        <v>38286</v>
      </c>
      <c r="AZ687" s="9">
        <v>23.374503221038267</v>
      </c>
      <c r="BA687" s="7">
        <f t="shared" si="190"/>
        <v>5.9909842858097556E-4</v>
      </c>
      <c r="BB687" s="54">
        <f t="shared" si="184"/>
        <v>313.31731563564188</v>
      </c>
      <c r="BC687" s="55">
        <f t="shared" si="185"/>
        <v>243.60405597044075</v>
      </c>
      <c r="BD687" s="55">
        <f t="shared" si="186"/>
        <v>15.607820346558348</v>
      </c>
      <c r="BE687" s="55">
        <f t="shared" si="187"/>
        <v>15.29538287821291</v>
      </c>
      <c r="BF687" s="56">
        <f t="shared" si="188"/>
        <v>0.16351067810311681</v>
      </c>
      <c r="BG687" s="56">
        <f t="shared" si="191"/>
        <v>6.6344963595622633E-5</v>
      </c>
      <c r="BH687" s="56">
        <f t="shared" si="192"/>
        <v>8.1452417763761085E-3</v>
      </c>
      <c r="BI687" s="56">
        <f t="shared" si="189"/>
        <v>7.9821902635341113E-3</v>
      </c>
      <c r="BJ687" s="57">
        <f t="shared" si="193"/>
        <v>1.9919273136931936E-2</v>
      </c>
      <c r="BK687" s="57">
        <f t="shared" si="194"/>
        <v>9.9227339518257211E-4</v>
      </c>
      <c r="BL687" s="58">
        <f t="shared" si="195"/>
        <v>35.145838648427926</v>
      </c>
      <c r="BM687" s="58">
        <f t="shared" si="195"/>
        <v>1.7507807841419027</v>
      </c>
    </row>
    <row r="688" spans="47:65" x14ac:dyDescent="0.2">
      <c r="AU688" s="2">
        <v>-949</v>
      </c>
      <c r="AV688" s="53">
        <v>686</v>
      </c>
      <c r="AW688" s="4" t="s">
        <v>2372</v>
      </c>
      <c r="AX688" t="s">
        <v>713</v>
      </c>
      <c r="AY688" s="4">
        <v>19589</v>
      </c>
      <c r="AZ688" s="9">
        <v>23.376407880067337</v>
      </c>
      <c r="BA688" s="7">
        <f t="shared" si="190"/>
        <v>5.9914724579948522E-4</v>
      </c>
      <c r="BB688" s="54">
        <f t="shared" si="184"/>
        <v>313.70587521917099</v>
      </c>
      <c r="BC688" s="55">
        <f t="shared" si="185"/>
        <v>244.08603836210384</v>
      </c>
      <c r="BD688" s="55">
        <f t="shared" si="186"/>
        <v>15.623253129937563</v>
      </c>
      <c r="BE688" s="55">
        <f t="shared" si="187"/>
        <v>15.310506728015145</v>
      </c>
      <c r="BF688" s="56">
        <f t="shared" si="188"/>
        <v>0.16371345540847393</v>
      </c>
      <c r="BG688" s="56">
        <f t="shared" si="191"/>
        <v>6.6476230310789651E-5</v>
      </c>
      <c r="BH688" s="56">
        <f t="shared" si="192"/>
        <v>8.1532956717384926E-3</v>
      </c>
      <c r="BI688" s="56">
        <f t="shared" si="189"/>
        <v>7.9900829359568753E-3</v>
      </c>
      <c r="BJ688" s="57">
        <f t="shared" si="193"/>
        <v>1.020431868625247E-2</v>
      </c>
      <c r="BK688" s="57">
        <f t="shared" si="194"/>
        <v>5.081978580812244E-4</v>
      </c>
      <c r="BL688" s="58">
        <f t="shared" si="195"/>
        <v>18.004639807826173</v>
      </c>
      <c r="BM688" s="58">
        <f t="shared" si="195"/>
        <v>0.89667126901752148</v>
      </c>
    </row>
    <row r="689" spans="47:65" x14ac:dyDescent="0.2">
      <c r="AU689" s="2">
        <v>-948</v>
      </c>
      <c r="AV689" s="53">
        <v>687</v>
      </c>
      <c r="AW689" s="4" t="s">
        <v>1381</v>
      </c>
      <c r="AX689" t="s">
        <v>4</v>
      </c>
      <c r="AY689" s="4">
        <v>51585</v>
      </c>
      <c r="AZ689" s="9">
        <v>23.377546822014537</v>
      </c>
      <c r="BA689" s="7">
        <f t="shared" si="190"/>
        <v>5.9917643736451492E-4</v>
      </c>
      <c r="BB689" s="54">
        <f t="shared" si="184"/>
        <v>313.93845505007738</v>
      </c>
      <c r="BC689" s="55">
        <f t="shared" si="185"/>
        <v>244.37469349534646</v>
      </c>
      <c r="BD689" s="55">
        <f t="shared" si="186"/>
        <v>15.632488397416019</v>
      </c>
      <c r="BE689" s="55">
        <f t="shared" si="187"/>
        <v>15.319557123837829</v>
      </c>
      <c r="BF689" s="56">
        <f t="shared" si="188"/>
        <v>0.1638348316745365</v>
      </c>
      <c r="BG689" s="56">
        <f t="shared" si="191"/>
        <v>6.6554844824124164E-5</v>
      </c>
      <c r="BH689" s="56">
        <f t="shared" si="192"/>
        <v>8.1581152740154497E-3</v>
      </c>
      <c r="BI689" s="56">
        <f t="shared" si="189"/>
        <v>7.9948060593981966E-3</v>
      </c>
      <c r="BJ689" s="57">
        <f t="shared" si="193"/>
        <v>2.6891624991163002E-2</v>
      </c>
      <c r="BK689" s="57">
        <f t="shared" si="194"/>
        <v>1.3390618731144929E-3</v>
      </c>
      <c r="BL689" s="58">
        <f t="shared" si="195"/>
        <v>47.447951862314802</v>
      </c>
      <c r="BM689" s="58">
        <f t="shared" si="195"/>
        <v>2.3626591296389252</v>
      </c>
    </row>
    <row r="690" spans="47:65" x14ac:dyDescent="0.2">
      <c r="AU690" s="2">
        <v>-947</v>
      </c>
      <c r="AV690" s="53">
        <v>688</v>
      </c>
      <c r="AW690" s="4" t="s">
        <v>2312</v>
      </c>
      <c r="AX690" t="s">
        <v>664</v>
      </c>
      <c r="AY690" s="4">
        <v>44959</v>
      </c>
      <c r="AZ690" s="9">
        <v>23.379500352186511</v>
      </c>
      <c r="BA690" s="7">
        <f t="shared" si="190"/>
        <v>5.9922650717113919E-4</v>
      </c>
      <c r="BB690" s="54">
        <f t="shared" si="184"/>
        <v>314.33778106634486</v>
      </c>
      <c r="BC690" s="55">
        <f t="shared" si="185"/>
        <v>244.87056857375259</v>
      </c>
      <c r="BD690" s="55">
        <f t="shared" si="186"/>
        <v>15.648340761044047</v>
      </c>
      <c r="BE690" s="55">
        <f t="shared" si="187"/>
        <v>15.335092154728212</v>
      </c>
      <c r="BF690" s="56">
        <f t="shared" si="188"/>
        <v>0.16404322765026363</v>
      </c>
      <c r="BG690" s="56">
        <f t="shared" si="191"/>
        <v>6.6689895178247811E-5</v>
      </c>
      <c r="BH690" s="56">
        <f t="shared" si="192"/>
        <v>8.1663881354150578E-3</v>
      </c>
      <c r="BI690" s="56">
        <f t="shared" si="189"/>
        <v>8.0029133145943579E-3</v>
      </c>
      <c r="BJ690" s="57">
        <f t="shared" si="193"/>
        <v>2.3467256526054307E-2</v>
      </c>
      <c r="BK690" s="57">
        <f t="shared" si="194"/>
        <v>1.1682452729696914E-3</v>
      </c>
      <c r="BL690" s="58">
        <f t="shared" si="195"/>
        <v>41.405949188817033</v>
      </c>
      <c r="BM690" s="58">
        <f t="shared" si="195"/>
        <v>2.0612679781700862</v>
      </c>
    </row>
    <row r="691" spans="47:65" x14ac:dyDescent="0.2">
      <c r="AU691" s="2">
        <v>-946</v>
      </c>
      <c r="AV691" s="53">
        <v>689</v>
      </c>
      <c r="AW691" s="4" t="s">
        <v>1953</v>
      </c>
      <c r="AX691" t="s">
        <v>396</v>
      </c>
      <c r="AY691" s="4">
        <v>125682</v>
      </c>
      <c r="AZ691" s="9">
        <v>23.39758655338424</v>
      </c>
      <c r="BA691" s="7">
        <f t="shared" si="190"/>
        <v>5.9969006417656917E-4</v>
      </c>
      <c r="BB691" s="54">
        <f t="shared" si="184"/>
        <v>318.05903371791953</v>
      </c>
      <c r="BC691" s="55">
        <f t="shared" si="185"/>
        <v>249.50796669691587</v>
      </c>
      <c r="BD691" s="55">
        <f t="shared" si="186"/>
        <v>15.795821178302694</v>
      </c>
      <c r="BE691" s="55">
        <f t="shared" si="187"/>
        <v>15.479620307854155</v>
      </c>
      <c r="BF691" s="56">
        <f t="shared" si="188"/>
        <v>0.16598523504687879</v>
      </c>
      <c r="BG691" s="56">
        <f t="shared" si="191"/>
        <v>6.7952879115174499E-5</v>
      </c>
      <c r="BH691" s="56">
        <f t="shared" si="192"/>
        <v>8.2433536327865074E-3</v>
      </c>
      <c r="BI691" s="56">
        <f t="shared" si="189"/>
        <v>8.0783381160444839E-3</v>
      </c>
      <c r="BJ691" s="57">
        <f t="shared" si="193"/>
        <v>6.6378878879310751E-2</v>
      </c>
      <c r="BK691" s="57">
        <f t="shared" si="194"/>
        <v>3.2965858209949928E-3</v>
      </c>
      <c r="BL691" s="58">
        <f t="shared" si="195"/>
        <v>117.11980405702326</v>
      </c>
      <c r="BM691" s="58">
        <f t="shared" si="195"/>
        <v>5.8165412241157117</v>
      </c>
    </row>
    <row r="692" spans="47:65" x14ac:dyDescent="0.2">
      <c r="AU692" s="2">
        <v>-945</v>
      </c>
      <c r="AV692" s="53">
        <v>690</v>
      </c>
      <c r="AW692" s="4" t="s">
        <v>2726</v>
      </c>
      <c r="AX692" t="s">
        <v>987</v>
      </c>
      <c r="AY692" s="4">
        <v>34613</v>
      </c>
      <c r="AZ692" s="9">
        <v>23.39786939850352</v>
      </c>
      <c r="BA692" s="7">
        <f t="shared" si="190"/>
        <v>5.996973136169055E-4</v>
      </c>
      <c r="BB692" s="54">
        <f t="shared" si="184"/>
        <v>318.11757789907654</v>
      </c>
      <c r="BC692" s="55">
        <f t="shared" si="185"/>
        <v>249.58116032726926</v>
      </c>
      <c r="BD692" s="55">
        <f t="shared" si="186"/>
        <v>15.798137875308889</v>
      </c>
      <c r="BE692" s="55">
        <f t="shared" si="187"/>
        <v>15.481890629201773</v>
      </c>
      <c r="BF692" s="56">
        <f t="shared" si="188"/>
        <v>0.16601578745583365</v>
      </c>
      <c r="BG692" s="56">
        <f t="shared" si="191"/>
        <v>6.7972813219808638E-5</v>
      </c>
      <c r="BH692" s="56">
        <f t="shared" si="192"/>
        <v>8.2445626457568165E-3</v>
      </c>
      <c r="BI692" s="56">
        <f t="shared" si="189"/>
        <v>8.0795229269838079E-3</v>
      </c>
      <c r="BJ692" s="57">
        <f t="shared" si="193"/>
        <v>1.8284201730754495E-2</v>
      </c>
      <c r="BK692" s="57">
        <f t="shared" si="194"/>
        <v>9.0801753801254869E-4</v>
      </c>
      <c r="BL692" s="58">
        <f t="shared" si="195"/>
        <v>32.260896239880694</v>
      </c>
      <c r="BM692" s="58">
        <f t="shared" si="195"/>
        <v>1.6021185944663043</v>
      </c>
    </row>
    <row r="693" spans="47:65" x14ac:dyDescent="0.2">
      <c r="AU693" s="2">
        <v>-944</v>
      </c>
      <c r="AV693" s="53">
        <v>691</v>
      </c>
      <c r="AW693" s="4" t="s">
        <v>1403</v>
      </c>
      <c r="AX693" t="s">
        <v>22</v>
      </c>
      <c r="AY693" s="4">
        <v>15025</v>
      </c>
      <c r="AZ693" s="9">
        <v>23.401224494654961</v>
      </c>
      <c r="BA693" s="7">
        <f t="shared" si="190"/>
        <v>5.9978330615386159E-4</v>
      </c>
      <c r="BB693" s="54">
        <f t="shared" si="184"/>
        <v>318.81284901221687</v>
      </c>
      <c r="BC693" s="55">
        <f t="shared" si="185"/>
        <v>250.45096634952327</v>
      </c>
      <c r="BD693" s="55">
        <f t="shared" si="186"/>
        <v>15.825642683617094</v>
      </c>
      <c r="BE693" s="55">
        <f t="shared" si="187"/>
        <v>15.508844846044653</v>
      </c>
      <c r="BF693" s="56">
        <f t="shared" si="188"/>
        <v>0.16637862808257797</v>
      </c>
      <c r="BG693" s="56">
        <f t="shared" si="191"/>
        <v>6.8209702743883197E-5</v>
      </c>
      <c r="BH693" s="56">
        <f t="shared" si="192"/>
        <v>8.2589165599298315E-3</v>
      </c>
      <c r="BI693" s="56">
        <f t="shared" si="189"/>
        <v>8.0935895043919518E-3</v>
      </c>
      <c r="BJ693" s="57">
        <f t="shared" si="193"/>
        <v>7.9542528404658933E-3</v>
      </c>
      <c r="BK693" s="57">
        <f t="shared" si="194"/>
        <v>3.9484344391508798E-4</v>
      </c>
      <c r="BL693" s="58">
        <f t="shared" si="195"/>
        <v>14.034592777458787</v>
      </c>
      <c r="BM693" s="58">
        <f t="shared" si="195"/>
        <v>0.69666718638944791</v>
      </c>
    </row>
    <row r="694" spans="47:65" x14ac:dyDescent="0.2">
      <c r="AU694" s="2">
        <v>-943</v>
      </c>
      <c r="AV694" s="53">
        <v>692</v>
      </c>
      <c r="AW694" s="4" t="s">
        <v>1453</v>
      </c>
      <c r="AX694" t="s">
        <v>57</v>
      </c>
      <c r="AY694" s="4">
        <v>29593</v>
      </c>
      <c r="AZ694" s="9">
        <v>23.401992634725048</v>
      </c>
      <c r="BA694" s="7">
        <f t="shared" si="190"/>
        <v>5.9980299390955706E-4</v>
      </c>
      <c r="BB694" s="54">
        <f t="shared" si="184"/>
        <v>318.97224310203205</v>
      </c>
      <c r="BC694" s="55">
        <f t="shared" si="185"/>
        <v>250.65051830144452</v>
      </c>
      <c r="BD694" s="55">
        <f t="shared" si="186"/>
        <v>15.831946131207134</v>
      </c>
      <c r="BE694" s="55">
        <f t="shared" si="187"/>
        <v>15.51502211117211</v>
      </c>
      <c r="BF694" s="56">
        <f t="shared" si="188"/>
        <v>0.16646181095952312</v>
      </c>
      <c r="BG694" s="56">
        <f t="shared" si="191"/>
        <v>6.8264050225628367E-5</v>
      </c>
      <c r="BH694" s="56">
        <f t="shared" si="192"/>
        <v>8.2622061355081405E-3</v>
      </c>
      <c r="BI694" s="56">
        <f t="shared" si="189"/>
        <v>8.0968132292209075E-3</v>
      </c>
      <c r="BJ694" s="57">
        <f t="shared" si="193"/>
        <v>1.5674402016834985E-2</v>
      </c>
      <c r="BK694" s="57">
        <f t="shared" si="194"/>
        <v>7.7798709366081375E-4</v>
      </c>
      <c r="BL694" s="58">
        <f t="shared" si="195"/>
        <v>27.65612984004327</v>
      </c>
      <c r="BM694" s="58">
        <f t="shared" si="195"/>
        <v>1.3726910955232701</v>
      </c>
    </row>
    <row r="695" spans="47:65" x14ac:dyDescent="0.2">
      <c r="AU695" s="2">
        <v>-942</v>
      </c>
      <c r="AV695" s="53">
        <v>693</v>
      </c>
      <c r="AW695" s="4" t="s">
        <v>2511</v>
      </c>
      <c r="AX695" t="s">
        <v>822</v>
      </c>
      <c r="AY695" s="4">
        <v>24589</v>
      </c>
      <c r="AZ695" s="9">
        <v>23.403016185701567</v>
      </c>
      <c r="BA695" s="7">
        <f t="shared" si="190"/>
        <v>5.9982922795508132E-4</v>
      </c>
      <c r="BB695" s="54">
        <f t="shared" si="184"/>
        <v>319.18476048550735</v>
      </c>
      <c r="BC695" s="55">
        <f t="shared" si="185"/>
        <v>250.91666149527228</v>
      </c>
      <c r="BD695" s="55">
        <f t="shared" si="186"/>
        <v>15.840349159512623</v>
      </c>
      <c r="BE695" s="55">
        <f t="shared" si="187"/>
        <v>15.523256927592024</v>
      </c>
      <c r="BF695" s="56">
        <f t="shared" si="188"/>
        <v>0.16657271725083442</v>
      </c>
      <c r="BG695" s="56">
        <f t="shared" si="191"/>
        <v>6.8336533667808245E-5</v>
      </c>
      <c r="BH695" s="56">
        <f t="shared" si="192"/>
        <v>8.2665914177373154E-3</v>
      </c>
      <c r="BI695" s="56">
        <f t="shared" si="189"/>
        <v>8.1011107268365197E-3</v>
      </c>
      <c r="BJ695" s="57">
        <f t="shared" si="193"/>
        <v>1.3032631312071174E-2</v>
      </c>
      <c r="BK695" s="57">
        <f t="shared" si="194"/>
        <v>6.4677721497853819E-4</v>
      </c>
      <c r="BL695" s="58">
        <f t="shared" si="195"/>
        <v>22.994953385585884</v>
      </c>
      <c r="BM695" s="58">
        <f t="shared" si="195"/>
        <v>1.1411825864754672</v>
      </c>
    </row>
    <row r="696" spans="47:65" x14ac:dyDescent="0.2">
      <c r="AU696" s="2">
        <v>-941</v>
      </c>
      <c r="AV696" s="53">
        <v>694</v>
      </c>
      <c r="AW696" s="4" t="s">
        <v>2333</v>
      </c>
      <c r="AX696" t="s">
        <v>682</v>
      </c>
      <c r="AY696" s="4">
        <v>22883</v>
      </c>
      <c r="AZ696" s="9">
        <v>23.408442737169583</v>
      </c>
      <c r="BA696" s="7">
        <f t="shared" si="190"/>
        <v>5.9996831277011925E-4</v>
      </c>
      <c r="BB696" s="54">
        <f t="shared" si="184"/>
        <v>320.31382978920846</v>
      </c>
      <c r="BC696" s="55">
        <f t="shared" si="185"/>
        <v>252.33224448177032</v>
      </c>
      <c r="BD696" s="55">
        <f t="shared" si="186"/>
        <v>15.884969136947365</v>
      </c>
      <c r="BE696" s="55">
        <f t="shared" si="187"/>
        <v>15.566983701973568</v>
      </c>
      <c r="BF696" s="56">
        <f t="shared" si="188"/>
        <v>0.16716194382166438</v>
      </c>
      <c r="BG696" s="56">
        <f t="shared" si="191"/>
        <v>6.872206420149324E-5</v>
      </c>
      <c r="BH696" s="56">
        <f t="shared" si="192"/>
        <v>8.2898772126909839E-3</v>
      </c>
      <c r="BI696" s="56">
        <f t="shared" si="189"/>
        <v>8.1239303865668078E-3</v>
      </c>
      <c r="BJ696" s="57">
        <f t="shared" si="193"/>
        <v>1.2171321811450274E-2</v>
      </c>
      <c r="BK696" s="57">
        <f t="shared" si="194"/>
        <v>6.0359888755968005E-4</v>
      </c>
      <c r="BL696" s="58">
        <f t="shared" si="195"/>
        <v>21.475247092736545</v>
      </c>
      <c r="BM696" s="58">
        <f t="shared" si="195"/>
        <v>1.0649981535325532</v>
      </c>
    </row>
    <row r="697" spans="47:65" x14ac:dyDescent="0.2">
      <c r="AU697" s="2">
        <v>-940</v>
      </c>
      <c r="AV697" s="53">
        <v>695</v>
      </c>
      <c r="AW697" s="4" t="s">
        <v>1917</v>
      </c>
      <c r="AX697" t="s">
        <v>377</v>
      </c>
      <c r="AY697" s="4">
        <v>12724</v>
      </c>
      <c r="AZ697" s="9">
        <v>23.411355299198913</v>
      </c>
      <c r="BA697" s="7">
        <f t="shared" si="190"/>
        <v>6.0004296296988673E-4</v>
      </c>
      <c r="BB697" s="54">
        <f t="shared" si="184"/>
        <v>320.92147504088206</v>
      </c>
      <c r="BC697" s="55">
        <f t="shared" si="185"/>
        <v>253.09520565633395</v>
      </c>
      <c r="BD697" s="55">
        <f t="shared" si="186"/>
        <v>15.908966203255758</v>
      </c>
      <c r="BE697" s="55">
        <f t="shared" si="187"/>
        <v>15.590500394823103</v>
      </c>
      <c r="BF697" s="56">
        <f t="shared" si="188"/>
        <v>0.16747905520424361</v>
      </c>
      <c r="BG697" s="56">
        <f t="shared" si="191"/>
        <v>6.8929854794922091E-5</v>
      </c>
      <c r="BH697" s="56">
        <f t="shared" si="192"/>
        <v>8.3024005441150635E-3</v>
      </c>
      <c r="BI697" s="56">
        <f t="shared" si="189"/>
        <v>8.1362030258456345E-3</v>
      </c>
      <c r="BJ697" s="57">
        <f t="shared" si="193"/>
        <v>6.7806532328506513E-3</v>
      </c>
      <c r="BK697" s="57">
        <f t="shared" si="194"/>
        <v>3.3613575752037308E-4</v>
      </c>
      <c r="BL697" s="58">
        <f t="shared" si="195"/>
        <v>11.963877537823455</v>
      </c>
      <c r="BM697" s="58">
        <f t="shared" si="195"/>
        <v>0.59308253953676859</v>
      </c>
    </row>
    <row r="698" spans="47:65" x14ac:dyDescent="0.2">
      <c r="AU698" s="2">
        <v>-939</v>
      </c>
      <c r="AV698" s="53">
        <v>696</v>
      </c>
      <c r="AW698" s="4" t="s">
        <v>1984</v>
      </c>
      <c r="AX698" t="s">
        <v>414</v>
      </c>
      <c r="AY698" s="4">
        <v>50453</v>
      </c>
      <c r="AZ698" s="9">
        <v>23.417252997609449</v>
      </c>
      <c r="BA698" s="7">
        <f t="shared" si="190"/>
        <v>6.0019412348083251E-4</v>
      </c>
      <c r="BB698" s="54">
        <f t="shared" si="184"/>
        <v>322.15543957539228</v>
      </c>
      <c r="BC698" s="55">
        <f t="shared" si="185"/>
        <v>254.64698058825567</v>
      </c>
      <c r="BD698" s="55">
        <f t="shared" si="186"/>
        <v>15.957662127901306</v>
      </c>
      <c r="BE698" s="55">
        <f t="shared" si="187"/>
        <v>15.638221524072678</v>
      </c>
      <c r="BF698" s="56">
        <f t="shared" si="188"/>
        <v>0.16812302337237245</v>
      </c>
      <c r="BG698" s="56">
        <f t="shared" si="191"/>
        <v>6.9352476868913494E-5</v>
      </c>
      <c r="BH698" s="56">
        <f t="shared" si="192"/>
        <v>8.3278134506551901E-3</v>
      </c>
      <c r="BI698" s="56">
        <f t="shared" si="189"/>
        <v>8.1611072166262004E-3</v>
      </c>
      <c r="BJ698" s="57">
        <f t="shared" si="193"/>
        <v>2.6989917593586064E-2</v>
      </c>
      <c r="BK698" s="57">
        <f t="shared" si="194"/>
        <v>1.3369197999140727E-3</v>
      </c>
      <c r="BL698" s="58">
        <f t="shared" si="195"/>
        <v>47.62138067778146</v>
      </c>
      <c r="BM698" s="58">
        <f t="shared" si="195"/>
        <v>2.3588796263127967</v>
      </c>
    </row>
    <row r="699" spans="47:65" x14ac:dyDescent="0.2">
      <c r="AU699" s="2">
        <v>-938</v>
      </c>
      <c r="AV699" s="53">
        <v>697</v>
      </c>
      <c r="AW699" s="4" t="s">
        <v>2184</v>
      </c>
      <c r="AX699" t="s">
        <v>576</v>
      </c>
      <c r="AY699" s="4">
        <v>24891</v>
      </c>
      <c r="AZ699" s="9">
        <v>23.420576217877311</v>
      </c>
      <c r="BA699" s="7">
        <f t="shared" si="190"/>
        <v>6.0027929902537684E-4</v>
      </c>
      <c r="BB699" s="54">
        <f t="shared" si="184"/>
        <v>322.85283980354575</v>
      </c>
      <c r="BC699" s="55">
        <f t="shared" si="185"/>
        <v>255.5254211181624</v>
      </c>
      <c r="BD699" s="55">
        <f t="shared" si="186"/>
        <v>15.985162530239172</v>
      </c>
      <c r="BE699" s="55">
        <f t="shared" si="187"/>
        <v>15.665171423143967</v>
      </c>
      <c r="BF699" s="56">
        <f t="shared" si="188"/>
        <v>0.16848697511880992</v>
      </c>
      <c r="BG699" s="56">
        <f t="shared" si="191"/>
        <v>6.9591717979842455E-5</v>
      </c>
      <c r="BH699" s="56">
        <f t="shared" si="192"/>
        <v>8.3421650654876434E-3</v>
      </c>
      <c r="BI699" s="56">
        <f t="shared" si="189"/>
        <v>8.1751715407219986E-3</v>
      </c>
      <c r="BJ699" s="57">
        <f t="shared" si="193"/>
        <v>1.3344307784285038E-2</v>
      </c>
      <c r="BK699" s="57">
        <f t="shared" si="194"/>
        <v>6.6070637295659806E-4</v>
      </c>
      <c r="BL699" s="58">
        <f t="shared" si="195"/>
        <v>23.544879626751271</v>
      </c>
      <c r="BM699" s="58">
        <f t="shared" si="195"/>
        <v>1.1657593838033622</v>
      </c>
    </row>
    <row r="700" spans="47:65" x14ac:dyDescent="0.2">
      <c r="AU700" s="2">
        <v>-937</v>
      </c>
      <c r="AV700" s="53">
        <v>698</v>
      </c>
      <c r="AW700" s="4" t="s">
        <v>2046</v>
      </c>
      <c r="AX700" t="s">
        <v>467</v>
      </c>
      <c r="AY700" s="4">
        <v>41949</v>
      </c>
      <c r="AZ700" s="9">
        <v>23.424852963834276</v>
      </c>
      <c r="BA700" s="7">
        <f t="shared" si="190"/>
        <v>6.0038891383763738E-4</v>
      </c>
      <c r="BB700" s="54">
        <f t="shared" si="184"/>
        <v>323.75256613138583</v>
      </c>
      <c r="BC700" s="55">
        <f t="shared" si="185"/>
        <v>256.66022572208016</v>
      </c>
      <c r="BD700" s="55">
        <f t="shared" si="186"/>
        <v>16.020618768389696</v>
      </c>
      <c r="BE700" s="55">
        <f t="shared" si="187"/>
        <v>15.699917898045117</v>
      </c>
      <c r="BF700" s="56">
        <f t="shared" si="188"/>
        <v>0.16895651463874958</v>
      </c>
      <c r="BG700" s="56">
        <f t="shared" si="191"/>
        <v>6.990077921380007E-5</v>
      </c>
      <c r="BH700" s="56">
        <f t="shared" si="192"/>
        <v>8.3606685865306295E-3</v>
      </c>
      <c r="BI700" s="56">
        <f t="shared" si="189"/>
        <v>8.1933046581377147E-3</v>
      </c>
      <c r="BJ700" s="57">
        <f t="shared" si="193"/>
        <v>2.2551940991890281E-2</v>
      </c>
      <c r="BK700" s="57">
        <f t="shared" si="194"/>
        <v>1.115963507055835E-3</v>
      </c>
      <c r="BL700" s="58">
        <f t="shared" si="195"/>
        <v>39.790953909873672</v>
      </c>
      <c r="BM700" s="58">
        <f t="shared" si="195"/>
        <v>1.9690213135236529</v>
      </c>
    </row>
    <row r="701" spans="47:65" x14ac:dyDescent="0.2">
      <c r="AU701" s="2">
        <v>-936</v>
      </c>
      <c r="AV701" s="53">
        <v>699</v>
      </c>
      <c r="AW701" s="4" t="s">
        <v>1967</v>
      </c>
      <c r="AX701" t="s">
        <v>406</v>
      </c>
      <c r="AY701" s="4">
        <v>13961</v>
      </c>
      <c r="AZ701" s="9">
        <v>23.426052451163514</v>
      </c>
      <c r="BA701" s="7">
        <f t="shared" si="190"/>
        <v>6.0041965720648047E-4</v>
      </c>
      <c r="BB701" s="54">
        <f t="shared" si="184"/>
        <v>324.00535990096671</v>
      </c>
      <c r="BC701" s="55">
        <f t="shared" si="185"/>
        <v>256.97937571311519</v>
      </c>
      <c r="BD701" s="55">
        <f t="shared" si="186"/>
        <v>16.030576275141051</v>
      </c>
      <c r="BE701" s="55">
        <f t="shared" si="187"/>
        <v>15.709676075349353</v>
      </c>
      <c r="BF701" s="56">
        <f t="shared" si="188"/>
        <v>0.16908843993818795</v>
      </c>
      <c r="BG701" s="56">
        <f t="shared" si="191"/>
        <v>6.9987698926414485E-5</v>
      </c>
      <c r="BH701" s="56">
        <f t="shared" si="192"/>
        <v>8.3658651032881524E-3</v>
      </c>
      <c r="BI701" s="56">
        <f t="shared" si="189"/>
        <v>8.1983971509826167E-3</v>
      </c>
      <c r="BJ701" s="57">
        <f t="shared" si="193"/>
        <v>7.5113468445928682E-3</v>
      </c>
      <c r="BK701" s="57">
        <f t="shared" si="194"/>
        <v>3.7163341544131867E-4</v>
      </c>
      <c r="BL701" s="58">
        <f t="shared" si="195"/>
        <v>13.253123365379011</v>
      </c>
      <c r="BM701" s="58">
        <f t="shared" si="195"/>
        <v>0.65571509390309735</v>
      </c>
    </row>
    <row r="702" spans="47:65" x14ac:dyDescent="0.2">
      <c r="AU702" s="2">
        <v>-935</v>
      </c>
      <c r="AV702" s="53">
        <v>700</v>
      </c>
      <c r="AW702" s="4" t="s">
        <v>2310</v>
      </c>
      <c r="AX702" t="s">
        <v>662</v>
      </c>
      <c r="AY702" s="4">
        <v>84040</v>
      </c>
      <c r="AZ702" s="9">
        <v>23.426112186025012</v>
      </c>
      <c r="BA702" s="7">
        <f t="shared" si="190"/>
        <v>6.0042118823630888E-4</v>
      </c>
      <c r="BB702" s="54">
        <f t="shared" si="184"/>
        <v>324.01795427230417</v>
      </c>
      <c r="BC702" s="55">
        <f t="shared" si="185"/>
        <v>256.9952795180418</v>
      </c>
      <c r="BD702" s="55">
        <f t="shared" si="186"/>
        <v>16.031072313418147</v>
      </c>
      <c r="BE702" s="55">
        <f t="shared" si="187"/>
        <v>15.710162183928382</v>
      </c>
      <c r="BF702" s="56">
        <f t="shared" si="188"/>
        <v>0.16909501255353621</v>
      </c>
      <c r="BG702" s="56">
        <f t="shared" si="191"/>
        <v>6.9992030288448619E-5</v>
      </c>
      <c r="BH702" s="56">
        <f t="shared" si="192"/>
        <v>8.3661239704207486E-3</v>
      </c>
      <c r="BI702" s="56">
        <f t="shared" si="189"/>
        <v>8.1986508361109513E-3</v>
      </c>
      <c r="BJ702" s="57">
        <f t="shared" si="193"/>
        <v>4.5217257087453722E-2</v>
      </c>
      <c r="BK702" s="57">
        <f t="shared" si="194"/>
        <v>2.2371634306851879E-3</v>
      </c>
      <c r="BL702" s="58">
        <f t="shared" si="195"/>
        <v>79.781948407225286</v>
      </c>
      <c r="BM702" s="58">
        <f t="shared" si="195"/>
        <v>3.947281832249407</v>
      </c>
    </row>
    <row r="703" spans="47:65" x14ac:dyDescent="0.2">
      <c r="AU703" s="2">
        <v>-934</v>
      </c>
      <c r="AV703" s="53">
        <v>701</v>
      </c>
      <c r="AW703" s="4" t="s">
        <v>2190</v>
      </c>
      <c r="AX703" t="s">
        <v>581</v>
      </c>
      <c r="AY703" s="4">
        <v>7621</v>
      </c>
      <c r="AZ703" s="9">
        <v>23.430389593009913</v>
      </c>
      <c r="BA703" s="7">
        <f t="shared" si="190"/>
        <v>6.0053081999099573E-4</v>
      </c>
      <c r="BB703" s="54">
        <f t="shared" si="184"/>
        <v>324.92106756746819</v>
      </c>
      <c r="BC703" s="55">
        <f t="shared" si="185"/>
        <v>258.13657438008175</v>
      </c>
      <c r="BD703" s="55">
        <f t="shared" si="186"/>
        <v>16.06662921648725</v>
      </c>
      <c r="BE703" s="55">
        <f t="shared" si="187"/>
        <v>15.745007308636994</v>
      </c>
      <c r="BF703" s="56">
        <f t="shared" si="188"/>
        <v>0.16956631962763336</v>
      </c>
      <c r="BG703" s="56">
        <f t="shared" si="191"/>
        <v>7.0302859128190117E-5</v>
      </c>
      <c r="BH703" s="56">
        <f t="shared" si="192"/>
        <v>8.3846800253909587E-3</v>
      </c>
      <c r="BI703" s="56">
        <f t="shared" si="189"/>
        <v>8.2168354358293314E-3</v>
      </c>
      <c r="BJ703" s="57">
        <f t="shared" si="193"/>
        <v>4.1118657603151244E-3</v>
      </c>
      <c r="BK703" s="57">
        <f t="shared" si="194"/>
        <v>2.0332268096231502E-4</v>
      </c>
      <c r="BL703" s="58">
        <f t="shared" si="195"/>
        <v>7.2550323278658384</v>
      </c>
      <c r="BM703" s="58">
        <f t="shared" si="195"/>
        <v>0.3587453261744854</v>
      </c>
    </row>
    <row r="704" spans="47:65" x14ac:dyDescent="0.2">
      <c r="AU704" s="2">
        <v>-933</v>
      </c>
      <c r="AV704" s="53">
        <v>702</v>
      </c>
      <c r="AW704" s="4" t="s">
        <v>1811</v>
      </c>
      <c r="AX704" t="s">
        <v>292</v>
      </c>
      <c r="AY704" s="4">
        <v>26275</v>
      </c>
      <c r="AZ704" s="9">
        <v>23.433050177288333</v>
      </c>
      <c r="BA704" s="7">
        <f t="shared" si="190"/>
        <v>6.0059901189416626E-4</v>
      </c>
      <c r="BB704" s="54">
        <f t="shared" si="184"/>
        <v>325.48408133454848</v>
      </c>
      <c r="BC704" s="55">
        <f t="shared" si="185"/>
        <v>258.84894118929884</v>
      </c>
      <c r="BD704" s="55">
        <f t="shared" si="186"/>
        <v>16.088783086029188</v>
      </c>
      <c r="BE704" s="55">
        <f t="shared" si="187"/>
        <v>15.766717701847194</v>
      </c>
      <c r="BF704" s="56">
        <f t="shared" si="188"/>
        <v>0.16986013921002657</v>
      </c>
      <c r="BG704" s="56">
        <f t="shared" si="191"/>
        <v>7.0496870471047359E-5</v>
      </c>
      <c r="BH704" s="56">
        <f t="shared" si="192"/>
        <v>8.3962414490679916E-3</v>
      </c>
      <c r="BI704" s="56">
        <f t="shared" si="189"/>
        <v>8.2281654228378263E-3</v>
      </c>
      <c r="BJ704" s="57">
        <f t="shared" si="193"/>
        <v>1.4201086492473317E-2</v>
      </c>
      <c r="BK704" s="57">
        <f t="shared" si="194"/>
        <v>7.019642841718909E-4</v>
      </c>
      <c r="BL704" s="58">
        <f t="shared" si="195"/>
        <v>25.056591727307961</v>
      </c>
      <c r="BM704" s="58">
        <f t="shared" si="195"/>
        <v>1.2385554080646766</v>
      </c>
    </row>
    <row r="705" spans="47:65" x14ac:dyDescent="0.2">
      <c r="AU705" s="2">
        <v>-932</v>
      </c>
      <c r="AV705" s="53">
        <v>703</v>
      </c>
      <c r="AW705" s="4" t="s">
        <v>2067</v>
      </c>
      <c r="AX705" t="s">
        <v>486</v>
      </c>
      <c r="AY705" s="4">
        <v>10357</v>
      </c>
      <c r="AZ705" s="9">
        <v>23.433236998785318</v>
      </c>
      <c r="BA705" s="7">
        <f t="shared" si="190"/>
        <v>6.0060380020834816E-4</v>
      </c>
      <c r="BB705" s="54">
        <f t="shared" si="184"/>
        <v>325.52365180005216</v>
      </c>
      <c r="BC705" s="55">
        <f t="shared" si="185"/>
        <v>258.89903370583045</v>
      </c>
      <c r="BD705" s="55">
        <f t="shared" si="186"/>
        <v>16.090339763529869</v>
      </c>
      <c r="BE705" s="55">
        <f t="shared" si="187"/>
        <v>15.768243217765633</v>
      </c>
      <c r="BF705" s="56">
        <f t="shared" si="188"/>
        <v>0.169880789819886</v>
      </c>
      <c r="BG705" s="56">
        <f t="shared" si="191"/>
        <v>7.0510513044330639E-5</v>
      </c>
      <c r="BH705" s="56">
        <f t="shared" si="192"/>
        <v>8.3970538312154834E-3</v>
      </c>
      <c r="BI705" s="56">
        <f t="shared" si="189"/>
        <v>8.2289615427132111E-3</v>
      </c>
      <c r="BJ705" s="57">
        <f t="shared" si="193"/>
        <v>5.598421846419027E-3</v>
      </c>
      <c r="BK705" s="57">
        <f t="shared" si="194"/>
        <v>2.7672492966435689E-4</v>
      </c>
      <c r="BL705" s="58">
        <f t="shared" si="195"/>
        <v>9.8779322692887774</v>
      </c>
      <c r="BM705" s="58">
        <f t="shared" si="195"/>
        <v>0.48825726024855631</v>
      </c>
    </row>
    <row r="706" spans="47:65" x14ac:dyDescent="0.2">
      <c r="AU706" s="2">
        <v>-931</v>
      </c>
      <c r="AV706" s="53">
        <v>704</v>
      </c>
      <c r="AW706" s="4" t="s">
        <v>3062</v>
      </c>
      <c r="AX706" t="s">
        <v>1360</v>
      </c>
      <c r="AY706" s="4">
        <v>55770</v>
      </c>
      <c r="AZ706" s="9">
        <v>23.440546473924563</v>
      </c>
      <c r="BA706" s="7">
        <f t="shared" si="190"/>
        <v>6.0079114515545844E-4</v>
      </c>
      <c r="BB706" s="54">
        <f t="shared" si="184"/>
        <v>327.07564647914933</v>
      </c>
      <c r="BC706" s="55">
        <f t="shared" si="185"/>
        <v>260.8663029075056</v>
      </c>
      <c r="BD706" s="55">
        <f t="shared" si="186"/>
        <v>16.151356070234648</v>
      </c>
      <c r="BE706" s="55">
        <f t="shared" si="187"/>
        <v>15.828038099571142</v>
      </c>
      <c r="BF706" s="56">
        <f t="shared" si="188"/>
        <v>0.17069072814671213</v>
      </c>
      <c r="BG706" s="56">
        <f t="shared" si="191"/>
        <v>7.1046293957533632E-5</v>
      </c>
      <c r="BH706" s="56">
        <f t="shared" si="192"/>
        <v>8.4288963665199741E-3</v>
      </c>
      <c r="BI706" s="56">
        <f t="shared" si="189"/>
        <v>8.2601666538998347E-3</v>
      </c>
      <c r="BJ706" s="57">
        <f t="shared" si="193"/>
        <v>3.0289907542749784E-2</v>
      </c>
      <c r="BK706" s="57">
        <f t="shared" si="194"/>
        <v>1.4957490333620531E-3</v>
      </c>
      <c r="BL706" s="58">
        <f t="shared" si="195"/>
        <v>53.443928192314203</v>
      </c>
      <c r="BM706" s="58">
        <f t="shared" si="195"/>
        <v>2.639120103615475</v>
      </c>
    </row>
    <row r="707" spans="47:65" x14ac:dyDescent="0.2">
      <c r="AU707" s="2">
        <v>-930</v>
      </c>
      <c r="AV707" s="53">
        <v>705</v>
      </c>
      <c r="AW707" s="4" t="s">
        <v>1879</v>
      </c>
      <c r="AX707" t="s">
        <v>348</v>
      </c>
      <c r="AY707" s="4">
        <v>86764</v>
      </c>
      <c r="AZ707" s="9">
        <v>23.444183157007593</v>
      </c>
      <c r="BA707" s="7">
        <f t="shared" si="190"/>
        <v>6.0088435488486692E-4</v>
      </c>
      <c r="BB707" s="54">
        <f t="shared" ref="BB707:BB770" si="196">IFERROR(IF(MATCH(AX707,$S$4:$S$20,0),VLOOKUP(AX707,$S$4:$AT$20,20,FALSE)),AVERAGE((2^(($AE$23*AZ707)+$AE$24)),(2^(($AF$23*AZ707)+$AF$24)),(2^(($AG$23*AZ707)+$AG$24)),(2^(($AH$23*AZ707)+$AH$24))))</f>
        <v>327.85056493187295</v>
      </c>
      <c r="BC707" s="55">
        <f t="shared" ref="BC707:BC770" si="197">IFERROR(IF(MATCH(AX707,$S$4:$S$20,0),VLOOKUP(AX707,$S$4:$AT$20,21,FALSE)),_xlfn.VAR.S((2^(($AE$23*AZ707)+$AE$24)),(2^(($AF$23*AZ707)+$AF$24)),(2^(($AG$23*AZ707)+$AG$24)),(2^(($AH$23*AZ707)+$AH$24))))</f>
        <v>261.85045673693241</v>
      </c>
      <c r="BD707" s="55">
        <f t="shared" ref="BD707:BD770" si="198">SQRT(BC707)</f>
        <v>16.181793990065884</v>
      </c>
      <c r="BE707" s="55">
        <f t="shared" ref="BE707:BE770" si="199">_xlfn.CONFIDENCE.NORM(0.05,BD707,4)</f>
        <v>15.857866712887912</v>
      </c>
      <c r="BF707" s="56">
        <f t="shared" ref="BF707:BF770" si="200">IFERROR(IF(MATCH(AX707,$S$4:$S$20,0),VLOOKUP(AX707,$S$4:$AT$20,24,FALSE)),AVERAGE((2^(($AI$23*AZ707)+$AI$24)),(2^(($AJ$23*AZ707)+$AJ$24)),(2^(($AK$23*AZ707)+$AK$24)),(2^(($AL$23*AZ707)+$AL$24))))</f>
        <v>0.17109513427224823</v>
      </c>
      <c r="BG707" s="56">
        <f t="shared" si="191"/>
        <v>7.131432582475978E-5</v>
      </c>
      <c r="BH707" s="56">
        <f t="shared" si="192"/>
        <v>8.4447809814559294E-3</v>
      </c>
      <c r="BI707" s="56">
        <f t="shared" ref="BI707:BI770" si="201">_xlfn.CONFIDENCE.NORM(0.05,BH707,4)</f>
        <v>8.2757332904912131E-3</v>
      </c>
      <c r="BJ707" s="57">
        <f t="shared" si="193"/>
        <v>4.7235073639840898E-2</v>
      </c>
      <c r="BK707" s="57">
        <f t="shared" si="194"/>
        <v>2.3313921417349101E-3</v>
      </c>
      <c r="BL707" s="58">
        <f t="shared" si="195"/>
        <v>83.342211599803306</v>
      </c>
      <c r="BM707" s="58">
        <f t="shared" si="195"/>
        <v>4.1135402620543893</v>
      </c>
    </row>
    <row r="708" spans="47:65" x14ac:dyDescent="0.2">
      <c r="AU708" s="2">
        <v>-929</v>
      </c>
      <c r="AV708" s="53">
        <v>706</v>
      </c>
      <c r="AW708" s="4" t="s">
        <v>2950</v>
      </c>
      <c r="AX708" t="s">
        <v>1151</v>
      </c>
      <c r="AY708" s="4">
        <v>25721</v>
      </c>
      <c r="AZ708" s="9">
        <v>23.449310385622841</v>
      </c>
      <c r="BA708" s="7">
        <f t="shared" ref="BA708:BA771" si="202">AZ708/$AZ$1637</f>
        <v>6.010157679282725E-4</v>
      </c>
      <c r="BB708" s="54">
        <f t="shared" si="196"/>
        <v>328.94621475274153</v>
      </c>
      <c r="BC708" s="55">
        <f t="shared" si="197"/>
        <v>263.24408209125602</v>
      </c>
      <c r="BD708" s="55">
        <f t="shared" si="198"/>
        <v>16.224798368277369</v>
      </c>
      <c r="BE708" s="55">
        <f t="shared" si="199"/>
        <v>15.900010229123936</v>
      </c>
      <c r="BF708" s="56">
        <f t="shared" si="200"/>
        <v>0.17166692024204125</v>
      </c>
      <c r="BG708" s="56">
        <f t="shared" ref="BG708:BG771" si="203">IFERROR(IF(MATCH(AX708,$S$4:$S$20,0),VLOOKUP(AX708,$S$4:$AT$20,25,FALSE)),_xlfn.VAR.S((2^(($AI$23*AZ708)+$AI$24)),(2^(($AJ$23*AZ708)+$AJ$24)),(2^(($AK$23*AZ708)+$AK$24)),(2^(($AL$23*AZ708)+$AL$24))))</f>
        <v>7.1693876251498179E-5</v>
      </c>
      <c r="BH708" s="56">
        <f t="shared" ref="BH708:BH771" si="204">SQRT(BG708)</f>
        <v>8.467223644825864E-3</v>
      </c>
      <c r="BI708" s="56">
        <f t="shared" si="201"/>
        <v>8.2977266964523282E-3</v>
      </c>
      <c r="BJ708" s="57">
        <f t="shared" ref="BJ708:BJ771" si="205">(((BF708*0.000001)*AY708)*1000000000000000)*$S$24</f>
        <v>1.4049531338847562E-2</v>
      </c>
      <c r="BK708" s="57">
        <f t="shared" ref="BK708:BK771" si="206">((((BH708*0.000001)*AY708)*1000000000000000)*$S$24)</f>
        <v>6.9297290231154615E-4</v>
      </c>
      <c r="BL708" s="58">
        <f t="shared" ref="BL708:BM771" si="207">((BJ708/$S$26)*0.000000001)/0.45</f>
        <v>24.789185736183079</v>
      </c>
      <c r="BM708" s="58">
        <f t="shared" si="207"/>
        <v>1.2226908906238183</v>
      </c>
    </row>
    <row r="709" spans="47:65" x14ac:dyDescent="0.2">
      <c r="AU709" s="2">
        <v>-928</v>
      </c>
      <c r="AV709" s="53">
        <v>707</v>
      </c>
      <c r="AW709" s="4" t="s">
        <v>2274</v>
      </c>
      <c r="AX709" t="s">
        <v>1315</v>
      </c>
      <c r="AY709" s="4">
        <v>32737</v>
      </c>
      <c r="AZ709" s="9">
        <v>23.452703083992411</v>
      </c>
      <c r="BA709" s="7">
        <f t="shared" si="202"/>
        <v>6.0110272422602296E-4</v>
      </c>
      <c r="BB709" s="54">
        <f t="shared" si="196"/>
        <v>329.67322108249766</v>
      </c>
      <c r="BC709" s="55">
        <f t="shared" si="197"/>
        <v>264.17018775234556</v>
      </c>
      <c r="BD709" s="55">
        <f t="shared" si="198"/>
        <v>16.253313131553995</v>
      </c>
      <c r="BE709" s="55">
        <f t="shared" si="199"/>
        <v>15.927954183648872</v>
      </c>
      <c r="BF709" s="56">
        <f t="shared" si="200"/>
        <v>0.1720463225030448</v>
      </c>
      <c r="BG709" s="56">
        <f t="shared" si="203"/>
        <v>7.1946098843302079E-5</v>
      </c>
      <c r="BH709" s="56">
        <f t="shared" si="204"/>
        <v>8.4821046234588547E-3</v>
      </c>
      <c r="BI709" s="56">
        <f t="shared" si="201"/>
        <v>8.3123097875400145E-3</v>
      </c>
      <c r="BJ709" s="57">
        <f t="shared" si="205"/>
        <v>1.7921388086073509E-2</v>
      </c>
      <c r="BK709" s="57">
        <f t="shared" si="206"/>
        <v>8.8354744543286783E-4</v>
      </c>
      <c r="BL709" s="58">
        <f t="shared" si="207"/>
        <v>31.620742870440527</v>
      </c>
      <c r="BM709" s="58">
        <f t="shared" si="207"/>
        <v>1.5589432275939554</v>
      </c>
    </row>
    <row r="710" spans="47:65" x14ac:dyDescent="0.2">
      <c r="AU710" s="2">
        <v>-927</v>
      </c>
      <c r="AV710" s="53">
        <v>708</v>
      </c>
      <c r="AW710" s="4" t="s">
        <v>1809</v>
      </c>
      <c r="AX710" t="s">
        <v>290</v>
      </c>
      <c r="AY710" s="4">
        <v>17680</v>
      </c>
      <c r="AZ710" s="9">
        <v>23.458275932773152</v>
      </c>
      <c r="BA710" s="7">
        <f t="shared" si="202"/>
        <v>6.0124555870321762E-4</v>
      </c>
      <c r="BB710" s="54">
        <f t="shared" si="196"/>
        <v>330.87089140384285</v>
      </c>
      <c r="BC710" s="55">
        <f t="shared" si="197"/>
        <v>265.69825182908306</v>
      </c>
      <c r="BD710" s="55">
        <f t="shared" si="198"/>
        <v>16.300253121626149</v>
      </c>
      <c r="BE710" s="55">
        <f t="shared" si="199"/>
        <v>15.973954528636916</v>
      </c>
      <c r="BF710" s="56">
        <f t="shared" si="200"/>
        <v>0.1726713498367235</v>
      </c>
      <c r="BG710" s="56">
        <f t="shared" si="203"/>
        <v>7.2362263324387316E-5</v>
      </c>
      <c r="BH710" s="56">
        <f t="shared" si="204"/>
        <v>8.5066011617089057E-3</v>
      </c>
      <c r="BI710" s="56">
        <f t="shared" si="201"/>
        <v>8.3363159538980183E-3</v>
      </c>
      <c r="BJ710" s="57">
        <f t="shared" si="205"/>
        <v>9.7138169868428437E-3</v>
      </c>
      <c r="BK710" s="57">
        <f t="shared" si="206"/>
        <v>4.785482185842685E-4</v>
      </c>
      <c r="BL710" s="58">
        <f t="shared" si="207"/>
        <v>17.139191883811932</v>
      </c>
      <c r="BM710" s="58">
        <f t="shared" si="207"/>
        <v>0.84435703854432209</v>
      </c>
    </row>
    <row r="711" spans="47:65" x14ac:dyDescent="0.2">
      <c r="AU711" s="2">
        <v>-926</v>
      </c>
      <c r="AV711" s="53">
        <v>709</v>
      </c>
      <c r="AW711" s="4" t="s">
        <v>2575</v>
      </c>
      <c r="AX711" t="s">
        <v>876</v>
      </c>
      <c r="AY711" s="4">
        <v>46164</v>
      </c>
      <c r="AZ711" s="9">
        <v>23.461889064002211</v>
      </c>
      <c r="BA711" s="7">
        <f t="shared" si="202"/>
        <v>6.0133816478862262E-4</v>
      </c>
      <c r="BB711" s="54">
        <f t="shared" si="196"/>
        <v>331.64971968587395</v>
      </c>
      <c r="BC711" s="55">
        <f t="shared" si="197"/>
        <v>266.69352870577001</v>
      </c>
      <c r="BD711" s="55">
        <f t="shared" si="198"/>
        <v>16.330754076458625</v>
      </c>
      <c r="BE711" s="55">
        <f t="shared" si="199"/>
        <v>16.003844915119785</v>
      </c>
      <c r="BF711" s="56">
        <f t="shared" si="200"/>
        <v>0.17307779638201717</v>
      </c>
      <c r="BG711" s="56">
        <f t="shared" si="203"/>
        <v>7.2633324526091703E-5</v>
      </c>
      <c r="BH711" s="56">
        <f t="shared" si="204"/>
        <v>8.5225186726748635E-3</v>
      </c>
      <c r="BI711" s="56">
        <f t="shared" si="201"/>
        <v>8.3519148280064171E-3</v>
      </c>
      <c r="BJ711" s="57">
        <f t="shared" si="205"/>
        <v>2.542331401414373E-2</v>
      </c>
      <c r="BK711" s="57">
        <f t="shared" si="206"/>
        <v>1.2518686563849075E-3</v>
      </c>
      <c r="BL711" s="58">
        <f t="shared" si="207"/>
        <v>44.857243841530895</v>
      </c>
      <c r="BM711" s="58">
        <f t="shared" si="207"/>
        <v>2.2088142224804597</v>
      </c>
    </row>
    <row r="712" spans="47:65" x14ac:dyDescent="0.2">
      <c r="AU712" s="2">
        <v>-925</v>
      </c>
      <c r="AV712" s="53">
        <v>710</v>
      </c>
      <c r="AW712" s="4" t="s">
        <v>2474</v>
      </c>
      <c r="AX712" t="s">
        <v>793</v>
      </c>
      <c r="AY712" s="4">
        <v>17904</v>
      </c>
      <c r="AZ712" s="9">
        <v>23.463365881984579</v>
      </c>
      <c r="BA712" s="7">
        <f t="shared" si="202"/>
        <v>6.0137601625969643E-4</v>
      </c>
      <c r="BB712" s="54">
        <f t="shared" si="196"/>
        <v>331.96858269262663</v>
      </c>
      <c r="BC712" s="55">
        <f t="shared" si="197"/>
        <v>267.10137157054686</v>
      </c>
      <c r="BD712" s="55">
        <f t="shared" si="198"/>
        <v>16.343236263682503</v>
      </c>
      <c r="BE712" s="55">
        <f t="shared" si="199"/>
        <v>16.016077233823328</v>
      </c>
      <c r="BF712" s="56">
        <f t="shared" si="200"/>
        <v>0.1732442011858831</v>
      </c>
      <c r="BG712" s="56">
        <f t="shared" si="203"/>
        <v>7.2744399524037314E-5</v>
      </c>
      <c r="BH712" s="56">
        <f t="shared" si="204"/>
        <v>8.5290327425820867E-3</v>
      </c>
      <c r="BI712" s="56">
        <f t="shared" si="201"/>
        <v>8.3582984992118838E-3</v>
      </c>
      <c r="BJ712" s="57">
        <f t="shared" si="205"/>
        <v>9.8695226530219702E-3</v>
      </c>
      <c r="BK712" s="57">
        <f t="shared" si="206"/>
        <v>4.8588917427003182E-4</v>
      </c>
      <c r="BL712" s="58">
        <f t="shared" si="207"/>
        <v>17.413921096196258</v>
      </c>
      <c r="BM712" s="58">
        <f t="shared" si="207"/>
        <v>0.85730952141272232</v>
      </c>
    </row>
    <row r="713" spans="47:65" x14ac:dyDescent="0.2">
      <c r="AU713" s="2">
        <v>-924</v>
      </c>
      <c r="AV713" s="53">
        <v>711</v>
      </c>
      <c r="AW713" s="4" t="s">
        <v>3029</v>
      </c>
      <c r="AX713" t="s">
        <v>1191</v>
      </c>
      <c r="AY713" s="4">
        <v>44858</v>
      </c>
      <c r="AZ713" s="9">
        <v>23.463931248605057</v>
      </c>
      <c r="BA713" s="7">
        <f t="shared" si="202"/>
        <v>6.0139050684590047E-4</v>
      </c>
      <c r="BB713" s="54">
        <f t="shared" si="196"/>
        <v>332.09073337563416</v>
      </c>
      <c r="BC713" s="55">
        <f t="shared" si="197"/>
        <v>267.25766463391773</v>
      </c>
      <c r="BD713" s="55">
        <f t="shared" si="198"/>
        <v>16.348017146856609</v>
      </c>
      <c r="BE713" s="55">
        <f t="shared" si="199"/>
        <v>16.020762413241098</v>
      </c>
      <c r="BF713" s="56">
        <f t="shared" si="200"/>
        <v>0.17330794787338663</v>
      </c>
      <c r="BG713" s="56">
        <f t="shared" si="203"/>
        <v>7.2786965554220105E-5</v>
      </c>
      <c r="BH713" s="56">
        <f t="shared" si="204"/>
        <v>8.5315277385835248E-3</v>
      </c>
      <c r="BI713" s="56">
        <f t="shared" si="201"/>
        <v>8.3607435503640793E-3</v>
      </c>
      <c r="BJ713" s="57">
        <f t="shared" si="205"/>
        <v>2.4736927635043301E-2</v>
      </c>
      <c r="BK713" s="57">
        <f t="shared" si="206"/>
        <v>1.2177386373525537E-3</v>
      </c>
      <c r="BL713" s="58">
        <f t="shared" si="207"/>
        <v>43.646174302772721</v>
      </c>
      <c r="BM713" s="58">
        <f t="shared" si="207"/>
        <v>2.148594748921715</v>
      </c>
    </row>
    <row r="714" spans="47:65" x14ac:dyDescent="0.2">
      <c r="AU714" s="2">
        <v>-923</v>
      </c>
      <c r="AV714" s="53">
        <v>712</v>
      </c>
      <c r="AW714" s="4" t="s">
        <v>1909</v>
      </c>
      <c r="AX714" t="s">
        <v>369</v>
      </c>
      <c r="AY714" s="4">
        <v>13198</v>
      </c>
      <c r="AZ714" s="9">
        <v>23.465368609743027</v>
      </c>
      <c r="BA714" s="7">
        <f t="shared" si="202"/>
        <v>6.0142734702132224E-4</v>
      </c>
      <c r="BB714" s="54">
        <f t="shared" si="196"/>
        <v>332.40148589400593</v>
      </c>
      <c r="BC714" s="55">
        <f t="shared" si="197"/>
        <v>267.65541496619386</v>
      </c>
      <c r="BD714" s="55">
        <f t="shared" si="198"/>
        <v>16.360177718050434</v>
      </c>
      <c r="BE714" s="55">
        <f t="shared" si="199"/>
        <v>16.032679554026764</v>
      </c>
      <c r="BF714" s="56">
        <f t="shared" si="200"/>
        <v>0.17347012006261969</v>
      </c>
      <c r="BG714" s="56">
        <f t="shared" si="203"/>
        <v>7.2895291875842139E-5</v>
      </c>
      <c r="BH714" s="56">
        <f t="shared" si="204"/>
        <v>8.5378739669687165E-3</v>
      </c>
      <c r="BI714" s="56">
        <f t="shared" si="201"/>
        <v>8.3669627399004E-3</v>
      </c>
      <c r="BJ714" s="57">
        <f t="shared" si="205"/>
        <v>7.2848426440462613E-3</v>
      </c>
      <c r="BK714" s="57">
        <f t="shared" si="206"/>
        <v>3.5854629224683806E-4</v>
      </c>
      <c r="BL714" s="58">
        <f t="shared" si="207"/>
        <v>12.853476248193674</v>
      </c>
      <c r="BM714" s="58">
        <f t="shared" si="207"/>
        <v>0.63262399429301586</v>
      </c>
    </row>
    <row r="715" spans="47:65" x14ac:dyDescent="0.2">
      <c r="AU715" s="2">
        <v>-922</v>
      </c>
      <c r="AV715" s="53">
        <v>713</v>
      </c>
      <c r="AW715" s="4" t="s">
        <v>2971</v>
      </c>
      <c r="AX715" t="s">
        <v>1163</v>
      </c>
      <c r="AY715" s="4">
        <v>17749</v>
      </c>
      <c r="AZ715" s="9">
        <v>23.469874956097367</v>
      </c>
      <c r="BA715" s="7">
        <f t="shared" si="202"/>
        <v>6.0154284658912047E-4</v>
      </c>
      <c r="BB715" s="54">
        <f t="shared" si="196"/>
        <v>333.37762875548742</v>
      </c>
      <c r="BC715" s="55">
        <f t="shared" si="197"/>
        <v>268.90613659787169</v>
      </c>
      <c r="BD715" s="55">
        <f t="shared" si="198"/>
        <v>16.398357740879778</v>
      </c>
      <c r="BE715" s="55">
        <f t="shared" si="199"/>
        <v>16.070095288863982</v>
      </c>
      <c r="BF715" s="56">
        <f t="shared" si="200"/>
        <v>0.17397953902301944</v>
      </c>
      <c r="BG715" s="56">
        <f t="shared" si="203"/>
        <v>7.3235922826299845E-5</v>
      </c>
      <c r="BH715" s="56">
        <f t="shared" si="204"/>
        <v>8.5577989475273276E-3</v>
      </c>
      <c r="BI715" s="56">
        <f t="shared" si="201"/>
        <v>8.3864888620441697E-3</v>
      </c>
      <c r="BJ715" s="57">
        <f t="shared" si="205"/>
        <v>9.8256080840573197E-3</v>
      </c>
      <c r="BK715" s="57">
        <f t="shared" si="206"/>
        <v>4.8330728425160531E-4</v>
      </c>
      <c r="BL715" s="58">
        <f t="shared" si="207"/>
        <v>17.336437628574878</v>
      </c>
      <c r="BM715" s="58">
        <f t="shared" si="207"/>
        <v>0.85275399926230011</v>
      </c>
    </row>
    <row r="716" spans="47:65" x14ac:dyDescent="0.2">
      <c r="AU716" s="2">
        <v>-921</v>
      </c>
      <c r="AV716" s="53">
        <v>714</v>
      </c>
      <c r="AW716" s="4" t="s">
        <v>1435</v>
      </c>
      <c r="AX716" t="s">
        <v>44</v>
      </c>
      <c r="AY716" s="4">
        <v>13546</v>
      </c>
      <c r="AZ716" s="9">
        <v>23.472054669639007</v>
      </c>
      <c r="BA716" s="7">
        <f t="shared" si="202"/>
        <v>6.0159871357141328E-4</v>
      </c>
      <c r="BB716" s="54">
        <f t="shared" si="196"/>
        <v>333.85081589994877</v>
      </c>
      <c r="BC716" s="55">
        <f t="shared" si="197"/>
        <v>269.51313482367163</v>
      </c>
      <c r="BD716" s="55">
        <f t="shared" si="198"/>
        <v>16.416855205052872</v>
      </c>
      <c r="BE716" s="55">
        <f t="shared" si="199"/>
        <v>16.088222470656273</v>
      </c>
      <c r="BF716" s="56">
        <f t="shared" si="200"/>
        <v>0.17422648085163678</v>
      </c>
      <c r="BG716" s="56">
        <f t="shared" si="203"/>
        <v>7.3401237295445362E-5</v>
      </c>
      <c r="BH716" s="56">
        <f t="shared" si="204"/>
        <v>8.5674522056119664E-3</v>
      </c>
      <c r="BI716" s="56">
        <f t="shared" si="201"/>
        <v>8.3959488811338502E-3</v>
      </c>
      <c r="BJ716" s="57">
        <f t="shared" si="205"/>
        <v>7.5095274294827196E-3</v>
      </c>
      <c r="BK716" s="57">
        <f t="shared" si="206"/>
        <v>3.6927519298063615E-4</v>
      </c>
      <c r="BL716" s="58">
        <f t="shared" si="207"/>
        <v>13.249913164411527</v>
      </c>
      <c r="BM716" s="58">
        <f t="shared" si="207"/>
        <v>0.6515542138584044</v>
      </c>
    </row>
    <row r="717" spans="47:65" x14ac:dyDescent="0.2">
      <c r="AU717" s="2">
        <v>-920</v>
      </c>
      <c r="AV717" s="53">
        <v>715</v>
      </c>
      <c r="AW717" s="4" t="s">
        <v>2105</v>
      </c>
      <c r="AX717" t="s">
        <v>511</v>
      </c>
      <c r="AY717" s="4">
        <v>37134</v>
      </c>
      <c r="AZ717" s="9">
        <v>23.473368351323579</v>
      </c>
      <c r="BA717" s="7">
        <f t="shared" si="202"/>
        <v>6.016323837900032E-4</v>
      </c>
      <c r="BB717" s="54">
        <f t="shared" si="196"/>
        <v>334.13632325126616</v>
      </c>
      <c r="BC717" s="55">
        <f t="shared" si="197"/>
        <v>269.87960340819672</v>
      </c>
      <c r="BD717" s="55">
        <f t="shared" si="198"/>
        <v>16.428012765036332</v>
      </c>
      <c r="BE717" s="55">
        <f t="shared" si="199"/>
        <v>16.099156678517737</v>
      </c>
      <c r="BF717" s="56">
        <f t="shared" si="200"/>
        <v>0.17437547836402334</v>
      </c>
      <c r="BG717" s="56">
        <f t="shared" si="203"/>
        <v>7.3501044110243371E-5</v>
      </c>
      <c r="BH717" s="56">
        <f t="shared" si="204"/>
        <v>8.573274993270855E-3</v>
      </c>
      <c r="BI717" s="56">
        <f t="shared" si="201"/>
        <v>8.4016551081843738E-3</v>
      </c>
      <c r="BJ717" s="57">
        <f t="shared" si="205"/>
        <v>2.0603666768489549E-2</v>
      </c>
      <c r="BK717" s="57">
        <f t="shared" si="206"/>
        <v>1.0129916358263666E-3</v>
      </c>
      <c r="BL717" s="58">
        <f t="shared" si="207"/>
        <v>36.353392156097748</v>
      </c>
      <c r="BM717" s="58">
        <f t="shared" si="207"/>
        <v>1.7873363320145828</v>
      </c>
    </row>
    <row r="718" spans="47:65" x14ac:dyDescent="0.2">
      <c r="AU718" s="2">
        <v>-919</v>
      </c>
      <c r="AV718" s="53">
        <v>716</v>
      </c>
      <c r="AW718" s="4" t="s">
        <v>2900</v>
      </c>
      <c r="AX718" t="s">
        <v>1114</v>
      </c>
      <c r="AY718" s="4">
        <v>97255</v>
      </c>
      <c r="AZ718" s="9">
        <v>23.48353567905091</v>
      </c>
      <c r="BA718" s="7">
        <f t="shared" si="202"/>
        <v>6.0189297671070442E-4</v>
      </c>
      <c r="BB718" s="54">
        <f t="shared" si="196"/>
        <v>336.35430084869381</v>
      </c>
      <c r="BC718" s="55">
        <f t="shared" si="197"/>
        <v>272.73225073989613</v>
      </c>
      <c r="BD718" s="55">
        <f t="shared" si="198"/>
        <v>16.514607193024489</v>
      </c>
      <c r="BE718" s="55">
        <f t="shared" si="199"/>
        <v>16.184017658577055</v>
      </c>
      <c r="BF718" s="56">
        <f t="shared" si="200"/>
        <v>0.17553297270881313</v>
      </c>
      <c r="BG718" s="56">
        <f t="shared" si="203"/>
        <v>7.4277955572658064E-5</v>
      </c>
      <c r="BH718" s="56">
        <f t="shared" si="204"/>
        <v>8.6184659640018337E-3</v>
      </c>
      <c r="BI718" s="56">
        <f t="shared" si="201"/>
        <v>8.4459414457139347E-3</v>
      </c>
      <c r="BJ718" s="57">
        <f t="shared" si="205"/>
        <v>5.4319781976933726E-2</v>
      </c>
      <c r="BK718" s="57">
        <f t="shared" si="206"/>
        <v>2.6670384766787382E-3</v>
      </c>
      <c r="BL718" s="58">
        <f t="shared" si="207"/>
        <v>95.842568132641546</v>
      </c>
      <c r="BM718" s="58">
        <f t="shared" si="207"/>
        <v>4.7057592576863216</v>
      </c>
    </row>
    <row r="719" spans="47:65" x14ac:dyDescent="0.2">
      <c r="AU719" s="2">
        <v>-918</v>
      </c>
      <c r="AV719" s="53">
        <v>717</v>
      </c>
      <c r="AW719" s="4" t="s">
        <v>1622</v>
      </c>
      <c r="AX719" t="s">
        <v>178</v>
      </c>
      <c r="AY719" s="4">
        <v>35964</v>
      </c>
      <c r="AZ719" s="9">
        <v>23.483744773904817</v>
      </c>
      <c r="BA719" s="7">
        <f t="shared" si="202"/>
        <v>6.0189833590046837E-4</v>
      </c>
      <c r="BB719" s="54">
        <f t="shared" si="196"/>
        <v>336.40006856027333</v>
      </c>
      <c r="BC719" s="55">
        <f t="shared" si="197"/>
        <v>272.79122130924054</v>
      </c>
      <c r="BD719" s="55">
        <f t="shared" si="198"/>
        <v>16.516392502881509</v>
      </c>
      <c r="BE719" s="55">
        <f t="shared" si="199"/>
        <v>16.185767230087556</v>
      </c>
      <c r="BF719" s="56">
        <f t="shared" si="200"/>
        <v>0.17555685747094432</v>
      </c>
      <c r="BG719" s="56">
        <f t="shared" si="203"/>
        <v>7.4294016061713202E-5</v>
      </c>
      <c r="BH719" s="56">
        <f t="shared" si="204"/>
        <v>8.619397662349336E-3</v>
      </c>
      <c r="BI719" s="56">
        <f t="shared" si="201"/>
        <v>8.446854493316714E-3</v>
      </c>
      <c r="BJ719" s="57">
        <f t="shared" si="205"/>
        <v>2.0089686487738147E-2</v>
      </c>
      <c r="BK719" s="57">
        <f t="shared" si="206"/>
        <v>9.8635279330173921E-4</v>
      </c>
      <c r="BL719" s="58">
        <f t="shared" si="207"/>
        <v>35.446518301234548</v>
      </c>
      <c r="BM719" s="58">
        <f t="shared" si="207"/>
        <v>1.7403343930022819</v>
      </c>
    </row>
    <row r="720" spans="47:65" x14ac:dyDescent="0.2">
      <c r="AU720" s="2">
        <v>-917</v>
      </c>
      <c r="AV720" s="53">
        <v>718</v>
      </c>
      <c r="AW720" s="4" t="s">
        <v>1467</v>
      </c>
      <c r="AX720" t="s">
        <v>66</v>
      </c>
      <c r="AY720" s="4">
        <v>10982</v>
      </c>
      <c r="AZ720" s="9">
        <v>23.487593262167845</v>
      </c>
      <c r="BA720" s="7">
        <f t="shared" si="202"/>
        <v>6.0199697428644778E-4</v>
      </c>
      <c r="BB720" s="54">
        <f t="shared" si="196"/>
        <v>337.24355774472667</v>
      </c>
      <c r="BC720" s="55">
        <f t="shared" si="197"/>
        <v>273.87880595369347</v>
      </c>
      <c r="BD720" s="55">
        <f t="shared" si="198"/>
        <v>16.549284152303795</v>
      </c>
      <c r="BE720" s="55">
        <f t="shared" si="199"/>
        <v>16.218000454217453</v>
      </c>
      <c r="BF720" s="56">
        <f t="shared" si="200"/>
        <v>0.17599704855404097</v>
      </c>
      <c r="BG720" s="56">
        <f t="shared" si="203"/>
        <v>7.4590217056219775E-5</v>
      </c>
      <c r="BH720" s="56">
        <f t="shared" si="204"/>
        <v>8.6365628033506347E-3</v>
      </c>
      <c r="BI720" s="56">
        <f t="shared" si="201"/>
        <v>8.4636760223927628E-3</v>
      </c>
      <c r="BJ720" s="57">
        <f t="shared" si="205"/>
        <v>6.1499869799666327E-3</v>
      </c>
      <c r="BK720" s="57">
        <f t="shared" si="206"/>
        <v>3.0179340635909195E-4</v>
      </c>
      <c r="BL720" s="58">
        <f t="shared" si="207"/>
        <v>10.851121353775047</v>
      </c>
      <c r="BM720" s="58">
        <f t="shared" si="207"/>
        <v>0.53248842425832588</v>
      </c>
    </row>
    <row r="721" spans="47:65" x14ac:dyDescent="0.2">
      <c r="AU721" s="2">
        <v>-916</v>
      </c>
      <c r="AV721" s="53">
        <v>719</v>
      </c>
      <c r="AW721" s="4" t="s">
        <v>2335</v>
      </c>
      <c r="AX721" t="s">
        <v>684</v>
      </c>
      <c r="AY721" s="4">
        <v>147076</v>
      </c>
      <c r="AZ721" s="9">
        <v>23.489019506476762</v>
      </c>
      <c r="BA721" s="7">
        <f t="shared" si="202"/>
        <v>6.0203352953282728E-4</v>
      </c>
      <c r="BB721" s="54">
        <f t="shared" si="196"/>
        <v>337.55669054479364</v>
      </c>
      <c r="BC721" s="55">
        <f t="shared" si="197"/>
        <v>274.28292686760847</v>
      </c>
      <c r="BD721" s="55">
        <f t="shared" si="198"/>
        <v>16.561489270823699</v>
      </c>
      <c r="BE721" s="55">
        <f t="shared" si="199"/>
        <v>16.229961250580484</v>
      </c>
      <c r="BF721" s="56">
        <f t="shared" si="200"/>
        <v>0.17616046293913934</v>
      </c>
      <c r="BG721" s="56">
        <f t="shared" si="203"/>
        <v>7.4700278390030998E-5</v>
      </c>
      <c r="BH721" s="56">
        <f t="shared" si="204"/>
        <v>8.6429322796161608E-3</v>
      </c>
      <c r="BI721" s="56">
        <f t="shared" si="201"/>
        <v>8.4699179944331699E-3</v>
      </c>
      <c r="BJ721" s="57">
        <f t="shared" si="205"/>
        <v>8.2439932023120416E-2</v>
      </c>
      <c r="BK721" s="57">
        <f t="shared" si="206"/>
        <v>4.0447370410133113E-3</v>
      </c>
      <c r="BL721" s="58">
        <f t="shared" si="207"/>
        <v>145.45814644711635</v>
      </c>
      <c r="BM721" s="58">
        <f t="shared" si="207"/>
        <v>7.1365894950858202</v>
      </c>
    </row>
    <row r="722" spans="47:65" x14ac:dyDescent="0.2">
      <c r="AU722" s="2">
        <v>-915</v>
      </c>
      <c r="AV722" s="53">
        <v>720</v>
      </c>
      <c r="AW722" s="4" t="s">
        <v>2035</v>
      </c>
      <c r="AX722" t="s">
        <v>458</v>
      </c>
      <c r="AY722" s="4">
        <v>19897</v>
      </c>
      <c r="AZ722" s="9">
        <v>23.499268142820416</v>
      </c>
      <c r="BA722" s="7">
        <f t="shared" si="202"/>
        <v>6.0229620642784064E-4</v>
      </c>
      <c r="BB722" s="54">
        <f t="shared" si="196"/>
        <v>339.81535288599832</v>
      </c>
      <c r="BC722" s="55">
        <f t="shared" si="197"/>
        <v>277.20383872259089</v>
      </c>
      <c r="BD722" s="55">
        <f t="shared" si="198"/>
        <v>16.649439591847855</v>
      </c>
      <c r="BE722" s="55">
        <f t="shared" si="199"/>
        <v>16.316150981398522</v>
      </c>
      <c r="BF722" s="56">
        <f t="shared" si="200"/>
        <v>0.177339189401375</v>
      </c>
      <c r="BG722" s="56">
        <f t="shared" si="203"/>
        <v>7.549578152692264E-5</v>
      </c>
      <c r="BH722" s="56">
        <f t="shared" si="204"/>
        <v>8.6888308492525414E-3</v>
      </c>
      <c r="BI722" s="56">
        <f t="shared" si="201"/>
        <v>8.5148977661477741E-3</v>
      </c>
      <c r="BJ722" s="57">
        <f t="shared" si="205"/>
        <v>1.1227412810362557E-2</v>
      </c>
      <c r="BK722" s="57">
        <f t="shared" si="206"/>
        <v>5.5009324849894113E-4</v>
      </c>
      <c r="BL722" s="58">
        <f t="shared" si="207"/>
        <v>19.809801108690095</v>
      </c>
      <c r="BM722" s="58">
        <f t="shared" si="207"/>
        <v>0.97059207032446904</v>
      </c>
    </row>
    <row r="723" spans="47:65" x14ac:dyDescent="0.2">
      <c r="AU723" s="2">
        <v>-914</v>
      </c>
      <c r="AV723" s="53">
        <v>721</v>
      </c>
      <c r="AW723" s="4" t="s">
        <v>3241</v>
      </c>
      <c r="AX723" t="s">
        <v>3242</v>
      </c>
      <c r="AY723" s="5">
        <v>13146.835000000001</v>
      </c>
      <c r="AZ723" s="9">
        <v>23.508493750979913</v>
      </c>
      <c r="BA723" s="7">
        <f t="shared" si="202"/>
        <v>6.0253266267671973E-4</v>
      </c>
      <c r="BB723" s="54">
        <f t="shared" si="196"/>
        <v>341.86147724848161</v>
      </c>
      <c r="BC723" s="55">
        <f t="shared" si="197"/>
        <v>279.85887832921208</v>
      </c>
      <c r="BD723" s="55">
        <f t="shared" si="198"/>
        <v>16.728983182764338</v>
      </c>
      <c r="BE723" s="55">
        <f t="shared" si="199"/>
        <v>16.394102268097171</v>
      </c>
      <c r="BF723" s="56">
        <f t="shared" si="200"/>
        <v>0.17840699882427344</v>
      </c>
      <c r="BG723" s="56">
        <f t="shared" si="203"/>
        <v>7.6218875012969641E-5</v>
      </c>
      <c r="BH723" s="56">
        <f t="shared" si="204"/>
        <v>8.7303422048032944E-3</v>
      </c>
      <c r="BI723" s="56">
        <f t="shared" si="201"/>
        <v>8.5555781470622316E-3</v>
      </c>
      <c r="BJ723" s="57">
        <f t="shared" si="205"/>
        <v>7.463120812854526E-3</v>
      </c>
      <c r="BK723" s="57">
        <f t="shared" si="206"/>
        <v>3.6520763782471567E-4</v>
      </c>
      <c r="BL723" s="58">
        <f t="shared" si="207"/>
        <v>13.168032693722566</v>
      </c>
      <c r="BM723" s="58">
        <f t="shared" si="207"/>
        <v>0.64437736376850285</v>
      </c>
    </row>
    <row r="724" spans="47:65" x14ac:dyDescent="0.2">
      <c r="AU724" s="2">
        <v>-913</v>
      </c>
      <c r="AV724" s="53">
        <v>722</v>
      </c>
      <c r="AW724" s="4" t="s">
        <v>1460</v>
      </c>
      <c r="AX724" t="s">
        <v>59</v>
      </c>
      <c r="AY724" s="4">
        <v>54661</v>
      </c>
      <c r="AZ724" s="9">
        <v>23.518297289881506</v>
      </c>
      <c r="BA724" s="7">
        <f t="shared" si="202"/>
        <v>6.0278393153556718E-4</v>
      </c>
      <c r="BB724" s="54">
        <f t="shared" si="196"/>
        <v>344.04928437480032</v>
      </c>
      <c r="BC724" s="55">
        <f t="shared" si="197"/>
        <v>282.7071714173681</v>
      </c>
      <c r="BD724" s="55">
        <f t="shared" si="198"/>
        <v>16.813898162453825</v>
      </c>
      <c r="BE724" s="55">
        <f t="shared" si="199"/>
        <v>16.477317419066843</v>
      </c>
      <c r="BF724" s="56">
        <f t="shared" si="200"/>
        <v>0.17954874812739571</v>
      </c>
      <c r="BG724" s="56">
        <f t="shared" si="203"/>
        <v>7.6994600607894394E-5</v>
      </c>
      <c r="BH724" s="56">
        <f t="shared" si="204"/>
        <v>8.7746567230800772E-3</v>
      </c>
      <c r="BI724" s="56">
        <f t="shared" si="201"/>
        <v>8.5990055769695987E-3</v>
      </c>
      <c r="BJ724" s="57">
        <f t="shared" si="205"/>
        <v>3.1228226900989978E-2</v>
      </c>
      <c r="BK724" s="57">
        <f t="shared" si="206"/>
        <v>1.5261424765391171E-3</v>
      </c>
      <c r="BL724" s="58">
        <f t="shared" si="207"/>
        <v>55.099511733877399</v>
      </c>
      <c r="BM724" s="58">
        <f t="shared" si="207"/>
        <v>2.6927467115006145</v>
      </c>
    </row>
    <row r="725" spans="47:65" x14ac:dyDescent="0.2">
      <c r="AU725" s="2">
        <v>-912</v>
      </c>
      <c r="AV725" s="53">
        <v>723</v>
      </c>
      <c r="AW725" s="4" t="s">
        <v>2345</v>
      </c>
      <c r="AX725" t="s">
        <v>693</v>
      </c>
      <c r="AY725" s="4">
        <v>30917</v>
      </c>
      <c r="AZ725" s="9">
        <v>23.524292692245162</v>
      </c>
      <c r="BA725" s="7">
        <f t="shared" si="202"/>
        <v>6.0293759624025888E-4</v>
      </c>
      <c r="BB725" s="54">
        <f t="shared" si="196"/>
        <v>345.39414294122849</v>
      </c>
      <c r="BC725" s="55">
        <f t="shared" si="197"/>
        <v>284.46284193194441</v>
      </c>
      <c r="BD725" s="55">
        <f t="shared" si="198"/>
        <v>16.866026263822324</v>
      </c>
      <c r="BE725" s="55">
        <f t="shared" si="199"/>
        <v>16.528402019699197</v>
      </c>
      <c r="BF725" s="56">
        <f t="shared" si="200"/>
        <v>0.18025058848276637</v>
      </c>
      <c r="BG725" s="56">
        <f t="shared" si="203"/>
        <v>7.7472753140747839E-5</v>
      </c>
      <c r="BH725" s="56">
        <f t="shared" si="204"/>
        <v>8.8018607771736448E-3</v>
      </c>
      <c r="BI725" s="56">
        <f t="shared" si="201"/>
        <v>8.6256650600980353E-3</v>
      </c>
      <c r="BJ725" s="57">
        <f t="shared" si="205"/>
        <v>1.7732150529117408E-2</v>
      </c>
      <c r="BK725" s="57">
        <f t="shared" si="206"/>
        <v>8.6588299961139778E-4</v>
      </c>
      <c r="BL725" s="58">
        <f t="shared" si="207"/>
        <v>31.286849530192558</v>
      </c>
      <c r="BM725" s="58">
        <f t="shared" si="207"/>
        <v>1.5277758371782775</v>
      </c>
    </row>
    <row r="726" spans="47:65" x14ac:dyDescent="0.2">
      <c r="AU726" s="2">
        <v>-911</v>
      </c>
      <c r="AV726" s="53">
        <v>724</v>
      </c>
      <c r="AW726" s="4" t="s">
        <v>2537</v>
      </c>
      <c r="AX726" t="s">
        <v>844</v>
      </c>
      <c r="AY726" s="4">
        <v>9450</v>
      </c>
      <c r="AZ726" s="9">
        <v>23.525241044683277</v>
      </c>
      <c r="BA726" s="7">
        <f t="shared" si="202"/>
        <v>6.0296190291535886E-4</v>
      </c>
      <c r="BB726" s="54">
        <f t="shared" si="196"/>
        <v>345.60735364967661</v>
      </c>
      <c r="BC726" s="55">
        <f t="shared" si="197"/>
        <v>284.74151710944699</v>
      </c>
      <c r="BD726" s="55">
        <f t="shared" si="198"/>
        <v>16.874285677013027</v>
      </c>
      <c r="BE726" s="55">
        <f t="shared" si="199"/>
        <v>16.536496095892804</v>
      </c>
      <c r="BF726" s="56">
        <f t="shared" si="200"/>
        <v>0.18036185659907356</v>
      </c>
      <c r="BG726" s="56">
        <f t="shared" si="203"/>
        <v>7.7548649637756699E-5</v>
      </c>
      <c r="BH726" s="56">
        <f t="shared" si="204"/>
        <v>8.8061711110877638E-3</v>
      </c>
      <c r="BI726" s="56">
        <f t="shared" si="201"/>
        <v>8.629889109714543E-3</v>
      </c>
      <c r="BJ726" s="57">
        <f t="shared" si="205"/>
        <v>5.4233031084053064E-3</v>
      </c>
      <c r="BK726" s="57">
        <f t="shared" si="206"/>
        <v>2.6479287838599786E-4</v>
      </c>
      <c r="BL726" s="58">
        <f t="shared" si="207"/>
        <v>9.5689503667747129</v>
      </c>
      <c r="BM726" s="58">
        <f t="shared" si="207"/>
        <v>0.46720418536519404</v>
      </c>
    </row>
    <row r="727" spans="47:65" x14ac:dyDescent="0.2">
      <c r="AU727" s="2">
        <v>-910</v>
      </c>
      <c r="AV727" s="53">
        <v>725</v>
      </c>
      <c r="AW727" s="4" t="s">
        <v>2015</v>
      </c>
      <c r="AX727" t="s">
        <v>440</v>
      </c>
      <c r="AY727" s="4">
        <v>78048</v>
      </c>
      <c r="AZ727" s="9">
        <v>23.535995777147509</v>
      </c>
      <c r="BA727" s="7">
        <f t="shared" si="202"/>
        <v>6.0323755126853241E-4</v>
      </c>
      <c r="BB727" s="54">
        <f t="shared" si="196"/>
        <v>348.03448639292009</v>
      </c>
      <c r="BC727" s="55">
        <f t="shared" si="197"/>
        <v>287.9203314411979</v>
      </c>
      <c r="BD727" s="55">
        <f t="shared" si="198"/>
        <v>16.968215328702012</v>
      </c>
      <c r="BE727" s="55">
        <f t="shared" si="199"/>
        <v>16.628545463088205</v>
      </c>
      <c r="BF727" s="56">
        <f t="shared" si="200"/>
        <v>0.18162850258666904</v>
      </c>
      <c r="BG727" s="56">
        <f t="shared" si="203"/>
        <v>7.8414391877875078E-5</v>
      </c>
      <c r="BH727" s="56">
        <f t="shared" si="204"/>
        <v>8.8551901096405091E-3</v>
      </c>
      <c r="BI727" s="56">
        <f t="shared" si="201"/>
        <v>8.6779268455753431E-3</v>
      </c>
      <c r="BJ727" s="57">
        <f t="shared" si="205"/>
        <v>4.5105879281325721E-2</v>
      </c>
      <c r="BK727" s="57">
        <f t="shared" si="206"/>
        <v>2.1991104392221675E-3</v>
      </c>
      <c r="BL727" s="58">
        <f t="shared" si="207"/>
        <v>79.585431878922208</v>
      </c>
      <c r="BM727" s="58">
        <f t="shared" si="207"/>
        <v>3.8801406123436628</v>
      </c>
    </row>
    <row r="728" spans="47:65" x14ac:dyDescent="0.2">
      <c r="AU728" s="2">
        <v>-909</v>
      </c>
      <c r="AV728" s="53">
        <v>726</v>
      </c>
      <c r="AW728" s="4" t="s">
        <v>2825</v>
      </c>
      <c r="AX728" t="s">
        <v>2826</v>
      </c>
      <c r="AY728" s="4">
        <v>22623</v>
      </c>
      <c r="AZ728" s="9">
        <v>23.536786316656528</v>
      </c>
      <c r="BA728" s="7">
        <f t="shared" si="202"/>
        <v>6.032578131313453E-4</v>
      </c>
      <c r="BB728" s="54">
        <f t="shared" si="196"/>
        <v>348.21356681344776</v>
      </c>
      <c r="BC728" s="55">
        <f t="shared" si="197"/>
        <v>288.15534199089529</v>
      </c>
      <c r="BD728" s="55">
        <f t="shared" si="198"/>
        <v>16.975138938780304</v>
      </c>
      <c r="BE728" s="55">
        <f t="shared" si="199"/>
        <v>16.63533047628643</v>
      </c>
      <c r="BF728" s="56">
        <f t="shared" si="200"/>
        <v>0.18172195915460887</v>
      </c>
      <c r="BG728" s="56">
        <f t="shared" si="203"/>
        <v>7.8478396421237989E-5</v>
      </c>
      <c r="BH728" s="56">
        <f t="shared" si="204"/>
        <v>8.8588033289625518E-3</v>
      </c>
      <c r="BI728" s="56">
        <f t="shared" si="201"/>
        <v>8.6814677354450677E-3</v>
      </c>
      <c r="BJ728" s="57">
        <f t="shared" si="205"/>
        <v>1.3081121454384835E-2</v>
      </c>
      <c r="BK728" s="57">
        <f t="shared" si="206"/>
        <v>6.3769443619125094E-4</v>
      </c>
      <c r="BL728" s="58">
        <f t="shared" si="207"/>
        <v>23.080510057562808</v>
      </c>
      <c r="BM728" s="58">
        <f t="shared" si="207"/>
        <v>1.125156807043511</v>
      </c>
    </row>
    <row r="729" spans="47:65" x14ac:dyDescent="0.2">
      <c r="AU729" s="2">
        <v>-908</v>
      </c>
      <c r="AV729" s="53">
        <v>727</v>
      </c>
      <c r="AW729" s="4" t="s">
        <v>1940</v>
      </c>
      <c r="AX729" t="s">
        <v>393</v>
      </c>
      <c r="AY729" s="4">
        <v>36876</v>
      </c>
      <c r="AZ729" s="9">
        <v>23.537220928812516</v>
      </c>
      <c r="BA729" s="7">
        <f t="shared" si="202"/>
        <v>6.0326895242518322E-4</v>
      </c>
      <c r="BB729" s="54">
        <f t="shared" si="196"/>
        <v>348.31205848789438</v>
      </c>
      <c r="BC729" s="55">
        <f t="shared" si="197"/>
        <v>288.28462186354233</v>
      </c>
      <c r="BD729" s="55">
        <f t="shared" si="198"/>
        <v>16.978946429727092</v>
      </c>
      <c r="BE729" s="55">
        <f t="shared" si="199"/>
        <v>16.639061748850015</v>
      </c>
      <c r="BF729" s="56">
        <f t="shared" si="200"/>
        <v>0.18177335893263777</v>
      </c>
      <c r="BG729" s="56">
        <f t="shared" si="203"/>
        <v>7.8513605475585154E-5</v>
      </c>
      <c r="BH729" s="56">
        <f t="shared" si="204"/>
        <v>8.8607903414754802E-3</v>
      </c>
      <c r="BI729" s="56">
        <f t="shared" si="201"/>
        <v>8.6834149719261528E-3</v>
      </c>
      <c r="BJ729" s="57">
        <f t="shared" si="205"/>
        <v>2.1328553906942174E-2</v>
      </c>
      <c r="BK729" s="57">
        <f t="shared" si="206"/>
        <v>1.0396894548573982E-3</v>
      </c>
      <c r="BL729" s="58">
        <f t="shared" si="207"/>
        <v>37.632392962564957</v>
      </c>
      <c r="BM729" s="58">
        <f t="shared" si="207"/>
        <v>1.8344423299834467</v>
      </c>
    </row>
    <row r="730" spans="47:65" x14ac:dyDescent="0.2">
      <c r="AU730" s="2">
        <v>-907</v>
      </c>
      <c r="AV730" s="53">
        <v>728</v>
      </c>
      <c r="AW730" s="4" t="s">
        <v>3079</v>
      </c>
      <c r="AX730" t="s">
        <v>1228</v>
      </c>
      <c r="AY730" s="4">
        <v>32260</v>
      </c>
      <c r="AZ730" s="9">
        <v>23.545728710616618</v>
      </c>
      <c r="BA730" s="7">
        <f t="shared" si="202"/>
        <v>6.0348701048020795E-4</v>
      </c>
      <c r="BB730" s="54">
        <f t="shared" si="196"/>
        <v>350.24571005475912</v>
      </c>
      <c r="BC730" s="55">
        <f t="shared" si="197"/>
        <v>290.82666341508747</v>
      </c>
      <c r="BD730" s="55">
        <f t="shared" si="198"/>
        <v>17.053640767152551</v>
      </c>
      <c r="BE730" s="55">
        <f t="shared" si="199"/>
        <v>16.712260854451504</v>
      </c>
      <c r="BF730" s="56">
        <f t="shared" si="200"/>
        <v>0.18278247226003796</v>
      </c>
      <c r="BG730" s="56">
        <f t="shared" si="203"/>
        <v>7.9205924220131617E-5</v>
      </c>
      <c r="BH730" s="56">
        <f t="shared" si="204"/>
        <v>8.8997710206573082E-3</v>
      </c>
      <c r="BI730" s="56">
        <f t="shared" si="201"/>
        <v>8.7216153355707988E-3</v>
      </c>
      <c r="BJ730" s="57">
        <f t="shared" si="205"/>
        <v>1.8762308922379425E-2</v>
      </c>
      <c r="BK730" s="57">
        <f t="shared" si="206"/>
        <v>9.1354631088727014E-4</v>
      </c>
      <c r="BL730" s="58">
        <f t="shared" si="207"/>
        <v>33.104475124410762</v>
      </c>
      <c r="BM730" s="58">
        <f t="shared" si="207"/>
        <v>1.6118736371349289</v>
      </c>
    </row>
    <row r="731" spans="47:65" x14ac:dyDescent="0.2">
      <c r="AU731" s="2">
        <v>-906</v>
      </c>
      <c r="AV731" s="53">
        <v>729</v>
      </c>
      <c r="AW731" s="4" t="s">
        <v>1450</v>
      </c>
      <c r="AX731" t="s">
        <v>54</v>
      </c>
      <c r="AY731" s="4">
        <v>57626</v>
      </c>
      <c r="AZ731" s="9">
        <v>23.552733505678482</v>
      </c>
      <c r="BA731" s="7">
        <f t="shared" si="202"/>
        <v>6.0366654634774742E-4</v>
      </c>
      <c r="BB731" s="54">
        <f t="shared" si="196"/>
        <v>351.84581788903444</v>
      </c>
      <c r="BC731" s="55">
        <f t="shared" si="197"/>
        <v>292.93586862767205</v>
      </c>
      <c r="BD731" s="55">
        <f t="shared" si="198"/>
        <v>17.115369368718632</v>
      </c>
      <c r="BE731" s="55">
        <f t="shared" si="199"/>
        <v>16.772753772394275</v>
      </c>
      <c r="BF731" s="56">
        <f t="shared" si="200"/>
        <v>0.1836175193639292</v>
      </c>
      <c r="BG731" s="56">
        <f t="shared" si="203"/>
        <v>7.9780361055705582E-5</v>
      </c>
      <c r="BH731" s="56">
        <f t="shared" si="204"/>
        <v>8.9319852807595683E-3</v>
      </c>
      <c r="BI731" s="56">
        <f t="shared" si="201"/>
        <v>8.7531847303653158E-3</v>
      </c>
      <c r="BJ731" s="57">
        <f t="shared" si="205"/>
        <v>3.3668205003897445E-2</v>
      </c>
      <c r="BK731" s="57">
        <f t="shared" si="206"/>
        <v>1.6377735227343642E-3</v>
      </c>
      <c r="BL731" s="58">
        <f t="shared" si="207"/>
        <v>59.404642554714748</v>
      </c>
      <c r="BM731" s="58">
        <f t="shared" si="207"/>
        <v>2.8897100600506738</v>
      </c>
    </row>
    <row r="732" spans="47:65" x14ac:dyDescent="0.2">
      <c r="AU732" s="2">
        <v>-905</v>
      </c>
      <c r="AV732" s="53">
        <v>730</v>
      </c>
      <c r="AW732" s="4" t="s">
        <v>1746</v>
      </c>
      <c r="AX732" t="s">
        <v>255</v>
      </c>
      <c r="AY732" s="4">
        <v>55442</v>
      </c>
      <c r="AZ732" s="9">
        <v>23.555255980335062</v>
      </c>
      <c r="BA732" s="7">
        <f t="shared" si="202"/>
        <v>6.0373119844275033E-4</v>
      </c>
      <c r="BB732" s="54">
        <f t="shared" si="196"/>
        <v>352.42381627335288</v>
      </c>
      <c r="BC732" s="55">
        <f t="shared" si="197"/>
        <v>293.69902043690445</v>
      </c>
      <c r="BD732" s="55">
        <f t="shared" si="198"/>
        <v>17.13764920976341</v>
      </c>
      <c r="BE732" s="55">
        <f t="shared" si="199"/>
        <v>16.794587615408798</v>
      </c>
      <c r="BF732" s="56">
        <f t="shared" si="200"/>
        <v>0.18391915895754907</v>
      </c>
      <c r="BG732" s="56">
        <f t="shared" si="203"/>
        <v>7.9988203568008161E-5</v>
      </c>
      <c r="BH732" s="56">
        <f t="shared" si="204"/>
        <v>8.9436124450922045E-3</v>
      </c>
      <c r="BI732" s="56">
        <f t="shared" si="201"/>
        <v>8.7645791420324637E-3</v>
      </c>
      <c r="BJ732" s="57">
        <f t="shared" si="205"/>
        <v>3.2445407490019534E-2</v>
      </c>
      <c r="BK732" s="57">
        <f t="shared" si="206"/>
        <v>1.5777537906249543E-3</v>
      </c>
      <c r="BL732" s="58">
        <f t="shared" si="207"/>
        <v>57.247121854686263</v>
      </c>
      <c r="BM732" s="58">
        <f t="shared" si="207"/>
        <v>2.7838104217487065</v>
      </c>
    </row>
    <row r="733" spans="47:65" x14ac:dyDescent="0.2">
      <c r="AU733" s="2">
        <v>-904</v>
      </c>
      <c r="AV733" s="53">
        <v>731</v>
      </c>
      <c r="AW733" s="4" t="s">
        <v>2998</v>
      </c>
      <c r="AX733" t="s">
        <v>1270</v>
      </c>
      <c r="AY733" s="4">
        <v>21825</v>
      </c>
      <c r="AZ733" s="9">
        <v>23.557045588586107</v>
      </c>
      <c r="BA733" s="7">
        <f t="shared" si="202"/>
        <v>6.0377706686103657E-4</v>
      </c>
      <c r="BB733" s="54">
        <f t="shared" si="196"/>
        <v>352.83446181627295</v>
      </c>
      <c r="BC733" s="55">
        <f t="shared" si="197"/>
        <v>294.24161435210198</v>
      </c>
      <c r="BD733" s="55">
        <f t="shared" si="198"/>
        <v>17.153472370109267</v>
      </c>
      <c r="BE733" s="55">
        <f t="shared" si="199"/>
        <v>16.810094027608539</v>
      </c>
      <c r="BF733" s="56">
        <f t="shared" si="200"/>
        <v>0.18413346224636218</v>
      </c>
      <c r="BG733" s="56">
        <f t="shared" si="203"/>
        <v>8.0135977682065695E-5</v>
      </c>
      <c r="BH733" s="56">
        <f t="shared" si="204"/>
        <v>8.951870066196542E-3</v>
      </c>
      <c r="BI733" s="56">
        <f t="shared" si="201"/>
        <v>8.7726714620137043E-3</v>
      </c>
      <c r="BJ733" s="57">
        <f t="shared" si="205"/>
        <v>1.2787167196655624E-2</v>
      </c>
      <c r="BK733" s="57">
        <f t="shared" si="206"/>
        <v>6.2166353612597277E-4</v>
      </c>
      <c r="BL733" s="58">
        <f t="shared" si="207"/>
        <v>22.561853134634518</v>
      </c>
      <c r="BM733" s="58">
        <f t="shared" si="207"/>
        <v>1.0968716671586267</v>
      </c>
    </row>
    <row r="734" spans="47:65" x14ac:dyDescent="0.2">
      <c r="AU734" s="2">
        <v>-903</v>
      </c>
      <c r="AV734" s="53">
        <v>732</v>
      </c>
      <c r="AW734" s="4" t="s">
        <v>3037</v>
      </c>
      <c r="AX734" t="s">
        <v>1199</v>
      </c>
      <c r="AY734" s="4">
        <v>37423</v>
      </c>
      <c r="AZ734" s="9">
        <v>23.557462455074944</v>
      </c>
      <c r="BA734" s="7">
        <f t="shared" si="202"/>
        <v>6.0378775132590118E-4</v>
      </c>
      <c r="BB734" s="54">
        <f t="shared" si="196"/>
        <v>352.93018516949786</v>
      </c>
      <c r="BC734" s="55">
        <f t="shared" si="197"/>
        <v>294.36814367655359</v>
      </c>
      <c r="BD734" s="55">
        <f t="shared" si="198"/>
        <v>17.157160128545563</v>
      </c>
      <c r="BE734" s="55">
        <f t="shared" si="199"/>
        <v>16.813707964467948</v>
      </c>
      <c r="BF734" s="56">
        <f t="shared" si="200"/>
        <v>0.18418341732262217</v>
      </c>
      <c r="BG734" s="56">
        <f t="shared" si="203"/>
        <v>8.0170437631388254E-5</v>
      </c>
      <c r="BH734" s="56">
        <f t="shared" si="204"/>
        <v>8.9537945939913242E-3</v>
      </c>
      <c r="BI734" s="56">
        <f t="shared" si="201"/>
        <v>8.7745574645962145E-3</v>
      </c>
      <c r="BJ734" s="57">
        <f t="shared" si="205"/>
        <v>2.1931912185776378E-2</v>
      </c>
      <c r="BK734" s="57">
        <f t="shared" si="206"/>
        <v>1.0661863028685237E-3</v>
      </c>
      <c r="BL734" s="58">
        <f t="shared" si="207"/>
        <v>38.696966582763146</v>
      </c>
      <c r="BM734" s="58">
        <f t="shared" si="207"/>
        <v>1.8811937319291492</v>
      </c>
    </row>
    <row r="735" spans="47:65" x14ac:dyDescent="0.2">
      <c r="AU735" s="2">
        <v>-902</v>
      </c>
      <c r="AV735" s="53">
        <v>733</v>
      </c>
      <c r="AW735" s="4" t="s">
        <v>1735</v>
      </c>
      <c r="AX735" t="s">
        <v>246</v>
      </c>
      <c r="AY735" s="4">
        <v>32117</v>
      </c>
      <c r="AZ735" s="9">
        <v>23.5596966755569</v>
      </c>
      <c r="BA735" s="7">
        <f t="shared" si="202"/>
        <v>6.0384501534418576E-4</v>
      </c>
      <c r="BB735" s="54">
        <f t="shared" si="196"/>
        <v>353.44366290467639</v>
      </c>
      <c r="BC735" s="55">
        <f t="shared" si="197"/>
        <v>295.04718120087944</v>
      </c>
      <c r="BD735" s="55">
        <f t="shared" si="198"/>
        <v>17.176937480263454</v>
      </c>
      <c r="BE735" s="55">
        <f t="shared" si="199"/>
        <v>16.833089413006274</v>
      </c>
      <c r="BF735" s="56">
        <f t="shared" si="200"/>
        <v>0.18445138557231658</v>
      </c>
      <c r="BG735" s="56">
        <f t="shared" si="203"/>
        <v>8.0355371825742775E-5</v>
      </c>
      <c r="BH735" s="56">
        <f t="shared" si="204"/>
        <v>8.9641157860517826E-3</v>
      </c>
      <c r="BI735" s="56">
        <f t="shared" si="201"/>
        <v>8.7846720469542238E-3</v>
      </c>
      <c r="BJ735" s="57">
        <f t="shared" si="205"/>
        <v>1.8849692324545902E-2</v>
      </c>
      <c r="BK735" s="57">
        <f t="shared" si="206"/>
        <v>9.1607240576912802E-4</v>
      </c>
      <c r="BL735" s="58">
        <f t="shared" si="207"/>
        <v>33.25865559736183</v>
      </c>
      <c r="BM735" s="58">
        <f t="shared" si="207"/>
        <v>1.6163307135813474</v>
      </c>
    </row>
    <row r="736" spans="47:65" x14ac:dyDescent="0.2">
      <c r="AU736" s="2">
        <v>-901</v>
      </c>
      <c r="AV736" s="53">
        <v>734</v>
      </c>
      <c r="AW736" s="4" t="s">
        <v>1497</v>
      </c>
      <c r="AX736" t="s">
        <v>92</v>
      </c>
      <c r="AY736" s="4">
        <v>38242</v>
      </c>
      <c r="AZ736" s="9">
        <v>23.563991904983062</v>
      </c>
      <c r="BA736" s="7">
        <f t="shared" si="202"/>
        <v>6.0395510389559903E-4</v>
      </c>
      <c r="BB736" s="54">
        <f t="shared" si="196"/>
        <v>354.43290992513749</v>
      </c>
      <c r="BC736" s="55">
        <f t="shared" si="197"/>
        <v>296.35686537653822</v>
      </c>
      <c r="BD736" s="55">
        <f t="shared" si="198"/>
        <v>17.215018599366608</v>
      </c>
      <c r="BE736" s="55">
        <f t="shared" si="199"/>
        <v>16.870408223972856</v>
      </c>
      <c r="BF736" s="56">
        <f t="shared" si="200"/>
        <v>0.18496764319056846</v>
      </c>
      <c r="BG736" s="56">
        <f t="shared" si="203"/>
        <v>8.0712061079577535E-5</v>
      </c>
      <c r="BH736" s="56">
        <f t="shared" si="204"/>
        <v>8.9839891517954056E-3</v>
      </c>
      <c r="BI736" s="56">
        <f t="shared" si="201"/>
        <v>8.8041475875087691E-3</v>
      </c>
      <c r="BJ736" s="57">
        <f t="shared" si="205"/>
        <v>2.2507317234025975E-2</v>
      </c>
      <c r="BK736" s="57">
        <f t="shared" si="206"/>
        <v>1.0931938709852018E-3</v>
      </c>
      <c r="BL736" s="58">
        <f t="shared" si="207"/>
        <v>39.712219139633604</v>
      </c>
      <c r="BM736" s="58">
        <f t="shared" si="207"/>
        <v>1.9288462554318915</v>
      </c>
    </row>
    <row r="737" spans="47:65" x14ac:dyDescent="0.2">
      <c r="AU737" s="2">
        <v>-900</v>
      </c>
      <c r="AV737" s="53">
        <v>735</v>
      </c>
      <c r="AW737" s="4" t="s">
        <v>2346</v>
      </c>
      <c r="AX737" t="s">
        <v>694</v>
      </c>
      <c r="AY737" s="4">
        <v>84588</v>
      </c>
      <c r="AZ737" s="9">
        <v>23.565193521040587</v>
      </c>
      <c r="BA737" s="7">
        <f t="shared" si="202"/>
        <v>6.0398590182465068E-4</v>
      </c>
      <c r="BB737" s="54">
        <f t="shared" si="196"/>
        <v>354.71015302818444</v>
      </c>
      <c r="BC737" s="55">
        <f t="shared" si="197"/>
        <v>296.72426133772393</v>
      </c>
      <c r="BD737" s="55">
        <f t="shared" si="198"/>
        <v>17.225686091930385</v>
      </c>
      <c r="BE737" s="55">
        <f t="shared" si="199"/>
        <v>16.880862174588032</v>
      </c>
      <c r="BF737" s="56">
        <f t="shared" si="200"/>
        <v>0.18511232784576115</v>
      </c>
      <c r="BG737" s="56">
        <f t="shared" si="203"/>
        <v>8.0812120463124757E-5</v>
      </c>
      <c r="BH737" s="56">
        <f t="shared" si="204"/>
        <v>8.9895561883290304E-3</v>
      </c>
      <c r="BI737" s="56">
        <f t="shared" si="201"/>
        <v>8.8096031830620317E-3</v>
      </c>
      <c r="BJ737" s="57">
        <f t="shared" si="205"/>
        <v>4.9823183184870154E-2</v>
      </c>
      <c r="BK737" s="57">
        <f t="shared" si="206"/>
        <v>2.4195487676811501E-3</v>
      </c>
      <c r="BL737" s="58">
        <f t="shared" si="207"/>
        <v>87.908707568243287</v>
      </c>
      <c r="BM737" s="58">
        <f t="shared" si="207"/>
        <v>4.2690850216446279</v>
      </c>
    </row>
    <row r="738" spans="47:65" x14ac:dyDescent="0.2">
      <c r="AU738" s="2">
        <v>-899</v>
      </c>
      <c r="AV738" s="53">
        <v>736</v>
      </c>
      <c r="AW738" s="4" t="s">
        <v>2314</v>
      </c>
      <c r="AX738" t="s">
        <v>666</v>
      </c>
      <c r="AY738" s="4">
        <v>16264</v>
      </c>
      <c r="AZ738" s="9">
        <v>23.57349988217441</v>
      </c>
      <c r="BA738" s="7">
        <f t="shared" si="202"/>
        <v>6.0419879738249176E-4</v>
      </c>
      <c r="BB738" s="54">
        <f t="shared" si="196"/>
        <v>356.63258044495092</v>
      </c>
      <c r="BC738" s="55">
        <f t="shared" si="197"/>
        <v>299.27600135119934</v>
      </c>
      <c r="BD738" s="55">
        <f t="shared" si="198"/>
        <v>17.299595410043533</v>
      </c>
      <c r="BE738" s="55">
        <f t="shared" si="199"/>
        <v>16.953291975399875</v>
      </c>
      <c r="BF738" s="56">
        <f t="shared" si="200"/>
        <v>0.18611558363416786</v>
      </c>
      <c r="BG738" s="56">
        <f t="shared" si="203"/>
        <v>8.1507080559850055E-5</v>
      </c>
      <c r="BH738" s="56">
        <f t="shared" si="204"/>
        <v>9.028127190057196E-3</v>
      </c>
      <c r="BI738" s="56">
        <f t="shared" si="201"/>
        <v>8.8474020701794498E-3</v>
      </c>
      <c r="BJ738" s="57">
        <f t="shared" si="205"/>
        <v>9.6315786710876612E-3</v>
      </c>
      <c r="BK738" s="57">
        <f t="shared" si="206"/>
        <v>4.6721029795410374E-4</v>
      </c>
      <c r="BL738" s="58">
        <f t="shared" si="207"/>
        <v>16.994089471872453</v>
      </c>
      <c r="BM738" s="58">
        <f t="shared" si="207"/>
        <v>0.82435225592313111</v>
      </c>
    </row>
    <row r="739" spans="47:65" x14ac:dyDescent="0.2">
      <c r="AU739" s="2">
        <v>-898</v>
      </c>
      <c r="AV739" s="53">
        <v>737</v>
      </c>
      <c r="AW739" s="4" t="s">
        <v>2759</v>
      </c>
      <c r="AX739" t="s">
        <v>1008</v>
      </c>
      <c r="AY739" s="4">
        <v>38116</v>
      </c>
      <c r="AZ739" s="9">
        <v>23.578576008143632</v>
      </c>
      <c r="BA739" s="7">
        <f t="shared" si="202"/>
        <v>6.0432890064341163E-4</v>
      </c>
      <c r="BB739" s="54">
        <f t="shared" si="196"/>
        <v>357.81252694721377</v>
      </c>
      <c r="BC739" s="55">
        <f t="shared" si="197"/>
        <v>300.84582200549266</v>
      </c>
      <c r="BD739" s="55">
        <f t="shared" si="198"/>
        <v>17.344907667828405</v>
      </c>
      <c r="BE739" s="55">
        <f t="shared" si="199"/>
        <v>16.997697172058146</v>
      </c>
      <c r="BF739" s="56">
        <f t="shared" si="200"/>
        <v>0.18673136145135935</v>
      </c>
      <c r="BG739" s="56">
        <f t="shared" si="203"/>
        <v>8.1934617341808172E-5</v>
      </c>
      <c r="BH739" s="56">
        <f t="shared" si="204"/>
        <v>9.0517742648504092E-3</v>
      </c>
      <c r="BI739" s="56">
        <f t="shared" si="201"/>
        <v>8.8705757776466609E-3</v>
      </c>
      <c r="BJ739" s="57">
        <f t="shared" si="205"/>
        <v>2.2647066433783808E-2</v>
      </c>
      <c r="BK739" s="57">
        <f t="shared" si="206"/>
        <v>1.0978130910970739E-3</v>
      </c>
      <c r="BL739" s="58">
        <f t="shared" si="207"/>
        <v>39.958794543875094</v>
      </c>
      <c r="BM739" s="58">
        <f t="shared" si="207"/>
        <v>1.9369964707342979</v>
      </c>
    </row>
    <row r="740" spans="47:65" x14ac:dyDescent="0.2">
      <c r="AU740" s="2">
        <v>-897</v>
      </c>
      <c r="AV740" s="53">
        <v>738</v>
      </c>
      <c r="AW740" s="4" t="s">
        <v>3143</v>
      </c>
      <c r="AX740" t="s">
        <v>3144</v>
      </c>
      <c r="AY740" s="5">
        <v>23916.994999999999</v>
      </c>
      <c r="AZ740" s="9">
        <v>23.580969428304606</v>
      </c>
      <c r="BA740" s="7">
        <f t="shared" si="202"/>
        <v>6.0439024501697178E-4</v>
      </c>
      <c r="BB740" s="54">
        <f t="shared" si="196"/>
        <v>358.37023158927241</v>
      </c>
      <c r="BC740" s="55">
        <f t="shared" si="197"/>
        <v>301.58875642600407</v>
      </c>
      <c r="BD740" s="55">
        <f t="shared" si="198"/>
        <v>17.366310961917158</v>
      </c>
      <c r="BE740" s="55">
        <f t="shared" si="199"/>
        <v>17.018672014840384</v>
      </c>
      <c r="BF740" s="56">
        <f t="shared" si="200"/>
        <v>0.18702241036456488</v>
      </c>
      <c r="BG740" s="56">
        <f t="shared" si="203"/>
        <v>8.213695369818168E-5</v>
      </c>
      <c r="BH740" s="56">
        <f t="shared" si="204"/>
        <v>9.0629439862652626E-3</v>
      </c>
      <c r="BI740" s="56">
        <f t="shared" si="201"/>
        <v>8.8815219034918905E-3</v>
      </c>
      <c r="BJ740" s="57">
        <f t="shared" si="205"/>
        <v>1.4232711126696777E-2</v>
      </c>
      <c r="BK740" s="57">
        <f t="shared" si="206"/>
        <v>6.8970485121277742E-4</v>
      </c>
      <c r="BL740" s="58">
        <f t="shared" si="207"/>
        <v>25.112390665556994</v>
      </c>
      <c r="BM740" s="58">
        <f t="shared" si="207"/>
        <v>1.2169246964548559</v>
      </c>
    </row>
    <row r="741" spans="47:65" x14ac:dyDescent="0.2">
      <c r="AU741" s="2">
        <v>-896</v>
      </c>
      <c r="AV741" s="53">
        <v>739</v>
      </c>
      <c r="AW741" s="4" t="s">
        <v>3028</v>
      </c>
      <c r="AX741" t="s">
        <v>1190</v>
      </c>
      <c r="AY741" s="4">
        <v>32787</v>
      </c>
      <c r="AZ741" s="9">
        <v>23.590198991782714</v>
      </c>
      <c r="BA741" s="7">
        <f t="shared" si="202"/>
        <v>6.046268026423439E-4</v>
      </c>
      <c r="BB741" s="54">
        <f t="shared" si="196"/>
        <v>360.52901742583708</v>
      </c>
      <c r="BC741" s="55">
        <f t="shared" si="197"/>
        <v>304.47030077539006</v>
      </c>
      <c r="BD741" s="55">
        <f t="shared" si="198"/>
        <v>17.449077361722885</v>
      </c>
      <c r="BE741" s="55">
        <f t="shared" si="199"/>
        <v>17.099781596215017</v>
      </c>
      <c r="BF741" s="56">
        <f t="shared" si="200"/>
        <v>0.18814901434845263</v>
      </c>
      <c r="BG741" s="56">
        <f t="shared" si="203"/>
        <v>8.2921735192054914E-5</v>
      </c>
      <c r="BH741" s="56">
        <f t="shared" si="204"/>
        <v>9.1061372267309329E-3</v>
      </c>
      <c r="BI741" s="56">
        <f t="shared" si="201"/>
        <v>8.9238505013360357E-3</v>
      </c>
      <c r="BJ741" s="57">
        <f t="shared" si="205"/>
        <v>1.9628675726646772E-2</v>
      </c>
      <c r="BK741" s="57">
        <f t="shared" si="206"/>
        <v>9.4999920868476227E-4</v>
      </c>
      <c r="BL741" s="58">
        <f t="shared" si="207"/>
        <v>34.633104593157746</v>
      </c>
      <c r="BM741" s="58">
        <f t="shared" si="207"/>
        <v>1.6761916298373287</v>
      </c>
    </row>
    <row r="742" spans="47:65" x14ac:dyDescent="0.2">
      <c r="AU742" s="2">
        <v>-895</v>
      </c>
      <c r="AV742" s="53">
        <v>740</v>
      </c>
      <c r="AW742" s="4" t="s">
        <v>2517</v>
      </c>
      <c r="AX742" t="s">
        <v>826</v>
      </c>
      <c r="AY742" s="4">
        <v>55147</v>
      </c>
      <c r="AZ742" s="9">
        <v>23.602182333545926</v>
      </c>
      <c r="BA742" s="7">
        <f t="shared" si="202"/>
        <v>6.049339407727931E-4</v>
      </c>
      <c r="BB742" s="54">
        <f t="shared" si="196"/>
        <v>363.35132568845148</v>
      </c>
      <c r="BC742" s="55">
        <f t="shared" si="197"/>
        <v>308.2512823615653</v>
      </c>
      <c r="BD742" s="55">
        <f t="shared" si="198"/>
        <v>17.557086385888898</v>
      </c>
      <c r="BE742" s="55">
        <f t="shared" si="199"/>
        <v>17.205628494900367</v>
      </c>
      <c r="BF742" s="56">
        <f t="shared" si="200"/>
        <v>0.18962189029499854</v>
      </c>
      <c r="BG742" s="56">
        <f t="shared" si="203"/>
        <v>8.3951476198182025E-5</v>
      </c>
      <c r="BH742" s="56">
        <f t="shared" si="204"/>
        <v>9.1625038170896293E-3</v>
      </c>
      <c r="BI742" s="56">
        <f t="shared" si="201"/>
        <v>8.9790887448532204E-3</v>
      </c>
      <c r="BJ742" s="57">
        <f t="shared" si="205"/>
        <v>3.3273442490320077E-2</v>
      </c>
      <c r="BK742" s="57">
        <f t="shared" si="206"/>
        <v>1.6077681925382174E-3</v>
      </c>
      <c r="BL742" s="58">
        <f t="shared" si="207"/>
        <v>58.708118162922851</v>
      </c>
      <c r="BM742" s="58">
        <f t="shared" si="207"/>
        <v>2.8367682440307243</v>
      </c>
    </row>
    <row r="743" spans="47:65" x14ac:dyDescent="0.2">
      <c r="AU743" s="2">
        <v>-894</v>
      </c>
      <c r="AV743" s="53">
        <v>741</v>
      </c>
      <c r="AW743" s="4" t="s">
        <v>2050</v>
      </c>
      <c r="AX743" t="s">
        <v>471</v>
      </c>
      <c r="AY743" s="4">
        <v>36585</v>
      </c>
      <c r="AZ743" s="9">
        <v>23.611067435472322</v>
      </c>
      <c r="BA743" s="7">
        <f t="shared" si="202"/>
        <v>6.0516166970253974E-4</v>
      </c>
      <c r="BB743" s="54">
        <f t="shared" si="196"/>
        <v>365.45819404407166</v>
      </c>
      <c r="BC743" s="55">
        <f t="shared" si="197"/>
        <v>311.08393137244121</v>
      </c>
      <c r="BD743" s="55">
        <f t="shared" si="198"/>
        <v>17.637571583765187</v>
      </c>
      <c r="BE743" s="55">
        <f t="shared" si="199"/>
        <v>17.284502539463421</v>
      </c>
      <c r="BF743" s="56">
        <f t="shared" si="200"/>
        <v>0.19072140014111927</v>
      </c>
      <c r="BG743" s="56">
        <f t="shared" si="203"/>
        <v>8.4722941167251996E-5</v>
      </c>
      <c r="BH743" s="56">
        <f t="shared" si="204"/>
        <v>9.2045065683746454E-3</v>
      </c>
      <c r="BI743" s="56">
        <f t="shared" si="201"/>
        <v>9.0202506847383325E-3</v>
      </c>
      <c r="BJ743" s="57">
        <f t="shared" si="205"/>
        <v>2.2201885464222887E-2</v>
      </c>
      <c r="BK743" s="57">
        <f t="shared" si="206"/>
        <v>1.0714969606689772E-3</v>
      </c>
      <c r="BL743" s="58">
        <f t="shared" si="207"/>
        <v>39.173311137026808</v>
      </c>
      <c r="BM743" s="58">
        <f t="shared" si="207"/>
        <v>1.8905639293700236</v>
      </c>
    </row>
    <row r="744" spans="47:65" x14ac:dyDescent="0.2">
      <c r="AU744" s="2">
        <v>-893</v>
      </c>
      <c r="AV744" s="53">
        <v>742</v>
      </c>
      <c r="AW744" s="4" t="s">
        <v>3012</v>
      </c>
      <c r="AX744" t="s">
        <v>1174</v>
      </c>
      <c r="AY744" s="4">
        <v>27466</v>
      </c>
      <c r="AZ744" s="9">
        <v>23.612380494200377</v>
      </c>
      <c r="BA744" s="7">
        <f t="shared" si="202"/>
        <v>6.0519532395448996E-4</v>
      </c>
      <c r="BB744" s="54">
        <f t="shared" si="196"/>
        <v>365.77058588114608</v>
      </c>
      <c r="BC744" s="55">
        <f t="shared" si="197"/>
        <v>311.50467140532822</v>
      </c>
      <c r="BD744" s="55">
        <f t="shared" si="198"/>
        <v>17.649494933434447</v>
      </c>
      <c r="BE744" s="55">
        <f t="shared" si="199"/>
        <v>17.296187207426833</v>
      </c>
      <c r="BF744" s="56">
        <f t="shared" si="200"/>
        <v>0.19088442784040327</v>
      </c>
      <c r="BG744" s="56">
        <f t="shared" si="203"/>
        <v>8.4837528677116029E-5</v>
      </c>
      <c r="BH744" s="56">
        <f t="shared" si="204"/>
        <v>9.2107289981366858E-3</v>
      </c>
      <c r="BI744" s="56">
        <f t="shared" si="201"/>
        <v>9.0263485538532966E-3</v>
      </c>
      <c r="BJ744" s="57">
        <f t="shared" si="205"/>
        <v>1.668219864904447E-2</v>
      </c>
      <c r="BK744" s="57">
        <f t="shared" si="206"/>
        <v>8.0496461962785274E-4</v>
      </c>
      <c r="BL744" s="58">
        <f t="shared" si="207"/>
        <v>29.434300036444274</v>
      </c>
      <c r="BM744" s="58">
        <f t="shared" si="207"/>
        <v>1.4202906122452625</v>
      </c>
    </row>
    <row r="745" spans="47:65" x14ac:dyDescent="0.2">
      <c r="AU745" s="2">
        <v>-892</v>
      </c>
      <c r="AV745" s="53">
        <v>743</v>
      </c>
      <c r="AW745" s="4" t="s">
        <v>2167</v>
      </c>
      <c r="AX745" t="s">
        <v>563</v>
      </c>
      <c r="AY745" s="4">
        <v>20793</v>
      </c>
      <c r="AZ745" s="9">
        <v>23.612639213385979</v>
      </c>
      <c r="BA745" s="7">
        <f t="shared" si="202"/>
        <v>6.052019550369165E-4</v>
      </c>
      <c r="BB745" s="54">
        <f t="shared" si="196"/>
        <v>365.83216964970302</v>
      </c>
      <c r="BC745" s="55">
        <f t="shared" si="197"/>
        <v>311.58763688294368</v>
      </c>
      <c r="BD745" s="55">
        <f t="shared" si="198"/>
        <v>17.651845141031114</v>
      </c>
      <c r="BE745" s="55">
        <f t="shared" si="199"/>
        <v>17.298490368549665</v>
      </c>
      <c r="BF745" s="56">
        <f t="shared" si="200"/>
        <v>0.19091656651660915</v>
      </c>
      <c r="BG745" s="56">
        <f t="shared" si="203"/>
        <v>8.4860124120238593E-5</v>
      </c>
      <c r="BH745" s="56">
        <f t="shared" si="204"/>
        <v>9.2119554992541406E-3</v>
      </c>
      <c r="BI745" s="56">
        <f t="shared" si="201"/>
        <v>9.0275505028619019E-3</v>
      </c>
      <c r="BJ745" s="57">
        <f t="shared" si="205"/>
        <v>1.2631302648264679E-2</v>
      </c>
      <c r="BK745" s="57">
        <f t="shared" si="206"/>
        <v>6.09475646961744E-4</v>
      </c>
      <c r="BL745" s="58">
        <f t="shared" si="207"/>
        <v>22.286843588297128</v>
      </c>
      <c r="BM745" s="58">
        <f t="shared" si="207"/>
        <v>1.0753671884014824</v>
      </c>
    </row>
    <row r="746" spans="47:65" x14ac:dyDescent="0.2">
      <c r="AU746" s="2">
        <v>-891</v>
      </c>
      <c r="AV746" s="53">
        <v>744</v>
      </c>
      <c r="AW746" s="4" t="s">
        <v>2864</v>
      </c>
      <c r="AX746" t="s">
        <v>1086</v>
      </c>
      <c r="AY746" s="4">
        <v>24195</v>
      </c>
      <c r="AZ746" s="9">
        <v>23.613242711117007</v>
      </c>
      <c r="BA746" s="7">
        <f t="shared" si="202"/>
        <v>6.0521742293965185E-4</v>
      </c>
      <c r="BB746" s="54">
        <f t="shared" si="196"/>
        <v>365.97586248441132</v>
      </c>
      <c r="BC746" s="55">
        <f t="shared" si="197"/>
        <v>311.78124807291857</v>
      </c>
      <c r="BD746" s="55">
        <f t="shared" si="198"/>
        <v>17.657328452314598</v>
      </c>
      <c r="BE746" s="55">
        <f t="shared" si="199"/>
        <v>17.303863914865488</v>
      </c>
      <c r="BF746" s="56">
        <f t="shared" si="200"/>
        <v>0.1909915553910479</v>
      </c>
      <c r="BG746" s="56">
        <f t="shared" si="203"/>
        <v>8.4912853650131841E-5</v>
      </c>
      <c r="BH746" s="56">
        <f t="shared" si="204"/>
        <v>9.2148170708990125E-3</v>
      </c>
      <c r="BI746" s="56">
        <f t="shared" si="201"/>
        <v>9.030354791543467E-3</v>
      </c>
      <c r="BJ746" s="57">
        <f t="shared" si="205"/>
        <v>1.4703717974860916E-2</v>
      </c>
      <c r="BK746" s="57">
        <f t="shared" si="206"/>
        <v>7.0941393782053975E-4</v>
      </c>
      <c r="BL746" s="58">
        <f t="shared" si="207"/>
        <v>25.943441606727585</v>
      </c>
      <c r="BM746" s="58">
        <f t="shared" si="207"/>
        <v>1.2516996791092179</v>
      </c>
    </row>
    <row r="747" spans="47:65" x14ac:dyDescent="0.2">
      <c r="AU747" s="2">
        <v>-890</v>
      </c>
      <c r="AV747" s="53">
        <v>745</v>
      </c>
      <c r="AW747" s="4" t="s">
        <v>2500</v>
      </c>
      <c r="AX747" t="s">
        <v>811</v>
      </c>
      <c r="AY747" s="4">
        <v>41004</v>
      </c>
      <c r="AZ747" s="9">
        <v>23.61743398415668</v>
      </c>
      <c r="BA747" s="7">
        <f t="shared" si="202"/>
        <v>6.0532484704480091E-4</v>
      </c>
      <c r="BB747" s="54">
        <f t="shared" si="196"/>
        <v>366.97536322388095</v>
      </c>
      <c r="BC747" s="55">
        <f t="shared" si="197"/>
        <v>313.12907917103422</v>
      </c>
      <c r="BD747" s="55">
        <f t="shared" si="198"/>
        <v>17.695453629987398</v>
      </c>
      <c r="BE747" s="55">
        <f t="shared" si="199"/>
        <v>17.341225902436928</v>
      </c>
      <c r="BF747" s="56">
        <f t="shared" si="200"/>
        <v>0.19151316411013097</v>
      </c>
      <c r="BG747" s="56">
        <f t="shared" si="203"/>
        <v>8.5279932124179391E-5</v>
      </c>
      <c r="BH747" s="56">
        <f t="shared" si="204"/>
        <v>9.2347134294562382E-3</v>
      </c>
      <c r="BI747" s="56">
        <f t="shared" si="201"/>
        <v>9.0498528646412967E-3</v>
      </c>
      <c r="BJ747" s="57">
        <f t="shared" si="205"/>
        <v>2.4986891362008698E-2</v>
      </c>
      <c r="BK747" s="57">
        <f t="shared" si="206"/>
        <v>1.2048612025876886E-3</v>
      </c>
      <c r="BL747" s="58">
        <f t="shared" si="207"/>
        <v>44.087213730039629</v>
      </c>
      <c r="BM747" s="58">
        <f t="shared" si="207"/>
        <v>2.1258736264520164</v>
      </c>
    </row>
    <row r="748" spans="47:65" x14ac:dyDescent="0.2">
      <c r="AU748" s="2">
        <v>-889</v>
      </c>
      <c r="AV748" s="53">
        <v>746</v>
      </c>
      <c r="AW748" s="4" t="s">
        <v>2328</v>
      </c>
      <c r="AX748" t="s">
        <v>679</v>
      </c>
      <c r="AY748" s="4">
        <v>17633</v>
      </c>
      <c r="AZ748" s="9">
        <v>23.620718606386795</v>
      </c>
      <c r="BA748" s="7">
        <f t="shared" si="202"/>
        <v>6.0540903330527174E-4</v>
      </c>
      <c r="BB748" s="54">
        <f t="shared" si="196"/>
        <v>367.76056085922539</v>
      </c>
      <c r="BC748" s="55">
        <f t="shared" si="197"/>
        <v>314.18927826615902</v>
      </c>
      <c r="BD748" s="55">
        <f t="shared" si="198"/>
        <v>17.725385137315325</v>
      </c>
      <c r="BE748" s="55">
        <f t="shared" si="199"/>
        <v>17.370558240619793</v>
      </c>
      <c r="BF748" s="56">
        <f t="shared" si="200"/>
        <v>0.19192293462517479</v>
      </c>
      <c r="BG748" s="56">
        <f t="shared" si="203"/>
        <v>8.5568674731887053E-5</v>
      </c>
      <c r="BH748" s="56">
        <f t="shared" si="204"/>
        <v>9.250333763269683E-3</v>
      </c>
      <c r="BI748" s="56">
        <f t="shared" si="201"/>
        <v>9.0651605104917193E-3</v>
      </c>
      <c r="BJ748" s="57">
        <f t="shared" si="205"/>
        <v>1.0768134098808724E-2</v>
      </c>
      <c r="BK748" s="57">
        <f t="shared" si="206"/>
        <v>5.1900433169262334E-4</v>
      </c>
      <c r="BL748" s="58">
        <f t="shared" si="207"/>
        <v>18.999443452566545</v>
      </c>
      <c r="BM748" s="58">
        <f t="shared" si="207"/>
        <v>0.91573835923179925</v>
      </c>
    </row>
    <row r="749" spans="47:65" x14ac:dyDescent="0.2">
      <c r="AU749" s="2">
        <v>-888</v>
      </c>
      <c r="AV749" s="53">
        <v>747</v>
      </c>
      <c r="AW749" s="4" t="s">
        <v>1891</v>
      </c>
      <c r="AX749" t="s">
        <v>1892</v>
      </c>
      <c r="AY749" s="4">
        <v>11999</v>
      </c>
      <c r="AZ749" s="9">
        <v>23.63544446490064</v>
      </c>
      <c r="BA749" s="7">
        <f t="shared" si="202"/>
        <v>6.0578646330289461E-4</v>
      </c>
      <c r="BB749" s="54">
        <f t="shared" si="196"/>
        <v>371.30151966069167</v>
      </c>
      <c r="BC749" s="55">
        <f t="shared" si="197"/>
        <v>318.98517603398517</v>
      </c>
      <c r="BD749" s="55">
        <f t="shared" si="198"/>
        <v>17.860156103292748</v>
      </c>
      <c r="BE749" s="55">
        <f t="shared" si="199"/>
        <v>17.502631360358507</v>
      </c>
      <c r="BF749" s="56">
        <f t="shared" si="200"/>
        <v>0.19377085220224294</v>
      </c>
      <c r="BG749" s="56">
        <f t="shared" si="203"/>
        <v>8.6874825655968896E-5</v>
      </c>
      <c r="BH749" s="56">
        <f t="shared" si="204"/>
        <v>9.3206665886066808E-3</v>
      </c>
      <c r="BI749" s="56">
        <f t="shared" si="201"/>
        <v>9.1340854127874502E-3</v>
      </c>
      <c r="BJ749" s="57">
        <f t="shared" si="205"/>
        <v>7.3981115393526474E-3</v>
      </c>
      <c r="BK749" s="57">
        <f t="shared" si="206"/>
        <v>3.5586018361347528E-4</v>
      </c>
      <c r="BL749" s="58">
        <f t="shared" si="207"/>
        <v>13.053329440173002</v>
      </c>
      <c r="BM749" s="58">
        <f t="shared" si="207"/>
        <v>0.62788458738939346</v>
      </c>
    </row>
    <row r="750" spans="47:65" x14ac:dyDescent="0.2">
      <c r="AU750" s="2">
        <v>-887</v>
      </c>
      <c r="AV750" s="53">
        <v>748</v>
      </c>
      <c r="AW750" s="4" t="s">
        <v>2960</v>
      </c>
      <c r="AX750" t="s">
        <v>1158</v>
      </c>
      <c r="AY750" s="4">
        <v>8061</v>
      </c>
      <c r="AZ750" s="9">
        <v>23.637914928431989</v>
      </c>
      <c r="BA750" s="7">
        <f t="shared" si="202"/>
        <v>6.0584978233070455E-4</v>
      </c>
      <c r="BB750" s="54">
        <f t="shared" si="196"/>
        <v>371.89889480471379</v>
      </c>
      <c r="BC750" s="55">
        <f t="shared" si="197"/>
        <v>319.79664297066432</v>
      </c>
      <c r="BD750" s="55">
        <f t="shared" si="198"/>
        <v>17.882858914912468</v>
      </c>
      <c r="BE750" s="55">
        <f t="shared" si="199"/>
        <v>17.52487970691973</v>
      </c>
      <c r="BF750" s="56">
        <f t="shared" si="200"/>
        <v>0.19408260393126184</v>
      </c>
      <c r="BG750" s="56">
        <f t="shared" si="203"/>
        <v>8.7095826674028526E-5</v>
      </c>
      <c r="BH750" s="56">
        <f t="shared" si="204"/>
        <v>9.3325144882838804E-3</v>
      </c>
      <c r="BI750" s="56">
        <f t="shared" si="201"/>
        <v>9.1456961411173262E-3</v>
      </c>
      <c r="BJ750" s="57">
        <f t="shared" si="205"/>
        <v>4.9780918291063465E-3</v>
      </c>
      <c r="BK750" s="57">
        <f t="shared" si="206"/>
        <v>2.3937289163534017E-4</v>
      </c>
      <c r="BL750" s="58">
        <f t="shared" si="207"/>
        <v>8.7834134810090347</v>
      </c>
      <c r="BM750" s="58">
        <f t="shared" si="207"/>
        <v>0.42235281219298004</v>
      </c>
    </row>
    <row r="751" spans="47:65" x14ac:dyDescent="0.2">
      <c r="AU751" s="2">
        <v>-886</v>
      </c>
      <c r="AV751" s="53">
        <v>749</v>
      </c>
      <c r="AW751" s="4" t="s">
        <v>3084</v>
      </c>
      <c r="AX751" t="s">
        <v>1233</v>
      </c>
      <c r="AY751" s="4">
        <v>114439</v>
      </c>
      <c r="AZ751" s="9">
        <v>23.641226817494648</v>
      </c>
      <c r="BA751" s="7">
        <f t="shared" si="202"/>
        <v>6.0593466745165496E-4</v>
      </c>
      <c r="BB751" s="54">
        <f t="shared" si="196"/>
        <v>372.70124071202616</v>
      </c>
      <c r="BC751" s="55">
        <f t="shared" si="197"/>
        <v>320.88761668728199</v>
      </c>
      <c r="BD751" s="55">
        <f t="shared" si="198"/>
        <v>17.913336280193089</v>
      </c>
      <c r="BE751" s="55">
        <f t="shared" si="199"/>
        <v>17.554746976066575</v>
      </c>
      <c r="BF751" s="56">
        <f t="shared" si="200"/>
        <v>0.19450132360244157</v>
      </c>
      <c r="BG751" s="56">
        <f t="shared" si="203"/>
        <v>8.739295067397233E-5</v>
      </c>
      <c r="BH751" s="56">
        <f t="shared" si="204"/>
        <v>9.348419688587602E-3</v>
      </c>
      <c r="BI751" s="56">
        <f t="shared" si="201"/>
        <v>9.1612829509984221E-3</v>
      </c>
      <c r="BJ751" s="57">
        <f t="shared" si="205"/>
        <v>7.0824576678518547E-2</v>
      </c>
      <c r="BK751" s="57">
        <f t="shared" si="206"/>
        <v>3.4040789789722223E-3</v>
      </c>
      <c r="BL751" s="58">
        <f t="shared" si="207"/>
        <v>124.96385421169144</v>
      </c>
      <c r="BM751" s="58">
        <f t="shared" si="207"/>
        <v>6.0062036259567257</v>
      </c>
    </row>
    <row r="752" spans="47:65" x14ac:dyDescent="0.2">
      <c r="AU752" s="2">
        <v>-885</v>
      </c>
      <c r="AV752" s="53">
        <v>750</v>
      </c>
      <c r="AW752" s="4" t="s">
        <v>2280</v>
      </c>
      <c r="AX752" t="s">
        <v>636</v>
      </c>
      <c r="AY752" s="4">
        <v>22170</v>
      </c>
      <c r="AZ752" s="9">
        <v>23.643063475974262</v>
      </c>
      <c r="BA752" s="7">
        <f t="shared" si="202"/>
        <v>6.0598174178724926E-4</v>
      </c>
      <c r="BB752" s="54">
        <f t="shared" si="196"/>
        <v>373.14693982356835</v>
      </c>
      <c r="BC752" s="55">
        <f t="shared" si="197"/>
        <v>321.49417995154482</v>
      </c>
      <c r="BD752" s="55">
        <f t="shared" si="198"/>
        <v>17.930258780941919</v>
      </c>
      <c r="BE752" s="55">
        <f t="shared" si="199"/>
        <v>17.571330722064605</v>
      </c>
      <c r="BF752" s="56">
        <f t="shared" si="200"/>
        <v>0.19473392027144612</v>
      </c>
      <c r="BG752" s="56">
        <f t="shared" si="203"/>
        <v>8.7558146682413724E-5</v>
      </c>
      <c r="BH752" s="56">
        <f t="shared" si="204"/>
        <v>9.3572510216630243E-3</v>
      </c>
      <c r="BI752" s="56">
        <f t="shared" si="201"/>
        <v>9.1699374983800746E-3</v>
      </c>
      <c r="BJ752" s="57">
        <f t="shared" si="205"/>
        <v>1.3737087741104475E-2</v>
      </c>
      <c r="BK752" s="57">
        <f t="shared" si="206"/>
        <v>6.6008725198438123E-4</v>
      </c>
      <c r="BL752" s="58">
        <f t="shared" si="207"/>
        <v>24.237905968215394</v>
      </c>
      <c r="BM752" s="58">
        <f t="shared" si="207"/>
        <v>1.1646669982708273</v>
      </c>
    </row>
    <row r="753" spans="47:65" x14ac:dyDescent="0.2">
      <c r="AU753" s="2">
        <v>-884</v>
      </c>
      <c r="AV753" s="53">
        <v>751</v>
      </c>
      <c r="AW753" s="4" t="s">
        <v>2641</v>
      </c>
      <c r="AX753" t="s">
        <v>923</v>
      </c>
      <c r="AY753" s="4">
        <v>22225</v>
      </c>
      <c r="AZ753" s="9">
        <v>23.652795384174819</v>
      </c>
      <c r="BA753" s="7">
        <f t="shared" si="202"/>
        <v>6.0623117472085708E-4</v>
      </c>
      <c r="BB753" s="54">
        <f t="shared" si="196"/>
        <v>375.51747746092394</v>
      </c>
      <c r="BC753" s="55">
        <f t="shared" si="197"/>
        <v>324.72668592371082</v>
      </c>
      <c r="BD753" s="55">
        <f t="shared" si="198"/>
        <v>18.020174414353232</v>
      </c>
      <c r="BE753" s="55">
        <f t="shared" si="199"/>
        <v>17.659446423631245</v>
      </c>
      <c r="BF753" s="56">
        <f t="shared" si="200"/>
        <v>0.19597103101256974</v>
      </c>
      <c r="BG753" s="56">
        <f t="shared" si="203"/>
        <v>8.8438511708320162E-5</v>
      </c>
      <c r="BH753" s="56">
        <f t="shared" si="204"/>
        <v>9.4041752274359579E-3</v>
      </c>
      <c r="BI753" s="56">
        <f t="shared" si="201"/>
        <v>9.2159223750391227E-3</v>
      </c>
      <c r="BJ753" s="57">
        <f t="shared" si="205"/>
        <v>1.3858652950407637E-2</v>
      </c>
      <c r="BK753" s="57">
        <f t="shared" si="206"/>
        <v>6.6504319586651727E-4</v>
      </c>
      <c r="BL753" s="58">
        <f t="shared" si="207"/>
        <v>24.452397290366584</v>
      </c>
      <c r="BM753" s="58">
        <f t="shared" si="207"/>
        <v>1.1734113336105176</v>
      </c>
    </row>
    <row r="754" spans="47:65" x14ac:dyDescent="0.2">
      <c r="AU754" s="2">
        <v>-883</v>
      </c>
      <c r="AV754" s="53">
        <v>752</v>
      </c>
      <c r="AW754" s="4" t="s">
        <v>3110</v>
      </c>
      <c r="AX754" t="s">
        <v>1253</v>
      </c>
      <c r="AY754" s="4">
        <v>38287</v>
      </c>
      <c r="AZ754" s="9">
        <v>23.656473454626607</v>
      </c>
      <c r="BA754" s="7">
        <f t="shared" si="202"/>
        <v>6.0632544522607541E-4</v>
      </c>
      <c r="BB754" s="54">
        <f t="shared" si="196"/>
        <v>376.41731328795629</v>
      </c>
      <c r="BC754" s="55">
        <f t="shared" si="197"/>
        <v>325.95652388969171</v>
      </c>
      <c r="BD754" s="55">
        <f t="shared" si="198"/>
        <v>18.054266085601256</v>
      </c>
      <c r="BE754" s="55">
        <f t="shared" si="199"/>
        <v>17.692855647540696</v>
      </c>
      <c r="BF754" s="56">
        <f t="shared" si="200"/>
        <v>0.19644062767677301</v>
      </c>
      <c r="BG754" s="56">
        <f t="shared" si="203"/>
        <v>8.8773455043954542E-5</v>
      </c>
      <c r="BH754" s="56">
        <f t="shared" si="204"/>
        <v>9.4219666229484467E-3</v>
      </c>
      <c r="BI754" s="56">
        <f t="shared" si="201"/>
        <v>9.2333576222587144E-3</v>
      </c>
      <c r="BJ754" s="57">
        <f t="shared" si="205"/>
        <v>2.3931505676280395E-2</v>
      </c>
      <c r="BK754" s="57">
        <f t="shared" si="206"/>
        <v>1.147837137284183E-3</v>
      </c>
      <c r="BL754" s="58">
        <f t="shared" si="207"/>
        <v>42.225076755086711</v>
      </c>
      <c r="BM754" s="58">
        <f t="shared" si="207"/>
        <v>2.0252595837378498</v>
      </c>
    </row>
    <row r="755" spans="47:65" x14ac:dyDescent="0.2">
      <c r="AU755" s="2">
        <v>-882</v>
      </c>
      <c r="AV755" s="53">
        <v>753</v>
      </c>
      <c r="AW755" s="4" t="s">
        <v>2289</v>
      </c>
      <c r="AX755" t="s">
        <v>644</v>
      </c>
      <c r="AY755" s="4">
        <v>38074</v>
      </c>
      <c r="AZ755" s="9">
        <v>23.656964368221612</v>
      </c>
      <c r="BA755" s="7">
        <f t="shared" si="202"/>
        <v>6.0633802754966773E-4</v>
      </c>
      <c r="BB755" s="54">
        <f t="shared" si="196"/>
        <v>376.53757775395485</v>
      </c>
      <c r="BC755" s="55">
        <f t="shared" si="197"/>
        <v>326.12101040665249</v>
      </c>
      <c r="BD755" s="55">
        <f t="shared" si="198"/>
        <v>18.058820847626031</v>
      </c>
      <c r="BE755" s="55">
        <f t="shared" si="199"/>
        <v>17.69731923230405</v>
      </c>
      <c r="BF755" s="56">
        <f t="shared" si="200"/>
        <v>0.19650339000558709</v>
      </c>
      <c r="BG755" s="56">
        <f t="shared" si="203"/>
        <v>8.8818252541012966E-5</v>
      </c>
      <c r="BH755" s="56">
        <f t="shared" si="204"/>
        <v>9.424343613271588E-3</v>
      </c>
      <c r="BI755" s="56">
        <f t="shared" si="201"/>
        <v>9.2356870299711933E-3</v>
      </c>
      <c r="BJ755" s="57">
        <f t="shared" si="205"/>
        <v>2.3805972346916993E-2</v>
      </c>
      <c r="BK755" s="57">
        <f t="shared" si="206"/>
        <v>1.1417394042871638E-3</v>
      </c>
      <c r="BL755" s="58">
        <f t="shared" si="207"/>
        <v>42.003584027491847</v>
      </c>
      <c r="BM755" s="58">
        <f t="shared" si="207"/>
        <v>2.0145006600280744</v>
      </c>
    </row>
    <row r="756" spans="47:65" x14ac:dyDescent="0.2">
      <c r="AU756" s="2">
        <v>-881</v>
      </c>
      <c r="AV756" s="53">
        <v>754</v>
      </c>
      <c r="AW756" s="4" t="s">
        <v>2438</v>
      </c>
      <c r="AX756" t="s">
        <v>764</v>
      </c>
      <c r="AY756" s="4">
        <v>44229</v>
      </c>
      <c r="AZ756" s="9">
        <v>23.658072854669452</v>
      </c>
      <c r="BA756" s="7">
        <f t="shared" si="202"/>
        <v>6.0636643852733532E-4</v>
      </c>
      <c r="BB756" s="54">
        <f t="shared" si="196"/>
        <v>376.80927715428925</v>
      </c>
      <c r="BC756" s="55">
        <f t="shared" si="197"/>
        <v>326.49271676506515</v>
      </c>
      <c r="BD756" s="55">
        <f t="shared" si="198"/>
        <v>18.069109462424127</v>
      </c>
      <c r="BE756" s="55">
        <f t="shared" si="199"/>
        <v>17.707401889531589</v>
      </c>
      <c r="BF756" s="56">
        <f t="shared" si="200"/>
        <v>0.19664518157270433</v>
      </c>
      <c r="BG756" s="56">
        <f t="shared" si="203"/>
        <v>8.8919485850606281E-5</v>
      </c>
      <c r="BH756" s="56">
        <f t="shared" si="204"/>
        <v>9.429712925142858E-3</v>
      </c>
      <c r="BI756" s="56">
        <f t="shared" si="201"/>
        <v>9.2409488589159199E-3</v>
      </c>
      <c r="BJ756" s="57">
        <f t="shared" si="205"/>
        <v>2.7674373736424517E-2</v>
      </c>
      <c r="BK756" s="57">
        <f t="shared" si="206"/>
        <v>1.327067348564108E-3</v>
      </c>
      <c r="BL756" s="58">
        <f t="shared" si="207"/>
        <v>48.829044481212328</v>
      </c>
      <c r="BM756" s="58">
        <f t="shared" si="207"/>
        <v>2.3414958260577907</v>
      </c>
    </row>
    <row r="757" spans="47:65" x14ac:dyDescent="0.2">
      <c r="AU757" s="2">
        <v>-880</v>
      </c>
      <c r="AV757" s="53">
        <v>755</v>
      </c>
      <c r="AW757" s="4" t="s">
        <v>3100</v>
      </c>
      <c r="AX757" t="s">
        <v>1246</v>
      </c>
      <c r="AY757" s="4">
        <v>67383</v>
      </c>
      <c r="AZ757" s="9">
        <v>23.659293021813454</v>
      </c>
      <c r="BA757" s="7">
        <f t="shared" si="202"/>
        <v>6.0639771192859935E-4</v>
      </c>
      <c r="BB757" s="54">
        <f t="shared" si="196"/>
        <v>377.10857713587058</v>
      </c>
      <c r="BC757" s="55">
        <f t="shared" si="197"/>
        <v>326.90234534822383</v>
      </c>
      <c r="BD757" s="55">
        <f t="shared" si="198"/>
        <v>18.080440961111094</v>
      </c>
      <c r="BE757" s="55">
        <f t="shared" si="199"/>
        <v>17.718506554190249</v>
      </c>
      <c r="BF757" s="56">
        <f t="shared" si="200"/>
        <v>0.19680137703494779</v>
      </c>
      <c r="BG757" s="56">
        <f t="shared" si="203"/>
        <v>8.9031047184553406E-5</v>
      </c>
      <c r="BH757" s="56">
        <f t="shared" si="204"/>
        <v>9.435626486066169E-3</v>
      </c>
      <c r="BI757" s="56">
        <f t="shared" si="201"/>
        <v>9.2467440421309562E-3</v>
      </c>
      <c r="BJ757" s="57">
        <f t="shared" si="205"/>
        <v>4.2195471838098415E-2</v>
      </c>
      <c r="BK757" s="57">
        <f t="shared" si="206"/>
        <v>2.0230585662869578E-3</v>
      </c>
      <c r="BL757" s="58">
        <f t="shared" si="207"/>
        <v>74.450269079673333</v>
      </c>
      <c r="BM757" s="58">
        <f t="shared" si="207"/>
        <v>3.569512273779325</v>
      </c>
    </row>
    <row r="758" spans="47:65" x14ac:dyDescent="0.2">
      <c r="AU758" s="2">
        <v>-879</v>
      </c>
      <c r="AV758" s="53">
        <v>756</v>
      </c>
      <c r="AW758" s="4" t="s">
        <v>2865</v>
      </c>
      <c r="AX758" t="s">
        <v>1087</v>
      </c>
      <c r="AY758" s="4">
        <v>32931</v>
      </c>
      <c r="AZ758" s="9">
        <v>23.66380158339463</v>
      </c>
      <c r="BA758" s="7">
        <f t="shared" si="202"/>
        <v>6.0651326827360053E-4</v>
      </c>
      <c r="BB758" s="54">
        <f t="shared" si="196"/>
        <v>378.21656514339446</v>
      </c>
      <c r="BC758" s="55">
        <f t="shared" si="197"/>
        <v>328.42024279714491</v>
      </c>
      <c r="BD758" s="55">
        <f t="shared" si="198"/>
        <v>18.122368575800042</v>
      </c>
      <c r="BE758" s="55">
        <f t="shared" si="199"/>
        <v>17.759594861564253</v>
      </c>
      <c r="BF758" s="56">
        <f t="shared" si="200"/>
        <v>0.19737960192517706</v>
      </c>
      <c r="BG758" s="56">
        <f t="shared" si="203"/>
        <v>8.9444442809634534E-5</v>
      </c>
      <c r="BH758" s="56">
        <f t="shared" si="204"/>
        <v>9.4575072196448531E-3</v>
      </c>
      <c r="BI758" s="56">
        <f t="shared" si="201"/>
        <v>9.2681867670157247E-3</v>
      </c>
      <c r="BJ758" s="57">
        <f t="shared" si="205"/>
        <v>2.0682096484255421E-2</v>
      </c>
      <c r="BK758" s="57">
        <f t="shared" si="206"/>
        <v>9.9098931657277218E-4</v>
      </c>
      <c r="BL758" s="58">
        <f t="shared" si="207"/>
        <v>36.49177462199399</v>
      </c>
      <c r="BM758" s="58">
        <f t="shared" si="207"/>
        <v>1.7485151382359663</v>
      </c>
    </row>
    <row r="759" spans="47:65" x14ac:dyDescent="0.2">
      <c r="AU759" s="2">
        <v>-878</v>
      </c>
      <c r="AV759" s="53">
        <v>757</v>
      </c>
      <c r="AW759" s="4" t="s">
        <v>2074</v>
      </c>
      <c r="AX759" t="s">
        <v>491</v>
      </c>
      <c r="AY759" s="4">
        <v>34650</v>
      </c>
      <c r="AZ759" s="9">
        <v>23.664452782330809</v>
      </c>
      <c r="BA759" s="7">
        <f t="shared" si="202"/>
        <v>6.0652995877844972E-4</v>
      </c>
      <c r="BB759" s="54">
        <f t="shared" si="196"/>
        <v>378.3768674334508</v>
      </c>
      <c r="BC759" s="55">
        <f t="shared" si="197"/>
        <v>328.64004312035382</v>
      </c>
      <c r="BD759" s="55">
        <f t="shared" si="198"/>
        <v>18.128431899101308</v>
      </c>
      <c r="BE759" s="55">
        <f t="shared" si="199"/>
        <v>17.765536809212804</v>
      </c>
      <c r="BF759" s="56">
        <f t="shared" si="200"/>
        <v>0.19746325876391727</v>
      </c>
      <c r="BG759" s="56">
        <f t="shared" si="203"/>
        <v>8.9504304885338454E-5</v>
      </c>
      <c r="BH759" s="56">
        <f t="shared" si="204"/>
        <v>9.460671481736297E-3</v>
      </c>
      <c r="BI759" s="56">
        <f t="shared" si="201"/>
        <v>9.2712876868841637E-3</v>
      </c>
      <c r="BJ759" s="57">
        <f t="shared" si="205"/>
        <v>2.1770926472806928E-2</v>
      </c>
      <c r="BK759" s="57">
        <f t="shared" si="206"/>
        <v>1.0430678826105701E-3</v>
      </c>
      <c r="BL759" s="58">
        <f t="shared" si="207"/>
        <v>38.412921183423947</v>
      </c>
      <c r="BM759" s="58">
        <f t="shared" si="207"/>
        <v>1.8404032742348815</v>
      </c>
    </row>
    <row r="760" spans="47:65" x14ac:dyDescent="0.2">
      <c r="AU760" s="2">
        <v>-877</v>
      </c>
      <c r="AV760" s="53">
        <v>758</v>
      </c>
      <c r="AW760" s="4" t="s">
        <v>3197</v>
      </c>
      <c r="AX760" t="s">
        <v>3198</v>
      </c>
      <c r="AY760" s="5">
        <v>18656.274999999994</v>
      </c>
      <c r="AZ760" s="9">
        <v>23.665790435544956</v>
      </c>
      <c r="BA760" s="7">
        <f t="shared" si="202"/>
        <v>6.0656424339750688E-4</v>
      </c>
      <c r="BB760" s="54">
        <f t="shared" si="196"/>
        <v>378.70636381035928</v>
      </c>
      <c r="BC760" s="55">
        <f t="shared" si="197"/>
        <v>329.09198879702694</v>
      </c>
      <c r="BD760" s="55">
        <f t="shared" si="198"/>
        <v>18.140892723265495</v>
      </c>
      <c r="BE760" s="55">
        <f t="shared" si="199"/>
        <v>17.77774819250255</v>
      </c>
      <c r="BF760" s="56">
        <f t="shared" si="200"/>
        <v>0.19763521279688057</v>
      </c>
      <c r="BG760" s="56">
        <f t="shared" si="203"/>
        <v>8.9627391175294197E-5</v>
      </c>
      <c r="BH760" s="56">
        <f t="shared" si="204"/>
        <v>9.4671744029194999E-3</v>
      </c>
      <c r="BI760" s="56">
        <f t="shared" si="201"/>
        <v>9.2776604325408522E-3</v>
      </c>
      <c r="BJ760" s="57">
        <f t="shared" si="205"/>
        <v>1.1732123678503337E-2</v>
      </c>
      <c r="BK760" s="57">
        <f t="shared" si="206"/>
        <v>5.6199530138976159E-4</v>
      </c>
      <c r="BL760" s="58">
        <f t="shared" si="207"/>
        <v>20.700319884844394</v>
      </c>
      <c r="BM760" s="58">
        <f t="shared" si="207"/>
        <v>0.99159221564153166</v>
      </c>
    </row>
    <row r="761" spans="47:65" x14ac:dyDescent="0.2">
      <c r="AU761" s="2">
        <v>-876</v>
      </c>
      <c r="AV761" s="53">
        <v>759</v>
      </c>
      <c r="AW761" s="4" t="s">
        <v>2442</v>
      </c>
      <c r="AX761" t="s">
        <v>768</v>
      </c>
      <c r="AY761" s="4">
        <v>26435</v>
      </c>
      <c r="AZ761" s="9">
        <v>23.669194045535079</v>
      </c>
      <c r="BA761" s="7">
        <f t="shared" si="202"/>
        <v>6.0665147936471875E-4</v>
      </c>
      <c r="BB761" s="54">
        <f t="shared" si="196"/>
        <v>379.54604993110939</v>
      </c>
      <c r="BC761" s="55">
        <f t="shared" si="197"/>
        <v>330.24465341814243</v>
      </c>
      <c r="BD761" s="55">
        <f t="shared" si="198"/>
        <v>18.17263474067925</v>
      </c>
      <c r="BE761" s="55">
        <f t="shared" si="199"/>
        <v>17.808854797966355</v>
      </c>
      <c r="BF761" s="56">
        <f t="shared" si="200"/>
        <v>0.19807341917790705</v>
      </c>
      <c r="BG761" s="56">
        <f t="shared" si="203"/>
        <v>8.9941316540867707E-5</v>
      </c>
      <c r="BH761" s="56">
        <f t="shared" si="204"/>
        <v>9.4837395863060104E-3</v>
      </c>
      <c r="BI761" s="56">
        <f t="shared" si="201"/>
        <v>9.2938940139582846E-3</v>
      </c>
      <c r="BJ761" s="57">
        <f t="shared" si="205"/>
        <v>1.6660686229602716E-2</v>
      </c>
      <c r="BK761" s="57">
        <f t="shared" si="206"/>
        <v>7.9771233407541708E-4</v>
      </c>
      <c r="BL761" s="58">
        <f t="shared" si="207"/>
        <v>29.396343228610995</v>
      </c>
      <c r="BM761" s="58">
        <f t="shared" si="207"/>
        <v>1.4074945801759171</v>
      </c>
    </row>
    <row r="762" spans="47:65" x14ac:dyDescent="0.2">
      <c r="AU762" s="2">
        <v>-875</v>
      </c>
      <c r="AV762" s="53">
        <v>760</v>
      </c>
      <c r="AW762" s="4" t="s">
        <v>2087</v>
      </c>
      <c r="AX762" t="s">
        <v>497</v>
      </c>
      <c r="AY762" s="4">
        <v>57464</v>
      </c>
      <c r="AZ762" s="9">
        <v>23.670912648596808</v>
      </c>
      <c r="BA762" s="7">
        <f t="shared" si="202"/>
        <v>6.0669552788989594E-4</v>
      </c>
      <c r="BB762" s="54">
        <f t="shared" si="196"/>
        <v>379.97074433393021</v>
      </c>
      <c r="BC762" s="55">
        <f t="shared" si="197"/>
        <v>330.82815329162457</v>
      </c>
      <c r="BD762" s="55">
        <f t="shared" si="198"/>
        <v>18.188682010844673</v>
      </c>
      <c r="BE762" s="55">
        <f t="shared" si="199"/>
        <v>17.824580833753561</v>
      </c>
      <c r="BF762" s="56">
        <f t="shared" si="200"/>
        <v>0.19829505413495047</v>
      </c>
      <c r="BG762" s="56">
        <f t="shared" si="203"/>
        <v>9.010023129172924E-5</v>
      </c>
      <c r="BH762" s="56">
        <f t="shared" si="204"/>
        <v>9.4921141634374175E-3</v>
      </c>
      <c r="BI762" s="56">
        <f t="shared" si="201"/>
        <v>9.3021009487399397E-3</v>
      </c>
      <c r="BJ762" s="57">
        <f t="shared" si="205"/>
        <v>3.6257270591223904E-2</v>
      </c>
      <c r="BK762" s="57">
        <f t="shared" si="206"/>
        <v>1.7355861607739407E-3</v>
      </c>
      <c r="BL762" s="58">
        <f t="shared" si="207"/>
        <v>63.972825377292807</v>
      </c>
      <c r="BM762" s="58">
        <f t="shared" si="207"/>
        <v>3.0622920197780221</v>
      </c>
    </row>
    <row r="763" spans="47:65" x14ac:dyDescent="0.2">
      <c r="AU763" s="2">
        <v>-874</v>
      </c>
      <c r="AV763" s="53">
        <v>761</v>
      </c>
      <c r="AW763" s="4" t="s">
        <v>2343</v>
      </c>
      <c r="AX763" t="s">
        <v>691</v>
      </c>
      <c r="AY763" s="4">
        <v>29121</v>
      </c>
      <c r="AZ763" s="9">
        <v>23.675837324686498</v>
      </c>
      <c r="BA763" s="7">
        <f t="shared" si="202"/>
        <v>6.0682174942618713E-4</v>
      </c>
      <c r="BB763" s="54">
        <f t="shared" si="196"/>
        <v>381.19034478068693</v>
      </c>
      <c r="BC763" s="55">
        <f t="shared" si="197"/>
        <v>332.50569165065752</v>
      </c>
      <c r="BD763" s="55">
        <f t="shared" si="198"/>
        <v>18.234738595621753</v>
      </c>
      <c r="BE763" s="55">
        <f t="shared" si="199"/>
        <v>17.869715457460558</v>
      </c>
      <c r="BF763" s="56">
        <f t="shared" si="200"/>
        <v>0.1989315261271207</v>
      </c>
      <c r="BG763" s="56">
        <f t="shared" si="203"/>
        <v>9.0557104724800657E-5</v>
      </c>
      <c r="BH763" s="56">
        <f t="shared" si="204"/>
        <v>9.5161496796131086E-3</v>
      </c>
      <c r="BI763" s="56">
        <f t="shared" si="201"/>
        <v>9.3256553217670318E-3</v>
      </c>
      <c r="BJ763" s="57">
        <f t="shared" si="205"/>
        <v>1.8433052960765018E-2</v>
      </c>
      <c r="BK763" s="57">
        <f t="shared" si="206"/>
        <v>8.8176919185139297E-4</v>
      </c>
      <c r="BL763" s="58">
        <f t="shared" si="207"/>
        <v>32.523531391103667</v>
      </c>
      <c r="BM763" s="58">
        <f t="shared" si="207"/>
        <v>1.5558056525920529</v>
      </c>
    </row>
    <row r="764" spans="47:65" x14ac:dyDescent="0.2">
      <c r="AU764" s="2">
        <v>-873</v>
      </c>
      <c r="AV764" s="53">
        <v>762</v>
      </c>
      <c r="AW764" s="4" t="s">
        <v>1707</v>
      </c>
      <c r="AX764" t="s">
        <v>225</v>
      </c>
      <c r="AY764" s="4">
        <v>24278</v>
      </c>
      <c r="AZ764" s="9">
        <v>23.676626584439102</v>
      </c>
      <c r="BA764" s="7">
        <f t="shared" si="202"/>
        <v>6.0684197848830048E-4</v>
      </c>
      <c r="BB764" s="54">
        <f t="shared" si="196"/>
        <v>381.38616932996905</v>
      </c>
      <c r="BC764" s="55">
        <f t="shared" si="197"/>
        <v>332.77530628774474</v>
      </c>
      <c r="BD764" s="55">
        <f t="shared" si="198"/>
        <v>18.242129982207253</v>
      </c>
      <c r="BE764" s="55">
        <f t="shared" si="199"/>
        <v>17.876958883212254</v>
      </c>
      <c r="BF764" s="56">
        <f t="shared" si="200"/>
        <v>0.19903372094127372</v>
      </c>
      <c r="BG764" s="56">
        <f t="shared" si="203"/>
        <v>9.0630533605985208E-5</v>
      </c>
      <c r="BH764" s="56">
        <f t="shared" si="204"/>
        <v>9.5200070171184859E-3</v>
      </c>
      <c r="BI764" s="56">
        <f t="shared" si="201"/>
        <v>9.3294354430604083E-3</v>
      </c>
      <c r="BJ764" s="57">
        <f t="shared" si="205"/>
        <v>1.5375418354537606E-2</v>
      </c>
      <c r="BK764" s="57">
        <f t="shared" si="206"/>
        <v>7.3542357513136714E-4</v>
      </c>
      <c r="BL764" s="58">
        <f t="shared" si="207"/>
        <v>27.128598966733584</v>
      </c>
      <c r="BM764" s="58">
        <f t="shared" si="207"/>
        <v>1.2975914398148631</v>
      </c>
    </row>
    <row r="765" spans="47:65" x14ac:dyDescent="0.2">
      <c r="AU765" s="2">
        <v>-872</v>
      </c>
      <c r="AV765" s="53">
        <v>763</v>
      </c>
      <c r="AW765" s="4" t="s">
        <v>1858</v>
      </c>
      <c r="AX765" t="s">
        <v>333</v>
      </c>
      <c r="AY765" s="4">
        <v>26772</v>
      </c>
      <c r="AZ765" s="9">
        <v>23.684424181616407</v>
      </c>
      <c r="BA765" s="7">
        <f t="shared" si="202"/>
        <v>6.0704183421021491E-4</v>
      </c>
      <c r="BB765" s="54">
        <f t="shared" si="196"/>
        <v>383.32625931649204</v>
      </c>
      <c r="BC765" s="55">
        <f t="shared" si="197"/>
        <v>335.45035755336181</v>
      </c>
      <c r="BD765" s="55">
        <f t="shared" si="198"/>
        <v>18.315303916489125</v>
      </c>
      <c r="BE765" s="55">
        <f t="shared" si="199"/>
        <v>17.948668021112038</v>
      </c>
      <c r="BF765" s="56">
        <f t="shared" si="200"/>
        <v>0.20004619428202725</v>
      </c>
      <c r="BG765" s="56">
        <f t="shared" si="203"/>
        <v>9.1359077217979356E-5</v>
      </c>
      <c r="BH765" s="56">
        <f t="shared" si="204"/>
        <v>9.5581942446248368E-3</v>
      </c>
      <c r="BI765" s="56">
        <f t="shared" si="201"/>
        <v>9.3668582383513513E-3</v>
      </c>
      <c r="BJ765" s="57">
        <f t="shared" si="205"/>
        <v>1.7041133635435975E-2</v>
      </c>
      <c r="BK765" s="57">
        <f t="shared" si="206"/>
        <v>8.1422426465395999E-4</v>
      </c>
      <c r="BL765" s="58">
        <f t="shared" si="207"/>
        <v>30.067609848015774</v>
      </c>
      <c r="BM765" s="58">
        <f t="shared" si="207"/>
        <v>1.4366284568941163</v>
      </c>
    </row>
    <row r="766" spans="47:65" x14ac:dyDescent="0.2">
      <c r="AU766" s="2">
        <v>-871</v>
      </c>
      <c r="AV766" s="53">
        <v>764</v>
      </c>
      <c r="AW766" s="4" t="s">
        <v>1469</v>
      </c>
      <c r="AX766" t="s">
        <v>68</v>
      </c>
      <c r="AY766" s="4">
        <v>16681</v>
      </c>
      <c r="AZ766" s="9">
        <v>23.687342789216366</v>
      </c>
      <c r="BA766" s="7">
        <f t="shared" si="202"/>
        <v>6.0711663936052101E-4</v>
      </c>
      <c r="BB766" s="54">
        <f t="shared" si="196"/>
        <v>384.05496260754865</v>
      </c>
      <c r="BC766" s="55">
        <f t="shared" si="197"/>
        <v>336.45694231122064</v>
      </c>
      <c r="BD766" s="55">
        <f t="shared" si="198"/>
        <v>18.342762668453751</v>
      </c>
      <c r="BE766" s="55">
        <f t="shared" si="199"/>
        <v>17.975577103567581</v>
      </c>
      <c r="BF766" s="56">
        <f t="shared" si="200"/>
        <v>0.20042648213498176</v>
      </c>
      <c r="BG766" s="56">
        <f t="shared" si="203"/>
        <v>9.1633218093223543E-5</v>
      </c>
      <c r="BH766" s="56">
        <f t="shared" si="204"/>
        <v>9.5725241234077621E-3</v>
      </c>
      <c r="BI766" s="56">
        <f t="shared" si="201"/>
        <v>9.3809012615100312E-3</v>
      </c>
      <c r="BJ766" s="57">
        <f t="shared" si="205"/>
        <v>1.0638112000397788E-2</v>
      </c>
      <c r="BK766" s="57">
        <f t="shared" si="206"/>
        <v>5.0808447400049305E-4</v>
      </c>
      <c r="BL766" s="58">
        <f t="shared" si="207"/>
        <v>18.770030679315898</v>
      </c>
      <c r="BM766" s="58">
        <f t="shared" si="207"/>
        <v>0.89647121259079898</v>
      </c>
    </row>
    <row r="767" spans="47:65" x14ac:dyDescent="0.2">
      <c r="AU767" s="2">
        <v>-870</v>
      </c>
      <c r="AV767" s="53">
        <v>765</v>
      </c>
      <c r="AW767" s="4" t="s">
        <v>1913</v>
      </c>
      <c r="AX767" t="s">
        <v>373</v>
      </c>
      <c r="AY767" s="4">
        <v>26629</v>
      </c>
      <c r="AZ767" s="9">
        <v>23.693633850345293</v>
      </c>
      <c r="BA767" s="7">
        <f t="shared" si="202"/>
        <v>6.0727788192472892E-4</v>
      </c>
      <c r="BB767" s="54">
        <f t="shared" si="196"/>
        <v>385.63039806597612</v>
      </c>
      <c r="BC767" s="55">
        <f t="shared" si="197"/>
        <v>338.63655265662459</v>
      </c>
      <c r="BD767" s="55">
        <f t="shared" si="198"/>
        <v>18.402080117655846</v>
      </c>
      <c r="BE767" s="55">
        <f t="shared" si="199"/>
        <v>18.033707135613025</v>
      </c>
      <c r="BF767" s="56">
        <f t="shared" si="200"/>
        <v>0.20124865348415394</v>
      </c>
      <c r="BG767" s="56">
        <f t="shared" si="203"/>
        <v>9.222682959300518E-5</v>
      </c>
      <c r="BH767" s="56">
        <f t="shared" si="204"/>
        <v>9.6034800771910376E-3</v>
      </c>
      <c r="BI767" s="56">
        <f t="shared" si="201"/>
        <v>9.4112375387711833E-3</v>
      </c>
      <c r="BJ767" s="57">
        <f t="shared" si="205"/>
        <v>1.7051995645965084E-2</v>
      </c>
      <c r="BK767" s="57">
        <f t="shared" si="206"/>
        <v>8.1371227895081586E-4</v>
      </c>
      <c r="BL767" s="58">
        <f t="shared" si="207"/>
        <v>30.086774928329159</v>
      </c>
      <c r="BM767" s="58">
        <f t="shared" si="207"/>
        <v>1.4357251022993325</v>
      </c>
    </row>
    <row r="768" spans="47:65" x14ac:dyDescent="0.2">
      <c r="AU768" s="2">
        <v>-869</v>
      </c>
      <c r="AV768" s="53">
        <v>766</v>
      </c>
      <c r="AW768" s="4" t="s">
        <v>1393</v>
      </c>
      <c r="AX768" t="s">
        <v>16</v>
      </c>
      <c r="AY768" s="4">
        <v>65154</v>
      </c>
      <c r="AZ768" s="9">
        <v>23.701481327589512</v>
      </c>
      <c r="BA768" s="7">
        <f t="shared" si="202"/>
        <v>6.0747901609390796E-4</v>
      </c>
      <c r="BB768" s="54">
        <f t="shared" si="196"/>
        <v>387.60466063628996</v>
      </c>
      <c r="BC768" s="55">
        <f t="shared" si="197"/>
        <v>341.37449228224426</v>
      </c>
      <c r="BD768" s="55">
        <f t="shared" si="198"/>
        <v>18.476322477220521</v>
      </c>
      <c r="BE768" s="55">
        <f t="shared" si="199"/>
        <v>18.106463311050042</v>
      </c>
      <c r="BF768" s="56">
        <f t="shared" si="200"/>
        <v>0.20227896044618937</v>
      </c>
      <c r="BG768" s="56">
        <f t="shared" si="203"/>
        <v>9.2972500694683675E-5</v>
      </c>
      <c r="BH768" s="56">
        <f t="shared" si="204"/>
        <v>9.6422248830175944E-3</v>
      </c>
      <c r="BI768" s="56">
        <f t="shared" si="201"/>
        <v>9.4492067507752076E-3</v>
      </c>
      <c r="BJ768" s="57">
        <f t="shared" si="205"/>
        <v>4.1935243458766064E-2</v>
      </c>
      <c r="BK768" s="57">
        <f t="shared" si="206"/>
        <v>1.9989674015606809E-3</v>
      </c>
      <c r="BL768" s="58">
        <f t="shared" si="207"/>
        <v>73.991118559025097</v>
      </c>
      <c r="BM768" s="58">
        <f t="shared" si="207"/>
        <v>3.5270054924072394</v>
      </c>
    </row>
    <row r="769" spans="47:65" x14ac:dyDescent="0.2">
      <c r="AU769" s="2">
        <v>-868</v>
      </c>
      <c r="AV769" s="53">
        <v>767</v>
      </c>
      <c r="AW769" s="4" t="s">
        <v>1619</v>
      </c>
      <c r="AX769" t="s">
        <v>175</v>
      </c>
      <c r="AY769" s="4">
        <v>17549</v>
      </c>
      <c r="AZ769" s="9">
        <v>23.722618556332762</v>
      </c>
      <c r="BA769" s="7">
        <f t="shared" si="202"/>
        <v>6.0802077222899627E-4</v>
      </c>
      <c r="BB769" s="54">
        <f t="shared" si="196"/>
        <v>392.97277526750872</v>
      </c>
      <c r="BC769" s="55">
        <f t="shared" si="197"/>
        <v>348.85574040012779</v>
      </c>
      <c r="BD769" s="55">
        <f t="shared" si="198"/>
        <v>18.677680273527752</v>
      </c>
      <c r="BE769" s="55">
        <f t="shared" si="199"/>
        <v>18.303790325434306</v>
      </c>
      <c r="BF769" s="56">
        <f t="shared" si="200"/>
        <v>0.20508041449830633</v>
      </c>
      <c r="BG769" s="56">
        <f t="shared" si="203"/>
        <v>9.5010000161000242E-5</v>
      </c>
      <c r="BH769" s="56">
        <f t="shared" si="204"/>
        <v>9.7473073287447053E-3</v>
      </c>
      <c r="BI769" s="56">
        <f t="shared" si="201"/>
        <v>9.5521856552914699E-3</v>
      </c>
      <c r="BJ769" s="57">
        <f t="shared" si="205"/>
        <v>1.1451541008754744E-2</v>
      </c>
      <c r="BK769" s="57">
        <f t="shared" si="206"/>
        <v>5.4428254337752721E-4</v>
      </c>
      <c r="BL769" s="58">
        <f t="shared" si="207"/>
        <v>20.205255975095323</v>
      </c>
      <c r="BM769" s="58">
        <f t="shared" si="207"/>
        <v>0.9603395825340304</v>
      </c>
    </row>
    <row r="770" spans="47:65" x14ac:dyDescent="0.2">
      <c r="AU770" s="2">
        <v>-867</v>
      </c>
      <c r="AV770" s="53">
        <v>768</v>
      </c>
      <c r="AW770" s="4" t="s">
        <v>1544</v>
      </c>
      <c r="AX770" t="s">
        <v>1545</v>
      </c>
      <c r="AY770" s="4">
        <v>27628</v>
      </c>
      <c r="AZ770" s="9">
        <v>23.723452082619342</v>
      </c>
      <c r="BA770" s="7">
        <f t="shared" si="202"/>
        <v>6.0804213586114486E-4</v>
      </c>
      <c r="BB770" s="54">
        <f t="shared" si="196"/>
        <v>393.18597879477744</v>
      </c>
      <c r="BC770" s="55">
        <f t="shared" si="197"/>
        <v>349.15397225862694</v>
      </c>
      <c r="BD770" s="55">
        <f t="shared" si="198"/>
        <v>18.685662210867104</v>
      </c>
      <c r="BE770" s="55">
        <f t="shared" si="199"/>
        <v>18.311612480290297</v>
      </c>
      <c r="BF770" s="56">
        <f t="shared" si="200"/>
        <v>0.20519167886697659</v>
      </c>
      <c r="BG770" s="56">
        <f t="shared" si="203"/>
        <v>9.509122287182435E-5</v>
      </c>
      <c r="BH770" s="56">
        <f t="shared" si="204"/>
        <v>9.7514728565393834E-3</v>
      </c>
      <c r="BI770" s="56">
        <f t="shared" si="201"/>
        <v>9.5562677975185549E-3</v>
      </c>
      <c r="BJ770" s="57">
        <f t="shared" si="205"/>
        <v>1.8038339824505773E-2</v>
      </c>
      <c r="BK770" s="57">
        <f t="shared" si="206"/>
        <v>8.5724909580634434E-4</v>
      </c>
      <c r="BL770" s="58">
        <f t="shared" si="207"/>
        <v>31.827094121328923</v>
      </c>
      <c r="BM770" s="58">
        <f t="shared" si="207"/>
        <v>1.5125420589197804</v>
      </c>
    </row>
    <row r="771" spans="47:65" x14ac:dyDescent="0.2">
      <c r="AU771" s="2">
        <v>-866</v>
      </c>
      <c r="AV771" s="53">
        <v>769</v>
      </c>
      <c r="AW771" s="4" t="s">
        <v>1656</v>
      </c>
      <c r="AX771" t="s">
        <v>201</v>
      </c>
      <c r="AY771" s="4">
        <v>23934</v>
      </c>
      <c r="AZ771" s="9">
        <v>23.723729817732508</v>
      </c>
      <c r="BA771" s="7">
        <f t="shared" si="202"/>
        <v>6.0804925432985778E-4</v>
      </c>
      <c r="BB771" s="54">
        <f t="shared" ref="BB771:BB834" si="208">IFERROR(IF(MATCH(AX771,$S$4:$S$20,0),VLOOKUP(AX771,$S$4:$AT$20,20,FALSE)),AVERAGE((2^(($AE$23*AZ771)+$AE$24)),(2^(($AF$23*AZ771)+$AF$24)),(2^(($AG$23*AZ771)+$AG$24)),(2^(($AH$23*AZ771)+$AH$24))))</f>
        <v>393.25704496411731</v>
      </c>
      <c r="BC771" s="55">
        <f t="shared" ref="BC771:BC834" si="209">IFERROR(IF(MATCH(AX771,$S$4:$S$20,0),VLOOKUP(AX771,$S$4:$AT$20,21,FALSE)),_xlfn.VAR.S((2^(($AE$23*AZ771)+$AE$24)),(2^(($AF$23*AZ771)+$AF$24)),(2^(($AG$23*AZ771)+$AG$24)),(2^(($AH$23*AZ771)+$AH$24))))</f>
        <v>349.25339917903051</v>
      </c>
      <c r="BD771" s="55">
        <f t="shared" ref="BD771:BD834" si="210">SQRT(BC771)</f>
        <v>18.688322535183048</v>
      </c>
      <c r="BE771" s="55">
        <f t="shared" ref="BE771:BE834" si="211">_xlfn.CONFIDENCE.NORM(0.05,BD771,4)</f>
        <v>18.314219550213522</v>
      </c>
      <c r="BF771" s="56">
        <f t="shared" ref="BF771:BF834" si="212">IFERROR(IF(MATCH(AX771,$S$4:$S$20,0),VLOOKUP(AX771,$S$4:$AT$20,24,FALSE)),AVERAGE((2^(($AI$23*AZ771)+$AI$24)),(2^(($AJ$23*AZ771)+$AJ$24)),(2^(($AK$23*AZ771)+$AK$24)),(2^(($AL$23*AZ771)+$AL$24))))</f>
        <v>0.20522876611673599</v>
      </c>
      <c r="BG771" s="56">
        <f t="shared" si="203"/>
        <v>9.5118301548282173E-5</v>
      </c>
      <c r="BH771" s="56">
        <f t="shared" si="204"/>
        <v>9.752861198042459E-3</v>
      </c>
      <c r="BI771" s="56">
        <f t="shared" ref="BI771:BI834" si="213">_xlfn.CONFIDENCE.NORM(0.05,BH771,4)</f>
        <v>9.5576283471906897E-3</v>
      </c>
      <c r="BJ771" s="57">
        <f t="shared" si="205"/>
        <v>1.562934914137374E-2</v>
      </c>
      <c r="BK771" s="57">
        <f t="shared" si="206"/>
        <v>7.4273638961927057E-4</v>
      </c>
      <c r="BL771" s="58">
        <f t="shared" si="207"/>
        <v>27.576637928831261</v>
      </c>
      <c r="BM771" s="58">
        <f t="shared" si="207"/>
        <v>1.3104942699678979</v>
      </c>
    </row>
    <row r="772" spans="47:65" x14ac:dyDescent="0.2">
      <c r="AU772" s="2">
        <v>-865</v>
      </c>
      <c r="AV772" s="53">
        <v>770</v>
      </c>
      <c r="AW772" s="4" t="s">
        <v>2640</v>
      </c>
      <c r="AX772" t="s">
        <v>922</v>
      </c>
      <c r="AY772" s="4">
        <v>39040</v>
      </c>
      <c r="AZ772" s="9">
        <v>23.731830005519956</v>
      </c>
      <c r="BA772" s="7">
        <f t="shared" ref="BA772:BA835" si="214">AZ772/$AZ$1637</f>
        <v>6.0825686557741167E-4</v>
      </c>
      <c r="BB772" s="54">
        <f t="shared" si="208"/>
        <v>395.33536116266561</v>
      </c>
      <c r="BC772" s="55">
        <f t="shared" si="209"/>
        <v>352.16523617215893</v>
      </c>
      <c r="BD772" s="55">
        <f t="shared" si="210"/>
        <v>18.766066081418316</v>
      </c>
      <c r="BE772" s="55">
        <f t="shared" si="211"/>
        <v>18.390406825539298</v>
      </c>
      <c r="BF772" s="56">
        <f t="shared" si="212"/>
        <v>0.20631337546955103</v>
      </c>
      <c r="BG772" s="56">
        <f t="shared" ref="BG772:BG835" si="215">IFERROR(IF(MATCH(AX772,$S$4:$S$20,0),VLOOKUP(AX772,$S$4:$AT$20,25,FALSE)),_xlfn.VAR.S((2^(($AI$23*AZ772)+$AI$24)),(2^(($AJ$23*AZ772)+$AJ$24)),(2^(($AK$23*AZ772)+$AK$24)),(2^(($AL$23*AZ772)+$AL$24))))</f>
        <v>9.5911333168940865E-5</v>
      </c>
      <c r="BH772" s="56">
        <f t="shared" ref="BH772:BH835" si="216">SQRT(BG772)</f>
        <v>9.7934331655932013E-3</v>
      </c>
      <c r="BI772" s="56">
        <f t="shared" si="213"/>
        <v>9.5973881447813814E-3</v>
      </c>
      <c r="BJ772" s="57">
        <f t="shared" ref="BJ772:BJ835" si="217">(((BF772*0.000001)*AY772)*1000000000000000)*$S$24</f>
        <v>2.5628581284234425E-2</v>
      </c>
      <c r="BK772" s="57">
        <f t="shared" ref="BK772:BK835" si="218">((((BH772*0.000001)*AY772)*1000000000000000)*$S$24)</f>
        <v>1.2165561121031897E-3</v>
      </c>
      <c r="BL772" s="58">
        <f t="shared" ref="BL772:BM835" si="219">((BJ772/$S$26)*0.000000001)/0.45</f>
        <v>45.219420227426973</v>
      </c>
      <c r="BM772" s="58">
        <f t="shared" si="219"/>
        <v>2.1465082851573931</v>
      </c>
    </row>
    <row r="773" spans="47:65" x14ac:dyDescent="0.2">
      <c r="AU773" s="2">
        <v>-864</v>
      </c>
      <c r="AV773" s="53">
        <v>771</v>
      </c>
      <c r="AW773" s="4" t="s">
        <v>1839</v>
      </c>
      <c r="AX773" t="s">
        <v>318</v>
      </c>
      <c r="AY773" s="4">
        <v>50603</v>
      </c>
      <c r="AZ773" s="9">
        <v>23.737789499723135</v>
      </c>
      <c r="BA773" s="7">
        <f t="shared" si="214"/>
        <v>6.0840960994072496E-4</v>
      </c>
      <c r="BB773" s="54">
        <f t="shared" si="208"/>
        <v>396.87143656301566</v>
      </c>
      <c r="BC773" s="55">
        <f t="shared" si="209"/>
        <v>354.32246817294248</v>
      </c>
      <c r="BD773" s="55">
        <f t="shared" si="210"/>
        <v>18.823455266580108</v>
      </c>
      <c r="BE773" s="55">
        <f t="shared" si="211"/>
        <v>18.446647193548902</v>
      </c>
      <c r="BF773" s="56">
        <f t="shared" si="212"/>
        <v>0.2071150060140334</v>
      </c>
      <c r="BG773" s="56">
        <f t="shared" si="215"/>
        <v>9.6498849981783223E-5</v>
      </c>
      <c r="BH773" s="56">
        <f t="shared" si="216"/>
        <v>9.8233828176338134E-3</v>
      </c>
      <c r="BI773" s="56">
        <f t="shared" si="213"/>
        <v>9.6267382644559338E-3</v>
      </c>
      <c r="BJ773" s="57">
        <f t="shared" si="217"/>
        <v>3.3348415408019458E-2</v>
      </c>
      <c r="BK773" s="57">
        <f t="shared" si="218"/>
        <v>1.5817021529200856E-3</v>
      </c>
      <c r="BL773" s="58">
        <f t="shared" si="219"/>
        <v>58.840401406912264</v>
      </c>
      <c r="BM773" s="58">
        <f t="shared" si="219"/>
        <v>2.790776966320704</v>
      </c>
    </row>
    <row r="774" spans="47:65" x14ac:dyDescent="0.2">
      <c r="AU774" s="2">
        <v>-863</v>
      </c>
      <c r="AV774" s="53">
        <v>772</v>
      </c>
      <c r="AW774" s="4" t="s">
        <v>2883</v>
      </c>
      <c r="AX774" t="s">
        <v>1101</v>
      </c>
      <c r="AY774" s="4">
        <v>27209</v>
      </c>
      <c r="AZ774" s="9">
        <v>23.746149753546337</v>
      </c>
      <c r="BA774" s="7">
        <f t="shared" si="214"/>
        <v>6.0862388679104574E-4</v>
      </c>
      <c r="BB774" s="54">
        <f t="shared" si="208"/>
        <v>399.03637942459591</v>
      </c>
      <c r="BC774" s="55">
        <f t="shared" si="209"/>
        <v>357.37021005011087</v>
      </c>
      <c r="BD774" s="55">
        <f t="shared" si="210"/>
        <v>18.904237885990295</v>
      </c>
      <c r="BE774" s="55">
        <f t="shared" si="211"/>
        <v>18.525812705859288</v>
      </c>
      <c r="BF774" s="56">
        <f t="shared" si="212"/>
        <v>0.20824482316005791</v>
      </c>
      <c r="BG774" s="56">
        <f t="shared" si="215"/>
        <v>9.7328894962286653E-5</v>
      </c>
      <c r="BH774" s="56">
        <f t="shared" si="216"/>
        <v>9.865540784077002E-3</v>
      </c>
      <c r="BI774" s="56">
        <f t="shared" si="213"/>
        <v>9.6680523124009835E-3</v>
      </c>
      <c r="BJ774" s="57">
        <f t="shared" si="217"/>
        <v>1.80291049451448E-2</v>
      </c>
      <c r="BK774" s="57">
        <f t="shared" si="218"/>
        <v>8.5412385017619912E-4</v>
      </c>
      <c r="BL774" s="58">
        <f t="shared" si="219"/>
        <v>31.810799973559206</v>
      </c>
      <c r="BM774" s="58">
        <f t="shared" si="219"/>
        <v>1.5070278326777526</v>
      </c>
    </row>
    <row r="775" spans="47:65" x14ac:dyDescent="0.2">
      <c r="AU775" s="2">
        <v>-862</v>
      </c>
      <c r="AV775" s="53">
        <v>773</v>
      </c>
      <c r="AW775" s="4" t="s">
        <v>3139</v>
      </c>
      <c r="AX775" t="s">
        <v>3140</v>
      </c>
      <c r="AY775" s="5">
        <v>7254.3249999999989</v>
      </c>
      <c r="AZ775" s="9">
        <v>23.751372978215276</v>
      </c>
      <c r="BA775" s="7">
        <f t="shared" si="214"/>
        <v>6.0875776025401081E-4</v>
      </c>
      <c r="BB775" s="54">
        <f t="shared" si="208"/>
        <v>400.39495840467561</v>
      </c>
      <c r="BC775" s="55">
        <f t="shared" si="209"/>
        <v>359.28714999991735</v>
      </c>
      <c r="BD775" s="55">
        <f t="shared" si="210"/>
        <v>18.954871405523104</v>
      </c>
      <c r="BE775" s="55">
        <f t="shared" si="211"/>
        <v>18.575432643206696</v>
      </c>
      <c r="BF775" s="56">
        <f t="shared" si="212"/>
        <v>0.20895382377765492</v>
      </c>
      <c r="BG775" s="56">
        <f t="shared" si="215"/>
        <v>9.7850968827926149E-5</v>
      </c>
      <c r="BH775" s="56">
        <f t="shared" si="216"/>
        <v>9.891964861842472E-3</v>
      </c>
      <c r="BI775" s="56">
        <f t="shared" si="213"/>
        <v>9.6939474327734868E-3</v>
      </c>
      <c r="BJ775" s="57">
        <f t="shared" si="217"/>
        <v>4.8231936998699839E-3</v>
      </c>
      <c r="BK775" s="57">
        <f t="shared" si="218"/>
        <v>2.283320866707009E-4</v>
      </c>
      <c r="BL775" s="58">
        <f t="shared" si="219"/>
        <v>8.510109097879166</v>
      </c>
      <c r="BM775" s="58">
        <f t="shared" si="219"/>
        <v>0.40287226452598113</v>
      </c>
    </row>
    <row r="776" spans="47:65" x14ac:dyDescent="0.2">
      <c r="AU776" s="2">
        <v>-861</v>
      </c>
      <c r="AV776" s="53">
        <v>774</v>
      </c>
      <c r="AW776" s="4" t="s">
        <v>1646</v>
      </c>
      <c r="AX776" t="s">
        <v>194</v>
      </c>
      <c r="AY776" s="4">
        <v>27467</v>
      </c>
      <c r="AZ776" s="9">
        <v>23.766010122503651</v>
      </c>
      <c r="BA776" s="7">
        <f t="shared" si="214"/>
        <v>6.0913291646841903E-4</v>
      </c>
      <c r="BB776" s="54">
        <f t="shared" si="208"/>
        <v>404.22682622550121</v>
      </c>
      <c r="BC776" s="55">
        <f t="shared" si="209"/>
        <v>364.7119637747428</v>
      </c>
      <c r="BD776" s="55">
        <f t="shared" si="210"/>
        <v>19.097433434227302</v>
      </c>
      <c r="BE776" s="55">
        <f t="shared" si="211"/>
        <v>18.71514086411829</v>
      </c>
      <c r="BF776" s="56">
        <f t="shared" si="212"/>
        <v>0.21095355783165551</v>
      </c>
      <c r="BG776" s="56">
        <f t="shared" si="215"/>
        <v>9.9328403474772508E-5</v>
      </c>
      <c r="BH776" s="56">
        <f t="shared" si="216"/>
        <v>9.9663636033797461E-3</v>
      </c>
      <c r="BI776" s="56">
        <f t="shared" si="213"/>
        <v>9.766856859727566E-3</v>
      </c>
      <c r="BJ776" s="57">
        <f t="shared" si="217"/>
        <v>1.8436796157166958E-2</v>
      </c>
      <c r="BK776" s="57">
        <f t="shared" si="218"/>
        <v>8.7103444034043807E-4</v>
      </c>
      <c r="BL776" s="58">
        <f t="shared" si="219"/>
        <v>32.530135938160562</v>
      </c>
      <c r="BM776" s="58">
        <f t="shared" si="219"/>
        <v>1.5368651098352251</v>
      </c>
    </row>
    <row r="777" spans="47:65" x14ac:dyDescent="0.2">
      <c r="AU777" s="2">
        <v>-860</v>
      </c>
      <c r="AV777" s="53">
        <v>775</v>
      </c>
      <c r="AW777" s="4" t="s">
        <v>1429</v>
      </c>
      <c r="AX777" t="s">
        <v>38</v>
      </c>
      <c r="AY777" s="4">
        <v>50964</v>
      </c>
      <c r="AZ777" s="9">
        <v>23.769982543980287</v>
      </c>
      <c r="BA777" s="7">
        <f t="shared" si="214"/>
        <v>6.0923473131521211E-4</v>
      </c>
      <c r="BB777" s="54">
        <f t="shared" si="208"/>
        <v>405.27308173976672</v>
      </c>
      <c r="BC777" s="55">
        <f t="shared" si="209"/>
        <v>366.19778344288329</v>
      </c>
      <c r="BD777" s="55">
        <f t="shared" si="210"/>
        <v>19.136294924642108</v>
      </c>
      <c r="BE777" s="55">
        <f t="shared" si="211"/>
        <v>18.753224424917576</v>
      </c>
      <c r="BF777" s="56">
        <f t="shared" si="212"/>
        <v>0.21149956643082801</v>
      </c>
      <c r="BG777" s="56">
        <f t="shared" si="215"/>
        <v>9.973306279541038E-5</v>
      </c>
      <c r="BH777" s="56">
        <f t="shared" si="216"/>
        <v>9.9866442209287885E-3</v>
      </c>
      <c r="BI777" s="56">
        <f t="shared" si="213"/>
        <v>9.7867314997177445E-3</v>
      </c>
      <c r="BJ777" s="57">
        <f t="shared" si="217"/>
        <v>3.4297333828171975E-2</v>
      </c>
      <c r="BK777" s="57">
        <f t="shared" si="218"/>
        <v>1.6194608643814899E-3</v>
      </c>
      <c r="BL777" s="58">
        <f t="shared" si="219"/>
        <v>60.514686078643933</v>
      </c>
      <c r="BM777" s="58">
        <f t="shared" si="219"/>
        <v>2.8573989545565381</v>
      </c>
    </row>
    <row r="778" spans="47:65" x14ac:dyDescent="0.2">
      <c r="AU778" s="2">
        <v>-859</v>
      </c>
      <c r="AV778" s="53">
        <v>776</v>
      </c>
      <c r="AW778" s="4" t="s">
        <v>2810</v>
      </c>
      <c r="AX778" t="s">
        <v>1049</v>
      </c>
      <c r="AY778" s="4">
        <v>28904</v>
      </c>
      <c r="AZ778" s="9">
        <v>23.779298285390187</v>
      </c>
      <c r="BA778" s="7">
        <f t="shared" si="214"/>
        <v>6.0947349771751642E-4</v>
      </c>
      <c r="BB778" s="54">
        <f t="shared" si="208"/>
        <v>407.73729456288595</v>
      </c>
      <c r="BC778" s="55">
        <f t="shared" si="209"/>
        <v>369.70509368490281</v>
      </c>
      <c r="BD778" s="55">
        <f t="shared" si="210"/>
        <v>19.227716808942834</v>
      </c>
      <c r="BE778" s="55">
        <f t="shared" si="211"/>
        <v>18.84281622523168</v>
      </c>
      <c r="BF778" s="56">
        <f t="shared" si="212"/>
        <v>0.21278556337255833</v>
      </c>
      <c r="BG778" s="56">
        <f t="shared" si="215"/>
        <v>1.006882700861799E-4</v>
      </c>
      <c r="BH778" s="56">
        <f t="shared" si="216"/>
        <v>1.0034354492750388E-2</v>
      </c>
      <c r="BI778" s="56">
        <f t="shared" si="213"/>
        <v>9.8334867069492186E-3</v>
      </c>
      <c r="BJ778" s="57">
        <f t="shared" si="217"/>
        <v>1.9569849250362339E-2</v>
      </c>
      <c r="BK778" s="57">
        <f t="shared" si="218"/>
        <v>9.2285774295694501E-4</v>
      </c>
      <c r="BL778" s="58">
        <f t="shared" si="219"/>
        <v>34.529310351794848</v>
      </c>
      <c r="BM778" s="58">
        <f t="shared" si="219"/>
        <v>1.6283028555535384</v>
      </c>
    </row>
    <row r="779" spans="47:65" x14ac:dyDescent="0.2">
      <c r="AU779" s="2">
        <v>-858</v>
      </c>
      <c r="AV779" s="53">
        <v>777</v>
      </c>
      <c r="AW779" s="4" t="s">
        <v>2121</v>
      </c>
      <c r="AX779" t="s">
        <v>525</v>
      </c>
      <c r="AY779" s="4">
        <v>69769</v>
      </c>
      <c r="AZ779" s="9">
        <v>23.780867321351948</v>
      </c>
      <c r="BA779" s="7">
        <f t="shared" si="214"/>
        <v>6.0951371277450349E-4</v>
      </c>
      <c r="BB779" s="54">
        <f t="shared" si="208"/>
        <v>408.15381010681625</v>
      </c>
      <c r="BC779" s="55">
        <f t="shared" si="209"/>
        <v>370.2989998109129</v>
      </c>
      <c r="BD779" s="55">
        <f t="shared" si="210"/>
        <v>19.243154622122457</v>
      </c>
      <c r="BE779" s="55">
        <f t="shared" si="211"/>
        <v>18.857945004147741</v>
      </c>
      <c r="BF779" s="56">
        <f t="shared" si="212"/>
        <v>0.21300293003450091</v>
      </c>
      <c r="BG779" s="56">
        <f t="shared" si="215"/>
        <v>1.0085001895425166E-4</v>
      </c>
      <c r="BH779" s="56">
        <f t="shared" si="216"/>
        <v>1.004241101301135E-2</v>
      </c>
      <c r="BI779" s="56">
        <f t="shared" si="213"/>
        <v>9.8413819517253216E-3</v>
      </c>
      <c r="BJ779" s="57">
        <f t="shared" si="217"/>
        <v>4.7286312497612872E-2</v>
      </c>
      <c r="BK779" s="57">
        <f t="shared" si="218"/>
        <v>2.2293993106752446E-3</v>
      </c>
      <c r="BL779" s="58">
        <f t="shared" si="219"/>
        <v>83.432618143024229</v>
      </c>
      <c r="BM779" s="58">
        <f t="shared" si="219"/>
        <v>3.9335827124451521</v>
      </c>
    </row>
    <row r="780" spans="47:65" x14ac:dyDescent="0.2">
      <c r="AU780" s="2">
        <v>-857</v>
      </c>
      <c r="AV780" s="53">
        <v>778</v>
      </c>
      <c r="AW780" s="4" t="s">
        <v>2924</v>
      </c>
      <c r="AX780" t="s">
        <v>1134</v>
      </c>
      <c r="AY780" s="4">
        <v>30348</v>
      </c>
      <c r="AZ780" s="9">
        <v>23.783267646410426</v>
      </c>
      <c r="BA780" s="7">
        <f t="shared" si="214"/>
        <v>6.0957523412351431E-4</v>
      </c>
      <c r="BB780" s="54">
        <f t="shared" si="208"/>
        <v>408.79182281228634</v>
      </c>
      <c r="BC780" s="55">
        <f t="shared" si="209"/>
        <v>371.20934139856018</v>
      </c>
      <c r="BD780" s="55">
        <f t="shared" si="210"/>
        <v>19.266793749831866</v>
      </c>
      <c r="BE780" s="55">
        <f t="shared" si="211"/>
        <v>18.881110923615932</v>
      </c>
      <c r="BF780" s="56">
        <f t="shared" si="212"/>
        <v>0.21333588925795832</v>
      </c>
      <c r="BG780" s="56">
        <f t="shared" si="215"/>
        <v>1.0109794823954686E-4</v>
      </c>
      <c r="BH780" s="56">
        <f t="shared" si="216"/>
        <v>1.005474754728068E-2</v>
      </c>
      <c r="BI780" s="56">
        <f t="shared" si="213"/>
        <v>9.8534715331562873E-3</v>
      </c>
      <c r="BJ780" s="57">
        <f t="shared" si="217"/>
        <v>2.0600671174455524E-2</v>
      </c>
      <c r="BK780" s="57">
        <f t="shared" si="218"/>
        <v>9.7093156094909389E-4</v>
      </c>
      <c r="BL780" s="58">
        <f t="shared" si="219"/>
        <v>36.348106688909645</v>
      </c>
      <c r="BM780" s="58">
        <f t="shared" si="219"/>
        <v>1.7131249591891027</v>
      </c>
    </row>
    <row r="781" spans="47:65" x14ac:dyDescent="0.2">
      <c r="AU781" s="2">
        <v>-856</v>
      </c>
      <c r="AV781" s="53">
        <v>779</v>
      </c>
      <c r="AW781" s="4" t="s">
        <v>2841</v>
      </c>
      <c r="AX781" t="s">
        <v>1069</v>
      </c>
      <c r="AY781" s="4">
        <v>38701</v>
      </c>
      <c r="AZ781" s="9">
        <v>23.783867104192272</v>
      </c>
      <c r="BA781" s="7">
        <f t="shared" si="214"/>
        <v>6.095905984806392E-4</v>
      </c>
      <c r="BB781" s="54">
        <f t="shared" si="208"/>
        <v>408.95131585428226</v>
      </c>
      <c r="BC781" s="55">
        <f t="shared" si="209"/>
        <v>371.43702653076087</v>
      </c>
      <c r="BD781" s="55">
        <f t="shared" si="210"/>
        <v>19.272701588795506</v>
      </c>
      <c r="BE781" s="55">
        <f t="shared" si="211"/>
        <v>18.886900499413532</v>
      </c>
      <c r="BF781" s="56">
        <f t="shared" si="212"/>
        <v>0.21341912377500563</v>
      </c>
      <c r="BG781" s="56">
        <f t="shared" si="215"/>
        <v>1.0115995772352589E-4</v>
      </c>
      <c r="BH781" s="56">
        <f t="shared" si="216"/>
        <v>1.0057830666874736E-2</v>
      </c>
      <c r="BI781" s="56">
        <f t="shared" si="213"/>
        <v>9.8564929348384771E-3</v>
      </c>
      <c r="BJ781" s="57">
        <f t="shared" si="217"/>
        <v>2.6281060839488449E-2</v>
      </c>
      <c r="BK781" s="57">
        <f t="shared" si="218"/>
        <v>1.2385509554807966E-3</v>
      </c>
      <c r="BL781" s="58">
        <f t="shared" si="219"/>
        <v>46.370664101272858</v>
      </c>
      <c r="BM781" s="58">
        <f t="shared" si="219"/>
        <v>2.1853162883979111</v>
      </c>
    </row>
    <row r="782" spans="47:65" x14ac:dyDescent="0.2">
      <c r="AU782" s="2">
        <v>-855</v>
      </c>
      <c r="AV782" s="53">
        <v>780</v>
      </c>
      <c r="AW782" s="4" t="s">
        <v>2863</v>
      </c>
      <c r="AX782" t="s">
        <v>1085</v>
      </c>
      <c r="AY782" s="4">
        <v>44138</v>
      </c>
      <c r="AZ782" s="9">
        <v>23.789881180368823</v>
      </c>
      <c r="BA782" s="7">
        <f t="shared" si="214"/>
        <v>6.0974474180307335E-4</v>
      </c>
      <c r="BB782" s="54">
        <f t="shared" si="208"/>
        <v>410.55488216985225</v>
      </c>
      <c r="BC782" s="55">
        <f t="shared" si="209"/>
        <v>373.72874072960855</v>
      </c>
      <c r="BD782" s="55">
        <f t="shared" si="210"/>
        <v>19.332065092214243</v>
      </c>
      <c r="BE782" s="55">
        <f t="shared" si="211"/>
        <v>18.945075663761955</v>
      </c>
      <c r="BF782" s="56">
        <f t="shared" si="212"/>
        <v>0.21425597575399796</v>
      </c>
      <c r="BG782" s="56">
        <f t="shared" si="215"/>
        <v>1.0178410043120332E-4</v>
      </c>
      <c r="BH782" s="56">
        <f t="shared" si="216"/>
        <v>1.0088810654938635E-2</v>
      </c>
      <c r="BI782" s="56">
        <f t="shared" si="213"/>
        <v>9.8868527652618363E-3</v>
      </c>
      <c r="BJ782" s="57">
        <f t="shared" si="217"/>
        <v>3.00907467809669E-2</v>
      </c>
      <c r="BK782" s="57">
        <f t="shared" si="218"/>
        <v>1.4169025889268088E-3</v>
      </c>
      <c r="BL782" s="58">
        <f t="shared" si="219"/>
        <v>53.0925262134066</v>
      </c>
      <c r="BM782" s="58">
        <f t="shared" si="219"/>
        <v>2.5000023559409654</v>
      </c>
    </row>
    <row r="783" spans="47:65" x14ac:dyDescent="0.2">
      <c r="AU783" s="2">
        <v>-854</v>
      </c>
      <c r="AV783" s="53">
        <v>781</v>
      </c>
      <c r="AW783" s="4" t="s">
        <v>3090</v>
      </c>
      <c r="AX783" t="s">
        <v>1237</v>
      </c>
      <c r="AY783" s="4">
        <v>38226</v>
      </c>
      <c r="AZ783" s="9">
        <v>23.790908705570327</v>
      </c>
      <c r="BA783" s="7">
        <f t="shared" si="214"/>
        <v>6.0977107770966894E-4</v>
      </c>
      <c r="BB783" s="54">
        <f t="shared" si="208"/>
        <v>410.82948517919692</v>
      </c>
      <c r="BC783" s="55">
        <f t="shared" si="209"/>
        <v>374.1216475891402</v>
      </c>
      <c r="BD783" s="55">
        <f t="shared" si="210"/>
        <v>19.342224473651942</v>
      </c>
      <c r="BE783" s="55">
        <f t="shared" si="211"/>
        <v>18.955031674623502</v>
      </c>
      <c r="BF783" s="56">
        <f t="shared" si="212"/>
        <v>0.21439928262542313</v>
      </c>
      <c r="BG783" s="56">
        <f t="shared" si="215"/>
        <v>1.0189110764497094E-4</v>
      </c>
      <c r="BH783" s="56">
        <f t="shared" si="216"/>
        <v>1.0094112523890891E-2</v>
      </c>
      <c r="BI783" s="56">
        <f t="shared" si="213"/>
        <v>9.8920485013604242E-3</v>
      </c>
      <c r="BJ783" s="57">
        <f t="shared" si="217"/>
        <v>2.6077716250772449E-2</v>
      </c>
      <c r="BK783" s="57">
        <f t="shared" si="218"/>
        <v>1.2277625138386618E-3</v>
      </c>
      <c r="BL783" s="58">
        <f t="shared" si="219"/>
        <v>46.01188012075739</v>
      </c>
      <c r="BM783" s="58">
        <f t="shared" si="219"/>
        <v>2.1662810140374504</v>
      </c>
    </row>
    <row r="784" spans="47:65" x14ac:dyDescent="0.2">
      <c r="AU784" s="2">
        <v>-853</v>
      </c>
      <c r="AV784" s="53">
        <v>782</v>
      </c>
      <c r="AW784" s="4" t="s">
        <v>2546</v>
      </c>
      <c r="AX784" t="s">
        <v>851</v>
      </c>
      <c r="AY784" s="4">
        <v>33123</v>
      </c>
      <c r="AZ784" s="9">
        <v>23.798806118009242</v>
      </c>
      <c r="BA784" s="7">
        <f t="shared" si="214"/>
        <v>6.0997349173906113E-4</v>
      </c>
      <c r="BB784" s="54">
        <f t="shared" si="208"/>
        <v>412.94618523285624</v>
      </c>
      <c r="BC784" s="55">
        <f t="shared" si="209"/>
        <v>377.15478165560677</v>
      </c>
      <c r="BD784" s="55">
        <f t="shared" si="210"/>
        <v>19.420473260340664</v>
      </c>
      <c r="BE784" s="55">
        <f t="shared" si="211"/>
        <v>19.031714076495426</v>
      </c>
      <c r="BF784" s="56">
        <f t="shared" si="212"/>
        <v>0.21550392333260068</v>
      </c>
      <c r="BG784" s="56">
        <f t="shared" si="215"/>
        <v>1.0271717422427475E-4</v>
      </c>
      <c r="BH784" s="56">
        <f t="shared" si="216"/>
        <v>1.0134948160907127E-2</v>
      </c>
      <c r="BI784" s="56">
        <f t="shared" si="213"/>
        <v>9.9320666902792103E-3</v>
      </c>
      <c r="BJ784" s="57">
        <f t="shared" si="217"/>
        <v>2.2712880597989166E-2</v>
      </c>
      <c r="BK784" s="57">
        <f t="shared" si="218"/>
        <v>1.0681655530243913E-3</v>
      </c>
      <c r="BL784" s="58">
        <f t="shared" si="219"/>
        <v>40.07491795761824</v>
      </c>
      <c r="BM784" s="58">
        <f t="shared" si="219"/>
        <v>1.8846859480429001</v>
      </c>
    </row>
    <row r="785" spans="47:65" x14ac:dyDescent="0.2">
      <c r="AU785" s="2">
        <v>-852</v>
      </c>
      <c r="AV785" s="53">
        <v>783</v>
      </c>
      <c r="AW785" s="4" t="s">
        <v>1740</v>
      </c>
      <c r="AX785" t="s">
        <v>249</v>
      </c>
      <c r="AY785" s="4">
        <v>41509</v>
      </c>
      <c r="AZ785" s="9">
        <v>23.798839070923002</v>
      </c>
      <c r="BA785" s="7">
        <f t="shared" si="214"/>
        <v>6.0997433633621311E-4</v>
      </c>
      <c r="BB785" s="54">
        <f t="shared" si="208"/>
        <v>412.95504023191921</v>
      </c>
      <c r="BC785" s="55">
        <f t="shared" si="209"/>
        <v>377.16748725486082</v>
      </c>
      <c r="BD785" s="55">
        <f t="shared" si="210"/>
        <v>19.420800376268247</v>
      </c>
      <c r="BE785" s="55">
        <f t="shared" si="211"/>
        <v>19.032034644213841</v>
      </c>
      <c r="BF785" s="56">
        <f t="shared" si="212"/>
        <v>0.21550854448447829</v>
      </c>
      <c r="BG785" s="56">
        <f t="shared" si="215"/>
        <v>1.0272063456288482E-4</v>
      </c>
      <c r="BH785" s="56">
        <f t="shared" si="216"/>
        <v>1.0135118872656838E-2</v>
      </c>
      <c r="BI785" s="56">
        <f t="shared" si="213"/>
        <v>9.9322339847197957E-3</v>
      </c>
      <c r="BJ785" s="57">
        <f t="shared" si="217"/>
        <v>2.8463882420329233E-2</v>
      </c>
      <c r="BK785" s="57">
        <f t="shared" si="218"/>
        <v>1.3386236383223392E-3</v>
      </c>
      <c r="BL785" s="58">
        <f t="shared" si="219"/>
        <v>50.222064428541671</v>
      </c>
      <c r="BM785" s="58">
        <f t="shared" si="219"/>
        <v>2.361885902162737</v>
      </c>
    </row>
    <row r="786" spans="47:65" x14ac:dyDescent="0.2">
      <c r="AU786" s="2">
        <v>-851</v>
      </c>
      <c r="AV786" s="53">
        <v>784</v>
      </c>
      <c r="AW786" s="4" t="s">
        <v>3171</v>
      </c>
      <c r="AX786" t="s">
        <v>3172</v>
      </c>
      <c r="AY786" s="5">
        <v>9456.9449999999961</v>
      </c>
      <c r="AZ786" s="9">
        <v>23.799135613280946</v>
      </c>
      <c r="BA786" s="7">
        <f t="shared" si="214"/>
        <v>6.0998193684258419E-4</v>
      </c>
      <c r="BB786" s="54">
        <f t="shared" si="208"/>
        <v>413.03473466717242</v>
      </c>
      <c r="BC786" s="55">
        <f t="shared" si="209"/>
        <v>377.28184313770561</v>
      </c>
      <c r="BD786" s="55">
        <f t="shared" si="210"/>
        <v>19.423744313023317</v>
      </c>
      <c r="BE786" s="55">
        <f t="shared" si="211"/>
        <v>19.034919649220193</v>
      </c>
      <c r="BF786" s="56">
        <f t="shared" si="212"/>
        <v>0.21555013456105229</v>
      </c>
      <c r="BG786" s="56">
        <f t="shared" si="215"/>
        <v>1.0275177910542969E-4</v>
      </c>
      <c r="BH786" s="56">
        <f t="shared" si="216"/>
        <v>1.0136655222775888E-2</v>
      </c>
      <c r="BI786" s="56">
        <f t="shared" si="213"/>
        <v>9.9337395801702873E-3</v>
      </c>
      <c r="BJ786" s="57">
        <f t="shared" si="217"/>
        <v>6.4861432147801006E-3</v>
      </c>
      <c r="BK786" s="57">
        <f t="shared" si="218"/>
        <v>3.0502322639539204E-4</v>
      </c>
      <c r="BL786" s="58">
        <f t="shared" si="219"/>
        <v>11.444240023728529</v>
      </c>
      <c r="BM786" s="58">
        <f t="shared" si="219"/>
        <v>0.53818716301645841</v>
      </c>
    </row>
    <row r="787" spans="47:65" x14ac:dyDescent="0.2">
      <c r="AU787" s="2">
        <v>-850</v>
      </c>
      <c r="AV787" s="53">
        <v>785</v>
      </c>
      <c r="AW787" s="4" t="s">
        <v>2134</v>
      </c>
      <c r="AX787" t="s">
        <v>534</v>
      </c>
      <c r="AY787" s="4">
        <v>38472</v>
      </c>
      <c r="AZ787" s="9">
        <v>23.799695582595032</v>
      </c>
      <c r="BA787" s="7">
        <f t="shared" si="214"/>
        <v>6.0999628909353689E-4</v>
      </c>
      <c r="BB787" s="54">
        <f t="shared" si="208"/>
        <v>413.18526586887367</v>
      </c>
      <c r="BC787" s="55">
        <f t="shared" si="209"/>
        <v>377.49787564929846</v>
      </c>
      <c r="BD787" s="55">
        <f t="shared" si="210"/>
        <v>19.429304559075153</v>
      </c>
      <c r="BE787" s="55">
        <f t="shared" si="211"/>
        <v>19.040368590223583</v>
      </c>
      <c r="BF787" s="56">
        <f t="shared" si="212"/>
        <v>0.21562869216906688</v>
      </c>
      <c r="BG787" s="56">
        <f t="shared" si="215"/>
        <v>1.0281061502693873E-4</v>
      </c>
      <c r="BH787" s="56">
        <f t="shared" si="216"/>
        <v>1.0139556944311656E-2</v>
      </c>
      <c r="BI787" s="56">
        <f t="shared" si="213"/>
        <v>9.936583215021921E-3</v>
      </c>
      <c r="BJ787" s="57">
        <f t="shared" si="217"/>
        <v>2.639603436124794E-2</v>
      </c>
      <c r="BK787" s="57">
        <f t="shared" si="218"/>
        <v>1.2412267162480875E-3</v>
      </c>
      <c r="BL787" s="58">
        <f t="shared" si="219"/>
        <v>46.573524959539256</v>
      </c>
      <c r="BM787" s="58">
        <f t="shared" si="219"/>
        <v>2.19003743738475</v>
      </c>
    </row>
    <row r="788" spans="47:65" x14ac:dyDescent="0.2">
      <c r="AU788" s="2">
        <v>-849</v>
      </c>
      <c r="AV788" s="53">
        <v>786</v>
      </c>
      <c r="AW788" s="4" t="s">
        <v>3087</v>
      </c>
      <c r="AX788" t="s">
        <v>1234</v>
      </c>
      <c r="AY788" s="4">
        <v>53137</v>
      </c>
      <c r="AZ788" s="9">
        <v>23.800913588543246</v>
      </c>
      <c r="BA788" s="7">
        <f t="shared" si="214"/>
        <v>6.100275071024364E-4</v>
      </c>
      <c r="BB788" s="54">
        <f t="shared" si="208"/>
        <v>413.51288026066345</v>
      </c>
      <c r="BC788" s="55">
        <f t="shared" si="209"/>
        <v>377.96818585531827</v>
      </c>
      <c r="BD788" s="55">
        <f t="shared" si="210"/>
        <v>19.441403906490866</v>
      </c>
      <c r="BE788" s="55">
        <f t="shared" si="211"/>
        <v>19.052225732809202</v>
      </c>
      <c r="BF788" s="56">
        <f t="shared" si="212"/>
        <v>0.21579966405183426</v>
      </c>
      <c r="BG788" s="56">
        <f t="shared" si="215"/>
        <v>1.029387028511449E-4</v>
      </c>
      <c r="BH788" s="56">
        <f t="shared" si="216"/>
        <v>1.0145871221888482E-2</v>
      </c>
      <c r="BI788" s="56">
        <f t="shared" si="213"/>
        <v>9.9427710933414053E-3</v>
      </c>
      <c r="BJ788" s="57">
        <f t="shared" si="217"/>
        <v>3.6486748895693151E-2</v>
      </c>
      <c r="BK788" s="57">
        <f t="shared" si="218"/>
        <v>1.7154329559668188E-3</v>
      </c>
      <c r="BL788" s="58">
        <f t="shared" si="219"/>
        <v>64.377720044219046</v>
      </c>
      <c r="BM788" s="58">
        <f t="shared" si="219"/>
        <v>3.0267334288831278</v>
      </c>
    </row>
    <row r="789" spans="47:65" x14ac:dyDescent="0.2">
      <c r="AU789" s="2">
        <v>-848</v>
      </c>
      <c r="AV789" s="53">
        <v>787</v>
      </c>
      <c r="AW789" s="4" t="s">
        <v>2721</v>
      </c>
      <c r="AX789" t="s">
        <v>982</v>
      </c>
      <c r="AY789" s="4">
        <v>81671</v>
      </c>
      <c r="AZ789" s="9">
        <v>23.802097689231488</v>
      </c>
      <c r="BA789" s="7">
        <f t="shared" si="214"/>
        <v>6.1005785610514674E-4</v>
      </c>
      <c r="BB789" s="54">
        <f t="shared" si="208"/>
        <v>413.83162398849703</v>
      </c>
      <c r="BC789" s="55">
        <f t="shared" si="209"/>
        <v>378.42594508735601</v>
      </c>
      <c r="BD789" s="55">
        <f t="shared" si="210"/>
        <v>19.45317313672389</v>
      </c>
      <c r="BE789" s="55">
        <f t="shared" si="211"/>
        <v>19.063759366500445</v>
      </c>
      <c r="BF789" s="56">
        <f t="shared" si="212"/>
        <v>0.21596600660769799</v>
      </c>
      <c r="BG789" s="56">
        <f t="shared" si="215"/>
        <v>1.0306337244855058E-4</v>
      </c>
      <c r="BH789" s="56">
        <f t="shared" si="216"/>
        <v>1.0152013221452708E-2</v>
      </c>
      <c r="BI789" s="56">
        <f t="shared" si="213"/>
        <v>9.9487901423108774E-3</v>
      </c>
      <c r="BJ789" s="57">
        <f t="shared" si="217"/>
        <v>5.6122969696697451E-2</v>
      </c>
      <c r="BK789" s="57">
        <f t="shared" si="218"/>
        <v>2.6381982022894586E-3</v>
      </c>
      <c r="BL789" s="58">
        <f t="shared" si="219"/>
        <v>99.024137270028447</v>
      </c>
      <c r="BM789" s="58">
        <f t="shared" si="219"/>
        <v>4.6548730821068185</v>
      </c>
    </row>
    <row r="790" spans="47:65" x14ac:dyDescent="0.2">
      <c r="AU790" s="2">
        <v>-847</v>
      </c>
      <c r="AV790" s="53">
        <v>788</v>
      </c>
      <c r="AW790" s="4" t="s">
        <v>1669</v>
      </c>
      <c r="AX790" t="s">
        <v>212</v>
      </c>
      <c r="AY790" s="4">
        <v>82191</v>
      </c>
      <c r="AZ790" s="9">
        <v>23.810588108210233</v>
      </c>
      <c r="BA790" s="7">
        <f t="shared" si="214"/>
        <v>6.1027546914359547E-4</v>
      </c>
      <c r="BB790" s="54">
        <f t="shared" si="208"/>
        <v>416.12433769217705</v>
      </c>
      <c r="BC790" s="55">
        <f t="shared" si="209"/>
        <v>381.72391377703281</v>
      </c>
      <c r="BD790" s="55">
        <f t="shared" si="210"/>
        <v>19.537756109057991</v>
      </c>
      <c r="BE790" s="55">
        <f t="shared" si="211"/>
        <v>19.146649156240539</v>
      </c>
      <c r="BF790" s="56">
        <f t="shared" si="212"/>
        <v>0.21716250342953625</v>
      </c>
      <c r="BG790" s="56">
        <f t="shared" si="215"/>
        <v>1.0396156608406065E-4</v>
      </c>
      <c r="BH790" s="56">
        <f t="shared" si="216"/>
        <v>1.0196154475294136E-2</v>
      </c>
      <c r="BI790" s="56">
        <f t="shared" si="213"/>
        <v>9.9920477761916981E-3</v>
      </c>
      <c r="BJ790" s="57">
        <f t="shared" si="217"/>
        <v>5.6793217852458174E-2</v>
      </c>
      <c r="BK790" s="57">
        <f t="shared" si="218"/>
        <v>2.6665396338120158E-3</v>
      </c>
      <c r="BL790" s="58">
        <f t="shared" si="219"/>
        <v>100.20673230624476</v>
      </c>
      <c r="BM790" s="58">
        <f t="shared" si="219"/>
        <v>4.7048790924923303</v>
      </c>
    </row>
    <row r="791" spans="47:65" x14ac:dyDescent="0.2">
      <c r="AU791" s="2">
        <v>-846</v>
      </c>
      <c r="AV791" s="53">
        <v>789</v>
      </c>
      <c r="AW791" s="4" t="s">
        <v>1623</v>
      </c>
      <c r="AX791" t="s">
        <v>179</v>
      </c>
      <c r="AY791" s="4">
        <v>29413</v>
      </c>
      <c r="AZ791" s="9">
        <v>23.811012954132625</v>
      </c>
      <c r="BA791" s="7">
        <f t="shared" si="214"/>
        <v>6.1028635812472544E-4</v>
      </c>
      <c r="BB791" s="54">
        <f t="shared" si="208"/>
        <v>416.2393942729596</v>
      </c>
      <c r="BC791" s="55">
        <f t="shared" si="209"/>
        <v>381.88966345403082</v>
      </c>
      <c r="BD791" s="55">
        <f t="shared" si="210"/>
        <v>19.541997427438957</v>
      </c>
      <c r="BE791" s="55">
        <f t="shared" si="211"/>
        <v>19.150805571877367</v>
      </c>
      <c r="BF791" s="56">
        <f t="shared" si="212"/>
        <v>0.2172225479231063</v>
      </c>
      <c r="BG791" s="56">
        <f t="shared" si="215"/>
        <v>1.0400670759963037E-4</v>
      </c>
      <c r="BH791" s="56">
        <f t="shared" si="216"/>
        <v>1.0198367889011965E-2</v>
      </c>
      <c r="BI791" s="56">
        <f t="shared" si="213"/>
        <v>9.994216881776612E-3</v>
      </c>
      <c r="BJ791" s="57">
        <f t="shared" si="217"/>
        <v>2.0329729427366692E-2</v>
      </c>
      <c r="BK791" s="57">
        <f t="shared" si="218"/>
        <v>9.5445920217154432E-4</v>
      </c>
      <c r="BL791" s="58">
        <f t="shared" si="219"/>
        <v>35.870053355294189</v>
      </c>
      <c r="BM791" s="58">
        <f t="shared" si="219"/>
        <v>1.6840609034991698</v>
      </c>
    </row>
    <row r="792" spans="47:65" x14ac:dyDescent="0.2">
      <c r="AU792" s="2">
        <v>-845</v>
      </c>
      <c r="AV792" s="53">
        <v>790</v>
      </c>
      <c r="AW792" s="4" t="s">
        <v>3269</v>
      </c>
      <c r="AX792" t="s">
        <v>3270</v>
      </c>
      <c r="AY792" s="5">
        <v>163233.09499999997</v>
      </c>
      <c r="AZ792" s="9">
        <v>23.814570210172533</v>
      </c>
      <c r="BA792" s="7">
        <f t="shared" si="214"/>
        <v>6.1037753210534075E-4</v>
      </c>
      <c r="BB792" s="54">
        <f t="shared" si="208"/>
        <v>417.2040180418324</v>
      </c>
      <c r="BC792" s="55">
        <f t="shared" si="209"/>
        <v>383.28021576060513</v>
      </c>
      <c r="BD792" s="55">
        <f t="shared" si="210"/>
        <v>19.57754366003573</v>
      </c>
      <c r="BE792" s="55">
        <f t="shared" si="211"/>
        <v>19.185640239715248</v>
      </c>
      <c r="BF792" s="56">
        <f t="shared" si="212"/>
        <v>0.21772595542308038</v>
      </c>
      <c r="BG792" s="56">
        <f t="shared" si="215"/>
        <v>1.0438542108939661E-4</v>
      </c>
      <c r="BH792" s="56">
        <f t="shared" si="216"/>
        <v>1.0216918375390724E-2</v>
      </c>
      <c r="BI792" s="56">
        <f t="shared" si="213"/>
        <v>1.0012396024375647E-2</v>
      </c>
      <c r="BJ792" s="57">
        <f t="shared" si="217"/>
        <v>0.11308520569861813</v>
      </c>
      <c r="BK792" s="57">
        <f t="shared" si="218"/>
        <v>5.3065897166092923E-3</v>
      </c>
      <c r="BL792" s="58">
        <f t="shared" si="219"/>
        <v>199.52908751669852</v>
      </c>
      <c r="BM792" s="58">
        <f t="shared" si="219"/>
        <v>9.3630196579594358</v>
      </c>
    </row>
    <row r="793" spans="47:65" x14ac:dyDescent="0.2">
      <c r="AU793" s="2">
        <v>-844</v>
      </c>
      <c r="AV793" s="53">
        <v>791</v>
      </c>
      <c r="AW793" s="4" t="s">
        <v>2717</v>
      </c>
      <c r="AX793" t="s">
        <v>978</v>
      </c>
      <c r="AY793" s="4">
        <v>69004</v>
      </c>
      <c r="AZ793" s="9">
        <v>23.816013454287763</v>
      </c>
      <c r="BA793" s="7">
        <f t="shared" si="214"/>
        <v>6.104145230639642E-4</v>
      </c>
      <c r="BB793" s="54">
        <f t="shared" si="208"/>
        <v>417.59602086155343</v>
      </c>
      <c r="BC793" s="55">
        <f t="shared" si="209"/>
        <v>383.84577752321735</v>
      </c>
      <c r="BD793" s="55">
        <f t="shared" si="210"/>
        <v>19.591982480678602</v>
      </c>
      <c r="BE793" s="55">
        <f t="shared" si="211"/>
        <v>19.199790023934877</v>
      </c>
      <c r="BF793" s="56">
        <f t="shared" si="212"/>
        <v>0.21793052964758786</v>
      </c>
      <c r="BG793" s="56">
        <f t="shared" si="215"/>
        <v>1.0453945044002994E-4</v>
      </c>
      <c r="BH793" s="56">
        <f t="shared" si="216"/>
        <v>1.0224453552147907E-2</v>
      </c>
      <c r="BI793" s="56">
        <f t="shared" si="213"/>
        <v>1.0019780361906257E-2</v>
      </c>
      <c r="BJ793" s="57">
        <f t="shared" si="217"/>
        <v>4.7849754398852008E-2</v>
      </c>
      <c r="BK793" s="57">
        <f t="shared" si="218"/>
        <v>2.2449245276643247E-3</v>
      </c>
      <c r="BL793" s="58">
        <f t="shared" si="219"/>
        <v>84.426762759275249</v>
      </c>
      <c r="BM793" s="58">
        <f t="shared" si="219"/>
        <v>3.9609756181766556</v>
      </c>
    </row>
    <row r="794" spans="47:65" x14ac:dyDescent="0.2">
      <c r="AU794" s="2">
        <v>-843</v>
      </c>
      <c r="AV794" s="53">
        <v>792</v>
      </c>
      <c r="AW794" s="4" t="s">
        <v>2375</v>
      </c>
      <c r="AX794" t="s">
        <v>716</v>
      </c>
      <c r="AY794" s="4">
        <v>35662</v>
      </c>
      <c r="AZ794" s="9">
        <v>23.820425443736944</v>
      </c>
      <c r="BA794" s="7">
        <f t="shared" si="214"/>
        <v>6.1052760422427492E-4</v>
      </c>
      <c r="BB794" s="54">
        <f t="shared" si="208"/>
        <v>418.79665703377941</v>
      </c>
      <c r="BC794" s="55">
        <f t="shared" si="209"/>
        <v>385.579683840695</v>
      </c>
      <c r="BD794" s="55">
        <f t="shared" si="210"/>
        <v>19.6361830262578</v>
      </c>
      <c r="BE794" s="55">
        <f t="shared" si="211"/>
        <v>19.243105762651002</v>
      </c>
      <c r="BF794" s="56">
        <f t="shared" si="212"/>
        <v>0.21855710476769413</v>
      </c>
      <c r="BG794" s="56">
        <f t="shared" si="215"/>
        <v>1.0501167554749671E-4</v>
      </c>
      <c r="BH794" s="56">
        <f t="shared" si="216"/>
        <v>1.0247520458505887E-2</v>
      </c>
      <c r="BI794" s="56">
        <f t="shared" si="213"/>
        <v>1.0042385514754459E-2</v>
      </c>
      <c r="BJ794" s="57">
        <f t="shared" si="217"/>
        <v>2.4800360667652649E-2</v>
      </c>
      <c r="BK794" s="57">
        <f t="shared" si="218"/>
        <v>1.1628183105290709E-3</v>
      </c>
      <c r="BL794" s="58">
        <f t="shared" si="219"/>
        <v>43.758096415278679</v>
      </c>
      <c r="BM794" s="58">
        <f t="shared" si="219"/>
        <v>2.0516925712273761</v>
      </c>
    </row>
    <row r="795" spans="47:65" x14ac:dyDescent="0.2">
      <c r="AU795" s="2">
        <v>-842</v>
      </c>
      <c r="AV795" s="53">
        <v>793</v>
      </c>
      <c r="AW795" s="4" t="s">
        <v>2317</v>
      </c>
      <c r="AX795" t="s">
        <v>669</v>
      </c>
      <c r="AY795" s="4">
        <v>25072</v>
      </c>
      <c r="AZ795" s="9">
        <v>23.828421642220878</v>
      </c>
      <c r="BA795" s="7">
        <f t="shared" si="214"/>
        <v>6.1073255018188714E-4</v>
      </c>
      <c r="BB795" s="54">
        <f t="shared" si="208"/>
        <v>420.9814702899879</v>
      </c>
      <c r="BC795" s="55">
        <f t="shared" si="209"/>
        <v>388.74141644638621</v>
      </c>
      <c r="BD795" s="55">
        <f t="shared" si="210"/>
        <v>19.716526480249666</v>
      </c>
      <c r="BE795" s="55">
        <f t="shared" si="211"/>
        <v>19.321840900759806</v>
      </c>
      <c r="BF795" s="56">
        <f t="shared" si="212"/>
        <v>0.21969729166201418</v>
      </c>
      <c r="BG795" s="56">
        <f t="shared" si="215"/>
        <v>1.0587276562166991E-4</v>
      </c>
      <c r="BH795" s="56">
        <f t="shared" si="216"/>
        <v>1.0289449238014147E-2</v>
      </c>
      <c r="BI795" s="56">
        <f t="shared" si="213"/>
        <v>1.0083474963630414E-2</v>
      </c>
      <c r="BJ795" s="57">
        <f t="shared" si="217"/>
        <v>1.7526736377718968E-2</v>
      </c>
      <c r="BK795" s="57">
        <f t="shared" si="218"/>
        <v>8.2085884128254942E-4</v>
      </c>
      <c r="BL795" s="58">
        <f t="shared" si="219"/>
        <v>30.924413984903119</v>
      </c>
      <c r="BM795" s="58">
        <f t="shared" si="219"/>
        <v>1.4483345948684334</v>
      </c>
    </row>
    <row r="796" spans="47:65" x14ac:dyDescent="0.2">
      <c r="AU796" s="2">
        <v>-841</v>
      </c>
      <c r="AV796" s="53">
        <v>794</v>
      </c>
      <c r="AW796" s="4" t="s">
        <v>2582</v>
      </c>
      <c r="AX796" t="s">
        <v>883</v>
      </c>
      <c r="AY796" s="4">
        <v>19092</v>
      </c>
      <c r="AZ796" s="9">
        <v>23.830615266872755</v>
      </c>
      <c r="BA796" s="7">
        <f t="shared" si="214"/>
        <v>6.1078877371183377E-4</v>
      </c>
      <c r="BB796" s="54">
        <f t="shared" si="208"/>
        <v>421.58282759629748</v>
      </c>
      <c r="BC796" s="55">
        <f t="shared" si="209"/>
        <v>389.6131389081624</v>
      </c>
      <c r="BD796" s="55">
        <f t="shared" si="210"/>
        <v>19.7386204915177</v>
      </c>
      <c r="BE796" s="55">
        <f t="shared" si="211"/>
        <v>19.343492633939491</v>
      </c>
      <c r="BF796" s="56">
        <f t="shared" si="212"/>
        <v>0.22001112155915051</v>
      </c>
      <c r="BG796" s="56">
        <f t="shared" si="215"/>
        <v>1.0611017708331574E-4</v>
      </c>
      <c r="BH796" s="56">
        <f t="shared" si="216"/>
        <v>1.0300979423497347E-2</v>
      </c>
      <c r="BI796" s="56">
        <f t="shared" si="213"/>
        <v>1.0094774337771482E-2</v>
      </c>
      <c r="BJ796" s="57">
        <f t="shared" si="217"/>
        <v>1.336544529890185E-2</v>
      </c>
      <c r="BK796" s="57">
        <f t="shared" si="218"/>
        <v>6.2577371559306586E-4</v>
      </c>
      <c r="BL796" s="58">
        <f t="shared" si="219"/>
        <v>23.582174947370873</v>
      </c>
      <c r="BM796" s="58">
        <f t="shared" si="219"/>
        <v>1.1041237241676098</v>
      </c>
    </row>
    <row r="797" spans="47:65" x14ac:dyDescent="0.2">
      <c r="AU797" s="2">
        <v>-840</v>
      </c>
      <c r="AV797" s="53">
        <v>795</v>
      </c>
      <c r="AW797" s="4" t="s">
        <v>2593</v>
      </c>
      <c r="AX797" t="s">
        <v>890</v>
      </c>
      <c r="AY797" s="4">
        <v>25658</v>
      </c>
      <c r="AZ797" s="9">
        <v>23.850463601180451</v>
      </c>
      <c r="BA797" s="7">
        <f t="shared" si="214"/>
        <v>6.1129749493603444E-4</v>
      </c>
      <c r="BB797" s="54">
        <f t="shared" si="208"/>
        <v>427.06322654114786</v>
      </c>
      <c r="BC797" s="55">
        <f t="shared" si="209"/>
        <v>397.58665731997371</v>
      </c>
      <c r="BD797" s="55">
        <f t="shared" si="210"/>
        <v>19.939575153948834</v>
      </c>
      <c r="BE797" s="55">
        <f t="shared" si="211"/>
        <v>19.540424584384706</v>
      </c>
      <c r="BF797" s="56">
        <f t="shared" si="212"/>
        <v>0.22287117334380879</v>
      </c>
      <c r="BG797" s="56">
        <f t="shared" si="215"/>
        <v>1.0828174514959837E-4</v>
      </c>
      <c r="BH797" s="56">
        <f t="shared" si="216"/>
        <v>1.0405851486043723E-2</v>
      </c>
      <c r="BI797" s="56">
        <f t="shared" si="213"/>
        <v>1.0197547070559147E-2</v>
      </c>
      <c r="BJ797" s="57">
        <f t="shared" si="217"/>
        <v>1.8195503277825643E-2</v>
      </c>
      <c r="BK797" s="57">
        <f t="shared" si="218"/>
        <v>8.4954775434682803E-4</v>
      </c>
      <c r="BL797" s="58">
        <f t="shared" si="219"/>
        <v>32.104395473333007</v>
      </c>
      <c r="BM797" s="58">
        <f t="shared" si="219"/>
        <v>1.4989537064506957</v>
      </c>
    </row>
    <row r="798" spans="47:65" x14ac:dyDescent="0.2">
      <c r="AU798" s="2">
        <v>-839</v>
      </c>
      <c r="AV798" s="53">
        <v>796</v>
      </c>
      <c r="AW798" s="4" t="s">
        <v>1480</v>
      </c>
      <c r="AX798" t="s">
        <v>77</v>
      </c>
      <c r="AY798" s="4">
        <v>24865</v>
      </c>
      <c r="AZ798" s="9">
        <v>23.85163950838216</v>
      </c>
      <c r="BA798" s="7">
        <f t="shared" si="214"/>
        <v>6.1132763393621087E-4</v>
      </c>
      <c r="BB798" s="54">
        <f t="shared" si="208"/>
        <v>427.39013727762472</v>
      </c>
      <c r="BC798" s="55">
        <f t="shared" si="209"/>
        <v>398.06394080116041</v>
      </c>
      <c r="BD798" s="55">
        <f t="shared" si="210"/>
        <v>19.951539810279318</v>
      </c>
      <c r="BE798" s="55">
        <f t="shared" si="211"/>
        <v>19.552149732132278</v>
      </c>
      <c r="BF798" s="56">
        <f t="shared" si="212"/>
        <v>0.22304177801049363</v>
      </c>
      <c r="BG798" s="56">
        <f t="shared" si="215"/>
        <v>1.0841173212808592E-4</v>
      </c>
      <c r="BH798" s="56">
        <f t="shared" si="216"/>
        <v>1.0412095472482277E-2</v>
      </c>
      <c r="BI798" s="56">
        <f t="shared" si="213"/>
        <v>1.0203666064828908E-2</v>
      </c>
      <c r="BJ798" s="57">
        <f t="shared" si="217"/>
        <v>1.7646641146962447E-2</v>
      </c>
      <c r="BK798" s="57">
        <f t="shared" si="218"/>
        <v>8.2378518513317556E-4</v>
      </c>
      <c r="BL798" s="58">
        <f t="shared" si="219"/>
        <v>31.135975603845669</v>
      </c>
      <c r="BM798" s="58">
        <f t="shared" si="219"/>
        <v>1.453497876083411</v>
      </c>
    </row>
    <row r="799" spans="47:65" x14ac:dyDescent="0.2">
      <c r="AU799" s="2">
        <v>-838</v>
      </c>
      <c r="AV799" s="53">
        <v>797</v>
      </c>
      <c r="AW799" s="4" t="s">
        <v>2054</v>
      </c>
      <c r="AX799" t="s">
        <v>474</v>
      </c>
      <c r="AY799" s="4">
        <v>74806</v>
      </c>
      <c r="AZ799" s="9">
        <v>23.85325878399226</v>
      </c>
      <c r="BA799" s="7">
        <f t="shared" si="214"/>
        <v>6.113691366566869E-4</v>
      </c>
      <c r="BB799" s="54">
        <f t="shared" si="208"/>
        <v>427.84071728566914</v>
      </c>
      <c r="BC799" s="55">
        <f t="shared" si="209"/>
        <v>398.72208355422453</v>
      </c>
      <c r="BD799" s="55">
        <f t="shared" si="210"/>
        <v>19.968026531288075</v>
      </c>
      <c r="BE799" s="55">
        <f t="shared" si="211"/>
        <v>19.568306421832439</v>
      </c>
      <c r="BF799" s="56">
        <f t="shared" si="212"/>
        <v>0.22327692186938164</v>
      </c>
      <c r="BG799" s="56">
        <f t="shared" si="215"/>
        <v>1.0859097568304158E-4</v>
      </c>
      <c r="BH799" s="56">
        <f t="shared" si="216"/>
        <v>1.042069938550391E-2</v>
      </c>
      <c r="BI799" s="56">
        <f t="shared" si="213"/>
        <v>1.0212097744653165E-2</v>
      </c>
      <c r="BJ799" s="57">
        <f t="shared" si="217"/>
        <v>5.3145639997775752E-2</v>
      </c>
      <c r="BK799" s="57">
        <f t="shared" si="218"/>
        <v>2.4803940032414942E-3</v>
      </c>
      <c r="BL799" s="58">
        <f t="shared" si="219"/>
        <v>93.770895925219435</v>
      </c>
      <c r="BM799" s="58">
        <f t="shared" si="219"/>
        <v>4.3764411895544182</v>
      </c>
    </row>
    <row r="800" spans="47:65" x14ac:dyDescent="0.2">
      <c r="AU800" s="2">
        <v>-837</v>
      </c>
      <c r="AV800" s="53">
        <v>798</v>
      </c>
      <c r="AW800" s="4" t="s">
        <v>2272</v>
      </c>
      <c r="AX800" t="s">
        <v>631</v>
      </c>
      <c r="AY800" s="4">
        <v>43534</v>
      </c>
      <c r="AZ800" s="9">
        <v>23.861823351130056</v>
      </c>
      <c r="BA800" s="7">
        <f t="shared" si="214"/>
        <v>6.1158865014389178E-4</v>
      </c>
      <c r="BB800" s="54">
        <f t="shared" si="208"/>
        <v>430.23180898503927</v>
      </c>
      <c r="BC800" s="55">
        <f t="shared" si="209"/>
        <v>402.22054285772691</v>
      </c>
      <c r="BD800" s="55">
        <f t="shared" si="210"/>
        <v>20.055436740637859</v>
      </c>
      <c r="BE800" s="55">
        <f t="shared" si="211"/>
        <v>19.653966852935781</v>
      </c>
      <c r="BF800" s="56">
        <f t="shared" si="212"/>
        <v>0.22452475914379988</v>
      </c>
      <c r="BG800" s="56">
        <f t="shared" si="215"/>
        <v>1.0954377244254735E-4</v>
      </c>
      <c r="BH800" s="56">
        <f t="shared" si="216"/>
        <v>1.0466316087456339E-2</v>
      </c>
      <c r="BI800" s="56">
        <f t="shared" si="213"/>
        <v>1.0256801291113294E-2</v>
      </c>
      <c r="BJ800" s="57">
        <f t="shared" si="217"/>
        <v>3.1101417576212594E-2</v>
      </c>
      <c r="BK800" s="57">
        <f t="shared" si="218"/>
        <v>1.4498056622438212E-3</v>
      </c>
      <c r="BL800" s="58">
        <f t="shared" si="219"/>
        <v>54.875767622478136</v>
      </c>
      <c r="BM800" s="58">
        <f t="shared" si="219"/>
        <v>2.5580569896561403</v>
      </c>
    </row>
    <row r="801" spans="47:65" x14ac:dyDescent="0.2">
      <c r="AU801" s="2">
        <v>-836</v>
      </c>
      <c r="AV801" s="53">
        <v>799</v>
      </c>
      <c r="AW801" s="4" t="s">
        <v>2698</v>
      </c>
      <c r="AX801" t="s">
        <v>962</v>
      </c>
      <c r="AY801" s="4">
        <v>28642</v>
      </c>
      <c r="AZ801" s="9">
        <v>23.863916411277401</v>
      </c>
      <c r="BA801" s="7">
        <f t="shared" si="214"/>
        <v>6.1164229616294684E-4</v>
      </c>
      <c r="BB801" s="54">
        <f t="shared" si="208"/>
        <v>430.8181875340083</v>
      </c>
      <c r="BC801" s="55">
        <f t="shared" si="209"/>
        <v>403.07999811512792</v>
      </c>
      <c r="BD801" s="55">
        <f t="shared" si="210"/>
        <v>20.076852295993213</v>
      </c>
      <c r="BE801" s="55">
        <f t="shared" si="211"/>
        <v>19.674953711538489</v>
      </c>
      <c r="BF801" s="56">
        <f t="shared" si="212"/>
        <v>0.22483077208781008</v>
      </c>
      <c r="BG801" s="56">
        <f t="shared" si="215"/>
        <v>1.0977784296135994E-4</v>
      </c>
      <c r="BH801" s="56">
        <f t="shared" si="216"/>
        <v>1.0477492207649689E-2</v>
      </c>
      <c r="BI801" s="56">
        <f t="shared" si="213"/>
        <v>1.0267753687646224E-2</v>
      </c>
      <c r="BJ801" s="57">
        <f t="shared" si="217"/>
        <v>2.0490212595741804E-2</v>
      </c>
      <c r="BK801" s="57">
        <f t="shared" si="218"/>
        <v>9.5487837724064892E-4</v>
      </c>
      <c r="BL801" s="58">
        <f t="shared" si="219"/>
        <v>36.153212058060433</v>
      </c>
      <c r="BM801" s="58">
        <f t="shared" si="219"/>
        <v>1.68480050173867</v>
      </c>
    </row>
    <row r="802" spans="47:65" x14ac:dyDescent="0.2">
      <c r="AU802" s="2">
        <v>-835</v>
      </c>
      <c r="AV802" s="53">
        <v>800</v>
      </c>
      <c r="AW802" s="4" t="s">
        <v>1491</v>
      </c>
      <c r="AX802" t="s">
        <v>86</v>
      </c>
      <c r="AY802" s="4">
        <v>13921</v>
      </c>
      <c r="AZ802" s="9">
        <v>23.8641967263463</v>
      </c>
      <c r="BA802" s="7">
        <f t="shared" si="214"/>
        <v>6.1164948075701918E-4</v>
      </c>
      <c r="BB802" s="54">
        <f t="shared" si="208"/>
        <v>430.89677950324187</v>
      </c>
      <c r="BC802" s="55">
        <f t="shared" si="209"/>
        <v>403.19523556863783</v>
      </c>
      <c r="BD802" s="55">
        <f t="shared" si="210"/>
        <v>20.07972199928669</v>
      </c>
      <c r="BE802" s="55">
        <f t="shared" si="211"/>
        <v>19.677765969089258</v>
      </c>
      <c r="BF802" s="56">
        <f t="shared" si="212"/>
        <v>0.22487178682124964</v>
      </c>
      <c r="BG802" s="56">
        <f t="shared" si="215"/>
        <v>1.0980922759749329E-4</v>
      </c>
      <c r="BH802" s="56">
        <f t="shared" si="216"/>
        <v>1.0478989817606147E-2</v>
      </c>
      <c r="BI802" s="56">
        <f t="shared" si="213"/>
        <v>1.0269221318434997E-2</v>
      </c>
      <c r="BJ802" s="57">
        <f t="shared" si="217"/>
        <v>9.960766887855934E-3</v>
      </c>
      <c r="BK802" s="57">
        <f t="shared" si="218"/>
        <v>4.641701667820223E-4</v>
      </c>
      <c r="BL802" s="58">
        <f t="shared" si="219"/>
        <v>17.574913675244133</v>
      </c>
      <c r="BM802" s="58">
        <f t="shared" si="219"/>
        <v>0.81898820679796858</v>
      </c>
    </row>
    <row r="803" spans="47:65" x14ac:dyDescent="0.2">
      <c r="AU803" s="2">
        <v>-834</v>
      </c>
      <c r="AV803" s="53">
        <v>801</v>
      </c>
      <c r="AW803" s="4" t="s">
        <v>2240</v>
      </c>
      <c r="AX803" t="s">
        <v>609</v>
      </c>
      <c r="AY803" s="4">
        <v>40362</v>
      </c>
      <c r="AZ803" s="9">
        <v>23.866588212304567</v>
      </c>
      <c r="BA803" s="7">
        <f t="shared" si="214"/>
        <v>6.1171077555614384E-4</v>
      </c>
      <c r="BB803" s="54">
        <f t="shared" si="208"/>
        <v>431.56786394393924</v>
      </c>
      <c r="BC803" s="55">
        <f t="shared" si="209"/>
        <v>404.17966457579882</v>
      </c>
      <c r="BD803" s="55">
        <f t="shared" si="210"/>
        <v>20.104220068826315</v>
      </c>
      <c r="BE803" s="55">
        <f t="shared" si="211"/>
        <v>19.701773636083466</v>
      </c>
      <c r="BF803" s="56">
        <f t="shared" si="212"/>
        <v>0.22522200516695537</v>
      </c>
      <c r="BG803" s="56">
        <f t="shared" si="215"/>
        <v>1.1007733440869539E-4</v>
      </c>
      <c r="BH803" s="56">
        <f t="shared" si="216"/>
        <v>1.0491774607219477E-2</v>
      </c>
      <c r="BI803" s="56">
        <f t="shared" si="213"/>
        <v>1.0281750182031021E-2</v>
      </c>
      <c r="BJ803" s="57">
        <f t="shared" si="217"/>
        <v>2.8924833714457913E-2</v>
      </c>
      <c r="BK803" s="57">
        <f t="shared" si="218"/>
        <v>1.3474386557318556E-3</v>
      </c>
      <c r="BL803" s="58">
        <f t="shared" si="219"/>
        <v>51.035373212294118</v>
      </c>
      <c r="BM803" s="58">
        <f t="shared" si="219"/>
        <v>2.3774392397483108</v>
      </c>
    </row>
    <row r="804" spans="47:65" x14ac:dyDescent="0.2">
      <c r="AU804" s="2">
        <v>-833</v>
      </c>
      <c r="AV804" s="53">
        <v>802</v>
      </c>
      <c r="AW804" s="4" t="s">
        <v>2556</v>
      </c>
      <c r="AX804" t="s">
        <v>861</v>
      </c>
      <c r="AY804" s="4">
        <v>68663</v>
      </c>
      <c r="AZ804" s="9">
        <v>23.874114352265629</v>
      </c>
      <c r="BA804" s="7">
        <f t="shared" si="214"/>
        <v>6.1190367371450531E-4</v>
      </c>
      <c r="BB804" s="54">
        <f t="shared" si="208"/>
        <v>433.68663252111014</v>
      </c>
      <c r="BC804" s="55">
        <f t="shared" si="209"/>
        <v>407.29283176370876</v>
      </c>
      <c r="BD804" s="55">
        <f t="shared" si="210"/>
        <v>20.181497262683678</v>
      </c>
      <c r="BE804" s="55">
        <f t="shared" si="211"/>
        <v>19.777503894476844</v>
      </c>
      <c r="BF804" s="56">
        <f t="shared" si="212"/>
        <v>0.22632772537298335</v>
      </c>
      <c r="BG804" s="56">
        <f t="shared" si="215"/>
        <v>1.1092519781115365E-4</v>
      </c>
      <c r="BH804" s="56">
        <f t="shared" si="216"/>
        <v>1.0532103199796024E-2</v>
      </c>
      <c r="BI804" s="56">
        <f t="shared" si="213"/>
        <v>1.0321271476529632E-2</v>
      </c>
      <c r="BJ804" s="57">
        <f t="shared" si="217"/>
        <v>4.9447906048289254E-2</v>
      </c>
      <c r="BK804" s="57">
        <f t="shared" si="218"/>
        <v>2.301045745306496E-3</v>
      </c>
      <c r="BL804" s="58">
        <f t="shared" si="219"/>
        <v>87.246563442800166</v>
      </c>
      <c r="BM804" s="58">
        <f t="shared" si="219"/>
        <v>4.0599966640976541</v>
      </c>
    </row>
    <row r="805" spans="47:65" x14ac:dyDescent="0.2">
      <c r="AU805" s="2">
        <v>-832</v>
      </c>
      <c r="AV805" s="53">
        <v>803</v>
      </c>
      <c r="AW805" s="4" t="s">
        <v>1462</v>
      </c>
      <c r="AX805" t="s">
        <v>61</v>
      </c>
      <c r="AY805" s="4">
        <v>30189</v>
      </c>
      <c r="AZ805" s="9">
        <v>23.878985372960358</v>
      </c>
      <c r="BA805" s="7">
        <f t="shared" si="214"/>
        <v>6.1202852004027324E-4</v>
      </c>
      <c r="BB805" s="54">
        <f t="shared" si="208"/>
        <v>435.06347057008293</v>
      </c>
      <c r="BC805" s="55">
        <f t="shared" si="209"/>
        <v>409.31999993990274</v>
      </c>
      <c r="BD805" s="55">
        <f t="shared" si="210"/>
        <v>20.231658358619612</v>
      </c>
      <c r="BE805" s="55">
        <f t="shared" si="211"/>
        <v>19.826660865206588</v>
      </c>
      <c r="BF805" s="56">
        <f t="shared" si="212"/>
        <v>0.22704625483749455</v>
      </c>
      <c r="BG805" s="56">
        <f t="shared" si="215"/>
        <v>1.1147729206228584E-4</v>
      </c>
      <c r="BH805" s="56">
        <f t="shared" si="216"/>
        <v>1.0558280734205065E-2</v>
      </c>
      <c r="BI805" s="56">
        <f t="shared" si="213"/>
        <v>1.0346924988852521E-2</v>
      </c>
      <c r="BJ805" s="57">
        <f t="shared" si="217"/>
        <v>2.1809737681723132E-2</v>
      </c>
      <c r="BK805" s="57">
        <f t="shared" si="218"/>
        <v>1.0142133079791109E-3</v>
      </c>
      <c r="BL805" s="58">
        <f t="shared" si="219"/>
        <v>38.481400212600484</v>
      </c>
      <c r="BM805" s="58">
        <f t="shared" si="219"/>
        <v>1.7894918671119966</v>
      </c>
    </row>
    <row r="806" spans="47:65" x14ac:dyDescent="0.2">
      <c r="AU806" s="2">
        <v>-831</v>
      </c>
      <c r="AV806" s="53">
        <v>804</v>
      </c>
      <c r="AW806" s="4" t="s">
        <v>2902</v>
      </c>
      <c r="AX806" t="s">
        <v>1116</v>
      </c>
      <c r="AY806" s="4">
        <v>33441</v>
      </c>
      <c r="AZ806" s="9">
        <v>23.879141223735701</v>
      </c>
      <c r="BA806" s="7">
        <f t="shared" si="214"/>
        <v>6.1203251456172752E-4</v>
      </c>
      <c r="BB806" s="54">
        <f t="shared" si="208"/>
        <v>435.10759529817977</v>
      </c>
      <c r="BC806" s="55">
        <f t="shared" si="209"/>
        <v>409.38502019953506</v>
      </c>
      <c r="BD806" s="55">
        <f t="shared" si="210"/>
        <v>20.233265188780951</v>
      </c>
      <c r="BE806" s="55">
        <f t="shared" si="211"/>
        <v>19.828235529829335</v>
      </c>
      <c r="BF806" s="56">
        <f t="shared" si="212"/>
        <v>0.2270692821770387</v>
      </c>
      <c r="BG806" s="56">
        <f t="shared" si="215"/>
        <v>1.1149500016957067E-4</v>
      </c>
      <c r="BH806" s="56">
        <f t="shared" si="216"/>
        <v>1.0559119289484832E-2</v>
      </c>
      <c r="BI806" s="56">
        <f t="shared" si="213"/>
        <v>1.0347746757926216E-2</v>
      </c>
      <c r="BJ806" s="57">
        <f t="shared" si="217"/>
        <v>2.4161562437009808E-2</v>
      </c>
      <c r="BK806" s="57">
        <f t="shared" si="218"/>
        <v>1.1235549676587681E-3</v>
      </c>
      <c r="BL806" s="58">
        <f t="shared" si="219"/>
        <v>42.630992058169959</v>
      </c>
      <c r="BM806" s="58">
        <f t="shared" si="219"/>
        <v>1.9824157907027371</v>
      </c>
    </row>
    <row r="807" spans="47:65" x14ac:dyDescent="0.2">
      <c r="AU807" s="2">
        <v>-830</v>
      </c>
      <c r="AV807" s="53">
        <v>805</v>
      </c>
      <c r="AW807" s="4" t="s">
        <v>2340</v>
      </c>
      <c r="AX807" t="s">
        <v>688</v>
      </c>
      <c r="AY807" s="4">
        <v>23785</v>
      </c>
      <c r="AZ807" s="9">
        <v>23.881539202035427</v>
      </c>
      <c r="BA807" s="7">
        <f t="shared" si="214"/>
        <v>6.1209397576231662E-4</v>
      </c>
      <c r="BB807" s="54">
        <f t="shared" si="208"/>
        <v>435.78707934065068</v>
      </c>
      <c r="BC807" s="55">
        <f t="shared" si="209"/>
        <v>410.38669968758853</v>
      </c>
      <c r="BD807" s="55">
        <f t="shared" si="210"/>
        <v>20.258003348987494</v>
      </c>
      <c r="BE807" s="55">
        <f t="shared" si="211"/>
        <v>19.852478481353639</v>
      </c>
      <c r="BF807" s="56">
        <f t="shared" si="212"/>
        <v>0.22742388401677199</v>
      </c>
      <c r="BG807" s="56">
        <f t="shared" si="215"/>
        <v>1.1176780510667985E-4</v>
      </c>
      <c r="BH807" s="56">
        <f t="shared" si="216"/>
        <v>1.0572029375038637E-2</v>
      </c>
      <c r="BI807" s="56">
        <f t="shared" si="213"/>
        <v>1.0360398409287611E-2</v>
      </c>
      <c r="BJ807" s="57">
        <f t="shared" si="217"/>
        <v>1.7211812254734015E-2</v>
      </c>
      <c r="BK807" s="57">
        <f t="shared" si="218"/>
        <v>8.0010850901340966E-4</v>
      </c>
      <c r="BL807" s="58">
        <f t="shared" si="219"/>
        <v>30.368757544186643</v>
      </c>
      <c r="BM807" s="58">
        <f t="shared" si="219"/>
        <v>1.4117224240919659</v>
      </c>
    </row>
    <row r="808" spans="47:65" x14ac:dyDescent="0.2">
      <c r="AU808" s="2">
        <v>-829</v>
      </c>
      <c r="AV808" s="53">
        <v>806</v>
      </c>
      <c r="AW808" s="4" t="s">
        <v>2321</v>
      </c>
      <c r="AX808" t="s">
        <v>673</v>
      </c>
      <c r="AY808" s="4">
        <v>15528</v>
      </c>
      <c r="AZ808" s="9">
        <v>23.884507791347776</v>
      </c>
      <c r="BA808" s="7">
        <f t="shared" si="214"/>
        <v>6.1217006196510393E-4</v>
      </c>
      <c r="BB808" s="54">
        <f t="shared" si="208"/>
        <v>436.62972023608938</v>
      </c>
      <c r="BC808" s="55">
        <f t="shared" si="209"/>
        <v>411.63000020890041</v>
      </c>
      <c r="BD808" s="55">
        <f t="shared" si="210"/>
        <v>20.28866679229812</v>
      </c>
      <c r="BE808" s="55">
        <f t="shared" si="211"/>
        <v>19.882528103619045</v>
      </c>
      <c r="BF808" s="56">
        <f t="shared" si="212"/>
        <v>0.22786363240390153</v>
      </c>
      <c r="BG808" s="56">
        <f t="shared" si="215"/>
        <v>1.121064149360468E-4</v>
      </c>
      <c r="BH808" s="56">
        <f t="shared" si="216"/>
        <v>1.0588031683747778E-2</v>
      </c>
      <c r="BI808" s="56">
        <f t="shared" si="213"/>
        <v>1.0376080383657314E-2</v>
      </c>
      <c r="BJ808" s="57">
        <f t="shared" si="217"/>
        <v>1.1258432044342083E-2</v>
      </c>
      <c r="BK808" s="57">
        <f t="shared" si="218"/>
        <v>5.231402393494636E-4</v>
      </c>
      <c r="BL808" s="58">
        <f t="shared" si="219"/>
        <v>19.864531870447706</v>
      </c>
      <c r="BM808" s="58">
        <f t="shared" si="219"/>
        <v>0.92303581141154756</v>
      </c>
    </row>
    <row r="809" spans="47:65" x14ac:dyDescent="0.2">
      <c r="AU809" s="2">
        <v>-828</v>
      </c>
      <c r="AV809" s="53">
        <v>807</v>
      </c>
      <c r="AW809" s="4" t="s">
        <v>2409</v>
      </c>
      <c r="AX809" t="s">
        <v>742</v>
      </c>
      <c r="AY809" s="4">
        <v>30582</v>
      </c>
      <c r="AZ809" s="9">
        <v>23.885016966514961</v>
      </c>
      <c r="BA809" s="7">
        <f t="shared" si="214"/>
        <v>6.1218311234053431E-4</v>
      </c>
      <c r="BB809" s="54">
        <f t="shared" si="208"/>
        <v>436.77441440263323</v>
      </c>
      <c r="BC809" s="55">
        <f t="shared" si="209"/>
        <v>411.84361598202298</v>
      </c>
      <c r="BD809" s="55">
        <f t="shared" si="210"/>
        <v>20.293930520774506</v>
      </c>
      <c r="BE809" s="55">
        <f t="shared" si="211"/>
        <v>19.887686462738102</v>
      </c>
      <c r="BF809" s="56">
        <f t="shared" si="212"/>
        <v>0.22793914384265243</v>
      </c>
      <c r="BG809" s="56">
        <f t="shared" si="215"/>
        <v>1.121645926647977E-4</v>
      </c>
      <c r="BH809" s="56">
        <f t="shared" si="216"/>
        <v>1.0590778661873626E-2</v>
      </c>
      <c r="BI809" s="56">
        <f t="shared" si="213"/>
        <v>1.0378772372753805E-2</v>
      </c>
      <c r="BJ809" s="57">
        <f t="shared" si="217"/>
        <v>2.2180542741978605E-2</v>
      </c>
      <c r="BK809" s="57">
        <f t="shared" si="218"/>
        <v>1.0305786659560413E-3</v>
      </c>
      <c r="BL809" s="58">
        <f t="shared" si="219"/>
        <v>39.135653745255574</v>
      </c>
      <c r="BM809" s="58">
        <f t="shared" si="219"/>
        <v>1.8183671291221621</v>
      </c>
    </row>
    <row r="810" spans="47:65" x14ac:dyDescent="0.2">
      <c r="AU810" s="2">
        <v>-827</v>
      </c>
      <c r="AV810" s="53">
        <v>808</v>
      </c>
      <c r="AW810" s="4" t="s">
        <v>2831</v>
      </c>
      <c r="AX810" t="s">
        <v>1063</v>
      </c>
      <c r="AY810" s="4">
        <v>30323</v>
      </c>
      <c r="AZ810" s="9">
        <v>23.886385260301513</v>
      </c>
      <c r="BA810" s="7">
        <f t="shared" si="214"/>
        <v>6.1221818229045409E-4</v>
      </c>
      <c r="BB810" s="54">
        <f t="shared" si="208"/>
        <v>437.1634850697572</v>
      </c>
      <c r="BC810" s="55">
        <f t="shared" si="209"/>
        <v>412.41818880204914</v>
      </c>
      <c r="BD810" s="55">
        <f t="shared" si="210"/>
        <v>20.308081859251235</v>
      </c>
      <c r="BE810" s="55">
        <f t="shared" si="211"/>
        <v>19.901554519611814</v>
      </c>
      <c r="BF810" s="56">
        <f t="shared" si="212"/>
        <v>0.22814218786683077</v>
      </c>
      <c r="BG810" s="56">
        <f t="shared" si="215"/>
        <v>1.1232107615467641E-4</v>
      </c>
      <c r="BH810" s="56">
        <f t="shared" si="216"/>
        <v>1.059816381052286E-2</v>
      </c>
      <c r="BI810" s="56">
        <f t="shared" si="213"/>
        <v>1.0386009685440291E-2</v>
      </c>
      <c r="BJ810" s="57">
        <f t="shared" si="217"/>
        <v>2.201228566055817E-2</v>
      </c>
      <c r="BK810" s="57">
        <f t="shared" si="218"/>
        <v>1.0225632157555744E-3</v>
      </c>
      <c r="BL810" s="58">
        <f t="shared" si="219"/>
        <v>38.838778643719174</v>
      </c>
      <c r="BM810" s="58">
        <f t="shared" si="219"/>
        <v>1.8042245588836023</v>
      </c>
    </row>
    <row r="811" spans="47:65" x14ac:dyDescent="0.2">
      <c r="AU811" s="2">
        <v>-826</v>
      </c>
      <c r="AV811" s="53">
        <v>809</v>
      </c>
      <c r="AW811" s="4" t="s">
        <v>3255</v>
      </c>
      <c r="AX811" t="s">
        <v>3256</v>
      </c>
      <c r="AY811" s="5">
        <v>23831.154999999999</v>
      </c>
      <c r="AZ811" s="9">
        <v>23.895412567686648</v>
      </c>
      <c r="BA811" s="7">
        <f t="shared" si="214"/>
        <v>6.124495560064047E-4</v>
      </c>
      <c r="BB811" s="54">
        <f t="shared" si="208"/>
        <v>439.73907685086397</v>
      </c>
      <c r="BC811" s="55">
        <f t="shared" si="209"/>
        <v>416.22829842215384</v>
      </c>
      <c r="BD811" s="55">
        <f t="shared" si="210"/>
        <v>20.401673912259106</v>
      </c>
      <c r="BE811" s="55">
        <f t="shared" si="211"/>
        <v>19.993273046179112</v>
      </c>
      <c r="BF811" s="56">
        <f t="shared" si="212"/>
        <v>0.22948631006381576</v>
      </c>
      <c r="BG811" s="56">
        <f t="shared" si="215"/>
        <v>1.1335875010898E-4</v>
      </c>
      <c r="BH811" s="56">
        <f t="shared" si="216"/>
        <v>1.0647006626699356E-2</v>
      </c>
      <c r="BI811" s="56">
        <f t="shared" si="213"/>
        <v>1.0433874765745012E-2</v>
      </c>
      <c r="BJ811" s="57">
        <f t="shared" si="217"/>
        <v>1.740160259951053E-2</v>
      </c>
      <c r="BK811" s="57">
        <f t="shared" si="218"/>
        <v>8.0734653906220342E-4</v>
      </c>
      <c r="BL811" s="58">
        <f t="shared" si="219"/>
        <v>30.70362623084457</v>
      </c>
      <c r="BM811" s="58">
        <f t="shared" si="219"/>
        <v>1.4244933035552194</v>
      </c>
    </row>
    <row r="812" spans="47:65" x14ac:dyDescent="0.2">
      <c r="AU812" s="2">
        <v>-825</v>
      </c>
      <c r="AV812" s="53">
        <v>810</v>
      </c>
      <c r="AW812" s="4" t="s">
        <v>2780</v>
      </c>
      <c r="AX812" t="s">
        <v>1026</v>
      </c>
      <c r="AY812" s="4">
        <v>16855</v>
      </c>
      <c r="AZ812" s="9">
        <v>23.895659097940307</v>
      </c>
      <c r="BA812" s="7">
        <f t="shared" si="214"/>
        <v>6.1245587468133726E-4</v>
      </c>
      <c r="BB812" s="54">
        <f t="shared" si="208"/>
        <v>439.80962716167642</v>
      </c>
      <c r="BC812" s="55">
        <f t="shared" si="209"/>
        <v>416.33282364652604</v>
      </c>
      <c r="BD812" s="55">
        <f t="shared" si="210"/>
        <v>20.40423543401041</v>
      </c>
      <c r="BE812" s="55">
        <f t="shared" si="211"/>
        <v>19.995783291368195</v>
      </c>
      <c r="BF812" s="56">
        <f t="shared" si="212"/>
        <v>0.22952312810286327</v>
      </c>
      <c r="BG812" s="56">
        <f t="shared" si="215"/>
        <v>1.1338721729593261E-4</v>
      </c>
      <c r="BH812" s="56">
        <f t="shared" si="216"/>
        <v>1.0648343406179791E-2</v>
      </c>
      <c r="BI812" s="56">
        <f t="shared" si="213"/>
        <v>1.0435184785563474E-2</v>
      </c>
      <c r="BJ812" s="57">
        <f t="shared" si="217"/>
        <v>1.2309561519734065E-2</v>
      </c>
      <c r="BK812" s="57">
        <f t="shared" si="218"/>
        <v>5.7108161310384967E-4</v>
      </c>
      <c r="BL812" s="58">
        <f t="shared" si="219"/>
        <v>21.719159129523657</v>
      </c>
      <c r="BM812" s="58">
        <f t="shared" si="219"/>
        <v>1.0076242286179775</v>
      </c>
    </row>
    <row r="813" spans="47:65" x14ac:dyDescent="0.2">
      <c r="AU813" s="2">
        <v>-824</v>
      </c>
      <c r="AV813" s="53">
        <v>811</v>
      </c>
      <c r="AW813" s="4" t="s">
        <v>2788</v>
      </c>
      <c r="AX813" t="s">
        <v>1033</v>
      </c>
      <c r="AY813" s="4">
        <v>83088</v>
      </c>
      <c r="AZ813" s="9">
        <v>23.902186048896109</v>
      </c>
      <c r="BA813" s="7">
        <f t="shared" si="214"/>
        <v>6.1262316320182778E-4</v>
      </c>
      <c r="BB813" s="54">
        <f t="shared" si="208"/>
        <v>441.68158722625878</v>
      </c>
      <c r="BC813" s="55">
        <f t="shared" si="209"/>
        <v>419.10935556557615</v>
      </c>
      <c r="BD813" s="55">
        <f t="shared" si="210"/>
        <v>20.472160500679358</v>
      </c>
      <c r="BE813" s="55">
        <f t="shared" si="211"/>
        <v>20.062348633527506</v>
      </c>
      <c r="BF813" s="56">
        <f t="shared" si="212"/>
        <v>0.23050004653113756</v>
      </c>
      <c r="BG813" s="56">
        <f t="shared" si="215"/>
        <v>1.1414339891351129E-4</v>
      </c>
      <c r="BH813" s="56">
        <f t="shared" si="216"/>
        <v>1.0683791410988484E-2</v>
      </c>
      <c r="BI813" s="56">
        <f t="shared" si="213"/>
        <v>1.0469923191937895E-2</v>
      </c>
      <c r="BJ813" s="57">
        <f t="shared" si="217"/>
        <v>6.093919245371248E-2</v>
      </c>
      <c r="BK813" s="57">
        <f t="shared" si="218"/>
        <v>2.8245617765703911E-3</v>
      </c>
      <c r="BL813" s="58">
        <f t="shared" si="219"/>
        <v>107.52194674075139</v>
      </c>
      <c r="BM813" s="58">
        <f t="shared" si="219"/>
        <v>4.9836955279157431</v>
      </c>
    </row>
    <row r="814" spans="47:65" x14ac:dyDescent="0.2">
      <c r="AU814" s="2">
        <v>-823</v>
      </c>
      <c r="AV814" s="53">
        <v>812</v>
      </c>
      <c r="AW814" s="4" t="s">
        <v>3019</v>
      </c>
      <c r="AX814" t="s">
        <v>1181</v>
      </c>
      <c r="AY814" s="4">
        <v>18256</v>
      </c>
      <c r="AZ814" s="9">
        <v>23.905608334792536</v>
      </c>
      <c r="BA814" s="7">
        <f t="shared" si="214"/>
        <v>6.1271087784043699E-4</v>
      </c>
      <c r="BB814" s="54">
        <f t="shared" si="208"/>
        <v>442.66629702301771</v>
      </c>
      <c r="BC814" s="55">
        <f t="shared" si="209"/>
        <v>420.57228663347155</v>
      </c>
      <c r="BD814" s="55">
        <f t="shared" si="210"/>
        <v>20.507859143105883</v>
      </c>
      <c r="BE814" s="55">
        <f t="shared" si="211"/>
        <v>20.097332660253986</v>
      </c>
      <c r="BF814" s="56">
        <f t="shared" si="212"/>
        <v>0.23101393631177763</v>
      </c>
      <c r="BG814" s="56">
        <f t="shared" si="215"/>
        <v>1.1454182458033801E-4</v>
      </c>
      <c r="BH814" s="56">
        <f t="shared" si="216"/>
        <v>1.0702421435373305E-2</v>
      </c>
      <c r="BI814" s="56">
        <f t="shared" si="213"/>
        <v>1.0488180280350572E-2</v>
      </c>
      <c r="BJ814" s="57">
        <f t="shared" si="217"/>
        <v>1.3419340707630421E-2</v>
      </c>
      <c r="BK814" s="57">
        <f t="shared" si="218"/>
        <v>6.2169166904325565E-4</v>
      </c>
      <c r="BL814" s="58">
        <f t="shared" si="219"/>
        <v>23.677268745525254</v>
      </c>
      <c r="BM814" s="58">
        <f t="shared" si="219"/>
        <v>1.0969213052636289</v>
      </c>
    </row>
    <row r="815" spans="47:65" x14ac:dyDescent="0.2">
      <c r="AU815" s="2">
        <v>-822</v>
      </c>
      <c r="AV815" s="53">
        <v>813</v>
      </c>
      <c r="AW815" s="4" t="s">
        <v>2441</v>
      </c>
      <c r="AX815" t="s">
        <v>767</v>
      </c>
      <c r="AY815" s="4">
        <v>18025</v>
      </c>
      <c r="AZ815" s="9">
        <v>23.906679003213789</v>
      </c>
      <c r="BA815" s="7">
        <f t="shared" si="214"/>
        <v>6.1273831952604791E-4</v>
      </c>
      <c r="BB815" s="54">
        <f t="shared" si="208"/>
        <v>442.97481594584536</v>
      </c>
      <c r="BC815" s="55">
        <f t="shared" si="209"/>
        <v>421.0309749372712</v>
      </c>
      <c r="BD815" s="55">
        <f t="shared" si="210"/>
        <v>20.519039327835774</v>
      </c>
      <c r="BE815" s="55">
        <f t="shared" si="211"/>
        <v>20.108289039959534</v>
      </c>
      <c r="BF815" s="56">
        <f t="shared" si="212"/>
        <v>0.2311749428561394</v>
      </c>
      <c r="BG815" s="56">
        <f t="shared" si="215"/>
        <v>1.1466674720815664E-4</v>
      </c>
      <c r="BH815" s="56">
        <f t="shared" si="216"/>
        <v>1.0708256030192622E-2</v>
      </c>
      <c r="BI815" s="56">
        <f t="shared" si="213"/>
        <v>1.0493898078205693E-2</v>
      </c>
      <c r="BJ815" s="57">
        <f t="shared" si="217"/>
        <v>1.3258775114364409E-2</v>
      </c>
      <c r="BK815" s="57">
        <f t="shared" si="218"/>
        <v>6.1415980822676749E-4</v>
      </c>
      <c r="BL815" s="58">
        <f t="shared" si="219"/>
        <v>23.393964611151329</v>
      </c>
      <c r="BM815" s="58">
        <f t="shared" si="219"/>
        <v>1.0836319867649578</v>
      </c>
    </row>
    <row r="816" spans="47:65" x14ac:dyDescent="0.2">
      <c r="AU816" s="2">
        <v>-821</v>
      </c>
      <c r="AV816" s="53">
        <v>814</v>
      </c>
      <c r="AW816" s="4" t="s">
        <v>2318</v>
      </c>
      <c r="AX816" t="s">
        <v>670</v>
      </c>
      <c r="AY816" s="4">
        <v>10182</v>
      </c>
      <c r="AZ816" s="9">
        <v>23.911228121040001</v>
      </c>
      <c r="BA816" s="7">
        <f t="shared" si="214"/>
        <v>6.1285491534480573E-4</v>
      </c>
      <c r="BB816" s="54">
        <f t="shared" si="208"/>
        <v>444.28806866692912</v>
      </c>
      <c r="BC816" s="55">
        <f t="shared" si="209"/>
        <v>422.98524631510969</v>
      </c>
      <c r="BD816" s="55">
        <f t="shared" si="210"/>
        <v>20.566605123722042</v>
      </c>
      <c r="BE816" s="55">
        <f t="shared" si="211"/>
        <v>20.154902663376067</v>
      </c>
      <c r="BF816" s="56">
        <f t="shared" si="212"/>
        <v>0.23186028909214138</v>
      </c>
      <c r="BG816" s="56">
        <f t="shared" si="215"/>
        <v>1.1519898819610545E-4</v>
      </c>
      <c r="BH816" s="56">
        <f t="shared" si="216"/>
        <v>1.0733079157264491E-2</v>
      </c>
      <c r="BI816" s="56">
        <f t="shared" si="213"/>
        <v>1.0518224295727956E-2</v>
      </c>
      <c r="BJ816" s="57">
        <f t="shared" si="217"/>
        <v>7.5118488016199594E-3</v>
      </c>
      <c r="BK816" s="57">
        <f t="shared" si="218"/>
        <v>3.4773211109535412E-4</v>
      </c>
      <c r="BL816" s="58">
        <f t="shared" si="219"/>
        <v>13.254009025240258</v>
      </c>
      <c r="BM816" s="58">
        <f t="shared" si="219"/>
        <v>0.61354330478932928</v>
      </c>
    </row>
    <row r="817" spans="47:65" x14ac:dyDescent="0.2">
      <c r="AU817" s="2">
        <v>-820</v>
      </c>
      <c r="AV817" s="53">
        <v>815</v>
      </c>
      <c r="AW817" s="4" t="s">
        <v>1496</v>
      </c>
      <c r="AX817" t="s">
        <v>91</v>
      </c>
      <c r="AY817" s="4">
        <v>18740</v>
      </c>
      <c r="AZ817" s="9">
        <v>23.920647008878596</v>
      </c>
      <c r="BA817" s="7">
        <f t="shared" si="214"/>
        <v>6.1309632543381264E-4</v>
      </c>
      <c r="BB817" s="54">
        <f t="shared" si="208"/>
        <v>447.0195306620343</v>
      </c>
      <c r="BC817" s="55">
        <f t="shared" si="209"/>
        <v>427.05930303811391</v>
      </c>
      <c r="BD817" s="55">
        <f t="shared" si="210"/>
        <v>20.665413207533835</v>
      </c>
      <c r="BE817" s="55">
        <f t="shared" si="211"/>
        <v>20.251732806202334</v>
      </c>
      <c r="BF817" s="56">
        <f t="shared" si="212"/>
        <v>0.2332857551635793</v>
      </c>
      <c r="BG817" s="56">
        <f t="shared" si="215"/>
        <v>1.1630854749263311E-4</v>
      </c>
      <c r="BH817" s="56">
        <f t="shared" si="216"/>
        <v>1.078464405961704E-2</v>
      </c>
      <c r="BI817" s="56">
        <f t="shared" si="213"/>
        <v>1.0568756971466616E-2</v>
      </c>
      <c r="BJ817" s="57">
        <f t="shared" si="217"/>
        <v>1.3910578119672194E-2</v>
      </c>
      <c r="BK817" s="57">
        <f t="shared" si="218"/>
        <v>6.4307670041390853E-4</v>
      </c>
      <c r="BL817" s="58">
        <f t="shared" si="219"/>
        <v>24.544014770995478</v>
      </c>
      <c r="BM817" s="58">
        <f t="shared" si="219"/>
        <v>1.1346533478375627</v>
      </c>
    </row>
    <row r="818" spans="47:65" x14ac:dyDescent="0.2">
      <c r="AU818" s="2">
        <v>-819</v>
      </c>
      <c r="AV818" s="53">
        <v>816</v>
      </c>
      <c r="AW818" s="4" t="s">
        <v>2196</v>
      </c>
      <c r="AX818" t="s">
        <v>2197</v>
      </c>
      <c r="AY818" s="4">
        <v>17198</v>
      </c>
      <c r="AZ818" s="9">
        <v>23.932079433357657</v>
      </c>
      <c r="BA818" s="7">
        <f t="shared" si="214"/>
        <v>6.1338934332067462E-4</v>
      </c>
      <c r="BB818" s="54">
        <f t="shared" si="208"/>
        <v>450.35748821074367</v>
      </c>
      <c r="BC818" s="55">
        <f t="shared" si="209"/>
        <v>432.05499896353348</v>
      </c>
      <c r="BD818" s="55">
        <f t="shared" si="210"/>
        <v>20.785932718151798</v>
      </c>
      <c r="BE818" s="55">
        <f t="shared" si="211"/>
        <v>20.369839756325131</v>
      </c>
      <c r="BF818" s="56">
        <f t="shared" si="212"/>
        <v>0.23502773262550675</v>
      </c>
      <c r="BG818" s="56">
        <f t="shared" si="215"/>
        <v>1.1766911295196397E-4</v>
      </c>
      <c r="BH818" s="56">
        <f t="shared" si="216"/>
        <v>1.0847539488380025E-2</v>
      </c>
      <c r="BI818" s="56">
        <f t="shared" si="213"/>
        <v>1.0630393359050444E-2</v>
      </c>
      <c r="BJ818" s="57">
        <f t="shared" si="217"/>
        <v>1.2861286940100053E-2</v>
      </c>
      <c r="BK818" s="57">
        <f t="shared" si="218"/>
        <v>5.9360364156013092E-4</v>
      </c>
      <c r="BL818" s="58">
        <f t="shared" si="219"/>
        <v>22.692631026270075</v>
      </c>
      <c r="BM818" s="58">
        <f t="shared" si="219"/>
        <v>1.0473624044398731</v>
      </c>
    </row>
    <row r="819" spans="47:65" x14ac:dyDescent="0.2">
      <c r="AU819" s="2">
        <v>-818</v>
      </c>
      <c r="AV819" s="53">
        <v>817</v>
      </c>
      <c r="AW819" s="4" t="s">
        <v>2337</v>
      </c>
      <c r="AX819" t="s">
        <v>686</v>
      </c>
      <c r="AY819" s="4">
        <v>39538</v>
      </c>
      <c r="AZ819" s="9">
        <v>23.93921260020219</v>
      </c>
      <c r="BA819" s="7">
        <f t="shared" si="214"/>
        <v>6.135721694114348E-4</v>
      </c>
      <c r="BB819" s="54">
        <f t="shared" si="208"/>
        <v>452.45279606892205</v>
      </c>
      <c r="BC819" s="55">
        <f t="shared" si="209"/>
        <v>435.20043330021986</v>
      </c>
      <c r="BD819" s="55">
        <f t="shared" si="210"/>
        <v>20.861458081836464</v>
      </c>
      <c r="BE819" s="55">
        <f t="shared" si="211"/>
        <v>20.443853252695749</v>
      </c>
      <c r="BF819" s="56">
        <f t="shared" si="212"/>
        <v>0.23612120940329165</v>
      </c>
      <c r="BG819" s="56">
        <f t="shared" si="215"/>
        <v>1.1852576423278835E-4</v>
      </c>
      <c r="BH819" s="56">
        <f t="shared" si="216"/>
        <v>1.088695385462749E-2</v>
      </c>
      <c r="BI819" s="56">
        <f t="shared" si="213"/>
        <v>1.0669018728209695E-2</v>
      </c>
      <c r="BJ819" s="57">
        <f t="shared" si="217"/>
        <v>2.9705513778377653E-2</v>
      </c>
      <c r="BK819" s="57">
        <f t="shared" si="218"/>
        <v>1.3696463716685087E-3</v>
      </c>
      <c r="BL819" s="58">
        <f t="shared" si="219"/>
        <v>52.412815821467234</v>
      </c>
      <c r="BM819" s="58">
        <f t="shared" si="219"/>
        <v>2.4166228382508388</v>
      </c>
    </row>
    <row r="820" spans="47:65" x14ac:dyDescent="0.2">
      <c r="AU820" s="2">
        <v>-817</v>
      </c>
      <c r="AV820" s="53">
        <v>818</v>
      </c>
      <c r="AW820" s="4" t="s">
        <v>1933</v>
      </c>
      <c r="AX820" t="s">
        <v>388</v>
      </c>
      <c r="AY820" s="4">
        <v>66461</v>
      </c>
      <c r="AZ820" s="9">
        <v>23.939690877989843</v>
      </c>
      <c r="BA820" s="7">
        <f t="shared" si="214"/>
        <v>6.1358442787392696E-4</v>
      </c>
      <c r="BB820" s="54">
        <f t="shared" si="208"/>
        <v>452.59363440885465</v>
      </c>
      <c r="BC820" s="55">
        <f t="shared" si="209"/>
        <v>435.41211979039622</v>
      </c>
      <c r="BD820" s="55">
        <f t="shared" si="210"/>
        <v>20.866531091448724</v>
      </c>
      <c r="BE820" s="55">
        <f t="shared" si="211"/>
        <v>20.448824710762377</v>
      </c>
      <c r="BF820" s="56">
        <f t="shared" si="212"/>
        <v>0.23619470860463193</v>
      </c>
      <c r="BG820" s="56">
        <f t="shared" si="215"/>
        <v>1.1858341652608912E-4</v>
      </c>
      <c r="BH820" s="56">
        <f t="shared" si="216"/>
        <v>1.0889601302439366E-2</v>
      </c>
      <c r="BI820" s="56">
        <f t="shared" si="213"/>
        <v>1.0671613179390808E-2</v>
      </c>
      <c r="BJ820" s="57">
        <f t="shared" si="217"/>
        <v>4.9948725105276287E-2</v>
      </c>
      <c r="BK820" s="57">
        <f t="shared" si="218"/>
        <v>2.302853036695572E-3</v>
      </c>
      <c r="BL820" s="58">
        <f t="shared" si="219"/>
        <v>88.130215453991738</v>
      </c>
      <c r="BM820" s="58">
        <f t="shared" si="219"/>
        <v>4.0631854738054445</v>
      </c>
    </row>
    <row r="821" spans="47:65" x14ac:dyDescent="0.2">
      <c r="AU821" s="2">
        <v>-816</v>
      </c>
      <c r="AV821" s="53">
        <v>819</v>
      </c>
      <c r="AW821" s="4" t="s">
        <v>2752</v>
      </c>
      <c r="AX821" t="s">
        <v>1004</v>
      </c>
      <c r="AY821" s="4">
        <v>17885</v>
      </c>
      <c r="AZ821" s="9">
        <v>23.943004571717754</v>
      </c>
      <c r="BA821" s="7">
        <f t="shared" si="214"/>
        <v>6.1366935924921302E-4</v>
      </c>
      <c r="BB821" s="54">
        <f t="shared" si="208"/>
        <v>453.57062188806361</v>
      </c>
      <c r="BC821" s="55">
        <f t="shared" si="209"/>
        <v>436.8814864778401</v>
      </c>
      <c r="BD821" s="55">
        <f t="shared" si="210"/>
        <v>20.901710132853726</v>
      </c>
      <c r="BE821" s="55">
        <f t="shared" si="211"/>
        <v>20.483299537844601</v>
      </c>
      <c r="BF821" s="56">
        <f t="shared" si="212"/>
        <v>0.23670456834506703</v>
      </c>
      <c r="BG821" s="56">
        <f t="shared" si="215"/>
        <v>1.1898359491802295E-4</v>
      </c>
      <c r="BH821" s="56">
        <f t="shared" si="216"/>
        <v>1.0907960163019616E-2</v>
      </c>
      <c r="BI821" s="56">
        <f t="shared" si="213"/>
        <v>1.068960453215805E-2</v>
      </c>
      <c r="BJ821" s="57">
        <f t="shared" si="217"/>
        <v>1.3470476433344137E-2</v>
      </c>
      <c r="BK821" s="57">
        <f t="shared" si="218"/>
        <v>6.2075447609279133E-4</v>
      </c>
      <c r="BL821" s="58">
        <f t="shared" si="219"/>
        <v>23.767493321128484</v>
      </c>
      <c r="BM821" s="58">
        <f t="shared" si="219"/>
        <v>1.09526770917139</v>
      </c>
    </row>
    <row r="822" spans="47:65" x14ac:dyDescent="0.2">
      <c r="AU822" s="2">
        <v>-815</v>
      </c>
      <c r="AV822" s="53">
        <v>820</v>
      </c>
      <c r="AW822" s="4" t="s">
        <v>2798</v>
      </c>
      <c r="AX822" t="s">
        <v>1040</v>
      </c>
      <c r="AY822" s="4">
        <v>39563</v>
      </c>
      <c r="AZ822" s="9">
        <v>23.950558744708932</v>
      </c>
      <c r="BA822" s="7">
        <f t="shared" si="214"/>
        <v>6.1386297590602262E-4</v>
      </c>
      <c r="BB822" s="54">
        <f t="shared" si="208"/>
        <v>455.80573604337576</v>
      </c>
      <c r="BC822" s="55">
        <f t="shared" si="209"/>
        <v>440.24901580706074</v>
      </c>
      <c r="BD822" s="55">
        <f t="shared" si="210"/>
        <v>20.982111805227344</v>
      </c>
      <c r="BE822" s="55">
        <f t="shared" si="211"/>
        <v>20.562091728919142</v>
      </c>
      <c r="BF822" s="56">
        <f t="shared" si="212"/>
        <v>0.23787100573277264</v>
      </c>
      <c r="BG822" s="56">
        <f t="shared" si="215"/>
        <v>1.1990073322207945E-4</v>
      </c>
      <c r="BH822" s="56">
        <f t="shared" si="216"/>
        <v>1.0949919324911917E-2</v>
      </c>
      <c r="BI822" s="56">
        <f t="shared" si="213"/>
        <v>1.0730723755223248E-2</v>
      </c>
      <c r="BJ822" s="57">
        <f t="shared" si="217"/>
        <v>2.9944571098510488E-2</v>
      </c>
      <c r="BK822" s="57">
        <f t="shared" si="218"/>
        <v>1.3784388590685804E-3</v>
      </c>
      <c r="BL822" s="58">
        <f t="shared" si="219"/>
        <v>52.834611834974197</v>
      </c>
      <c r="BM822" s="58">
        <f t="shared" si="219"/>
        <v>2.4321364235788248</v>
      </c>
    </row>
    <row r="823" spans="47:65" x14ac:dyDescent="0.2">
      <c r="AU823" s="2">
        <v>-814</v>
      </c>
      <c r="AV823" s="53">
        <v>821</v>
      </c>
      <c r="AW823" s="4" t="s">
        <v>2473</v>
      </c>
      <c r="AX823" t="s">
        <v>792</v>
      </c>
      <c r="AY823" s="4">
        <v>28140</v>
      </c>
      <c r="AZ823" s="9">
        <v>23.961763373210012</v>
      </c>
      <c r="BA823" s="7">
        <f t="shared" si="214"/>
        <v>6.1415015528538117E-4</v>
      </c>
      <c r="BB823" s="54">
        <f t="shared" si="208"/>
        <v>459.14124168336633</v>
      </c>
      <c r="BC823" s="55">
        <f t="shared" si="209"/>
        <v>445.28984055644759</v>
      </c>
      <c r="BD823" s="55">
        <f t="shared" si="210"/>
        <v>21.101891871499284</v>
      </c>
      <c r="BE823" s="55">
        <f t="shared" si="211"/>
        <v>20.679474036898551</v>
      </c>
      <c r="BF823" s="56">
        <f t="shared" si="212"/>
        <v>0.23961170361889203</v>
      </c>
      <c r="BG823" s="56">
        <f t="shared" si="215"/>
        <v>1.2127358940527241E-4</v>
      </c>
      <c r="BH823" s="56">
        <f t="shared" si="216"/>
        <v>1.101242886039553E-2</v>
      </c>
      <c r="BI823" s="56">
        <f t="shared" si="213"/>
        <v>1.0791981974342352E-2</v>
      </c>
      <c r="BJ823" s="57">
        <f t="shared" si="217"/>
        <v>2.1454554069825011E-2</v>
      </c>
      <c r="BK823" s="57">
        <f t="shared" si="218"/>
        <v>9.8604010929802103E-4</v>
      </c>
      <c r="BL823" s="58">
        <f t="shared" si="219"/>
        <v>37.854709377622555</v>
      </c>
      <c r="BM823" s="58">
        <f t="shared" si="219"/>
        <v>1.7397826890587156</v>
      </c>
    </row>
    <row r="824" spans="47:65" x14ac:dyDescent="0.2">
      <c r="AU824" s="2">
        <v>-813</v>
      </c>
      <c r="AV824" s="53">
        <v>822</v>
      </c>
      <c r="AW824" s="4" t="s">
        <v>2952</v>
      </c>
      <c r="AX824" t="s">
        <v>1153</v>
      </c>
      <c r="AY824" s="4">
        <v>52136</v>
      </c>
      <c r="AZ824" s="9">
        <v>23.963786986758073</v>
      </c>
      <c r="BA824" s="7">
        <f t="shared" si="214"/>
        <v>6.1420202135865052E-4</v>
      </c>
      <c r="BB824" s="54">
        <f t="shared" si="208"/>
        <v>459.74624843580193</v>
      </c>
      <c r="BC824" s="55">
        <f t="shared" si="209"/>
        <v>446.2061330161734</v>
      </c>
      <c r="BD824" s="55">
        <f t="shared" si="210"/>
        <v>21.123591858776607</v>
      </c>
      <c r="BE824" s="55">
        <f t="shared" si="211"/>
        <v>20.700739633662817</v>
      </c>
      <c r="BF824" s="56">
        <f t="shared" si="212"/>
        <v>0.23992743804980587</v>
      </c>
      <c r="BG824" s="56">
        <f t="shared" si="215"/>
        <v>1.2152313939590368E-4</v>
      </c>
      <c r="BH824" s="56">
        <f t="shared" si="216"/>
        <v>1.1023753416867763E-2</v>
      </c>
      <c r="BI824" s="56">
        <f t="shared" si="213"/>
        <v>1.0803079835755586E-2</v>
      </c>
      <c r="BJ824" s="57">
        <f t="shared" si="217"/>
        <v>3.980200929285637E-2</v>
      </c>
      <c r="BK824" s="57">
        <f t="shared" si="218"/>
        <v>1.8287509736558153E-3</v>
      </c>
      <c r="BL824" s="58">
        <f t="shared" si="219"/>
        <v>70.22721094658479</v>
      </c>
      <c r="BM824" s="58">
        <f t="shared" si="219"/>
        <v>3.226673293067881</v>
      </c>
    </row>
    <row r="825" spans="47:65" x14ac:dyDescent="0.2">
      <c r="AU825" s="2">
        <v>-812</v>
      </c>
      <c r="AV825" s="53">
        <v>823</v>
      </c>
      <c r="AW825" s="4" t="s">
        <v>2732</v>
      </c>
      <c r="AX825" t="s">
        <v>993</v>
      </c>
      <c r="AY825" s="4">
        <v>36541</v>
      </c>
      <c r="AZ825" s="9">
        <v>23.964639113755883</v>
      </c>
      <c r="BA825" s="7">
        <f t="shared" si="214"/>
        <v>6.1422386173491487E-4</v>
      </c>
      <c r="BB825" s="54">
        <f t="shared" si="208"/>
        <v>460.00125028503595</v>
      </c>
      <c r="BC825" s="55">
        <f t="shared" si="209"/>
        <v>446.59251807778355</v>
      </c>
      <c r="BD825" s="55">
        <f t="shared" si="210"/>
        <v>21.13273569791151</v>
      </c>
      <c r="BE825" s="55">
        <f t="shared" si="211"/>
        <v>20.709700431355238</v>
      </c>
      <c r="BF825" s="56">
        <f t="shared" si="212"/>
        <v>0.24006051567815595</v>
      </c>
      <c r="BG825" s="56">
        <f t="shared" si="215"/>
        <v>1.2162837041409639E-4</v>
      </c>
      <c r="BH825" s="56">
        <f t="shared" si="216"/>
        <v>1.1028525305501928E-2</v>
      </c>
      <c r="BI825" s="56">
        <f t="shared" si="213"/>
        <v>1.0807756200686186E-2</v>
      </c>
      <c r="BJ825" s="57">
        <f t="shared" si="217"/>
        <v>2.7911844383753836E-2</v>
      </c>
      <c r="BK825" s="57">
        <f t="shared" si="218"/>
        <v>1.2822870151714474E-3</v>
      </c>
      <c r="BL825" s="58">
        <f t="shared" si="219"/>
        <v>49.248040947468908</v>
      </c>
      <c r="BM825" s="58">
        <f t="shared" si="219"/>
        <v>2.2624847918085922</v>
      </c>
    </row>
    <row r="826" spans="47:65" x14ac:dyDescent="0.2">
      <c r="AU826" s="2">
        <v>-811</v>
      </c>
      <c r="AV826" s="53">
        <v>824</v>
      </c>
      <c r="AW826" s="4" t="s">
        <v>2063</v>
      </c>
      <c r="AX826" t="s">
        <v>482</v>
      </c>
      <c r="AY826" s="4">
        <v>53732</v>
      </c>
      <c r="AZ826" s="9">
        <v>23.966723233631704</v>
      </c>
      <c r="BA826" s="7">
        <f t="shared" si="214"/>
        <v>6.1427727861102009E-4</v>
      </c>
      <c r="BB826" s="54">
        <f t="shared" si="208"/>
        <v>460.62552632288583</v>
      </c>
      <c r="BC826" s="55">
        <f t="shared" si="209"/>
        <v>447.53888827447219</v>
      </c>
      <c r="BD826" s="55">
        <f t="shared" si="210"/>
        <v>21.155114943541957</v>
      </c>
      <c r="BE826" s="55">
        <f t="shared" si="211"/>
        <v>20.731631689073662</v>
      </c>
      <c r="BF826" s="56">
        <f t="shared" si="212"/>
        <v>0.2403863061569404</v>
      </c>
      <c r="BG826" s="56">
        <f t="shared" si="215"/>
        <v>1.2188611200216388E-4</v>
      </c>
      <c r="BH826" s="56">
        <f t="shared" si="216"/>
        <v>1.1040204346032907E-2</v>
      </c>
      <c r="BI826" s="56">
        <f t="shared" si="213"/>
        <v>1.0819201450093536E-2</v>
      </c>
      <c r="BJ826" s="57">
        <f t="shared" si="217"/>
        <v>4.109889091331323E-2</v>
      </c>
      <c r="BK826" s="57">
        <f t="shared" si="218"/>
        <v>1.8875457646995119E-3</v>
      </c>
      <c r="BL826" s="58">
        <f t="shared" si="219"/>
        <v>72.51544666007473</v>
      </c>
      <c r="BM826" s="58">
        <f t="shared" si="219"/>
        <v>3.3304116285575698</v>
      </c>
    </row>
    <row r="827" spans="47:65" x14ac:dyDescent="0.2">
      <c r="AU827" s="2">
        <v>-810</v>
      </c>
      <c r="AV827" s="53">
        <v>825</v>
      </c>
      <c r="AW827" s="4" t="s">
        <v>2108</v>
      </c>
      <c r="AX827" t="s">
        <v>514</v>
      </c>
      <c r="AY827" s="4">
        <v>51756</v>
      </c>
      <c r="AZ827" s="9">
        <v>23.970589951589002</v>
      </c>
      <c r="BA827" s="7">
        <f t="shared" si="214"/>
        <v>6.1437638423179311E-4</v>
      </c>
      <c r="BB827" s="54">
        <f t="shared" si="208"/>
        <v>461.78600587630376</v>
      </c>
      <c r="BC827" s="55">
        <f t="shared" si="209"/>
        <v>449.29981821306598</v>
      </c>
      <c r="BD827" s="55">
        <f t="shared" si="210"/>
        <v>21.196693567938041</v>
      </c>
      <c r="BE827" s="55">
        <f t="shared" si="211"/>
        <v>20.772377992245186</v>
      </c>
      <c r="BF827" s="56">
        <f t="shared" si="212"/>
        <v>0.24099192477179163</v>
      </c>
      <c r="BG827" s="56">
        <f t="shared" si="215"/>
        <v>1.2236569692617322E-4</v>
      </c>
      <c r="BH827" s="56">
        <f t="shared" si="216"/>
        <v>1.1061902952303153E-2</v>
      </c>
      <c r="BI827" s="56">
        <f t="shared" si="213"/>
        <v>1.0840465693495735E-2</v>
      </c>
      <c r="BJ827" s="57">
        <f t="shared" si="217"/>
        <v>3.9687209771206225E-2</v>
      </c>
      <c r="BK827" s="57">
        <f t="shared" si="218"/>
        <v>1.8217044548380986E-3</v>
      </c>
      <c r="BL827" s="58">
        <f t="shared" si="219"/>
        <v>70.024657096497151</v>
      </c>
      <c r="BM827" s="58">
        <f t="shared" si="219"/>
        <v>3.2142403186466701</v>
      </c>
    </row>
    <row r="828" spans="47:65" x14ac:dyDescent="0.2">
      <c r="AU828" s="2">
        <v>-809</v>
      </c>
      <c r="AV828" s="53">
        <v>826</v>
      </c>
      <c r="AW828" s="4" t="s">
        <v>1718</v>
      </c>
      <c r="AX828" t="s">
        <v>234</v>
      </c>
      <c r="AY828" s="4">
        <v>38106</v>
      </c>
      <c r="AZ828" s="9">
        <v>23.970970204731888</v>
      </c>
      <c r="BA828" s="7">
        <f t="shared" si="214"/>
        <v>6.1438613028107648E-4</v>
      </c>
      <c r="BB828" s="54">
        <f t="shared" si="208"/>
        <v>461.90028525221294</v>
      </c>
      <c r="BC828" s="55">
        <f t="shared" si="209"/>
        <v>449.47334719160949</v>
      </c>
      <c r="BD828" s="55">
        <f t="shared" si="210"/>
        <v>21.200786475779843</v>
      </c>
      <c r="BE828" s="55">
        <f t="shared" si="211"/>
        <v>20.776388968226172</v>
      </c>
      <c r="BF828" s="56">
        <f t="shared" si="212"/>
        <v>0.24105156366602334</v>
      </c>
      <c r="BG828" s="56">
        <f t="shared" si="215"/>
        <v>1.2241295711533728E-4</v>
      </c>
      <c r="BH828" s="56">
        <f t="shared" si="216"/>
        <v>1.1064038915122148E-2</v>
      </c>
      <c r="BI828" s="56">
        <f t="shared" si="213"/>
        <v>1.0842558898594508E-2</v>
      </c>
      <c r="BJ828" s="57">
        <f t="shared" si="217"/>
        <v>2.9227433987961269E-2</v>
      </c>
      <c r="BK828" s="57">
        <f t="shared" si="218"/>
        <v>1.3415115924325666E-3</v>
      </c>
      <c r="BL828" s="58">
        <f t="shared" si="219"/>
        <v>51.56928528400524</v>
      </c>
      <c r="BM828" s="58">
        <f t="shared" si="219"/>
        <v>2.36698144799337</v>
      </c>
    </row>
    <row r="829" spans="47:65" x14ac:dyDescent="0.2">
      <c r="AU829" s="2">
        <v>-808</v>
      </c>
      <c r="AV829" s="53">
        <v>827</v>
      </c>
      <c r="AW829" s="4" t="s">
        <v>2146</v>
      </c>
      <c r="AX829" t="s">
        <v>544</v>
      </c>
      <c r="AY829" s="4">
        <v>17168</v>
      </c>
      <c r="AZ829" s="9">
        <v>23.973541593896165</v>
      </c>
      <c r="BA829" s="7">
        <f t="shared" si="214"/>
        <v>6.1445203607565194E-4</v>
      </c>
      <c r="BB829" s="54">
        <f t="shared" si="208"/>
        <v>462.67382034328057</v>
      </c>
      <c r="BC829" s="55">
        <f t="shared" si="209"/>
        <v>450.64849488446708</v>
      </c>
      <c r="BD829" s="55">
        <f t="shared" si="210"/>
        <v>21.228483103709202</v>
      </c>
      <c r="BE829" s="55">
        <f t="shared" si="211"/>
        <v>20.803531164843545</v>
      </c>
      <c r="BF829" s="56">
        <f t="shared" si="212"/>
        <v>0.24145524785762415</v>
      </c>
      <c r="BG829" s="56">
        <f t="shared" si="215"/>
        <v>1.2273300569002322E-4</v>
      </c>
      <c r="BH829" s="56">
        <f t="shared" si="216"/>
        <v>1.1078492934060265E-2</v>
      </c>
      <c r="BI829" s="56">
        <f t="shared" si="213"/>
        <v>1.0856723576869794E-2</v>
      </c>
      <c r="BJ829" s="57">
        <f t="shared" si="217"/>
        <v>1.3189967507324688E-2</v>
      </c>
      <c r="BK829" s="57">
        <f t="shared" si="218"/>
        <v>6.0518445188876039E-4</v>
      </c>
      <c r="BL829" s="58">
        <f t="shared" si="219"/>
        <v>23.272559525826264</v>
      </c>
      <c r="BM829" s="58">
        <f t="shared" si="219"/>
        <v>1.0677957449754478</v>
      </c>
    </row>
    <row r="830" spans="47:65" x14ac:dyDescent="0.2">
      <c r="AU830" s="2">
        <v>-807</v>
      </c>
      <c r="AV830" s="53">
        <v>828</v>
      </c>
      <c r="AW830" s="4" t="s">
        <v>1479</v>
      </c>
      <c r="AX830" t="s">
        <v>76</v>
      </c>
      <c r="AY830" s="4">
        <v>17465</v>
      </c>
      <c r="AZ830" s="9">
        <v>23.980734626128061</v>
      </c>
      <c r="BA830" s="7">
        <f t="shared" si="214"/>
        <v>6.1463639654167385E-4</v>
      </c>
      <c r="BB830" s="54">
        <f t="shared" si="208"/>
        <v>464.84454344797985</v>
      </c>
      <c r="BC830" s="55">
        <f t="shared" si="209"/>
        <v>453.95147327461859</v>
      </c>
      <c r="BD830" s="55">
        <f t="shared" si="210"/>
        <v>21.306136986197629</v>
      </c>
      <c r="BE830" s="55">
        <f t="shared" si="211"/>
        <v>20.879630571312056</v>
      </c>
      <c r="BF830" s="56">
        <f t="shared" si="212"/>
        <v>0.24258808153489311</v>
      </c>
      <c r="BG830" s="56">
        <f t="shared" si="215"/>
        <v>1.2363256370508905E-4</v>
      </c>
      <c r="BH830" s="56">
        <f t="shared" si="216"/>
        <v>1.1119018108856961E-2</v>
      </c>
      <c r="BI830" s="56">
        <f t="shared" si="213"/>
        <v>1.0896437518404151E-2</v>
      </c>
      <c r="BJ830" s="57">
        <f t="shared" si="217"/>
        <v>1.3481102851861193E-2</v>
      </c>
      <c r="BK830" s="57">
        <f t="shared" si="218"/>
        <v>6.1790598197895049E-4</v>
      </c>
      <c r="BL830" s="58">
        <f t="shared" si="219"/>
        <v>23.786242719665456</v>
      </c>
      <c r="BM830" s="58">
        <f t="shared" si="219"/>
        <v>1.0902417870994432</v>
      </c>
    </row>
    <row r="831" spans="47:65" x14ac:dyDescent="0.2">
      <c r="AU831" s="2">
        <v>-806</v>
      </c>
      <c r="AV831" s="53">
        <v>829</v>
      </c>
      <c r="AW831" s="4" t="s">
        <v>3221</v>
      </c>
      <c r="AX831" t="s">
        <v>3222</v>
      </c>
      <c r="AY831" s="5">
        <v>9526.7649999999994</v>
      </c>
      <c r="AZ831" s="9">
        <v>23.990173690511817</v>
      </c>
      <c r="BA831" s="7">
        <f t="shared" si="214"/>
        <v>6.1487832376408826E-4</v>
      </c>
      <c r="BB831" s="54">
        <f t="shared" si="208"/>
        <v>467.70853698940329</v>
      </c>
      <c r="BC831" s="55">
        <f t="shared" si="209"/>
        <v>458.32110781749287</v>
      </c>
      <c r="BD831" s="55">
        <f t="shared" si="210"/>
        <v>21.408435436002623</v>
      </c>
      <c r="BE831" s="55">
        <f t="shared" si="211"/>
        <v>20.979881209958091</v>
      </c>
      <c r="BF831" s="56">
        <f t="shared" si="212"/>
        <v>0.2440827117473699</v>
      </c>
      <c r="BG831" s="56">
        <f t="shared" si="215"/>
        <v>1.2482262289157913E-4</v>
      </c>
      <c r="BH831" s="56">
        <f t="shared" si="216"/>
        <v>1.1172404525954971E-2</v>
      </c>
      <c r="BI831" s="56">
        <f t="shared" si="213"/>
        <v>1.0948755245792016E-2</v>
      </c>
      <c r="BJ831" s="57">
        <f t="shared" si="217"/>
        <v>7.398945770899037E-3</v>
      </c>
      <c r="BK831" s="57">
        <f t="shared" si="218"/>
        <v>3.3867214366106594E-4</v>
      </c>
      <c r="BL831" s="58">
        <f t="shared" si="219"/>
        <v>13.054801369752123</v>
      </c>
      <c r="BM831" s="58">
        <f t="shared" si="219"/>
        <v>0.59755777402138532</v>
      </c>
    </row>
    <row r="832" spans="47:65" x14ac:dyDescent="0.2">
      <c r="AU832" s="2">
        <v>-805</v>
      </c>
      <c r="AV832" s="53">
        <v>830</v>
      </c>
      <c r="AW832" s="4" t="s">
        <v>2589</v>
      </c>
      <c r="AX832" t="s">
        <v>886</v>
      </c>
      <c r="AY832" s="4">
        <v>44663</v>
      </c>
      <c r="AZ832" s="9">
        <v>23.990577669364633</v>
      </c>
      <c r="BA832" s="7">
        <f t="shared" si="214"/>
        <v>6.1488867791337708E-4</v>
      </c>
      <c r="BB832" s="54">
        <f t="shared" si="208"/>
        <v>467.83150496213921</v>
      </c>
      <c r="BC832" s="55">
        <f t="shared" si="209"/>
        <v>458.50902083387194</v>
      </c>
      <c r="BD832" s="55">
        <f t="shared" si="210"/>
        <v>21.412823747321884</v>
      </c>
      <c r="BE832" s="55">
        <f t="shared" si="211"/>
        <v>20.98418167602744</v>
      </c>
      <c r="BF832" s="56">
        <f t="shared" si="212"/>
        <v>0.24414688495326539</v>
      </c>
      <c r="BG832" s="56">
        <f t="shared" si="215"/>
        <v>1.2487380053794917E-4</v>
      </c>
      <c r="BH832" s="56">
        <f t="shared" si="216"/>
        <v>1.1174694650770069E-2</v>
      </c>
      <c r="BI832" s="56">
        <f t="shared" si="213"/>
        <v>1.0950999526870864E-2</v>
      </c>
      <c r="BJ832" s="57">
        <f t="shared" si="217"/>
        <v>3.4696562568121959E-2</v>
      </c>
      <c r="BK832" s="57">
        <f t="shared" si="218"/>
        <v>1.5880747043089227E-3</v>
      </c>
      <c r="BL832" s="58">
        <f t="shared" si="219"/>
        <v>61.219090741486887</v>
      </c>
      <c r="BM832" s="58">
        <f t="shared" si="219"/>
        <v>2.8020207833692097</v>
      </c>
    </row>
    <row r="833" spans="47:65" x14ac:dyDescent="0.2">
      <c r="AU833" s="2">
        <v>-804</v>
      </c>
      <c r="AV833" s="53">
        <v>831</v>
      </c>
      <c r="AW833" s="4" t="s">
        <v>1731</v>
      </c>
      <c r="AX833" t="s">
        <v>242</v>
      </c>
      <c r="AY833" s="4">
        <v>15875</v>
      </c>
      <c r="AZ833" s="9">
        <v>24.001213457739212</v>
      </c>
      <c r="BA833" s="7">
        <f t="shared" si="214"/>
        <v>6.1516127767909936E-4</v>
      </c>
      <c r="BB833" s="54">
        <f t="shared" si="208"/>
        <v>471.0806120735258</v>
      </c>
      <c r="BC833" s="55">
        <f t="shared" si="209"/>
        <v>463.48302232649411</v>
      </c>
      <c r="BD833" s="55">
        <f t="shared" si="210"/>
        <v>21.528655841145635</v>
      </c>
      <c r="BE833" s="55">
        <f t="shared" si="211"/>
        <v>21.097695042101648</v>
      </c>
      <c r="BF833" s="56">
        <f t="shared" si="212"/>
        <v>0.2458424941025224</v>
      </c>
      <c r="BG833" s="56">
        <f t="shared" si="215"/>
        <v>1.2622845757203995E-4</v>
      </c>
      <c r="BH833" s="56">
        <f t="shared" si="216"/>
        <v>1.1235143860762974E-2</v>
      </c>
      <c r="BI833" s="56">
        <f t="shared" si="213"/>
        <v>1.101023866411086E-2</v>
      </c>
      <c r="BJ833" s="57">
        <f t="shared" si="217"/>
        <v>1.2418183109679553E-2</v>
      </c>
      <c r="BK833" s="57">
        <f t="shared" si="218"/>
        <v>5.6751813487689149E-4</v>
      </c>
      <c r="BL833" s="58">
        <f t="shared" si="219"/>
        <v>21.91081255220211</v>
      </c>
      <c r="BM833" s="58">
        <f t="shared" si="219"/>
        <v>1.0013367787732514</v>
      </c>
    </row>
    <row r="834" spans="47:65" x14ac:dyDescent="0.2">
      <c r="AU834" s="2">
        <v>-803</v>
      </c>
      <c r="AV834" s="53">
        <v>832</v>
      </c>
      <c r="AW834" s="4" t="s">
        <v>1805</v>
      </c>
      <c r="AX834" t="s">
        <v>288</v>
      </c>
      <c r="AY834" s="4">
        <v>43122</v>
      </c>
      <c r="AZ834" s="9">
        <v>24.002358590188816</v>
      </c>
      <c r="BA834" s="7">
        <f t="shared" si="214"/>
        <v>6.1519062790933048E-4</v>
      </c>
      <c r="BB834" s="54">
        <f t="shared" si="208"/>
        <v>471.43177934803799</v>
      </c>
      <c r="BC834" s="55">
        <f t="shared" si="209"/>
        <v>464.02164217548051</v>
      </c>
      <c r="BD834" s="55">
        <f t="shared" si="210"/>
        <v>21.54116157906719</v>
      </c>
      <c r="BE834" s="55">
        <f t="shared" si="211"/>
        <v>21.109950440064821</v>
      </c>
      <c r="BF834" s="56">
        <f t="shared" si="212"/>
        <v>0.24602575751095118</v>
      </c>
      <c r="BG834" s="56">
        <f t="shared" si="215"/>
        <v>1.2637514935896028E-4</v>
      </c>
      <c r="BH834" s="56">
        <f t="shared" si="216"/>
        <v>1.1241670221055246E-2</v>
      </c>
      <c r="BI834" s="56">
        <f t="shared" si="213"/>
        <v>1.1016634379672352E-2</v>
      </c>
      <c r="BJ834" s="57">
        <f t="shared" si="217"/>
        <v>3.3757233289939147E-2</v>
      </c>
      <c r="BK834" s="57">
        <f t="shared" si="218"/>
        <v>1.5424713577147783E-3</v>
      </c>
      <c r="BL834" s="58">
        <f t="shared" si="219"/>
        <v>59.561725283329295</v>
      </c>
      <c r="BM834" s="58">
        <f t="shared" si="219"/>
        <v>2.7215576133424646</v>
      </c>
    </row>
    <row r="835" spans="47:65" x14ac:dyDescent="0.2">
      <c r="AU835" s="2">
        <v>-802</v>
      </c>
      <c r="AV835" s="53">
        <v>833</v>
      </c>
      <c r="AW835" s="4" t="s">
        <v>2507</v>
      </c>
      <c r="AX835" t="s">
        <v>818</v>
      </c>
      <c r="AY835" s="4">
        <v>87579</v>
      </c>
      <c r="AZ835" s="9">
        <v>24.00396025012672</v>
      </c>
      <c r="BA835" s="7">
        <f t="shared" si="214"/>
        <v>6.152316791326589E-4</v>
      </c>
      <c r="BB835" s="54">
        <f t="shared" ref="BB835:BB898" si="220">IFERROR(IF(MATCH(AX835,$S$4:$S$20,0),VLOOKUP(AX835,$S$4:$AT$20,20,FALSE)),AVERAGE((2^(($AE$23*AZ835)+$AE$24)),(2^(($AF$23*AZ835)+$AF$24)),(2^(($AG$23*AZ835)+$AG$24)),(2^(($AH$23*AZ835)+$AH$24))))</f>
        <v>471.92338492759848</v>
      </c>
      <c r="BC835" s="55">
        <f t="shared" ref="BC835:BC898" si="221">IFERROR(IF(MATCH(AX835,$S$4:$S$20,0),VLOOKUP(AX835,$S$4:$AT$20,21,FALSE)),_xlfn.VAR.S((2^(($AE$23*AZ835)+$AE$24)),(2^(($AF$23*AZ835)+$AF$24)),(2^(($AG$23*AZ835)+$AG$24)),(2^(($AH$23*AZ835)+$AH$24))))</f>
        <v>464.77600091580035</v>
      </c>
      <c r="BD835" s="55">
        <f t="shared" ref="BD835:BD898" si="222">SQRT(BC835)</f>
        <v>21.558664172805337</v>
      </c>
      <c r="BE835" s="55">
        <f t="shared" ref="BE835:BE898" si="223">_xlfn.CONFIDENCE.NORM(0.05,BD835,4)</f>
        <v>21.127102666746222</v>
      </c>
      <c r="BF835" s="56">
        <f t="shared" ref="BF835:BF898" si="224">IFERROR(IF(MATCH(AX835,$S$4:$S$20,0),VLOOKUP(AX835,$S$4:$AT$20,24,FALSE)),AVERAGE((2^(($AI$23*AZ835)+$AI$24)),(2^(($AJ$23*AZ835)+$AJ$24)),(2^(($AK$23*AZ835)+$AK$24)),(2^(($AL$23*AZ835)+$AL$24))))</f>
        <v>0.24628231135480802</v>
      </c>
      <c r="BG835" s="56">
        <f t="shared" si="215"/>
        <v>1.2658059710065386E-4</v>
      </c>
      <c r="BH835" s="56">
        <f t="shared" si="216"/>
        <v>1.1250804286834512E-2</v>
      </c>
      <c r="BI835" s="56">
        <f t="shared" ref="BI835:BI898" si="225">_xlfn.CONFIDENCE.NORM(0.05,BH835,4)</f>
        <v>1.1025585599652244E-2</v>
      </c>
      <c r="BJ835" s="57">
        <f t="shared" si="217"/>
        <v>6.863103919552016E-2</v>
      </c>
      <c r="BK835" s="57">
        <f t="shared" si="218"/>
        <v>3.1352409588135503E-3</v>
      </c>
      <c r="BL835" s="58">
        <f t="shared" si="219"/>
        <v>121.09354659972331</v>
      </c>
      <c r="BM835" s="58">
        <f t="shared" si="219"/>
        <v>5.5318621369823529</v>
      </c>
    </row>
    <row r="836" spans="47:65" x14ac:dyDescent="0.2">
      <c r="AU836" s="2">
        <v>-801</v>
      </c>
      <c r="AV836" s="53">
        <v>834</v>
      </c>
      <c r="AW836" s="4" t="s">
        <v>1868</v>
      </c>
      <c r="AX836" t="s">
        <v>341</v>
      </c>
      <c r="AY836" s="4">
        <v>36881</v>
      </c>
      <c r="AZ836" s="9">
        <v>24.005674343446245</v>
      </c>
      <c r="BA836" s="7">
        <f t="shared" ref="BA836:BA899" si="226">AZ836/$AZ$1637</f>
        <v>6.1527561207123124E-4</v>
      </c>
      <c r="BB836" s="54">
        <f t="shared" si="220"/>
        <v>472.45006819899663</v>
      </c>
      <c r="BC836" s="55">
        <f t="shared" si="221"/>
        <v>465.58461876488565</v>
      </c>
      <c r="BD836" s="55">
        <f t="shared" si="222"/>
        <v>21.577409917895281</v>
      </c>
      <c r="BE836" s="55">
        <f t="shared" si="223"/>
        <v>21.145473159366052</v>
      </c>
      <c r="BF836" s="56">
        <f t="shared" si="224"/>
        <v>0.24655717116802062</v>
      </c>
      <c r="BG836" s="56">
        <f t="shared" ref="BG836:BG899" si="227">IFERROR(IF(MATCH(AX836,$S$4:$S$20,0),VLOOKUP(AX836,$S$4:$AT$20,25,FALSE)),_xlfn.VAR.S((2^(($AI$23*AZ836)+$AI$24)),(2^(($AJ$23*AZ836)+$AJ$24)),(2^(($AK$23*AZ836)+$AK$24)),(2^(($AL$23*AZ836)+$AL$24))))</f>
        <v>1.2680082217672874E-4</v>
      </c>
      <c r="BH836" s="56">
        <f t="shared" ref="BH836:BH899" si="228">SQRT(BG836)</f>
        <v>1.1260587115098784E-2</v>
      </c>
      <c r="BI836" s="56">
        <f t="shared" si="225"/>
        <v>1.1035172595184699E-2</v>
      </c>
      <c r="BJ836" s="57">
        <f t="shared" ref="BJ836:BJ899" si="229">(((BF836*0.000001)*AY836)*1000000000000000)*$S$24</f>
        <v>2.8933948148882838E-2</v>
      </c>
      <c r="BK836" s="57">
        <f t="shared" ref="BK836:BK899" si="230">((((BH836*0.000001)*AY836)*1000000000000000)*$S$24)</f>
        <v>1.3214510945707412E-3</v>
      </c>
      <c r="BL836" s="58">
        <f t="shared" ref="BL836:BM899" si="231">((BJ836/$S$26)*0.000000001)/0.45</f>
        <v>51.051454845367168</v>
      </c>
      <c r="BM836" s="58">
        <f t="shared" si="231"/>
        <v>2.3315864305039193</v>
      </c>
    </row>
    <row r="837" spans="47:65" x14ac:dyDescent="0.2">
      <c r="AU837" s="2">
        <v>-800</v>
      </c>
      <c r="AV837" s="53">
        <v>835</v>
      </c>
      <c r="AW837" s="4" t="s">
        <v>2707</v>
      </c>
      <c r="AX837" t="s">
        <v>969</v>
      </c>
      <c r="AY837" s="4">
        <v>110505</v>
      </c>
      <c r="AZ837" s="9">
        <v>24.005988373098916</v>
      </c>
      <c r="BA837" s="7">
        <f t="shared" si="226"/>
        <v>6.1528366078438099E-4</v>
      </c>
      <c r="BB837" s="54">
        <f t="shared" si="220"/>
        <v>472.54662265143253</v>
      </c>
      <c r="BC837" s="55">
        <f t="shared" si="221"/>
        <v>465.73290757008954</v>
      </c>
      <c r="BD837" s="55">
        <f t="shared" si="222"/>
        <v>21.580845849273135</v>
      </c>
      <c r="BE837" s="55">
        <f t="shared" si="223"/>
        <v>21.148840310243028</v>
      </c>
      <c r="BF837" s="56">
        <f t="shared" si="224"/>
        <v>0.24660755996941747</v>
      </c>
      <c r="BG837" s="56">
        <f t="shared" si="227"/>
        <v>1.2684120826695369E-4</v>
      </c>
      <c r="BH837" s="56">
        <f t="shared" si="228"/>
        <v>1.1262380222091318E-2</v>
      </c>
      <c r="BI837" s="56">
        <f t="shared" si="225"/>
        <v>1.1036929807747597E-2</v>
      </c>
      <c r="BJ837" s="57">
        <f t="shared" si="229"/>
        <v>8.6711297975790566E-2</v>
      </c>
      <c r="BK837" s="57">
        <f t="shared" si="230"/>
        <v>3.9600392115939943E-3</v>
      </c>
      <c r="BL837" s="58">
        <f t="shared" si="231"/>
        <v>152.99460310138039</v>
      </c>
      <c r="BM837" s="58">
        <f t="shared" si="231"/>
        <v>6.9871474835134091</v>
      </c>
    </row>
    <row r="838" spans="47:65" x14ac:dyDescent="0.2">
      <c r="AU838" s="2">
        <v>-799</v>
      </c>
      <c r="AV838" s="53">
        <v>836</v>
      </c>
      <c r="AW838" s="4" t="s">
        <v>3070</v>
      </c>
      <c r="AX838" t="s">
        <v>1224</v>
      </c>
      <c r="AY838" s="4">
        <v>49996</v>
      </c>
      <c r="AZ838" s="9">
        <v>24.011259564691048</v>
      </c>
      <c r="BA838" s="7">
        <f t="shared" si="226"/>
        <v>6.1541876365992583E-4</v>
      </c>
      <c r="BB838" s="54">
        <f t="shared" si="220"/>
        <v>474.17030078225633</v>
      </c>
      <c r="BC838" s="55">
        <f t="shared" si="221"/>
        <v>468.22881201159879</v>
      </c>
      <c r="BD838" s="55">
        <f t="shared" si="222"/>
        <v>21.638595426034446</v>
      </c>
      <c r="BE838" s="55">
        <f t="shared" si="223"/>
        <v>21.205433855530327</v>
      </c>
      <c r="BF838" s="56">
        <f t="shared" si="224"/>
        <v>0.24745490768671019</v>
      </c>
      <c r="BG838" s="56">
        <f t="shared" si="227"/>
        <v>1.2752096168341229E-4</v>
      </c>
      <c r="BH838" s="56">
        <f t="shared" si="228"/>
        <v>1.1292517951431925E-2</v>
      </c>
      <c r="BI838" s="56">
        <f t="shared" si="225"/>
        <v>1.1066464239789299E-2</v>
      </c>
      <c r="BJ838" s="57">
        <f t="shared" si="229"/>
        <v>3.9365765672416161E-2</v>
      </c>
      <c r="BK838" s="57">
        <f t="shared" si="230"/>
        <v>1.7964429143204929E-3</v>
      </c>
      <c r="BL838" s="58">
        <f t="shared" si="231"/>
        <v>69.457496721070683</v>
      </c>
      <c r="BM838" s="58">
        <f t="shared" si="231"/>
        <v>3.1696685101806086</v>
      </c>
    </row>
    <row r="839" spans="47:65" x14ac:dyDescent="0.2">
      <c r="AU839" s="2">
        <v>-798</v>
      </c>
      <c r="AV839" s="53">
        <v>837</v>
      </c>
      <c r="AW839" s="4" t="s">
        <v>1687</v>
      </c>
      <c r="AX839" t="s">
        <v>222</v>
      </c>
      <c r="AY839" s="4">
        <v>32177</v>
      </c>
      <c r="AZ839" s="9">
        <v>24.018946543664235</v>
      </c>
      <c r="BA839" s="7">
        <f t="shared" si="226"/>
        <v>6.1561578419036544E-4</v>
      </c>
      <c r="BB839" s="54">
        <f t="shared" si="220"/>
        <v>476.54811691326216</v>
      </c>
      <c r="BC839" s="55">
        <f t="shared" si="221"/>
        <v>471.89162431193739</v>
      </c>
      <c r="BD839" s="55">
        <f t="shared" si="222"/>
        <v>21.723066641520422</v>
      </c>
      <c r="BE839" s="55">
        <f t="shared" si="223"/>
        <v>21.288214125571741</v>
      </c>
      <c r="BF839" s="56">
        <f t="shared" si="224"/>
        <v>0.24869581684998612</v>
      </c>
      <c r="BG839" s="56">
        <f t="shared" si="227"/>
        <v>1.2851851957609793E-4</v>
      </c>
      <c r="BH839" s="56">
        <f t="shared" si="228"/>
        <v>1.1336600882808653E-2</v>
      </c>
      <c r="BI839" s="56">
        <f t="shared" si="225"/>
        <v>1.1109664718704969E-2</v>
      </c>
      <c r="BJ839" s="57">
        <f t="shared" si="229"/>
        <v>2.5462521165094693E-2</v>
      </c>
      <c r="BK839" s="57">
        <f t="shared" si="230"/>
        <v>1.1606887625812618E-3</v>
      </c>
      <c r="BL839" s="58">
        <f t="shared" si="231"/>
        <v>44.926421476262576</v>
      </c>
      <c r="BM839" s="58">
        <f t="shared" si="231"/>
        <v>2.0479351676286961</v>
      </c>
    </row>
    <row r="840" spans="47:65" x14ac:dyDescent="0.2">
      <c r="AU840" s="2">
        <v>-797</v>
      </c>
      <c r="AV840" s="53">
        <v>838</v>
      </c>
      <c r="AW840" s="4" t="s">
        <v>2422</v>
      </c>
      <c r="AX840" t="s">
        <v>752</v>
      </c>
      <c r="AY840" s="4">
        <v>30474</v>
      </c>
      <c r="AZ840" s="9">
        <v>24.021518621511028</v>
      </c>
      <c r="BA840" s="7">
        <f t="shared" si="226"/>
        <v>6.1568170763616579E-4</v>
      </c>
      <c r="BB840" s="54">
        <f t="shared" si="220"/>
        <v>477.34639838912483</v>
      </c>
      <c r="BC840" s="55">
        <f t="shared" si="221"/>
        <v>473.12333942157346</v>
      </c>
      <c r="BD840" s="55">
        <f t="shared" si="222"/>
        <v>21.751398562427507</v>
      </c>
      <c r="BE840" s="55">
        <f t="shared" si="223"/>
        <v>21.315978897867105</v>
      </c>
      <c r="BF840" s="56">
        <f t="shared" si="224"/>
        <v>0.24911241541930096</v>
      </c>
      <c r="BG840" s="56">
        <f t="shared" si="227"/>
        <v>1.2885397414718483E-4</v>
      </c>
      <c r="BH840" s="56">
        <f t="shared" si="228"/>
        <v>1.135138644162839E-2</v>
      </c>
      <c r="BI840" s="56">
        <f t="shared" si="225"/>
        <v>1.1124154300093959E-2</v>
      </c>
      <c r="BJ840" s="57">
        <f t="shared" si="229"/>
        <v>2.4155287343182293E-2</v>
      </c>
      <c r="BK840" s="57">
        <f t="shared" si="230"/>
        <v>1.1006918333617221E-3</v>
      </c>
      <c r="BL840" s="58">
        <f t="shared" si="231"/>
        <v>42.61992019657896</v>
      </c>
      <c r="BM840" s="58">
        <f t="shared" si="231"/>
        <v>1.9420757630582806</v>
      </c>
    </row>
    <row r="841" spans="47:65" x14ac:dyDescent="0.2">
      <c r="AU841" s="2">
        <v>-796</v>
      </c>
      <c r="AV841" s="53">
        <v>839</v>
      </c>
      <c r="AW841" s="4" t="s">
        <v>1659</v>
      </c>
      <c r="AX841" t="s">
        <v>204</v>
      </c>
      <c r="AY841" s="4">
        <v>48389</v>
      </c>
      <c r="AZ841" s="9">
        <v>24.022224434110544</v>
      </c>
      <c r="BA841" s="7">
        <f t="shared" si="226"/>
        <v>6.1569979791236307E-4</v>
      </c>
      <c r="BB841" s="54">
        <f t="shared" si="220"/>
        <v>477.56569126398597</v>
      </c>
      <c r="BC841" s="55">
        <f t="shared" si="221"/>
        <v>473.46187791175379</v>
      </c>
      <c r="BD841" s="55">
        <f t="shared" si="222"/>
        <v>21.759179164475707</v>
      </c>
      <c r="BE841" s="55">
        <f t="shared" si="223"/>
        <v>21.323603747763361</v>
      </c>
      <c r="BF841" s="56">
        <f t="shared" si="224"/>
        <v>0.24922685763134123</v>
      </c>
      <c r="BG841" s="56">
        <f t="shared" si="227"/>
        <v>1.2894617426970217E-4</v>
      </c>
      <c r="BH841" s="56">
        <f t="shared" si="228"/>
        <v>1.1355446898722312E-2</v>
      </c>
      <c r="BI841" s="56">
        <f t="shared" si="225"/>
        <v>1.1128133474926388E-2</v>
      </c>
      <c r="BJ841" s="57">
        <f t="shared" si="229"/>
        <v>3.8373274558065829E-2</v>
      </c>
      <c r="BK841" s="57">
        <f t="shared" si="230"/>
        <v>1.7483897430459428E-3</v>
      </c>
      <c r="BL841" s="58">
        <f t="shared" si="231"/>
        <v>67.706331790243894</v>
      </c>
      <c r="BM841" s="58">
        <f t="shared" si="231"/>
        <v>3.0848828358966753</v>
      </c>
    </row>
    <row r="842" spans="47:65" x14ac:dyDescent="0.2">
      <c r="AU842" s="2">
        <v>-795</v>
      </c>
      <c r="AV842" s="53">
        <v>840</v>
      </c>
      <c r="AW842" s="4" t="s">
        <v>2801</v>
      </c>
      <c r="AX842" t="s">
        <v>1043</v>
      </c>
      <c r="AY842" s="4">
        <v>129350</v>
      </c>
      <c r="AZ842" s="9">
        <v>24.025663854096312</v>
      </c>
      <c r="BA842" s="7">
        <f t="shared" si="226"/>
        <v>6.1578795170494718E-4</v>
      </c>
      <c r="BB842" s="54">
        <f t="shared" si="220"/>
        <v>478.635746507877</v>
      </c>
      <c r="BC842" s="55">
        <f t="shared" si="221"/>
        <v>475.11490433612198</v>
      </c>
      <c r="BD842" s="55">
        <f t="shared" si="222"/>
        <v>21.797130644562415</v>
      </c>
      <c r="BE842" s="55">
        <f t="shared" si="223"/>
        <v>21.360795514828329</v>
      </c>
      <c r="BF842" s="56">
        <f t="shared" si="224"/>
        <v>0.24978528657798729</v>
      </c>
      <c r="BG842" s="56">
        <f t="shared" si="227"/>
        <v>1.2939637193783905E-4</v>
      </c>
      <c r="BH842" s="56">
        <f t="shared" si="228"/>
        <v>1.1375252609847356E-2</v>
      </c>
      <c r="BI842" s="56">
        <f t="shared" si="225"/>
        <v>1.1147542715173034E-2</v>
      </c>
      <c r="BJ842" s="57">
        <f t="shared" si="229"/>
        <v>0.10280651991862076</v>
      </c>
      <c r="BK842" s="57">
        <f t="shared" si="230"/>
        <v>4.6818215357472322E-3</v>
      </c>
      <c r="BL842" s="58">
        <f t="shared" si="231"/>
        <v>181.39323338897509</v>
      </c>
      <c r="BM842" s="58">
        <f t="shared" si="231"/>
        <v>8.2606701130587297</v>
      </c>
    </row>
    <row r="843" spans="47:65" x14ac:dyDescent="0.2">
      <c r="AU843" s="2">
        <v>-794</v>
      </c>
      <c r="AV843" s="53">
        <v>841</v>
      </c>
      <c r="AW843" s="4" t="s">
        <v>2259</v>
      </c>
      <c r="AX843" t="s">
        <v>622</v>
      </c>
      <c r="AY843" s="4">
        <v>18216</v>
      </c>
      <c r="AZ843" s="9">
        <v>24.028364530039017</v>
      </c>
      <c r="BA843" s="7">
        <f t="shared" si="226"/>
        <v>6.1585717117447264E-4</v>
      </c>
      <c r="BB843" s="54">
        <f t="shared" si="220"/>
        <v>479.47764769989192</v>
      </c>
      <c r="BC843" s="55">
        <f t="shared" si="221"/>
        <v>476.41676352133078</v>
      </c>
      <c r="BD843" s="55">
        <f t="shared" si="222"/>
        <v>21.826973301887982</v>
      </c>
      <c r="BE843" s="55">
        <f t="shared" si="223"/>
        <v>21.390040781608871</v>
      </c>
      <c r="BF843" s="56">
        <f t="shared" si="224"/>
        <v>0.25022464893663271</v>
      </c>
      <c r="BG843" s="56">
        <f t="shared" si="227"/>
        <v>1.2975093007484088E-4</v>
      </c>
      <c r="BH843" s="56">
        <f t="shared" si="228"/>
        <v>1.1390826575575667E-2</v>
      </c>
      <c r="BI843" s="56">
        <f t="shared" si="225"/>
        <v>1.1162804921135009E-2</v>
      </c>
      <c r="BJ843" s="57">
        <f t="shared" si="229"/>
        <v>1.4503421823849122E-2</v>
      </c>
      <c r="BK843" s="57">
        <f t="shared" si="230"/>
        <v>6.6023057060905993E-4</v>
      </c>
      <c r="BL843" s="58">
        <f t="shared" si="231"/>
        <v>25.590036331496446</v>
      </c>
      <c r="BM843" s="58">
        <f t="shared" si="231"/>
        <v>1.1649198716173419</v>
      </c>
    </row>
    <row r="844" spans="47:65" x14ac:dyDescent="0.2">
      <c r="AU844" s="2">
        <v>-793</v>
      </c>
      <c r="AV844" s="53">
        <v>842</v>
      </c>
      <c r="AW844" s="4" t="s">
        <v>2447</v>
      </c>
      <c r="AX844" t="s">
        <v>770</v>
      </c>
      <c r="AY844" s="4">
        <v>48835</v>
      </c>
      <c r="AZ844" s="9">
        <v>24.031817399129537</v>
      </c>
      <c r="BA844" s="7">
        <f t="shared" si="226"/>
        <v>6.1594566967331399E-4</v>
      </c>
      <c r="BB844" s="54">
        <f t="shared" si="220"/>
        <v>480.5561930038387</v>
      </c>
      <c r="BC844" s="55">
        <f t="shared" si="221"/>
        <v>478.08620564626591</v>
      </c>
      <c r="BD844" s="55">
        <f t="shared" si="222"/>
        <v>21.865182497437928</v>
      </c>
      <c r="BE844" s="55">
        <f t="shared" si="223"/>
        <v>21.427485105186943</v>
      </c>
      <c r="BF844" s="56">
        <f t="shared" si="224"/>
        <v>0.25078750858470406</v>
      </c>
      <c r="BG844" s="56">
        <f t="shared" si="227"/>
        <v>1.3020559851852268E-4</v>
      </c>
      <c r="BH844" s="56">
        <f t="shared" si="228"/>
        <v>1.1410766780480735E-2</v>
      </c>
      <c r="BI844" s="56">
        <f t="shared" si="225"/>
        <v>1.1182345962864149E-2</v>
      </c>
      <c r="BJ844" s="57">
        <f t="shared" si="229"/>
        <v>3.8969466946608855E-2</v>
      </c>
      <c r="BK844" s="57">
        <f t="shared" si="230"/>
        <v>1.7731006675606317E-3</v>
      </c>
      <c r="BL844" s="58">
        <f t="shared" si="231"/>
        <v>68.75826181535632</v>
      </c>
      <c r="BM844" s="58">
        <f t="shared" si="231"/>
        <v>3.1284831299373499</v>
      </c>
    </row>
    <row r="845" spans="47:65" x14ac:dyDescent="0.2">
      <c r="AU845" s="2">
        <v>-792</v>
      </c>
      <c r="AV845" s="53">
        <v>843</v>
      </c>
      <c r="AW845" s="4" t="s">
        <v>1677</v>
      </c>
      <c r="AX845" t="s">
        <v>217</v>
      </c>
      <c r="AY845" s="4">
        <v>46762</v>
      </c>
      <c r="AZ845" s="9">
        <v>24.034814407815439</v>
      </c>
      <c r="BA845" s="7">
        <f t="shared" si="226"/>
        <v>6.1602248427669571E-4</v>
      </c>
      <c r="BB845" s="54">
        <f t="shared" si="220"/>
        <v>481.4943115673525</v>
      </c>
      <c r="BC845" s="55">
        <f t="shared" si="221"/>
        <v>479.53979322174132</v>
      </c>
      <c r="BD845" s="55">
        <f t="shared" si="222"/>
        <v>21.898397046855766</v>
      </c>
      <c r="BE845" s="55">
        <f t="shared" si="223"/>
        <v>21.460034765497785</v>
      </c>
      <c r="BF845" s="56">
        <f t="shared" si="224"/>
        <v>0.25127708383256436</v>
      </c>
      <c r="BG845" s="56">
        <f t="shared" si="227"/>
        <v>1.3060147950824362E-4</v>
      </c>
      <c r="BH845" s="56">
        <f t="shared" si="228"/>
        <v>1.1428100433066014E-2</v>
      </c>
      <c r="BI845" s="56">
        <f t="shared" si="225"/>
        <v>1.1199332630257988E-2</v>
      </c>
      <c r="BJ845" s="57">
        <f t="shared" si="229"/>
        <v>3.7388094608336843E-2</v>
      </c>
      <c r="BK845" s="57">
        <f t="shared" si="230"/>
        <v>1.7004133193051425E-3</v>
      </c>
      <c r="BL845" s="58">
        <f t="shared" si="231"/>
        <v>65.968066778522967</v>
      </c>
      <c r="BM845" s="58">
        <f t="shared" si="231"/>
        <v>3.0002325760136239</v>
      </c>
    </row>
    <row r="846" spans="47:65" x14ac:dyDescent="0.2">
      <c r="AU846" s="2">
        <v>-791</v>
      </c>
      <c r="AV846" s="53">
        <v>844</v>
      </c>
      <c r="AW846" s="4" t="s">
        <v>3120</v>
      </c>
      <c r="AX846" t="s">
        <v>1261</v>
      </c>
      <c r="AY846" s="4">
        <v>21263</v>
      </c>
      <c r="AZ846" s="9">
        <v>24.034982280173192</v>
      </c>
      <c r="BA846" s="7">
        <f t="shared" si="226"/>
        <v>6.1602678691640453E-4</v>
      </c>
      <c r="BB846" s="54">
        <f t="shared" si="220"/>
        <v>481.54691282144597</v>
      </c>
      <c r="BC846" s="55">
        <f t="shared" si="221"/>
        <v>479.62133881034606</v>
      </c>
      <c r="BD846" s="55">
        <f t="shared" si="222"/>
        <v>21.900258875418483</v>
      </c>
      <c r="BE846" s="55">
        <f t="shared" si="223"/>
        <v>21.461859323961942</v>
      </c>
      <c r="BF846" s="56">
        <f t="shared" si="224"/>
        <v>0.25130453481052395</v>
      </c>
      <c r="BG846" s="56">
        <f t="shared" si="227"/>
        <v>1.3062368824810926E-4</v>
      </c>
      <c r="BH846" s="56">
        <f t="shared" si="228"/>
        <v>1.1429072064175169E-2</v>
      </c>
      <c r="BI846" s="56">
        <f t="shared" si="225"/>
        <v>1.1200284811248089E-2</v>
      </c>
      <c r="BJ846" s="57">
        <f t="shared" si="229"/>
        <v>1.7002478599175894E-2</v>
      </c>
      <c r="BK846" s="57">
        <f t="shared" si="230"/>
        <v>7.7325525910660828E-4</v>
      </c>
      <c r="BL846" s="58">
        <f t="shared" si="231"/>
        <v>29.999406372015081</v>
      </c>
      <c r="BM846" s="58">
        <f t="shared" si="231"/>
        <v>1.3643421817546837</v>
      </c>
    </row>
    <row r="847" spans="47:65" x14ac:dyDescent="0.2">
      <c r="AU847" s="2">
        <v>-790</v>
      </c>
      <c r="AV847" s="53">
        <v>845</v>
      </c>
      <c r="AW847" s="4" t="s">
        <v>2363</v>
      </c>
      <c r="AX847" t="s">
        <v>706</v>
      </c>
      <c r="AY847" s="4">
        <v>25688</v>
      </c>
      <c r="AZ847" s="9">
        <v>24.035821349081857</v>
      </c>
      <c r="BA847" s="7">
        <f t="shared" si="226"/>
        <v>6.1604829260830728E-4</v>
      </c>
      <c r="BB847" s="54">
        <f t="shared" si="220"/>
        <v>481.8099134821104</v>
      </c>
      <c r="BC847" s="55">
        <f t="shared" si="221"/>
        <v>480.02912406004833</v>
      </c>
      <c r="BD847" s="55">
        <f t="shared" si="222"/>
        <v>21.909566952818768</v>
      </c>
      <c r="BE847" s="55">
        <f t="shared" si="223"/>
        <v>21.470981072196878</v>
      </c>
      <c r="BF847" s="56">
        <f t="shared" si="224"/>
        <v>0.25144178677273854</v>
      </c>
      <c r="BG847" s="56">
        <f t="shared" si="227"/>
        <v>1.3073474755472298E-4</v>
      </c>
      <c r="BH847" s="56">
        <f t="shared" si="228"/>
        <v>1.1433929663712428E-2</v>
      </c>
      <c r="BI847" s="56">
        <f t="shared" si="225"/>
        <v>1.1205045171320262E-2</v>
      </c>
      <c r="BJ847" s="57">
        <f t="shared" si="229"/>
        <v>2.0552048629498068E-2</v>
      </c>
      <c r="BK847" s="57">
        <f t="shared" si="230"/>
        <v>9.3457289454942829E-4</v>
      </c>
      <c r="BL847" s="58">
        <f t="shared" si="231"/>
        <v>36.262316403892555</v>
      </c>
      <c r="BM847" s="58">
        <f t="shared" si="231"/>
        <v>1.648973229657094</v>
      </c>
    </row>
    <row r="848" spans="47:65" x14ac:dyDescent="0.2">
      <c r="AU848" s="2">
        <v>-789</v>
      </c>
      <c r="AV848" s="53">
        <v>846</v>
      </c>
      <c r="AW848" s="4" t="s">
        <v>2763</v>
      </c>
      <c r="AX848" t="s">
        <v>1011</v>
      </c>
      <c r="AY848" s="4">
        <v>94123</v>
      </c>
      <c r="AZ848" s="9">
        <v>24.040065147667942</v>
      </c>
      <c r="BA848" s="7">
        <f t="shared" si="226"/>
        <v>6.161570629654821E-4</v>
      </c>
      <c r="BB848" s="54">
        <f t="shared" si="220"/>
        <v>483.14230665396877</v>
      </c>
      <c r="BC848" s="55">
        <f t="shared" si="221"/>
        <v>482.09670233058483</v>
      </c>
      <c r="BD848" s="55">
        <f t="shared" si="222"/>
        <v>21.956700624879524</v>
      </c>
      <c r="BE848" s="55">
        <f t="shared" si="223"/>
        <v>21.517171222045977</v>
      </c>
      <c r="BF848" s="56">
        <f t="shared" si="224"/>
        <v>0.25213712182177184</v>
      </c>
      <c r="BG848" s="56">
        <f t="shared" si="227"/>
        <v>1.3129784739534226E-4</v>
      </c>
      <c r="BH848" s="56">
        <f t="shared" si="228"/>
        <v>1.145852727864023E-2</v>
      </c>
      <c r="BI848" s="56">
        <f t="shared" si="225"/>
        <v>1.1229150391002302E-2</v>
      </c>
      <c r="BJ848" s="57">
        <f t="shared" si="229"/>
        <v>7.5512686998602641E-2</v>
      </c>
      <c r="BK848" s="57">
        <f t="shared" si="230"/>
        <v>3.4317207145266732E-3</v>
      </c>
      <c r="BL848" s="58">
        <f t="shared" si="231"/>
        <v>133.23562034206358</v>
      </c>
      <c r="BM848" s="58">
        <f t="shared" si="231"/>
        <v>6.0549750831821409</v>
      </c>
    </row>
    <row r="849" spans="47:65" x14ac:dyDescent="0.2">
      <c r="AU849" s="2">
        <v>-788</v>
      </c>
      <c r="AV849" s="53">
        <v>847</v>
      </c>
      <c r="AW849" s="4" t="s">
        <v>2529</v>
      </c>
      <c r="AX849" t="s">
        <v>836</v>
      </c>
      <c r="AY849" s="4">
        <v>20586</v>
      </c>
      <c r="AZ849" s="9">
        <v>24.040232410194129</v>
      </c>
      <c r="BA849" s="7">
        <f t="shared" si="226"/>
        <v>6.1616134997494936E-4</v>
      </c>
      <c r="BB849" s="54">
        <f t="shared" si="220"/>
        <v>483.19489620979994</v>
      </c>
      <c r="BC849" s="55">
        <f t="shared" si="221"/>
        <v>482.17836745801293</v>
      </c>
      <c r="BD849" s="55">
        <f t="shared" si="222"/>
        <v>21.958560231900744</v>
      </c>
      <c r="BE849" s="55">
        <f t="shared" si="223"/>
        <v>21.518993603439473</v>
      </c>
      <c r="BF849" s="56">
        <f t="shared" si="224"/>
        <v>0.25216456669476817</v>
      </c>
      <c r="BG849" s="56">
        <f t="shared" si="227"/>
        <v>1.3132008869129667E-4</v>
      </c>
      <c r="BH849" s="56">
        <f t="shared" si="228"/>
        <v>1.1459497750394503E-2</v>
      </c>
      <c r="BI849" s="56">
        <f t="shared" si="225"/>
        <v>1.1230101435845494E-2</v>
      </c>
      <c r="BJ849" s="57">
        <f t="shared" si="229"/>
        <v>1.6517465239894318E-2</v>
      </c>
      <c r="BK849" s="57">
        <f t="shared" si="230"/>
        <v>7.5062828310808649E-4</v>
      </c>
      <c r="BL849" s="58">
        <f t="shared" si="231"/>
        <v>29.143642150576841</v>
      </c>
      <c r="BM849" s="58">
        <f t="shared" si="231"/>
        <v>1.3244188350502573</v>
      </c>
    </row>
    <row r="850" spans="47:65" x14ac:dyDescent="0.2">
      <c r="AU850" s="2">
        <v>-787</v>
      </c>
      <c r="AV850" s="53">
        <v>848</v>
      </c>
      <c r="AW850" s="4" t="s">
        <v>1993</v>
      </c>
      <c r="AX850" t="s">
        <v>421</v>
      </c>
      <c r="AY850" s="4">
        <v>49770</v>
      </c>
      <c r="AZ850" s="9">
        <v>24.043990699367043</v>
      </c>
      <c r="BA850" s="7">
        <f t="shared" si="226"/>
        <v>6.1625767652000369E-4</v>
      </c>
      <c r="BB850" s="54">
        <f t="shared" si="220"/>
        <v>484.37806279532691</v>
      </c>
      <c r="BC850" s="55">
        <f t="shared" si="221"/>
        <v>484.01683904325205</v>
      </c>
      <c r="BD850" s="55">
        <f t="shared" si="222"/>
        <v>22.000382702199797</v>
      </c>
      <c r="BE850" s="55">
        <f t="shared" si="223"/>
        <v>21.559978871204795</v>
      </c>
      <c r="BF850" s="56">
        <f t="shared" si="224"/>
        <v>0.2527820249744549</v>
      </c>
      <c r="BG850" s="56">
        <f t="shared" si="227"/>
        <v>1.3182079189144984E-4</v>
      </c>
      <c r="BH850" s="56">
        <f t="shared" si="228"/>
        <v>1.148132361234757E-2</v>
      </c>
      <c r="BI850" s="56">
        <f t="shared" si="225"/>
        <v>1.1251490387525273E-2</v>
      </c>
      <c r="BJ850" s="57">
        <f t="shared" si="229"/>
        <v>4.0031438961578923E-2</v>
      </c>
      <c r="BK850" s="57">
        <f t="shared" si="230"/>
        <v>1.8182222625689993E-3</v>
      </c>
      <c r="BL850" s="58">
        <f t="shared" si="231"/>
        <v>70.632019799932692</v>
      </c>
      <c r="BM850" s="58">
        <f t="shared" si="231"/>
        <v>3.2080962908605533</v>
      </c>
    </row>
    <row r="851" spans="47:65" x14ac:dyDescent="0.2">
      <c r="AU851" s="2">
        <v>-786</v>
      </c>
      <c r="AV851" s="53">
        <v>849</v>
      </c>
      <c r="AW851" s="4" t="s">
        <v>3047</v>
      </c>
      <c r="AX851" t="s">
        <v>1207</v>
      </c>
      <c r="AY851" s="4">
        <v>19854</v>
      </c>
      <c r="AZ851" s="9">
        <v>24.045352401054465</v>
      </c>
      <c r="BA851" s="7">
        <f t="shared" si="226"/>
        <v>6.1629257751162766E-4</v>
      </c>
      <c r="BB851" s="54">
        <f t="shared" si="220"/>
        <v>484.80746188804204</v>
      </c>
      <c r="BC851" s="55">
        <f t="shared" si="221"/>
        <v>484.68461222604464</v>
      </c>
      <c r="BD851" s="55">
        <f t="shared" si="222"/>
        <v>22.015553870526279</v>
      </c>
      <c r="BE851" s="55">
        <f t="shared" si="223"/>
        <v>21.574846342966442</v>
      </c>
      <c r="BF851" s="56">
        <f t="shared" si="224"/>
        <v>0.25300611516456867</v>
      </c>
      <c r="BG851" s="56">
        <f t="shared" si="227"/>
        <v>1.3200265827018615E-4</v>
      </c>
      <c r="BH851" s="56">
        <f t="shared" si="228"/>
        <v>1.1489240978854353E-2</v>
      </c>
      <c r="BI851" s="56">
        <f t="shared" si="225"/>
        <v>1.1259249264128121E-2</v>
      </c>
      <c r="BJ851" s="57">
        <f t="shared" si="229"/>
        <v>1.5983298411629938E-2</v>
      </c>
      <c r="BK851" s="57">
        <f t="shared" si="230"/>
        <v>7.2581631858467037E-4</v>
      </c>
      <c r="BL851" s="58">
        <f t="shared" si="231"/>
        <v>28.201150874491351</v>
      </c>
      <c r="BM851" s="58">
        <f t="shared" si="231"/>
        <v>1.2806402646327621</v>
      </c>
    </row>
    <row r="852" spans="47:65" x14ac:dyDescent="0.2">
      <c r="AU852" s="2">
        <v>-785</v>
      </c>
      <c r="AV852" s="53">
        <v>850</v>
      </c>
      <c r="AW852" s="4" t="s">
        <v>2138</v>
      </c>
      <c r="AX852" t="s">
        <v>538</v>
      </c>
      <c r="AY852" s="4">
        <v>9107</v>
      </c>
      <c r="AZ852" s="9">
        <v>24.048764898487473</v>
      </c>
      <c r="BA852" s="7">
        <f t="shared" si="226"/>
        <v>6.1638004126776907E-4</v>
      </c>
      <c r="BB852" s="54">
        <f t="shared" si="220"/>
        <v>485.88523222635041</v>
      </c>
      <c r="BC852" s="55">
        <f t="shared" si="221"/>
        <v>486.36197440479549</v>
      </c>
      <c r="BD852" s="55">
        <f t="shared" si="222"/>
        <v>22.053615903175505</v>
      </c>
      <c r="BE852" s="55">
        <f t="shared" si="223"/>
        <v>21.612146449551879</v>
      </c>
      <c r="BF852" s="56">
        <f t="shared" si="224"/>
        <v>0.25356857038188935</v>
      </c>
      <c r="BG852" s="56">
        <f t="shared" si="227"/>
        <v>1.3245948372097688E-4</v>
      </c>
      <c r="BH852" s="56">
        <f t="shared" si="228"/>
        <v>1.1509104383963891E-2</v>
      </c>
      <c r="BI852" s="56">
        <f t="shared" si="225"/>
        <v>1.1278715043440633E-2</v>
      </c>
      <c r="BJ852" s="57">
        <f t="shared" si="229"/>
        <v>7.347813604566285E-3</v>
      </c>
      <c r="BK852" s="57">
        <f t="shared" si="230"/>
        <v>3.33506450115252E-4</v>
      </c>
      <c r="BL852" s="58">
        <f t="shared" si="231"/>
        <v>12.96458307436947</v>
      </c>
      <c r="BM852" s="58">
        <f t="shared" si="231"/>
        <v>0.58844335349909282</v>
      </c>
    </row>
    <row r="853" spans="47:65" x14ac:dyDescent="0.2">
      <c r="AU853" s="2">
        <v>-784</v>
      </c>
      <c r="AV853" s="53">
        <v>851</v>
      </c>
      <c r="AW853" s="4" t="s">
        <v>3097</v>
      </c>
      <c r="AX853" t="s">
        <v>1243</v>
      </c>
      <c r="AY853" s="4">
        <v>34280</v>
      </c>
      <c r="AZ853" s="9">
        <v>24.050509642047682</v>
      </c>
      <c r="BA853" s="7">
        <f t="shared" si="226"/>
        <v>6.1642475978500614E-4</v>
      </c>
      <c r="BB853" s="54">
        <f t="shared" si="220"/>
        <v>486.43720064990009</v>
      </c>
      <c r="BC853" s="55">
        <f t="shared" si="221"/>
        <v>487.22172801243869</v>
      </c>
      <c r="BD853" s="55">
        <f t="shared" si="222"/>
        <v>22.073099646683939</v>
      </c>
      <c r="BE853" s="55">
        <f t="shared" si="223"/>
        <v>21.631240167332152</v>
      </c>
      <c r="BF853" s="56">
        <f t="shared" si="224"/>
        <v>0.25385662573894174</v>
      </c>
      <c r="BG853" s="56">
        <f t="shared" si="227"/>
        <v>1.3269363549474336E-4</v>
      </c>
      <c r="BH853" s="56">
        <f t="shared" si="228"/>
        <v>1.1519272350923185E-2</v>
      </c>
      <c r="BI853" s="56">
        <f t="shared" si="225"/>
        <v>1.1288679467958739E-2</v>
      </c>
      <c r="BJ853" s="57">
        <f t="shared" si="229"/>
        <v>2.7689600412993599E-2</v>
      </c>
      <c r="BK853" s="57">
        <f t="shared" si="230"/>
        <v>1.2564732061534651E-3</v>
      </c>
      <c r="BL853" s="58">
        <f t="shared" si="231"/>
        <v>48.855910638133317</v>
      </c>
      <c r="BM853" s="58">
        <f t="shared" si="231"/>
        <v>2.2169385532279673</v>
      </c>
    </row>
    <row r="854" spans="47:65" x14ac:dyDescent="0.2">
      <c r="AU854" s="2">
        <v>-783</v>
      </c>
      <c r="AV854" s="53">
        <v>852</v>
      </c>
      <c r="AW854" s="4" t="s">
        <v>2109</v>
      </c>
      <c r="AX854" t="s">
        <v>515</v>
      </c>
      <c r="AY854" s="4">
        <v>49305</v>
      </c>
      <c r="AZ854" s="9">
        <v>24.052335208315636</v>
      </c>
      <c r="BA854" s="7">
        <f t="shared" si="226"/>
        <v>6.1647154982251233E-4</v>
      </c>
      <c r="BB854" s="54">
        <f t="shared" si="220"/>
        <v>487.01540955658913</v>
      </c>
      <c r="BC854" s="55">
        <f t="shared" si="221"/>
        <v>488.12286984412003</v>
      </c>
      <c r="BD854" s="55">
        <f t="shared" si="222"/>
        <v>22.0935028875939</v>
      </c>
      <c r="BE854" s="55">
        <f t="shared" si="223"/>
        <v>21.65123497600786</v>
      </c>
      <c r="BF854" s="56">
        <f t="shared" si="224"/>
        <v>0.25415837519771683</v>
      </c>
      <c r="BG854" s="56">
        <f t="shared" si="227"/>
        <v>1.3293905924919834E-4</v>
      </c>
      <c r="BH854" s="56">
        <f t="shared" si="228"/>
        <v>1.1529920175317709E-2</v>
      </c>
      <c r="BI854" s="56">
        <f t="shared" si="225"/>
        <v>1.1299114144122225E-2</v>
      </c>
      <c r="BJ854" s="57">
        <f t="shared" si="229"/>
        <v>3.9873353290224609E-2</v>
      </c>
      <c r="BK854" s="57">
        <f t="shared" si="230"/>
        <v>1.8088586701142137E-3</v>
      </c>
      <c r="BL854" s="58">
        <f t="shared" si="231"/>
        <v>70.353091273783519</v>
      </c>
      <c r="BM854" s="58">
        <f t="shared" si="231"/>
        <v>3.1915750399432508</v>
      </c>
    </row>
    <row r="855" spans="47:65" x14ac:dyDescent="0.2">
      <c r="AU855" s="2">
        <v>-782</v>
      </c>
      <c r="AV855" s="53">
        <v>853</v>
      </c>
      <c r="AW855" s="4" t="s">
        <v>2221</v>
      </c>
      <c r="AX855" t="s">
        <v>602</v>
      </c>
      <c r="AY855" s="4">
        <v>32646</v>
      </c>
      <c r="AZ855" s="9">
        <v>24.054903682577255</v>
      </c>
      <c r="BA855" s="7">
        <f t="shared" si="226"/>
        <v>6.1653738090689675E-4</v>
      </c>
      <c r="BB855" s="54">
        <f t="shared" si="220"/>
        <v>487.83008263957174</v>
      </c>
      <c r="BC855" s="55">
        <f t="shared" si="221"/>
        <v>489.39343698229521</v>
      </c>
      <c r="BD855" s="55">
        <f t="shared" si="222"/>
        <v>22.122238516531169</v>
      </c>
      <c r="BE855" s="55">
        <f t="shared" si="223"/>
        <v>21.679395374902938</v>
      </c>
      <c r="BF855" s="56">
        <f t="shared" si="224"/>
        <v>0.25458352804303819</v>
      </c>
      <c r="BG855" s="56">
        <f t="shared" si="227"/>
        <v>1.3328509507438656E-4</v>
      </c>
      <c r="BH855" s="56">
        <f t="shared" si="228"/>
        <v>1.154491641695108E-2</v>
      </c>
      <c r="BI855" s="56">
        <f t="shared" si="225"/>
        <v>1.1313810190874659E-2</v>
      </c>
      <c r="BJ855" s="57">
        <f t="shared" si="229"/>
        <v>2.6445248304143694E-2</v>
      </c>
      <c r="BK855" s="57">
        <f t="shared" si="230"/>
        <v>1.1992456214419453E-3</v>
      </c>
      <c r="BL855" s="58">
        <f t="shared" si="231"/>
        <v>46.660358715187705</v>
      </c>
      <c r="BM855" s="58">
        <f t="shared" si="231"/>
        <v>2.1159654180797181</v>
      </c>
    </row>
    <row r="856" spans="47:65" x14ac:dyDescent="0.2">
      <c r="AU856" s="2">
        <v>-781</v>
      </c>
      <c r="AV856" s="53">
        <v>854</v>
      </c>
      <c r="AW856" s="4" t="s">
        <v>3082</v>
      </c>
      <c r="AX856" t="s">
        <v>1231</v>
      </c>
      <c r="AY856" s="4">
        <v>44260</v>
      </c>
      <c r="AZ856" s="9">
        <v>24.056889043038591</v>
      </c>
      <c r="BA856" s="7">
        <f t="shared" si="226"/>
        <v>6.1658826653733371E-4</v>
      </c>
      <c r="BB856" s="54">
        <f t="shared" si="220"/>
        <v>488.46073645653121</v>
      </c>
      <c r="BC856" s="55">
        <f t="shared" si="221"/>
        <v>490.37772480191592</v>
      </c>
      <c r="BD856" s="55">
        <f t="shared" si="222"/>
        <v>22.144473911157064</v>
      </c>
      <c r="BE856" s="55">
        <f t="shared" si="223"/>
        <v>21.701185661227331</v>
      </c>
      <c r="BF856" s="56">
        <f t="shared" si="224"/>
        <v>0.25491264688873677</v>
      </c>
      <c r="BG856" s="56">
        <f t="shared" si="227"/>
        <v>1.3355316343351736E-4</v>
      </c>
      <c r="BH856" s="56">
        <f t="shared" si="228"/>
        <v>1.1556520386064197E-2</v>
      </c>
      <c r="BI856" s="56">
        <f t="shared" si="225"/>
        <v>1.1325181871644371E-2</v>
      </c>
      <c r="BJ856" s="57">
        <f t="shared" si="229"/>
        <v>3.5899645846151698E-2</v>
      </c>
      <c r="BK856" s="57">
        <f t="shared" si="230"/>
        <v>1.6275182661087031E-3</v>
      </c>
      <c r="BL856" s="58">
        <f t="shared" si="231"/>
        <v>63.341827373470608</v>
      </c>
      <c r="BM856" s="58">
        <f t="shared" si="231"/>
        <v>2.8716155446441136</v>
      </c>
    </row>
    <row r="857" spans="47:65" x14ac:dyDescent="0.2">
      <c r="AU857" s="2">
        <v>-780</v>
      </c>
      <c r="AV857" s="53">
        <v>855</v>
      </c>
      <c r="AW857" s="4" t="s">
        <v>3217</v>
      </c>
      <c r="AX857" t="s">
        <v>3218</v>
      </c>
      <c r="AY857" s="5">
        <v>50215.345000000008</v>
      </c>
      <c r="AZ857" s="9">
        <v>24.061758138265482</v>
      </c>
      <c r="BA857" s="7">
        <f t="shared" si="226"/>
        <v>6.1671306351254447E-4</v>
      </c>
      <c r="BB857" s="54">
        <f t="shared" si="220"/>
        <v>490.01086861557911</v>
      </c>
      <c r="BC857" s="55">
        <f t="shared" si="221"/>
        <v>492.79973894068104</v>
      </c>
      <c r="BD857" s="55">
        <f t="shared" si="222"/>
        <v>22.199093200864784</v>
      </c>
      <c r="BE857" s="55">
        <f t="shared" si="223"/>
        <v>21.754711581571478</v>
      </c>
      <c r="BF857" s="56">
        <f t="shared" si="224"/>
        <v>0.25572161322358861</v>
      </c>
      <c r="BG857" s="56">
        <f t="shared" si="227"/>
        <v>1.3421279300834346E-4</v>
      </c>
      <c r="BH857" s="56">
        <f t="shared" si="228"/>
        <v>1.1585024514792512E-2</v>
      </c>
      <c r="BI857" s="56">
        <f t="shared" si="225"/>
        <v>1.1353115404503466E-2</v>
      </c>
      <c r="BJ857" s="57">
        <f t="shared" si="229"/>
        <v>4.0859331653755049E-2</v>
      </c>
      <c r="BK857" s="57">
        <f t="shared" si="230"/>
        <v>1.8510612102736646E-3</v>
      </c>
      <c r="BL857" s="58">
        <f t="shared" si="231"/>
        <v>72.092765017763284</v>
      </c>
      <c r="BM857" s="58">
        <f t="shared" si="231"/>
        <v>3.2660377804660365</v>
      </c>
    </row>
    <row r="858" spans="47:65" x14ac:dyDescent="0.2">
      <c r="AU858" s="2">
        <v>-779</v>
      </c>
      <c r="AV858" s="53">
        <v>856</v>
      </c>
      <c r="AW858" s="4" t="s">
        <v>1882</v>
      </c>
      <c r="AX858" t="s">
        <v>351</v>
      </c>
      <c r="AY858" s="4">
        <v>45229</v>
      </c>
      <c r="AZ858" s="9">
        <v>24.065323871768463</v>
      </c>
      <c r="BA858" s="7">
        <f t="shared" si="226"/>
        <v>6.1680445477413294E-4</v>
      </c>
      <c r="BB858" s="54">
        <f t="shared" si="220"/>
        <v>491.14918040664611</v>
      </c>
      <c r="BC858" s="55">
        <f t="shared" si="221"/>
        <v>494.58070366578687</v>
      </c>
      <c r="BD858" s="55">
        <f t="shared" si="222"/>
        <v>22.23917048061341</v>
      </c>
      <c r="BE858" s="55">
        <f t="shared" si="223"/>
        <v>21.7939865940243</v>
      </c>
      <c r="BF858" s="56">
        <f t="shared" si="224"/>
        <v>0.25631566316453241</v>
      </c>
      <c r="BG858" s="56">
        <f t="shared" si="227"/>
        <v>1.3469783435702233E-4</v>
      </c>
      <c r="BH858" s="56">
        <f t="shared" si="228"/>
        <v>1.1605939615430641E-2</v>
      </c>
      <c r="BI858" s="56">
        <f t="shared" si="225"/>
        <v>1.1373611826495348E-2</v>
      </c>
      <c r="BJ858" s="57">
        <f t="shared" si="229"/>
        <v>3.6887523919421079E-2</v>
      </c>
      <c r="BK858" s="57">
        <f t="shared" si="230"/>
        <v>1.6702622457244929E-3</v>
      </c>
      <c r="BL858" s="58">
        <f t="shared" si="231"/>
        <v>65.084852991361871</v>
      </c>
      <c r="BM858" s="58">
        <f t="shared" si="231"/>
        <v>2.9470336083676787</v>
      </c>
    </row>
    <row r="859" spans="47:65" x14ac:dyDescent="0.2">
      <c r="AU859" s="2">
        <v>-778</v>
      </c>
      <c r="AV859" s="53">
        <v>857</v>
      </c>
      <c r="AW859" s="4" t="s">
        <v>2956</v>
      </c>
      <c r="AX859" t="s">
        <v>1156</v>
      </c>
      <c r="AY859" s="4">
        <v>63887</v>
      </c>
      <c r="AZ859" s="9">
        <v>24.066884533836348</v>
      </c>
      <c r="BA859" s="7">
        <f t="shared" si="226"/>
        <v>6.1684445520466939E-4</v>
      </c>
      <c r="BB859" s="54">
        <f t="shared" si="220"/>
        <v>491.64823216787795</v>
      </c>
      <c r="BC859" s="55">
        <f t="shared" si="221"/>
        <v>495.3621437296411</v>
      </c>
      <c r="BD859" s="55">
        <f t="shared" si="222"/>
        <v>22.256732548369293</v>
      </c>
      <c r="BE859" s="55">
        <f t="shared" si="223"/>
        <v>21.811197104172091</v>
      </c>
      <c r="BF859" s="56">
        <f t="shared" si="224"/>
        <v>0.25657610294176636</v>
      </c>
      <c r="BG859" s="56">
        <f t="shared" si="227"/>
        <v>1.349106576303524E-4</v>
      </c>
      <c r="BH859" s="56">
        <f t="shared" si="228"/>
        <v>1.1615104718871561E-2</v>
      </c>
      <c r="BI859" s="56">
        <f t="shared" si="225"/>
        <v>1.1382593462824742E-2</v>
      </c>
      <c r="BJ859" s="57">
        <f t="shared" si="229"/>
        <v>5.2157416526211434E-2</v>
      </c>
      <c r="BK859" s="57">
        <f t="shared" si="230"/>
        <v>2.3611468405350523E-3</v>
      </c>
      <c r="BL859" s="58">
        <f t="shared" si="231"/>
        <v>92.027260881840618</v>
      </c>
      <c r="BM859" s="58">
        <f t="shared" si="231"/>
        <v>4.1660398606026643</v>
      </c>
    </row>
    <row r="860" spans="47:65" x14ac:dyDescent="0.2">
      <c r="AU860" s="2">
        <v>-777</v>
      </c>
      <c r="AV860" s="53">
        <v>858</v>
      </c>
      <c r="AW860" s="4" t="s">
        <v>2754</v>
      </c>
      <c r="AX860" t="s">
        <v>1005</v>
      </c>
      <c r="AY860" s="4">
        <v>104011</v>
      </c>
      <c r="AZ860" s="9">
        <v>24.071665518795136</v>
      </c>
      <c r="BA860" s="7">
        <f t="shared" si="226"/>
        <v>6.169669938763491E-4</v>
      </c>
      <c r="BB860" s="54">
        <f t="shared" si="220"/>
        <v>493.18020276601425</v>
      </c>
      <c r="BC860" s="55">
        <f t="shared" si="221"/>
        <v>497.76341355953178</v>
      </c>
      <c r="BD860" s="55">
        <f t="shared" si="222"/>
        <v>22.310612128750115</v>
      </c>
      <c r="BE860" s="55">
        <f t="shared" si="223"/>
        <v>21.863998122696362</v>
      </c>
      <c r="BF860" s="56">
        <f t="shared" si="224"/>
        <v>0.2573755913161227</v>
      </c>
      <c r="BG860" s="56">
        <f t="shared" si="227"/>
        <v>1.3556463754382713E-4</v>
      </c>
      <c r="BH860" s="56">
        <f t="shared" si="228"/>
        <v>1.1643222816034533E-2</v>
      </c>
      <c r="BI860" s="56">
        <f t="shared" si="225"/>
        <v>1.1410148691701354E-2</v>
      </c>
      <c r="BJ860" s="57">
        <f t="shared" si="229"/>
        <v>8.5179287189525443E-2</v>
      </c>
      <c r="BK860" s="57">
        <f t="shared" si="230"/>
        <v>3.8533623759236186E-3</v>
      </c>
      <c r="BL860" s="58">
        <f t="shared" si="231"/>
        <v>150.29150226373514</v>
      </c>
      <c r="BM860" s="58">
        <f t="shared" si="231"/>
        <v>6.7989254119437161</v>
      </c>
    </row>
    <row r="861" spans="47:65" x14ac:dyDescent="0.2">
      <c r="AU861" s="2">
        <v>-776</v>
      </c>
      <c r="AV861" s="53">
        <v>859</v>
      </c>
      <c r="AW861" s="4" t="s">
        <v>2846</v>
      </c>
      <c r="AX861" t="s">
        <v>1074</v>
      </c>
      <c r="AY861" s="4">
        <v>31020</v>
      </c>
      <c r="AZ861" s="9">
        <v>24.073736907946387</v>
      </c>
      <c r="BA861" s="7">
        <f t="shared" si="226"/>
        <v>6.1702008445858555E-4</v>
      </c>
      <c r="BB861" s="54">
        <f t="shared" si="220"/>
        <v>493.84541918640707</v>
      </c>
      <c r="BC861" s="55">
        <f t="shared" si="221"/>
        <v>498.80724124652602</v>
      </c>
      <c r="BD861" s="55">
        <f t="shared" si="222"/>
        <v>22.333992953489666</v>
      </c>
      <c r="BE861" s="55">
        <f t="shared" si="223"/>
        <v>21.886910909905541</v>
      </c>
      <c r="BF861" s="56">
        <f t="shared" si="224"/>
        <v>0.25772274732236888</v>
      </c>
      <c r="BG861" s="56">
        <f t="shared" si="227"/>
        <v>1.3584892143893285E-4</v>
      </c>
      <c r="BH861" s="56">
        <f t="shared" si="228"/>
        <v>1.165542454992236E-2</v>
      </c>
      <c r="BI861" s="56">
        <f t="shared" si="225"/>
        <v>1.1422106171185895E-2</v>
      </c>
      <c r="BJ861" s="57">
        <f t="shared" si="229"/>
        <v>2.5437938786091397E-2</v>
      </c>
      <c r="BK861" s="57">
        <f t="shared" si="230"/>
        <v>1.1504222242981585E-3</v>
      </c>
      <c r="BL861" s="58">
        <f t="shared" si="231"/>
        <v>44.883047989684769</v>
      </c>
      <c r="BM861" s="58">
        <f t="shared" si="231"/>
        <v>2.0298207467110547</v>
      </c>
    </row>
    <row r="862" spans="47:65" x14ac:dyDescent="0.2">
      <c r="AU862" s="2">
        <v>-775</v>
      </c>
      <c r="AV862" s="53">
        <v>860</v>
      </c>
      <c r="AW862" s="4" t="s">
        <v>1612</v>
      </c>
      <c r="AX862" t="s">
        <v>170</v>
      </c>
      <c r="AY862" s="4">
        <v>47783</v>
      </c>
      <c r="AZ862" s="9">
        <v>24.076131648920619</v>
      </c>
      <c r="BA862" s="7">
        <f t="shared" si="226"/>
        <v>6.1708146268514954E-4</v>
      </c>
      <c r="BB862" s="54">
        <f t="shared" si="220"/>
        <v>494.61559691764</v>
      </c>
      <c r="BC862" s="55">
        <f t="shared" si="221"/>
        <v>500.01663178695389</v>
      </c>
      <c r="BD862" s="55">
        <f t="shared" si="222"/>
        <v>22.361051669967445</v>
      </c>
      <c r="BE862" s="55">
        <f t="shared" si="223"/>
        <v>21.913427964787708</v>
      </c>
      <c r="BF862" s="56">
        <f t="shared" si="224"/>
        <v>0.25812467941105111</v>
      </c>
      <c r="BG862" s="56">
        <f t="shared" si="227"/>
        <v>1.3617829596867623E-4</v>
      </c>
      <c r="BH862" s="56">
        <f t="shared" si="228"/>
        <v>1.1669545662478733E-2</v>
      </c>
      <c r="BI862" s="56">
        <f t="shared" si="225"/>
        <v>1.1435944607201959E-2</v>
      </c>
      <c r="BJ862" s="57">
        <f t="shared" si="229"/>
        <v>3.9245540502001498E-2</v>
      </c>
      <c r="BK862" s="57">
        <f t="shared" si="230"/>
        <v>1.7742496687325961E-3</v>
      </c>
      <c r="BL862" s="58">
        <f t="shared" si="231"/>
        <v>69.245369781908465</v>
      </c>
      <c r="BM862" s="58">
        <f t="shared" si="231"/>
        <v>3.1305104433598379</v>
      </c>
    </row>
    <row r="863" spans="47:65" x14ac:dyDescent="0.2">
      <c r="AU863" s="2">
        <v>-774</v>
      </c>
      <c r="AV863" s="53">
        <v>861</v>
      </c>
      <c r="AW863" s="4" t="s">
        <v>2627</v>
      </c>
      <c r="AX863" t="s">
        <v>915</v>
      </c>
      <c r="AY863" s="4">
        <v>29024</v>
      </c>
      <c r="AZ863" s="9">
        <v>24.077626345959349</v>
      </c>
      <c r="BA863" s="7">
        <f t="shared" si="226"/>
        <v>6.1711977240401885E-4</v>
      </c>
      <c r="BB863" s="54">
        <f t="shared" si="220"/>
        <v>495.09691835078877</v>
      </c>
      <c r="BC863" s="55">
        <f t="shared" si="221"/>
        <v>500.77290799160033</v>
      </c>
      <c r="BD863" s="55">
        <f t="shared" si="222"/>
        <v>22.37795584926381</v>
      </c>
      <c r="BE863" s="55">
        <f t="shared" si="223"/>
        <v>21.929993756092248</v>
      </c>
      <c r="BF863" s="56">
        <f t="shared" si="224"/>
        <v>0.25837586627494996</v>
      </c>
      <c r="BG863" s="56">
        <f t="shared" si="227"/>
        <v>1.3638426592704178E-4</v>
      </c>
      <c r="BH863" s="56">
        <f t="shared" si="228"/>
        <v>1.1678367434151135E-2</v>
      </c>
      <c r="BI863" s="56">
        <f t="shared" si="225"/>
        <v>1.1444589784580831E-2</v>
      </c>
      <c r="BJ863" s="57">
        <f t="shared" si="229"/>
        <v>2.3861436381914687E-2</v>
      </c>
      <c r="BK863" s="57">
        <f t="shared" si="230"/>
        <v>1.0785164481193592E-3</v>
      </c>
      <c r="BL863" s="58">
        <f t="shared" si="231"/>
        <v>42.101445531343892</v>
      </c>
      <c r="BM863" s="58">
        <f t="shared" si="231"/>
        <v>1.9029492092760645</v>
      </c>
    </row>
    <row r="864" spans="47:65" x14ac:dyDescent="0.2">
      <c r="AU864" s="2">
        <v>-773</v>
      </c>
      <c r="AV864" s="53">
        <v>862</v>
      </c>
      <c r="AW864" s="4" t="s">
        <v>3008</v>
      </c>
      <c r="AX864" t="s">
        <v>1170</v>
      </c>
      <c r="AY864" s="4">
        <v>35118</v>
      </c>
      <c r="AZ864" s="9">
        <v>24.08375198837922</v>
      </c>
      <c r="BA864" s="7">
        <f t="shared" si="226"/>
        <v>6.1727677521657446E-4</v>
      </c>
      <c r="BB864" s="54">
        <f t="shared" si="220"/>
        <v>497.07439251731569</v>
      </c>
      <c r="BC864" s="55">
        <f t="shared" si="221"/>
        <v>503.88379621065934</v>
      </c>
      <c r="BD864" s="55">
        <f t="shared" si="222"/>
        <v>22.447356107360601</v>
      </c>
      <c r="BE864" s="55">
        <f t="shared" si="223"/>
        <v>21.998004759285998</v>
      </c>
      <c r="BF864" s="56">
        <f t="shared" si="224"/>
        <v>0.25940784927034982</v>
      </c>
      <c r="BG864" s="56">
        <f t="shared" si="227"/>
        <v>1.3723150865795471E-4</v>
      </c>
      <c r="BH864" s="56">
        <f t="shared" si="228"/>
        <v>1.1714585296029676E-2</v>
      </c>
      <c r="BI864" s="56">
        <f t="shared" si="225"/>
        <v>1.1480082637020324E-2</v>
      </c>
      <c r="BJ864" s="57">
        <f t="shared" si="229"/>
        <v>2.8986799040671887E-2</v>
      </c>
      <c r="BK864" s="57">
        <f t="shared" si="230"/>
        <v>1.3090133192805989E-3</v>
      </c>
      <c r="BL864" s="58">
        <f t="shared" si="231"/>
        <v>51.144705683511432</v>
      </c>
      <c r="BM864" s="58">
        <f t="shared" si="231"/>
        <v>2.3096410492398678</v>
      </c>
    </row>
    <row r="865" spans="47:65" x14ac:dyDescent="0.2">
      <c r="AU865" s="2">
        <v>-772</v>
      </c>
      <c r="AV865" s="53">
        <v>863</v>
      </c>
      <c r="AW865" s="4" t="s">
        <v>2481</v>
      </c>
      <c r="AX865" t="s">
        <v>1335</v>
      </c>
      <c r="AY865" s="4">
        <v>15922</v>
      </c>
      <c r="AZ865" s="9">
        <v>24.086780792447772</v>
      </c>
      <c r="BA865" s="7">
        <f t="shared" si="226"/>
        <v>6.17354404749095E-4</v>
      </c>
      <c r="BB865" s="54">
        <f t="shared" si="220"/>
        <v>498.05506460458565</v>
      </c>
      <c r="BC865" s="55">
        <f t="shared" si="221"/>
        <v>505.4288054249219</v>
      </c>
      <c r="BD865" s="55">
        <f t="shared" si="222"/>
        <v>22.4817438252668</v>
      </c>
      <c r="BE865" s="55">
        <f t="shared" si="223"/>
        <v>22.031704103589334</v>
      </c>
      <c r="BF865" s="56">
        <f t="shared" si="224"/>
        <v>0.25991963189449518</v>
      </c>
      <c r="BG865" s="56">
        <f t="shared" si="227"/>
        <v>1.3765228810544064E-4</v>
      </c>
      <c r="BH865" s="56">
        <f t="shared" si="228"/>
        <v>1.1732531189195306E-2</v>
      </c>
      <c r="BI865" s="56">
        <f t="shared" si="225"/>
        <v>1.1497669289157842E-2</v>
      </c>
      <c r="BJ865" s="57">
        <f t="shared" si="229"/>
        <v>1.3168129079004935E-2</v>
      </c>
      <c r="BK865" s="57">
        <f t="shared" si="230"/>
        <v>5.943971372869858E-4</v>
      </c>
      <c r="BL865" s="58">
        <f t="shared" si="231"/>
        <v>23.234027503458528</v>
      </c>
      <c r="BM865" s="58">
        <f t="shared" si="231"/>
        <v>1.0487624591804525</v>
      </c>
    </row>
    <row r="866" spans="47:65" x14ac:dyDescent="0.2">
      <c r="AU866" s="2">
        <v>-771</v>
      </c>
      <c r="AV866" s="53">
        <v>864</v>
      </c>
      <c r="AW866" s="4" t="s">
        <v>1433</v>
      </c>
      <c r="AX866" t="s">
        <v>42</v>
      </c>
      <c r="AY866" s="4">
        <v>49020</v>
      </c>
      <c r="AZ866" s="9">
        <v>24.091816504601354</v>
      </c>
      <c r="BA866" s="7">
        <f t="shared" si="226"/>
        <v>6.1748347218678419E-4</v>
      </c>
      <c r="BB866" s="54">
        <f t="shared" si="220"/>
        <v>499.68982197936327</v>
      </c>
      <c r="BC866" s="55">
        <f t="shared" si="221"/>
        <v>508.00761173133378</v>
      </c>
      <c r="BD866" s="55">
        <f t="shared" si="222"/>
        <v>22.539024196520437</v>
      </c>
      <c r="BE866" s="55">
        <f t="shared" si="223"/>
        <v>22.087837835928436</v>
      </c>
      <c r="BF866" s="56">
        <f t="shared" si="224"/>
        <v>0.26077276152871837</v>
      </c>
      <c r="BG866" s="56">
        <f t="shared" si="227"/>
        <v>1.38354619640266E-4</v>
      </c>
      <c r="BH866" s="56">
        <f t="shared" si="228"/>
        <v>1.1762424054601416E-2</v>
      </c>
      <c r="BI866" s="56">
        <f t="shared" si="225"/>
        <v>1.1526963758953183E-2</v>
      </c>
      <c r="BJ866" s="57">
        <f t="shared" si="229"/>
        <v>4.0674563891678492E-2</v>
      </c>
      <c r="BK866" s="57">
        <f t="shared" si="230"/>
        <v>1.8346681069188761E-3</v>
      </c>
      <c r="BL866" s="58">
        <f t="shared" si="231"/>
        <v>71.766758244888933</v>
      </c>
      <c r="BM866" s="58">
        <f t="shared" si="231"/>
        <v>3.2371135641307442</v>
      </c>
    </row>
    <row r="867" spans="47:65" x14ac:dyDescent="0.2">
      <c r="AU867" s="2">
        <v>-770</v>
      </c>
      <c r="AV867" s="53">
        <v>865</v>
      </c>
      <c r="AW867" s="4" t="s">
        <v>1407</v>
      </c>
      <c r="AX867" t="s">
        <v>24</v>
      </c>
      <c r="AY867" s="4">
        <v>21824</v>
      </c>
      <c r="AZ867" s="9">
        <v>24.095925793177098</v>
      </c>
      <c r="BA867" s="7">
        <f t="shared" si="226"/>
        <v>6.1758879499536053E-4</v>
      </c>
      <c r="BB867" s="54">
        <f t="shared" si="220"/>
        <v>501.02780722334569</v>
      </c>
      <c r="BC867" s="55">
        <f t="shared" si="221"/>
        <v>510.12133919953072</v>
      </c>
      <c r="BD867" s="55">
        <f t="shared" si="222"/>
        <v>22.585865916531311</v>
      </c>
      <c r="BE867" s="55">
        <f t="shared" si="223"/>
        <v>22.133741878026051</v>
      </c>
      <c r="BF867" s="56">
        <f t="shared" si="224"/>
        <v>0.26147101490833674</v>
      </c>
      <c r="BG867" s="56">
        <f t="shared" si="227"/>
        <v>1.3893028810098906E-4</v>
      </c>
      <c r="BH867" s="56">
        <f t="shared" si="228"/>
        <v>1.178686930872609E-2</v>
      </c>
      <c r="BI867" s="56">
        <f t="shared" si="225"/>
        <v>1.1550919667791827E-2</v>
      </c>
      <c r="BJ867" s="57">
        <f t="shared" si="229"/>
        <v>1.8157049507780184E-2</v>
      </c>
      <c r="BK867" s="57">
        <f t="shared" si="230"/>
        <v>8.1850284497232348E-4</v>
      </c>
      <c r="BL867" s="58">
        <f t="shared" si="231"/>
        <v>32.036547114201085</v>
      </c>
      <c r="BM867" s="58">
        <f t="shared" si="231"/>
        <v>1.4441776426741304</v>
      </c>
    </row>
    <row r="868" spans="47:65" x14ac:dyDescent="0.2">
      <c r="AU868" s="2">
        <v>-769</v>
      </c>
      <c r="AV868" s="53">
        <v>866</v>
      </c>
      <c r="AW868" s="4" t="s">
        <v>2112</v>
      </c>
      <c r="AX868" t="s">
        <v>516</v>
      </c>
      <c r="AY868" s="4">
        <v>47476</v>
      </c>
      <c r="AZ868" s="9">
        <v>24.102348247948409</v>
      </c>
      <c r="BA868" s="7">
        <f t="shared" si="226"/>
        <v>6.1775340523433499E-4</v>
      </c>
      <c r="BB868" s="54">
        <f t="shared" si="220"/>
        <v>503.1261393723658</v>
      </c>
      <c r="BC868" s="55">
        <f t="shared" si="221"/>
        <v>513.4418102031766</v>
      </c>
      <c r="BD868" s="55">
        <f t="shared" si="222"/>
        <v>22.659254405279459</v>
      </c>
      <c r="BE868" s="55">
        <f t="shared" si="223"/>
        <v>22.205661275439144</v>
      </c>
      <c r="BF868" s="56">
        <f t="shared" si="224"/>
        <v>0.26256606997056897</v>
      </c>
      <c r="BG868" s="56">
        <f t="shared" si="227"/>
        <v>1.3983461018619351E-4</v>
      </c>
      <c r="BH868" s="56">
        <f t="shared" si="228"/>
        <v>1.1825168505615196E-2</v>
      </c>
      <c r="BI868" s="56">
        <f t="shared" si="225"/>
        <v>1.1588452191061556E-2</v>
      </c>
      <c r="BJ868" s="57">
        <f t="shared" si="229"/>
        <v>3.9664327663747799E-2</v>
      </c>
      <c r="BK868" s="57">
        <f t="shared" si="230"/>
        <v>1.7863593660000564E-3</v>
      </c>
      <c r="BL868" s="58">
        <f t="shared" si="231"/>
        <v>69.9842835923466</v>
      </c>
      <c r="BM868" s="58">
        <f t="shared" si="231"/>
        <v>3.1518769592621867</v>
      </c>
    </row>
    <row r="869" spans="47:65" x14ac:dyDescent="0.2">
      <c r="AU869" s="2">
        <v>-768</v>
      </c>
      <c r="AV869" s="53">
        <v>867</v>
      </c>
      <c r="AW869" s="4" t="s">
        <v>1861</v>
      </c>
      <c r="AX869" t="s">
        <v>336</v>
      </c>
      <c r="AY869" s="4">
        <v>45571</v>
      </c>
      <c r="AZ869" s="9">
        <v>24.108502974572719</v>
      </c>
      <c r="BA869" s="7">
        <f t="shared" si="226"/>
        <v>6.1791115348738238E-4</v>
      </c>
      <c r="BB869" s="54">
        <f t="shared" si="220"/>
        <v>505.14524615201702</v>
      </c>
      <c r="BC869" s="55">
        <f t="shared" si="221"/>
        <v>516.64330460036092</v>
      </c>
      <c r="BD869" s="55">
        <f t="shared" si="222"/>
        <v>22.729788925556718</v>
      </c>
      <c r="BE869" s="55">
        <f t="shared" si="223"/>
        <v>22.274783835144266</v>
      </c>
      <c r="BF869" s="56">
        <f t="shared" si="224"/>
        <v>0.26361977974729678</v>
      </c>
      <c r="BG869" s="56">
        <f t="shared" si="227"/>
        <v>1.4070652928616106E-4</v>
      </c>
      <c r="BH869" s="56">
        <f t="shared" si="228"/>
        <v>1.1861978304067204E-2</v>
      </c>
      <c r="BI869" s="56">
        <f t="shared" si="225"/>
        <v>1.1624525130683613E-2</v>
      </c>
      <c r="BJ869" s="57">
        <f t="shared" si="229"/>
        <v>3.8225565919006013E-2</v>
      </c>
      <c r="BK869" s="57">
        <f t="shared" si="230"/>
        <v>1.7200182551802231E-3</v>
      </c>
      <c r="BL869" s="58">
        <f t="shared" si="231"/>
        <v>67.445712642161126</v>
      </c>
      <c r="BM869" s="58">
        <f t="shared" si="231"/>
        <v>3.0348237936871669</v>
      </c>
    </row>
    <row r="870" spans="47:65" x14ac:dyDescent="0.2">
      <c r="AU870" s="2">
        <v>-767</v>
      </c>
      <c r="AV870" s="53">
        <v>868</v>
      </c>
      <c r="AW870" s="4" t="s">
        <v>2569</v>
      </c>
      <c r="AX870" t="s">
        <v>872</v>
      </c>
      <c r="AY870" s="4">
        <v>26850</v>
      </c>
      <c r="AZ870" s="9">
        <v>24.108848565293499</v>
      </c>
      <c r="BA870" s="7">
        <f t="shared" si="226"/>
        <v>6.1792001112408992E-4</v>
      </c>
      <c r="BB870" s="54">
        <f t="shared" si="220"/>
        <v>505.25885990509926</v>
      </c>
      <c r="BC870" s="55">
        <f t="shared" si="221"/>
        <v>516.82363639670905</v>
      </c>
      <c r="BD870" s="55">
        <f t="shared" si="222"/>
        <v>22.733755439801605</v>
      </c>
      <c r="BE870" s="55">
        <f t="shared" si="223"/>
        <v>22.278670947676336</v>
      </c>
      <c r="BF870" s="56">
        <f t="shared" si="224"/>
        <v>0.26367907127343082</v>
      </c>
      <c r="BG870" s="56">
        <f t="shared" si="227"/>
        <v>1.4075564220596143E-4</v>
      </c>
      <c r="BH870" s="56">
        <f t="shared" si="228"/>
        <v>1.1864048305951953E-2</v>
      </c>
      <c r="BI870" s="56">
        <f t="shared" si="225"/>
        <v>1.1626553695254631E-2</v>
      </c>
      <c r="BJ870" s="57">
        <f t="shared" si="229"/>
        <v>2.2527205588504181E-2</v>
      </c>
      <c r="BK870" s="57">
        <f t="shared" si="230"/>
        <v>1.0135952542967516E-3</v>
      </c>
      <c r="BL870" s="58">
        <f t="shared" si="231"/>
        <v>39.747310424976625</v>
      </c>
      <c r="BM870" s="58">
        <f t="shared" si="231"/>
        <v>1.7884013647203207</v>
      </c>
    </row>
    <row r="871" spans="47:65" x14ac:dyDescent="0.2">
      <c r="AU871" s="2">
        <v>-766</v>
      </c>
      <c r="AV871" s="53">
        <v>869</v>
      </c>
      <c r="AW871" s="4" t="s">
        <v>2533</v>
      </c>
      <c r="AX871" t="s">
        <v>840</v>
      </c>
      <c r="AY871" s="4">
        <v>61021</v>
      </c>
      <c r="AZ871" s="9">
        <v>24.111796012082916</v>
      </c>
      <c r="BA871" s="7">
        <f t="shared" si="226"/>
        <v>6.1799555543504993E-4</v>
      </c>
      <c r="BB871" s="54">
        <f t="shared" si="220"/>
        <v>506.22887888901158</v>
      </c>
      <c r="BC871" s="55">
        <f t="shared" si="221"/>
        <v>518.36409026261549</v>
      </c>
      <c r="BD871" s="55">
        <f t="shared" si="222"/>
        <v>22.767610552331035</v>
      </c>
      <c r="BE871" s="55">
        <f t="shared" si="223"/>
        <v>22.311848348301453</v>
      </c>
      <c r="BF871" s="56">
        <f t="shared" si="224"/>
        <v>0.26418529437032739</v>
      </c>
      <c r="BG871" s="56">
        <f t="shared" si="227"/>
        <v>1.4117518101556623E-4</v>
      </c>
      <c r="BH871" s="56">
        <f t="shared" si="228"/>
        <v>1.1881716248739752E-2</v>
      </c>
      <c r="BI871" s="56">
        <f t="shared" si="225"/>
        <v>1.1643867961027132E-2</v>
      </c>
      <c r="BJ871" s="57">
        <f t="shared" si="229"/>
        <v>5.1295035178663288E-2</v>
      </c>
      <c r="BK871" s="57">
        <f t="shared" si="230"/>
        <v>2.3069908354083433E-3</v>
      </c>
      <c r="BL871" s="58">
        <f t="shared" si="231"/>
        <v>90.505663407576094</v>
      </c>
      <c r="BM871" s="58">
        <f t="shared" si="231"/>
        <v>4.0704862625902063</v>
      </c>
    </row>
    <row r="872" spans="47:65" x14ac:dyDescent="0.2">
      <c r="AU872" s="2">
        <v>-765</v>
      </c>
      <c r="AV872" s="53">
        <v>870</v>
      </c>
      <c r="AW872" s="4" t="s">
        <v>1437</v>
      </c>
      <c r="AX872" t="s">
        <v>46</v>
      </c>
      <c r="AY872" s="4">
        <v>37197</v>
      </c>
      <c r="AZ872" s="9">
        <v>24.11521387471883</v>
      </c>
      <c r="BA872" s="7">
        <f t="shared" si="226"/>
        <v>6.1808315670361673E-4</v>
      </c>
      <c r="BB872" s="54">
        <f t="shared" si="220"/>
        <v>507.35604627029204</v>
      </c>
      <c r="BC872" s="55">
        <f t="shared" si="221"/>
        <v>520.15591478771012</v>
      </c>
      <c r="BD872" s="55">
        <f t="shared" si="222"/>
        <v>22.806926903634125</v>
      </c>
      <c r="BE872" s="55">
        <f t="shared" si="223"/>
        <v>22.350377664580243</v>
      </c>
      <c r="BF872" s="56">
        <f t="shared" si="224"/>
        <v>0.2647735283862962</v>
      </c>
      <c r="BG872" s="56">
        <f t="shared" si="227"/>
        <v>1.4166318000397051E-4</v>
      </c>
      <c r="BH872" s="56">
        <f t="shared" si="228"/>
        <v>1.1902234244206862E-2</v>
      </c>
      <c r="BI872" s="56">
        <f t="shared" si="225"/>
        <v>1.1663975227102379E-2</v>
      </c>
      <c r="BJ872" s="57">
        <f t="shared" si="229"/>
        <v>3.1337897069952339E-2</v>
      </c>
      <c r="BK872" s="57">
        <f t="shared" si="230"/>
        <v>1.408717079538384E-3</v>
      </c>
      <c r="BL872" s="58">
        <f t="shared" si="231"/>
        <v>55.293015283750933</v>
      </c>
      <c r="BM872" s="58">
        <f t="shared" si="231"/>
        <v>2.485559730939384</v>
      </c>
    </row>
    <row r="873" spans="47:65" x14ac:dyDescent="0.2">
      <c r="AU873" s="2">
        <v>-764</v>
      </c>
      <c r="AV873" s="53">
        <v>871</v>
      </c>
      <c r="AW873" s="4" t="s">
        <v>2941</v>
      </c>
      <c r="AX873" t="s">
        <v>1146</v>
      </c>
      <c r="AY873" s="4">
        <v>30376</v>
      </c>
      <c r="AZ873" s="9">
        <v>24.120022246182206</v>
      </c>
      <c r="BA873" s="7">
        <f t="shared" si="226"/>
        <v>6.1820639730302115E-4</v>
      </c>
      <c r="BB873" s="54">
        <f t="shared" si="220"/>
        <v>508.94603633803143</v>
      </c>
      <c r="BC873" s="55">
        <f t="shared" si="221"/>
        <v>522.6867741189925</v>
      </c>
      <c r="BD873" s="55">
        <f t="shared" si="222"/>
        <v>22.862344020659659</v>
      </c>
      <c r="BE873" s="55">
        <f t="shared" si="223"/>
        <v>22.404685441328787</v>
      </c>
      <c r="BF873" s="56">
        <f t="shared" si="224"/>
        <v>0.26560329533877319</v>
      </c>
      <c r="BG873" s="56">
        <f t="shared" si="227"/>
        <v>1.4235245329842879E-4</v>
      </c>
      <c r="BH873" s="56">
        <f t="shared" si="228"/>
        <v>1.1931154734493589E-2</v>
      </c>
      <c r="BI873" s="56">
        <f t="shared" si="225"/>
        <v>1.1692316786790989E-2</v>
      </c>
      <c r="BJ873" s="57">
        <f t="shared" si="229"/>
        <v>2.567151003809813E-2</v>
      </c>
      <c r="BK873" s="57">
        <f t="shared" si="230"/>
        <v>1.1531888493400834E-3</v>
      </c>
      <c r="BL873" s="58">
        <f t="shared" si="231"/>
        <v>45.295164309367117</v>
      </c>
      <c r="BM873" s="58">
        <f t="shared" si="231"/>
        <v>2.0347022178699548</v>
      </c>
    </row>
    <row r="874" spans="47:65" x14ac:dyDescent="0.2">
      <c r="AU874" s="2">
        <v>-763</v>
      </c>
      <c r="AV874" s="53">
        <v>872</v>
      </c>
      <c r="AW874" s="4" t="s">
        <v>2901</v>
      </c>
      <c r="AX874" t="s">
        <v>1115</v>
      </c>
      <c r="AY874" s="4">
        <v>38204</v>
      </c>
      <c r="AZ874" s="9">
        <v>24.13294104901999</v>
      </c>
      <c r="BA874" s="7">
        <f t="shared" si="226"/>
        <v>6.185375116974566E-4</v>
      </c>
      <c r="BB874" s="54">
        <f t="shared" si="220"/>
        <v>513.24263629940106</v>
      </c>
      <c r="BC874" s="55">
        <f t="shared" si="221"/>
        <v>529.54511346037395</v>
      </c>
      <c r="BD874" s="55">
        <f t="shared" si="222"/>
        <v>23.011847241374909</v>
      </c>
      <c r="BE874" s="55">
        <f t="shared" si="223"/>
        <v>22.551195905416105</v>
      </c>
      <c r="BF874" s="56">
        <f t="shared" si="224"/>
        <v>0.26784555881468786</v>
      </c>
      <c r="BG874" s="56">
        <f t="shared" si="227"/>
        <v>1.4422030509636085E-4</v>
      </c>
      <c r="BH874" s="56">
        <f t="shared" si="228"/>
        <v>1.2009175870823145E-2</v>
      </c>
      <c r="BI874" s="56">
        <f t="shared" si="225"/>
        <v>1.17687760954104E-2</v>
      </c>
      <c r="BJ874" s="57">
        <f t="shared" si="229"/>
        <v>3.2559719754779427E-2</v>
      </c>
      <c r="BK874" s="57">
        <f t="shared" si="230"/>
        <v>1.4598539642405994E-3</v>
      </c>
      <c r="BL874" s="58">
        <f t="shared" si="231"/>
        <v>57.448815982035647</v>
      </c>
      <c r="BM874" s="58">
        <f t="shared" si="231"/>
        <v>2.5757863514778156</v>
      </c>
    </row>
    <row r="875" spans="47:65" x14ac:dyDescent="0.2">
      <c r="AU875" s="2">
        <v>-762</v>
      </c>
      <c r="AV875" s="53">
        <v>873</v>
      </c>
      <c r="AW875" s="4" t="s">
        <v>1493</v>
      </c>
      <c r="AX875" t="s">
        <v>88</v>
      </c>
      <c r="AY875" s="4">
        <v>38432</v>
      </c>
      <c r="AZ875" s="9">
        <v>24.13294104901999</v>
      </c>
      <c r="BA875" s="7">
        <f t="shared" si="226"/>
        <v>6.185375116974566E-4</v>
      </c>
      <c r="BB875" s="54">
        <f t="shared" si="220"/>
        <v>513.24263629940106</v>
      </c>
      <c r="BC875" s="55">
        <f t="shared" si="221"/>
        <v>529.54511346037395</v>
      </c>
      <c r="BD875" s="55">
        <f t="shared" si="222"/>
        <v>23.011847241374909</v>
      </c>
      <c r="BE875" s="55">
        <f t="shared" si="223"/>
        <v>22.551195905416105</v>
      </c>
      <c r="BF875" s="56">
        <f t="shared" si="224"/>
        <v>0.26784555881468786</v>
      </c>
      <c r="BG875" s="56">
        <f t="shared" si="227"/>
        <v>1.4422030509636085E-4</v>
      </c>
      <c r="BH875" s="56">
        <f t="shared" si="228"/>
        <v>1.2009175870823145E-2</v>
      </c>
      <c r="BI875" s="56">
        <f t="shared" si="225"/>
        <v>1.17687760954104E-2</v>
      </c>
      <c r="BJ875" s="57">
        <f t="shared" si="229"/>
        <v>3.2754034907750043E-2</v>
      </c>
      <c r="BK875" s="57">
        <f t="shared" si="230"/>
        <v>1.4685663164510187E-3</v>
      </c>
      <c r="BL875" s="58">
        <f t="shared" si="231"/>
        <v>57.791668302313724</v>
      </c>
      <c r="BM875" s="58">
        <f t="shared" si="231"/>
        <v>2.5911585451783954</v>
      </c>
    </row>
    <row r="876" spans="47:65" x14ac:dyDescent="0.2">
      <c r="AU876" s="2">
        <v>-761</v>
      </c>
      <c r="AV876" s="53">
        <v>874</v>
      </c>
      <c r="AW876" s="4" t="s">
        <v>3173</v>
      </c>
      <c r="AX876" t="s">
        <v>3174</v>
      </c>
      <c r="AY876" s="5">
        <v>22816.555</v>
      </c>
      <c r="AZ876" s="9">
        <v>24.147480090353277</v>
      </c>
      <c r="BA876" s="7">
        <f t="shared" si="226"/>
        <v>6.1891015349152935E-4</v>
      </c>
      <c r="BB876" s="54">
        <f t="shared" si="220"/>
        <v>518.12150375000419</v>
      </c>
      <c r="BC876" s="55">
        <f t="shared" si="221"/>
        <v>537.36676082821759</v>
      </c>
      <c r="BD876" s="55">
        <f t="shared" si="222"/>
        <v>23.181172550762344</v>
      </c>
      <c r="BE876" s="55">
        <f t="shared" si="223"/>
        <v>22.71713165945134</v>
      </c>
      <c r="BF876" s="56">
        <f t="shared" si="224"/>
        <v>0.2703916897988784</v>
      </c>
      <c r="BG876" s="56">
        <f t="shared" si="227"/>
        <v>1.4635051145853276E-4</v>
      </c>
      <c r="BH876" s="56">
        <f t="shared" si="228"/>
        <v>1.2097541546055246E-2</v>
      </c>
      <c r="BI876" s="56">
        <f t="shared" si="225"/>
        <v>1.185537286587264E-2</v>
      </c>
      <c r="BJ876" s="57">
        <f t="shared" si="229"/>
        <v>1.9630473912191942E-2</v>
      </c>
      <c r="BK876" s="57">
        <f t="shared" si="230"/>
        <v>8.7828318206871448E-4</v>
      </c>
      <c r="BL876" s="58">
        <f t="shared" si="231"/>
        <v>34.636277336389689</v>
      </c>
      <c r="BM876" s="58">
        <f t="shared" si="231"/>
        <v>1.5496548891326325</v>
      </c>
    </row>
    <row r="877" spans="47:65" x14ac:dyDescent="0.2">
      <c r="AU877" s="2">
        <v>-760</v>
      </c>
      <c r="AV877" s="53">
        <v>875</v>
      </c>
      <c r="AW877" s="4" t="s">
        <v>2119</v>
      </c>
      <c r="AX877" t="s">
        <v>523</v>
      </c>
      <c r="AY877" s="4">
        <v>44920</v>
      </c>
      <c r="AZ877" s="9">
        <v>24.149729756419337</v>
      </c>
      <c r="BA877" s="7">
        <f t="shared" si="226"/>
        <v>6.1896781338668363E-4</v>
      </c>
      <c r="BB877" s="54">
        <f t="shared" si="220"/>
        <v>518.88055701650615</v>
      </c>
      <c r="BC877" s="55">
        <f t="shared" si="221"/>
        <v>538.5868735635313</v>
      </c>
      <c r="BD877" s="55">
        <f t="shared" si="222"/>
        <v>23.207474519290791</v>
      </c>
      <c r="BE877" s="55">
        <f t="shared" si="223"/>
        <v>22.742907114970471</v>
      </c>
      <c r="BF877" s="56">
        <f t="shared" si="224"/>
        <v>0.27078781637129679</v>
      </c>
      <c r="BG877" s="56">
        <f t="shared" si="227"/>
        <v>1.4668280615159269E-4</v>
      </c>
      <c r="BH877" s="56">
        <f t="shared" si="228"/>
        <v>1.2111267735113146E-2</v>
      </c>
      <c r="BI877" s="56">
        <f t="shared" si="225"/>
        <v>1.1868824283971876E-2</v>
      </c>
      <c r="BJ877" s="57">
        <f t="shared" si="229"/>
        <v>3.8704034653559462E-2</v>
      </c>
      <c r="BK877" s="57">
        <f t="shared" si="230"/>
        <v>1.7310783490923831E-3</v>
      </c>
      <c r="BL877" s="58">
        <f t="shared" si="231"/>
        <v>68.289929437991603</v>
      </c>
      <c r="BM877" s="58">
        <f t="shared" si="231"/>
        <v>3.0543383750376538</v>
      </c>
    </row>
    <row r="878" spans="47:65" x14ac:dyDescent="0.2">
      <c r="AU878" s="2">
        <v>-759</v>
      </c>
      <c r="AV878" s="53">
        <v>876</v>
      </c>
      <c r="AW878" s="4" t="s">
        <v>2786</v>
      </c>
      <c r="AX878" t="s">
        <v>1031</v>
      </c>
      <c r="AY878" s="4">
        <v>23424</v>
      </c>
      <c r="AZ878" s="9">
        <v>24.153007466398929</v>
      </c>
      <c r="BA878" s="7">
        <f t="shared" si="226"/>
        <v>6.1905182248324277E-4</v>
      </c>
      <c r="BB878" s="54">
        <f t="shared" si="220"/>
        <v>519.98847057012563</v>
      </c>
      <c r="BC878" s="55">
        <f t="shared" si="221"/>
        <v>540.36930131431484</v>
      </c>
      <c r="BD878" s="55">
        <f t="shared" si="222"/>
        <v>23.245844818253321</v>
      </c>
      <c r="BE878" s="55">
        <f t="shared" si="223"/>
        <v>22.780509316991768</v>
      </c>
      <c r="BF878" s="56">
        <f t="shared" si="224"/>
        <v>0.27136600240632169</v>
      </c>
      <c r="BG878" s="56">
        <f t="shared" si="227"/>
        <v>1.4716824595170026E-4</v>
      </c>
      <c r="BH878" s="56">
        <f t="shared" si="228"/>
        <v>1.2131292014938073E-2</v>
      </c>
      <c r="BI878" s="56">
        <f t="shared" si="225"/>
        <v>1.1888447717608481E-2</v>
      </c>
      <c r="BJ878" s="57">
        <f t="shared" si="229"/>
        <v>2.0225714308497435E-2</v>
      </c>
      <c r="BK878" s="57">
        <f t="shared" si="230"/>
        <v>9.0418123239957386E-4</v>
      </c>
      <c r="BL878" s="58">
        <f t="shared" si="231"/>
        <v>35.686527653344854</v>
      </c>
      <c r="BM878" s="58">
        <f t="shared" si="231"/>
        <v>1.5953497642407835</v>
      </c>
    </row>
    <row r="879" spans="47:65" x14ac:dyDescent="0.2">
      <c r="AU879" s="2">
        <v>-758</v>
      </c>
      <c r="AV879" s="53">
        <v>877</v>
      </c>
      <c r="AW879" s="4" t="s">
        <v>1431</v>
      </c>
      <c r="AX879" t="s">
        <v>40</v>
      </c>
      <c r="AY879" s="4">
        <v>19638</v>
      </c>
      <c r="AZ879" s="9">
        <v>24.15707487954348</v>
      </c>
      <c r="BA879" s="7">
        <f t="shared" si="226"/>
        <v>6.1915607200676193E-4</v>
      </c>
      <c r="BB879" s="54">
        <f t="shared" si="220"/>
        <v>521.36660529324979</v>
      </c>
      <c r="BC879" s="55">
        <f t="shared" si="221"/>
        <v>542.58903162855358</v>
      </c>
      <c r="BD879" s="55">
        <f t="shared" si="222"/>
        <v>23.293540555882732</v>
      </c>
      <c r="BE879" s="55">
        <f t="shared" si="223"/>
        <v>22.827250280976628</v>
      </c>
      <c r="BF879" s="56">
        <f t="shared" si="224"/>
        <v>0.27208520856522289</v>
      </c>
      <c r="BG879" s="56">
        <f t="shared" si="227"/>
        <v>1.4777278402601401E-4</v>
      </c>
      <c r="BH879" s="56">
        <f t="shared" si="228"/>
        <v>1.2156182954612604E-2</v>
      </c>
      <c r="BI879" s="56">
        <f t="shared" si="225"/>
        <v>1.19128403902602E-2</v>
      </c>
      <c r="BJ879" s="57">
        <f t="shared" si="229"/>
        <v>1.70015908541176E-2</v>
      </c>
      <c r="BK879" s="57">
        <f t="shared" si="230"/>
        <v>7.5959457712519837E-4</v>
      </c>
      <c r="BL879" s="58">
        <f t="shared" si="231"/>
        <v>29.997840022461801</v>
      </c>
      <c r="BM879" s="58">
        <f t="shared" si="231"/>
        <v>1.3402390871565208</v>
      </c>
    </row>
    <row r="880" spans="47:65" x14ac:dyDescent="0.2">
      <c r="AU880" s="2">
        <v>-757</v>
      </c>
      <c r="AV880" s="53">
        <v>878</v>
      </c>
      <c r="AW880" s="4" t="s">
        <v>1922</v>
      </c>
      <c r="AX880" t="s">
        <v>380</v>
      </c>
      <c r="AY880" s="4">
        <v>14325</v>
      </c>
      <c r="AZ880" s="9">
        <v>24.158975934575238</v>
      </c>
      <c r="BA880" s="7">
        <f t="shared" si="226"/>
        <v>6.1920479685329238E-4</v>
      </c>
      <c r="BB880" s="54">
        <f t="shared" si="220"/>
        <v>522.01197923177074</v>
      </c>
      <c r="BC880" s="55">
        <f t="shared" si="221"/>
        <v>543.62949759080072</v>
      </c>
      <c r="BD880" s="55">
        <f t="shared" si="222"/>
        <v>23.315863646684861</v>
      </c>
      <c r="BE880" s="55">
        <f t="shared" si="223"/>
        <v>22.849126507974521</v>
      </c>
      <c r="BF880" s="56">
        <f t="shared" si="224"/>
        <v>0.27242200938998229</v>
      </c>
      <c r="BG880" s="56">
        <f t="shared" si="227"/>
        <v>1.4805615236367783E-4</v>
      </c>
      <c r="BH880" s="56">
        <f t="shared" si="228"/>
        <v>1.2167832689664903E-2</v>
      </c>
      <c r="BI880" s="56">
        <f t="shared" si="225"/>
        <v>1.192425692082617E-2</v>
      </c>
      <c r="BJ880" s="57">
        <f t="shared" si="229"/>
        <v>1.241721482582258E-2</v>
      </c>
      <c r="BK880" s="57">
        <f t="shared" si="230"/>
        <v>5.5461962420203664E-4</v>
      </c>
      <c r="BL880" s="58">
        <f t="shared" si="231"/>
        <v>21.909104098888115</v>
      </c>
      <c r="BM880" s="58">
        <f t="shared" si="231"/>
        <v>0.9785784696789821</v>
      </c>
    </row>
    <row r="881" spans="47:65" x14ac:dyDescent="0.2">
      <c r="AU881" s="2">
        <v>-756</v>
      </c>
      <c r="AV881" s="53">
        <v>879</v>
      </c>
      <c r="AW881" s="4" t="s">
        <v>2492</v>
      </c>
      <c r="AX881" t="s">
        <v>803</v>
      </c>
      <c r="AY881" s="4">
        <v>30948</v>
      </c>
      <c r="AZ881" s="9">
        <v>24.168137721221363</v>
      </c>
      <c r="BA881" s="7">
        <f t="shared" si="226"/>
        <v>6.1943961732972277E-4</v>
      </c>
      <c r="BB881" s="54">
        <f t="shared" si="220"/>
        <v>525.13346164964537</v>
      </c>
      <c r="BC881" s="55">
        <f t="shared" si="221"/>
        <v>548.67069516659706</v>
      </c>
      <c r="BD881" s="55">
        <f t="shared" si="222"/>
        <v>23.423720779726629</v>
      </c>
      <c r="BE881" s="55">
        <f t="shared" si="223"/>
        <v>22.954824556093328</v>
      </c>
      <c r="BF881" s="56">
        <f t="shared" si="224"/>
        <v>0.27405101513388197</v>
      </c>
      <c r="BG881" s="56">
        <f t="shared" si="227"/>
        <v>1.4942911008522947E-4</v>
      </c>
      <c r="BH881" s="56">
        <f t="shared" si="228"/>
        <v>1.2224120012713778E-2</v>
      </c>
      <c r="BI881" s="56">
        <f t="shared" si="225"/>
        <v>1.1979417483807153E-2</v>
      </c>
      <c r="BJ881" s="57">
        <f t="shared" si="229"/>
        <v>2.6986799065098595E-2</v>
      </c>
      <c r="BK881" s="57">
        <f t="shared" si="230"/>
        <v>1.203753506877529E-3</v>
      </c>
      <c r="BL881" s="58">
        <f t="shared" si="231"/>
        <v>47.615878303358073</v>
      </c>
      <c r="BM881" s="58">
        <f t="shared" si="231"/>
        <v>2.1239191929527017</v>
      </c>
    </row>
    <row r="882" spans="47:65" x14ac:dyDescent="0.2">
      <c r="AU882" s="2">
        <v>-755</v>
      </c>
      <c r="AV882" s="53">
        <v>880</v>
      </c>
      <c r="AW882" s="4" t="s">
        <v>2490</v>
      </c>
      <c r="AX882" t="s">
        <v>801</v>
      </c>
      <c r="AY882" s="4">
        <v>37574</v>
      </c>
      <c r="AZ882" s="9">
        <v>24.172035556722776</v>
      </c>
      <c r="BA882" s="7">
        <f t="shared" si="226"/>
        <v>6.1953952050634571E-4</v>
      </c>
      <c r="BB882" s="54">
        <f t="shared" si="220"/>
        <v>526.46713430712691</v>
      </c>
      <c r="BC882" s="55">
        <f t="shared" si="221"/>
        <v>550.82899943210407</v>
      </c>
      <c r="BD882" s="55">
        <f t="shared" si="222"/>
        <v>23.469746471406634</v>
      </c>
      <c r="BE882" s="55">
        <f t="shared" si="223"/>
        <v>22.999928905121504</v>
      </c>
      <c r="BF882" s="56">
        <f t="shared" si="224"/>
        <v>0.27474701790714068</v>
      </c>
      <c r="BG882" s="56">
        <f t="shared" si="227"/>
        <v>1.5001691892671044E-4</v>
      </c>
      <c r="BH882" s="56">
        <f t="shared" si="228"/>
        <v>1.2248139406730739E-2</v>
      </c>
      <c r="BI882" s="56">
        <f t="shared" si="225"/>
        <v>1.2002956057409014E-2</v>
      </c>
      <c r="BJ882" s="57">
        <f t="shared" si="229"/>
        <v>3.2847913659634076E-2</v>
      </c>
      <c r="BK882" s="57">
        <f t="shared" si="230"/>
        <v>1.4643501093774625E-3</v>
      </c>
      <c r="BL882" s="58">
        <f t="shared" si="231"/>
        <v>57.957309259368259</v>
      </c>
      <c r="BM882" s="58">
        <f t="shared" si="231"/>
        <v>2.5837194116067574</v>
      </c>
    </row>
    <row r="883" spans="47:65" x14ac:dyDescent="0.2">
      <c r="AU883" s="2">
        <v>-754</v>
      </c>
      <c r="AV883" s="53">
        <v>881</v>
      </c>
      <c r="AW883" s="4" t="s">
        <v>1847</v>
      </c>
      <c r="AX883" t="s">
        <v>326</v>
      </c>
      <c r="AY883" s="4">
        <v>29341</v>
      </c>
      <c r="AZ883" s="9">
        <v>24.181696412216112</v>
      </c>
      <c r="BA883" s="7">
        <f t="shared" si="226"/>
        <v>6.1978713232894035E-4</v>
      </c>
      <c r="BB883" s="54">
        <f t="shared" si="220"/>
        <v>529.78728657561919</v>
      </c>
      <c r="BC883" s="55">
        <f t="shared" si="221"/>
        <v>556.21350924376975</v>
      </c>
      <c r="BD883" s="55">
        <f t="shared" si="222"/>
        <v>23.58417921496887</v>
      </c>
      <c r="BE883" s="55">
        <f t="shared" si="223"/>
        <v>23.112070933138551</v>
      </c>
      <c r="BF883" s="56">
        <f t="shared" si="224"/>
        <v>0.27647970334051825</v>
      </c>
      <c r="BG883" s="56">
        <f t="shared" si="227"/>
        <v>1.5148337688864041E-4</v>
      </c>
      <c r="BH883" s="56">
        <f t="shared" si="228"/>
        <v>1.2307858338827289E-2</v>
      </c>
      <c r="BI883" s="56">
        <f t="shared" si="225"/>
        <v>1.2061479535461229E-2</v>
      </c>
      <c r="BJ883" s="57">
        <f t="shared" si="229"/>
        <v>2.5812230719373479E-2</v>
      </c>
      <c r="BK883" s="57">
        <f t="shared" si="230"/>
        <v>1.1490654657998422E-3</v>
      </c>
      <c r="BL883" s="58">
        <f t="shared" si="231"/>
        <v>45.543453808918699</v>
      </c>
      <c r="BM883" s="58">
        <f t="shared" si="231"/>
        <v>2.0274268634132602</v>
      </c>
    </row>
    <row r="884" spans="47:65" x14ac:dyDescent="0.2">
      <c r="AU884" s="2">
        <v>-753</v>
      </c>
      <c r="AV884" s="53">
        <v>882</v>
      </c>
      <c r="AW884" s="4" t="s">
        <v>3081</v>
      </c>
      <c r="AX884" t="s">
        <v>1230</v>
      </c>
      <c r="AY884" s="4">
        <v>61279</v>
      </c>
      <c r="AZ884" s="9">
        <v>24.184524088332299</v>
      </c>
      <c r="BA884" s="7">
        <f t="shared" si="226"/>
        <v>6.1985960686676144E-4</v>
      </c>
      <c r="BB884" s="54">
        <f t="shared" si="220"/>
        <v>530.763031430963</v>
      </c>
      <c r="BC884" s="55">
        <f t="shared" si="221"/>
        <v>557.79903727931367</v>
      </c>
      <c r="BD884" s="55">
        <f t="shared" si="222"/>
        <v>23.617769523799524</v>
      </c>
      <c r="BE884" s="55">
        <f t="shared" si="223"/>
        <v>23.14498883090738</v>
      </c>
      <c r="BF884" s="56">
        <f t="shared" si="224"/>
        <v>0.27698891459374642</v>
      </c>
      <c r="BG884" s="56">
        <f t="shared" si="227"/>
        <v>1.5191519153711969E-4</v>
      </c>
      <c r="BH884" s="56">
        <f t="shared" si="228"/>
        <v>1.2325388088702103E-2</v>
      </c>
      <c r="BI884" s="56">
        <f t="shared" si="225"/>
        <v>1.2078658374667544E-2</v>
      </c>
      <c r="BJ884" s="57">
        <f t="shared" si="229"/>
        <v>5.4008414753534136E-2</v>
      </c>
      <c r="BK884" s="57">
        <f t="shared" si="230"/>
        <v>2.4032538373213344E-3</v>
      </c>
      <c r="BL884" s="58">
        <f t="shared" si="231"/>
        <v>95.293187534324375</v>
      </c>
      <c r="BM884" s="58">
        <f t="shared" si="231"/>
        <v>4.240334023087776</v>
      </c>
    </row>
    <row r="885" spans="47:65" x14ac:dyDescent="0.2">
      <c r="AU885" s="2">
        <v>-752</v>
      </c>
      <c r="AV885" s="53">
        <v>883</v>
      </c>
      <c r="AW885" s="4" t="s">
        <v>2945</v>
      </c>
      <c r="AX885" t="s">
        <v>1148</v>
      </c>
      <c r="AY885" s="4">
        <v>23873</v>
      </c>
      <c r="AZ885" s="9">
        <v>24.186036638095217</v>
      </c>
      <c r="BA885" s="7">
        <f t="shared" si="226"/>
        <v>6.1989837415852146E-4</v>
      </c>
      <c r="BB885" s="54">
        <f t="shared" si="220"/>
        <v>531.28570385017952</v>
      </c>
      <c r="BC885" s="55">
        <f t="shared" si="221"/>
        <v>558.64892672892768</v>
      </c>
      <c r="BD885" s="55">
        <f t="shared" si="222"/>
        <v>23.635755260387338</v>
      </c>
      <c r="BE885" s="55">
        <f t="shared" si="223"/>
        <v>23.16261452888115</v>
      </c>
      <c r="BF885" s="56">
        <f t="shared" si="224"/>
        <v>0.2772616812664675</v>
      </c>
      <c r="BG885" s="56">
        <f t="shared" si="227"/>
        <v>1.5214665683178946E-4</v>
      </c>
      <c r="BH885" s="56">
        <f t="shared" si="228"/>
        <v>1.2334774291886716E-2</v>
      </c>
      <c r="BI885" s="56">
        <f t="shared" si="225"/>
        <v>1.2087856684764253E-2</v>
      </c>
      <c r="BJ885" s="57">
        <f t="shared" si="229"/>
        <v>2.1061253845169693E-2</v>
      </c>
      <c r="BK885" s="57">
        <f t="shared" si="230"/>
        <v>9.369697655213573E-4</v>
      </c>
      <c r="BL885" s="58">
        <f t="shared" si="231"/>
        <v>37.160765068455092</v>
      </c>
      <c r="BM885" s="58">
        <f t="shared" si="231"/>
        <v>1.6532023016649642</v>
      </c>
    </row>
    <row r="886" spans="47:65" x14ac:dyDescent="0.2">
      <c r="AU886" s="2">
        <v>-751</v>
      </c>
      <c r="AV886" s="53">
        <v>884</v>
      </c>
      <c r="AW886" s="4" t="s">
        <v>1596</v>
      </c>
      <c r="AX886" t="s">
        <v>161</v>
      </c>
      <c r="AY886" s="4">
        <v>21321</v>
      </c>
      <c r="AZ886" s="9">
        <v>24.188478577673408</v>
      </c>
      <c r="BA886" s="7">
        <f t="shared" si="226"/>
        <v>6.1996096210531753E-4</v>
      </c>
      <c r="BB886" s="54">
        <f t="shared" si="220"/>
        <v>532.13062015570688</v>
      </c>
      <c r="BC886" s="55">
        <f t="shared" si="221"/>
        <v>560.02365062150466</v>
      </c>
      <c r="BD886" s="55">
        <f t="shared" si="222"/>
        <v>23.664818837707266</v>
      </c>
      <c r="BE886" s="55">
        <f t="shared" si="223"/>
        <v>23.191096311285627</v>
      </c>
      <c r="BF886" s="56">
        <f t="shared" si="224"/>
        <v>0.27770261712019439</v>
      </c>
      <c r="BG886" s="56">
        <f t="shared" si="227"/>
        <v>1.525210594920466E-4</v>
      </c>
      <c r="BH886" s="56">
        <f t="shared" si="228"/>
        <v>1.234994167970224E-2</v>
      </c>
      <c r="BI886" s="56">
        <f t="shared" si="225"/>
        <v>1.2102720451693243E-2</v>
      </c>
      <c r="BJ886" s="57">
        <f t="shared" si="229"/>
        <v>1.8839740433069626E-2</v>
      </c>
      <c r="BK886" s="57">
        <f t="shared" si="230"/>
        <v>8.3783760492410031E-4</v>
      </c>
      <c r="BL886" s="58">
        <f t="shared" si="231"/>
        <v>33.241096343584481</v>
      </c>
      <c r="BM886" s="58">
        <f t="shared" si="231"/>
        <v>1.4782921582440443</v>
      </c>
    </row>
    <row r="887" spans="47:65" x14ac:dyDescent="0.2">
      <c r="AU887" s="2">
        <v>-750</v>
      </c>
      <c r="AV887" s="53">
        <v>885</v>
      </c>
      <c r="AW887" s="4" t="s">
        <v>1723</v>
      </c>
      <c r="AX887" t="s">
        <v>236</v>
      </c>
      <c r="AY887" s="4">
        <v>32051</v>
      </c>
      <c r="AZ887" s="9">
        <v>24.191217689973328</v>
      </c>
      <c r="BA887" s="7">
        <f t="shared" si="226"/>
        <v>6.2003116671497586E-4</v>
      </c>
      <c r="BB887" s="54">
        <f t="shared" si="220"/>
        <v>533.07995801283732</v>
      </c>
      <c r="BC887" s="55">
        <f t="shared" si="221"/>
        <v>561.56952702308035</v>
      </c>
      <c r="BD887" s="55">
        <f t="shared" si="222"/>
        <v>23.697458239715928</v>
      </c>
      <c r="BE887" s="55">
        <f t="shared" si="223"/>
        <v>23.223082337492578</v>
      </c>
      <c r="BF887" s="56">
        <f t="shared" si="224"/>
        <v>0.27819804737259973</v>
      </c>
      <c r="BG887" s="56">
        <f t="shared" si="227"/>
        <v>1.5294207511584742E-4</v>
      </c>
      <c r="BH887" s="56">
        <f t="shared" si="228"/>
        <v>1.2366975180530097E-2</v>
      </c>
      <c r="BI887" s="56">
        <f t="shared" si="225"/>
        <v>1.2119412975769859E-2</v>
      </c>
      <c r="BJ887" s="57">
        <f t="shared" si="229"/>
        <v>2.8371548095105063E-2</v>
      </c>
      <c r="BK887" s="57">
        <f t="shared" si="230"/>
        <v>1.2612246363305642E-3</v>
      </c>
      <c r="BL887" s="58">
        <f t="shared" si="231"/>
        <v>50.059148479062408</v>
      </c>
      <c r="BM887" s="58">
        <f t="shared" si="231"/>
        <v>2.2253220417822748</v>
      </c>
    </row>
    <row r="888" spans="47:65" x14ac:dyDescent="0.2">
      <c r="AU888" s="2">
        <v>-749</v>
      </c>
      <c r="AV888" s="53">
        <v>886</v>
      </c>
      <c r="AW888" s="4" t="s">
        <v>1905</v>
      </c>
      <c r="AX888" t="s">
        <v>365</v>
      </c>
      <c r="AY888" s="4">
        <v>36104</v>
      </c>
      <c r="AZ888" s="9">
        <v>24.194978628080516</v>
      </c>
      <c r="BA888" s="7">
        <f t="shared" si="226"/>
        <v>6.201275611533388E-4</v>
      </c>
      <c r="BB888" s="54">
        <f t="shared" si="220"/>
        <v>534.38620640450665</v>
      </c>
      <c r="BC888" s="55">
        <f t="shared" si="221"/>
        <v>563.69875114709544</v>
      </c>
      <c r="BD888" s="55">
        <f t="shared" si="222"/>
        <v>23.742340894425205</v>
      </c>
      <c r="BE888" s="55">
        <f t="shared" si="223"/>
        <v>23.267066530872942</v>
      </c>
      <c r="BF888" s="56">
        <f t="shared" si="224"/>
        <v>0.27887973826433876</v>
      </c>
      <c r="BG888" s="56">
        <f t="shared" si="227"/>
        <v>1.5352196405256179E-4</v>
      </c>
      <c r="BH888" s="56">
        <f t="shared" si="228"/>
        <v>1.2390398058680835E-2</v>
      </c>
      <c r="BI888" s="56">
        <f t="shared" si="225"/>
        <v>1.2142366974564717E-2</v>
      </c>
      <c r="BJ888" s="57">
        <f t="shared" si="229"/>
        <v>3.2037576398127883E-2</v>
      </c>
      <c r="BK888" s="57">
        <f t="shared" si="230"/>
        <v>1.4234032449928007E-3</v>
      </c>
      <c r="BL888" s="58">
        <f t="shared" si="231"/>
        <v>56.527539084125202</v>
      </c>
      <c r="BM888" s="58">
        <f t="shared" si="231"/>
        <v>2.5114722026383665</v>
      </c>
    </row>
    <row r="889" spans="47:65" x14ac:dyDescent="0.2">
      <c r="AU889" s="2">
        <v>-748</v>
      </c>
      <c r="AV889" s="53">
        <v>887</v>
      </c>
      <c r="AW889" s="4" t="s">
        <v>1651</v>
      </c>
      <c r="AX889" t="s">
        <v>1288</v>
      </c>
      <c r="AY889" s="4">
        <v>47196</v>
      </c>
      <c r="AZ889" s="9">
        <v>24.195404249847208</v>
      </c>
      <c r="BA889" s="7">
        <f t="shared" si="226"/>
        <v>6.2013847001968713E-4</v>
      </c>
      <c r="BB889" s="54">
        <f t="shared" si="220"/>
        <v>534.53423476835235</v>
      </c>
      <c r="BC889" s="55">
        <f t="shared" si="221"/>
        <v>563.94019976059087</v>
      </c>
      <c r="BD889" s="55">
        <f t="shared" si="222"/>
        <v>23.747425118538448</v>
      </c>
      <c r="BE889" s="55">
        <f t="shared" si="223"/>
        <v>23.272048978948586</v>
      </c>
      <c r="BF889" s="56">
        <f t="shared" si="224"/>
        <v>0.27895698971819394</v>
      </c>
      <c r="BG889" s="56">
        <f t="shared" si="227"/>
        <v>1.5358772198672293E-4</v>
      </c>
      <c r="BH889" s="56">
        <f t="shared" si="228"/>
        <v>1.2393051358996416E-2</v>
      </c>
      <c r="BI889" s="56">
        <f t="shared" si="225"/>
        <v>1.2144967161094072E-2</v>
      </c>
      <c r="BJ889" s="57">
        <f t="shared" si="229"/>
        <v>4.1891876297756328E-2</v>
      </c>
      <c r="BK889" s="57">
        <f t="shared" si="230"/>
        <v>1.8611047352041236E-3</v>
      </c>
      <c r="BL889" s="58">
        <f t="shared" si="231"/>
        <v>73.914600945505228</v>
      </c>
      <c r="BM889" s="58">
        <f t="shared" si="231"/>
        <v>3.2837587135663973</v>
      </c>
    </row>
    <row r="890" spans="47:65" x14ac:dyDescent="0.2">
      <c r="AU890" s="2">
        <v>-747</v>
      </c>
      <c r="AV890" s="53">
        <v>888</v>
      </c>
      <c r="AW890" s="4" t="s">
        <v>1954</v>
      </c>
      <c r="AX890" t="s">
        <v>397</v>
      </c>
      <c r="AY890" s="4">
        <v>58349</v>
      </c>
      <c r="AZ890" s="9">
        <v>24.200900999058337</v>
      </c>
      <c r="BA890" s="7">
        <f t="shared" si="226"/>
        <v>6.202793540326456E-4</v>
      </c>
      <c r="BB890" s="54">
        <f t="shared" si="220"/>
        <v>536.4496555527345</v>
      </c>
      <c r="BC890" s="55">
        <f t="shared" si="221"/>
        <v>567.06733151634671</v>
      </c>
      <c r="BD890" s="55">
        <f t="shared" si="222"/>
        <v>23.813175586560199</v>
      </c>
      <c r="BE890" s="55">
        <f t="shared" si="223"/>
        <v>23.336483253593229</v>
      </c>
      <c r="BF890" s="56">
        <f t="shared" si="224"/>
        <v>0.27995658896048869</v>
      </c>
      <c r="BG890" s="56">
        <f t="shared" si="227"/>
        <v>1.5443938860477857E-4</v>
      </c>
      <c r="BH890" s="56">
        <f t="shared" si="228"/>
        <v>1.24273645076009E-2</v>
      </c>
      <c r="BI890" s="56">
        <f t="shared" si="225"/>
        <v>1.217859342882455E-2</v>
      </c>
      <c r="BJ890" s="57">
        <f t="shared" si="229"/>
        <v>5.1977032738667467E-2</v>
      </c>
      <c r="BK890" s="57">
        <f t="shared" si="230"/>
        <v>2.3072774756449457E-3</v>
      </c>
      <c r="BL890" s="58">
        <f t="shared" si="231"/>
        <v>91.708989253742999</v>
      </c>
      <c r="BM890" s="58">
        <f t="shared" si="231"/>
        <v>4.0709920145539717</v>
      </c>
    </row>
    <row r="891" spans="47:65" x14ac:dyDescent="0.2">
      <c r="AU891" s="2">
        <v>-746</v>
      </c>
      <c r="AV891" s="53">
        <v>889</v>
      </c>
      <c r="AW891" s="4" t="s">
        <v>1481</v>
      </c>
      <c r="AX891" t="s">
        <v>78</v>
      </c>
      <c r="AY891" s="4">
        <v>35295</v>
      </c>
      <c r="AZ891" s="9">
        <v>24.213365715436268</v>
      </c>
      <c r="BA891" s="7">
        <f t="shared" si="226"/>
        <v>6.2059882999857777E-4</v>
      </c>
      <c r="BB891" s="54">
        <f t="shared" si="220"/>
        <v>540.81863398776488</v>
      </c>
      <c r="BC891" s="55">
        <f t="shared" si="221"/>
        <v>574.22020687629197</v>
      </c>
      <c r="BD891" s="55">
        <f t="shared" si="222"/>
        <v>23.962892289460637</v>
      </c>
      <c r="BE891" s="55">
        <f t="shared" si="223"/>
        <v>23.4832029263777</v>
      </c>
      <c r="BF891" s="56">
        <f t="shared" si="224"/>
        <v>0.28223662453745751</v>
      </c>
      <c r="BG891" s="56">
        <f t="shared" si="227"/>
        <v>1.5638745656066703E-4</v>
      </c>
      <c r="BH891" s="56">
        <f t="shared" si="228"/>
        <v>1.2505497053722696E-2</v>
      </c>
      <c r="BI891" s="56">
        <f t="shared" si="225"/>
        <v>1.2255161917034118E-2</v>
      </c>
      <c r="BJ891" s="57">
        <f t="shared" si="229"/>
        <v>3.1696691127843013E-2</v>
      </c>
      <c r="BK891" s="57">
        <f t="shared" si="230"/>
        <v>1.404434588039769E-3</v>
      </c>
      <c r="BL891" s="58">
        <f t="shared" si="231"/>
        <v>55.926076439143216</v>
      </c>
      <c r="BM891" s="58">
        <f t="shared" si="231"/>
        <v>2.4780036442193061</v>
      </c>
    </row>
    <row r="892" spans="47:65" x14ac:dyDescent="0.2">
      <c r="AU892" s="2">
        <v>-745</v>
      </c>
      <c r="AV892" s="53">
        <v>890</v>
      </c>
      <c r="AW892" s="4" t="s">
        <v>2496</v>
      </c>
      <c r="AX892" t="s">
        <v>807</v>
      </c>
      <c r="AY892" s="4">
        <v>8144</v>
      </c>
      <c r="AZ892" s="9">
        <v>24.222680930236894</v>
      </c>
      <c r="BA892" s="7">
        <f t="shared" si="226"/>
        <v>6.2083758290366311E-4</v>
      </c>
      <c r="BB892" s="54">
        <f t="shared" si="220"/>
        <v>544.10690597901942</v>
      </c>
      <c r="BC892" s="55">
        <f t="shared" si="221"/>
        <v>579.62204927168295</v>
      </c>
      <c r="BD892" s="55">
        <f t="shared" si="222"/>
        <v>24.075341103952876</v>
      </c>
      <c r="BE892" s="55">
        <f t="shared" si="223"/>
        <v>23.593400739632205</v>
      </c>
      <c r="BF892" s="56">
        <f t="shared" si="224"/>
        <v>0.28395267263389545</v>
      </c>
      <c r="BG892" s="56">
        <f t="shared" si="227"/>
        <v>1.578586350089993E-4</v>
      </c>
      <c r="BH892" s="56">
        <f t="shared" si="228"/>
        <v>1.2564180634207681E-2</v>
      </c>
      <c r="BI892" s="56">
        <f t="shared" si="225"/>
        <v>1.2312670769151332E-2</v>
      </c>
      <c r="BJ892" s="57">
        <f t="shared" si="229"/>
        <v>7.3581916953737335E-3</v>
      </c>
      <c r="BK892" s="57">
        <f t="shared" si="230"/>
        <v>3.2558119190869247E-4</v>
      </c>
      <c r="BL892" s="58">
        <f t="shared" si="231"/>
        <v>12.982894320090629</v>
      </c>
      <c r="BM892" s="58">
        <f t="shared" si="231"/>
        <v>0.57445991925126205</v>
      </c>
    </row>
    <row r="893" spans="47:65" x14ac:dyDescent="0.2">
      <c r="AU893" s="2">
        <v>-744</v>
      </c>
      <c r="AV893" s="53">
        <v>891</v>
      </c>
      <c r="AW893" s="4" t="s">
        <v>2147</v>
      </c>
      <c r="AX893" t="s">
        <v>545</v>
      </c>
      <c r="AY893" s="4">
        <v>56816</v>
      </c>
      <c r="AZ893" s="9">
        <v>24.227830177822806</v>
      </c>
      <c r="BA893" s="7">
        <f t="shared" si="226"/>
        <v>6.2096956030262306E-4</v>
      </c>
      <c r="BB893" s="54">
        <f t="shared" si="220"/>
        <v>545.93316449527811</v>
      </c>
      <c r="BC893" s="55">
        <f t="shared" si="221"/>
        <v>582.62890932819573</v>
      </c>
      <c r="BD893" s="55">
        <f t="shared" si="222"/>
        <v>24.137707209430555</v>
      </c>
      <c r="BE893" s="55">
        <f t="shared" si="223"/>
        <v>23.654518399928346</v>
      </c>
      <c r="BF893" s="56">
        <f t="shared" si="224"/>
        <v>0.28490574082860787</v>
      </c>
      <c r="BG893" s="56">
        <f t="shared" si="227"/>
        <v>1.5867754592653155E-4</v>
      </c>
      <c r="BH893" s="56">
        <f t="shared" si="228"/>
        <v>1.2596727588009973E-2</v>
      </c>
      <c r="BI893" s="56">
        <f t="shared" si="225"/>
        <v>1.2344566197780822E-2</v>
      </c>
      <c r="BJ893" s="57">
        <f t="shared" si="229"/>
        <v>5.1506166501393821E-2</v>
      </c>
      <c r="BK893" s="57">
        <f t="shared" si="230"/>
        <v>2.2772765007604738E-3</v>
      </c>
      <c r="BL893" s="58">
        <f t="shared" si="231"/>
        <v>90.878186408355603</v>
      </c>
      <c r="BM893" s="58">
        <f t="shared" si="231"/>
        <v>4.0180578831056595</v>
      </c>
    </row>
    <row r="894" spans="47:65" x14ac:dyDescent="0.2">
      <c r="AU894" s="2">
        <v>-743</v>
      </c>
      <c r="AV894" s="53">
        <v>892</v>
      </c>
      <c r="AW894" s="4" t="s">
        <v>1926</v>
      </c>
      <c r="AX894" t="s">
        <v>382</v>
      </c>
      <c r="AY894" s="4">
        <v>30140</v>
      </c>
      <c r="AZ894" s="9">
        <v>24.230422358778412</v>
      </c>
      <c r="BA894" s="7">
        <f t="shared" si="226"/>
        <v>6.2103599899962622E-4</v>
      </c>
      <c r="BB894" s="54">
        <f t="shared" si="220"/>
        <v>546.85483914818656</v>
      </c>
      <c r="BC894" s="55">
        <f t="shared" si="221"/>
        <v>584.14823526626549</v>
      </c>
      <c r="BD894" s="55">
        <f t="shared" si="222"/>
        <v>24.169158762072492</v>
      </c>
      <c r="BE894" s="55">
        <f t="shared" si="223"/>
        <v>23.685340355146376</v>
      </c>
      <c r="BF894" s="56">
        <f t="shared" si="224"/>
        <v>0.28538673450488083</v>
      </c>
      <c r="BG894" s="56">
        <f t="shared" si="227"/>
        <v>1.5909133059709631E-4</v>
      </c>
      <c r="BH894" s="56">
        <f t="shared" si="228"/>
        <v>1.2613141186758211E-2</v>
      </c>
      <c r="BI894" s="56">
        <f t="shared" si="225"/>
        <v>1.2360651228982441E-2</v>
      </c>
      <c r="BJ894" s="57">
        <f t="shared" si="229"/>
        <v>2.736934488799455E-2</v>
      </c>
      <c r="BK894" s="57">
        <f t="shared" si="230"/>
        <v>1.2096336988482214E-3</v>
      </c>
      <c r="BL894" s="58">
        <f t="shared" si="231"/>
        <v>48.290847398600988</v>
      </c>
      <c r="BM894" s="58">
        <f t="shared" si="231"/>
        <v>2.134294284292785</v>
      </c>
    </row>
    <row r="895" spans="47:65" x14ac:dyDescent="0.2">
      <c r="AU895" s="2">
        <v>-742</v>
      </c>
      <c r="AV895" s="53">
        <v>893</v>
      </c>
      <c r="AW895" s="4" t="s">
        <v>2682</v>
      </c>
      <c r="AX895" t="s">
        <v>948</v>
      </c>
      <c r="AY895" s="4">
        <v>26790</v>
      </c>
      <c r="AZ895" s="9">
        <v>24.231667882603062</v>
      </c>
      <c r="BA895" s="7">
        <f t="shared" si="226"/>
        <v>6.210679223033667E-4</v>
      </c>
      <c r="BB895" s="54">
        <f t="shared" si="220"/>
        <v>547.29825035305009</v>
      </c>
      <c r="BC895" s="55">
        <f t="shared" si="221"/>
        <v>584.87960808648734</v>
      </c>
      <c r="BD895" s="55">
        <f t="shared" si="222"/>
        <v>24.184284320328508</v>
      </c>
      <c r="BE895" s="55">
        <f t="shared" si="223"/>
        <v>23.700163129860304</v>
      </c>
      <c r="BF895" s="56">
        <f t="shared" si="224"/>
        <v>0.28561813718570167</v>
      </c>
      <c r="BG895" s="56">
        <f t="shared" si="227"/>
        <v>1.5929051818016214E-4</v>
      </c>
      <c r="BH895" s="56">
        <f t="shared" si="228"/>
        <v>1.262103475077072E-2</v>
      </c>
      <c r="BI895" s="56">
        <f t="shared" si="225"/>
        <v>1.2368386779569531E-2</v>
      </c>
      <c r="BJ895" s="57">
        <f t="shared" si="229"/>
        <v>2.4347023116693314E-2</v>
      </c>
      <c r="BK895" s="57">
        <f t="shared" si="230"/>
        <v>1.0758582345693813E-3</v>
      </c>
      <c r="BL895" s="58">
        <f t="shared" si="231"/>
        <v>42.958221424371033</v>
      </c>
      <c r="BM895" s="58">
        <f t="shared" si="231"/>
        <v>1.8982590208400532</v>
      </c>
    </row>
    <row r="896" spans="47:65" x14ac:dyDescent="0.2">
      <c r="AU896" s="2">
        <v>-741</v>
      </c>
      <c r="AV896" s="53">
        <v>894</v>
      </c>
      <c r="AW896" s="4" t="s">
        <v>2835</v>
      </c>
      <c r="AX896" t="s">
        <v>1065</v>
      </c>
      <c r="AY896" s="4">
        <v>36223</v>
      </c>
      <c r="AZ896" s="9">
        <v>24.236347292869045</v>
      </c>
      <c r="BA896" s="7">
        <f t="shared" si="226"/>
        <v>6.2118785757260108E-4</v>
      </c>
      <c r="BB896" s="54">
        <f t="shared" si="220"/>
        <v>548.96735359745628</v>
      </c>
      <c r="BC896" s="55">
        <f t="shared" si="221"/>
        <v>587.6352007917535</v>
      </c>
      <c r="BD896" s="55">
        <f t="shared" si="222"/>
        <v>24.241188106026353</v>
      </c>
      <c r="BE896" s="55">
        <f t="shared" si="223"/>
        <v>23.755927815136182</v>
      </c>
      <c r="BF896" s="56">
        <f t="shared" si="224"/>
        <v>0.28648919087376035</v>
      </c>
      <c r="BG896" s="56">
        <f t="shared" si="227"/>
        <v>1.6004099705452634E-4</v>
      </c>
      <c r="BH896" s="56">
        <f t="shared" si="228"/>
        <v>1.26507310877485E-2</v>
      </c>
      <c r="BI896" s="56">
        <f t="shared" si="225"/>
        <v>1.2397488655044139E-2</v>
      </c>
      <c r="BJ896" s="57">
        <f t="shared" si="229"/>
        <v>3.3020225049139762E-2</v>
      </c>
      <c r="BK896" s="57">
        <f t="shared" si="230"/>
        <v>1.4581003432610285E-3</v>
      </c>
      <c r="BL896" s="58">
        <f t="shared" si="231"/>
        <v>58.261337837681438</v>
      </c>
      <c r="BM896" s="58">
        <f t="shared" si="231"/>
        <v>2.5726922385764652</v>
      </c>
    </row>
    <row r="897" spans="47:65" x14ac:dyDescent="0.2">
      <c r="AU897" s="2">
        <v>-740</v>
      </c>
      <c r="AV897" s="53">
        <v>895</v>
      </c>
      <c r="AW897" s="4" t="s">
        <v>1601</v>
      </c>
      <c r="AX897" t="s">
        <v>164</v>
      </c>
      <c r="AY897" s="4">
        <v>42059</v>
      </c>
      <c r="AZ897" s="9">
        <v>24.241399584731727</v>
      </c>
      <c r="BA897" s="7">
        <f t="shared" si="226"/>
        <v>6.2131734995526445E-4</v>
      </c>
      <c r="BB897" s="54">
        <f t="shared" si="220"/>
        <v>550.77517614283204</v>
      </c>
      <c r="BC897" s="55">
        <f t="shared" si="221"/>
        <v>590.62432092874269</v>
      </c>
      <c r="BD897" s="55">
        <f t="shared" si="222"/>
        <v>24.302763647962813</v>
      </c>
      <c r="BE897" s="55">
        <f t="shared" si="223"/>
        <v>23.816270737398181</v>
      </c>
      <c r="BF897" s="56">
        <f t="shared" si="224"/>
        <v>0.28743263790184681</v>
      </c>
      <c r="BG897" s="56">
        <f t="shared" si="227"/>
        <v>1.6085507654874047E-4</v>
      </c>
      <c r="BH897" s="56">
        <f t="shared" si="228"/>
        <v>1.2682865470734146E-2</v>
      </c>
      <c r="BI897" s="56">
        <f t="shared" si="225"/>
        <v>1.242897977170278E-2</v>
      </c>
      <c r="BJ897" s="57">
        <f t="shared" si="229"/>
        <v>3.846647546565396E-2</v>
      </c>
      <c r="BK897" s="57">
        <f t="shared" si="230"/>
        <v>1.6973198904112698E-3</v>
      </c>
      <c r="BL897" s="58">
        <f t="shared" si="231"/>
        <v>67.870776749528389</v>
      </c>
      <c r="BM897" s="58">
        <f t="shared" si="231"/>
        <v>2.9947744876573346</v>
      </c>
    </row>
    <row r="898" spans="47:65" x14ac:dyDescent="0.2">
      <c r="AU898" s="2">
        <v>-739</v>
      </c>
      <c r="AV898" s="53">
        <v>896</v>
      </c>
      <c r="AW898" s="4" t="s">
        <v>2195</v>
      </c>
      <c r="AX898" t="s">
        <v>585</v>
      </c>
      <c r="AY898" s="4">
        <v>41350</v>
      </c>
      <c r="AZ898" s="9">
        <v>24.243362287077826</v>
      </c>
      <c r="BA898" s="7">
        <f t="shared" si="226"/>
        <v>6.2136765484860064E-4</v>
      </c>
      <c r="BB898" s="54">
        <f t="shared" si="220"/>
        <v>551.47907941719166</v>
      </c>
      <c r="BC898" s="55">
        <f t="shared" si="221"/>
        <v>591.78944636937297</v>
      </c>
      <c r="BD898" s="55">
        <f t="shared" si="222"/>
        <v>24.326722885941152</v>
      </c>
      <c r="BE898" s="55">
        <f t="shared" si="223"/>
        <v>23.839750359165468</v>
      </c>
      <c r="BF898" s="56">
        <f t="shared" si="224"/>
        <v>0.28779998338824636</v>
      </c>
      <c r="BG898" s="56">
        <f t="shared" si="227"/>
        <v>1.6117239558775874E-4</v>
      </c>
      <c r="BH898" s="56">
        <f t="shared" si="228"/>
        <v>1.2695369060714964E-2</v>
      </c>
      <c r="BI898" s="56">
        <f t="shared" si="225"/>
        <v>1.2441233064722709E-2</v>
      </c>
      <c r="BJ898" s="57">
        <f t="shared" si="229"/>
        <v>3.786636794327506E-2</v>
      </c>
      <c r="BK898" s="57">
        <f t="shared" si="230"/>
        <v>1.6703528275753743E-3</v>
      </c>
      <c r="BL898" s="58">
        <f t="shared" si="231"/>
        <v>66.811938808593098</v>
      </c>
      <c r="BM898" s="58">
        <f t="shared" si="231"/>
        <v>2.9471934322273987</v>
      </c>
    </row>
    <row r="899" spans="47:65" x14ac:dyDescent="0.2">
      <c r="AU899" s="2">
        <v>-738</v>
      </c>
      <c r="AV899" s="53">
        <v>897</v>
      </c>
      <c r="AW899" s="4" t="s">
        <v>3123</v>
      </c>
      <c r="AX899" t="s">
        <v>3124</v>
      </c>
      <c r="AY899" s="4">
        <v>6895</v>
      </c>
      <c r="AZ899" s="9">
        <v>24.253761134060035</v>
      </c>
      <c r="BA899" s="7">
        <f t="shared" si="226"/>
        <v>6.2163418170597094E-4</v>
      </c>
      <c r="BB899" s="54">
        <f t="shared" ref="BB899:BB962" si="232">IFERROR(IF(MATCH(AX899,$S$4:$S$20,0),VLOOKUP(AX899,$S$4:$AT$20,20,FALSE)),AVERAGE((2^(($AE$23*AZ899)+$AE$24)),(2^(($AF$23*AZ899)+$AF$24)),(2^(($AG$23*AZ899)+$AG$24)),(2^(($AH$23*AZ899)+$AH$24))))</f>
        <v>555.22355874197922</v>
      </c>
      <c r="BC899" s="55">
        <f t="shared" ref="BC899:BC962" si="233">IFERROR(IF(MATCH(AX899,$S$4:$S$20,0),VLOOKUP(AX899,$S$4:$AT$20,21,FALSE)),_xlfn.VAR.S((2^(($AE$23*AZ899)+$AE$24)),(2^(($AF$23*AZ899)+$AF$24)),(2^(($AG$23*AZ899)+$AG$24)),(2^(($AH$23*AZ899)+$AH$24))))</f>
        <v>597.99933043213161</v>
      </c>
      <c r="BD899" s="55">
        <f t="shared" ref="BD899:BD962" si="234">SQRT(BC899)</f>
        <v>24.454024830937986</v>
      </c>
      <c r="BE899" s="55">
        <f t="shared" ref="BE899:BE962" si="235">_xlfn.CONFIDENCE.NORM(0.05,BD899,4)</f>
        <v>23.964503972843314</v>
      </c>
      <c r="BF899" s="56">
        <f t="shared" ref="BF899:BF962" si="236">IFERROR(IF(MATCH(AX899,$S$4:$S$20,0),VLOOKUP(AX899,$S$4:$AT$20,24,FALSE)),AVERAGE((2^(($AI$23*AZ899)+$AI$24)),(2^(($AJ$23*AZ899)+$AJ$24)),(2^(($AK$23*AZ899)+$AK$24)),(2^(($AL$23*AZ899)+$AL$24))))</f>
        <v>0.28975411207180429</v>
      </c>
      <c r="BG899" s="56">
        <f t="shared" si="227"/>
        <v>1.6286364219051451E-4</v>
      </c>
      <c r="BH899" s="56">
        <f t="shared" si="228"/>
        <v>1.2761804033541439E-2</v>
      </c>
      <c r="BI899" s="56">
        <f t="shared" ref="BI899:BI962" si="237">_xlfn.CONFIDENCE.NORM(0.05,BH899,4)</f>
        <v>1.2506338141749602E-2</v>
      </c>
      <c r="BJ899" s="57">
        <f t="shared" si="229"/>
        <v>6.3569859368381798E-3</v>
      </c>
      <c r="BK899" s="57">
        <f t="shared" si="230"/>
        <v>2.7998432253414788E-4</v>
      </c>
      <c r="BL899" s="58">
        <f t="shared" si="231"/>
        <v>11.2163531515715</v>
      </c>
      <c r="BM899" s="58">
        <f t="shared" si="231"/>
        <v>0.49400817771959177</v>
      </c>
    </row>
    <row r="900" spans="47:65" x14ac:dyDescent="0.2">
      <c r="AU900" s="2">
        <v>-737</v>
      </c>
      <c r="AV900" s="53">
        <v>898</v>
      </c>
      <c r="AW900" s="4" t="s">
        <v>1783</v>
      </c>
      <c r="AX900" t="s">
        <v>275</v>
      </c>
      <c r="AY900" s="4">
        <v>35304</v>
      </c>
      <c r="AZ900" s="9">
        <v>24.255106774862632</v>
      </c>
      <c r="BA900" s="7">
        <f t="shared" ref="BA900:BA963" si="238">AZ900/$AZ$1637</f>
        <v>6.2166867105030682E-4</v>
      </c>
      <c r="BB900" s="54">
        <f t="shared" si="232"/>
        <v>555.70995954883301</v>
      </c>
      <c r="BC900" s="55">
        <f t="shared" si="233"/>
        <v>598.8074481379623</v>
      </c>
      <c r="BD900" s="55">
        <f t="shared" si="234"/>
        <v>24.470542456961642</v>
      </c>
      <c r="BE900" s="55">
        <f t="shared" si="235"/>
        <v>23.980690948901547</v>
      </c>
      <c r="BF900" s="56">
        <f t="shared" si="236"/>
        <v>0.29000794970473959</v>
      </c>
      <c r="BG900" s="56">
        <f t="shared" ref="BG900:BG963" si="239">IFERROR(IF(MATCH(AX900,$S$4:$S$20,0),VLOOKUP(AX900,$S$4:$AT$20,25,FALSE)),_xlfn.VAR.S((2^(($AI$23*AZ900)+$AI$24)),(2^(($AJ$23*AZ900)+$AJ$24)),(2^(($AK$23*AZ900)+$AK$24)),(2^(($AL$23*AZ900)+$AL$24))))</f>
        <v>1.6308373105381599E-4</v>
      </c>
      <c r="BH900" s="56">
        <f t="shared" ref="BH900:BH963" si="240">SQRT(BG900)</f>
        <v>1.2770424074940346E-2</v>
      </c>
      <c r="BI900" s="56">
        <f t="shared" si="237"/>
        <v>1.2514785627093154E-2</v>
      </c>
      <c r="BJ900" s="57">
        <f t="shared" ref="BJ900:BJ963" si="241">(((BF900*0.000001)*AY900)*1000000000000000)*$S$24</f>
        <v>3.2577757750054573E-2</v>
      </c>
      <c r="BK900" s="57">
        <f t="shared" ref="BK900:BK963" si="242">((((BH900*0.000001)*AY900)*1000000000000000)*$S$24)</f>
        <v>1.4345530262271707E-3</v>
      </c>
      <c r="BL900" s="58">
        <f t="shared" ref="BL900:BM963" si="243">((BJ900/$S$26)*0.000000001)/0.45</f>
        <v>57.480642468229362</v>
      </c>
      <c r="BM900" s="58">
        <f t="shared" si="243"/>
        <v>2.5311450295299198</v>
      </c>
    </row>
    <row r="901" spans="47:65" x14ac:dyDescent="0.2">
      <c r="AU901" s="2">
        <v>-736</v>
      </c>
      <c r="AV901" s="53">
        <v>899</v>
      </c>
      <c r="AW901" s="4" t="s">
        <v>2094</v>
      </c>
      <c r="AX901" t="s">
        <v>504</v>
      </c>
      <c r="AY901" s="4">
        <v>32483</v>
      </c>
      <c r="AZ901" s="9">
        <v>24.263082713040731</v>
      </c>
      <c r="BA901" s="7">
        <f t="shared" si="238"/>
        <v>6.2187309772768998E-4</v>
      </c>
      <c r="BB901" s="54">
        <f t="shared" si="232"/>
        <v>558.60173587074428</v>
      </c>
      <c r="BC901" s="55">
        <f t="shared" si="233"/>
        <v>603.61884565763989</v>
      </c>
      <c r="BD901" s="55">
        <f t="shared" si="234"/>
        <v>24.568655756016444</v>
      </c>
      <c r="BE901" s="55">
        <f t="shared" si="235"/>
        <v>24.076840215177455</v>
      </c>
      <c r="BF901" s="56">
        <f t="shared" si="236"/>
        <v>0.29151707889652723</v>
      </c>
      <c r="BG901" s="56">
        <f t="shared" si="239"/>
        <v>1.6439410329706201E-4</v>
      </c>
      <c r="BH901" s="56">
        <f t="shared" si="240"/>
        <v>1.2821626390480343E-2</v>
      </c>
      <c r="BI901" s="56">
        <f t="shared" si="237"/>
        <v>1.2564962974284879E-2</v>
      </c>
      <c r="BJ901" s="57">
        <f t="shared" si="241"/>
        <v>3.0130581115422238E-2</v>
      </c>
      <c r="BK901" s="57">
        <f t="shared" si="242"/>
        <v>1.3252158516830165E-3</v>
      </c>
      <c r="BL901" s="58">
        <f t="shared" si="243"/>
        <v>53.162810459313086</v>
      </c>
      <c r="BM901" s="58">
        <f t="shared" si="243"/>
        <v>2.3382290195737592</v>
      </c>
    </row>
    <row r="902" spans="47:65" x14ac:dyDescent="0.2">
      <c r="AU902" s="2">
        <v>-735</v>
      </c>
      <c r="AV902" s="53">
        <v>900</v>
      </c>
      <c r="AW902" s="4" t="s">
        <v>1443</v>
      </c>
      <c r="AX902" t="s">
        <v>1444</v>
      </c>
      <c r="AY902" s="4">
        <v>17750</v>
      </c>
      <c r="AZ902" s="9">
        <v>24.266041501168385</v>
      </c>
      <c r="BA902" s="7">
        <f t="shared" si="238"/>
        <v>6.2194893272195782E-4</v>
      </c>
      <c r="BB902" s="54">
        <f t="shared" si="232"/>
        <v>559.67830429377955</v>
      </c>
      <c r="BC902" s="55">
        <f t="shared" si="233"/>
        <v>605.41308777215397</v>
      </c>
      <c r="BD902" s="55">
        <f t="shared" si="234"/>
        <v>24.605143522689598</v>
      </c>
      <c r="BE902" s="55">
        <f t="shared" si="235"/>
        <v>24.112597569455296</v>
      </c>
      <c r="BF902" s="56">
        <f t="shared" si="236"/>
        <v>0.29207890687120458</v>
      </c>
      <c r="BG902" s="56">
        <f t="shared" si="239"/>
        <v>1.6488276070998623E-4</v>
      </c>
      <c r="BH902" s="56">
        <f t="shared" si="240"/>
        <v>1.2840668234557975E-2</v>
      </c>
      <c r="BI902" s="56">
        <f t="shared" si="237"/>
        <v>1.2583623638580572E-2</v>
      </c>
      <c r="BJ902" s="57">
        <f t="shared" si="241"/>
        <v>1.6496276376026589E-2</v>
      </c>
      <c r="BK902" s="57">
        <f t="shared" si="242"/>
        <v>7.2522598197595793E-4</v>
      </c>
      <c r="BL902" s="58">
        <f t="shared" si="243"/>
        <v>29.106256228634841</v>
      </c>
      <c r="BM902" s="58">
        <f t="shared" si="243"/>
        <v>1.2795986666258747</v>
      </c>
    </row>
    <row r="903" spans="47:65" x14ac:dyDescent="0.2">
      <c r="AU903" s="2">
        <v>-734</v>
      </c>
      <c r="AV903" s="53">
        <v>901</v>
      </c>
      <c r="AW903" s="4" t="s">
        <v>2403</v>
      </c>
      <c r="AX903" t="s">
        <v>738</v>
      </c>
      <c r="AY903" s="4">
        <v>26271</v>
      </c>
      <c r="AZ903" s="9">
        <v>24.266875546044009</v>
      </c>
      <c r="BA903" s="7">
        <f t="shared" si="238"/>
        <v>6.2197030964576347E-4</v>
      </c>
      <c r="BB903" s="54">
        <f t="shared" si="232"/>
        <v>559.98215001272501</v>
      </c>
      <c r="BC903" s="55">
        <f t="shared" si="233"/>
        <v>605.91978280326578</v>
      </c>
      <c r="BD903" s="55">
        <f t="shared" si="234"/>
        <v>24.615437895825981</v>
      </c>
      <c r="BE903" s="55">
        <f t="shared" si="235"/>
        <v>24.122685869750661</v>
      </c>
      <c r="BF903" s="56">
        <f t="shared" si="236"/>
        <v>0.29223747461407823</v>
      </c>
      <c r="BG903" s="56">
        <f t="shared" si="239"/>
        <v>1.6502075785153835E-4</v>
      </c>
      <c r="BH903" s="56">
        <f t="shared" si="240"/>
        <v>1.2846040551529422E-2</v>
      </c>
      <c r="BI903" s="56">
        <f t="shared" si="237"/>
        <v>1.2588888412469357E-2</v>
      </c>
      <c r="BJ903" s="57">
        <f t="shared" si="241"/>
        <v>2.4428673376391843E-2</v>
      </c>
      <c r="BK903" s="57">
        <f t="shared" si="242"/>
        <v>1.0738243930817188E-3</v>
      </c>
      <c r="BL903" s="58">
        <f t="shared" si="243"/>
        <v>43.102286262140943</v>
      </c>
      <c r="BM903" s="58">
        <f t="shared" si="243"/>
        <v>1.8946704830319478</v>
      </c>
    </row>
    <row r="904" spans="47:65" x14ac:dyDescent="0.2">
      <c r="AU904" s="2">
        <v>-733</v>
      </c>
      <c r="AV904" s="53">
        <v>902</v>
      </c>
      <c r="AW904" s="4" t="s">
        <v>2466</v>
      </c>
      <c r="AX904" t="s">
        <v>785</v>
      </c>
      <c r="AY904" s="4">
        <v>52268</v>
      </c>
      <c r="AZ904" s="9">
        <v>24.2680662029194</v>
      </c>
      <c r="BA904" s="7">
        <f t="shared" si="238"/>
        <v>6.2200082668633033E-4</v>
      </c>
      <c r="BB904" s="54">
        <f t="shared" si="232"/>
        <v>560.41619671360377</v>
      </c>
      <c r="BC904" s="55">
        <f t="shared" si="233"/>
        <v>606.64382793607717</v>
      </c>
      <c r="BD904" s="55">
        <f t="shared" si="234"/>
        <v>24.630140639794917</v>
      </c>
      <c r="BE904" s="55">
        <f t="shared" si="235"/>
        <v>24.137094294077176</v>
      </c>
      <c r="BF904" s="56">
        <f t="shared" si="236"/>
        <v>0.29246399024806113</v>
      </c>
      <c r="BG904" s="56">
        <f t="shared" si="239"/>
        <v>1.6521794975701894E-4</v>
      </c>
      <c r="BH904" s="56">
        <f t="shared" si="240"/>
        <v>1.285371346175956E-2</v>
      </c>
      <c r="BI904" s="56">
        <f t="shared" si="237"/>
        <v>1.2596407726323196E-2</v>
      </c>
      <c r="BJ904" s="57">
        <f t="shared" si="241"/>
        <v>4.8640234000883256E-2</v>
      </c>
      <c r="BK904" s="57">
        <f t="shared" si="242"/>
        <v>2.1377251607283404E-3</v>
      </c>
      <c r="BL904" s="58">
        <f t="shared" si="243"/>
        <v>85.821495807859918</v>
      </c>
      <c r="BM904" s="58">
        <f t="shared" si="243"/>
        <v>3.7718315852771682</v>
      </c>
    </row>
    <row r="905" spans="47:65" x14ac:dyDescent="0.2">
      <c r="AU905" s="2">
        <v>-732</v>
      </c>
      <c r="AV905" s="53">
        <v>903</v>
      </c>
      <c r="AW905" s="4" t="s">
        <v>2590</v>
      </c>
      <c r="AX905" t="s">
        <v>887</v>
      </c>
      <c r="AY905" s="4">
        <v>30025</v>
      </c>
      <c r="AZ905" s="9">
        <v>24.268684956369274</v>
      </c>
      <c r="BA905" s="7">
        <f t="shared" si="238"/>
        <v>6.2201668559960831E-4</v>
      </c>
      <c r="BB905" s="54">
        <f t="shared" si="232"/>
        <v>560.64189235023719</v>
      </c>
      <c r="BC905" s="55">
        <f t="shared" si="233"/>
        <v>607.02042205828809</v>
      </c>
      <c r="BD905" s="55">
        <f t="shared" si="234"/>
        <v>24.637784438911876</v>
      </c>
      <c r="BE905" s="55">
        <f t="shared" si="235"/>
        <v>24.144585079564326</v>
      </c>
      <c r="BF905" s="56">
        <f t="shared" si="236"/>
        <v>0.29258177386469875</v>
      </c>
      <c r="BG905" s="56">
        <f t="shared" si="239"/>
        <v>1.6532051423702256E-4</v>
      </c>
      <c r="BH905" s="56">
        <f t="shared" si="240"/>
        <v>1.2857702525607853E-2</v>
      </c>
      <c r="BI905" s="56">
        <f t="shared" si="237"/>
        <v>1.2600316937060539E-2</v>
      </c>
      <c r="BJ905" s="57">
        <f t="shared" si="241"/>
        <v>2.795230695671521E-2</v>
      </c>
      <c r="BK905" s="57">
        <f t="shared" si="242"/>
        <v>1.2283828996133056E-3</v>
      </c>
      <c r="BL905" s="58">
        <f t="shared" si="243"/>
        <v>49.319433666009623</v>
      </c>
      <c r="BM905" s="58">
        <f t="shared" si="243"/>
        <v>2.1673756312047296</v>
      </c>
    </row>
    <row r="906" spans="47:65" x14ac:dyDescent="0.2">
      <c r="AU906" s="2">
        <v>-731</v>
      </c>
      <c r="AV906" s="53">
        <v>904</v>
      </c>
      <c r="AW906" s="4" t="s">
        <v>2010</v>
      </c>
      <c r="AX906" t="s">
        <v>437</v>
      </c>
      <c r="AY906" s="4">
        <v>43855</v>
      </c>
      <c r="AZ906" s="9">
        <v>24.274052202291763</v>
      </c>
      <c r="BA906" s="7">
        <f t="shared" si="238"/>
        <v>6.2215425038836833E-4</v>
      </c>
      <c r="BB906" s="54">
        <f t="shared" si="232"/>
        <v>562.60345946106747</v>
      </c>
      <c r="BC906" s="55">
        <f t="shared" si="233"/>
        <v>610.2965028043501</v>
      </c>
      <c r="BD906" s="55">
        <f t="shared" si="234"/>
        <v>24.704179865042072</v>
      </c>
      <c r="BE906" s="55">
        <f t="shared" si="235"/>
        <v>24.209651401541013</v>
      </c>
      <c r="BF906" s="56">
        <f t="shared" si="236"/>
        <v>0.29360545545658934</v>
      </c>
      <c r="BG906" s="56">
        <f t="shared" si="239"/>
        <v>1.6621274674508395E-4</v>
      </c>
      <c r="BH906" s="56">
        <f t="shared" si="240"/>
        <v>1.2892352258028166E-2</v>
      </c>
      <c r="BI906" s="56">
        <f t="shared" si="237"/>
        <v>1.2634273050869421E-2</v>
      </c>
      <c r="BJ906" s="57">
        <f t="shared" si="241"/>
        <v>4.0970438144961874E-2</v>
      </c>
      <c r="BK906" s="57">
        <f t="shared" si="242"/>
        <v>1.7990310156505236E-3</v>
      </c>
      <c r="BL906" s="58">
        <f t="shared" si="243"/>
        <v>72.288802834299275</v>
      </c>
      <c r="BM906" s="58">
        <f t="shared" si="243"/>
        <v>3.1742349916543922</v>
      </c>
    </row>
    <row r="907" spans="47:65" x14ac:dyDescent="0.2">
      <c r="AU907" s="2">
        <v>-730</v>
      </c>
      <c r="AV907" s="53">
        <v>905</v>
      </c>
      <c r="AW907" s="4" t="s">
        <v>2705</v>
      </c>
      <c r="AX907" t="s">
        <v>967</v>
      </c>
      <c r="AY907" s="4">
        <v>108603</v>
      </c>
      <c r="AZ907" s="9">
        <v>24.276468063346357</v>
      </c>
      <c r="BA907" s="7">
        <f t="shared" si="238"/>
        <v>6.22216169931547E-4</v>
      </c>
      <c r="BB907" s="54">
        <f t="shared" si="232"/>
        <v>563.48862265220714</v>
      </c>
      <c r="BC907" s="55">
        <f t="shared" si="233"/>
        <v>611.77661764716595</v>
      </c>
      <c r="BD907" s="55">
        <f t="shared" si="234"/>
        <v>24.734118493432629</v>
      </c>
      <c r="BE907" s="55">
        <f t="shared" si="235"/>
        <v>24.238990718237019</v>
      </c>
      <c r="BF907" s="56">
        <f t="shared" si="236"/>
        <v>0.29406739492304174</v>
      </c>
      <c r="BG907" s="56">
        <f t="shared" si="239"/>
        <v>1.6661585237062203E-4</v>
      </c>
      <c r="BH907" s="56">
        <f t="shared" si="240"/>
        <v>1.2907976308105853E-2</v>
      </c>
      <c r="BI907" s="56">
        <f t="shared" si="237"/>
        <v>1.2649584338591879E-2</v>
      </c>
      <c r="BJ907" s="57">
        <f t="shared" si="241"/>
        <v>0.1016192694895104</v>
      </c>
      <c r="BK907" s="57">
        <f t="shared" si="242"/>
        <v>4.4605391337618353E-3</v>
      </c>
      <c r="BL907" s="58">
        <f t="shared" si="243"/>
        <v>179.29843245271883</v>
      </c>
      <c r="BM907" s="58">
        <f t="shared" si="243"/>
        <v>7.8702364088541383</v>
      </c>
    </row>
    <row r="908" spans="47:65" x14ac:dyDescent="0.2">
      <c r="AU908" s="2">
        <v>-729</v>
      </c>
      <c r="AV908" s="53">
        <v>906</v>
      </c>
      <c r="AW908" s="4" t="s">
        <v>2313</v>
      </c>
      <c r="AX908" t="s">
        <v>665</v>
      </c>
      <c r="AY908" s="4">
        <v>19558</v>
      </c>
      <c r="AZ908" s="9">
        <v>24.277910912253688</v>
      </c>
      <c r="BA908" s="7">
        <f t="shared" si="238"/>
        <v>6.2225315076082442E-4</v>
      </c>
      <c r="BB908" s="54">
        <f t="shared" si="232"/>
        <v>564.01794170207074</v>
      </c>
      <c r="BC908" s="55">
        <f t="shared" si="233"/>
        <v>612.66223809450059</v>
      </c>
      <c r="BD908" s="55">
        <f t="shared" si="234"/>
        <v>24.752014828989186</v>
      </c>
      <c r="BE908" s="55">
        <f t="shared" si="235"/>
        <v>24.25652880481007</v>
      </c>
      <c r="BF908" s="56">
        <f t="shared" si="236"/>
        <v>0.29434363026803267</v>
      </c>
      <c r="BG908" s="56">
        <f t="shared" si="239"/>
        <v>1.6685704891434379E-4</v>
      </c>
      <c r="BH908" s="56">
        <f t="shared" si="240"/>
        <v>1.2917315855639041E-2</v>
      </c>
      <c r="BI908" s="56">
        <f t="shared" si="237"/>
        <v>1.2658736926990353E-2</v>
      </c>
      <c r="BJ908" s="57">
        <f t="shared" si="241"/>
        <v>1.8317510782559429E-2</v>
      </c>
      <c r="BK908" s="57">
        <f t="shared" si="242"/>
        <v>8.0386680103092896E-4</v>
      </c>
      <c r="BL908" s="58">
        <f t="shared" si="243"/>
        <v>32.319667187606584</v>
      </c>
      <c r="BM908" s="58">
        <f t="shared" si="243"/>
        <v>1.418353606059972</v>
      </c>
    </row>
    <row r="909" spans="47:65" x14ac:dyDescent="0.2">
      <c r="AU909" s="2">
        <v>-728</v>
      </c>
      <c r="AV909" s="53">
        <v>907</v>
      </c>
      <c r="AW909" s="4" t="s">
        <v>2618</v>
      </c>
      <c r="AX909" t="s">
        <v>908</v>
      </c>
      <c r="AY909" s="4">
        <v>62139</v>
      </c>
      <c r="AZ909" s="9">
        <v>24.302500036822583</v>
      </c>
      <c r="BA909" s="7">
        <f t="shared" si="238"/>
        <v>6.2288338044956277E-4</v>
      </c>
      <c r="BB909" s="54">
        <f t="shared" si="232"/>
        <v>573.11546427577105</v>
      </c>
      <c r="BC909" s="55">
        <f t="shared" si="233"/>
        <v>627.94481450454282</v>
      </c>
      <c r="BD909" s="55">
        <f t="shared" si="234"/>
        <v>25.058827077589701</v>
      </c>
      <c r="BE909" s="55">
        <f t="shared" si="235"/>
        <v>24.557199283446447</v>
      </c>
      <c r="BF909" s="56">
        <f t="shared" si="236"/>
        <v>0.29909134771245854</v>
      </c>
      <c r="BG909" s="56">
        <f t="shared" si="239"/>
        <v>1.7101922089270119E-4</v>
      </c>
      <c r="BH909" s="56">
        <f t="shared" si="240"/>
        <v>1.3077431739171924E-2</v>
      </c>
      <c r="BI909" s="56">
        <f t="shared" si="237"/>
        <v>1.2815647609528984E-2</v>
      </c>
      <c r="BJ909" s="57">
        <f t="shared" si="241"/>
        <v>5.9136481555914638E-2</v>
      </c>
      <c r="BK909" s="57">
        <f t="shared" si="242"/>
        <v>2.5856759373252152E-3</v>
      </c>
      <c r="BL909" s="58">
        <f t="shared" si="243"/>
        <v>104.34121891457909</v>
      </c>
      <c r="BM909" s="58">
        <f t="shared" si="243"/>
        <v>4.5622020776382488</v>
      </c>
    </row>
    <row r="910" spans="47:65" x14ac:dyDescent="0.2">
      <c r="AU910" s="2">
        <v>-727</v>
      </c>
      <c r="AV910" s="53">
        <v>908</v>
      </c>
      <c r="AW910" s="4" t="s">
        <v>2857</v>
      </c>
      <c r="AX910" t="s">
        <v>1081</v>
      </c>
      <c r="AY910" s="4">
        <v>39795</v>
      </c>
      <c r="AZ910" s="9">
        <v>24.302709198844099</v>
      </c>
      <c r="BA910" s="7">
        <f t="shared" si="238"/>
        <v>6.2288874136086098E-4</v>
      </c>
      <c r="BB910" s="54">
        <f t="shared" si="232"/>
        <v>573.19347651047656</v>
      </c>
      <c r="BC910" s="55">
        <f t="shared" si="233"/>
        <v>628.07636229788773</v>
      </c>
      <c r="BD910" s="55">
        <f t="shared" si="234"/>
        <v>25.061451719680718</v>
      </c>
      <c r="BE910" s="55">
        <f t="shared" si="235"/>
        <v>24.559771385431798</v>
      </c>
      <c r="BF910" s="56">
        <f t="shared" si="236"/>
        <v>0.29913205990026459</v>
      </c>
      <c r="BG910" s="56">
        <f t="shared" si="239"/>
        <v>1.7105504760964903E-4</v>
      </c>
      <c r="BH910" s="56">
        <f t="shared" si="240"/>
        <v>1.3078801459218236E-2</v>
      </c>
      <c r="BI910" s="56">
        <f t="shared" si="237"/>
        <v>1.281698991050882E-2</v>
      </c>
      <c r="BJ910" s="57">
        <f t="shared" si="241"/>
        <v>3.7877285097243814E-2</v>
      </c>
      <c r="BK910" s="57">
        <f t="shared" si="242"/>
        <v>1.6560895938945103E-3</v>
      </c>
      <c r="BL910" s="58">
        <f t="shared" si="243"/>
        <v>66.831201184747499</v>
      </c>
      <c r="BM910" s="58">
        <f t="shared" si="243"/>
        <v>2.9220271871487546</v>
      </c>
    </row>
    <row r="911" spans="47:65" x14ac:dyDescent="0.2">
      <c r="AU911" s="2">
        <v>-726</v>
      </c>
      <c r="AV911" s="53">
        <v>909</v>
      </c>
      <c r="AW911" s="4" t="s">
        <v>1464</v>
      </c>
      <c r="AX911" t="s">
        <v>63</v>
      </c>
      <c r="AY911" s="4">
        <v>59448</v>
      </c>
      <c r="AZ911" s="9">
        <v>24.310080192577903</v>
      </c>
      <c r="BA911" s="7">
        <f t="shared" si="238"/>
        <v>6.2307766305563425E-4</v>
      </c>
      <c r="BB911" s="54">
        <f t="shared" si="232"/>
        <v>575.9494660196649</v>
      </c>
      <c r="BC911" s="55">
        <f t="shared" si="233"/>
        <v>632.72904119497377</v>
      </c>
      <c r="BD911" s="55">
        <f t="shared" si="234"/>
        <v>25.154105851629346</v>
      </c>
      <c r="BE911" s="55">
        <f t="shared" si="235"/>
        <v>24.650570766250866</v>
      </c>
      <c r="BF911" s="56">
        <f t="shared" si="236"/>
        <v>0.30057032612751827</v>
      </c>
      <c r="BG911" s="56">
        <f t="shared" si="239"/>
        <v>1.7232219322763542E-4</v>
      </c>
      <c r="BH911" s="56">
        <f t="shared" si="240"/>
        <v>1.3127154803217467E-2</v>
      </c>
      <c r="BI911" s="56">
        <f t="shared" si="237"/>
        <v>1.2864375316894106E-2</v>
      </c>
      <c r="BJ911" s="57">
        <f t="shared" si="241"/>
        <v>5.6855269567820527E-2</v>
      </c>
      <c r="BK911" s="57">
        <f t="shared" si="242"/>
        <v>2.4831058162368223E-3</v>
      </c>
      <c r="BL911" s="58">
        <f t="shared" si="243"/>
        <v>100.31621720366003</v>
      </c>
      <c r="BM911" s="58">
        <f t="shared" si="243"/>
        <v>4.3812259495867405</v>
      </c>
    </row>
    <row r="912" spans="47:65" x14ac:dyDescent="0.2">
      <c r="AU912" s="2">
        <v>-725</v>
      </c>
      <c r="AV912" s="53">
        <v>910</v>
      </c>
      <c r="AW912" s="4" t="s">
        <v>2284</v>
      </c>
      <c r="AX912" t="s">
        <v>639</v>
      </c>
      <c r="AY912" s="4">
        <v>28658</v>
      </c>
      <c r="AZ912" s="9">
        <v>24.313290314211997</v>
      </c>
      <c r="BA912" s="7">
        <f t="shared" si="238"/>
        <v>6.2315993983424014E-4</v>
      </c>
      <c r="BB912" s="54">
        <f t="shared" si="232"/>
        <v>577.15385832848574</v>
      </c>
      <c r="BC912" s="55">
        <f t="shared" si="233"/>
        <v>634.76559745261682</v>
      </c>
      <c r="BD912" s="55">
        <f t="shared" si="234"/>
        <v>25.194554916739783</v>
      </c>
      <c r="BE912" s="55">
        <f t="shared" si="235"/>
        <v>24.690210121663252</v>
      </c>
      <c r="BF912" s="56">
        <f t="shared" si="236"/>
        <v>0.30119886145987901</v>
      </c>
      <c r="BG912" s="56">
        <f t="shared" si="239"/>
        <v>1.7287684429958468E-4</v>
      </c>
      <c r="BH912" s="56">
        <f t="shared" si="240"/>
        <v>1.3148263927210493E-2</v>
      </c>
      <c r="BI912" s="56">
        <f t="shared" si="237"/>
        <v>1.2885061878279865E-2</v>
      </c>
      <c r="BJ912" s="57">
        <f t="shared" si="241"/>
        <v>2.7465440980685363E-2</v>
      </c>
      <c r="BK912" s="57">
        <f t="shared" si="242"/>
        <v>1.1989516332862275E-3</v>
      </c>
      <c r="BL912" s="58">
        <f t="shared" si="243"/>
        <v>48.460400662178344</v>
      </c>
      <c r="BM912" s="58">
        <f t="shared" si="243"/>
        <v>2.115446701346714</v>
      </c>
    </row>
    <row r="913" spans="47:65" x14ac:dyDescent="0.2">
      <c r="AU913" s="2">
        <v>-724</v>
      </c>
      <c r="AV913" s="53">
        <v>911</v>
      </c>
      <c r="AW913" s="4" t="s">
        <v>1595</v>
      </c>
      <c r="AX913" t="s">
        <v>160</v>
      </c>
      <c r="AY913" s="4">
        <v>28548</v>
      </c>
      <c r="AZ913" s="9">
        <v>24.317068633337207</v>
      </c>
      <c r="BA913" s="7">
        <f t="shared" si="238"/>
        <v>6.2325677975546482E-4</v>
      </c>
      <c r="BB913" s="54">
        <f t="shared" si="232"/>
        <v>578.57465766704991</v>
      </c>
      <c r="BC913" s="55">
        <f t="shared" si="233"/>
        <v>637.17065405985011</v>
      </c>
      <c r="BD913" s="55">
        <f t="shared" si="234"/>
        <v>25.242239481865514</v>
      </c>
      <c r="BE913" s="55">
        <f t="shared" si="235"/>
        <v>24.736940136795695</v>
      </c>
      <c r="BF913" s="56">
        <f t="shared" si="236"/>
        <v>0.30194033297040085</v>
      </c>
      <c r="BG913" s="56">
        <f t="shared" si="239"/>
        <v>1.7353185553253174E-4</v>
      </c>
      <c r="BH913" s="56">
        <f t="shared" si="240"/>
        <v>1.3173149036298487E-2</v>
      </c>
      <c r="BI913" s="56">
        <f t="shared" si="237"/>
        <v>1.2909448837061775E-2</v>
      </c>
      <c r="BJ913" s="57">
        <f t="shared" si="241"/>
        <v>2.742737155378186E-2</v>
      </c>
      <c r="BK913" s="57">
        <f t="shared" si="242"/>
        <v>1.1966101037164873E-3</v>
      </c>
      <c r="BL913" s="58">
        <f t="shared" si="243"/>
        <v>48.39323044335606</v>
      </c>
      <c r="BM913" s="58">
        <f t="shared" si="243"/>
        <v>2.1113152744676862</v>
      </c>
    </row>
    <row r="914" spans="47:65" x14ac:dyDescent="0.2">
      <c r="AU914" s="2">
        <v>-723</v>
      </c>
      <c r="AV914" s="53">
        <v>912</v>
      </c>
      <c r="AW914" s="4" t="s">
        <v>1729</v>
      </c>
      <c r="AX914" t="s">
        <v>240</v>
      </c>
      <c r="AY914" s="4">
        <v>40648</v>
      </c>
      <c r="AZ914" s="9">
        <v>24.321020658408546</v>
      </c>
      <c r="BA914" s="7">
        <f t="shared" si="238"/>
        <v>6.2335807183374183E-4</v>
      </c>
      <c r="BB914" s="54">
        <f t="shared" si="232"/>
        <v>580.06452037587485</v>
      </c>
      <c r="BC914" s="55">
        <f t="shared" si="233"/>
        <v>639.69559839813314</v>
      </c>
      <c r="BD914" s="55">
        <f t="shared" si="234"/>
        <v>25.292204300893449</v>
      </c>
      <c r="BE914" s="55">
        <f t="shared" si="235"/>
        <v>24.785904759690101</v>
      </c>
      <c r="BF914" s="56">
        <f t="shared" si="236"/>
        <v>0.30271784653139355</v>
      </c>
      <c r="BG914" s="56">
        <f t="shared" si="239"/>
        <v>1.74219517893232E-4</v>
      </c>
      <c r="BH914" s="56">
        <f t="shared" si="240"/>
        <v>1.3199224139820945E-2</v>
      </c>
      <c r="BI914" s="56">
        <f t="shared" si="237"/>
        <v>1.2935001968960361E-2</v>
      </c>
      <c r="BJ914" s="57">
        <f t="shared" si="241"/>
        <v>3.9152958071386391E-2</v>
      </c>
      <c r="BK914" s="57">
        <f t="shared" si="242"/>
        <v>1.7071628754059818E-3</v>
      </c>
      <c r="BL914" s="58">
        <f t="shared" si="243"/>
        <v>69.082016071875486</v>
      </c>
      <c r="BM914" s="58">
        <f t="shared" si="243"/>
        <v>3.0121415853453346</v>
      </c>
    </row>
    <row r="915" spans="47:65" x14ac:dyDescent="0.2">
      <c r="AU915" s="2">
        <v>-722</v>
      </c>
      <c r="AV915" s="53">
        <v>913</v>
      </c>
      <c r="AW915" s="4" t="s">
        <v>1881</v>
      </c>
      <c r="AX915" t="s">
        <v>350</v>
      </c>
      <c r="AY915" s="4">
        <v>58653</v>
      </c>
      <c r="AZ915" s="9">
        <v>24.323427920963706</v>
      </c>
      <c r="BA915" s="7">
        <f t="shared" si="238"/>
        <v>6.234197709937343E-4</v>
      </c>
      <c r="BB915" s="54">
        <f t="shared" si="232"/>
        <v>580.97390713771028</v>
      </c>
      <c r="BC915" s="55">
        <f t="shared" si="233"/>
        <v>641.23827833140331</v>
      </c>
      <c r="BD915" s="55">
        <f t="shared" si="234"/>
        <v>25.322683079235567</v>
      </c>
      <c r="BE915" s="55">
        <f t="shared" si="235"/>
        <v>24.815773413611769</v>
      </c>
      <c r="BF915" s="56">
        <f t="shared" si="236"/>
        <v>0.30319242753494952</v>
      </c>
      <c r="BG915" s="56">
        <f t="shared" si="239"/>
        <v>1.7463966296677057E-4</v>
      </c>
      <c r="BH915" s="56">
        <f t="shared" si="240"/>
        <v>1.3215130077557714E-2</v>
      </c>
      <c r="BI915" s="56">
        <f t="shared" si="237"/>
        <v>1.2950589501512563E-2</v>
      </c>
      <c r="BJ915" s="57">
        <f t="shared" si="241"/>
        <v>5.6584300678170996E-2</v>
      </c>
      <c r="BK915" s="57">
        <f t="shared" si="242"/>
        <v>2.466317842728675E-3</v>
      </c>
      <c r="BL915" s="58">
        <f t="shared" si="243"/>
        <v>99.838115979338298</v>
      </c>
      <c r="BM915" s="58">
        <f t="shared" si="243"/>
        <v>4.3516050189385505</v>
      </c>
    </row>
    <row r="916" spans="47:65" x14ac:dyDescent="0.2">
      <c r="AU916" s="2">
        <v>-721</v>
      </c>
      <c r="AV916" s="53">
        <v>914</v>
      </c>
      <c r="AW916" s="4" t="s">
        <v>3045</v>
      </c>
      <c r="AX916" t="s">
        <v>1205</v>
      </c>
      <c r="AY916" s="4">
        <v>94797</v>
      </c>
      <c r="AZ916" s="9">
        <v>24.324870352823719</v>
      </c>
      <c r="BA916" s="7">
        <f t="shared" si="238"/>
        <v>6.2345674113391215E-4</v>
      </c>
      <c r="BB916" s="54">
        <f t="shared" si="232"/>
        <v>581.51949472062665</v>
      </c>
      <c r="BC916" s="55">
        <f t="shared" si="233"/>
        <v>642.16435473916908</v>
      </c>
      <c r="BD916" s="55">
        <f t="shared" si="234"/>
        <v>25.340961993167685</v>
      </c>
      <c r="BE916" s="55">
        <f t="shared" si="235"/>
        <v>24.833686420103497</v>
      </c>
      <c r="BF916" s="56">
        <f t="shared" si="236"/>
        <v>0.30347715292737232</v>
      </c>
      <c r="BG916" s="56">
        <f t="shared" si="239"/>
        <v>1.7489187759151727E-4</v>
      </c>
      <c r="BH916" s="56">
        <f t="shared" si="240"/>
        <v>1.3224669280988362E-2</v>
      </c>
      <c r="BI916" s="56">
        <f t="shared" si="237"/>
        <v>1.2959937749095199E-2</v>
      </c>
      <c r="BJ916" s="57">
        <f t="shared" si="241"/>
        <v>9.1539380050747382E-2</v>
      </c>
      <c r="BK916" s="57">
        <f t="shared" si="242"/>
        <v>3.9890252550496006E-3</v>
      </c>
      <c r="BL916" s="58">
        <f t="shared" si="243"/>
        <v>161.51333731529033</v>
      </c>
      <c r="BM916" s="58">
        <f t="shared" si="243"/>
        <v>7.0382908560322708</v>
      </c>
    </row>
    <row r="917" spans="47:65" x14ac:dyDescent="0.2">
      <c r="AU917" s="2">
        <v>-720</v>
      </c>
      <c r="AV917" s="53">
        <v>915</v>
      </c>
      <c r="AW917" s="4" t="s">
        <v>2088</v>
      </c>
      <c r="AX917" t="s">
        <v>498</v>
      </c>
      <c r="AY917" s="4">
        <v>33837</v>
      </c>
      <c r="AZ917" s="9">
        <v>24.326677080888171</v>
      </c>
      <c r="BA917" s="7">
        <f t="shared" si="238"/>
        <v>6.23503048340275E-4</v>
      </c>
      <c r="BB917" s="54">
        <f t="shared" si="232"/>
        <v>582.20359715649147</v>
      </c>
      <c r="BC917" s="55">
        <f t="shared" si="233"/>
        <v>643.32612105138321</v>
      </c>
      <c r="BD917" s="55">
        <f t="shared" si="234"/>
        <v>25.363874330460305</v>
      </c>
      <c r="BE917" s="55">
        <f t="shared" si="235"/>
        <v>24.856140098051082</v>
      </c>
      <c r="BF917" s="56">
        <f t="shared" si="236"/>
        <v>0.30383416496468441</v>
      </c>
      <c r="BG917" s="56">
        <f t="shared" si="239"/>
        <v>1.7520828178020379E-4</v>
      </c>
      <c r="BH917" s="56">
        <f t="shared" si="240"/>
        <v>1.3236626525675029E-2</v>
      </c>
      <c r="BI917" s="56">
        <f t="shared" si="237"/>
        <v>1.2971655633565298E-2</v>
      </c>
      <c r="BJ917" s="57">
        <f t="shared" si="241"/>
        <v>3.2712657792697539E-2</v>
      </c>
      <c r="BK917" s="57">
        <f t="shared" si="242"/>
        <v>1.4251367482471229E-3</v>
      </c>
      <c r="BL917" s="58">
        <f t="shared" si="243"/>
        <v>57.718661953167555</v>
      </c>
      <c r="BM917" s="58">
        <f t="shared" si="243"/>
        <v>2.5145308195494409</v>
      </c>
    </row>
    <row r="918" spans="47:65" x14ac:dyDescent="0.2">
      <c r="AU918" s="2">
        <v>-719</v>
      </c>
      <c r="AV918" s="53">
        <v>916</v>
      </c>
      <c r="AW918" s="4" t="s">
        <v>1936</v>
      </c>
      <c r="AX918" t="s">
        <v>391</v>
      </c>
      <c r="AY918" s="4">
        <v>47325</v>
      </c>
      <c r="AZ918" s="9">
        <v>24.330443344634237</v>
      </c>
      <c r="BA918" s="7">
        <f t="shared" si="238"/>
        <v>6.2359957927702052E-4</v>
      </c>
      <c r="BB918" s="54">
        <f t="shared" si="232"/>
        <v>583.63225005181312</v>
      </c>
      <c r="BC918" s="55">
        <f t="shared" si="233"/>
        <v>645.75437197772374</v>
      </c>
      <c r="BD918" s="55">
        <f t="shared" si="234"/>
        <v>25.411697542228929</v>
      </c>
      <c r="BE918" s="55">
        <f t="shared" si="235"/>
        <v>24.903005984396849</v>
      </c>
      <c r="BF918" s="56">
        <f t="shared" si="236"/>
        <v>0.30457973500512125</v>
      </c>
      <c r="BG918" s="56">
        <f t="shared" si="239"/>
        <v>1.7586960992873064E-4</v>
      </c>
      <c r="BH918" s="56">
        <f t="shared" si="240"/>
        <v>1.3261583990184983E-2</v>
      </c>
      <c r="BI918" s="56">
        <f t="shared" si="237"/>
        <v>1.2996113499357771E-2</v>
      </c>
      <c r="BJ918" s="57">
        <f t="shared" si="241"/>
        <v>4.5864746692242782E-2</v>
      </c>
      <c r="BK918" s="57">
        <f t="shared" si="242"/>
        <v>1.9969785266163863E-3</v>
      </c>
      <c r="BL918" s="58">
        <f t="shared" si="243"/>
        <v>80.924387944050466</v>
      </c>
      <c r="BM918" s="58">
        <f t="shared" si="243"/>
        <v>3.5234962941848162</v>
      </c>
    </row>
    <row r="919" spans="47:65" x14ac:dyDescent="0.2">
      <c r="AU919" s="2">
        <v>-718</v>
      </c>
      <c r="AV919" s="53">
        <v>917</v>
      </c>
      <c r="AW919" s="4" t="s">
        <v>2505</v>
      </c>
      <c r="AX919" t="s">
        <v>816</v>
      </c>
      <c r="AY919" s="4">
        <v>31817</v>
      </c>
      <c r="AZ919" s="9">
        <v>24.344756430404217</v>
      </c>
      <c r="BA919" s="7">
        <f t="shared" si="238"/>
        <v>6.2396642973419831E-4</v>
      </c>
      <c r="BB919" s="54">
        <f t="shared" si="232"/>
        <v>589.09367130309874</v>
      </c>
      <c r="BC919" s="55">
        <f t="shared" si="233"/>
        <v>655.06266511091758</v>
      </c>
      <c r="BD919" s="55">
        <f t="shared" si="234"/>
        <v>25.594192019106945</v>
      </c>
      <c r="BE919" s="55">
        <f t="shared" si="235"/>
        <v>25.081847285426043</v>
      </c>
      <c r="BF919" s="56">
        <f t="shared" si="236"/>
        <v>0.30742988291473444</v>
      </c>
      <c r="BG919" s="56">
        <f t="shared" si="239"/>
        <v>1.7840470059705247E-4</v>
      </c>
      <c r="BH919" s="56">
        <f t="shared" si="240"/>
        <v>1.3356822249212291E-2</v>
      </c>
      <c r="BI919" s="56">
        <f t="shared" si="237"/>
        <v>1.3089445278179681E-2</v>
      </c>
      <c r="BJ919" s="57">
        <f t="shared" si="241"/>
        <v>3.112380457768554E-2</v>
      </c>
      <c r="BK919" s="57">
        <f t="shared" si="242"/>
        <v>1.3522274462130408E-3</v>
      </c>
      <c r="BL919" s="58">
        <f t="shared" si="243"/>
        <v>54.915267554839197</v>
      </c>
      <c r="BM919" s="58">
        <f t="shared" si="243"/>
        <v>2.3858886473354186</v>
      </c>
    </row>
    <row r="920" spans="47:65" x14ac:dyDescent="0.2">
      <c r="AU920" s="2">
        <v>-717</v>
      </c>
      <c r="AV920" s="53">
        <v>918</v>
      </c>
      <c r="AW920" s="4" t="s">
        <v>3167</v>
      </c>
      <c r="AX920" t="s">
        <v>3168</v>
      </c>
      <c r="AY920" s="5">
        <v>54065.604999999989</v>
      </c>
      <c r="AZ920" s="9">
        <v>24.346448265202891</v>
      </c>
      <c r="BA920" s="7">
        <f t="shared" si="238"/>
        <v>6.2400979217744335E-4</v>
      </c>
      <c r="BB920" s="54">
        <f t="shared" si="232"/>
        <v>589.74259046435782</v>
      </c>
      <c r="BC920" s="55">
        <f t="shared" si="233"/>
        <v>656.17135597185484</v>
      </c>
      <c r="BD920" s="55">
        <f t="shared" si="234"/>
        <v>25.615841894652903</v>
      </c>
      <c r="BE920" s="55">
        <f t="shared" si="235"/>
        <v>25.10306377359597</v>
      </c>
      <c r="BF920" s="56">
        <f t="shared" si="236"/>
        <v>0.30776853388228875</v>
      </c>
      <c r="BG920" s="56">
        <f t="shared" si="239"/>
        <v>1.7870664981754997E-4</v>
      </c>
      <c r="BH920" s="56">
        <f t="shared" si="240"/>
        <v>1.3368120653912052E-2</v>
      </c>
      <c r="BI920" s="56">
        <f t="shared" si="237"/>
        <v>1.3100517511326825E-2</v>
      </c>
      <c r="BJ920" s="57">
        <f t="shared" si="241"/>
        <v>5.2945939005150287E-2</v>
      </c>
      <c r="BK920" s="57">
        <f t="shared" si="242"/>
        <v>2.2997403010218804E-3</v>
      </c>
      <c r="BL920" s="58">
        <f t="shared" si="243"/>
        <v>93.418540755605733</v>
      </c>
      <c r="BM920" s="58">
        <f t="shared" si="243"/>
        <v>4.057693320302115</v>
      </c>
    </row>
    <row r="921" spans="47:65" x14ac:dyDescent="0.2">
      <c r="AU921" s="2">
        <v>-716</v>
      </c>
      <c r="AV921" s="53">
        <v>919</v>
      </c>
      <c r="AW921" s="4" t="s">
        <v>1653</v>
      </c>
      <c r="AX921" t="s">
        <v>200</v>
      </c>
      <c r="AY921" s="4">
        <v>50894</v>
      </c>
      <c r="AZ921" s="9">
        <v>24.347124443993341</v>
      </c>
      <c r="BA921" s="7">
        <f t="shared" si="238"/>
        <v>6.2402712292654924E-4</v>
      </c>
      <c r="BB921" s="54">
        <f t="shared" si="232"/>
        <v>590.00214511480317</v>
      </c>
      <c r="BC921" s="55">
        <f t="shared" si="233"/>
        <v>656.61496964462697</v>
      </c>
      <c r="BD921" s="55">
        <f t="shared" si="234"/>
        <v>25.624499402810329</v>
      </c>
      <c r="BE921" s="55">
        <f t="shared" si="235"/>
        <v>25.111547975688179</v>
      </c>
      <c r="BF921" s="56">
        <f t="shared" si="236"/>
        <v>0.30790398747767328</v>
      </c>
      <c r="BG921" s="56">
        <f t="shared" si="239"/>
        <v>1.7882746690679602E-4</v>
      </c>
      <c r="BH921" s="56">
        <f t="shared" si="240"/>
        <v>1.3372638741355277E-2</v>
      </c>
      <c r="BI921" s="56">
        <f t="shared" si="237"/>
        <v>1.3104945155660687E-2</v>
      </c>
      <c r="BJ921" s="57">
        <f t="shared" si="241"/>
        <v>4.9861951373625715E-2</v>
      </c>
      <c r="BK921" s="57">
        <f t="shared" si="242"/>
        <v>2.1655642335806713E-3</v>
      </c>
      <c r="BL921" s="58">
        <f t="shared" si="243"/>
        <v>87.977110692058503</v>
      </c>
      <c r="BM921" s="58">
        <f t="shared" si="243"/>
        <v>3.8209512271367787</v>
      </c>
    </row>
    <row r="922" spans="47:65" x14ac:dyDescent="0.2">
      <c r="AU922" s="2">
        <v>-715</v>
      </c>
      <c r="AV922" s="53">
        <v>920</v>
      </c>
      <c r="AW922" s="4" t="s">
        <v>2870</v>
      </c>
      <c r="AX922" t="s">
        <v>1090</v>
      </c>
      <c r="AY922" s="4">
        <v>32940</v>
      </c>
      <c r="AZ922" s="9">
        <v>24.353106073624637</v>
      </c>
      <c r="BA922" s="7">
        <f t="shared" si="238"/>
        <v>6.241804346302708E-4</v>
      </c>
      <c r="BB922" s="54">
        <f t="shared" si="232"/>
        <v>592.30320505471775</v>
      </c>
      <c r="BC922" s="55">
        <f t="shared" si="233"/>
        <v>660.55177051340411</v>
      </c>
      <c r="BD922" s="55">
        <f t="shared" si="234"/>
        <v>25.701201732864636</v>
      </c>
      <c r="BE922" s="55">
        <f t="shared" si="235"/>
        <v>25.18671487790655</v>
      </c>
      <c r="BF922" s="56">
        <f t="shared" si="236"/>
        <v>0.30910483994370452</v>
      </c>
      <c r="BG922" s="56">
        <f t="shared" si="239"/>
        <v>1.7989964491007775E-4</v>
      </c>
      <c r="BH922" s="56">
        <f t="shared" si="240"/>
        <v>1.3412667330179994E-2</v>
      </c>
      <c r="BI922" s="56">
        <f t="shared" si="237"/>
        <v>1.3144172451884891E-2</v>
      </c>
      <c r="BJ922" s="57">
        <f t="shared" si="241"/>
        <v>3.2397893411097882E-2</v>
      </c>
      <c r="BK922" s="57">
        <f t="shared" si="242"/>
        <v>1.4058083548637637E-3</v>
      </c>
      <c r="BL922" s="58">
        <f t="shared" si="243"/>
        <v>57.163287362341613</v>
      </c>
      <c r="BM922" s="58">
        <f t="shared" si="243"/>
        <v>2.4804275372401392</v>
      </c>
    </row>
    <row r="923" spans="47:65" x14ac:dyDescent="0.2">
      <c r="AU923" s="2">
        <v>-714</v>
      </c>
      <c r="AV923" s="53">
        <v>921</v>
      </c>
      <c r="AW923" s="4" t="s">
        <v>1860</v>
      </c>
      <c r="AX923" t="s">
        <v>335</v>
      </c>
      <c r="AY923" s="4">
        <v>20242</v>
      </c>
      <c r="AZ923" s="9">
        <v>24.357206901829525</v>
      </c>
      <c r="BA923" s="7">
        <f t="shared" si="238"/>
        <v>6.2428554059595475E-4</v>
      </c>
      <c r="BB923" s="54">
        <f t="shared" si="232"/>
        <v>593.88592720897714</v>
      </c>
      <c r="BC923" s="55">
        <f t="shared" si="233"/>
        <v>663.26373826467386</v>
      </c>
      <c r="BD923" s="55">
        <f t="shared" si="234"/>
        <v>25.753907242682107</v>
      </c>
      <c r="BE923" s="55">
        <f t="shared" si="235"/>
        <v>25.238365328421086</v>
      </c>
      <c r="BF923" s="56">
        <f t="shared" si="236"/>
        <v>0.30993081399549549</v>
      </c>
      <c r="BG923" s="56">
        <f t="shared" si="239"/>
        <v>1.8063824263585854E-4</v>
      </c>
      <c r="BH923" s="56">
        <f t="shared" si="240"/>
        <v>1.3440172715998054E-2</v>
      </c>
      <c r="BI923" s="56">
        <f t="shared" si="237"/>
        <v>1.3171127234677031E-2</v>
      </c>
      <c r="BJ923" s="57">
        <f t="shared" si="241"/>
        <v>1.9962068868539413E-2</v>
      </c>
      <c r="BK923" s="57">
        <f t="shared" si="242"/>
        <v>8.6565659575145362E-4</v>
      </c>
      <c r="BL923" s="58">
        <f t="shared" si="243"/>
        <v>35.221348024075226</v>
      </c>
      <c r="BM923" s="58">
        <f t="shared" si="243"/>
        <v>1.5273763671034268</v>
      </c>
    </row>
    <row r="924" spans="47:65" x14ac:dyDescent="0.2">
      <c r="AU924" s="2">
        <v>-713</v>
      </c>
      <c r="AV924" s="53">
        <v>922</v>
      </c>
      <c r="AW924" s="4" t="s">
        <v>1530</v>
      </c>
      <c r="AX924" t="s">
        <v>123</v>
      </c>
      <c r="AY924" s="4">
        <v>37052</v>
      </c>
      <c r="AZ924" s="9">
        <v>24.36737493369759</v>
      </c>
      <c r="BA924" s="7">
        <f t="shared" si="238"/>
        <v>6.2454615156408162E-4</v>
      </c>
      <c r="BB924" s="54">
        <f t="shared" si="232"/>
        <v>597.82856720307427</v>
      </c>
      <c r="BC924" s="55">
        <f t="shared" si="233"/>
        <v>670.03402205623081</v>
      </c>
      <c r="BD924" s="55">
        <f t="shared" si="234"/>
        <v>25.885015396098005</v>
      </c>
      <c r="BE924" s="55">
        <f t="shared" si="235"/>
        <v>25.36684895780844</v>
      </c>
      <c r="BF924" s="56">
        <f t="shared" si="236"/>
        <v>0.31198835664245528</v>
      </c>
      <c r="BG924" s="56">
        <f t="shared" si="239"/>
        <v>1.8248211272205972E-4</v>
      </c>
      <c r="BH924" s="56">
        <f t="shared" si="240"/>
        <v>1.3508594032024935E-2</v>
      </c>
      <c r="BI924" s="56">
        <f t="shared" si="237"/>
        <v>1.323817889227079E-2</v>
      </c>
      <c r="BJ924" s="57">
        <f t="shared" si="241"/>
        <v>3.6782175654226298E-2</v>
      </c>
      <c r="BK924" s="57">
        <f t="shared" si="242"/>
        <v>1.5926090443721373E-3</v>
      </c>
      <c r="BL924" s="58">
        <f t="shared" si="243"/>
        <v>64.898975067756183</v>
      </c>
      <c r="BM924" s="58">
        <f t="shared" si="243"/>
        <v>2.8100212351499207</v>
      </c>
    </row>
    <row r="925" spans="47:65" x14ac:dyDescent="0.2">
      <c r="AU925" s="2">
        <v>-712</v>
      </c>
      <c r="AV925" s="53">
        <v>923</v>
      </c>
      <c r="AW925" s="4" t="s">
        <v>2714</v>
      </c>
      <c r="AX925" t="s">
        <v>975</v>
      </c>
      <c r="AY925" s="4">
        <v>10985</v>
      </c>
      <c r="AZ925" s="9">
        <v>24.378636362610347</v>
      </c>
      <c r="BA925" s="7">
        <f t="shared" si="238"/>
        <v>6.248347867620753E-4</v>
      </c>
      <c r="BB925" s="54">
        <f t="shared" si="232"/>
        <v>602.22572738273516</v>
      </c>
      <c r="BC925" s="55">
        <f t="shared" si="233"/>
        <v>677.60933044421313</v>
      </c>
      <c r="BD925" s="55">
        <f t="shared" si="234"/>
        <v>26.03093026467193</v>
      </c>
      <c r="BE925" s="55">
        <f t="shared" si="235"/>
        <v>25.509842901415336</v>
      </c>
      <c r="BF925" s="56">
        <f t="shared" si="236"/>
        <v>0.31428309940586069</v>
      </c>
      <c r="BG925" s="56">
        <f t="shared" si="239"/>
        <v>1.8454522927085855E-4</v>
      </c>
      <c r="BH925" s="56">
        <f t="shared" si="240"/>
        <v>1.35847425176504E-2</v>
      </c>
      <c r="BI925" s="56">
        <f t="shared" si="237"/>
        <v>1.331280303692238E-2</v>
      </c>
      <c r="BJ925" s="57">
        <f t="shared" si="241"/>
        <v>1.0985212460159263E-2</v>
      </c>
      <c r="BK925" s="57">
        <f t="shared" si="242"/>
        <v>4.7483075944924864E-4</v>
      </c>
      <c r="BL925" s="58">
        <f t="shared" si="243"/>
        <v>19.382459489830765</v>
      </c>
      <c r="BM925" s="58">
        <f t="shared" si="243"/>
        <v>0.83779790267408338</v>
      </c>
    </row>
    <row r="926" spans="47:65" x14ac:dyDescent="0.2">
      <c r="AU926" s="2">
        <v>-711</v>
      </c>
      <c r="AV926" s="53">
        <v>924</v>
      </c>
      <c r="AW926" s="4" t="s">
        <v>2418</v>
      </c>
      <c r="AX926" t="s">
        <v>748</v>
      </c>
      <c r="AY926" s="4">
        <v>14150</v>
      </c>
      <c r="AZ926" s="9">
        <v>24.381460042335117</v>
      </c>
      <c r="BA926" s="7">
        <f t="shared" si="238"/>
        <v>6.2490715887068989E-4</v>
      </c>
      <c r="BB926" s="54">
        <f t="shared" si="232"/>
        <v>603.33332955998674</v>
      </c>
      <c r="BC926" s="55">
        <f t="shared" si="233"/>
        <v>679.52153700547535</v>
      </c>
      <c r="BD926" s="55">
        <f t="shared" si="234"/>
        <v>26.067633897334744</v>
      </c>
      <c r="BE926" s="55">
        <f t="shared" si="235"/>
        <v>25.545811800475786</v>
      </c>
      <c r="BF926" s="56">
        <f t="shared" si="236"/>
        <v>0.31486112294312801</v>
      </c>
      <c r="BG926" s="56">
        <f t="shared" si="239"/>
        <v>1.8506601400979808E-4</v>
      </c>
      <c r="BH926" s="56">
        <f t="shared" si="240"/>
        <v>1.3603897015553965E-2</v>
      </c>
      <c r="BI926" s="56">
        <f t="shared" si="237"/>
        <v>1.3331574099938846E-2</v>
      </c>
      <c r="BJ926" s="57">
        <f t="shared" si="241"/>
        <v>1.4176298590152207E-2</v>
      </c>
      <c r="BK926" s="57">
        <f t="shared" si="242"/>
        <v>6.1250148725731273E-4</v>
      </c>
      <c r="BL926" s="58">
        <f t="shared" si="243"/>
        <v>25.012855612570146</v>
      </c>
      <c r="BM926" s="58">
        <f t="shared" si="243"/>
        <v>1.0807060225081746</v>
      </c>
    </row>
    <row r="927" spans="47:65" x14ac:dyDescent="0.2">
      <c r="AU927" s="2">
        <v>-710</v>
      </c>
      <c r="AV927" s="53">
        <v>925</v>
      </c>
      <c r="AW927" s="4" t="s">
        <v>2296</v>
      </c>
      <c r="AX927" t="s">
        <v>650</v>
      </c>
      <c r="AY927" s="4">
        <v>47880</v>
      </c>
      <c r="AZ927" s="9">
        <v>24.385173941093761</v>
      </c>
      <c r="BA927" s="7">
        <f t="shared" si="238"/>
        <v>6.2500234767060459E-4</v>
      </c>
      <c r="BB927" s="54">
        <f t="shared" si="232"/>
        <v>604.79322702057357</v>
      </c>
      <c r="BC927" s="55">
        <f t="shared" si="233"/>
        <v>682.04444713688417</v>
      </c>
      <c r="BD927" s="55">
        <f t="shared" si="234"/>
        <v>26.115980684953882</v>
      </c>
      <c r="BE927" s="55">
        <f t="shared" si="235"/>
        <v>25.593190781726644</v>
      </c>
      <c r="BF927" s="56">
        <f t="shared" si="236"/>
        <v>0.31562299856196274</v>
      </c>
      <c r="BG927" s="56">
        <f t="shared" si="239"/>
        <v>1.8575312235928845E-4</v>
      </c>
      <c r="BH927" s="56">
        <f t="shared" si="240"/>
        <v>1.3629127718210305E-2</v>
      </c>
      <c r="BI927" s="56">
        <f t="shared" si="237"/>
        <v>1.3356299734194379E-2</v>
      </c>
      <c r="BJ927" s="57">
        <f t="shared" si="241"/>
        <v>4.8085059236318492E-2</v>
      </c>
      <c r="BK927" s="57">
        <f t="shared" si="242"/>
        <v>2.0763930913001378E-3</v>
      </c>
      <c r="BL927" s="58">
        <f t="shared" si="243"/>
        <v>84.841937840913062</v>
      </c>
      <c r="BM927" s="58">
        <f t="shared" si="243"/>
        <v>3.6636164410156442</v>
      </c>
    </row>
    <row r="928" spans="47:65" x14ac:dyDescent="0.2">
      <c r="AU928" s="2">
        <v>-709</v>
      </c>
      <c r="AV928" s="53">
        <v>926</v>
      </c>
      <c r="AW928" s="4" t="s">
        <v>1636</v>
      </c>
      <c r="AX928" t="s">
        <v>187</v>
      </c>
      <c r="AY928" s="4">
        <v>16671</v>
      </c>
      <c r="AZ928" s="9">
        <v>24.388155713614434</v>
      </c>
      <c r="BA928" s="7">
        <f t="shared" si="238"/>
        <v>6.2507877176461114E-4</v>
      </c>
      <c r="BB928" s="54">
        <f t="shared" si="232"/>
        <v>605.96788920312576</v>
      </c>
      <c r="BC928" s="55">
        <f t="shared" si="233"/>
        <v>684.07648046427846</v>
      </c>
      <c r="BD928" s="55">
        <f t="shared" si="234"/>
        <v>26.154855772194164</v>
      </c>
      <c r="BE928" s="55">
        <f t="shared" si="235"/>
        <v>25.631287667170046</v>
      </c>
      <c r="BF928" s="56">
        <f t="shared" si="236"/>
        <v>0.31623601865509632</v>
      </c>
      <c r="BG928" s="56">
        <f t="shared" si="239"/>
        <v>1.8630654162232762E-4</v>
      </c>
      <c r="BH928" s="56">
        <f t="shared" si="240"/>
        <v>1.3649415431524078E-2</v>
      </c>
      <c r="BI928" s="56">
        <f t="shared" si="237"/>
        <v>1.3376181327906213E-2</v>
      </c>
      <c r="BJ928" s="57">
        <f t="shared" si="241"/>
        <v>1.677491612435451E-2</v>
      </c>
      <c r="BK928" s="57">
        <f t="shared" si="242"/>
        <v>7.2404086031708755E-4</v>
      </c>
      <c r="BL928" s="58">
        <f t="shared" si="243"/>
        <v>29.597892021188667</v>
      </c>
      <c r="BM928" s="58">
        <f t="shared" si="243"/>
        <v>1.2775076217210191</v>
      </c>
    </row>
    <row r="929" spans="47:65" x14ac:dyDescent="0.2">
      <c r="AU929" s="2">
        <v>-708</v>
      </c>
      <c r="AV929" s="53">
        <v>927</v>
      </c>
      <c r="AW929" s="4" t="s">
        <v>2540</v>
      </c>
      <c r="AX929" t="s">
        <v>847</v>
      </c>
      <c r="AY929" s="4">
        <v>103624</v>
      </c>
      <c r="AZ929" s="9">
        <v>24.389296364921243</v>
      </c>
      <c r="BA929" s="7">
        <f t="shared" si="238"/>
        <v>6.251080071412523E-4</v>
      </c>
      <c r="BB929" s="54">
        <f t="shared" si="232"/>
        <v>606.41784919403347</v>
      </c>
      <c r="BC929" s="55">
        <f t="shared" si="233"/>
        <v>684.85534419634621</v>
      </c>
      <c r="BD929" s="55">
        <f t="shared" si="234"/>
        <v>26.169741003616107</v>
      </c>
      <c r="BE929" s="55">
        <f t="shared" si="235"/>
        <v>25.645874925914324</v>
      </c>
      <c r="BF929" s="56">
        <f t="shared" si="236"/>
        <v>0.31647083894609496</v>
      </c>
      <c r="BG929" s="56">
        <f t="shared" si="239"/>
        <v>1.8651866323805927E-4</v>
      </c>
      <c r="BH929" s="56">
        <f t="shared" si="240"/>
        <v>1.3657183576347624E-2</v>
      </c>
      <c r="BI929" s="56">
        <f t="shared" si="237"/>
        <v>1.3383793969946635E-2</v>
      </c>
      <c r="BJ929" s="57">
        <f t="shared" si="241"/>
        <v>0.10434734970806805</v>
      </c>
      <c r="BK929" s="57">
        <f t="shared" si="242"/>
        <v>4.5030718009098081E-3</v>
      </c>
      <c r="BL929" s="58">
        <f t="shared" si="243"/>
        <v>184.11189459675782</v>
      </c>
      <c r="BM929" s="58">
        <f t="shared" si="243"/>
        <v>7.9452816299620501</v>
      </c>
    </row>
    <row r="930" spans="47:65" x14ac:dyDescent="0.2">
      <c r="AU930" s="2">
        <v>-707</v>
      </c>
      <c r="AV930" s="53">
        <v>928</v>
      </c>
      <c r="AW930" s="4" t="s">
        <v>2715</v>
      </c>
      <c r="AX930" t="s">
        <v>976</v>
      </c>
      <c r="AY930" s="4">
        <v>70047</v>
      </c>
      <c r="AZ930" s="9">
        <v>24.393097128797052</v>
      </c>
      <c r="BA930" s="7">
        <f t="shared" si="238"/>
        <v>6.2520542233095167E-4</v>
      </c>
      <c r="BB930" s="54">
        <f t="shared" si="232"/>
        <v>607.91957381940767</v>
      </c>
      <c r="BC930" s="55">
        <f t="shared" si="233"/>
        <v>687.45670887729864</v>
      </c>
      <c r="BD930" s="55">
        <f t="shared" si="234"/>
        <v>26.219395661938865</v>
      </c>
      <c r="BE930" s="55">
        <f t="shared" si="235"/>
        <v>25.694535596902949</v>
      </c>
      <c r="BF930" s="56">
        <f t="shared" si="236"/>
        <v>0.31725454287679195</v>
      </c>
      <c r="BG930" s="56">
        <f t="shared" si="239"/>
        <v>1.8722713849051863E-4</v>
      </c>
      <c r="BH930" s="56">
        <f t="shared" si="240"/>
        <v>1.3683096816529459E-2</v>
      </c>
      <c r="BI930" s="56">
        <f t="shared" si="237"/>
        <v>1.3409188478686201E-2</v>
      </c>
      <c r="BJ930" s="57">
        <f t="shared" si="241"/>
        <v>7.0710638959700214E-2</v>
      </c>
      <c r="BK930" s="57">
        <f t="shared" si="242"/>
        <v>3.0497294382951963E-3</v>
      </c>
      <c r="BL930" s="58">
        <f t="shared" si="243"/>
        <v>124.76282093833696</v>
      </c>
      <c r="BM930" s="58">
        <f t="shared" si="243"/>
        <v>5.3809844376777738</v>
      </c>
    </row>
    <row r="931" spans="47:65" x14ac:dyDescent="0.2">
      <c r="AU931" s="2">
        <v>-706</v>
      </c>
      <c r="AV931" s="53">
        <v>929</v>
      </c>
      <c r="AW931" s="4" t="s">
        <v>2166</v>
      </c>
      <c r="AX931" t="s">
        <v>562</v>
      </c>
      <c r="AY931" s="4">
        <v>19824</v>
      </c>
      <c r="AZ931" s="9">
        <v>24.401714936365682</v>
      </c>
      <c r="BA931" s="7">
        <f t="shared" si="238"/>
        <v>6.2542630039297319E-4</v>
      </c>
      <c r="BB931" s="54">
        <f t="shared" si="232"/>
        <v>611.3383576549254</v>
      </c>
      <c r="BC931" s="55">
        <f t="shared" si="233"/>
        <v>693.38998717181175</v>
      </c>
      <c r="BD931" s="55">
        <f t="shared" si="234"/>
        <v>26.332299314184695</v>
      </c>
      <c r="BE931" s="55">
        <f t="shared" si="235"/>
        <v>25.805179142965379</v>
      </c>
      <c r="BF931" s="56">
        <f t="shared" si="236"/>
        <v>0.31903870109383597</v>
      </c>
      <c r="BG931" s="56">
        <f t="shared" si="239"/>
        <v>1.8884305219476604E-4</v>
      </c>
      <c r="BH931" s="56">
        <f t="shared" si="240"/>
        <v>1.3742017762860229E-2</v>
      </c>
      <c r="BI931" s="56">
        <f t="shared" si="237"/>
        <v>1.3466929945057864E-2</v>
      </c>
      <c r="BJ931" s="57">
        <f t="shared" si="241"/>
        <v>2.012435777348686E-2</v>
      </c>
      <c r="BK931" s="57">
        <f t="shared" si="242"/>
        <v>8.6682048617064739E-4</v>
      </c>
      <c r="BL931" s="58">
        <f t="shared" si="243"/>
        <v>35.50769279320928</v>
      </c>
      <c r="BM931" s="58">
        <f t="shared" si="243"/>
        <v>1.5294299513178826</v>
      </c>
    </row>
    <row r="932" spans="47:65" x14ac:dyDescent="0.2">
      <c r="AU932" s="2">
        <v>-705</v>
      </c>
      <c r="AV932" s="53">
        <v>930</v>
      </c>
      <c r="AW932" s="4" t="s">
        <v>1458</v>
      </c>
      <c r="AX932" t="s">
        <v>58</v>
      </c>
      <c r="AY932" s="4">
        <v>66608</v>
      </c>
      <c r="AZ932" s="9">
        <v>24.405225619554876</v>
      </c>
      <c r="BA932" s="7">
        <f t="shared" si="238"/>
        <v>6.2551628069167737E-4</v>
      </c>
      <c r="BB932" s="54">
        <f t="shared" si="232"/>
        <v>612.73659210945061</v>
      </c>
      <c r="BC932" s="55">
        <f t="shared" si="233"/>
        <v>695.82103974171207</v>
      </c>
      <c r="BD932" s="55">
        <f t="shared" si="234"/>
        <v>26.37841996294911</v>
      </c>
      <c r="BE932" s="55">
        <f t="shared" si="235"/>
        <v>25.850376548226315</v>
      </c>
      <c r="BF932" s="56">
        <f t="shared" si="236"/>
        <v>0.31976839668484625</v>
      </c>
      <c r="BG932" s="56">
        <f t="shared" si="239"/>
        <v>1.8950514336401467E-4</v>
      </c>
      <c r="BH932" s="56">
        <f t="shared" si="240"/>
        <v>1.376608671206217E-2</v>
      </c>
      <c r="BI932" s="56">
        <f t="shared" si="237"/>
        <v>1.3490517081848627E-2</v>
      </c>
      <c r="BJ932" s="57">
        <f t="shared" si="241"/>
        <v>6.7771844403283044E-2</v>
      </c>
      <c r="BK932" s="57">
        <f t="shared" si="242"/>
        <v>2.9175900319238527E-3</v>
      </c>
      <c r="BL932" s="58">
        <f t="shared" si="243"/>
        <v>119.57757152734243</v>
      </c>
      <c r="BM932" s="58">
        <f t="shared" si="243"/>
        <v>5.1478358572300431</v>
      </c>
    </row>
    <row r="933" spans="47:65" x14ac:dyDescent="0.2">
      <c r="AU933" s="2">
        <v>-704</v>
      </c>
      <c r="AV933" s="53">
        <v>931</v>
      </c>
      <c r="AW933" s="4" t="s">
        <v>2756</v>
      </c>
      <c r="AX933" t="s">
        <v>1007</v>
      </c>
      <c r="AY933" s="4">
        <v>27654</v>
      </c>
      <c r="AZ933" s="9">
        <v>24.40565844538342</v>
      </c>
      <c r="BA933" s="7">
        <f t="shared" si="238"/>
        <v>6.2552737420118552E-4</v>
      </c>
      <c r="BB933" s="54">
        <f t="shared" si="232"/>
        <v>612.90919923825493</v>
      </c>
      <c r="BC933" s="55">
        <f t="shared" si="233"/>
        <v>696.12132237103879</v>
      </c>
      <c r="BD933" s="55">
        <f t="shared" si="234"/>
        <v>26.384111172655388</v>
      </c>
      <c r="BE933" s="55">
        <f t="shared" si="235"/>
        <v>25.855953831252698</v>
      </c>
      <c r="BF933" s="56">
        <f t="shared" si="236"/>
        <v>0.31985847504077453</v>
      </c>
      <c r="BG933" s="56">
        <f t="shared" si="239"/>
        <v>1.8958692459722731E-4</v>
      </c>
      <c r="BH933" s="56">
        <f t="shared" si="240"/>
        <v>1.3769056779504808E-2</v>
      </c>
      <c r="BI933" s="56">
        <f t="shared" si="237"/>
        <v>1.3493427694458241E-2</v>
      </c>
      <c r="BJ933" s="57">
        <f t="shared" si="241"/>
        <v>2.8145125726277774E-2</v>
      </c>
      <c r="BK933" s="57">
        <f t="shared" si="242"/>
        <v>1.2115728187037061E-3</v>
      </c>
      <c r="BL933" s="58">
        <f t="shared" si="243"/>
        <v>49.659645746884678</v>
      </c>
      <c r="BM933" s="58">
        <f t="shared" si="243"/>
        <v>2.1377156939542887</v>
      </c>
    </row>
    <row r="934" spans="47:65" x14ac:dyDescent="0.2">
      <c r="AU934" s="2">
        <v>-703</v>
      </c>
      <c r="AV934" s="53">
        <v>932</v>
      </c>
      <c r="AW934" s="4" t="s">
        <v>2153</v>
      </c>
      <c r="AX934" t="s">
        <v>551</v>
      </c>
      <c r="AY934" s="4">
        <v>45492</v>
      </c>
      <c r="AZ934" s="9">
        <v>24.406502082442472</v>
      </c>
      <c r="BA934" s="7">
        <f t="shared" si="238"/>
        <v>6.2554899697671968E-4</v>
      </c>
      <c r="BB934" s="54">
        <f t="shared" si="232"/>
        <v>613.24577404170407</v>
      </c>
      <c r="BC934" s="55">
        <f t="shared" si="233"/>
        <v>696.70696991228806</v>
      </c>
      <c r="BD934" s="55">
        <f t="shared" si="234"/>
        <v>26.395207328458099</v>
      </c>
      <c r="BE934" s="55">
        <f t="shared" si="235"/>
        <v>25.866827864122779</v>
      </c>
      <c r="BF934" s="56">
        <f t="shared" si="236"/>
        <v>0.32003412308701407</v>
      </c>
      <c r="BG934" s="56">
        <f t="shared" si="239"/>
        <v>1.8974642426009694E-4</v>
      </c>
      <c r="BH934" s="56">
        <f t="shared" si="240"/>
        <v>1.377484752220862E-2</v>
      </c>
      <c r="BI934" s="56">
        <f t="shared" si="237"/>
        <v>1.3499102518029845E-2</v>
      </c>
      <c r="BJ934" s="57">
        <f t="shared" si="241"/>
        <v>4.6325347877461134E-2</v>
      </c>
      <c r="BK934" s="57">
        <f t="shared" si="242"/>
        <v>1.9939267640275912E-3</v>
      </c>
      <c r="BL934" s="58">
        <f t="shared" si="243"/>
        <v>81.737078990840942</v>
      </c>
      <c r="BM934" s="58">
        <f t="shared" si="243"/>
        <v>3.5181117224285186</v>
      </c>
    </row>
    <row r="935" spans="47:65" x14ac:dyDescent="0.2">
      <c r="AU935" s="2">
        <v>-702</v>
      </c>
      <c r="AV935" s="53">
        <v>933</v>
      </c>
      <c r="AW935" s="4" t="s">
        <v>2829</v>
      </c>
      <c r="AX935" t="s">
        <v>1061</v>
      </c>
      <c r="AY935" s="4">
        <v>14361</v>
      </c>
      <c r="AZ935" s="9">
        <v>24.407366839060089</v>
      </c>
      <c r="BA935" s="7">
        <f t="shared" si="238"/>
        <v>6.2557116105549479E-4</v>
      </c>
      <c r="BB935" s="54">
        <f t="shared" si="232"/>
        <v>613.59096648083801</v>
      </c>
      <c r="BC935" s="55">
        <f t="shared" si="233"/>
        <v>697.30776640065653</v>
      </c>
      <c r="BD935" s="55">
        <f t="shared" si="234"/>
        <v>26.406585663441167</v>
      </c>
      <c r="BE935" s="55">
        <f t="shared" si="235"/>
        <v>25.877978427508204</v>
      </c>
      <c r="BF935" s="56">
        <f t="shared" si="236"/>
        <v>0.32021426841247846</v>
      </c>
      <c r="BG935" s="56">
        <f t="shared" si="239"/>
        <v>1.899100497013571E-4</v>
      </c>
      <c r="BH935" s="56">
        <f t="shared" si="240"/>
        <v>1.3780785525555396E-2</v>
      </c>
      <c r="BI935" s="56">
        <f t="shared" si="237"/>
        <v>1.3504921654379725E-2</v>
      </c>
      <c r="BJ935" s="57">
        <f t="shared" si="241"/>
        <v>1.4632304627668808E-2</v>
      </c>
      <c r="BK935" s="57">
        <f t="shared" si="242"/>
        <v>6.2971788489684202E-4</v>
      </c>
      <c r="BL935" s="58">
        <f t="shared" si="243"/>
        <v>25.817438917748714</v>
      </c>
      <c r="BM935" s="58">
        <f t="shared" si="243"/>
        <v>1.1110828705681672</v>
      </c>
    </row>
    <row r="936" spans="47:65" x14ac:dyDescent="0.2">
      <c r="AU936" s="2">
        <v>-701</v>
      </c>
      <c r="AV936" s="53">
        <v>934</v>
      </c>
      <c r="AW936" s="4" t="s">
        <v>2551</v>
      </c>
      <c r="AX936" t="s">
        <v>856</v>
      </c>
      <c r="AY936" s="4">
        <v>27180</v>
      </c>
      <c r="AZ936" s="9">
        <v>24.422224266333725</v>
      </c>
      <c r="BA936" s="7">
        <f t="shared" si="238"/>
        <v>6.2595196321621742E-4</v>
      </c>
      <c r="BB936" s="54">
        <f t="shared" si="232"/>
        <v>619.55217787497713</v>
      </c>
      <c r="BC936" s="55">
        <f t="shared" si="233"/>
        <v>707.70760225725292</v>
      </c>
      <c r="BD936" s="55">
        <f t="shared" si="234"/>
        <v>26.602774333840689</v>
      </c>
      <c r="BE936" s="55">
        <f t="shared" si="235"/>
        <v>26.070239791587134</v>
      </c>
      <c r="BF936" s="56">
        <f t="shared" si="236"/>
        <v>0.32332524143800123</v>
      </c>
      <c r="BG936" s="56">
        <f t="shared" si="239"/>
        <v>1.9274241933723354E-4</v>
      </c>
      <c r="BH936" s="56">
        <f t="shared" si="240"/>
        <v>1.3883170363329608E-2</v>
      </c>
      <c r="BI936" s="56">
        <f t="shared" si="237"/>
        <v>1.3605256951679941E-2</v>
      </c>
      <c r="BJ936" s="57">
        <f t="shared" si="241"/>
        <v>2.7962528200340106E-2</v>
      </c>
      <c r="BK936" s="57">
        <f t="shared" si="242"/>
        <v>1.2006750263856849E-3</v>
      </c>
      <c r="BL936" s="58">
        <f t="shared" si="243"/>
        <v>49.337468168411263</v>
      </c>
      <c r="BM936" s="58">
        <f t="shared" si="243"/>
        <v>2.1184874797619182</v>
      </c>
    </row>
    <row r="937" spans="47:65" x14ac:dyDescent="0.2">
      <c r="AU937" s="2">
        <v>-700</v>
      </c>
      <c r="AV937" s="53">
        <v>935</v>
      </c>
      <c r="AW937" s="4" t="s">
        <v>1624</v>
      </c>
      <c r="AX937" t="s">
        <v>180</v>
      </c>
      <c r="AY937" s="4">
        <v>41676</v>
      </c>
      <c r="AZ937" s="9">
        <v>24.428137440391822</v>
      </c>
      <c r="BA937" s="7">
        <f t="shared" si="238"/>
        <v>6.2610352037457213E-4</v>
      </c>
      <c r="BB937" s="54">
        <f t="shared" si="232"/>
        <v>621.94078888907643</v>
      </c>
      <c r="BC937" s="55">
        <f t="shared" si="233"/>
        <v>711.88770086261411</v>
      </c>
      <c r="BD937" s="55">
        <f t="shared" si="234"/>
        <v>26.681223751219022</v>
      </c>
      <c r="BE937" s="55">
        <f t="shared" si="235"/>
        <v>26.147118807921974</v>
      </c>
      <c r="BF937" s="56">
        <f t="shared" si="236"/>
        <v>0.32457178411901316</v>
      </c>
      <c r="BG937" s="56">
        <f t="shared" si="239"/>
        <v>1.9388085887878459E-4</v>
      </c>
      <c r="BH937" s="56">
        <f t="shared" si="240"/>
        <v>1.3924110703337021E-2</v>
      </c>
      <c r="BI937" s="56">
        <f t="shared" si="237"/>
        <v>1.3645377747644618E-2</v>
      </c>
      <c r="BJ937" s="57">
        <f t="shared" si="241"/>
        <v>4.3041179505037698E-2</v>
      </c>
      <c r="BK937" s="57">
        <f t="shared" si="242"/>
        <v>1.8464641030244077E-3</v>
      </c>
      <c r="BL937" s="58">
        <f t="shared" si="243"/>
        <v>75.942447283248299</v>
      </c>
      <c r="BM937" s="58">
        <f t="shared" si="243"/>
        <v>3.257926581401632</v>
      </c>
    </row>
    <row r="938" spans="47:65" x14ac:dyDescent="0.2">
      <c r="AU938" s="2">
        <v>-699</v>
      </c>
      <c r="AV938" s="53">
        <v>936</v>
      </c>
      <c r="AW938" s="4" t="s">
        <v>2135</v>
      </c>
      <c r="AX938" t="s">
        <v>535</v>
      </c>
      <c r="AY938" s="4">
        <v>30366</v>
      </c>
      <c r="AZ938" s="9">
        <v>24.429904549093013</v>
      </c>
      <c r="BA938" s="7">
        <f t="shared" si="238"/>
        <v>6.2614881211985561E-4</v>
      </c>
      <c r="BB938" s="54">
        <f t="shared" si="232"/>
        <v>622.65639354839561</v>
      </c>
      <c r="BC938" s="55">
        <f t="shared" si="233"/>
        <v>713.14145586175755</v>
      </c>
      <c r="BD938" s="55">
        <f t="shared" si="234"/>
        <v>26.704708496101535</v>
      </c>
      <c r="BE938" s="55">
        <f t="shared" si="235"/>
        <v>26.170133434999894</v>
      </c>
      <c r="BF938" s="56">
        <f t="shared" si="236"/>
        <v>0.32494523619861371</v>
      </c>
      <c r="BG938" s="56">
        <f t="shared" si="239"/>
        <v>1.9422231595938786E-4</v>
      </c>
      <c r="BH938" s="56">
        <f t="shared" si="240"/>
        <v>1.3936366669953393E-2</v>
      </c>
      <c r="BI938" s="56">
        <f t="shared" si="237"/>
        <v>1.3657388374226526E-2</v>
      </c>
      <c r="BJ938" s="57">
        <f t="shared" si="241"/>
        <v>3.1396781766528208E-2</v>
      </c>
      <c r="BK938" s="57">
        <f t="shared" si="242"/>
        <v>1.346556324609109E-3</v>
      </c>
      <c r="BL938" s="58">
        <f t="shared" si="243"/>
        <v>55.39691224979434</v>
      </c>
      <c r="BM938" s="58">
        <f t="shared" si="243"/>
        <v>2.3758824426171423</v>
      </c>
    </row>
    <row r="939" spans="47:65" x14ac:dyDescent="0.2">
      <c r="AU939" s="2">
        <v>-698</v>
      </c>
      <c r="AV939" s="53">
        <v>937</v>
      </c>
      <c r="AW939" s="4" t="s">
        <v>1422</v>
      </c>
      <c r="AX939" t="s">
        <v>33</v>
      </c>
      <c r="AY939" s="4">
        <v>9957</v>
      </c>
      <c r="AZ939" s="9">
        <v>24.439109526553889</v>
      </c>
      <c r="BA939" s="7">
        <f t="shared" si="238"/>
        <v>6.2638473959518133E-4</v>
      </c>
      <c r="BB939" s="54">
        <f t="shared" si="232"/>
        <v>626.39736001311644</v>
      </c>
      <c r="BC939" s="55">
        <f t="shared" si="233"/>
        <v>719.70646992323964</v>
      </c>
      <c r="BD939" s="55">
        <f t="shared" si="234"/>
        <v>26.827345562377946</v>
      </c>
      <c r="BE939" s="55">
        <f t="shared" si="235"/>
        <v>26.290315551535603</v>
      </c>
      <c r="BF939" s="56">
        <f t="shared" si="236"/>
        <v>0.3268975316284613</v>
      </c>
      <c r="BG939" s="56">
        <f t="shared" si="239"/>
        <v>1.9601028134107946E-4</v>
      </c>
      <c r="BH939" s="56">
        <f t="shared" si="240"/>
        <v>1.4000367185937642E-2</v>
      </c>
      <c r="BI939" s="56">
        <f t="shared" si="237"/>
        <v>1.3720107727387078E-2</v>
      </c>
      <c r="BJ939" s="57">
        <f t="shared" si="241"/>
        <v>1.0356846046592927E-2</v>
      </c>
      <c r="BK939" s="57">
        <f t="shared" si="242"/>
        <v>4.4356299302170452E-4</v>
      </c>
      <c r="BL939" s="58">
        <f t="shared" si="243"/>
        <v>18.27376117380901</v>
      </c>
      <c r="BM939" s="58">
        <f t="shared" si="243"/>
        <v>0.78262862685740264</v>
      </c>
    </row>
    <row r="940" spans="47:65" x14ac:dyDescent="0.2">
      <c r="AU940" s="2">
        <v>-697</v>
      </c>
      <c r="AV940" s="53">
        <v>938</v>
      </c>
      <c r="AW940" s="4" t="s">
        <v>2102</v>
      </c>
      <c r="AX940" t="s">
        <v>510</v>
      </c>
      <c r="AY940" s="4">
        <v>35728</v>
      </c>
      <c r="AZ940" s="9">
        <v>24.456739591766809</v>
      </c>
      <c r="BA940" s="7">
        <f t="shared" si="238"/>
        <v>6.2683660564191441E-4</v>
      </c>
      <c r="BB940" s="54">
        <f t="shared" si="232"/>
        <v>633.62520857243089</v>
      </c>
      <c r="BC940" s="55">
        <f t="shared" si="233"/>
        <v>732.44149726909393</v>
      </c>
      <c r="BD940" s="55">
        <f t="shared" si="234"/>
        <v>27.063656391350634</v>
      </c>
      <c r="BE940" s="55">
        <f t="shared" si="235"/>
        <v>26.521895908507236</v>
      </c>
      <c r="BF940" s="56">
        <f t="shared" si="236"/>
        <v>0.33066952366395591</v>
      </c>
      <c r="BG940" s="56">
        <f t="shared" si="239"/>
        <v>1.994786346173897E-4</v>
      </c>
      <c r="BH940" s="56">
        <f t="shared" si="240"/>
        <v>1.4123690545228952E-2</v>
      </c>
      <c r="BI940" s="56">
        <f t="shared" si="237"/>
        <v>1.384096239871881E-2</v>
      </c>
      <c r="BJ940" s="57">
        <f t="shared" si="241"/>
        <v>3.7591551250139833E-2</v>
      </c>
      <c r="BK940" s="57">
        <f t="shared" si="242"/>
        <v>1.6056255535410347E-3</v>
      </c>
      <c r="BL940" s="58">
        <f t="shared" si="243"/>
        <v>66.327048467041564</v>
      </c>
      <c r="BM940" s="58">
        <f t="shared" si="243"/>
        <v>2.8329877424050305</v>
      </c>
    </row>
    <row r="941" spans="47:65" x14ac:dyDescent="0.2">
      <c r="AU941" s="2">
        <v>-696</v>
      </c>
      <c r="AV941" s="53">
        <v>939</v>
      </c>
      <c r="AW941" s="4" t="s">
        <v>1391</v>
      </c>
      <c r="AX941" t="s">
        <v>14</v>
      </c>
      <c r="AY941" s="4">
        <v>51559</v>
      </c>
      <c r="AZ941" s="9">
        <v>24.459973189362824</v>
      </c>
      <c r="BA941" s="7">
        <f t="shared" si="238"/>
        <v>6.2691948411937835E-4</v>
      </c>
      <c r="BB941" s="54">
        <f t="shared" si="232"/>
        <v>634.95991955843988</v>
      </c>
      <c r="BC941" s="55">
        <f t="shared" si="233"/>
        <v>734.80047155793898</v>
      </c>
      <c r="BD941" s="55">
        <f t="shared" si="234"/>
        <v>27.107203314948205</v>
      </c>
      <c r="BE941" s="55">
        <f t="shared" si="235"/>
        <v>26.564571109451617</v>
      </c>
      <c r="BF941" s="56">
        <f t="shared" si="236"/>
        <v>0.33136606830896254</v>
      </c>
      <c r="BG941" s="56">
        <f t="shared" si="239"/>
        <v>2.0012109544463046E-4</v>
      </c>
      <c r="BH941" s="56">
        <f t="shared" si="240"/>
        <v>1.4146416346362441E-2</v>
      </c>
      <c r="BI941" s="56">
        <f t="shared" si="237"/>
        <v>1.3863233274589538E-2</v>
      </c>
      <c r="BJ941" s="57">
        <f t="shared" si="241"/>
        <v>5.4362559062905928E-2</v>
      </c>
      <c r="BK941" s="57">
        <f t="shared" si="242"/>
        <v>2.3208030866954808E-3</v>
      </c>
      <c r="BL941" s="58">
        <f t="shared" si="243"/>
        <v>95.918044609674311</v>
      </c>
      <c r="BM941" s="58">
        <f t="shared" si="243"/>
        <v>4.0948567881496567</v>
      </c>
    </row>
    <row r="942" spans="47:65" x14ac:dyDescent="0.2">
      <c r="AU942" s="2">
        <v>-695</v>
      </c>
      <c r="AV942" s="53">
        <v>940</v>
      </c>
      <c r="AW942" s="4" t="s">
        <v>1968</v>
      </c>
      <c r="AX942" t="s">
        <v>1301</v>
      </c>
      <c r="AY942" s="4">
        <v>28966</v>
      </c>
      <c r="AZ942" s="9">
        <v>24.462201193780132</v>
      </c>
      <c r="BA942" s="7">
        <f t="shared" si="238"/>
        <v>6.269765888172904E-4</v>
      </c>
      <c r="BB942" s="54">
        <f t="shared" si="232"/>
        <v>635.88119415797257</v>
      </c>
      <c r="BC942" s="55">
        <f t="shared" si="233"/>
        <v>736.43005746744211</v>
      </c>
      <c r="BD942" s="55">
        <f t="shared" si="234"/>
        <v>27.137244839287611</v>
      </c>
      <c r="BE942" s="55">
        <f t="shared" si="235"/>
        <v>26.594011262324575</v>
      </c>
      <c r="BF942" s="56">
        <f t="shared" si="236"/>
        <v>0.33184685320967333</v>
      </c>
      <c r="BG942" s="56">
        <f t="shared" si="239"/>
        <v>2.0056490914638529E-4</v>
      </c>
      <c r="BH942" s="56">
        <f t="shared" si="240"/>
        <v>1.4162094094673474E-2</v>
      </c>
      <c r="BI942" s="56">
        <f t="shared" si="237"/>
        <v>1.3878597185613692E-2</v>
      </c>
      <c r="BJ942" s="57">
        <f t="shared" si="241"/>
        <v>3.0585360392071572E-2</v>
      </c>
      <c r="BK942" s="57">
        <f t="shared" si="242"/>
        <v>1.3052790695542156E-3</v>
      </c>
      <c r="BL942" s="58">
        <f t="shared" si="243"/>
        <v>53.965229250796575</v>
      </c>
      <c r="BM942" s="58">
        <f t="shared" si="243"/>
        <v>2.3030522878200013</v>
      </c>
    </row>
    <row r="943" spans="47:65" x14ac:dyDescent="0.2">
      <c r="AU943" s="2">
        <v>-694</v>
      </c>
      <c r="AV943" s="53">
        <v>941</v>
      </c>
      <c r="AW943" s="4" t="s">
        <v>1668</v>
      </c>
      <c r="AX943" t="s">
        <v>211</v>
      </c>
      <c r="AY943" s="4">
        <v>42843</v>
      </c>
      <c r="AZ943" s="9">
        <v>24.470168809718295</v>
      </c>
      <c r="BA943" s="7">
        <f t="shared" si="238"/>
        <v>6.2718080219213528E-4</v>
      </c>
      <c r="BB943" s="54">
        <f t="shared" si="232"/>
        <v>639.18673653263772</v>
      </c>
      <c r="BC943" s="55">
        <f t="shared" si="233"/>
        <v>742.2858857621153</v>
      </c>
      <c r="BD943" s="55">
        <f t="shared" si="234"/>
        <v>27.244924036636903</v>
      </c>
      <c r="BE943" s="55">
        <f t="shared" si="235"/>
        <v>26.699534936668972</v>
      </c>
      <c r="BF943" s="56">
        <f t="shared" si="236"/>
        <v>0.33357191418845633</v>
      </c>
      <c r="BG943" s="56">
        <f t="shared" si="239"/>
        <v>2.0215972953426499E-4</v>
      </c>
      <c r="BH943" s="56">
        <f t="shared" si="240"/>
        <v>1.4218288558552502E-2</v>
      </c>
      <c r="BI943" s="56">
        <f t="shared" si="237"/>
        <v>1.3933666748280409E-2</v>
      </c>
      <c r="BJ943" s="57">
        <f t="shared" si="241"/>
        <v>4.5473326285011099E-2</v>
      </c>
      <c r="BK943" s="57">
        <f t="shared" si="242"/>
        <v>1.9382713212246596E-3</v>
      </c>
      <c r="BL943" s="58">
        <f t="shared" si="243"/>
        <v>80.233760410520617</v>
      </c>
      <c r="BM943" s="58">
        <f t="shared" si="243"/>
        <v>3.4199124960204048</v>
      </c>
    </row>
    <row r="944" spans="47:65" x14ac:dyDescent="0.2">
      <c r="AU944" s="2">
        <v>-693</v>
      </c>
      <c r="AV944" s="53">
        <v>942</v>
      </c>
      <c r="AW944" s="4" t="s">
        <v>2055</v>
      </c>
      <c r="AX944" t="s">
        <v>475</v>
      </c>
      <c r="AY944" s="4">
        <v>40394</v>
      </c>
      <c r="AZ944" s="9">
        <v>24.477928027051082</v>
      </c>
      <c r="BA944" s="7">
        <f t="shared" si="238"/>
        <v>6.2737967422236128E-4</v>
      </c>
      <c r="BB944" s="54">
        <f t="shared" si="232"/>
        <v>642.42233585447298</v>
      </c>
      <c r="BC944" s="55">
        <f t="shared" si="233"/>
        <v>748.03118139330491</v>
      </c>
      <c r="BD944" s="55">
        <f t="shared" si="234"/>
        <v>27.350158708740704</v>
      </c>
      <c r="BE944" s="55">
        <f t="shared" si="235"/>
        <v>26.802663020293139</v>
      </c>
      <c r="BF944" s="56">
        <f t="shared" si="236"/>
        <v>0.33526047403747056</v>
      </c>
      <c r="BG944" s="56">
        <f t="shared" si="239"/>
        <v>2.0372444662396369E-4</v>
      </c>
      <c r="BH944" s="56">
        <f t="shared" si="240"/>
        <v>1.4273207299831517E-2</v>
      </c>
      <c r="BI944" s="56">
        <f t="shared" si="237"/>
        <v>1.398748612577198E-2</v>
      </c>
      <c r="BJ944" s="57">
        <f t="shared" si="241"/>
        <v>4.3091001516446709E-2</v>
      </c>
      <c r="BK944" s="57">
        <f t="shared" si="242"/>
        <v>1.8345341757551089E-3</v>
      </c>
      <c r="BL944" s="58">
        <f t="shared" si="243"/>
        <v>76.030353923319154</v>
      </c>
      <c r="BM944" s="58">
        <f t="shared" si="243"/>
        <v>3.2368772541489794</v>
      </c>
    </row>
    <row r="945" spans="47:65" x14ac:dyDescent="0.2">
      <c r="AU945" s="2">
        <v>-692</v>
      </c>
      <c r="AV945" s="53">
        <v>943</v>
      </c>
      <c r="AW945" s="4" t="s">
        <v>2785</v>
      </c>
      <c r="AX945" t="s">
        <v>1030</v>
      </c>
      <c r="AY945" s="4">
        <v>65988</v>
      </c>
      <c r="AZ945" s="9">
        <v>24.479326844590133</v>
      </c>
      <c r="BA945" s="7">
        <f t="shared" si="238"/>
        <v>6.274155265089999E-4</v>
      </c>
      <c r="BB945" s="54">
        <f t="shared" si="232"/>
        <v>643.00738405863251</v>
      </c>
      <c r="BC945" s="55">
        <f t="shared" si="233"/>
        <v>749.07143071176176</v>
      </c>
      <c r="BD945" s="55">
        <f t="shared" si="234"/>
        <v>27.369169346397083</v>
      </c>
      <c r="BE945" s="55">
        <f t="shared" si="235"/>
        <v>26.821293102857961</v>
      </c>
      <c r="BF945" s="56">
        <f t="shared" si="236"/>
        <v>0.33556579271540926</v>
      </c>
      <c r="BG945" s="56">
        <f t="shared" si="239"/>
        <v>2.0400775595922802E-4</v>
      </c>
      <c r="BH945" s="56">
        <f t="shared" si="240"/>
        <v>1.4283128367386048E-2</v>
      </c>
      <c r="BI945" s="56">
        <f t="shared" si="237"/>
        <v>1.3997208593319514E-2</v>
      </c>
      <c r="BJ945" s="57">
        <f t="shared" si="241"/>
        <v>7.0457952858327413E-2</v>
      </c>
      <c r="BK945" s="57">
        <f t="shared" si="242"/>
        <v>2.9989945549432433E-3</v>
      </c>
      <c r="BL945" s="58">
        <f t="shared" si="243"/>
        <v>124.31697811633745</v>
      </c>
      <c r="BM945" s="58">
        <f t="shared" si="243"/>
        <v>5.2914671138338383</v>
      </c>
    </row>
    <row r="946" spans="47:65" x14ac:dyDescent="0.2">
      <c r="AU946" s="2">
        <v>-691</v>
      </c>
      <c r="AV946" s="53">
        <v>944</v>
      </c>
      <c r="AW946" s="4" t="s">
        <v>2595</v>
      </c>
      <c r="AX946" t="s">
        <v>892</v>
      </c>
      <c r="AY946" s="4">
        <v>27505</v>
      </c>
      <c r="AZ946" s="9">
        <v>24.488038859532313</v>
      </c>
      <c r="BA946" s="7">
        <f t="shared" si="238"/>
        <v>6.2763881914595042E-4</v>
      </c>
      <c r="BB946" s="54">
        <f t="shared" si="232"/>
        <v>646.66315198166569</v>
      </c>
      <c r="BC946" s="55">
        <f t="shared" si="233"/>
        <v>755.58132761589366</v>
      </c>
      <c r="BD946" s="55">
        <f t="shared" si="234"/>
        <v>27.487839631660645</v>
      </c>
      <c r="BE946" s="55">
        <f t="shared" si="235"/>
        <v>26.9375878454338</v>
      </c>
      <c r="BF946" s="56">
        <f t="shared" si="236"/>
        <v>0.33747362564468786</v>
      </c>
      <c r="BG946" s="56">
        <f t="shared" si="239"/>
        <v>2.0578071031909174E-4</v>
      </c>
      <c r="BH946" s="56">
        <f t="shared" si="240"/>
        <v>1.434505874226703E-2</v>
      </c>
      <c r="BI946" s="56">
        <f t="shared" si="237"/>
        <v>1.405789924547741E-2</v>
      </c>
      <c r="BJ946" s="57">
        <f t="shared" si="241"/>
        <v>2.9535128098060609E-2</v>
      </c>
      <c r="BK946" s="57">
        <f t="shared" si="242"/>
        <v>1.2554555832850166E-3</v>
      </c>
      <c r="BL946" s="58">
        <f t="shared" si="243"/>
        <v>52.112184990851098</v>
      </c>
      <c r="BM946" s="58">
        <f t="shared" si="243"/>
        <v>2.2151430454856125</v>
      </c>
    </row>
    <row r="947" spans="47:65" x14ac:dyDescent="0.2">
      <c r="AU947" s="2">
        <v>-690</v>
      </c>
      <c r="AV947" s="53">
        <v>945</v>
      </c>
      <c r="AW947" s="4" t="s">
        <v>1442</v>
      </c>
      <c r="AX947" t="s">
        <v>51</v>
      </c>
      <c r="AY947" s="4">
        <v>81186</v>
      </c>
      <c r="AZ947" s="9">
        <v>24.495641825061117</v>
      </c>
      <c r="BA947" s="7">
        <f t="shared" si="238"/>
        <v>6.2783368637618793E-4</v>
      </c>
      <c r="BB947" s="54">
        <f t="shared" si="232"/>
        <v>649.87051793653143</v>
      </c>
      <c r="BC947" s="55">
        <f t="shared" si="233"/>
        <v>761.30651757496662</v>
      </c>
      <c r="BD947" s="55">
        <f t="shared" si="234"/>
        <v>27.591783515658545</v>
      </c>
      <c r="BE947" s="55">
        <f t="shared" si="235"/>
        <v>27.039450979958346</v>
      </c>
      <c r="BF947" s="56">
        <f t="shared" si="236"/>
        <v>0.33914745136715369</v>
      </c>
      <c r="BG947" s="56">
        <f t="shared" si="239"/>
        <v>2.073399516786073E-4</v>
      </c>
      <c r="BH947" s="56">
        <f t="shared" si="240"/>
        <v>1.4399303860902697E-2</v>
      </c>
      <c r="BI947" s="56">
        <f t="shared" si="237"/>
        <v>1.4111058484908914E-2</v>
      </c>
      <c r="BJ947" s="57">
        <f t="shared" si="241"/>
        <v>8.7610684674119907E-2</v>
      </c>
      <c r="BK947" s="57">
        <f t="shared" si="242"/>
        <v>3.7197179722240504E-3</v>
      </c>
      <c r="BL947" s="58">
        <f t="shared" si="243"/>
        <v>154.58149332396678</v>
      </c>
      <c r="BM947" s="58">
        <f t="shared" si="243"/>
        <v>6.5631213935741055</v>
      </c>
    </row>
    <row r="948" spans="47:65" x14ac:dyDescent="0.2">
      <c r="AU948" s="2">
        <v>-689</v>
      </c>
      <c r="AV948" s="53">
        <v>946</v>
      </c>
      <c r="AW948" s="4" t="s">
        <v>1745</v>
      </c>
      <c r="AX948" t="s">
        <v>254</v>
      </c>
      <c r="AY948" s="4">
        <v>37779</v>
      </c>
      <c r="AZ948" s="9">
        <v>24.498688057275846</v>
      </c>
      <c r="BA948" s="7">
        <f t="shared" si="238"/>
        <v>6.2791176259948474E-4</v>
      </c>
      <c r="BB948" s="54">
        <f t="shared" si="232"/>
        <v>651.16005274268184</v>
      </c>
      <c r="BC948" s="55">
        <f t="shared" si="233"/>
        <v>763.611968551941</v>
      </c>
      <c r="BD948" s="55">
        <f t="shared" si="234"/>
        <v>27.633529788138556</v>
      </c>
      <c r="BE948" s="55">
        <f t="shared" si="235"/>
        <v>27.080361575233155</v>
      </c>
      <c r="BF948" s="56">
        <f t="shared" si="236"/>
        <v>0.33982041995225587</v>
      </c>
      <c r="BG948" s="56">
        <f t="shared" si="239"/>
        <v>2.079678355639041E-4</v>
      </c>
      <c r="BH948" s="56">
        <f t="shared" si="240"/>
        <v>1.4421089957555361E-2</v>
      </c>
      <c r="BI948" s="56">
        <f t="shared" si="237"/>
        <v>1.4132408467310379E-2</v>
      </c>
      <c r="BJ948" s="57">
        <f t="shared" si="241"/>
        <v>4.0849552425884485E-2</v>
      </c>
      <c r="BK948" s="57">
        <f t="shared" si="242"/>
        <v>1.7335481791892339E-3</v>
      </c>
      <c r="BL948" s="58">
        <f t="shared" si="243"/>
        <v>72.075510414019334</v>
      </c>
      <c r="BM948" s="58">
        <f t="shared" si="243"/>
        <v>3.058696177125924</v>
      </c>
    </row>
    <row r="949" spans="47:65" x14ac:dyDescent="0.2">
      <c r="AU949" s="2">
        <v>-688</v>
      </c>
      <c r="AV949" s="53">
        <v>947</v>
      </c>
      <c r="AW949" s="4" t="s">
        <v>1423</v>
      </c>
      <c r="AX949" t="s">
        <v>34</v>
      </c>
      <c r="AY949" s="4">
        <v>47710</v>
      </c>
      <c r="AZ949" s="9">
        <v>24.498992327031456</v>
      </c>
      <c r="BA949" s="7">
        <f t="shared" si="238"/>
        <v>6.2791956116233449E-4</v>
      </c>
      <c r="BB949" s="54">
        <f t="shared" si="232"/>
        <v>651.28899707840992</v>
      </c>
      <c r="BC949" s="55">
        <f t="shared" si="233"/>
        <v>763.84261107228667</v>
      </c>
      <c r="BD949" s="55">
        <f t="shared" si="234"/>
        <v>27.637702709745735</v>
      </c>
      <c r="BE949" s="55">
        <f t="shared" si="235"/>
        <v>27.084450963263343</v>
      </c>
      <c r="BF949" s="56">
        <f t="shared" si="236"/>
        <v>0.33988771203833024</v>
      </c>
      <c r="BG949" s="56">
        <f t="shared" si="239"/>
        <v>2.0803065048526328E-4</v>
      </c>
      <c r="BH949" s="56">
        <f t="shared" si="240"/>
        <v>1.4423267677099503E-2</v>
      </c>
      <c r="BI949" s="56">
        <f t="shared" si="237"/>
        <v>1.4134542593247854E-2</v>
      </c>
      <c r="BJ949" s="57">
        <f t="shared" si="241"/>
        <v>5.1597926854534737E-2</v>
      </c>
      <c r="BK949" s="57">
        <f t="shared" si="242"/>
        <v>2.1895781584549551E-3</v>
      </c>
      <c r="BL949" s="58">
        <f t="shared" si="243"/>
        <v>91.040089633621079</v>
      </c>
      <c r="BM949" s="58">
        <f t="shared" si="243"/>
        <v>3.8633217254549237</v>
      </c>
    </row>
    <row r="950" spans="47:65" x14ac:dyDescent="0.2">
      <c r="AU950" s="2">
        <v>-687</v>
      </c>
      <c r="AV950" s="53">
        <v>948</v>
      </c>
      <c r="AW950" s="4" t="s">
        <v>3181</v>
      </c>
      <c r="AX950" t="s">
        <v>3182</v>
      </c>
      <c r="AY950" s="5">
        <v>44830.395000000004</v>
      </c>
      <c r="AZ950" s="9">
        <v>24.503124037351231</v>
      </c>
      <c r="BA950" s="7">
        <f t="shared" si="238"/>
        <v>6.2802545864971721E-4</v>
      </c>
      <c r="BB950" s="54">
        <f t="shared" si="232"/>
        <v>653.04247527371649</v>
      </c>
      <c r="BC950" s="55">
        <f t="shared" si="233"/>
        <v>766.98110489696944</v>
      </c>
      <c r="BD950" s="55">
        <f t="shared" si="234"/>
        <v>27.694423714837782</v>
      </c>
      <c r="BE950" s="55">
        <f t="shared" si="235"/>
        <v>27.140036526837008</v>
      </c>
      <c r="BF950" s="56">
        <f t="shared" si="236"/>
        <v>0.34080279842023636</v>
      </c>
      <c r="BG950" s="56">
        <f t="shared" si="239"/>
        <v>2.0888541153474467E-4</v>
      </c>
      <c r="BH950" s="56">
        <f t="shared" si="240"/>
        <v>1.4452868626495733E-2</v>
      </c>
      <c r="BI950" s="56">
        <f t="shared" si="237"/>
        <v>1.4163550990610254E-2</v>
      </c>
      <c r="BJ950" s="57">
        <f t="shared" si="241"/>
        <v>4.8614194006055822E-2</v>
      </c>
      <c r="BK950" s="57">
        <f t="shared" si="242"/>
        <v>2.0616455105692019E-3</v>
      </c>
      <c r="BL950" s="58">
        <f t="shared" si="243"/>
        <v>85.775550483935703</v>
      </c>
      <c r="BM950" s="58">
        <f t="shared" si="243"/>
        <v>3.6375956073606686</v>
      </c>
    </row>
    <row r="951" spans="47:65" x14ac:dyDescent="0.2">
      <c r="AU951" s="2">
        <v>-686</v>
      </c>
      <c r="AV951" s="53">
        <v>949</v>
      </c>
      <c r="AW951" s="4" t="s">
        <v>2966</v>
      </c>
      <c r="AX951" t="s">
        <v>1160</v>
      </c>
      <c r="AY951" s="4">
        <v>54986</v>
      </c>
      <c r="AZ951" s="9">
        <v>24.505084482005035</v>
      </c>
      <c r="BA951" s="7">
        <f t="shared" si="238"/>
        <v>6.2807570567744255E-4</v>
      </c>
      <c r="BB951" s="54">
        <f t="shared" si="232"/>
        <v>653.87612945142905</v>
      </c>
      <c r="BC951" s="55">
        <f t="shared" si="233"/>
        <v>768.47457355437689</v>
      </c>
      <c r="BD951" s="55">
        <f t="shared" si="234"/>
        <v>27.721373947811045</v>
      </c>
      <c r="BE951" s="55">
        <f t="shared" si="235"/>
        <v>27.166447269838287</v>
      </c>
      <c r="BF951" s="56">
        <f t="shared" si="236"/>
        <v>0.34123785691556663</v>
      </c>
      <c r="BG951" s="56">
        <f t="shared" si="239"/>
        <v>2.0929215403874042E-4</v>
      </c>
      <c r="BH951" s="56">
        <f t="shared" si="240"/>
        <v>1.4466933124845101E-2</v>
      </c>
      <c r="BI951" s="56">
        <f t="shared" si="237"/>
        <v>1.4177333945722946E-2</v>
      </c>
      <c r="BJ951" s="57">
        <f t="shared" si="241"/>
        <v>5.9703075779988873E-2</v>
      </c>
      <c r="BK951" s="57">
        <f t="shared" si="242"/>
        <v>2.5311388732299151E-3</v>
      </c>
      <c r="BL951" s="58">
        <f t="shared" si="243"/>
        <v>105.34092553246381</v>
      </c>
      <c r="BM951" s="58">
        <f t="shared" si="243"/>
        <v>4.465976133956671</v>
      </c>
    </row>
    <row r="952" spans="47:65" x14ac:dyDescent="0.2">
      <c r="AU952" s="2">
        <v>-685</v>
      </c>
      <c r="AV952" s="53">
        <v>950</v>
      </c>
      <c r="AW952" s="4" t="s">
        <v>3057</v>
      </c>
      <c r="AX952" t="s">
        <v>1214</v>
      </c>
      <c r="AY952" s="4">
        <v>46929</v>
      </c>
      <c r="AZ952" s="9">
        <v>24.505649888424824</v>
      </c>
      <c r="BA952" s="7">
        <f t="shared" si="238"/>
        <v>6.2809019728371984E-4</v>
      </c>
      <c r="BB952" s="54">
        <f t="shared" si="232"/>
        <v>654.11675902733452</v>
      </c>
      <c r="BC952" s="55">
        <f t="shared" si="233"/>
        <v>768.90581502986095</v>
      </c>
      <c r="BD952" s="55">
        <f t="shared" si="234"/>
        <v>27.729150997278314</v>
      </c>
      <c r="BE952" s="55">
        <f t="shared" si="235"/>
        <v>27.174068638269201</v>
      </c>
      <c r="BF952" s="56">
        <f t="shared" si="236"/>
        <v>0.34136343409615766</v>
      </c>
      <c r="BG952" s="56">
        <f t="shared" si="239"/>
        <v>2.0940960159058881E-4</v>
      </c>
      <c r="BH952" s="56">
        <f t="shared" si="240"/>
        <v>1.4470991727956616E-2</v>
      </c>
      <c r="BI952" s="56">
        <f t="shared" si="237"/>
        <v>1.4181311303686002E-2</v>
      </c>
      <c r="BJ952" s="57">
        <f t="shared" si="241"/>
        <v>5.0973642769019535E-2</v>
      </c>
      <c r="BK952" s="57">
        <f t="shared" si="242"/>
        <v>2.1608616775472028E-3</v>
      </c>
      <c r="BL952" s="58">
        <f t="shared" si="243"/>
        <v>89.938594233188113</v>
      </c>
      <c r="BM952" s="58">
        <f t="shared" si="243"/>
        <v>3.8126539727916371</v>
      </c>
    </row>
    <row r="953" spans="47:65" x14ac:dyDescent="0.2">
      <c r="AU953" s="2">
        <v>-684</v>
      </c>
      <c r="AV953" s="53">
        <v>951</v>
      </c>
      <c r="AW953" s="4" t="s">
        <v>2323</v>
      </c>
      <c r="AX953" t="s">
        <v>674</v>
      </c>
      <c r="AY953" s="4">
        <v>33190</v>
      </c>
      <c r="AZ953" s="9">
        <v>24.514686447622065</v>
      </c>
      <c r="BA953" s="7">
        <f t="shared" si="238"/>
        <v>6.2832180812753759E-4</v>
      </c>
      <c r="BB953" s="54">
        <f t="shared" si="232"/>
        <v>657.97464101826938</v>
      </c>
      <c r="BC953" s="55">
        <f t="shared" si="233"/>
        <v>775.82944853024958</v>
      </c>
      <c r="BD953" s="55">
        <f t="shared" si="234"/>
        <v>27.853715165669545</v>
      </c>
      <c r="BE953" s="55">
        <f t="shared" si="235"/>
        <v>27.2961392801747</v>
      </c>
      <c r="BF953" s="56">
        <f t="shared" si="236"/>
        <v>0.34337674414606628</v>
      </c>
      <c r="BG953" s="56">
        <f t="shared" si="239"/>
        <v>2.1129523609161792E-4</v>
      </c>
      <c r="BH953" s="56">
        <f t="shared" si="240"/>
        <v>1.4535997939309771E-2</v>
      </c>
      <c r="BI953" s="56">
        <f t="shared" si="237"/>
        <v>1.4245016220197793E-2</v>
      </c>
      <c r="BJ953" s="57">
        <f t="shared" si="241"/>
        <v>3.6263148040969674E-2</v>
      </c>
      <c r="BK953" s="57">
        <f t="shared" si="242"/>
        <v>1.5351099169726898E-3</v>
      </c>
      <c r="BL953" s="58">
        <f t="shared" si="243"/>
        <v>63.983195630213629</v>
      </c>
      <c r="BM953" s="58">
        <f t="shared" si="243"/>
        <v>2.708568986359801</v>
      </c>
    </row>
    <row r="954" spans="47:65" x14ac:dyDescent="0.2">
      <c r="AU954" s="2">
        <v>-683</v>
      </c>
      <c r="AV954" s="53">
        <v>952</v>
      </c>
      <c r="AW954" s="4" t="s">
        <v>1911</v>
      </c>
      <c r="AX954" t="s">
        <v>371</v>
      </c>
      <c r="AY954" s="4">
        <v>24275</v>
      </c>
      <c r="AZ954" s="9">
        <v>24.514907124483582</v>
      </c>
      <c r="BA954" s="7">
        <f t="shared" si="238"/>
        <v>6.2832746416906747E-4</v>
      </c>
      <c r="BB954" s="54">
        <f t="shared" si="232"/>
        <v>658.06913632617056</v>
      </c>
      <c r="BC954" s="55">
        <f t="shared" si="233"/>
        <v>775.99926710403645</v>
      </c>
      <c r="BD954" s="55">
        <f t="shared" si="234"/>
        <v>27.856763399649221</v>
      </c>
      <c r="BE954" s="55">
        <f t="shared" si="235"/>
        <v>27.29912649458301</v>
      </c>
      <c r="BF954" s="56">
        <f t="shared" si="236"/>
        <v>0.34342605834321221</v>
      </c>
      <c r="BG954" s="56">
        <f t="shared" si="239"/>
        <v>2.1134148576120275E-4</v>
      </c>
      <c r="BH954" s="56">
        <f t="shared" si="240"/>
        <v>1.4537588718945201E-2</v>
      </c>
      <c r="BI954" s="56">
        <f t="shared" si="237"/>
        <v>1.4246575155594184E-2</v>
      </c>
      <c r="BJ954" s="57">
        <f t="shared" si="241"/>
        <v>2.6526494173496881E-2</v>
      </c>
      <c r="BK954" s="57">
        <f t="shared" si="242"/>
        <v>1.1228945884601534E-3</v>
      </c>
      <c r="BL954" s="58">
        <f t="shared" si="243"/>
        <v>46.803710041087449</v>
      </c>
      <c r="BM954" s="58">
        <f t="shared" si="243"/>
        <v>1.9812506085898287</v>
      </c>
    </row>
    <row r="955" spans="47:65" x14ac:dyDescent="0.2">
      <c r="AU955" s="2">
        <v>-682</v>
      </c>
      <c r="AV955" s="53">
        <v>953</v>
      </c>
      <c r="AW955" s="4" t="s">
        <v>1813</v>
      </c>
      <c r="AX955" t="s">
        <v>294</v>
      </c>
      <c r="AY955" s="4">
        <v>16241</v>
      </c>
      <c r="AZ955" s="9">
        <v>24.521691487039963</v>
      </c>
      <c r="BA955" s="7">
        <f t="shared" si="238"/>
        <v>6.2850135025802588E-4</v>
      </c>
      <c r="BB955" s="54">
        <f t="shared" si="232"/>
        <v>660.9808776988458</v>
      </c>
      <c r="BC955" s="55">
        <f t="shared" si="233"/>
        <v>781.23737525161857</v>
      </c>
      <c r="BD955" s="55">
        <f t="shared" si="234"/>
        <v>27.950623879470356</v>
      </c>
      <c r="BE955" s="55">
        <f t="shared" si="235"/>
        <v>27.391108074593546</v>
      </c>
      <c r="BF955" s="56">
        <f t="shared" si="236"/>
        <v>0.34494560668142371</v>
      </c>
      <c r="BG955" s="56">
        <f t="shared" si="239"/>
        <v>2.1276807159112591E-4</v>
      </c>
      <c r="BH955" s="56">
        <f t="shared" si="240"/>
        <v>1.4586571618825511E-2</v>
      </c>
      <c r="BI955" s="56">
        <f t="shared" si="237"/>
        <v>1.4294577515406054E-2</v>
      </c>
      <c r="BJ955" s="57">
        <f t="shared" si="241"/>
        <v>1.7825870884166227E-2</v>
      </c>
      <c r="BK955" s="57">
        <f t="shared" si="242"/>
        <v>7.5379519925287356E-4</v>
      </c>
      <c r="BL955" s="58">
        <f t="shared" si="243"/>
        <v>31.452211009699163</v>
      </c>
      <c r="BM955" s="58">
        <f t="shared" si="243"/>
        <v>1.3300065853196896</v>
      </c>
    </row>
    <row r="956" spans="47:65" x14ac:dyDescent="0.2">
      <c r="AU956" s="2">
        <v>-681</v>
      </c>
      <c r="AV956" s="53">
        <v>954</v>
      </c>
      <c r="AW956" s="4" t="s">
        <v>2175</v>
      </c>
      <c r="AX956" t="s">
        <v>568</v>
      </c>
      <c r="AY956" s="4">
        <v>61598</v>
      </c>
      <c r="AZ956" s="9">
        <v>24.530668117067606</v>
      </c>
      <c r="BA956" s="7">
        <f t="shared" si="238"/>
        <v>6.2873142509181634E-4</v>
      </c>
      <c r="BB956" s="54">
        <f t="shared" si="232"/>
        <v>664.85331754724552</v>
      </c>
      <c r="BC956" s="55">
        <f t="shared" si="233"/>
        <v>788.21985531999201</v>
      </c>
      <c r="BD956" s="55">
        <f t="shared" si="234"/>
        <v>28.075253432872017</v>
      </c>
      <c r="BE956" s="55">
        <f t="shared" si="235"/>
        <v>27.513242792631829</v>
      </c>
      <c r="BF956" s="56">
        <f t="shared" si="236"/>
        <v>0.34696651402974821</v>
      </c>
      <c r="BG956" s="56">
        <f t="shared" si="239"/>
        <v>2.1466973280977349E-4</v>
      </c>
      <c r="BH956" s="56">
        <f t="shared" si="240"/>
        <v>1.4651611952606903E-2</v>
      </c>
      <c r="BI956" s="56">
        <f t="shared" si="237"/>
        <v>1.4358315871283051E-2</v>
      </c>
      <c r="BJ956" s="57">
        <f t="shared" si="241"/>
        <v>6.8005109834488126E-2</v>
      </c>
      <c r="BK956" s="57">
        <f t="shared" si="242"/>
        <v>2.8717021378146697E-3</v>
      </c>
      <c r="BL956" s="58">
        <f t="shared" si="243"/>
        <v>119.98914825260901</v>
      </c>
      <c r="BM956" s="58">
        <f t="shared" si="243"/>
        <v>5.0668706276661553</v>
      </c>
    </row>
    <row r="957" spans="47:65" x14ac:dyDescent="0.2">
      <c r="AU957" s="2">
        <v>-680</v>
      </c>
      <c r="AV957" s="53">
        <v>955</v>
      </c>
      <c r="AW957" s="4" t="s">
        <v>2305</v>
      </c>
      <c r="AX957" t="s">
        <v>659</v>
      </c>
      <c r="AY957" s="4">
        <v>37306</v>
      </c>
      <c r="AZ957" s="9">
        <v>24.537734392619058</v>
      </c>
      <c r="BA957" s="7">
        <f t="shared" si="238"/>
        <v>6.289125367303723E-4</v>
      </c>
      <c r="BB957" s="54">
        <f t="shared" si="232"/>
        <v>667.91760053432881</v>
      </c>
      <c r="BC957" s="55">
        <f t="shared" si="233"/>
        <v>793.75811061365027</v>
      </c>
      <c r="BD957" s="55">
        <f t="shared" si="234"/>
        <v>28.173713113710274</v>
      </c>
      <c r="BE957" s="55">
        <f t="shared" si="235"/>
        <v>27.609731506817976</v>
      </c>
      <c r="BF957" s="56">
        <f t="shared" si="236"/>
        <v>0.34856566914858145</v>
      </c>
      <c r="BG957" s="56">
        <f t="shared" si="239"/>
        <v>2.1617806297439903E-4</v>
      </c>
      <c r="BH957" s="56">
        <f t="shared" si="240"/>
        <v>1.4702995034155423E-2</v>
      </c>
      <c r="BI957" s="56">
        <f t="shared" si="237"/>
        <v>1.4408670365907943E-2</v>
      </c>
      <c r="BJ957" s="57">
        <f t="shared" si="241"/>
        <v>4.1376206291180814E-2</v>
      </c>
      <c r="BK957" s="57">
        <f t="shared" si="242"/>
        <v>1.7453071529316374E-3</v>
      </c>
      <c r="BL957" s="58">
        <f t="shared" si="243"/>
        <v>73.004745715229049</v>
      </c>
      <c r="BM957" s="58">
        <f t="shared" si="243"/>
        <v>3.0794438716316725</v>
      </c>
    </row>
    <row r="958" spans="47:65" x14ac:dyDescent="0.2">
      <c r="AU958" s="2">
        <v>-679</v>
      </c>
      <c r="AV958" s="53">
        <v>956</v>
      </c>
      <c r="AW958" s="4" t="s">
        <v>2091</v>
      </c>
      <c r="AX958" t="s">
        <v>501</v>
      </c>
      <c r="AY958" s="4">
        <v>49063</v>
      </c>
      <c r="AZ958" s="9">
        <v>24.549317628063918</v>
      </c>
      <c r="BA958" s="7">
        <f t="shared" si="238"/>
        <v>6.2920941996623305E-4</v>
      </c>
      <c r="BB958" s="54">
        <f t="shared" si="232"/>
        <v>672.97124143639587</v>
      </c>
      <c r="BC958" s="55">
        <f t="shared" si="233"/>
        <v>802.91676733166366</v>
      </c>
      <c r="BD958" s="55">
        <f t="shared" si="234"/>
        <v>28.335785984010812</v>
      </c>
      <c r="BE958" s="55">
        <f t="shared" si="235"/>
        <v>27.768560001148018</v>
      </c>
      <c r="BF958" s="56">
        <f t="shared" si="236"/>
        <v>0.3512030090259205</v>
      </c>
      <c r="BG958" s="56">
        <f t="shared" si="239"/>
        <v>2.1867240053424319E-4</v>
      </c>
      <c r="BH958" s="56">
        <f t="shared" si="240"/>
        <v>1.4787575884310558E-2</v>
      </c>
      <c r="BI958" s="56">
        <f t="shared" si="237"/>
        <v>1.4491558075950864E-2</v>
      </c>
      <c r="BJ958" s="57">
        <f t="shared" si="241"/>
        <v>5.4827658660179281E-2</v>
      </c>
      <c r="BK958" s="57">
        <f t="shared" si="242"/>
        <v>2.3085456051335808E-3</v>
      </c>
      <c r="BL958" s="58">
        <f t="shared" si="243"/>
        <v>96.738672716375191</v>
      </c>
      <c r="BM958" s="58">
        <f t="shared" si="243"/>
        <v>4.0732295196118367</v>
      </c>
    </row>
    <row r="959" spans="47:65" x14ac:dyDescent="0.2">
      <c r="AU959" s="2">
        <v>-678</v>
      </c>
      <c r="AV959" s="53">
        <v>957</v>
      </c>
      <c r="AW959" s="4" t="s">
        <v>2990</v>
      </c>
      <c r="AX959" t="s">
        <v>1164</v>
      </c>
      <c r="AY959" s="4">
        <v>37369</v>
      </c>
      <c r="AZ959" s="9">
        <v>24.551548842349824</v>
      </c>
      <c r="BA959" s="7">
        <f t="shared" si="238"/>
        <v>6.2926660693443822E-4</v>
      </c>
      <c r="BB959" s="54">
        <f t="shared" si="232"/>
        <v>673.94907973880652</v>
      </c>
      <c r="BC959" s="55">
        <f t="shared" si="233"/>
        <v>804.6924609309317</v>
      </c>
      <c r="BD959" s="55">
        <f t="shared" si="234"/>
        <v>28.367101736535083</v>
      </c>
      <c r="BE959" s="55">
        <f t="shared" si="235"/>
        <v>27.79924887469619</v>
      </c>
      <c r="BF959" s="56">
        <f t="shared" si="236"/>
        <v>0.35171331278483631</v>
      </c>
      <c r="BG959" s="56">
        <f t="shared" si="239"/>
        <v>2.1915600630481049E-4</v>
      </c>
      <c r="BH959" s="56">
        <f t="shared" si="240"/>
        <v>1.48039186131514E-2</v>
      </c>
      <c r="BI959" s="56">
        <f t="shared" si="237"/>
        <v>1.4507573655919441E-2</v>
      </c>
      <c r="BJ959" s="57">
        <f t="shared" si="241"/>
        <v>4.1820349269747148E-2</v>
      </c>
      <c r="BK959" s="57">
        <f t="shared" si="242"/>
        <v>1.7602547997426679E-3</v>
      </c>
      <c r="BL959" s="58">
        <f t="shared" si="243"/>
        <v>73.788397676533961</v>
      </c>
      <c r="BM959" s="58">
        <f t="shared" si="243"/>
        <v>3.105817704621598</v>
      </c>
    </row>
    <row r="960" spans="47:65" x14ac:dyDescent="0.2">
      <c r="AU960" s="2">
        <v>-677</v>
      </c>
      <c r="AV960" s="53">
        <v>958</v>
      </c>
      <c r="AW960" s="4" t="s">
        <v>2208</v>
      </c>
      <c r="AX960" t="s">
        <v>594</v>
      </c>
      <c r="AY960" s="4">
        <v>63011</v>
      </c>
      <c r="AZ960" s="9">
        <v>24.557481931871877</v>
      </c>
      <c r="BA960" s="7">
        <f t="shared" si="238"/>
        <v>6.2941867453457844E-4</v>
      </c>
      <c r="BB960" s="54">
        <f t="shared" si="232"/>
        <v>676.55619766426457</v>
      </c>
      <c r="BC960" s="55">
        <f t="shared" si="233"/>
        <v>809.43245826928887</v>
      </c>
      <c r="BD960" s="55">
        <f t="shared" si="234"/>
        <v>28.450526502497084</v>
      </c>
      <c r="BE960" s="55">
        <f t="shared" si="235"/>
        <v>27.881003643048292</v>
      </c>
      <c r="BF960" s="56">
        <f t="shared" si="236"/>
        <v>0.35307388750769053</v>
      </c>
      <c r="BG960" s="56">
        <f t="shared" si="239"/>
        <v>2.2044693288485247E-4</v>
      </c>
      <c r="BH960" s="56">
        <f t="shared" si="240"/>
        <v>1.4847455434681476E-2</v>
      </c>
      <c r="BI960" s="56">
        <f t="shared" si="237"/>
        <v>1.4550238957019589E-2</v>
      </c>
      <c r="BJ960" s="57">
        <f t="shared" si="241"/>
        <v>7.0789581291461914E-2</v>
      </c>
      <c r="BK960" s="57">
        <f t="shared" si="242"/>
        <v>2.9768419321064875E-3</v>
      </c>
      <c r="BL960" s="58">
        <f t="shared" si="243"/>
        <v>124.90210787092505</v>
      </c>
      <c r="BM960" s="58">
        <f t="shared" si="243"/>
        <v>5.2523807223521848</v>
      </c>
    </row>
    <row r="961" spans="47:65" x14ac:dyDescent="0.2">
      <c r="AU961" s="2">
        <v>-676</v>
      </c>
      <c r="AV961" s="53">
        <v>959</v>
      </c>
      <c r="AW961" s="4" t="s">
        <v>1560</v>
      </c>
      <c r="AX961" t="s">
        <v>138</v>
      </c>
      <c r="AY961" s="4">
        <v>19857</v>
      </c>
      <c r="AZ961" s="9">
        <v>24.559778349758478</v>
      </c>
      <c r="BA961" s="7">
        <f t="shared" si="238"/>
        <v>6.2947753269871644E-4</v>
      </c>
      <c r="BB961" s="54">
        <f t="shared" si="232"/>
        <v>677.56799483482882</v>
      </c>
      <c r="BC961" s="55">
        <f t="shared" si="233"/>
        <v>811.27420768595755</v>
      </c>
      <c r="BD961" s="55">
        <f t="shared" si="234"/>
        <v>28.482875692000579</v>
      </c>
      <c r="BE961" s="55">
        <f t="shared" si="235"/>
        <v>27.912705266226247</v>
      </c>
      <c r="BF961" s="56">
        <f t="shared" si="236"/>
        <v>0.35360191335626567</v>
      </c>
      <c r="BG961" s="56">
        <f t="shared" si="239"/>
        <v>2.2094852879430934E-4</v>
      </c>
      <c r="BH961" s="56">
        <f t="shared" si="240"/>
        <v>1.4864337482522029E-2</v>
      </c>
      <c r="BI961" s="56">
        <f t="shared" si="237"/>
        <v>1.4566783059895973E-2</v>
      </c>
      <c r="BJ961" s="57">
        <f t="shared" si="241"/>
        <v>2.2341669051369886E-2</v>
      </c>
      <c r="BK961" s="57">
        <f t="shared" si="242"/>
        <v>9.3917508972239053E-4</v>
      </c>
      <c r="BL961" s="58">
        <f t="shared" si="243"/>
        <v>39.419947214849259</v>
      </c>
      <c r="BM961" s="58">
        <f t="shared" si="243"/>
        <v>1.657093405923848</v>
      </c>
    </row>
    <row r="962" spans="47:65" x14ac:dyDescent="0.2">
      <c r="AU962" s="2">
        <v>-675</v>
      </c>
      <c r="AV962" s="53">
        <v>960</v>
      </c>
      <c r="AW962" s="4" t="s">
        <v>2487</v>
      </c>
      <c r="AX962" t="s">
        <v>798</v>
      </c>
      <c r="AY962" s="4">
        <v>43513</v>
      </c>
      <c r="AZ962" s="9">
        <v>24.560497660865796</v>
      </c>
      <c r="BA962" s="7">
        <f t="shared" si="238"/>
        <v>6.2949596894739215E-4</v>
      </c>
      <c r="BB962" s="54">
        <f t="shared" si="232"/>
        <v>677.88523301723603</v>
      </c>
      <c r="BC962" s="55">
        <f t="shared" si="233"/>
        <v>811.85192168472565</v>
      </c>
      <c r="BD962" s="55">
        <f t="shared" si="234"/>
        <v>28.493015314015569</v>
      </c>
      <c r="BE962" s="55">
        <f t="shared" si="235"/>
        <v>27.922641913209361</v>
      </c>
      <c r="BF962" s="56">
        <f t="shared" si="236"/>
        <v>0.35376747021424004</v>
      </c>
      <c r="BG962" s="56">
        <f t="shared" si="239"/>
        <v>2.2110586777646929E-4</v>
      </c>
      <c r="BH962" s="56">
        <f t="shared" si="240"/>
        <v>1.4869629039638793E-2</v>
      </c>
      <c r="BI962" s="56">
        <f t="shared" si="237"/>
        <v>1.457196869058147E-2</v>
      </c>
      <c r="BJ962" s="57">
        <f t="shared" si="241"/>
        <v>4.8980621881638799E-2</v>
      </c>
      <c r="BK962" s="57">
        <f t="shared" si="242"/>
        <v>2.0587638458383802E-3</v>
      </c>
      <c r="BL962" s="58">
        <f t="shared" si="243"/>
        <v>86.422080851936329</v>
      </c>
      <c r="BM962" s="58">
        <f t="shared" si="243"/>
        <v>3.6325111585972976</v>
      </c>
    </row>
    <row r="963" spans="47:65" x14ac:dyDescent="0.2">
      <c r="AU963" s="2">
        <v>-674</v>
      </c>
      <c r="AV963" s="53">
        <v>961</v>
      </c>
      <c r="AW963" s="4" t="s">
        <v>1461</v>
      </c>
      <c r="AX963" t="s">
        <v>60</v>
      </c>
      <c r="AY963" s="4">
        <v>22649</v>
      </c>
      <c r="AZ963" s="9">
        <v>24.575443994904539</v>
      </c>
      <c r="BA963" s="7">
        <f t="shared" si="238"/>
        <v>6.2987904982620194E-4</v>
      </c>
      <c r="BB963" s="54">
        <f t="shared" ref="BB963:BB1026" si="244">IFERROR(IF(MATCH(AX963,$S$4:$S$20,0),VLOOKUP(AX963,$S$4:$AT$20,20,FALSE)),AVERAGE((2^(($AE$23*AZ963)+$AE$24)),(2^(($AF$23*AZ963)+$AF$24)),(2^(($AG$23*AZ963)+$AG$24)),(2^(($AH$23*AZ963)+$AH$24))))</f>
        <v>684.51073746911482</v>
      </c>
      <c r="BC963" s="55">
        <f t="shared" ref="BC963:BC1026" si="245">IFERROR(IF(MATCH(AX963,$S$4:$S$20,0),VLOOKUP(AX963,$S$4:$AT$20,21,FALSE)),_xlfn.VAR.S((2^(($AE$23*AZ963)+$AE$24)),(2^(($AF$23*AZ963)+$AF$24)),(2^(($AG$23*AZ963)+$AG$24)),(2^(($AH$23*AZ963)+$AH$24))))</f>
        <v>823.94497583072052</v>
      </c>
      <c r="BD963" s="55">
        <f t="shared" ref="BD963:BD1026" si="246">SQRT(BC963)</f>
        <v>28.704441743930861</v>
      </c>
      <c r="BE963" s="55">
        <f t="shared" ref="BE963:BE1026" si="247">_xlfn.CONFIDENCE.NORM(0.05,BD963,4)</f>
        <v>28.129836007216287</v>
      </c>
      <c r="BF963" s="56">
        <f t="shared" ref="BF963:BF1026" si="248">IFERROR(IF(MATCH(AX963,$S$4:$S$20,0),VLOOKUP(AX963,$S$4:$AT$20,24,FALSE)),AVERAGE((2^(($AI$23*AZ963)+$AI$24)),(2^(($AJ$23*AZ963)+$AJ$24)),(2^(($AK$23*AZ963)+$AK$24)),(2^(($AL$23*AZ963)+$AL$24))))</f>
        <v>0.35722511737141699</v>
      </c>
      <c r="BG963" s="56">
        <f t="shared" si="239"/>
        <v>2.2439938123574416E-4</v>
      </c>
      <c r="BH963" s="56">
        <f t="shared" si="240"/>
        <v>1.4979965995814014E-2</v>
      </c>
      <c r="BI963" s="56">
        <f t="shared" ref="BI963:BI1026" si="249">_xlfn.CONFIDENCE.NORM(0.05,BH963,4)</f>
        <v>1.4680096920715074E-2</v>
      </c>
      <c r="BJ963" s="57">
        <f t="shared" si="241"/>
        <v>2.5744140178419552E-2</v>
      </c>
      <c r="BK963" s="57">
        <f t="shared" si="242"/>
        <v>1.0795611106573645E-3</v>
      </c>
      <c r="BL963" s="58">
        <f t="shared" si="243"/>
        <v>45.423313924827561</v>
      </c>
      <c r="BM963" s="58">
        <f t="shared" si="243"/>
        <v>1.9047924261821432</v>
      </c>
    </row>
    <row r="964" spans="47:65" x14ac:dyDescent="0.2">
      <c r="AU964" s="2">
        <v>-673</v>
      </c>
      <c r="AV964" s="53">
        <v>962</v>
      </c>
      <c r="AW964" s="4" t="s">
        <v>2089</v>
      </c>
      <c r="AX964" t="s">
        <v>499</v>
      </c>
      <c r="AY964" s="4">
        <v>32950</v>
      </c>
      <c r="AZ964" s="9">
        <v>24.576117086573223</v>
      </c>
      <c r="BA964" s="7">
        <f t="shared" ref="BA964:BA1027" si="250">AZ964/$AZ$1637</f>
        <v>6.2989630145106801E-4</v>
      </c>
      <c r="BB964" s="54">
        <f t="shared" si="244"/>
        <v>684.81062893882074</v>
      </c>
      <c r="BC964" s="55">
        <f t="shared" si="245"/>
        <v>824.49358485201253</v>
      </c>
      <c r="BD964" s="55">
        <f t="shared" si="246"/>
        <v>28.713996323256932</v>
      </c>
      <c r="BE964" s="55">
        <f t="shared" si="247"/>
        <v>28.139199322899554</v>
      </c>
      <c r="BF964" s="56">
        <f t="shared" si="248"/>
        <v>0.35738162151313524</v>
      </c>
      <c r="BG964" s="56">
        <f t="shared" ref="BG964:BG1027" si="251">IFERROR(IF(MATCH(AX964,$S$4:$S$20,0),VLOOKUP(AX964,$S$4:$AT$20,25,FALSE)),_xlfn.VAR.S((2^(($AI$23*AZ964)+$AI$24)),(2^(($AJ$23*AZ964)+$AJ$24)),(2^(($AK$23*AZ964)+$AK$24)),(2^(($AL$23*AZ964)+$AL$24))))</f>
        <v>2.2454879354910344E-4</v>
      </c>
      <c r="BH964" s="56">
        <f t="shared" ref="BH964:BH1027" si="252">SQRT(BG964)</f>
        <v>1.4984952237131203E-2</v>
      </c>
      <c r="BI964" s="56">
        <f t="shared" si="249"/>
        <v>1.4684983347415031E-2</v>
      </c>
      <c r="BJ964" s="57">
        <f t="shared" ref="BJ964:BJ1027" si="253">(((BF964*0.000001)*AY964)*1000000000000000)*$S$24</f>
        <v>3.7469250508945479E-2</v>
      </c>
      <c r="BK964" s="57">
        <f t="shared" ref="BK964:BK1027" si="254">((((BH964*0.000001)*AY964)*1000000000000000)*$S$24)</f>
        <v>1.5710794720232013E-3</v>
      </c>
      <c r="BL964" s="58">
        <f t="shared" ref="BL964:BM1027" si="255">((BJ964/$S$26)*0.000000001)/0.45</f>
        <v>66.111259362336199</v>
      </c>
      <c r="BM964" s="58">
        <f t="shared" si="255"/>
        <v>2.7720341624920128</v>
      </c>
    </row>
    <row r="965" spans="47:65" x14ac:dyDescent="0.2">
      <c r="AU965" s="2">
        <v>-672</v>
      </c>
      <c r="AV965" s="53">
        <v>963</v>
      </c>
      <c r="AW965" s="4" t="s">
        <v>3071</v>
      </c>
      <c r="AX965" t="s">
        <v>1225</v>
      </c>
      <c r="AY965" s="4">
        <v>77573</v>
      </c>
      <c r="AZ965" s="9">
        <v>24.578729551677284</v>
      </c>
      <c r="BA965" s="7">
        <f t="shared" si="250"/>
        <v>6.2996326003939669E-4</v>
      </c>
      <c r="BB965" s="54">
        <f t="shared" si="244"/>
        <v>685.97584043328345</v>
      </c>
      <c r="BC965" s="55">
        <f t="shared" si="245"/>
        <v>826.62618914169423</v>
      </c>
      <c r="BD965" s="55">
        <f t="shared" si="246"/>
        <v>28.751107615910978</v>
      </c>
      <c r="BE965" s="55">
        <f t="shared" si="247"/>
        <v>28.175567721410381</v>
      </c>
      <c r="BF965" s="56">
        <f t="shared" si="248"/>
        <v>0.3579897095825948</v>
      </c>
      <c r="BG965" s="56">
        <f t="shared" si="251"/>
        <v>2.25129603065608E-4</v>
      </c>
      <c r="BH965" s="56">
        <f t="shared" si="252"/>
        <v>1.5004319480256611E-2</v>
      </c>
      <c r="BI965" s="56">
        <f t="shared" si="249"/>
        <v>1.4703962896917847E-2</v>
      </c>
      <c r="BJ965" s="57">
        <f t="shared" si="253"/>
        <v>8.8362603328588848E-2</v>
      </c>
      <c r="BK965" s="57">
        <f t="shared" si="254"/>
        <v>3.703516316139925E-3</v>
      </c>
      <c r="BL965" s="58">
        <f t="shared" si="255"/>
        <v>155.90818890793921</v>
      </c>
      <c r="BM965" s="58">
        <f t="shared" si="255"/>
        <v>6.5345349694282255</v>
      </c>
    </row>
    <row r="966" spans="47:65" x14ac:dyDescent="0.2">
      <c r="AU966" s="2">
        <v>-671</v>
      </c>
      <c r="AV966" s="53">
        <v>964</v>
      </c>
      <c r="AW966" s="4" t="s">
        <v>1427</v>
      </c>
      <c r="AX966" t="s">
        <v>36</v>
      </c>
      <c r="AY966" s="4">
        <v>41489</v>
      </c>
      <c r="AZ966" s="9">
        <v>24.584295971331048</v>
      </c>
      <c r="BA966" s="7">
        <f t="shared" si="250"/>
        <v>6.3010592973534085E-4</v>
      </c>
      <c r="BB966" s="54">
        <f t="shared" si="244"/>
        <v>688.46519199208399</v>
      </c>
      <c r="BC966" s="55">
        <f t="shared" si="245"/>
        <v>831.18767147680956</v>
      </c>
      <c r="BD966" s="55">
        <f t="shared" si="246"/>
        <v>28.830325552737165</v>
      </c>
      <c r="BE966" s="55">
        <f t="shared" si="247"/>
        <v>28.253199872964828</v>
      </c>
      <c r="BF966" s="56">
        <f t="shared" si="248"/>
        <v>0.35928882565790871</v>
      </c>
      <c r="BG966" s="56">
        <f t="shared" si="251"/>
        <v>2.2637191152495966E-4</v>
      </c>
      <c r="BH966" s="56">
        <f t="shared" si="252"/>
        <v>1.5045660886945434E-2</v>
      </c>
      <c r="BI966" s="56">
        <f t="shared" si="249"/>
        <v>1.4744476731008005E-2</v>
      </c>
      <c r="BJ966" s="57">
        <f t="shared" si="253"/>
        <v>4.743119315735618E-2</v>
      </c>
      <c r="BK966" s="57">
        <f t="shared" si="254"/>
        <v>1.9862394729422031E-3</v>
      </c>
      <c r="BL966" s="58">
        <f t="shared" si="255"/>
        <v>83.688247565624764</v>
      </c>
      <c r="BM966" s="58">
        <f t="shared" si="255"/>
        <v>3.5045481606321989</v>
      </c>
    </row>
    <row r="967" spans="47:65" x14ac:dyDescent="0.2">
      <c r="AU967" s="2">
        <v>-670</v>
      </c>
      <c r="AV967" s="53">
        <v>965</v>
      </c>
      <c r="AW967" s="4" t="s">
        <v>1666</v>
      </c>
      <c r="AX967" t="s">
        <v>209</v>
      </c>
      <c r="AY967" s="4">
        <v>35463</v>
      </c>
      <c r="AZ967" s="9">
        <v>24.587721672625971</v>
      </c>
      <c r="BA967" s="7">
        <f t="shared" si="250"/>
        <v>6.301937319120618E-4</v>
      </c>
      <c r="BB967" s="54">
        <f t="shared" si="244"/>
        <v>690.0016843440817</v>
      </c>
      <c r="BC967" s="55">
        <f t="shared" si="245"/>
        <v>834.00679869787484</v>
      </c>
      <c r="BD967" s="55">
        <f t="shared" si="246"/>
        <v>28.879175865974343</v>
      </c>
      <c r="BE967" s="55">
        <f t="shared" si="247"/>
        <v>28.301072300254013</v>
      </c>
      <c r="BF967" s="56">
        <f t="shared" si="248"/>
        <v>0.36009067379664189</v>
      </c>
      <c r="BG967" s="56">
        <f t="shared" si="251"/>
        <v>2.2713969386793856E-4</v>
      </c>
      <c r="BH967" s="56">
        <f t="shared" si="252"/>
        <v>1.5071154364146714E-2</v>
      </c>
      <c r="BI967" s="56">
        <f t="shared" si="249"/>
        <v>1.4769459879585606E-2</v>
      </c>
      <c r="BJ967" s="57">
        <f t="shared" si="253"/>
        <v>4.063260980529404E-2</v>
      </c>
      <c r="BK967" s="57">
        <f t="shared" si="254"/>
        <v>1.700628144953191E-3</v>
      </c>
      <c r="BL967" s="58">
        <f t="shared" si="255"/>
        <v>71.692733879613456</v>
      </c>
      <c r="BM967" s="58">
        <f t="shared" si="255"/>
        <v>3.00061161733265</v>
      </c>
    </row>
    <row r="968" spans="47:65" x14ac:dyDescent="0.2">
      <c r="AU968" s="2">
        <v>-669</v>
      </c>
      <c r="AV968" s="53">
        <v>966</v>
      </c>
      <c r="AW968" s="4" t="s">
        <v>2450</v>
      </c>
      <c r="AX968" t="s">
        <v>773</v>
      </c>
      <c r="AY968" s="4">
        <v>56120</v>
      </c>
      <c r="AZ968" s="9">
        <v>24.590160911381478</v>
      </c>
      <c r="BA968" s="7">
        <f t="shared" si="250"/>
        <v>6.3025625063562732E-4</v>
      </c>
      <c r="BB968" s="54">
        <f t="shared" si="244"/>
        <v>691.09781926427195</v>
      </c>
      <c r="BC968" s="55">
        <f t="shared" si="245"/>
        <v>836.01967098129592</v>
      </c>
      <c r="BD968" s="55">
        <f t="shared" si="246"/>
        <v>28.91400475515794</v>
      </c>
      <c r="BE968" s="55">
        <f t="shared" si="247"/>
        <v>28.335203984464705</v>
      </c>
      <c r="BF968" s="56">
        <f t="shared" si="248"/>
        <v>0.3606627129248634</v>
      </c>
      <c r="BG968" s="56">
        <f t="shared" si="251"/>
        <v>2.2768789466794703E-4</v>
      </c>
      <c r="BH968" s="56">
        <f t="shared" si="252"/>
        <v>1.5089330491043896E-2</v>
      </c>
      <c r="BI968" s="56">
        <f t="shared" si="249"/>
        <v>1.4787272156634059E-2</v>
      </c>
      <c r="BJ968" s="57">
        <f t="shared" si="253"/>
        <v>6.440302693871075E-2</v>
      </c>
      <c r="BK968" s="57">
        <f t="shared" si="254"/>
        <v>2.6944802533669836E-3</v>
      </c>
      <c r="BL968" s="58">
        <f t="shared" si="255"/>
        <v>113.63358380088562</v>
      </c>
      <c r="BM968" s="58">
        <f t="shared" si="255"/>
        <v>4.7541779047464434</v>
      </c>
    </row>
    <row r="969" spans="47:65" x14ac:dyDescent="0.2">
      <c r="AU969" s="2">
        <v>-668</v>
      </c>
      <c r="AV969" s="53">
        <v>967</v>
      </c>
      <c r="AW969" s="4" t="s">
        <v>2515</v>
      </c>
      <c r="AX969" t="s">
        <v>824</v>
      </c>
      <c r="AY969" s="4">
        <v>7950</v>
      </c>
      <c r="AZ969" s="9">
        <v>24.601332372773776</v>
      </c>
      <c r="BA969" s="7">
        <f t="shared" si="250"/>
        <v>6.3054257992792447E-4</v>
      </c>
      <c r="BB969" s="54">
        <f t="shared" si="244"/>
        <v>696.14029794692124</v>
      </c>
      <c r="BC969" s="55">
        <f t="shared" si="245"/>
        <v>845.29758090794348</v>
      </c>
      <c r="BD969" s="55">
        <f t="shared" si="246"/>
        <v>29.074001804153887</v>
      </c>
      <c r="BE969" s="55">
        <f t="shared" si="247"/>
        <v>28.49199821129708</v>
      </c>
      <c r="BF969" s="56">
        <f t="shared" si="248"/>
        <v>0.36329422758292734</v>
      </c>
      <c r="BG969" s="56">
        <f t="shared" si="251"/>
        <v>2.3021471054493906E-4</v>
      </c>
      <c r="BH969" s="56">
        <f t="shared" si="252"/>
        <v>1.5172828033855095E-2</v>
      </c>
      <c r="BI969" s="56">
        <f t="shared" si="249"/>
        <v>1.4869098244987829E-2</v>
      </c>
      <c r="BJ969" s="57">
        <f t="shared" si="253"/>
        <v>9.1899468187094154E-3</v>
      </c>
      <c r="BK969" s="57">
        <f t="shared" si="254"/>
        <v>3.8381419833796547E-4</v>
      </c>
      <c r="BL969" s="58">
        <f t="shared" si="255"/>
        <v>16.214868176045446</v>
      </c>
      <c r="BM969" s="58">
        <f t="shared" si="255"/>
        <v>0.67720703426428142</v>
      </c>
    </row>
    <row r="970" spans="47:65" x14ac:dyDescent="0.2">
      <c r="AU970" s="2">
        <v>-667</v>
      </c>
      <c r="AV970" s="53">
        <v>968</v>
      </c>
      <c r="AW970" s="4" t="s">
        <v>2294</v>
      </c>
      <c r="AX970" t="s">
        <v>648</v>
      </c>
      <c r="AY970" s="4">
        <v>33851</v>
      </c>
      <c r="AZ970" s="9">
        <v>24.60506092236264</v>
      </c>
      <c r="BA970" s="7">
        <f t="shared" si="250"/>
        <v>6.306381442348298E-4</v>
      </c>
      <c r="BB970" s="54">
        <f t="shared" si="244"/>
        <v>697.83143510106368</v>
      </c>
      <c r="BC970" s="55">
        <f t="shared" si="245"/>
        <v>848.41587062756525</v>
      </c>
      <c r="BD970" s="55">
        <f t="shared" si="246"/>
        <v>29.127579209875393</v>
      </c>
      <c r="BE970" s="55">
        <f t="shared" si="247"/>
        <v>28.544503104096702</v>
      </c>
      <c r="BF970" s="56">
        <f t="shared" si="248"/>
        <v>0.36417678009132709</v>
      </c>
      <c r="BG970" s="56">
        <f t="shared" si="251"/>
        <v>2.3106396905626719E-4</v>
      </c>
      <c r="BH970" s="56">
        <f t="shared" si="252"/>
        <v>1.5200788435349898E-2</v>
      </c>
      <c r="BI970" s="56">
        <f t="shared" si="249"/>
        <v>1.4896498934949378E-2</v>
      </c>
      <c r="BJ970" s="57">
        <f t="shared" si="253"/>
        <v>3.9225738311542128E-2</v>
      </c>
      <c r="BK970" s="57">
        <f t="shared" si="254"/>
        <v>1.637287663273376E-3</v>
      </c>
      <c r="BL970" s="58">
        <f t="shared" si="255"/>
        <v>69.21043052554171</v>
      </c>
      <c r="BM970" s="58">
        <f t="shared" si="255"/>
        <v>2.8888528029557836</v>
      </c>
    </row>
    <row r="971" spans="47:65" x14ac:dyDescent="0.2">
      <c r="AU971" s="2">
        <v>-666</v>
      </c>
      <c r="AV971" s="53">
        <v>969</v>
      </c>
      <c r="AW971" s="4" t="s">
        <v>3059</v>
      </c>
      <c r="AX971" t="s">
        <v>1216</v>
      </c>
      <c r="AY971" s="4">
        <v>14061</v>
      </c>
      <c r="AZ971" s="9">
        <v>24.607948824791098</v>
      </c>
      <c r="BA971" s="7">
        <f t="shared" si="250"/>
        <v>6.3071216239857101E-4</v>
      </c>
      <c r="BB971" s="54">
        <f t="shared" si="244"/>
        <v>699.14410770337827</v>
      </c>
      <c r="BC971" s="55">
        <f t="shared" si="245"/>
        <v>850.83861461783636</v>
      </c>
      <c r="BD971" s="55">
        <f t="shared" si="246"/>
        <v>29.169138050649291</v>
      </c>
      <c r="BE971" s="55">
        <f t="shared" si="247"/>
        <v>28.585230019674739</v>
      </c>
      <c r="BF971" s="56">
        <f t="shared" si="248"/>
        <v>0.36486182358117158</v>
      </c>
      <c r="BG971" s="56">
        <f t="shared" si="251"/>
        <v>2.3172379740434902E-4</v>
      </c>
      <c r="BH971" s="56">
        <f t="shared" si="252"/>
        <v>1.5222476717155754E-2</v>
      </c>
      <c r="BI971" s="56">
        <f t="shared" si="249"/>
        <v>1.4917753060562393E-2</v>
      </c>
      <c r="BJ971" s="57">
        <f t="shared" si="253"/>
        <v>1.6324203675904075E-2</v>
      </c>
      <c r="BK971" s="57">
        <f t="shared" si="254"/>
        <v>6.8106552761137246E-4</v>
      </c>
      <c r="BL971" s="58">
        <f t="shared" si="255"/>
        <v>28.802648797142147</v>
      </c>
      <c r="BM971" s="58">
        <f t="shared" si="255"/>
        <v>1.2016813554333621</v>
      </c>
    </row>
    <row r="972" spans="47:65" x14ac:dyDescent="0.2">
      <c r="AU972" s="2">
        <v>-665</v>
      </c>
      <c r="AV972" s="53">
        <v>970</v>
      </c>
      <c r="AW972" s="4" t="s">
        <v>2755</v>
      </c>
      <c r="AX972" t="s">
        <v>1006</v>
      </c>
      <c r="AY972" s="4">
        <v>35213</v>
      </c>
      <c r="AZ972" s="9">
        <v>24.619189201409068</v>
      </c>
      <c r="BA972" s="7">
        <f t="shared" si="250"/>
        <v>6.3100025801732294E-4</v>
      </c>
      <c r="BB972" s="54">
        <f t="shared" si="244"/>
        <v>704.27688342077158</v>
      </c>
      <c r="BC972" s="55">
        <f t="shared" si="245"/>
        <v>860.33123637632605</v>
      </c>
      <c r="BD972" s="55">
        <f t="shared" si="246"/>
        <v>29.33140358687811</v>
      </c>
      <c r="BE972" s="55">
        <f t="shared" si="247"/>
        <v>28.744247323145022</v>
      </c>
      <c r="BF972" s="56">
        <f t="shared" si="248"/>
        <v>0.36754046148664304</v>
      </c>
      <c r="BG972" s="56">
        <f t="shared" si="251"/>
        <v>2.3430908951898582E-4</v>
      </c>
      <c r="BH972" s="56">
        <f t="shared" si="252"/>
        <v>1.530715811373835E-2</v>
      </c>
      <c r="BI972" s="56">
        <f t="shared" si="249"/>
        <v>1.5000739304293614E-2</v>
      </c>
      <c r="BJ972" s="57">
        <f t="shared" si="253"/>
        <v>4.118087357887016E-2</v>
      </c>
      <c r="BK972" s="57">
        <f t="shared" si="254"/>
        <v>1.7150823084454985E-3</v>
      </c>
      <c r="BL972" s="58">
        <f t="shared" si="255"/>
        <v>72.66009799929904</v>
      </c>
      <c r="BM972" s="58">
        <f t="shared" si="255"/>
        <v>3.0261147415885628</v>
      </c>
    </row>
    <row r="973" spans="47:65" x14ac:dyDescent="0.2">
      <c r="AU973" s="2">
        <v>-664</v>
      </c>
      <c r="AV973" s="53">
        <v>971</v>
      </c>
      <c r="AW973" s="4" t="s">
        <v>2524</v>
      </c>
      <c r="AX973" t="s">
        <v>833</v>
      </c>
      <c r="AY973" s="4">
        <v>33712</v>
      </c>
      <c r="AZ973" s="9">
        <v>24.621519963880687</v>
      </c>
      <c r="BA973" s="7">
        <f t="shared" si="250"/>
        <v>6.3105999644773748E-4</v>
      </c>
      <c r="BB973" s="54">
        <f t="shared" si="244"/>
        <v>705.34590481189707</v>
      </c>
      <c r="BC973" s="55">
        <f t="shared" si="245"/>
        <v>862.31214877466812</v>
      </c>
      <c r="BD973" s="55">
        <f t="shared" si="246"/>
        <v>29.365151945370009</v>
      </c>
      <c r="BE973" s="55">
        <f t="shared" si="247"/>
        <v>28.777320106735754</v>
      </c>
      <c r="BF973" s="56">
        <f t="shared" si="248"/>
        <v>0.36809835089730381</v>
      </c>
      <c r="BG973" s="56">
        <f t="shared" si="251"/>
        <v>2.3484858612312807E-4</v>
      </c>
      <c r="BH973" s="56">
        <f t="shared" si="252"/>
        <v>1.532477034487395E-2</v>
      </c>
      <c r="BI973" s="56">
        <f t="shared" si="249"/>
        <v>1.50179989736502E-2</v>
      </c>
      <c r="BJ973" s="57">
        <f t="shared" si="253"/>
        <v>3.9485329109240797E-2</v>
      </c>
      <c r="BK973" s="57">
        <f t="shared" si="254"/>
        <v>1.6438639268984395E-3</v>
      </c>
      <c r="BL973" s="58">
        <f t="shared" si="255"/>
        <v>69.668456088413208</v>
      </c>
      <c r="BM973" s="58">
        <f t="shared" si="255"/>
        <v>2.900456052667113</v>
      </c>
    </row>
    <row r="974" spans="47:65" x14ac:dyDescent="0.2">
      <c r="AU974" s="2">
        <v>-663</v>
      </c>
      <c r="AV974" s="53">
        <v>972</v>
      </c>
      <c r="AW974" s="4" t="s">
        <v>2042</v>
      </c>
      <c r="AX974" t="s">
        <v>463</v>
      </c>
      <c r="AY974" s="4">
        <v>22945</v>
      </c>
      <c r="AZ974" s="9">
        <v>24.623270220075369</v>
      </c>
      <c r="BA974" s="7">
        <f t="shared" si="250"/>
        <v>6.3110485625613344E-4</v>
      </c>
      <c r="BB974" s="54">
        <f t="shared" si="244"/>
        <v>706.14973944904432</v>
      </c>
      <c r="BC974" s="55">
        <f t="shared" si="245"/>
        <v>863.8025379059336</v>
      </c>
      <c r="BD974" s="55">
        <f t="shared" si="246"/>
        <v>29.390517823031523</v>
      </c>
      <c r="BE974" s="55">
        <f t="shared" si="247"/>
        <v>28.802178210062163</v>
      </c>
      <c r="BF974" s="56">
        <f t="shared" si="248"/>
        <v>0.36851784749083261</v>
      </c>
      <c r="BG974" s="56">
        <f t="shared" si="251"/>
        <v>2.3525448992576823E-4</v>
      </c>
      <c r="BH974" s="56">
        <f t="shared" si="252"/>
        <v>1.5338008016876514E-2</v>
      </c>
      <c r="BI974" s="56">
        <f t="shared" si="249"/>
        <v>1.5030971653832289E-2</v>
      </c>
      <c r="BJ974" s="57">
        <f t="shared" si="253"/>
        <v>2.6905059695147483E-2</v>
      </c>
      <c r="BK974" s="57">
        <f t="shared" si="254"/>
        <v>1.1198101370354361E-3</v>
      </c>
      <c r="BL974" s="58">
        <f t="shared" si="255"/>
        <v>47.471656238236655</v>
      </c>
      <c r="BM974" s="58">
        <f t="shared" si="255"/>
        <v>1.975808360203213</v>
      </c>
    </row>
    <row r="975" spans="47:65" x14ac:dyDescent="0.2">
      <c r="AU975" s="2">
        <v>-662</v>
      </c>
      <c r="AV975" s="53">
        <v>973</v>
      </c>
      <c r="AW975" s="4" t="s">
        <v>3191</v>
      </c>
      <c r="AX975" t="s">
        <v>3192</v>
      </c>
      <c r="AY975" s="5">
        <v>37490.76999999999</v>
      </c>
      <c r="AZ975" s="9">
        <v>24.623270220075369</v>
      </c>
      <c r="BA975" s="7">
        <f t="shared" si="250"/>
        <v>6.3110485625613344E-4</v>
      </c>
      <c r="BB975" s="54">
        <f t="shared" si="244"/>
        <v>706.14973944904432</v>
      </c>
      <c r="BC975" s="55">
        <f t="shared" si="245"/>
        <v>863.8025379059336</v>
      </c>
      <c r="BD975" s="55">
        <f t="shared" si="246"/>
        <v>29.390517823031523</v>
      </c>
      <c r="BE975" s="55">
        <f t="shared" si="247"/>
        <v>28.802178210062163</v>
      </c>
      <c r="BF975" s="56">
        <f t="shared" si="248"/>
        <v>0.36851784749083261</v>
      </c>
      <c r="BG975" s="56">
        <f t="shared" si="251"/>
        <v>2.3525448992576823E-4</v>
      </c>
      <c r="BH975" s="56">
        <f t="shared" si="252"/>
        <v>1.5338008016876514E-2</v>
      </c>
      <c r="BI975" s="56">
        <f t="shared" si="249"/>
        <v>1.5030971653832289E-2</v>
      </c>
      <c r="BJ975" s="57">
        <f t="shared" si="253"/>
        <v>4.3961272820529272E-2</v>
      </c>
      <c r="BK975" s="57">
        <f t="shared" si="254"/>
        <v>1.8297033903361957E-3</v>
      </c>
      <c r="BL975" s="58">
        <f t="shared" si="255"/>
        <v>77.565872545077141</v>
      </c>
      <c r="BM975" s="58">
        <f t="shared" si="255"/>
        <v>3.2283537501179249</v>
      </c>
    </row>
    <row r="976" spans="47:65" x14ac:dyDescent="0.2">
      <c r="AU976" s="2">
        <v>-661</v>
      </c>
      <c r="AV976" s="53">
        <v>974</v>
      </c>
      <c r="AW976" s="4" t="s">
        <v>2151</v>
      </c>
      <c r="AX976" t="s">
        <v>549</v>
      </c>
      <c r="AY976" s="4">
        <v>32970</v>
      </c>
      <c r="AZ976" s="9">
        <v>24.623586529161859</v>
      </c>
      <c r="BA976" s="7">
        <f t="shared" si="250"/>
        <v>6.311129633921385E-4</v>
      </c>
      <c r="BB976" s="54">
        <f t="shared" si="244"/>
        <v>706.29510743919639</v>
      </c>
      <c r="BC976" s="55">
        <f t="shared" si="245"/>
        <v>864.07214440170162</v>
      </c>
      <c r="BD976" s="55">
        <f t="shared" si="246"/>
        <v>29.395104088975458</v>
      </c>
      <c r="BE976" s="55">
        <f t="shared" si="247"/>
        <v>28.80667266809898</v>
      </c>
      <c r="BF976" s="56">
        <f t="shared" si="248"/>
        <v>0.36859371057741591</v>
      </c>
      <c r="BG976" s="56">
        <f t="shared" si="251"/>
        <v>2.3532791658969969E-4</v>
      </c>
      <c r="BH976" s="56">
        <f t="shared" si="252"/>
        <v>1.5340401448127089E-2</v>
      </c>
      <c r="BI976" s="56">
        <f t="shared" si="249"/>
        <v>1.503331717335759E-2</v>
      </c>
      <c r="BJ976" s="57">
        <f t="shared" si="253"/>
        <v>3.8668225246859519E-2</v>
      </c>
      <c r="BK976" s="57">
        <f t="shared" si="254"/>
        <v>1.6093223556207183E-3</v>
      </c>
      <c r="BL976" s="58">
        <f t="shared" si="255"/>
        <v>68.226746829805037</v>
      </c>
      <c r="BM976" s="58">
        <f t="shared" si="255"/>
        <v>2.8395104306835917</v>
      </c>
    </row>
    <row r="977" spans="47:65" x14ac:dyDescent="0.2">
      <c r="AU977" s="2">
        <v>-660</v>
      </c>
      <c r="AV977" s="53">
        <v>975</v>
      </c>
      <c r="AW977" s="4" t="s">
        <v>1536</v>
      </c>
      <c r="AX977" t="s">
        <v>127</v>
      </c>
      <c r="AY977" s="4">
        <v>24042</v>
      </c>
      <c r="AZ977" s="9">
        <v>24.632821885982114</v>
      </c>
      <c r="BA977" s="7">
        <f t="shared" si="250"/>
        <v>6.3134966950332628E-4</v>
      </c>
      <c r="BB977" s="54">
        <f t="shared" si="244"/>
        <v>710.55267254623914</v>
      </c>
      <c r="BC977" s="55">
        <f t="shared" si="245"/>
        <v>871.97925089496084</v>
      </c>
      <c r="BD977" s="55">
        <f t="shared" si="246"/>
        <v>29.529294791697293</v>
      </c>
      <c r="BE977" s="55">
        <f t="shared" si="247"/>
        <v>28.938177140296439</v>
      </c>
      <c r="BF977" s="56">
        <f t="shared" si="248"/>
        <v>0.37081560296248384</v>
      </c>
      <c r="BG977" s="56">
        <f t="shared" si="251"/>
        <v>2.3748139753380402E-4</v>
      </c>
      <c r="BH977" s="56">
        <f t="shared" si="252"/>
        <v>1.5410431451903092E-2</v>
      </c>
      <c r="BI977" s="56">
        <f t="shared" si="249"/>
        <v>1.5101945315976674E-2</v>
      </c>
      <c r="BJ977" s="57">
        <f t="shared" si="253"/>
        <v>2.8367166960554406E-2</v>
      </c>
      <c r="BK977" s="57">
        <f t="shared" si="254"/>
        <v>1.1788885862349789E-3</v>
      </c>
      <c r="BL977" s="58">
        <f t="shared" si="255"/>
        <v>50.05141834518875</v>
      </c>
      <c r="BM977" s="58">
        <f t="shared" si="255"/>
        <v>2.0800471860324916</v>
      </c>
    </row>
    <row r="978" spans="47:65" x14ac:dyDescent="0.2">
      <c r="AU978" s="2">
        <v>-659</v>
      </c>
      <c r="AV978" s="53">
        <v>976</v>
      </c>
      <c r="AW978" s="4" t="s">
        <v>2741</v>
      </c>
      <c r="AX978" t="s">
        <v>998</v>
      </c>
      <c r="AY978" s="4">
        <v>34923</v>
      </c>
      <c r="AZ978" s="9">
        <v>24.633671975953565</v>
      </c>
      <c r="BA978" s="7">
        <f t="shared" si="250"/>
        <v>6.3137145766974133E-4</v>
      </c>
      <c r="BB978" s="54">
        <f t="shared" si="244"/>
        <v>710.94585773060317</v>
      </c>
      <c r="BC978" s="55">
        <f t="shared" si="245"/>
        <v>872.71052376589671</v>
      </c>
      <c r="BD978" s="55">
        <f t="shared" si="246"/>
        <v>29.541674356168382</v>
      </c>
      <c r="BE978" s="55">
        <f t="shared" si="247"/>
        <v>28.950308890550254</v>
      </c>
      <c r="BF978" s="56">
        <f t="shared" si="248"/>
        <v>0.37102079422676187</v>
      </c>
      <c r="BG978" s="56">
        <f t="shared" si="251"/>
        <v>2.3768055789594135E-4</v>
      </c>
      <c r="BH978" s="56">
        <f t="shared" si="252"/>
        <v>1.541689196615003E-2</v>
      </c>
      <c r="BI978" s="56">
        <f t="shared" si="249"/>
        <v>1.5108276503599477E-2</v>
      </c>
      <c r="BJ978" s="57">
        <f t="shared" si="253"/>
        <v>4.122846511580372E-2</v>
      </c>
      <c r="BK978" s="57">
        <f t="shared" si="254"/>
        <v>1.7131513988190477E-3</v>
      </c>
      <c r="BL978" s="58">
        <f t="shared" si="255"/>
        <v>72.744069159621958</v>
      </c>
      <c r="BM978" s="58">
        <f t="shared" si="255"/>
        <v>3.0227078181677416</v>
      </c>
    </row>
    <row r="979" spans="47:65" x14ac:dyDescent="0.2">
      <c r="AU979" s="2">
        <v>-658</v>
      </c>
      <c r="AV979" s="53">
        <v>977</v>
      </c>
      <c r="AW979" s="4" t="s">
        <v>2114</v>
      </c>
      <c r="AX979" t="s">
        <v>518</v>
      </c>
      <c r="AY979" s="4">
        <v>42380</v>
      </c>
      <c r="AZ979" s="9">
        <v>24.63929580628449</v>
      </c>
      <c r="BA979" s="7">
        <f t="shared" si="250"/>
        <v>6.3151559882568384E-4</v>
      </c>
      <c r="BB979" s="54">
        <f t="shared" si="244"/>
        <v>713.55248897946717</v>
      </c>
      <c r="BC979" s="55">
        <f t="shared" si="245"/>
        <v>877.56300633788624</v>
      </c>
      <c r="BD979" s="55">
        <f t="shared" si="246"/>
        <v>29.623689951420403</v>
      </c>
      <c r="BE979" s="55">
        <f t="shared" si="247"/>
        <v>29.030682696982538</v>
      </c>
      <c r="BF979" s="56">
        <f t="shared" si="248"/>
        <v>0.37238111496805842</v>
      </c>
      <c r="BG979" s="56">
        <f t="shared" si="251"/>
        <v>2.3900211955181592E-4</v>
      </c>
      <c r="BH979" s="56">
        <f t="shared" si="252"/>
        <v>1.5459693384793112E-2</v>
      </c>
      <c r="BI979" s="56">
        <f t="shared" si="249"/>
        <v>1.5150221123113308E-2</v>
      </c>
      <c r="BJ979" s="57">
        <f t="shared" si="253"/>
        <v>5.0215289690586098E-2</v>
      </c>
      <c r="BK979" s="57">
        <f t="shared" si="254"/>
        <v>2.0847270461382367E-3</v>
      </c>
      <c r="BL979" s="58">
        <f t="shared" si="255"/>
        <v>88.600545663346281</v>
      </c>
      <c r="BM979" s="58">
        <f t="shared" si="255"/>
        <v>3.6783209852040581</v>
      </c>
    </row>
    <row r="980" spans="47:65" x14ac:dyDescent="0.2">
      <c r="AU980" s="2">
        <v>-657</v>
      </c>
      <c r="AV980" s="53">
        <v>978</v>
      </c>
      <c r="AW980" s="4" t="s">
        <v>3265</v>
      </c>
      <c r="AX980" t="s">
        <v>3266</v>
      </c>
      <c r="AY980" s="5">
        <v>41794.974999999991</v>
      </c>
      <c r="AZ980" s="9">
        <v>24.647827873936112</v>
      </c>
      <c r="BA980" s="7">
        <f t="shared" si="250"/>
        <v>6.3173427933727792E-4</v>
      </c>
      <c r="BB980" s="54">
        <f t="shared" si="244"/>
        <v>717.52534215608296</v>
      </c>
      <c r="BC980" s="55">
        <f t="shared" si="245"/>
        <v>884.97380205999514</v>
      </c>
      <c r="BD980" s="55">
        <f t="shared" si="246"/>
        <v>29.748509240968616</v>
      </c>
      <c r="BE980" s="55">
        <f t="shared" si="247"/>
        <v>29.153003353027728</v>
      </c>
      <c r="BF980" s="56">
        <f t="shared" si="248"/>
        <v>0.3744544249464572</v>
      </c>
      <c r="BG980" s="56">
        <f t="shared" si="251"/>
        <v>2.4102043148196541E-4</v>
      </c>
      <c r="BH980" s="56">
        <f t="shared" si="252"/>
        <v>1.5524832736038267E-2</v>
      </c>
      <c r="BI980" s="56">
        <f t="shared" si="249"/>
        <v>1.5214056514321712E-2</v>
      </c>
      <c r="BJ980" s="57">
        <f t="shared" si="253"/>
        <v>4.9797828933657411E-2</v>
      </c>
      <c r="BK980" s="57">
        <f t="shared" si="254"/>
        <v>2.064611641118738E-3</v>
      </c>
      <c r="BL980" s="58">
        <f t="shared" si="255"/>
        <v>87.863972179755507</v>
      </c>
      <c r="BM980" s="58">
        <f t="shared" si="255"/>
        <v>3.6428290887727428</v>
      </c>
    </row>
    <row r="981" spans="47:65" x14ac:dyDescent="0.2">
      <c r="AU981" s="2">
        <v>-656</v>
      </c>
      <c r="AV981" s="53">
        <v>979</v>
      </c>
      <c r="AW981" s="4" t="s">
        <v>2446</v>
      </c>
      <c r="AX981" t="s">
        <v>769</v>
      </c>
      <c r="AY981" s="4">
        <v>71915</v>
      </c>
      <c r="AZ981" s="9">
        <v>24.649418607950111</v>
      </c>
      <c r="BA981" s="7">
        <f t="shared" si="250"/>
        <v>6.3177505052454397E-4</v>
      </c>
      <c r="BB981" s="54">
        <f t="shared" si="244"/>
        <v>718.2684910160948</v>
      </c>
      <c r="BC981" s="55">
        <f t="shared" si="245"/>
        <v>886.36204149803996</v>
      </c>
      <c r="BD981" s="55">
        <f t="shared" si="246"/>
        <v>29.77183302213755</v>
      </c>
      <c r="BE981" s="55">
        <f t="shared" si="247"/>
        <v>29.17586023856493</v>
      </c>
      <c r="BF981" s="56">
        <f t="shared" si="248"/>
        <v>0.3748422514979064</v>
      </c>
      <c r="BG981" s="56">
        <f t="shared" si="251"/>
        <v>2.4139851506768545E-4</v>
      </c>
      <c r="BH981" s="56">
        <f t="shared" si="252"/>
        <v>1.5537004700639227E-2</v>
      </c>
      <c r="BI981" s="56">
        <f t="shared" si="249"/>
        <v>1.5225984820441201E-2</v>
      </c>
      <c r="BJ981" s="57">
        <f t="shared" si="253"/>
        <v>8.577394691838236E-2</v>
      </c>
      <c r="BK981" s="57">
        <f t="shared" si="254"/>
        <v>3.5552828186732029E-3</v>
      </c>
      <c r="BL981" s="58">
        <f t="shared" si="255"/>
        <v>151.34072804308215</v>
      </c>
      <c r="BM981" s="58">
        <f t="shared" si="255"/>
        <v>6.2729897539756498</v>
      </c>
    </row>
    <row r="982" spans="47:65" x14ac:dyDescent="0.2">
      <c r="AU982" s="2">
        <v>-655</v>
      </c>
      <c r="AV982" s="53">
        <v>980</v>
      </c>
      <c r="AW982" s="4" t="s">
        <v>2539</v>
      </c>
      <c r="AX982" t="s">
        <v>846</v>
      </c>
      <c r="AY982" s="4">
        <v>29048</v>
      </c>
      <c r="AZ982" s="9">
        <v>24.655345538947611</v>
      </c>
      <c r="BA982" s="7">
        <f t="shared" si="250"/>
        <v>6.3192696027908866E-4</v>
      </c>
      <c r="BB982" s="54">
        <f t="shared" si="244"/>
        <v>721.04417980849621</v>
      </c>
      <c r="BC982" s="55">
        <f t="shared" si="245"/>
        <v>891.55272470534703</v>
      </c>
      <c r="BD982" s="55">
        <f t="shared" si="246"/>
        <v>29.858880164958414</v>
      </c>
      <c r="BE982" s="55">
        <f t="shared" si="247"/>
        <v>29.261164871007932</v>
      </c>
      <c r="BF982" s="56">
        <f t="shared" si="248"/>
        <v>0.37629079817566674</v>
      </c>
      <c r="BG982" s="56">
        <f t="shared" si="251"/>
        <v>2.4281218483214958E-4</v>
      </c>
      <c r="BH982" s="56">
        <f t="shared" si="252"/>
        <v>1.5582431929328283E-2</v>
      </c>
      <c r="BI982" s="56">
        <f t="shared" si="249"/>
        <v>1.5270502686515209E-2</v>
      </c>
      <c r="BJ982" s="57">
        <f t="shared" si="253"/>
        <v>3.4779810088593759E-2</v>
      </c>
      <c r="BK982" s="57">
        <f t="shared" si="254"/>
        <v>1.4402531920737337E-3</v>
      </c>
      <c r="BL982" s="58">
        <f t="shared" si="255"/>
        <v>61.365973808066208</v>
      </c>
      <c r="BM982" s="58">
        <f t="shared" si="255"/>
        <v>2.5412024803081388</v>
      </c>
    </row>
    <row r="983" spans="47:65" x14ac:dyDescent="0.2">
      <c r="AU983" s="2">
        <v>-654</v>
      </c>
      <c r="AV983" s="53">
        <v>981</v>
      </c>
      <c r="AW983" s="4" t="s">
        <v>2433</v>
      </c>
      <c r="AX983" t="s">
        <v>761</v>
      </c>
      <c r="AY983" s="4">
        <v>130689</v>
      </c>
      <c r="AZ983" s="9">
        <v>24.659652338610215</v>
      </c>
      <c r="BA983" s="7">
        <f t="shared" si="250"/>
        <v>6.3203734538056779E-4</v>
      </c>
      <c r="BB983" s="54">
        <f t="shared" si="244"/>
        <v>723.06785908030088</v>
      </c>
      <c r="BC983" s="55">
        <f t="shared" si="245"/>
        <v>895.34262355698945</v>
      </c>
      <c r="BD983" s="55">
        <f t="shared" si="246"/>
        <v>29.922276376589224</v>
      </c>
      <c r="BE983" s="55">
        <f t="shared" si="247"/>
        <v>29.323292016784265</v>
      </c>
      <c r="BF983" s="56">
        <f t="shared" si="248"/>
        <v>0.37734689419552669</v>
      </c>
      <c r="BG983" s="56">
        <f t="shared" si="251"/>
        <v>2.4384435443351878E-4</v>
      </c>
      <c r="BH983" s="56">
        <f t="shared" si="252"/>
        <v>1.5615516463873963E-2</v>
      </c>
      <c r="BI983" s="56">
        <f t="shared" si="249"/>
        <v>1.5302924934592611E-2</v>
      </c>
      <c r="BJ983" s="57">
        <f t="shared" si="253"/>
        <v>0.15691598481946067</v>
      </c>
      <c r="BK983" s="57">
        <f t="shared" si="254"/>
        <v>6.4935585321754911E-3</v>
      </c>
      <c r="BL983" s="58">
        <f t="shared" si="255"/>
        <v>276.8647151887676</v>
      </c>
      <c r="BM983" s="58">
        <f t="shared" si="255"/>
        <v>11.457323711417017</v>
      </c>
    </row>
    <row r="984" spans="47:65" x14ac:dyDescent="0.2">
      <c r="AU984" s="2">
        <v>-653</v>
      </c>
      <c r="AV984" s="53">
        <v>982</v>
      </c>
      <c r="AW984" s="4" t="s">
        <v>2908</v>
      </c>
      <c r="AX984" t="s">
        <v>1121</v>
      </c>
      <c r="AY984" s="4">
        <v>33586</v>
      </c>
      <c r="AZ984" s="9">
        <v>24.661791867642304</v>
      </c>
      <c r="BA984" s="7">
        <f t="shared" si="250"/>
        <v>6.3209218241684216E-4</v>
      </c>
      <c r="BB984" s="54">
        <f t="shared" si="244"/>
        <v>724.07529188970238</v>
      </c>
      <c r="BC984" s="55">
        <f t="shared" si="245"/>
        <v>897.23104896664654</v>
      </c>
      <c r="BD984" s="55">
        <f t="shared" si="246"/>
        <v>29.95381526561594</v>
      </c>
      <c r="BE984" s="55">
        <f t="shared" si="247"/>
        <v>29.354199560086652</v>
      </c>
      <c r="BF984" s="56">
        <f t="shared" si="248"/>
        <v>0.37787264241813723</v>
      </c>
      <c r="BG984" s="56">
        <f t="shared" si="251"/>
        <v>2.4435866243449834E-4</v>
      </c>
      <c r="BH984" s="56">
        <f t="shared" si="252"/>
        <v>1.5631975640797883E-2</v>
      </c>
      <c r="BI984" s="56">
        <f t="shared" si="249"/>
        <v>1.5319054631585638E-2</v>
      </c>
      <c r="BJ984" s="57">
        <f t="shared" si="253"/>
        <v>4.0382305165311889E-2</v>
      </c>
      <c r="BK984" s="57">
        <f t="shared" si="254"/>
        <v>1.6705501796155508E-3</v>
      </c>
      <c r="BL984" s="58">
        <f t="shared" si="255"/>
        <v>71.251092940745323</v>
      </c>
      <c r="BM984" s="58">
        <f t="shared" si="255"/>
        <v>2.9475416428731029</v>
      </c>
    </row>
    <row r="985" spans="47:65" x14ac:dyDescent="0.2">
      <c r="AU985" s="2">
        <v>-652</v>
      </c>
      <c r="AV985" s="53">
        <v>983</v>
      </c>
      <c r="AW985" s="4" t="s">
        <v>1483</v>
      </c>
      <c r="AX985" t="s">
        <v>80</v>
      </c>
      <c r="AY985" s="4">
        <v>60327</v>
      </c>
      <c r="AZ985" s="9">
        <v>24.688058176084144</v>
      </c>
      <c r="BA985" s="7">
        <f t="shared" si="250"/>
        <v>6.3276539903938701E-4</v>
      </c>
      <c r="BB985" s="54">
        <f t="shared" si="244"/>
        <v>736.55822199818681</v>
      </c>
      <c r="BC985" s="55">
        <f t="shared" si="245"/>
        <v>920.72493441644156</v>
      </c>
      <c r="BD985" s="55">
        <f t="shared" si="246"/>
        <v>30.343449612996238</v>
      </c>
      <c r="BE985" s="55">
        <f t="shared" si="247"/>
        <v>29.736034204089229</v>
      </c>
      <c r="BF985" s="56">
        <f t="shared" si="248"/>
        <v>0.38438710001398124</v>
      </c>
      <c r="BG985" s="56">
        <f t="shared" si="251"/>
        <v>2.5075716416993313E-4</v>
      </c>
      <c r="BH985" s="56">
        <f t="shared" si="252"/>
        <v>1.5835313832378982E-2</v>
      </c>
      <c r="BI985" s="56">
        <f t="shared" si="249"/>
        <v>1.5518322397675867E-2</v>
      </c>
      <c r="BJ985" s="57">
        <f t="shared" si="253"/>
        <v>7.3784970053314941E-2</v>
      </c>
      <c r="BK985" s="57">
        <f t="shared" si="254"/>
        <v>3.0396653708317186E-3</v>
      </c>
      <c r="BL985" s="58">
        <f t="shared" si="255"/>
        <v>130.18721287398924</v>
      </c>
      <c r="BM985" s="58">
        <f t="shared" si="255"/>
        <v>5.3632272590504835</v>
      </c>
    </row>
    <row r="986" spans="47:65" x14ac:dyDescent="0.2">
      <c r="AU986" s="2">
        <v>-651</v>
      </c>
      <c r="AV986" s="53">
        <v>984</v>
      </c>
      <c r="AW986" s="4" t="s">
        <v>1727</v>
      </c>
      <c r="AX986" t="s">
        <v>238</v>
      </c>
      <c r="AY986" s="4">
        <v>54755</v>
      </c>
      <c r="AZ986" s="9">
        <v>24.691984701177578</v>
      </c>
      <c r="BA986" s="7">
        <f t="shared" si="250"/>
        <v>6.3286603754241801E-4</v>
      </c>
      <c r="BB986" s="54">
        <f t="shared" si="244"/>
        <v>738.44268488591501</v>
      </c>
      <c r="BC986" s="55">
        <f t="shared" si="245"/>
        <v>924.28677721050224</v>
      </c>
      <c r="BD986" s="55">
        <f t="shared" si="246"/>
        <v>30.402085079982626</v>
      </c>
      <c r="BE986" s="55">
        <f t="shared" si="247"/>
        <v>29.793495905844232</v>
      </c>
      <c r="BF986" s="56">
        <f t="shared" si="248"/>
        <v>0.38537054328141573</v>
      </c>
      <c r="BG986" s="56">
        <f t="shared" si="251"/>
        <v>2.5172722326672302E-4</v>
      </c>
      <c r="BH986" s="56">
        <f t="shared" si="252"/>
        <v>1.5865913880603381E-2</v>
      </c>
      <c r="BI986" s="56">
        <f t="shared" si="249"/>
        <v>1.5548309893898373E-2</v>
      </c>
      <c r="BJ986" s="57">
        <f t="shared" si="253"/>
        <v>6.7141288378591624E-2</v>
      </c>
      <c r="BK986" s="57">
        <f t="shared" si="254"/>
        <v>2.7642431883269027E-3</v>
      </c>
      <c r="BL986" s="58">
        <f t="shared" si="255"/>
        <v>118.46500983142843</v>
      </c>
      <c r="BM986" s="58">
        <f t="shared" si="255"/>
        <v>4.8772685837530041</v>
      </c>
    </row>
    <row r="987" spans="47:65" x14ac:dyDescent="0.2">
      <c r="AU987" s="2">
        <v>-650</v>
      </c>
      <c r="AV987" s="53">
        <v>985</v>
      </c>
      <c r="AW987" s="4" t="s">
        <v>2336</v>
      </c>
      <c r="AX987" t="s">
        <v>685</v>
      </c>
      <c r="AY987" s="4">
        <v>37578</v>
      </c>
      <c r="AZ987" s="9">
        <v>24.692002443994287</v>
      </c>
      <c r="BA987" s="7">
        <f t="shared" si="250"/>
        <v>6.3286649229833344E-4</v>
      </c>
      <c r="BB987" s="54">
        <f t="shared" si="244"/>
        <v>738.45121115565314</v>
      </c>
      <c r="BC987" s="55">
        <f t="shared" si="245"/>
        <v>924.30290176666438</v>
      </c>
      <c r="BD987" s="55">
        <f t="shared" si="246"/>
        <v>30.402350267153103</v>
      </c>
      <c r="BE987" s="55">
        <f t="shared" si="247"/>
        <v>29.793755784495879</v>
      </c>
      <c r="BF987" s="56">
        <f t="shared" si="248"/>
        <v>0.38537499287956156</v>
      </c>
      <c r="BG987" s="56">
        <f t="shared" si="251"/>
        <v>2.5173161474979696E-4</v>
      </c>
      <c r="BH987" s="56">
        <f t="shared" si="252"/>
        <v>1.5866052273637476E-2</v>
      </c>
      <c r="BI987" s="56">
        <f t="shared" si="249"/>
        <v>1.5548445516579641E-2</v>
      </c>
      <c r="BJ987" s="57">
        <f t="shared" si="253"/>
        <v>4.607916110630815E-2</v>
      </c>
      <c r="BK987" s="57">
        <f t="shared" si="254"/>
        <v>1.8970986502659022E-3</v>
      </c>
      <c r="BL987" s="58">
        <f t="shared" si="255"/>
        <v>81.302703676197694</v>
      </c>
      <c r="BM987" s="58">
        <f t="shared" si="255"/>
        <v>3.3472668708365036</v>
      </c>
    </row>
    <row r="988" spans="47:65" x14ac:dyDescent="0.2">
      <c r="AU988" s="2">
        <v>-649</v>
      </c>
      <c r="AV988" s="53">
        <v>986</v>
      </c>
      <c r="AW988" s="4" t="s">
        <v>1862</v>
      </c>
      <c r="AX988" t="s">
        <v>337</v>
      </c>
      <c r="AY988" s="4">
        <v>30263</v>
      </c>
      <c r="AZ988" s="9">
        <v>24.692534627054251</v>
      </c>
      <c r="BA988" s="7">
        <f t="shared" si="250"/>
        <v>6.3288013237581132E-4</v>
      </c>
      <c r="BB988" s="54">
        <f t="shared" si="244"/>
        <v>738.70699626983833</v>
      </c>
      <c r="BC988" s="55">
        <f t="shared" si="245"/>
        <v>924.78667033972931</v>
      </c>
      <c r="BD988" s="55">
        <f t="shared" si="246"/>
        <v>30.410305331247979</v>
      </c>
      <c r="BE988" s="55">
        <f t="shared" si="247"/>
        <v>29.801551604056211</v>
      </c>
      <c r="BF988" s="56">
        <f t="shared" si="248"/>
        <v>0.38550847926981802</v>
      </c>
      <c r="BG988" s="56">
        <f t="shared" si="251"/>
        <v>2.5186336792707662E-4</v>
      </c>
      <c r="BH988" s="56">
        <f t="shared" si="252"/>
        <v>1.5870203777112523E-2</v>
      </c>
      <c r="BI988" s="56">
        <f t="shared" si="249"/>
        <v>1.5552513915226034E-2</v>
      </c>
      <c r="BJ988" s="57">
        <f t="shared" si="253"/>
        <v>3.7122163978819817E-2</v>
      </c>
      <c r="BK988" s="57">
        <f t="shared" si="254"/>
        <v>1.5282058337786112E-3</v>
      </c>
      <c r="BL988" s="58">
        <f t="shared" si="255"/>
        <v>65.498855129461759</v>
      </c>
      <c r="BM988" s="58">
        <f t="shared" si="255"/>
        <v>2.6963873273059615</v>
      </c>
    </row>
    <row r="989" spans="47:65" x14ac:dyDescent="0.2">
      <c r="AU989" s="2">
        <v>-648</v>
      </c>
      <c r="AV989" s="53">
        <v>987</v>
      </c>
      <c r="AW989" s="4" t="s">
        <v>2508</v>
      </c>
      <c r="AX989" t="s">
        <v>819</v>
      </c>
      <c r="AY989" s="4">
        <v>62139</v>
      </c>
      <c r="AZ989" s="9">
        <v>24.695670517448846</v>
      </c>
      <c r="BA989" s="7">
        <f t="shared" si="250"/>
        <v>6.32960506576274E-4</v>
      </c>
      <c r="BB989" s="54">
        <f t="shared" si="244"/>
        <v>740.216011226864</v>
      </c>
      <c r="BC989" s="55">
        <f t="shared" si="245"/>
        <v>927.64216009833137</v>
      </c>
      <c r="BD989" s="55">
        <f t="shared" si="246"/>
        <v>30.457218522024156</v>
      </c>
      <c r="BE989" s="55">
        <f t="shared" si="247"/>
        <v>29.847525686216795</v>
      </c>
      <c r="BF989" s="56">
        <f t="shared" si="248"/>
        <v>0.3862959878005558</v>
      </c>
      <c r="BG989" s="56">
        <f t="shared" si="251"/>
        <v>2.5264105351743322E-4</v>
      </c>
      <c r="BH989" s="56">
        <f t="shared" si="252"/>
        <v>1.5894686329633347E-2</v>
      </c>
      <c r="BI989" s="56">
        <f t="shared" si="249"/>
        <v>1.5576506375821248E-2</v>
      </c>
      <c r="BJ989" s="57">
        <f t="shared" si="253"/>
        <v>7.6378623896714723E-2</v>
      </c>
      <c r="BK989" s="57">
        <f t="shared" si="254"/>
        <v>3.142704836360124E-3</v>
      </c>
      <c r="BL989" s="58">
        <f t="shared" si="255"/>
        <v>134.76349127849551</v>
      </c>
      <c r="BM989" s="58">
        <f t="shared" si="255"/>
        <v>5.5450315048674268</v>
      </c>
    </row>
    <row r="990" spans="47:65" x14ac:dyDescent="0.2">
      <c r="AU990" s="2">
        <v>-647</v>
      </c>
      <c r="AV990" s="53">
        <v>988</v>
      </c>
      <c r="AW990" s="4" t="s">
        <v>2097</v>
      </c>
      <c r="AX990" t="s">
        <v>505</v>
      </c>
      <c r="AY990" s="4">
        <v>20424</v>
      </c>
      <c r="AZ990" s="9">
        <v>24.698022387363622</v>
      </c>
      <c r="BA990" s="7">
        <f t="shared" si="250"/>
        <v>6.3302078599940638E-4</v>
      </c>
      <c r="BB990" s="54">
        <f t="shared" si="244"/>
        <v>741.34977211214778</v>
      </c>
      <c r="BC990" s="55">
        <f t="shared" si="245"/>
        <v>929.78922097500845</v>
      </c>
      <c r="BD990" s="55">
        <f t="shared" si="246"/>
        <v>30.492445309863367</v>
      </c>
      <c r="BE990" s="55">
        <f t="shared" si="247"/>
        <v>29.882047303944738</v>
      </c>
      <c r="BF990" s="56">
        <f t="shared" si="248"/>
        <v>0.38688766276363118</v>
      </c>
      <c r="BG990" s="56">
        <f t="shared" si="251"/>
        <v>2.5322580024970129E-4</v>
      </c>
      <c r="BH990" s="56">
        <f t="shared" si="252"/>
        <v>1.5913070107609697E-2</v>
      </c>
      <c r="BI990" s="56">
        <f t="shared" si="249"/>
        <v>1.5594522147187961E-2</v>
      </c>
      <c r="BJ990" s="57">
        <f t="shared" si="253"/>
        <v>2.5142766083480643E-2</v>
      </c>
      <c r="BK990" s="57">
        <f t="shared" si="254"/>
        <v>1.0341466991417062E-3</v>
      </c>
      <c r="BL990" s="58">
        <f t="shared" si="255"/>
        <v>44.362241225900618</v>
      </c>
      <c r="BM990" s="58">
        <f t="shared" si="255"/>
        <v>1.824662615798486</v>
      </c>
    </row>
    <row r="991" spans="47:65" x14ac:dyDescent="0.2">
      <c r="AU991" s="2">
        <v>-646</v>
      </c>
      <c r="AV991" s="53">
        <v>989</v>
      </c>
      <c r="AW991" s="4" t="s">
        <v>2611</v>
      </c>
      <c r="AX991" t="s">
        <v>905</v>
      </c>
      <c r="AY991" s="4">
        <v>104523</v>
      </c>
      <c r="AZ991" s="9">
        <v>24.702996412091096</v>
      </c>
      <c r="BA991" s="7">
        <f t="shared" si="250"/>
        <v>6.3314827236220824E-4</v>
      </c>
      <c r="BB991" s="54">
        <f t="shared" si="244"/>
        <v>743.75331327535764</v>
      </c>
      <c r="BC991" s="55">
        <f t="shared" si="245"/>
        <v>934.34562885623598</v>
      </c>
      <c r="BD991" s="55">
        <f t="shared" si="246"/>
        <v>30.567067717663662</v>
      </c>
      <c r="BE991" s="55">
        <f t="shared" si="247"/>
        <v>29.955175919808855</v>
      </c>
      <c r="BF991" s="56">
        <f t="shared" si="248"/>
        <v>0.38814199703062818</v>
      </c>
      <c r="BG991" s="56">
        <f t="shared" si="251"/>
        <v>2.5446672669406816E-4</v>
      </c>
      <c r="BH991" s="56">
        <f t="shared" si="252"/>
        <v>1.5952013248930936E-2</v>
      </c>
      <c r="BI991" s="56">
        <f t="shared" si="249"/>
        <v>1.5632685724405203E-2</v>
      </c>
      <c r="BJ991" s="57">
        <f t="shared" si="253"/>
        <v>0.129089189617553</v>
      </c>
      <c r="BK991" s="57">
        <f t="shared" si="254"/>
        <v>5.3053585513202538E-3</v>
      </c>
      <c r="BL991" s="58">
        <f t="shared" si="255"/>
        <v>227.76673618391067</v>
      </c>
      <c r="BM991" s="58">
        <f t="shared" si="255"/>
        <v>9.3608473730421782</v>
      </c>
    </row>
    <row r="992" spans="47:65" x14ac:dyDescent="0.2">
      <c r="AU992" s="2">
        <v>-645</v>
      </c>
      <c r="AV992" s="53">
        <v>990</v>
      </c>
      <c r="AW992" s="4" t="s">
        <v>2890</v>
      </c>
      <c r="AX992" t="s">
        <v>1106</v>
      </c>
      <c r="AY992" s="4">
        <v>28212</v>
      </c>
      <c r="AZ992" s="9">
        <v>24.703190087247442</v>
      </c>
      <c r="BA992" s="7">
        <f t="shared" si="250"/>
        <v>6.3315323633858565E-4</v>
      </c>
      <c r="BB992" s="54">
        <f t="shared" si="244"/>
        <v>743.84705817655481</v>
      </c>
      <c r="BC992" s="55">
        <f t="shared" si="245"/>
        <v>934.52347084591236</v>
      </c>
      <c r="BD992" s="55">
        <f t="shared" si="246"/>
        <v>30.569976624883317</v>
      </c>
      <c r="BE992" s="55">
        <f t="shared" si="247"/>
        <v>29.958026596501302</v>
      </c>
      <c r="BF992" s="56">
        <f t="shared" si="248"/>
        <v>0.38819091961357655</v>
      </c>
      <c r="BG992" s="56">
        <f t="shared" si="251"/>
        <v>2.5451516152117667E-4</v>
      </c>
      <c r="BH992" s="56">
        <f t="shared" si="252"/>
        <v>1.5953531318212175E-2</v>
      </c>
      <c r="BI992" s="56">
        <f t="shared" si="249"/>
        <v>1.5634173404963835E-2</v>
      </c>
      <c r="BJ992" s="57">
        <f t="shared" si="253"/>
        <v>3.4847098236688447E-2</v>
      </c>
      <c r="BK992" s="57">
        <f t="shared" si="254"/>
        <v>1.4321156033768859E-3</v>
      </c>
      <c r="BL992" s="58">
        <f t="shared" si="255"/>
        <v>61.484697939194398</v>
      </c>
      <c r="BM992" s="58">
        <f t="shared" si="255"/>
        <v>2.526844407231847</v>
      </c>
    </row>
    <row r="993" spans="47:65" x14ac:dyDescent="0.2">
      <c r="AU993" s="2">
        <v>-644</v>
      </c>
      <c r="AV993" s="53">
        <v>991</v>
      </c>
      <c r="AW993" s="4" t="s">
        <v>1800</v>
      </c>
      <c r="AX993" t="s">
        <v>287</v>
      </c>
      <c r="AY993" s="4">
        <v>75292</v>
      </c>
      <c r="AZ993" s="9">
        <v>24.706232654244022</v>
      </c>
      <c r="BA993" s="7">
        <f t="shared" si="250"/>
        <v>6.3323121862078721E-4</v>
      </c>
      <c r="BB993" s="54">
        <f t="shared" si="244"/>
        <v>745.32130876847827</v>
      </c>
      <c r="BC993" s="55">
        <f t="shared" si="245"/>
        <v>937.32152226259325</v>
      </c>
      <c r="BD993" s="55">
        <f t="shared" si="246"/>
        <v>30.615707116814946</v>
      </c>
      <c r="BE993" s="55">
        <f t="shared" si="247"/>
        <v>30.002841655091949</v>
      </c>
      <c r="BF993" s="56">
        <f t="shared" si="248"/>
        <v>0.38896028569055269</v>
      </c>
      <c r="BG993" s="56">
        <f t="shared" si="251"/>
        <v>2.5527720392083919E-4</v>
      </c>
      <c r="BH993" s="56">
        <f t="shared" si="252"/>
        <v>1.5977396656553258E-2</v>
      </c>
      <c r="BI993" s="56">
        <f t="shared" si="249"/>
        <v>1.5657561006777527E-2</v>
      </c>
      <c r="BJ993" s="57">
        <f t="shared" si="253"/>
        <v>9.3184025155632733E-2</v>
      </c>
      <c r="BK993" s="57">
        <f t="shared" si="254"/>
        <v>3.8277381695216673E-3</v>
      </c>
      <c r="BL993" s="58">
        <f t="shared" si="255"/>
        <v>164.4151716891088</v>
      </c>
      <c r="BM993" s="58">
        <f t="shared" si="255"/>
        <v>6.7537137108185767</v>
      </c>
    </row>
    <row r="994" spans="47:65" x14ac:dyDescent="0.2">
      <c r="AU994" s="2">
        <v>-643</v>
      </c>
      <c r="AV994" s="53">
        <v>992</v>
      </c>
      <c r="AW994" s="4" t="s">
        <v>2768</v>
      </c>
      <c r="AX994" t="s">
        <v>1016</v>
      </c>
      <c r="AY994" s="4">
        <v>47227</v>
      </c>
      <c r="AZ994" s="9">
        <v>24.707655006256019</v>
      </c>
      <c r="BA994" s="7">
        <f t="shared" si="250"/>
        <v>6.3326767410594627E-4</v>
      </c>
      <c r="BB994" s="54">
        <f t="shared" si="244"/>
        <v>746.01149959792519</v>
      </c>
      <c r="BC994" s="55">
        <f t="shared" si="245"/>
        <v>938.63229107344239</v>
      </c>
      <c r="BD994" s="55">
        <f t="shared" si="246"/>
        <v>30.637106440939267</v>
      </c>
      <c r="BE994" s="55">
        <f t="shared" si="247"/>
        <v>30.023812607380531</v>
      </c>
      <c r="BF994" s="56">
        <f t="shared" si="248"/>
        <v>0.38932047507336531</v>
      </c>
      <c r="BG994" s="56">
        <f t="shared" si="251"/>
        <v>2.5563418857238646E-4</v>
      </c>
      <c r="BH994" s="56">
        <f t="shared" si="252"/>
        <v>1.5988564306165406E-2</v>
      </c>
      <c r="BI994" s="56">
        <f t="shared" si="249"/>
        <v>1.5668505102293413E-2</v>
      </c>
      <c r="BJ994" s="57">
        <f t="shared" si="253"/>
        <v>5.8503921216041907E-2</v>
      </c>
      <c r="BK994" s="57">
        <f t="shared" si="254"/>
        <v>2.4026316785657129E-3</v>
      </c>
      <c r="BL994" s="58">
        <f t="shared" si="255"/>
        <v>103.22512077747677</v>
      </c>
      <c r="BM994" s="58">
        <f t="shared" si="255"/>
        <v>4.2392362776485495</v>
      </c>
    </row>
    <row r="995" spans="47:65" x14ac:dyDescent="0.2">
      <c r="AU995" s="2">
        <v>-642</v>
      </c>
      <c r="AV995" s="53">
        <v>993</v>
      </c>
      <c r="AW995" s="4" t="s">
        <v>1929</v>
      </c>
      <c r="AX995" t="s">
        <v>384</v>
      </c>
      <c r="AY995" s="4">
        <v>23292</v>
      </c>
      <c r="AZ995" s="9">
        <v>24.712158640237416</v>
      </c>
      <c r="BA995" s="7">
        <f t="shared" si="250"/>
        <v>6.333831041544759E-4</v>
      </c>
      <c r="BB995" s="54">
        <f t="shared" si="244"/>
        <v>748.20108953307522</v>
      </c>
      <c r="BC995" s="55">
        <f t="shared" si="245"/>
        <v>942.79409278927267</v>
      </c>
      <c r="BD995" s="55">
        <f t="shared" si="246"/>
        <v>30.704952251864398</v>
      </c>
      <c r="BE995" s="55">
        <f t="shared" si="247"/>
        <v>30.09030028033812</v>
      </c>
      <c r="BF995" s="56">
        <f t="shared" si="248"/>
        <v>0.39046315476962778</v>
      </c>
      <c r="BG995" s="56">
        <f t="shared" si="251"/>
        <v>2.5676764500120146E-4</v>
      </c>
      <c r="BH995" s="56">
        <f t="shared" si="252"/>
        <v>1.602397094983642E-2</v>
      </c>
      <c r="BI995" s="56">
        <f t="shared" si="249"/>
        <v>1.5703202975497727E-2</v>
      </c>
      <c r="BJ995" s="57">
        <f t="shared" si="253"/>
        <v>2.8938379815703383E-2</v>
      </c>
      <c r="BK995" s="57">
        <f t="shared" si="254"/>
        <v>1.1875839034690735E-3</v>
      </c>
      <c r="BL995" s="58">
        <f t="shared" si="255"/>
        <v>51.059274139070702</v>
      </c>
      <c r="BM995" s="58">
        <f t="shared" si="255"/>
        <v>2.0953893229872667</v>
      </c>
    </row>
    <row r="996" spans="47:65" x14ac:dyDescent="0.2">
      <c r="AU996" s="2">
        <v>-641</v>
      </c>
      <c r="AV996" s="53">
        <v>994</v>
      </c>
      <c r="AW996" s="4" t="s">
        <v>1414</v>
      </c>
      <c r="AX996" t="s">
        <v>29</v>
      </c>
      <c r="AY996" s="4">
        <v>31558</v>
      </c>
      <c r="AZ996" s="9">
        <v>24.712928282848832</v>
      </c>
      <c r="BA996" s="7">
        <f t="shared" si="250"/>
        <v>6.3340283042094276E-4</v>
      </c>
      <c r="BB996" s="54">
        <f t="shared" si="244"/>
        <v>748.57591913385966</v>
      </c>
      <c r="BC996" s="55">
        <f t="shared" si="245"/>
        <v>943.50706706649669</v>
      </c>
      <c r="BD996" s="55">
        <f t="shared" si="246"/>
        <v>30.716560143780693</v>
      </c>
      <c r="BE996" s="55">
        <f t="shared" si="247"/>
        <v>30.101675805384303</v>
      </c>
      <c r="BF996" s="56">
        <f t="shared" si="248"/>
        <v>0.39065876681894285</v>
      </c>
      <c r="BG996" s="56">
        <f t="shared" si="251"/>
        <v>2.5696182178647393E-4</v>
      </c>
      <c r="BH996" s="56">
        <f t="shared" si="252"/>
        <v>1.6030028751891679E-2</v>
      </c>
      <c r="BI996" s="56">
        <f t="shared" si="249"/>
        <v>1.5709139512424621E-2</v>
      </c>
      <c r="BJ996" s="57">
        <f t="shared" si="253"/>
        <v>3.9227842125554982E-2</v>
      </c>
      <c r="BK996" s="57">
        <f t="shared" si="254"/>
        <v>1.6096488561301182E-3</v>
      </c>
      <c r="BL996" s="58">
        <f t="shared" si="255"/>
        <v>69.214142523832706</v>
      </c>
      <c r="BM996" s="58">
        <f t="shared" si="255"/>
        <v>2.8400865126592301</v>
      </c>
    </row>
    <row r="997" spans="47:65" x14ac:dyDescent="0.2">
      <c r="AU997" s="2">
        <v>-640</v>
      </c>
      <c r="AV997" s="53">
        <v>995</v>
      </c>
      <c r="AW997" s="4" t="s">
        <v>2378</v>
      </c>
      <c r="AX997" t="s">
        <v>719</v>
      </c>
      <c r="AY997" s="4">
        <v>53253</v>
      </c>
      <c r="AZ997" s="9">
        <v>24.715880598925047</v>
      </c>
      <c r="BA997" s="7">
        <f t="shared" si="250"/>
        <v>6.3347849953378796E-4</v>
      </c>
      <c r="BB997" s="54">
        <f t="shared" si="244"/>
        <v>750.01549209695588</v>
      </c>
      <c r="BC997" s="55">
        <f t="shared" si="245"/>
        <v>946.24675141477974</v>
      </c>
      <c r="BD997" s="55">
        <f t="shared" si="246"/>
        <v>30.761124027167469</v>
      </c>
      <c r="BE997" s="55">
        <f t="shared" si="247"/>
        <v>30.145347608608965</v>
      </c>
      <c r="BF997" s="56">
        <f t="shared" si="248"/>
        <v>0.39141003570715344</v>
      </c>
      <c r="BG997" s="56">
        <f t="shared" si="251"/>
        <v>2.5770796805906691E-4</v>
      </c>
      <c r="BH997" s="56">
        <f t="shared" si="252"/>
        <v>1.6053285273085596E-2</v>
      </c>
      <c r="BI997" s="56">
        <f t="shared" si="249"/>
        <v>1.5731930484397503E-2</v>
      </c>
      <c r="BJ997" s="57">
        <f t="shared" si="253"/>
        <v>6.6322884713421446E-2</v>
      </c>
      <c r="BK997" s="57">
        <f t="shared" si="254"/>
        <v>2.7201657885826758E-3</v>
      </c>
      <c r="BL997" s="58">
        <f t="shared" si="255"/>
        <v>117.02100718295712</v>
      </c>
      <c r="BM997" s="58">
        <f t="shared" si="255"/>
        <v>4.799497815271466</v>
      </c>
    </row>
    <row r="998" spans="47:65" x14ac:dyDescent="0.2">
      <c r="AU998" s="2">
        <v>-639</v>
      </c>
      <c r="AV998" s="53">
        <v>996</v>
      </c>
      <c r="AW998" s="4" t="s">
        <v>1765</v>
      </c>
      <c r="AX998" t="s">
        <v>263</v>
      </c>
      <c r="AY998" s="4">
        <v>26267</v>
      </c>
      <c r="AZ998" s="9">
        <v>24.146444582734031</v>
      </c>
      <c r="BA998" s="7">
        <f t="shared" si="250"/>
        <v>6.1888361299218238E-4</v>
      </c>
      <c r="BB998" s="54">
        <f t="shared" si="244"/>
        <v>-1.3042959349924397</v>
      </c>
      <c r="BC998" s="55">
        <f t="shared" si="245"/>
        <v>751.67377564540629</v>
      </c>
      <c r="BD998" s="55">
        <f t="shared" si="246"/>
        <v>27.416669667291945</v>
      </c>
      <c r="BE998" s="55">
        <f t="shared" si="247"/>
        <v>26.867842561961972</v>
      </c>
      <c r="BF998" s="56">
        <f t="shared" si="248"/>
        <v>31.848838246375625</v>
      </c>
      <c r="BG998" s="56">
        <f t="shared" si="251"/>
        <v>0.39227544292840577</v>
      </c>
      <c r="BH998" s="56">
        <f t="shared" si="252"/>
        <v>0.62631896261282538</v>
      </c>
      <c r="BI998" s="56">
        <f t="shared" si="249"/>
        <v>0.61378130477781301</v>
      </c>
      <c r="BJ998" s="57">
        <f t="shared" si="253"/>
        <v>2.661898192777814</v>
      </c>
      <c r="BK998" s="57">
        <f t="shared" si="254"/>
        <v>5.2347194010170253E-2</v>
      </c>
      <c r="BL998" s="58">
        <f t="shared" si="255"/>
        <v>4696.6896702898812</v>
      </c>
      <c r="BM998" s="58">
        <f t="shared" si="255"/>
        <v>92.362106876695449</v>
      </c>
    </row>
    <row r="999" spans="47:65" x14ac:dyDescent="0.2">
      <c r="AU999" s="2">
        <v>-638</v>
      </c>
      <c r="AV999" s="53">
        <v>997</v>
      </c>
      <c r="AW999" s="4" t="s">
        <v>2462</v>
      </c>
      <c r="AX999" t="s">
        <v>781</v>
      </c>
      <c r="AY999" s="4">
        <v>35550</v>
      </c>
      <c r="AZ999" s="9">
        <v>24.726642812891555</v>
      </c>
      <c r="BA999" s="7">
        <f t="shared" si="250"/>
        <v>6.3375433964103713E-4</v>
      </c>
      <c r="BB999" s="54">
        <f t="shared" si="244"/>
        <v>755.28671557068844</v>
      </c>
      <c r="BC999" s="55">
        <f t="shared" si="245"/>
        <v>956.29785783041837</v>
      </c>
      <c r="BD999" s="55">
        <f t="shared" si="246"/>
        <v>30.92406599770506</v>
      </c>
      <c r="BE999" s="55">
        <f t="shared" si="247"/>
        <v>30.305027805520798</v>
      </c>
      <c r="BF999" s="56">
        <f t="shared" si="248"/>
        <v>0.39416092524185592</v>
      </c>
      <c r="BG999" s="56">
        <f t="shared" si="251"/>
        <v>2.6044536209212065E-4</v>
      </c>
      <c r="BH999" s="56">
        <f t="shared" si="252"/>
        <v>1.6138319679945636E-2</v>
      </c>
      <c r="BI999" s="56">
        <f t="shared" si="249"/>
        <v>1.5815262671843706E-2</v>
      </c>
      <c r="BJ999" s="57">
        <f t="shared" si="253"/>
        <v>4.4586208842108066E-2</v>
      </c>
      <c r="BK999" s="57">
        <f t="shared" si="254"/>
        <v>1.8255145183892773E-3</v>
      </c>
      <c r="BL999" s="58">
        <f t="shared" si="255"/>
        <v>78.66851823043983</v>
      </c>
      <c r="BM999" s="58">
        <f t="shared" si="255"/>
        <v>3.2209628470185363</v>
      </c>
    </row>
    <row r="1000" spans="47:65" x14ac:dyDescent="0.2">
      <c r="AU1000" s="2">
        <v>-637</v>
      </c>
      <c r="AV1000" s="53">
        <v>998</v>
      </c>
      <c r="AW1000" s="4" t="s">
        <v>2463</v>
      </c>
      <c r="AX1000" t="s">
        <v>782</v>
      </c>
      <c r="AY1000" s="4">
        <v>22813</v>
      </c>
      <c r="AZ1000" s="9">
        <v>24.726677456002673</v>
      </c>
      <c r="BA1000" s="7">
        <f t="shared" si="250"/>
        <v>6.3375522755866414E-4</v>
      </c>
      <c r="BB1000" s="54">
        <f t="shared" si="244"/>
        <v>755.30374309981698</v>
      </c>
      <c r="BC1000" s="55">
        <f t="shared" si="245"/>
        <v>956.33037476312722</v>
      </c>
      <c r="BD1000" s="55">
        <f t="shared" si="246"/>
        <v>30.9245917477196</v>
      </c>
      <c r="BE1000" s="55">
        <f t="shared" si="247"/>
        <v>30.305543031067483</v>
      </c>
      <c r="BF1000" s="56">
        <f t="shared" si="248"/>
        <v>0.39416981138601503</v>
      </c>
      <c r="BG1000" s="56">
        <f t="shared" si="251"/>
        <v>2.6045421799851873E-4</v>
      </c>
      <c r="BH1000" s="56">
        <f t="shared" si="252"/>
        <v>1.613859405272091E-2</v>
      </c>
      <c r="BI1000" s="56">
        <f t="shared" si="249"/>
        <v>1.5815531552222643E-2</v>
      </c>
      <c r="BJ1000" s="57">
        <f t="shared" si="253"/>
        <v>2.8612323862198853E-2</v>
      </c>
      <c r="BK1000" s="57">
        <f t="shared" si="254"/>
        <v>1.1714815959479896E-3</v>
      </c>
      <c r="BL1000" s="58">
        <f t="shared" si="255"/>
        <v>50.483976543949986</v>
      </c>
      <c r="BM1000" s="58">
        <f t="shared" si="255"/>
        <v>2.0669781908082463</v>
      </c>
    </row>
    <row r="1001" spans="47:65" x14ac:dyDescent="0.2">
      <c r="AU1001" s="2">
        <v>-636</v>
      </c>
      <c r="AV1001" s="53">
        <v>999</v>
      </c>
      <c r="AW1001" s="4" t="s">
        <v>2579</v>
      </c>
      <c r="AX1001" t="s">
        <v>880</v>
      </c>
      <c r="AY1001" s="4">
        <v>78936</v>
      </c>
      <c r="AZ1001" s="9">
        <v>24.727647125525838</v>
      </c>
      <c r="BA1001" s="7">
        <f t="shared" si="250"/>
        <v>6.3378008059969252E-4</v>
      </c>
      <c r="BB1001" s="54">
        <f t="shared" si="244"/>
        <v>755.78050377815043</v>
      </c>
      <c r="BC1001" s="55">
        <f t="shared" si="245"/>
        <v>957.24095743108239</v>
      </c>
      <c r="BD1001" s="55">
        <f t="shared" si="246"/>
        <v>30.939310875180823</v>
      </c>
      <c r="BE1001" s="55">
        <f t="shared" si="247"/>
        <v>30.319967510921408</v>
      </c>
      <c r="BF1001" s="56">
        <f t="shared" si="248"/>
        <v>0.39441861813213752</v>
      </c>
      <c r="BG1001" s="56">
        <f t="shared" si="251"/>
        <v>2.6070221294145486E-4</v>
      </c>
      <c r="BH1001" s="56">
        <f t="shared" si="252"/>
        <v>1.6146275512992303E-2</v>
      </c>
      <c r="BI1001" s="56">
        <f t="shared" si="249"/>
        <v>1.5823059244962946E-2</v>
      </c>
      <c r="BJ1001" s="57">
        <f t="shared" si="253"/>
        <v>9.9064920312444474E-2</v>
      </c>
      <c r="BK1001" s="57">
        <f t="shared" si="254"/>
        <v>4.0554107324149808E-3</v>
      </c>
      <c r="BL1001" s="58">
        <f t="shared" si="255"/>
        <v>174.79150374042288</v>
      </c>
      <c r="BM1001" s="58">
        <f t="shared" si="255"/>
        <v>7.1554223025485912</v>
      </c>
    </row>
    <row r="1002" spans="47:65" x14ac:dyDescent="0.2">
      <c r="AU1002" s="2">
        <v>-635</v>
      </c>
      <c r="AV1002" s="53">
        <v>1000</v>
      </c>
      <c r="AW1002" s="4" t="s">
        <v>2574</v>
      </c>
      <c r="AX1002" t="s">
        <v>875</v>
      </c>
      <c r="AY1002" s="4">
        <v>33514</v>
      </c>
      <c r="AZ1002" s="9">
        <v>24.737806688066918</v>
      </c>
      <c r="BA1002" s="7">
        <f t="shared" si="250"/>
        <v>6.3404047449537766E-4</v>
      </c>
      <c r="BB1002" s="54">
        <f t="shared" si="244"/>
        <v>760.79382201622639</v>
      </c>
      <c r="BC1002" s="55">
        <f t="shared" si="245"/>
        <v>966.83099760951393</v>
      </c>
      <c r="BD1002" s="55">
        <f t="shared" si="246"/>
        <v>31.093906116946997</v>
      </c>
      <c r="BE1002" s="55">
        <f t="shared" si="247"/>
        <v>30.47146806394289</v>
      </c>
      <c r="BF1002" s="56">
        <f t="shared" si="248"/>
        <v>0.3970349148503427</v>
      </c>
      <c r="BG1002" s="56">
        <f t="shared" si="251"/>
        <v>2.6331403672239591E-4</v>
      </c>
      <c r="BH1002" s="56">
        <f t="shared" si="252"/>
        <v>1.6226954018619635E-2</v>
      </c>
      <c r="BI1002" s="56">
        <f t="shared" si="249"/>
        <v>1.5902122727640987E-2</v>
      </c>
      <c r="BJ1002" s="57">
        <f t="shared" si="253"/>
        <v>4.2339169736867951E-2</v>
      </c>
      <c r="BK1002" s="57">
        <f t="shared" si="254"/>
        <v>1.730416481798982E-3</v>
      </c>
      <c r="BL1002" s="58">
        <f t="shared" si="255"/>
        <v>74.703811622594159</v>
      </c>
      <c r="BM1002" s="58">
        <f t="shared" si="255"/>
        <v>3.0531705673098997</v>
      </c>
    </row>
    <row r="1003" spans="47:65" x14ac:dyDescent="0.2">
      <c r="AU1003" s="2">
        <v>-634</v>
      </c>
      <c r="AV1003" s="53">
        <v>1001</v>
      </c>
      <c r="AW1003" s="4" t="s">
        <v>1763</v>
      </c>
      <c r="AX1003" t="s">
        <v>1764</v>
      </c>
      <c r="AY1003" s="4">
        <v>11904</v>
      </c>
      <c r="AZ1003" s="9">
        <v>24.73969615677964</v>
      </c>
      <c r="BA1003" s="7">
        <f t="shared" si="250"/>
        <v>6.3408890237963856E-4</v>
      </c>
      <c r="BB1003" s="54">
        <f t="shared" si="244"/>
        <v>761.72985681205012</v>
      </c>
      <c r="BC1003" s="55">
        <f t="shared" si="245"/>
        <v>968.62456121809703</v>
      </c>
      <c r="BD1003" s="55">
        <f t="shared" si="246"/>
        <v>31.122733832651928</v>
      </c>
      <c r="BE1003" s="55">
        <f t="shared" si="247"/>
        <v>30.499718706212004</v>
      </c>
      <c r="BF1003" s="56">
        <f t="shared" si="248"/>
        <v>0.39752340264388453</v>
      </c>
      <c r="BG1003" s="56">
        <f t="shared" si="251"/>
        <v>2.6380250934591245E-4</v>
      </c>
      <c r="BH1003" s="56">
        <f t="shared" si="252"/>
        <v>1.6241998317507375E-2</v>
      </c>
      <c r="BI1003" s="56">
        <f t="shared" si="249"/>
        <v>1.5916865869637302E-2</v>
      </c>
      <c r="BJ1003" s="57">
        <f t="shared" si="253"/>
        <v>1.5057157440574351E-2</v>
      </c>
      <c r="BK1003" s="57">
        <f t="shared" si="254"/>
        <v>6.1520485131119737E-4</v>
      </c>
      <c r="BL1003" s="58">
        <f t="shared" si="255"/>
        <v>26.567055046262169</v>
      </c>
      <c r="BM1003" s="58">
        <f t="shared" si="255"/>
        <v>1.0854758751123659</v>
      </c>
    </row>
    <row r="1004" spans="47:65" x14ac:dyDescent="0.2">
      <c r="AU1004" s="2">
        <v>-633</v>
      </c>
      <c r="AV1004" s="53">
        <v>1002</v>
      </c>
      <c r="AW1004" s="4" t="s">
        <v>2873</v>
      </c>
      <c r="AX1004" t="s">
        <v>1091</v>
      </c>
      <c r="AY1004" s="4">
        <v>19194</v>
      </c>
      <c r="AZ1004" s="9">
        <v>24.75091316594661</v>
      </c>
      <c r="BA1004" s="7">
        <f t="shared" si="250"/>
        <v>6.3437639908071333E-4</v>
      </c>
      <c r="BB1004" s="54">
        <f t="shared" si="244"/>
        <v>767.31047778956622</v>
      </c>
      <c r="BC1004" s="55">
        <f t="shared" si="245"/>
        <v>979.33732007590777</v>
      </c>
      <c r="BD1004" s="55">
        <f t="shared" si="246"/>
        <v>31.294365628270974</v>
      </c>
      <c r="BE1004" s="55">
        <f t="shared" si="247"/>
        <v>30.667914775219639</v>
      </c>
      <c r="BF1004" s="56">
        <f t="shared" si="248"/>
        <v>0.40043575722734864</v>
      </c>
      <c r="BG1004" s="56">
        <f t="shared" si="251"/>
        <v>2.6672010278909296E-4</v>
      </c>
      <c r="BH1004" s="56">
        <f t="shared" si="252"/>
        <v>1.6331567677020261E-2</v>
      </c>
      <c r="BI1004" s="56">
        <f t="shared" si="249"/>
        <v>1.6004642229019088E-2</v>
      </c>
      <c r="BJ1004" s="57">
        <f t="shared" si="253"/>
        <v>2.4456016223820144E-2</v>
      </c>
      <c r="BK1004" s="57">
        <f t="shared" si="254"/>
        <v>9.9742612107155213E-4</v>
      </c>
      <c r="BL1004" s="58">
        <f t="shared" si="255"/>
        <v>43.150530357058351</v>
      </c>
      <c r="BM1004" s="58">
        <f t="shared" si="255"/>
        <v>1.7598723243526697</v>
      </c>
    </row>
    <row r="1005" spans="47:65" x14ac:dyDescent="0.2">
      <c r="AU1005" s="2">
        <v>-632</v>
      </c>
      <c r="AV1005" s="53">
        <v>1003</v>
      </c>
      <c r="AW1005" s="4" t="s">
        <v>2538</v>
      </c>
      <c r="AX1005" t="s">
        <v>845</v>
      </c>
      <c r="AY1005" s="4">
        <v>29520</v>
      </c>
      <c r="AZ1005" s="9">
        <v>24.752394258873949</v>
      </c>
      <c r="BA1005" s="7">
        <f t="shared" si="250"/>
        <v>6.3441436012043946E-4</v>
      </c>
      <c r="BB1005" s="54">
        <f t="shared" si="244"/>
        <v>768.05039193186144</v>
      </c>
      <c r="BC1005" s="55">
        <f t="shared" si="245"/>
        <v>980.76019446176599</v>
      </c>
      <c r="BD1005" s="55">
        <f t="shared" si="246"/>
        <v>31.317091091954342</v>
      </c>
      <c r="BE1005" s="55">
        <f t="shared" si="247"/>
        <v>30.690185320395326</v>
      </c>
      <c r="BF1005" s="56">
        <f t="shared" si="248"/>
        <v>0.40082189567903137</v>
      </c>
      <c r="BG1005" s="56">
        <f t="shared" si="251"/>
        <v>2.6710761911738799E-4</v>
      </c>
      <c r="BH1005" s="56">
        <f t="shared" si="252"/>
        <v>1.6343427398112918E-2</v>
      </c>
      <c r="BI1005" s="56">
        <f t="shared" si="249"/>
        <v>1.6016264542123237E-2</v>
      </c>
      <c r="BJ1005" s="57">
        <f t="shared" si="253"/>
        <v>3.7649148903706402E-2</v>
      </c>
      <c r="BK1005" s="57">
        <f t="shared" si="254"/>
        <v>1.5351360251067688E-3</v>
      </c>
      <c r="BL1005" s="58">
        <f t="shared" si="255"/>
        <v>66.428674556751915</v>
      </c>
      <c r="BM1005" s="58">
        <f t="shared" si="255"/>
        <v>2.7086150519095544</v>
      </c>
    </row>
    <row r="1006" spans="47:65" x14ac:dyDescent="0.2">
      <c r="AU1006" s="2">
        <v>-631</v>
      </c>
      <c r="AV1006" s="53">
        <v>1004</v>
      </c>
      <c r="AW1006" s="4" t="s">
        <v>2417</v>
      </c>
      <c r="AX1006" t="s">
        <v>747</v>
      </c>
      <c r="AY1006" s="4">
        <v>26958</v>
      </c>
      <c r="AZ1006" s="9">
        <v>24.757422022888075</v>
      </c>
      <c r="BA1006" s="7">
        <f t="shared" si="250"/>
        <v>6.3454322384394425E-4</v>
      </c>
      <c r="BB1006" s="54">
        <f t="shared" si="244"/>
        <v>770.56745399620343</v>
      </c>
      <c r="BC1006" s="55">
        <f t="shared" si="245"/>
        <v>985.60495300120385</v>
      </c>
      <c r="BD1006" s="55">
        <f t="shared" si="246"/>
        <v>31.394345876307153</v>
      </c>
      <c r="BE1006" s="55">
        <f t="shared" si="247"/>
        <v>30.765893617877783</v>
      </c>
      <c r="BF1006" s="56">
        <f t="shared" si="248"/>
        <v>0.40213547301558233</v>
      </c>
      <c r="BG1006" s="56">
        <f t="shared" si="251"/>
        <v>2.6842707715206448E-4</v>
      </c>
      <c r="BH1006" s="56">
        <f t="shared" si="252"/>
        <v>1.6383744295858149E-2</v>
      </c>
      <c r="BI1006" s="56">
        <f t="shared" si="249"/>
        <v>1.6055774375897756E-2</v>
      </c>
      <c r="BJ1006" s="57">
        <f t="shared" si="253"/>
        <v>3.4494307115552035E-2</v>
      </c>
      <c r="BK1006" s="57">
        <f t="shared" si="254"/>
        <v>1.4053619871085233E-3</v>
      </c>
      <c r="BL1006" s="58">
        <f t="shared" si="255"/>
        <v>60.862228447721378</v>
      </c>
      <c r="BM1006" s="58">
        <f t="shared" si="255"/>
        <v>2.4796399598523648</v>
      </c>
    </row>
    <row r="1007" spans="47:65" x14ac:dyDescent="0.2">
      <c r="AU1007" s="2">
        <v>-630</v>
      </c>
      <c r="AV1007" s="53">
        <v>1005</v>
      </c>
      <c r="AW1007" s="4" t="s">
        <v>2541</v>
      </c>
      <c r="AX1007" t="s">
        <v>848</v>
      </c>
      <c r="AY1007" s="4">
        <v>22329</v>
      </c>
      <c r="AZ1007" s="9">
        <v>24.759048893378633</v>
      </c>
      <c r="BA1007" s="7">
        <f t="shared" si="250"/>
        <v>6.3458492122442681E-4</v>
      </c>
      <c r="BB1007" s="54">
        <f t="shared" si="244"/>
        <v>771.38368350362055</v>
      </c>
      <c r="BC1007" s="55">
        <f t="shared" si="245"/>
        <v>987.17745660555227</v>
      </c>
      <c r="BD1007" s="55">
        <f t="shared" si="246"/>
        <v>31.419380270870274</v>
      </c>
      <c r="BE1007" s="55">
        <f t="shared" si="247"/>
        <v>30.790426873737026</v>
      </c>
      <c r="BF1007" s="56">
        <f t="shared" si="248"/>
        <v>0.40256143811098366</v>
      </c>
      <c r="BG1007" s="56">
        <f t="shared" si="251"/>
        <v>2.6885534462884654E-4</v>
      </c>
      <c r="BH1007" s="56">
        <f t="shared" si="252"/>
        <v>1.6396808977018867E-2</v>
      </c>
      <c r="BI1007" s="56">
        <f t="shared" si="249"/>
        <v>1.6068577528170008E-2</v>
      </c>
      <c r="BJ1007" s="57">
        <f t="shared" si="253"/>
        <v>2.8601500431461733E-2</v>
      </c>
      <c r="BK1007" s="57">
        <f t="shared" si="254"/>
        <v>1.1649733298635221E-3</v>
      </c>
      <c r="BL1007" s="58">
        <f t="shared" si="255"/>
        <v>50.46487953435058</v>
      </c>
      <c r="BM1007" s="58">
        <f t="shared" si="255"/>
        <v>2.0554949168899008</v>
      </c>
    </row>
    <row r="1008" spans="47:65" x14ac:dyDescent="0.2">
      <c r="AU1008" s="2">
        <v>-629</v>
      </c>
      <c r="AV1008" s="53">
        <v>1006</v>
      </c>
      <c r="AW1008" s="4" t="s">
        <v>2685</v>
      </c>
      <c r="AX1008" t="s">
        <v>951</v>
      </c>
      <c r="AY1008" s="4">
        <v>21676</v>
      </c>
      <c r="AZ1008" s="9">
        <v>24.760239074550956</v>
      </c>
      <c r="BA1008" s="7">
        <f t="shared" si="250"/>
        <v>6.3461542607252226E-4</v>
      </c>
      <c r="BB1008" s="54">
        <f t="shared" si="244"/>
        <v>771.98136592915341</v>
      </c>
      <c r="BC1008" s="55">
        <f t="shared" si="245"/>
        <v>988.32936943539278</v>
      </c>
      <c r="BD1008" s="55">
        <f t="shared" si="246"/>
        <v>31.437706173246685</v>
      </c>
      <c r="BE1008" s="55">
        <f t="shared" si="247"/>
        <v>30.808385928058005</v>
      </c>
      <c r="BF1008" s="56">
        <f t="shared" si="248"/>
        <v>0.40287335020077969</v>
      </c>
      <c r="BG1008" s="56">
        <f t="shared" si="251"/>
        <v>2.6916906524591976E-4</v>
      </c>
      <c r="BH1008" s="56">
        <f t="shared" si="252"/>
        <v>1.6406372702273946E-2</v>
      </c>
      <c r="BI1008" s="56">
        <f t="shared" si="249"/>
        <v>1.6077949806699004E-2</v>
      </c>
      <c r="BJ1008" s="57">
        <f t="shared" si="253"/>
        <v>2.7786577304669321E-2</v>
      </c>
      <c r="BK1008" s="57">
        <f t="shared" si="254"/>
        <v>1.1315639099825205E-3</v>
      </c>
      <c r="BL1008" s="58">
        <f t="shared" si="255"/>
        <v>49.027017995516829</v>
      </c>
      <c r="BM1008" s="58">
        <f t="shared" si="255"/>
        <v>1.9965468783543885</v>
      </c>
    </row>
    <row r="1009" spans="47:65" x14ac:dyDescent="0.2">
      <c r="AU1009" s="2">
        <v>-628</v>
      </c>
      <c r="AV1009" s="53">
        <v>1007</v>
      </c>
      <c r="AW1009" s="4" t="s">
        <v>3195</v>
      </c>
      <c r="AX1009" t="s">
        <v>3196</v>
      </c>
      <c r="AY1009" s="5">
        <v>35913.01</v>
      </c>
      <c r="AZ1009" s="9">
        <v>24.765251426024925</v>
      </c>
      <c r="BA1009" s="7">
        <f t="shared" si="250"/>
        <v>6.3474389476608783E-4</v>
      </c>
      <c r="BB1009" s="54">
        <f t="shared" si="244"/>
        <v>774.50354350788473</v>
      </c>
      <c r="BC1009" s="55">
        <f t="shared" si="245"/>
        <v>993.19454545180145</v>
      </c>
      <c r="BD1009" s="55">
        <f t="shared" si="246"/>
        <v>31.514989218652786</v>
      </c>
      <c r="BE1009" s="55">
        <f t="shared" si="247"/>
        <v>30.884121920863773</v>
      </c>
      <c r="BF1009" s="56">
        <f t="shared" si="248"/>
        <v>0.40418959716708014</v>
      </c>
      <c r="BG1009" s="56">
        <f t="shared" si="251"/>
        <v>2.7049408393006611E-4</v>
      </c>
      <c r="BH1009" s="56">
        <f t="shared" si="252"/>
        <v>1.644670434859416E-2</v>
      </c>
      <c r="BI1009" s="56">
        <f t="shared" si="249"/>
        <v>1.6117474093811417E-2</v>
      </c>
      <c r="BJ1009" s="57">
        <f t="shared" si="253"/>
        <v>4.6187484528814195E-2</v>
      </c>
      <c r="BK1009" s="57">
        <f t="shared" si="254"/>
        <v>1.8793949868449098E-3</v>
      </c>
      <c r="BL1009" s="58">
        <f t="shared" si="255"/>
        <v>81.493831008157599</v>
      </c>
      <c r="BM1009" s="58">
        <f t="shared" si="255"/>
        <v>3.3160302843504921</v>
      </c>
    </row>
    <row r="1010" spans="47:65" x14ac:dyDescent="0.2">
      <c r="AU1010" s="2">
        <v>-627</v>
      </c>
      <c r="AV1010" s="53">
        <v>1008</v>
      </c>
      <c r="AW1010" s="4" t="s">
        <v>1514</v>
      </c>
      <c r="AX1010" t="s">
        <v>109</v>
      </c>
      <c r="AY1010" s="4">
        <v>87901</v>
      </c>
      <c r="AZ1010" s="9">
        <v>24.767829367828156</v>
      </c>
      <c r="BA1010" s="7">
        <f t="shared" si="250"/>
        <v>6.3480996850757802E-4</v>
      </c>
      <c r="BB1010" s="54">
        <f t="shared" si="244"/>
        <v>775.80395196143172</v>
      </c>
      <c r="BC1010" s="55">
        <f t="shared" si="245"/>
        <v>995.70561862146133</v>
      </c>
      <c r="BD1010" s="55">
        <f t="shared" si="246"/>
        <v>31.554803415985042</v>
      </c>
      <c r="BE1010" s="55">
        <f t="shared" si="247"/>
        <v>30.92313911728607</v>
      </c>
      <c r="BF1010" s="56">
        <f t="shared" si="248"/>
        <v>0.4048682403745878</v>
      </c>
      <c r="BG1010" s="56">
        <f t="shared" si="251"/>
        <v>2.7117796851220706E-4</v>
      </c>
      <c r="BH1010" s="56">
        <f t="shared" si="252"/>
        <v>1.6467482154604179E-2</v>
      </c>
      <c r="BI1010" s="56">
        <f t="shared" si="249"/>
        <v>1.6137835969540118E-2</v>
      </c>
      <c r="BJ1010" s="57">
        <f t="shared" si="253"/>
        <v>0.1132387060451357</v>
      </c>
      <c r="BK1010" s="57">
        <f t="shared" si="254"/>
        <v>4.6058351459809512E-3</v>
      </c>
      <c r="BL1010" s="58">
        <f t="shared" si="255"/>
        <v>199.79992563283349</v>
      </c>
      <c r="BM1010" s="58">
        <f t="shared" si="255"/>
        <v>8.1265986850581378</v>
      </c>
    </row>
    <row r="1011" spans="47:65" x14ac:dyDescent="0.2">
      <c r="AU1011" s="2">
        <v>-626</v>
      </c>
      <c r="AV1011" s="53">
        <v>1009</v>
      </c>
      <c r="AW1011" s="4" t="s">
        <v>2070</v>
      </c>
      <c r="AX1011" t="s">
        <v>489</v>
      </c>
      <c r="AY1011" s="4">
        <v>58172</v>
      </c>
      <c r="AZ1011" s="9">
        <v>24.779932782021525</v>
      </c>
      <c r="BA1011" s="7">
        <f t="shared" si="250"/>
        <v>6.3512018414532418E-4</v>
      </c>
      <c r="BB1011" s="54">
        <f t="shared" si="244"/>
        <v>781.93861109925967</v>
      </c>
      <c r="BC1011" s="55">
        <f t="shared" si="245"/>
        <v>1007.5756893984043</v>
      </c>
      <c r="BD1011" s="55">
        <f t="shared" si="246"/>
        <v>31.742332765542049</v>
      </c>
      <c r="BE1011" s="55">
        <f t="shared" si="247"/>
        <v>31.106914502874048</v>
      </c>
      <c r="BF1011" s="56">
        <f t="shared" si="248"/>
        <v>0.40806973044711226</v>
      </c>
      <c r="BG1011" s="56">
        <f t="shared" si="251"/>
        <v>2.7441075300111106E-4</v>
      </c>
      <c r="BH1011" s="56">
        <f t="shared" si="252"/>
        <v>1.6565347958950667E-2</v>
      </c>
      <c r="BI1011" s="56">
        <f t="shared" si="249"/>
        <v>1.6233742695458696E-2</v>
      </c>
      <c r="BJ1011" s="57">
        <f t="shared" si="253"/>
        <v>7.5532828599534016E-2</v>
      </c>
      <c r="BK1011" s="57">
        <f t="shared" si="254"/>
        <v>3.0662102447641029E-3</v>
      </c>
      <c r="BL1011" s="58">
        <f t="shared" si="255"/>
        <v>133.27115845892101</v>
      </c>
      <c r="BM1011" s="58">
        <f t="shared" si="255"/>
        <v>5.4100633985901689</v>
      </c>
    </row>
    <row r="1012" spans="47:65" x14ac:dyDescent="0.2">
      <c r="AU1012" s="2">
        <v>-625</v>
      </c>
      <c r="AV1012" s="53">
        <v>1010</v>
      </c>
      <c r="AW1012" s="4" t="s">
        <v>1814</v>
      </c>
      <c r="AX1012" t="s">
        <v>295</v>
      </c>
      <c r="AY1012" s="4">
        <v>49746</v>
      </c>
      <c r="AZ1012" s="9">
        <v>24.780483565953773</v>
      </c>
      <c r="BA1012" s="7">
        <f t="shared" si="250"/>
        <v>6.3513430097104559E-4</v>
      </c>
      <c r="BB1012" s="54">
        <f t="shared" si="244"/>
        <v>782.21892910609699</v>
      </c>
      <c r="BC1012" s="55">
        <f t="shared" si="245"/>
        <v>1008.1190299618503</v>
      </c>
      <c r="BD1012" s="55">
        <f t="shared" si="246"/>
        <v>31.750890223139418</v>
      </c>
      <c r="BE1012" s="55">
        <f t="shared" si="247"/>
        <v>31.115300657219084</v>
      </c>
      <c r="BF1012" s="56">
        <f t="shared" si="248"/>
        <v>0.40821601980009498</v>
      </c>
      <c r="BG1012" s="56">
        <f t="shared" si="251"/>
        <v>2.745587304629835E-4</v>
      </c>
      <c r="BH1012" s="56">
        <f t="shared" si="252"/>
        <v>1.6569813833081634E-2</v>
      </c>
      <c r="BI1012" s="56">
        <f t="shared" si="249"/>
        <v>1.6238119171686789E-2</v>
      </c>
      <c r="BJ1012" s="57">
        <f t="shared" si="253"/>
        <v>6.4615332220913688E-2</v>
      </c>
      <c r="BK1012" s="57">
        <f t="shared" si="254"/>
        <v>2.6227878714499479E-3</v>
      </c>
      <c r="BL1012" s="58">
        <f t="shared" si="255"/>
        <v>114.00817815185513</v>
      </c>
      <c r="BM1012" s="58">
        <f t="shared" si="255"/>
        <v>4.6276828830728913</v>
      </c>
    </row>
    <row r="1013" spans="47:65" x14ac:dyDescent="0.2">
      <c r="AU1013" s="2">
        <v>-624</v>
      </c>
      <c r="AV1013" s="53">
        <v>1011</v>
      </c>
      <c r="AW1013" s="4" t="s">
        <v>1473</v>
      </c>
      <c r="AX1013" t="s">
        <v>72</v>
      </c>
      <c r="AY1013" s="4">
        <v>35255</v>
      </c>
      <c r="AZ1013" s="9">
        <v>24.780850638457078</v>
      </c>
      <c r="BA1013" s="7">
        <f t="shared" si="250"/>
        <v>6.3514370919494779E-4</v>
      </c>
      <c r="BB1013" s="54">
        <f t="shared" si="244"/>
        <v>782.4058041465039</v>
      </c>
      <c r="BC1013" s="55">
        <f t="shared" si="245"/>
        <v>1008.4812958603987</v>
      </c>
      <c r="BD1013" s="55">
        <f t="shared" si="246"/>
        <v>31.75659452555325</v>
      </c>
      <c r="BE1013" s="55">
        <f t="shared" si="247"/>
        <v>31.120890770863102</v>
      </c>
      <c r="BF1013" s="56">
        <f t="shared" si="248"/>
        <v>0.40831354414060395</v>
      </c>
      <c r="BG1013" s="56">
        <f t="shared" si="251"/>
        <v>2.746573926866236E-4</v>
      </c>
      <c r="BH1013" s="56">
        <f t="shared" si="252"/>
        <v>1.6572790733205545E-2</v>
      </c>
      <c r="BI1013" s="56">
        <f t="shared" si="249"/>
        <v>1.6241036480201008E-2</v>
      </c>
      <c r="BJ1013" s="57">
        <f t="shared" si="253"/>
        <v>4.5803838769736129E-2</v>
      </c>
      <c r="BK1013" s="57">
        <f t="shared" si="254"/>
        <v>1.8591042241962133E-3</v>
      </c>
      <c r="BL1013" s="58">
        <f t="shared" si="255"/>
        <v>80.816921170433062</v>
      </c>
      <c r="BM1013" s="58">
        <f t="shared" si="255"/>
        <v>3.2802289845137809</v>
      </c>
    </row>
    <row r="1014" spans="47:65" x14ac:dyDescent="0.2">
      <c r="AU1014" s="2">
        <v>-623</v>
      </c>
      <c r="AV1014" s="53">
        <v>1012</v>
      </c>
      <c r="AW1014" s="4" t="s">
        <v>2275</v>
      </c>
      <c r="AX1014" t="s">
        <v>633</v>
      </c>
      <c r="AY1014" s="4">
        <v>51775</v>
      </c>
      <c r="AZ1014" s="9">
        <v>24.791422193864939</v>
      </c>
      <c r="BA1014" s="7">
        <f t="shared" si="250"/>
        <v>6.3541466264249767E-4</v>
      </c>
      <c r="BB1014" s="54">
        <f t="shared" si="244"/>
        <v>787.80693947132454</v>
      </c>
      <c r="BC1014" s="55">
        <f t="shared" si="245"/>
        <v>1018.9674735520852</v>
      </c>
      <c r="BD1014" s="55">
        <f t="shared" si="246"/>
        <v>31.921269923862447</v>
      </c>
      <c r="BE1014" s="55">
        <f t="shared" si="247"/>
        <v>31.282269695776009</v>
      </c>
      <c r="BF1014" s="56">
        <f t="shared" si="248"/>
        <v>0.41113223067791338</v>
      </c>
      <c r="BG1014" s="56">
        <f t="shared" si="251"/>
        <v>2.7751327730823764E-4</v>
      </c>
      <c r="BH1014" s="56">
        <f t="shared" si="252"/>
        <v>1.6658729762747147E-2</v>
      </c>
      <c r="BI1014" s="56">
        <f t="shared" si="249"/>
        <v>1.6325255181584942E-2</v>
      </c>
      <c r="BJ1014" s="57">
        <f t="shared" si="253"/>
        <v>6.773123652493776E-2</v>
      </c>
      <c r="BK1014" s="57">
        <f t="shared" si="254"/>
        <v>2.7444123364037246E-3</v>
      </c>
      <c r="BL1014" s="58">
        <f t="shared" si="255"/>
        <v>119.50592242998995</v>
      </c>
      <c r="BM1014" s="58">
        <f t="shared" si="255"/>
        <v>4.8422787567065217</v>
      </c>
    </row>
    <row r="1015" spans="47:65" x14ac:dyDescent="0.2">
      <c r="AU1015" s="2">
        <v>-622</v>
      </c>
      <c r="AV1015" s="53">
        <v>1013</v>
      </c>
      <c r="AW1015" s="4" t="s">
        <v>2206</v>
      </c>
      <c r="AX1015" t="s">
        <v>592</v>
      </c>
      <c r="AY1015" s="4">
        <v>23945</v>
      </c>
      <c r="AZ1015" s="9">
        <v>24.792696842326237</v>
      </c>
      <c r="BA1015" s="7">
        <f t="shared" si="250"/>
        <v>6.3544733242302458E-4</v>
      </c>
      <c r="BB1015" s="54">
        <f t="shared" si="244"/>
        <v>788.46068672510762</v>
      </c>
      <c r="BC1015" s="55">
        <f t="shared" si="245"/>
        <v>1020.2387790293282</v>
      </c>
      <c r="BD1015" s="55">
        <f t="shared" si="246"/>
        <v>31.941176857300174</v>
      </c>
      <c r="BE1015" s="55">
        <f t="shared" si="247"/>
        <v>31.3017781320663</v>
      </c>
      <c r="BF1015" s="56">
        <f t="shared" si="248"/>
        <v>0.41147340127857857</v>
      </c>
      <c r="BG1015" s="56">
        <f t="shared" si="251"/>
        <v>2.7785951421825975E-4</v>
      </c>
      <c r="BH1015" s="56">
        <f t="shared" si="252"/>
        <v>1.6669118579524828E-2</v>
      </c>
      <c r="BI1015" s="56">
        <f t="shared" si="249"/>
        <v>1.633543603494806E-2</v>
      </c>
      <c r="BJ1015" s="57">
        <f t="shared" si="253"/>
        <v>3.1350464511943489E-2</v>
      </c>
      <c r="BK1015" s="57">
        <f t="shared" si="254"/>
        <v>1.2700325436563692E-3</v>
      </c>
      <c r="BL1015" s="58">
        <f t="shared" si="255"/>
        <v>55.31518945072019</v>
      </c>
      <c r="BM1015" s="58">
        <f t="shared" si="255"/>
        <v>2.2408628342386567</v>
      </c>
    </row>
    <row r="1016" spans="47:65" x14ac:dyDescent="0.2">
      <c r="AU1016" s="2">
        <v>-621</v>
      </c>
      <c r="AV1016" s="53">
        <v>1014</v>
      </c>
      <c r="AW1016" s="4" t="s">
        <v>3086</v>
      </c>
      <c r="AX1016" t="s">
        <v>1363</v>
      </c>
      <c r="AY1016" s="4">
        <v>44225</v>
      </c>
      <c r="AZ1016" s="9">
        <v>24.804400611437899</v>
      </c>
      <c r="BA1016" s="7">
        <f t="shared" si="250"/>
        <v>6.3574730498787294E-4</v>
      </c>
      <c r="BB1016" s="54">
        <f t="shared" si="244"/>
        <v>794.48878562719995</v>
      </c>
      <c r="BC1016" s="55">
        <f t="shared" si="245"/>
        <v>1031.9822487492472</v>
      </c>
      <c r="BD1016" s="55">
        <f t="shared" si="246"/>
        <v>32.124480521079981</v>
      </c>
      <c r="BE1016" s="55">
        <f t="shared" si="247"/>
        <v>31.481412421687629</v>
      </c>
      <c r="BF1016" s="56">
        <f t="shared" si="248"/>
        <v>0.41461928083890293</v>
      </c>
      <c r="BG1016" s="56">
        <f t="shared" si="251"/>
        <v>2.8105781922163663E-4</v>
      </c>
      <c r="BH1016" s="56">
        <f t="shared" si="252"/>
        <v>1.6764779128328432E-2</v>
      </c>
      <c r="BI1016" s="56">
        <f t="shared" si="249"/>
        <v>1.6429181650146261E-2</v>
      </c>
      <c r="BJ1016" s="57">
        <f t="shared" si="253"/>
        <v>5.8345142884010513E-2</v>
      </c>
      <c r="BK1016" s="57">
        <f t="shared" si="254"/>
        <v>2.35913639057526E-3</v>
      </c>
      <c r="BL1016" s="58">
        <f t="shared" si="255"/>
        <v>102.94497011133147</v>
      </c>
      <c r="BM1016" s="58">
        <f t="shared" si="255"/>
        <v>4.1624925951270688</v>
      </c>
    </row>
    <row r="1017" spans="47:65" x14ac:dyDescent="0.2">
      <c r="AU1017" s="2">
        <v>-620</v>
      </c>
      <c r="AV1017" s="53">
        <v>1015</v>
      </c>
      <c r="AW1017" s="4" t="s">
        <v>1484</v>
      </c>
      <c r="AX1017" t="s">
        <v>81</v>
      </c>
      <c r="AY1017" s="4">
        <v>28870</v>
      </c>
      <c r="AZ1017" s="9">
        <v>24.811862270834684</v>
      </c>
      <c r="BA1017" s="7">
        <f t="shared" si="250"/>
        <v>6.3593855048203155E-4</v>
      </c>
      <c r="BB1017" s="54">
        <f t="shared" si="244"/>
        <v>798.35599706037544</v>
      </c>
      <c r="BC1017" s="55">
        <f t="shared" si="245"/>
        <v>1039.5358798479449</v>
      </c>
      <c r="BD1017" s="55">
        <f t="shared" si="246"/>
        <v>32.241834312705365</v>
      </c>
      <c r="BE1017" s="55">
        <f t="shared" si="247"/>
        <v>31.596417024205113</v>
      </c>
      <c r="BF1017" s="56">
        <f t="shared" si="248"/>
        <v>0.41663745963800197</v>
      </c>
      <c r="BG1017" s="56">
        <f t="shared" si="251"/>
        <v>2.831150320141954E-4</v>
      </c>
      <c r="BH1017" s="56">
        <f t="shared" si="252"/>
        <v>1.6826022465639211E-2</v>
      </c>
      <c r="BI1017" s="56">
        <f t="shared" si="249"/>
        <v>1.6489199017857344E-2</v>
      </c>
      <c r="BJ1017" s="57">
        <f t="shared" si="253"/>
        <v>3.8272996930149857E-2</v>
      </c>
      <c r="BK1017" s="57">
        <f t="shared" si="254"/>
        <v>1.5456658811561735E-3</v>
      </c>
      <c r="BL1017" s="58">
        <f t="shared" si="255"/>
        <v>67.529400568579618</v>
      </c>
      <c r="BM1017" s="58">
        <f t="shared" si="255"/>
        <v>2.7271940743045735</v>
      </c>
    </row>
    <row r="1018" spans="47:65" x14ac:dyDescent="0.2">
      <c r="AU1018" s="2">
        <v>-619</v>
      </c>
      <c r="AV1018" s="53">
        <v>1016</v>
      </c>
      <c r="AW1018" s="4" t="s">
        <v>2290</v>
      </c>
      <c r="AX1018" t="s">
        <v>645</v>
      </c>
      <c r="AY1018" s="4">
        <v>28617</v>
      </c>
      <c r="AZ1018" s="9">
        <v>24.814667992383754</v>
      </c>
      <c r="BA1018" s="7">
        <f t="shared" si="250"/>
        <v>6.360104623149886E-4</v>
      </c>
      <c r="BB1018" s="54">
        <f t="shared" si="244"/>
        <v>799.8150051650756</v>
      </c>
      <c r="BC1018" s="55">
        <f t="shared" si="245"/>
        <v>1042.3896965538715</v>
      </c>
      <c r="BD1018" s="55">
        <f t="shared" si="246"/>
        <v>32.28606040621667</v>
      </c>
      <c r="BE1018" s="55">
        <f t="shared" si="247"/>
        <v>31.639757799434644</v>
      </c>
      <c r="BF1018" s="56">
        <f t="shared" si="248"/>
        <v>0.41739887112933194</v>
      </c>
      <c r="BG1018" s="56">
        <f t="shared" si="251"/>
        <v>2.8389226195277636E-4</v>
      </c>
      <c r="BH1018" s="56">
        <f t="shared" si="252"/>
        <v>1.6849102704677668E-2</v>
      </c>
      <c r="BI1018" s="56">
        <f t="shared" si="249"/>
        <v>1.6511817236492317E-2</v>
      </c>
      <c r="BJ1018" s="57">
        <f t="shared" si="253"/>
        <v>3.8006926046646038E-2</v>
      </c>
      <c r="BK1018" s="57">
        <f t="shared" si="254"/>
        <v>1.5342221667164117E-3</v>
      </c>
      <c r="BL1018" s="58">
        <f t="shared" si="255"/>
        <v>67.059941453461008</v>
      </c>
      <c r="BM1018" s="58">
        <f t="shared" si="255"/>
        <v>2.707002627635124</v>
      </c>
    </row>
    <row r="1019" spans="47:65" x14ac:dyDescent="0.2">
      <c r="AU1019" s="2">
        <v>-618</v>
      </c>
      <c r="AV1019" s="53">
        <v>1017</v>
      </c>
      <c r="AW1019" s="4" t="s">
        <v>2927</v>
      </c>
      <c r="AX1019" t="s">
        <v>1137</v>
      </c>
      <c r="AY1019" s="4">
        <v>11466</v>
      </c>
      <c r="AZ1019" s="9">
        <v>24.816345554415093</v>
      </c>
      <c r="BA1019" s="7">
        <f t="shared" si="250"/>
        <v>6.3605345894115508E-4</v>
      </c>
      <c r="BB1019" s="54">
        <f t="shared" si="244"/>
        <v>800.6886306061308</v>
      </c>
      <c r="BC1019" s="55">
        <f t="shared" si="245"/>
        <v>1044.0995547015857</v>
      </c>
      <c r="BD1019" s="55">
        <f t="shared" si="246"/>
        <v>32.312529376413508</v>
      </c>
      <c r="BE1019" s="55">
        <f t="shared" si="247"/>
        <v>31.665696913581478</v>
      </c>
      <c r="BF1019" s="56">
        <f t="shared" si="248"/>
        <v>0.41785478939859572</v>
      </c>
      <c r="BG1019" s="56">
        <f t="shared" si="251"/>
        <v>2.8435793760056793E-4</v>
      </c>
      <c r="BH1019" s="56">
        <f t="shared" si="252"/>
        <v>1.686291604677459E-2</v>
      </c>
      <c r="BI1019" s="56">
        <f t="shared" si="249"/>
        <v>1.6525354063000368E-2</v>
      </c>
      <c r="BJ1019" s="57">
        <f t="shared" si="253"/>
        <v>1.5244904002460213E-2</v>
      </c>
      <c r="BK1019" s="57">
        <f t="shared" si="254"/>
        <v>6.1522218449289938E-4</v>
      </c>
      <c r="BL1019" s="58">
        <f t="shared" si="255"/>
        <v>26.898317654364238</v>
      </c>
      <c r="BM1019" s="58">
        <f t="shared" si="255"/>
        <v>1.0855064580158269</v>
      </c>
    </row>
    <row r="1020" spans="47:65" x14ac:dyDescent="0.2">
      <c r="AU1020" s="2">
        <v>-617</v>
      </c>
      <c r="AV1020" s="53">
        <v>1018</v>
      </c>
      <c r="AW1020" s="4" t="s">
        <v>2700</v>
      </c>
      <c r="AX1020" t="s">
        <v>964</v>
      </c>
      <c r="AY1020" s="4">
        <v>8665</v>
      </c>
      <c r="AZ1020" s="9">
        <v>24.829083306801859</v>
      </c>
      <c r="BA1020" s="7">
        <f t="shared" si="250"/>
        <v>6.3637993293576365E-4</v>
      </c>
      <c r="BB1020" s="54">
        <f t="shared" si="244"/>
        <v>807.3532892634878</v>
      </c>
      <c r="BC1020" s="55">
        <f t="shared" si="245"/>
        <v>1057.1693722162554</v>
      </c>
      <c r="BD1020" s="55">
        <f t="shared" si="246"/>
        <v>32.514141111464951</v>
      </c>
      <c r="BE1020" s="55">
        <f t="shared" si="247"/>
        <v>31.863272783362206</v>
      </c>
      <c r="BF1020" s="56">
        <f t="shared" si="248"/>
        <v>0.42133286993231706</v>
      </c>
      <c r="BG1020" s="56">
        <f t="shared" si="251"/>
        <v>2.8791747015330426E-4</v>
      </c>
      <c r="BH1020" s="56">
        <f t="shared" si="252"/>
        <v>1.6968131015327063E-2</v>
      </c>
      <c r="BI1020" s="56">
        <f t="shared" si="249"/>
        <v>1.6628462837499049E-2</v>
      </c>
      <c r="BJ1020" s="57">
        <f t="shared" si="253"/>
        <v>1.1616660061266113E-2</v>
      </c>
      <c r="BK1020" s="57">
        <f t="shared" si="254"/>
        <v>4.6783202533366307E-4</v>
      </c>
      <c r="BL1020" s="58">
        <f t="shared" si="255"/>
        <v>20.496594295397088</v>
      </c>
      <c r="BM1020" s="58">
        <f t="shared" si="255"/>
        <v>0.82544924023651878</v>
      </c>
    </row>
    <row r="1021" spans="47:65" x14ac:dyDescent="0.2">
      <c r="AU1021" s="2">
        <v>-616</v>
      </c>
      <c r="AV1021" s="53">
        <v>1019</v>
      </c>
      <c r="AW1021" s="4" t="s">
        <v>1505</v>
      </c>
      <c r="AX1021" t="s">
        <v>100</v>
      </c>
      <c r="AY1021" s="4">
        <v>72110</v>
      </c>
      <c r="AZ1021" s="9">
        <v>24.835908149632854</v>
      </c>
      <c r="BA1021" s="7">
        <f t="shared" si="250"/>
        <v>6.3655485655132445E-4</v>
      </c>
      <c r="BB1021" s="54">
        <f t="shared" si="244"/>
        <v>810.94698665600038</v>
      </c>
      <c r="BC1021" s="55">
        <f t="shared" si="245"/>
        <v>1064.2356575317133</v>
      </c>
      <c r="BD1021" s="55">
        <f t="shared" si="246"/>
        <v>32.622624933191894</v>
      </c>
      <c r="BE1021" s="55">
        <f t="shared" si="247"/>
        <v>31.969584975107242</v>
      </c>
      <c r="BF1021" s="56">
        <f t="shared" si="248"/>
        <v>0.4232083101592804</v>
      </c>
      <c r="BG1021" s="56">
        <f t="shared" si="251"/>
        <v>2.8984195552423259E-4</v>
      </c>
      <c r="BH1021" s="56">
        <f t="shared" si="252"/>
        <v>1.7024745387941419E-2</v>
      </c>
      <c r="BI1021" s="56">
        <f t="shared" si="249"/>
        <v>1.6683943903164782E-2</v>
      </c>
      <c r="BJ1021" s="57">
        <f t="shared" si="253"/>
        <v>9.7103985359764722E-2</v>
      </c>
      <c r="BK1021" s="57">
        <f t="shared" si="254"/>
        <v>3.9062811084267018E-3</v>
      </c>
      <c r="BL1021" s="58">
        <f t="shared" si="255"/>
        <v>171.33160322230785</v>
      </c>
      <c r="BM1021" s="58">
        <f t="shared" si="255"/>
        <v>6.892295949174029</v>
      </c>
    </row>
    <row r="1022" spans="47:65" x14ac:dyDescent="0.2">
      <c r="AU1022" s="2">
        <v>-615</v>
      </c>
      <c r="AV1022" s="53">
        <v>1020</v>
      </c>
      <c r="AW1022" s="4" t="s">
        <v>2200</v>
      </c>
      <c r="AX1022" t="s">
        <v>588</v>
      </c>
      <c r="AY1022" s="4">
        <v>21335</v>
      </c>
      <c r="AZ1022" s="9">
        <v>24.848363654341686</v>
      </c>
      <c r="BA1022" s="7">
        <f t="shared" si="250"/>
        <v>6.3687409641827175E-4</v>
      </c>
      <c r="BB1022" s="54">
        <f t="shared" si="244"/>
        <v>817.54686231864548</v>
      </c>
      <c r="BC1022" s="55">
        <f t="shared" si="245"/>
        <v>1077.2470971921919</v>
      </c>
      <c r="BD1022" s="55">
        <f t="shared" si="246"/>
        <v>32.821442643372514</v>
      </c>
      <c r="BE1022" s="55">
        <f t="shared" si="247"/>
        <v>32.164422750828614</v>
      </c>
      <c r="BF1022" s="56">
        <f t="shared" si="248"/>
        <v>0.42665258243898502</v>
      </c>
      <c r="BG1022" s="56">
        <f t="shared" si="251"/>
        <v>2.9338558901243378E-4</v>
      </c>
      <c r="BH1022" s="56">
        <f t="shared" si="252"/>
        <v>1.7128502240780826E-2</v>
      </c>
      <c r="BI1022" s="56">
        <f t="shared" si="249"/>
        <v>1.6785623750522012E-2</v>
      </c>
      <c r="BJ1022" s="57">
        <f t="shared" si="253"/>
        <v>2.8963723843136141E-2</v>
      </c>
      <c r="BK1022" s="57">
        <f t="shared" si="254"/>
        <v>1.1627849664298273E-3</v>
      </c>
      <c r="BL1022" s="58">
        <f t="shared" si="255"/>
        <v>51.103991488580881</v>
      </c>
      <c r="BM1022" s="58">
        <f t="shared" si="255"/>
        <v>2.0516337384414687</v>
      </c>
    </row>
    <row r="1023" spans="47:65" x14ac:dyDescent="0.2">
      <c r="AU1023" s="2">
        <v>-614</v>
      </c>
      <c r="AV1023" s="53">
        <v>1021</v>
      </c>
      <c r="AW1023" s="4" t="s">
        <v>2009</v>
      </c>
      <c r="AX1023" t="s">
        <v>436</v>
      </c>
      <c r="AY1023" s="4">
        <v>56430</v>
      </c>
      <c r="AZ1023" s="9">
        <v>24.85481284851053</v>
      </c>
      <c r="BA1023" s="7">
        <f t="shared" si="250"/>
        <v>6.3703939199934287E-4</v>
      </c>
      <c r="BB1023" s="54">
        <f t="shared" si="244"/>
        <v>820.98521689712811</v>
      </c>
      <c r="BC1023" s="55">
        <f t="shared" si="245"/>
        <v>1084.0431039330322</v>
      </c>
      <c r="BD1023" s="55">
        <f t="shared" si="246"/>
        <v>32.924809854166696</v>
      </c>
      <c r="BE1023" s="55">
        <f t="shared" si="247"/>
        <v>32.265720755998089</v>
      </c>
      <c r="BF1023" s="56">
        <f t="shared" si="248"/>
        <v>0.42844695402533073</v>
      </c>
      <c r="BG1023" s="56">
        <f t="shared" si="251"/>
        <v>2.9523646468043626E-4</v>
      </c>
      <c r="BH1023" s="56">
        <f t="shared" si="252"/>
        <v>1.7182446411394284E-2</v>
      </c>
      <c r="BI1023" s="56">
        <f t="shared" si="249"/>
        <v>1.6838488066311143E-2</v>
      </c>
      <c r="BJ1023" s="57">
        <f t="shared" si="253"/>
        <v>7.6929778509172236E-2</v>
      </c>
      <c r="BK1023" s="57">
        <f t="shared" si="254"/>
        <v>3.0851935910743656E-3</v>
      </c>
      <c r="BL1023" s="58">
        <f t="shared" si="255"/>
        <v>135.73595603394151</v>
      </c>
      <c r="BM1023" s="58">
        <f t="shared" si="255"/>
        <v>5.4435578751125426</v>
      </c>
    </row>
    <row r="1024" spans="47:65" x14ac:dyDescent="0.2">
      <c r="AU1024" s="2">
        <v>-613</v>
      </c>
      <c r="AV1024" s="53">
        <v>1022</v>
      </c>
      <c r="AW1024" s="4" t="s">
        <v>1642</v>
      </c>
      <c r="AX1024" t="s">
        <v>192</v>
      </c>
      <c r="AY1024" s="4">
        <v>29085</v>
      </c>
      <c r="AZ1024" s="9">
        <v>24.857251572693059</v>
      </c>
      <c r="BA1024" s="7">
        <f t="shared" si="250"/>
        <v>6.3710189753418472E-4</v>
      </c>
      <c r="BB1024" s="54">
        <f t="shared" si="244"/>
        <v>822.28917513193051</v>
      </c>
      <c r="BC1024" s="55">
        <f t="shared" si="245"/>
        <v>1086.6235186744018</v>
      </c>
      <c r="BD1024" s="55">
        <f t="shared" si="246"/>
        <v>32.963973041403882</v>
      </c>
      <c r="BE1024" s="55">
        <f t="shared" si="247"/>
        <v>32.304099974250434</v>
      </c>
      <c r="BF1024" s="56">
        <f t="shared" si="248"/>
        <v>0.42912744975458206</v>
      </c>
      <c r="BG1024" s="56">
        <f t="shared" si="251"/>
        <v>2.9593923426852428E-4</v>
      </c>
      <c r="BH1024" s="56">
        <f t="shared" si="252"/>
        <v>1.7202884475242059E-2</v>
      </c>
      <c r="BI1024" s="56">
        <f t="shared" si="249"/>
        <v>1.6858517000838829E-2</v>
      </c>
      <c r="BJ1024" s="57">
        <f t="shared" si="253"/>
        <v>3.9713918111499776E-2</v>
      </c>
      <c r="BK1024" s="57">
        <f t="shared" si="254"/>
        <v>1.5920537027451225E-3</v>
      </c>
      <c r="BL1024" s="58">
        <f t="shared" si="255"/>
        <v>70.071781658325875</v>
      </c>
      <c r="BM1024" s="58">
        <f t="shared" si="255"/>
        <v>2.8090413827685792</v>
      </c>
    </row>
    <row r="1025" spans="47:65" x14ac:dyDescent="0.2">
      <c r="AU1025" s="2">
        <v>-612</v>
      </c>
      <c r="AV1025" s="53">
        <v>1023</v>
      </c>
      <c r="AW1025" s="4" t="s">
        <v>2033</v>
      </c>
      <c r="AX1025" t="s">
        <v>457</v>
      </c>
      <c r="AY1025" s="4">
        <v>59060</v>
      </c>
      <c r="AZ1025" s="9">
        <v>24.859828336763115</v>
      </c>
      <c r="BA1025" s="7">
        <f t="shared" si="250"/>
        <v>6.3716794108987433E-4</v>
      </c>
      <c r="BB1025" s="54">
        <f t="shared" si="244"/>
        <v>823.669192202766</v>
      </c>
      <c r="BC1025" s="55">
        <f t="shared" si="245"/>
        <v>1089.3563014724793</v>
      </c>
      <c r="BD1025" s="55">
        <f t="shared" si="246"/>
        <v>33.005398065657069</v>
      </c>
      <c r="BE1025" s="55">
        <f t="shared" si="247"/>
        <v>32.344695752047905</v>
      </c>
      <c r="BF1025" s="56">
        <f t="shared" si="248"/>
        <v>0.42984763825290506</v>
      </c>
      <c r="BG1025" s="56">
        <f t="shared" si="251"/>
        <v>2.9668350092096568E-4</v>
      </c>
      <c r="BH1025" s="56">
        <f t="shared" si="252"/>
        <v>1.7224502922318707E-2</v>
      </c>
      <c r="BI1025" s="56">
        <f t="shared" si="249"/>
        <v>1.6879702689674786E-2</v>
      </c>
      <c r="BJ1025" s="57">
        <f t="shared" si="253"/>
        <v>8.0778421008514636E-2</v>
      </c>
      <c r="BK1025" s="57">
        <f t="shared" si="254"/>
        <v>3.2368868056984099E-3</v>
      </c>
      <c r="BL1025" s="58">
        <f t="shared" si="255"/>
        <v>142.52655363092811</v>
      </c>
      <c r="BM1025" s="58">
        <f t="shared" si="255"/>
        <v>5.7112074629558451</v>
      </c>
    </row>
    <row r="1026" spans="47:65" x14ac:dyDescent="0.2">
      <c r="AU1026" s="2">
        <v>-611</v>
      </c>
      <c r="AV1026" s="53">
        <v>1024</v>
      </c>
      <c r="AW1026" s="4" t="s">
        <v>2597</v>
      </c>
      <c r="AX1026" t="s">
        <v>894</v>
      </c>
      <c r="AY1026" s="4">
        <v>82284</v>
      </c>
      <c r="AZ1026" s="9">
        <v>24.868536229512248</v>
      </c>
      <c r="BA1026" s="7">
        <f t="shared" si="250"/>
        <v>6.3739112807326918E-4</v>
      </c>
      <c r="BB1026" s="54">
        <f t="shared" si="244"/>
        <v>828.34997165892423</v>
      </c>
      <c r="BC1026" s="55">
        <f t="shared" si="245"/>
        <v>1098.6395911574102</v>
      </c>
      <c r="BD1026" s="55">
        <f t="shared" si="246"/>
        <v>33.14573262363362</v>
      </c>
      <c r="BE1026" s="55">
        <f t="shared" si="247"/>
        <v>32.482221091758099</v>
      </c>
      <c r="BF1026" s="56">
        <f t="shared" si="248"/>
        <v>0.43229039320047286</v>
      </c>
      <c r="BG1026" s="56">
        <f t="shared" si="251"/>
        <v>2.9921178196183802E-4</v>
      </c>
      <c r="BH1026" s="56">
        <f t="shared" si="252"/>
        <v>1.7297739215337882E-2</v>
      </c>
      <c r="BI1026" s="56">
        <f t="shared" si="249"/>
        <v>1.6951472938014189E-2</v>
      </c>
      <c r="BJ1026" s="57">
        <f t="shared" si="253"/>
        <v>0.11318225749219096</v>
      </c>
      <c r="BK1026" s="57">
        <f t="shared" si="254"/>
        <v>4.5288935509497233E-3</v>
      </c>
      <c r="BL1026" s="58">
        <f t="shared" si="255"/>
        <v>199.70032703201636</v>
      </c>
      <c r="BM1026" s="58">
        <f t="shared" si="255"/>
        <v>7.9908418797906586</v>
      </c>
    </row>
    <row r="1027" spans="47:65" x14ac:dyDescent="0.2">
      <c r="AU1027" s="2">
        <v>-610</v>
      </c>
      <c r="AV1027" s="53">
        <v>1025</v>
      </c>
      <c r="AW1027" s="4" t="s">
        <v>2008</v>
      </c>
      <c r="AX1027" t="s">
        <v>435</v>
      </c>
      <c r="AY1027" s="4">
        <v>81384</v>
      </c>
      <c r="AZ1027" s="9">
        <v>24.870904865449567</v>
      </c>
      <c r="BA1027" s="7">
        <f t="shared" si="250"/>
        <v>6.3745183721666831E-4</v>
      </c>
      <c r="BB1027" s="54">
        <f t="shared" ref="BB1027:BB1090" si="256">IFERROR(IF(MATCH(AX1027,$S$4:$S$20,0),VLOOKUP(AX1027,$S$4:$AT$20,20,FALSE)),AVERAGE((2^(($AE$23*AZ1027)+$AE$24)),(2^(($AF$23*AZ1027)+$AF$24)),(2^(($AG$23*AZ1027)+$AG$24)),(2^(($AH$23*AZ1027)+$AH$24))))</f>
        <v>829.62778743463844</v>
      </c>
      <c r="BC1027" s="55">
        <f t="shared" ref="BC1027:BC1090" si="257">IFERROR(IF(MATCH(AX1027,$S$4:$S$20,0),VLOOKUP(AX1027,$S$4:$AT$20,21,FALSE)),_xlfn.VAR.S((2^(($AE$23*AZ1027)+$AE$24)),(2^(($AF$23*AZ1027)+$AF$24)),(2^(($AG$23*AZ1027)+$AG$24)),(2^(($AH$23*AZ1027)+$AH$24))))</f>
        <v>1101.1776458036081</v>
      </c>
      <c r="BD1027" s="55">
        <f t="shared" ref="BD1027:BD1090" si="258">SQRT(BC1027)</f>
        <v>33.183996832865205</v>
      </c>
      <c r="BE1027" s="55">
        <f t="shared" ref="BE1027:BE1090" si="259">_xlfn.CONFIDENCE.NORM(0.05,BD1027,4)</f>
        <v>32.519719327753506</v>
      </c>
      <c r="BF1027" s="56">
        <f t="shared" ref="BF1027:BF1090" si="260">IFERROR(IF(MATCH(AX1027,$S$4:$S$20,0),VLOOKUP(AX1027,$S$4:$AT$20,24,FALSE)),AVERAGE((2^(($AI$23*AZ1027)+$AI$24)),(2^(($AJ$23*AZ1027)+$AJ$24)),(2^(($AK$23*AZ1027)+$AK$24)),(2^(($AL$23*AZ1027)+$AL$24))))</f>
        <v>0.43295724598374108</v>
      </c>
      <c r="BG1027" s="56">
        <f t="shared" si="251"/>
        <v>2.9990301488257219E-4</v>
      </c>
      <c r="BH1027" s="56">
        <f t="shared" si="252"/>
        <v>1.7317708130193562E-2</v>
      </c>
      <c r="BI1027" s="56">
        <f t="shared" ref="BI1027:BI1090" si="261">_xlfn.CONFIDENCE.NORM(0.05,BH1027,4)</f>
        <v>1.6971042114977929E-2</v>
      </c>
      <c r="BJ1027" s="57">
        <f t="shared" si="253"/>
        <v>0.11211698645867017</v>
      </c>
      <c r="BK1027" s="57">
        <f t="shared" si="254"/>
        <v>4.4845288211229697E-3</v>
      </c>
      <c r="BL1027" s="58">
        <f t="shared" si="255"/>
        <v>197.8207482138742</v>
      </c>
      <c r="BM1027" s="58">
        <f t="shared" si="255"/>
        <v>7.9125641421717479</v>
      </c>
    </row>
    <row r="1028" spans="47:65" x14ac:dyDescent="0.2">
      <c r="AU1028" s="2">
        <v>-609</v>
      </c>
      <c r="AV1028" s="53">
        <v>1026</v>
      </c>
      <c r="AW1028" s="4" t="s">
        <v>3014</v>
      </c>
      <c r="AX1028" t="s">
        <v>1176</v>
      </c>
      <c r="AY1028" s="4">
        <v>36253</v>
      </c>
      <c r="AZ1028" s="9">
        <v>24.870951885065562</v>
      </c>
      <c r="BA1028" s="7">
        <f t="shared" ref="BA1028:BA1091" si="262">AZ1028/$AZ$1637</f>
        <v>6.3745304234936301E-4</v>
      </c>
      <c r="BB1028" s="54">
        <f t="shared" si="256"/>
        <v>829.65317320532745</v>
      </c>
      <c r="BC1028" s="55">
        <f t="shared" si="257"/>
        <v>1101.2280845810628</v>
      </c>
      <c r="BD1028" s="55">
        <f t="shared" si="258"/>
        <v>33.184756810636159</v>
      </c>
      <c r="BE1028" s="55">
        <f t="shared" si="259"/>
        <v>32.520464092283561</v>
      </c>
      <c r="BF1028" s="56">
        <f t="shared" si="260"/>
        <v>0.43297049403730359</v>
      </c>
      <c r="BG1028" s="56">
        <f t="shared" ref="BG1028:BG1091" si="263">IFERROR(IF(MATCH(AX1028,$S$4:$S$20,0),VLOOKUP(AX1028,$S$4:$AT$20,25,FALSE)),_xlfn.VAR.S((2^(($AI$23*AZ1028)+$AI$24)),(2^(($AJ$23*AZ1028)+$AJ$24)),(2^(($AK$23*AZ1028)+$AK$24)),(2^(($AL$23*AZ1028)+$AL$24))))</f>
        <v>2.9991675175914133E-4</v>
      </c>
      <c r="BH1028" s="56">
        <f t="shared" ref="BH1028:BH1091" si="264">SQRT(BG1028)</f>
        <v>1.7318104739235795E-2</v>
      </c>
      <c r="BI1028" s="56">
        <f t="shared" si="261"/>
        <v>1.6971430784697289E-2</v>
      </c>
      <c r="BJ1028" s="57">
        <f t="shared" ref="BJ1028:BJ1091" si="265">(((BF1028*0.000001)*AY1028)*1000000000000000)*$S$24</f>
        <v>4.994472478659534E-2</v>
      </c>
      <c r="BK1028" s="57">
        <f t="shared" ref="BK1028:BK1091" si="266">((((BH1028*0.000001)*AY1028)*1000000000000000)*$S$24)</f>
        <v>1.9977065110400867E-3</v>
      </c>
      <c r="BL1028" s="58">
        <f t="shared" ref="BL1028:BM1091" si="267">((BJ1028/$S$26)*0.000000001)/0.45</f>
        <v>88.123157236860195</v>
      </c>
      <c r="BM1028" s="58">
        <f t="shared" si="267"/>
        <v>3.5247807598838437</v>
      </c>
    </row>
    <row r="1029" spans="47:65" x14ac:dyDescent="0.2">
      <c r="AU1029" s="2">
        <v>-608</v>
      </c>
      <c r="AV1029" s="53">
        <v>1027</v>
      </c>
      <c r="AW1029" s="4" t="s">
        <v>2885</v>
      </c>
      <c r="AX1029" t="s">
        <v>1103</v>
      </c>
      <c r="AY1029" s="4">
        <v>12297</v>
      </c>
      <c r="AZ1029" s="9">
        <v>24.873097482931705</v>
      </c>
      <c r="BA1029" s="7">
        <f t="shared" si="262"/>
        <v>6.3750803493242746E-4</v>
      </c>
      <c r="BB1029" s="54">
        <f t="shared" si="256"/>
        <v>830.81240291956283</v>
      </c>
      <c r="BC1029" s="55">
        <f t="shared" si="257"/>
        <v>1103.5320297466694</v>
      </c>
      <c r="BD1029" s="55">
        <f t="shared" si="258"/>
        <v>33.219452580478645</v>
      </c>
      <c r="BE1029" s="55">
        <f t="shared" si="259"/>
        <v>32.554465321937144</v>
      </c>
      <c r="BF1029" s="56">
        <f t="shared" si="260"/>
        <v>0.43357546039949579</v>
      </c>
      <c r="BG1029" s="56">
        <f t="shared" si="263"/>
        <v>3.0054422554045185E-4</v>
      </c>
      <c r="BH1029" s="56">
        <f t="shared" si="264"/>
        <v>1.7336211395240074E-2</v>
      </c>
      <c r="BI1029" s="56">
        <f t="shared" si="261"/>
        <v>1.698917498152171E-2</v>
      </c>
      <c r="BJ1029" s="57">
        <f t="shared" si="265"/>
        <v>1.6964897464207176E-2</v>
      </c>
      <c r="BK1029" s="57">
        <f t="shared" si="266"/>
        <v>6.7832955413823018E-4</v>
      </c>
      <c r="BL1029" s="58">
        <f t="shared" si="267"/>
        <v>29.933097702177804</v>
      </c>
      <c r="BM1029" s="58">
        <f t="shared" si="267"/>
        <v>1.1968539663227047</v>
      </c>
    </row>
    <row r="1030" spans="47:65" x14ac:dyDescent="0.2">
      <c r="AU1030" s="2">
        <v>-607</v>
      </c>
      <c r="AV1030" s="53">
        <v>1028</v>
      </c>
      <c r="AW1030" s="4" t="s">
        <v>1935</v>
      </c>
      <c r="AX1030" t="s">
        <v>390</v>
      </c>
      <c r="AY1030" s="4">
        <v>27901</v>
      </c>
      <c r="AZ1030" s="9">
        <v>24.882783333744893</v>
      </c>
      <c r="BA1030" s="7">
        <f t="shared" si="262"/>
        <v>6.377562873956682E-4</v>
      </c>
      <c r="BB1030" s="54">
        <f t="shared" si="256"/>
        <v>836.06569666151745</v>
      </c>
      <c r="BC1030" s="55">
        <f t="shared" si="257"/>
        <v>1113.9895118518932</v>
      </c>
      <c r="BD1030" s="55">
        <f t="shared" si="258"/>
        <v>33.376481418086797</v>
      </c>
      <c r="BE1030" s="55">
        <f t="shared" si="259"/>
        <v>32.708350755060231</v>
      </c>
      <c r="BF1030" s="56">
        <f t="shared" si="260"/>
        <v>0.43631699295820275</v>
      </c>
      <c r="BG1030" s="56">
        <f t="shared" si="263"/>
        <v>3.0339229498990857E-4</v>
      </c>
      <c r="BH1030" s="56">
        <f t="shared" si="264"/>
        <v>1.7418159919747798E-2</v>
      </c>
      <c r="BI1030" s="56">
        <f t="shared" si="261"/>
        <v>1.7069483059832379E-2</v>
      </c>
      <c r="BJ1030" s="57">
        <f t="shared" si="265"/>
        <v>3.8735509144111953E-2</v>
      </c>
      <c r="BK1030" s="57">
        <f t="shared" si="266"/>
        <v>1.5463557544952839E-3</v>
      </c>
      <c r="BL1030" s="58">
        <f t="shared" si="267"/>
        <v>68.345463460688876</v>
      </c>
      <c r="BM1030" s="58">
        <f t="shared" si="267"/>
        <v>2.7284112962833844</v>
      </c>
    </row>
    <row r="1031" spans="47:65" x14ac:dyDescent="0.2">
      <c r="AU1031" s="2">
        <v>-606</v>
      </c>
      <c r="AV1031" s="53">
        <v>1029</v>
      </c>
      <c r="AW1031" s="4" t="s">
        <v>2861</v>
      </c>
      <c r="AX1031" t="s">
        <v>1083</v>
      </c>
      <c r="AY1031" s="4">
        <v>24357</v>
      </c>
      <c r="AZ1031" s="9">
        <v>24.88301648904396</v>
      </c>
      <c r="BA1031" s="7">
        <f t="shared" si="262"/>
        <v>6.3776226326484346E-4</v>
      </c>
      <c r="BB1031" s="54">
        <f t="shared" si="256"/>
        <v>836.19256120490331</v>
      </c>
      <c r="BC1031" s="55">
        <f t="shared" si="257"/>
        <v>1114.2423919329715</v>
      </c>
      <c r="BD1031" s="55">
        <f t="shared" si="258"/>
        <v>33.380269500604271</v>
      </c>
      <c r="BE1031" s="55">
        <f t="shared" si="259"/>
        <v>32.712063007712587</v>
      </c>
      <c r="BF1031" s="56">
        <f t="shared" si="260"/>
        <v>0.43638319966457123</v>
      </c>
      <c r="BG1031" s="56">
        <f t="shared" si="263"/>
        <v>3.0346116625606863E-4</v>
      </c>
      <c r="BH1031" s="56">
        <f t="shared" si="264"/>
        <v>1.7420136803597972E-2</v>
      </c>
      <c r="BI1031" s="56">
        <f t="shared" si="261"/>
        <v>1.7071420370406359E-2</v>
      </c>
      <c r="BJ1031" s="57">
        <f t="shared" si="265"/>
        <v>3.3820435107176222E-2</v>
      </c>
      <c r="BK1031" s="57">
        <f t="shared" si="266"/>
        <v>1.3500900281612042E-3</v>
      </c>
      <c r="BL1031" s="58">
        <f t="shared" si="267"/>
        <v>59.673239436262072</v>
      </c>
      <c r="BM1031" s="58">
        <f t="shared" si="267"/>
        <v>2.3821173576172812</v>
      </c>
    </row>
    <row r="1032" spans="47:65" x14ac:dyDescent="0.2">
      <c r="AU1032" s="2">
        <v>-605</v>
      </c>
      <c r="AV1032" s="53">
        <v>1030</v>
      </c>
      <c r="AW1032" s="4" t="s">
        <v>2728</v>
      </c>
      <c r="AX1032" t="s">
        <v>989</v>
      </c>
      <c r="AY1032" s="4">
        <v>52545</v>
      </c>
      <c r="AZ1032" s="9">
        <v>24.883669123492613</v>
      </c>
      <c r="BA1032" s="7">
        <f t="shared" si="262"/>
        <v>6.3777899056248607E-4</v>
      </c>
      <c r="BB1032" s="54">
        <f t="shared" si="256"/>
        <v>836.54777526611338</v>
      </c>
      <c r="BC1032" s="55">
        <f t="shared" si="257"/>
        <v>1114.9505272059846</v>
      </c>
      <c r="BD1032" s="55">
        <f t="shared" si="258"/>
        <v>33.390874909262031</v>
      </c>
      <c r="BE1032" s="55">
        <f t="shared" si="259"/>
        <v>32.722456117217853</v>
      </c>
      <c r="BF1032" s="56">
        <f t="shared" si="260"/>
        <v>0.43656857496661111</v>
      </c>
      <c r="BG1032" s="56">
        <f t="shared" si="263"/>
        <v>3.0365402515045728E-4</v>
      </c>
      <c r="BH1032" s="56">
        <f t="shared" si="264"/>
        <v>1.7425671440448352E-2</v>
      </c>
      <c r="BI1032" s="56">
        <f t="shared" si="261"/>
        <v>1.7076844214853483E-2</v>
      </c>
      <c r="BJ1032" s="57">
        <f t="shared" si="265"/>
        <v>7.2991323702291971E-2</v>
      </c>
      <c r="BK1032" s="57">
        <f t="shared" si="266"/>
        <v>2.9134548333828812E-3</v>
      </c>
      <c r="BL1032" s="58">
        <f t="shared" si="267"/>
        <v>128.78689237006228</v>
      </c>
      <c r="BM1032" s="58">
        <f t="shared" si="267"/>
        <v>5.1405396562240568</v>
      </c>
    </row>
    <row r="1033" spans="47:65" x14ac:dyDescent="0.2">
      <c r="AU1033" s="2">
        <v>-604</v>
      </c>
      <c r="AV1033" s="53">
        <v>1031</v>
      </c>
      <c r="AW1033" s="4" t="s">
        <v>1736</v>
      </c>
      <c r="AX1033" t="s">
        <v>247</v>
      </c>
      <c r="AY1033" s="4">
        <v>24760</v>
      </c>
      <c r="AZ1033" s="9">
        <v>24.888353202415427</v>
      </c>
      <c r="BA1033" s="7">
        <f t="shared" si="262"/>
        <v>6.378990454913746E-4</v>
      </c>
      <c r="BB1033" s="54">
        <f t="shared" si="256"/>
        <v>839.10164488743737</v>
      </c>
      <c r="BC1033" s="55">
        <f t="shared" si="257"/>
        <v>1120.0454355961258</v>
      </c>
      <c r="BD1033" s="55">
        <f t="shared" si="258"/>
        <v>33.467079878533262</v>
      </c>
      <c r="BE1033" s="55">
        <f t="shared" si="259"/>
        <v>32.797135614825152</v>
      </c>
      <c r="BF1033" s="56">
        <f t="shared" si="260"/>
        <v>0.43790136103597443</v>
      </c>
      <c r="BG1033" s="56">
        <f t="shared" si="263"/>
        <v>3.0504161087977904E-4</v>
      </c>
      <c r="BH1033" s="56">
        <f t="shared" si="264"/>
        <v>1.7465440471965746E-2</v>
      </c>
      <c r="BI1033" s="56">
        <f t="shared" si="261"/>
        <v>1.711581714959055E-2</v>
      </c>
      <c r="BJ1033" s="57">
        <f t="shared" si="265"/>
        <v>3.4499619682444048E-2</v>
      </c>
      <c r="BK1033" s="57">
        <f t="shared" si="266"/>
        <v>1.3759972164591734E-3</v>
      </c>
      <c r="BL1033" s="58">
        <f t="shared" si="267"/>
        <v>60.871602013589566</v>
      </c>
      <c r="BM1033" s="58">
        <f t="shared" si="267"/>
        <v>2.4278283558798965</v>
      </c>
    </row>
    <row r="1034" spans="47:65" x14ac:dyDescent="0.2">
      <c r="AU1034" s="2">
        <v>-603</v>
      </c>
      <c r="AV1034" s="53">
        <v>1032</v>
      </c>
      <c r="AW1034" s="4" t="s">
        <v>2420</v>
      </c>
      <c r="AX1034" t="s">
        <v>750</v>
      </c>
      <c r="AY1034" s="4">
        <v>50296</v>
      </c>
      <c r="AZ1034" s="9">
        <v>24.889854470247432</v>
      </c>
      <c r="BA1034" s="7">
        <f t="shared" si="262"/>
        <v>6.3793752362246168E-4</v>
      </c>
      <c r="BB1034" s="54">
        <f t="shared" si="256"/>
        <v>839.92182016731294</v>
      </c>
      <c r="BC1034" s="55">
        <f t="shared" si="257"/>
        <v>1121.683024544029</v>
      </c>
      <c r="BD1034" s="55">
        <f t="shared" si="258"/>
        <v>33.491536610672689</v>
      </c>
      <c r="BE1034" s="55">
        <f t="shared" si="259"/>
        <v>32.821102771911562</v>
      </c>
      <c r="BF1034" s="56">
        <f t="shared" si="260"/>
        <v>0.43832938530875959</v>
      </c>
      <c r="BG1034" s="56">
        <f t="shared" si="263"/>
        <v>3.0548760418930076E-4</v>
      </c>
      <c r="BH1034" s="56">
        <f t="shared" si="264"/>
        <v>1.7478203688860612E-2</v>
      </c>
      <c r="BI1034" s="56">
        <f t="shared" si="261"/>
        <v>1.7128324872310953E-2</v>
      </c>
      <c r="BJ1034" s="57">
        <f t="shared" si="265"/>
        <v>7.014898732878376E-2</v>
      </c>
      <c r="BK1034" s="57">
        <f t="shared" si="266"/>
        <v>2.7971619749749014E-3</v>
      </c>
      <c r="BL1034" s="58">
        <f t="shared" si="267"/>
        <v>123.77183509959083</v>
      </c>
      <c r="BM1034" s="58">
        <f t="shared" si="267"/>
        <v>4.9353509422848267</v>
      </c>
    </row>
    <row r="1035" spans="47:65" x14ac:dyDescent="0.2">
      <c r="AU1035" s="2">
        <v>-602</v>
      </c>
      <c r="AV1035" s="53">
        <v>1033</v>
      </c>
      <c r="AW1035" s="4" t="s">
        <v>1605</v>
      </c>
      <c r="AX1035" t="s">
        <v>168</v>
      </c>
      <c r="AY1035" s="4">
        <v>40495</v>
      </c>
      <c r="AZ1035" s="9">
        <v>24.895751535925505</v>
      </c>
      <c r="BA1035" s="7">
        <f t="shared" si="262"/>
        <v>6.3808866791620616E-4</v>
      </c>
      <c r="BB1035" s="54">
        <f t="shared" si="256"/>
        <v>843.15128278950556</v>
      </c>
      <c r="BC1035" s="55">
        <f t="shared" si="257"/>
        <v>1128.1374817326528</v>
      </c>
      <c r="BD1035" s="55">
        <f t="shared" si="258"/>
        <v>33.587757914642843</v>
      </c>
      <c r="BE1035" s="55">
        <f t="shared" si="259"/>
        <v>32.915397917075055</v>
      </c>
      <c r="BF1035" s="56">
        <f t="shared" si="260"/>
        <v>0.44001474260282458</v>
      </c>
      <c r="BG1035" s="56">
        <f t="shared" si="263"/>
        <v>3.0724545967942678E-4</v>
      </c>
      <c r="BH1035" s="56">
        <f t="shared" si="264"/>
        <v>1.7528418630310801E-2</v>
      </c>
      <c r="BI1035" s="56">
        <f t="shared" si="261"/>
        <v>1.7177534610675033E-2</v>
      </c>
      <c r="BJ1035" s="57">
        <f t="shared" si="265"/>
        <v>5.6696467801883713E-2</v>
      </c>
      <c r="BK1035" s="57">
        <f t="shared" si="266"/>
        <v>2.2585593760170884E-3</v>
      </c>
      <c r="BL1035" s="58">
        <f t="shared" si="267"/>
        <v>100.03602519041067</v>
      </c>
      <c r="BM1035" s="58">
        <f t="shared" si="267"/>
        <v>3.9850331315662144</v>
      </c>
    </row>
    <row r="1036" spans="47:65" x14ac:dyDescent="0.2">
      <c r="AU1036" s="2">
        <v>-601</v>
      </c>
      <c r="AV1036" s="53">
        <v>1034</v>
      </c>
      <c r="AW1036" s="4" t="s">
        <v>2295</v>
      </c>
      <c r="AX1036" t="s">
        <v>649</v>
      </c>
      <c r="AY1036" s="4">
        <v>43772</v>
      </c>
      <c r="AZ1036" s="9">
        <v>24.900319829217384</v>
      </c>
      <c r="BA1036" s="7">
        <f t="shared" si="262"/>
        <v>6.382057552102796E-4</v>
      </c>
      <c r="BB1036" s="54">
        <f t="shared" si="256"/>
        <v>845.66159166677062</v>
      </c>
      <c r="BC1036" s="55">
        <f t="shared" si="257"/>
        <v>1133.1616656500398</v>
      </c>
      <c r="BD1036" s="55">
        <f t="shared" si="258"/>
        <v>33.662466719627659</v>
      </c>
      <c r="BE1036" s="55">
        <f t="shared" si="259"/>
        <v>32.988611200624185</v>
      </c>
      <c r="BF1036" s="56">
        <f t="shared" si="260"/>
        <v>0.44132479565858068</v>
      </c>
      <c r="BG1036" s="56">
        <f t="shared" si="263"/>
        <v>3.0861378377307526E-4</v>
      </c>
      <c r="BH1036" s="56">
        <f t="shared" si="264"/>
        <v>1.7567406859667001E-2</v>
      </c>
      <c r="BI1036" s="56">
        <f t="shared" si="261"/>
        <v>1.7215742373354603E-2</v>
      </c>
      <c r="BJ1036" s="57">
        <f t="shared" si="265"/>
        <v>6.1467010519644191E-2</v>
      </c>
      <c r="BK1036" s="57">
        <f t="shared" si="266"/>
        <v>2.4467602837375865E-3</v>
      </c>
      <c r="BL1036" s="58">
        <f t="shared" si="267"/>
        <v>108.45323617352526</v>
      </c>
      <c r="BM1036" s="58">
        <f t="shared" si="267"/>
        <v>4.3170973936887371</v>
      </c>
    </row>
    <row r="1037" spans="47:65" x14ac:dyDescent="0.2">
      <c r="AU1037" s="2">
        <v>-600</v>
      </c>
      <c r="AV1037" s="53">
        <v>1035</v>
      </c>
      <c r="AW1037" s="4" t="s">
        <v>2470</v>
      </c>
      <c r="AX1037" t="s">
        <v>789</v>
      </c>
      <c r="AY1037" s="4">
        <v>36496</v>
      </c>
      <c r="AZ1037" s="9">
        <v>24.905899023367201</v>
      </c>
      <c r="BA1037" s="7">
        <f t="shared" si="262"/>
        <v>6.3834875232197409E-4</v>
      </c>
      <c r="BB1037" s="54">
        <f t="shared" si="256"/>
        <v>848.73753837464074</v>
      </c>
      <c r="BC1037" s="55">
        <f t="shared" si="257"/>
        <v>1139.3262942669203</v>
      </c>
      <c r="BD1037" s="55">
        <f t="shared" si="258"/>
        <v>33.753907836973788</v>
      </c>
      <c r="BE1037" s="55">
        <f t="shared" si="259"/>
        <v>33.07822184897644</v>
      </c>
      <c r="BF1037" s="56">
        <f t="shared" si="260"/>
        <v>0.44293003771484118</v>
      </c>
      <c r="BG1037" s="56">
        <f t="shared" si="263"/>
        <v>3.1029270516680298E-4</v>
      </c>
      <c r="BH1037" s="56">
        <f t="shared" si="264"/>
        <v>1.7615127168624217E-2</v>
      </c>
      <c r="BI1037" s="56">
        <f t="shared" si="261"/>
        <v>1.7262507416798235E-2</v>
      </c>
      <c r="BJ1037" s="57">
        <f t="shared" si="265"/>
        <v>5.1436069380046516E-2</v>
      </c>
      <c r="BK1037" s="57">
        <f t="shared" si="266"/>
        <v>2.0455892037898214E-3</v>
      </c>
      <c r="BL1037" s="58">
        <f t="shared" si="267"/>
        <v>90.754506086304886</v>
      </c>
      <c r="BM1037" s="58">
        <f t="shared" si="267"/>
        <v>3.6092656395210545</v>
      </c>
    </row>
    <row r="1038" spans="47:65" x14ac:dyDescent="0.2">
      <c r="AU1038" s="2">
        <v>-599</v>
      </c>
      <c r="AV1038" s="53">
        <v>1036</v>
      </c>
      <c r="AW1038" s="4" t="s">
        <v>2701</v>
      </c>
      <c r="AX1038" t="s">
        <v>965</v>
      </c>
      <c r="AY1038" s="4">
        <v>21476</v>
      </c>
      <c r="AZ1038" s="9">
        <v>24.907045906691248</v>
      </c>
      <c r="BA1038" s="7">
        <f t="shared" si="262"/>
        <v>6.3837814742785952E-4</v>
      </c>
      <c r="BB1038" s="54">
        <f t="shared" si="256"/>
        <v>849.3712284265232</v>
      </c>
      <c r="BC1038" s="55">
        <f t="shared" si="257"/>
        <v>1140.5974396606064</v>
      </c>
      <c r="BD1038" s="55">
        <f t="shared" si="258"/>
        <v>33.772732191230936</v>
      </c>
      <c r="BE1038" s="55">
        <f t="shared" si="259"/>
        <v>33.096669377164559</v>
      </c>
      <c r="BF1038" s="56">
        <f t="shared" si="260"/>
        <v>0.44326074107823549</v>
      </c>
      <c r="BG1038" s="56">
        <f t="shared" si="263"/>
        <v>3.106388984784549E-4</v>
      </c>
      <c r="BH1038" s="56">
        <f t="shared" si="264"/>
        <v>1.7624951020597333E-2</v>
      </c>
      <c r="BI1038" s="56">
        <f t="shared" si="261"/>
        <v>1.7272134614826615E-2</v>
      </c>
      <c r="BJ1038" s="57">
        <f t="shared" si="265"/>
        <v>3.0290053167949832E-2</v>
      </c>
      <c r="BK1038" s="57">
        <f t="shared" si="266"/>
        <v>1.2043942853991177E-3</v>
      </c>
      <c r="BL1038" s="58">
        <f t="shared" si="267"/>
        <v>53.444185135413932</v>
      </c>
      <c r="BM1038" s="58">
        <f t="shared" si="267"/>
        <v>2.1250497913623079</v>
      </c>
    </row>
    <row r="1039" spans="47:65" x14ac:dyDescent="0.2">
      <c r="AU1039" s="2">
        <v>-598</v>
      </c>
      <c r="AV1039" s="53">
        <v>1037</v>
      </c>
      <c r="AW1039" s="4" t="s">
        <v>2630</v>
      </c>
      <c r="AX1039" t="s">
        <v>916</v>
      </c>
      <c r="AY1039" s="4">
        <v>39450</v>
      </c>
      <c r="AZ1039" s="9">
        <v>24.910618334040397</v>
      </c>
      <c r="BA1039" s="7">
        <f t="shared" si="262"/>
        <v>6.3846971025556358E-4</v>
      </c>
      <c r="BB1039" s="54">
        <f t="shared" si="256"/>
        <v>851.34814385344566</v>
      </c>
      <c r="BC1039" s="55">
        <f t="shared" si="257"/>
        <v>1144.5655178577415</v>
      </c>
      <c r="BD1039" s="55">
        <f t="shared" si="258"/>
        <v>33.831427960666119</v>
      </c>
      <c r="BE1039" s="55">
        <f t="shared" si="259"/>
        <v>33.15419017423347</v>
      </c>
      <c r="BF1039" s="56">
        <f t="shared" si="260"/>
        <v>0.4442924324846072</v>
      </c>
      <c r="BG1039" s="56">
        <f t="shared" si="263"/>
        <v>3.1171959478495519E-4</v>
      </c>
      <c r="BH1039" s="56">
        <f t="shared" si="264"/>
        <v>1.7655582538816304E-2</v>
      </c>
      <c r="BI1039" s="56">
        <f t="shared" si="261"/>
        <v>1.73021529510771E-2</v>
      </c>
      <c r="BJ1039" s="57">
        <f t="shared" si="265"/>
        <v>5.5770340465999109E-2</v>
      </c>
      <c r="BK1039" s="57">
        <f t="shared" si="266"/>
        <v>2.2162381740531865E-3</v>
      </c>
      <c r="BL1039" s="58">
        <f t="shared" si="267"/>
        <v>98.401953420264121</v>
      </c>
      <c r="BM1039" s="58">
        <f t="shared" si="267"/>
        <v>3.9103610225286092</v>
      </c>
    </row>
    <row r="1040" spans="47:65" x14ac:dyDescent="0.2">
      <c r="AU1040" s="2">
        <v>-597</v>
      </c>
      <c r="AV1040" s="53">
        <v>1038</v>
      </c>
      <c r="AW1040" s="4" t="s">
        <v>2967</v>
      </c>
      <c r="AX1040" t="s">
        <v>1161</v>
      </c>
      <c r="AY1040" s="4">
        <v>56881</v>
      </c>
      <c r="AZ1040" s="9">
        <v>24.913877699453948</v>
      </c>
      <c r="BA1040" s="7">
        <f t="shared" si="262"/>
        <v>6.3855324917311675E-4</v>
      </c>
      <c r="BB1040" s="54">
        <f t="shared" si="256"/>
        <v>853.15583074676636</v>
      </c>
      <c r="BC1040" s="55">
        <f t="shared" si="257"/>
        <v>1148.1972287083361</v>
      </c>
      <c r="BD1040" s="55">
        <f t="shared" si="258"/>
        <v>33.885059077834526</v>
      </c>
      <c r="BE1040" s="55">
        <f t="shared" si="259"/>
        <v>33.206747703283838</v>
      </c>
      <c r="BF1040" s="56">
        <f t="shared" si="260"/>
        <v>0.44523580872005536</v>
      </c>
      <c r="BG1040" s="56">
        <f t="shared" si="263"/>
        <v>3.1270868227454619E-4</v>
      </c>
      <c r="BH1040" s="56">
        <f t="shared" si="264"/>
        <v>1.7683570970665009E-2</v>
      </c>
      <c r="BI1040" s="56">
        <f t="shared" si="261"/>
        <v>1.7329581110280708E-2</v>
      </c>
      <c r="BJ1040" s="57">
        <f t="shared" si="265"/>
        <v>8.0583231811363246E-2</v>
      </c>
      <c r="BK1040" s="57">
        <f t="shared" si="266"/>
        <v>3.2005496208364699E-3</v>
      </c>
      <c r="BL1040" s="58">
        <f t="shared" si="267"/>
        <v>142.18215913511295</v>
      </c>
      <c r="BM1040" s="58">
        <f t="shared" si="267"/>
        <v>5.6470936357435466</v>
      </c>
    </row>
    <row r="1041" spans="47:65" x14ac:dyDescent="0.2">
      <c r="AU1041" s="2">
        <v>-596</v>
      </c>
      <c r="AV1041" s="53">
        <v>1039</v>
      </c>
      <c r="AW1041" s="4" t="s">
        <v>2680</v>
      </c>
      <c r="AX1041" t="s">
        <v>946</v>
      </c>
      <c r="AY1041" s="4">
        <v>13989</v>
      </c>
      <c r="AZ1041" s="9">
        <v>24.914166726767132</v>
      </c>
      <c r="BA1041" s="7">
        <f t="shared" si="262"/>
        <v>6.3856065706570419E-4</v>
      </c>
      <c r="BB1041" s="54">
        <f t="shared" si="256"/>
        <v>853.31631426254285</v>
      </c>
      <c r="BC1041" s="55">
        <f t="shared" si="257"/>
        <v>1148.5197986688265</v>
      </c>
      <c r="BD1041" s="55">
        <f t="shared" si="258"/>
        <v>33.889818510414401</v>
      </c>
      <c r="BE1041" s="55">
        <f t="shared" si="259"/>
        <v>33.211411861505539</v>
      </c>
      <c r="BF1041" s="56">
        <f t="shared" si="260"/>
        <v>0.4453195601349289</v>
      </c>
      <c r="BG1041" s="56">
        <f t="shared" si="263"/>
        <v>3.1279653340741438E-4</v>
      </c>
      <c r="BH1041" s="56">
        <f t="shared" si="264"/>
        <v>1.7686054772260953E-2</v>
      </c>
      <c r="BI1041" s="56">
        <f t="shared" si="261"/>
        <v>1.7332015191117104E-2</v>
      </c>
      <c r="BJ1041" s="57">
        <f t="shared" si="265"/>
        <v>1.9821924323354761E-2</v>
      </c>
      <c r="BK1041" s="57">
        <f t="shared" si="266"/>
        <v>7.872361123509665E-4</v>
      </c>
      <c r="BL1041" s="58">
        <f t="shared" si="267"/>
        <v>34.974075066941822</v>
      </c>
      <c r="BM1041" s="58">
        <f t="shared" si="267"/>
        <v>1.3890101909192614</v>
      </c>
    </row>
    <row r="1042" spans="47:65" x14ac:dyDescent="0.2">
      <c r="AU1042" s="2">
        <v>-595</v>
      </c>
      <c r="AV1042" s="53">
        <v>1040</v>
      </c>
      <c r="AW1042" s="4" t="s">
        <v>1526</v>
      </c>
      <c r="AX1042" t="s">
        <v>119</v>
      </c>
      <c r="AY1042" s="4">
        <v>22956</v>
      </c>
      <c r="AZ1042" s="9">
        <v>24.927143536466087</v>
      </c>
      <c r="BA1042" s="7">
        <f t="shared" si="262"/>
        <v>6.3889325820058697E-4</v>
      </c>
      <c r="BB1042" s="54">
        <f t="shared" si="256"/>
        <v>860.55293039273874</v>
      </c>
      <c r="BC1042" s="55">
        <f t="shared" si="257"/>
        <v>1163.0910712691395</v>
      </c>
      <c r="BD1042" s="55">
        <f t="shared" si="258"/>
        <v>34.104121030590122</v>
      </c>
      <c r="BE1042" s="55">
        <f t="shared" si="259"/>
        <v>33.421424472175829</v>
      </c>
      <c r="BF1042" s="56">
        <f t="shared" si="260"/>
        <v>0.44909612769621943</v>
      </c>
      <c r="BG1042" s="56">
        <f t="shared" si="263"/>
        <v>3.1676498354816666E-4</v>
      </c>
      <c r="BH1042" s="56">
        <f t="shared" si="264"/>
        <v>1.7797892671554311E-2</v>
      </c>
      <c r="BI1042" s="56">
        <f t="shared" si="261"/>
        <v>1.7441614318477905E-2</v>
      </c>
      <c r="BJ1042" s="57">
        <f t="shared" si="265"/>
        <v>3.2803705071285771E-2</v>
      </c>
      <c r="BK1042" s="57">
        <f t="shared" si="266"/>
        <v>1.3000263998779983E-3</v>
      </c>
      <c r="BL1042" s="58">
        <f t="shared" si="267"/>
        <v>57.879307019914876</v>
      </c>
      <c r="BM1042" s="58">
        <f t="shared" si="267"/>
        <v>2.2937844054206411</v>
      </c>
    </row>
    <row r="1043" spans="47:65" x14ac:dyDescent="0.2">
      <c r="AU1043" s="2">
        <v>-594</v>
      </c>
      <c r="AV1043" s="53">
        <v>1041</v>
      </c>
      <c r="AW1043" s="4" t="s">
        <v>2521</v>
      </c>
      <c r="AX1043" t="s">
        <v>830</v>
      </c>
      <c r="AY1043" s="4">
        <v>47979</v>
      </c>
      <c r="AZ1043" s="9">
        <v>24.932770314533929</v>
      </c>
      <c r="BA1043" s="7">
        <f t="shared" si="262"/>
        <v>6.3903747490827662E-4</v>
      </c>
      <c r="BB1043" s="54">
        <f t="shared" si="256"/>
        <v>863.70979132419529</v>
      </c>
      <c r="BC1043" s="55">
        <f t="shared" si="257"/>
        <v>1169.4632859204053</v>
      </c>
      <c r="BD1043" s="55">
        <f t="shared" si="258"/>
        <v>34.197416363234304</v>
      </c>
      <c r="BE1043" s="55">
        <f t="shared" si="259"/>
        <v>33.512852218129964</v>
      </c>
      <c r="BF1043" s="56">
        <f t="shared" si="260"/>
        <v>0.45074359639909878</v>
      </c>
      <c r="BG1043" s="56">
        <f t="shared" si="263"/>
        <v>3.1850044048619032E-4</v>
      </c>
      <c r="BH1043" s="56">
        <f t="shared" si="264"/>
        <v>1.7846580638491798E-2</v>
      </c>
      <c r="BI1043" s="56">
        <f t="shared" si="261"/>
        <v>1.748932764931688E-2</v>
      </c>
      <c r="BJ1043" s="57">
        <f t="shared" si="265"/>
        <v>6.8812625699391797E-2</v>
      </c>
      <c r="BK1043" s="57">
        <f t="shared" si="266"/>
        <v>2.7245424744829585E-3</v>
      </c>
      <c r="BL1043" s="58">
        <f t="shared" si="267"/>
        <v>121.41394031700067</v>
      </c>
      <c r="BM1043" s="58">
        <f t="shared" si="267"/>
        <v>4.8072200998854049</v>
      </c>
    </row>
    <row r="1044" spans="47:65" x14ac:dyDescent="0.2">
      <c r="AU1044" s="2">
        <v>-593</v>
      </c>
      <c r="AV1044" s="53">
        <v>1042</v>
      </c>
      <c r="AW1044" s="4" t="s">
        <v>2847</v>
      </c>
      <c r="AX1044" t="s">
        <v>1075</v>
      </c>
      <c r="AY1044" s="4">
        <v>48679</v>
      </c>
      <c r="AZ1044" s="9">
        <v>24.936084942738244</v>
      </c>
      <c r="BA1044" s="7">
        <f t="shared" si="262"/>
        <v>6.3912243023458905E-4</v>
      </c>
      <c r="BB1044" s="54">
        <f t="shared" si="256"/>
        <v>865.57485624269361</v>
      </c>
      <c r="BC1044" s="55">
        <f t="shared" si="257"/>
        <v>1173.2324402809666</v>
      </c>
      <c r="BD1044" s="55">
        <f t="shared" si="258"/>
        <v>34.252480790170026</v>
      </c>
      <c r="BE1044" s="55">
        <f t="shared" si="259"/>
        <v>33.566814364941642</v>
      </c>
      <c r="BF1044" s="56">
        <f t="shared" si="260"/>
        <v>0.45171691646253387</v>
      </c>
      <c r="BG1044" s="56">
        <f t="shared" si="263"/>
        <v>3.1952696037660739E-4</v>
      </c>
      <c r="BH1044" s="56">
        <f t="shared" si="264"/>
        <v>1.78753170706594E-2</v>
      </c>
      <c r="BI1044" s="56">
        <f t="shared" si="261"/>
        <v>1.7517488835363217E-2</v>
      </c>
      <c r="BJ1044" s="57">
        <f t="shared" si="265"/>
        <v>6.9967341891172721E-2</v>
      </c>
      <c r="BK1044" s="57">
        <f t="shared" si="266"/>
        <v>2.7687438201125605E-3</v>
      </c>
      <c r="BL1044" s="58">
        <f t="shared" si="267"/>
        <v>123.45133739881558</v>
      </c>
      <c r="BM1044" s="58">
        <f t="shared" si="267"/>
        <v>4.885209560186599</v>
      </c>
    </row>
    <row r="1045" spans="47:65" x14ac:dyDescent="0.2">
      <c r="AU1045" s="2">
        <v>-592</v>
      </c>
      <c r="AV1045" s="53">
        <v>1043</v>
      </c>
      <c r="AW1045" s="4" t="s">
        <v>2743</v>
      </c>
      <c r="AX1045" t="s">
        <v>999</v>
      </c>
      <c r="AY1045" s="4">
        <v>26509</v>
      </c>
      <c r="AZ1045" s="9">
        <v>24.938450017105438</v>
      </c>
      <c r="BA1045" s="7">
        <f t="shared" si="262"/>
        <v>6.3918304809343568E-4</v>
      </c>
      <c r="BB1045" s="54">
        <f t="shared" si="256"/>
        <v>866.90809080593397</v>
      </c>
      <c r="BC1045" s="55">
        <f t="shared" si="257"/>
        <v>1175.9288346092433</v>
      </c>
      <c r="BD1045" s="55">
        <f t="shared" si="258"/>
        <v>34.291818770797846</v>
      </c>
      <c r="BE1045" s="55">
        <f t="shared" si="259"/>
        <v>33.605364877569173</v>
      </c>
      <c r="BF1045" s="56">
        <f t="shared" si="260"/>
        <v>0.45241269060787209</v>
      </c>
      <c r="BG1045" s="56">
        <f t="shared" si="263"/>
        <v>3.2026131671904559E-4</v>
      </c>
      <c r="BH1045" s="56">
        <f t="shared" si="264"/>
        <v>1.7895846353806394E-2</v>
      </c>
      <c r="BI1045" s="56">
        <f t="shared" si="261"/>
        <v>1.7537607163161485E-2</v>
      </c>
      <c r="BJ1045" s="57">
        <f t="shared" si="265"/>
        <v>3.8160626498760203E-2</v>
      </c>
      <c r="BK1045" s="57">
        <f t="shared" si="266"/>
        <v>1.5094994520804068E-3</v>
      </c>
      <c r="BL1045" s="58">
        <f t="shared" si="267"/>
        <v>67.331132638654367</v>
      </c>
      <c r="BM1045" s="58">
        <f t="shared" si="267"/>
        <v>2.663381530942738</v>
      </c>
    </row>
    <row r="1046" spans="47:65" x14ac:dyDescent="0.2">
      <c r="AU1046" s="2">
        <v>-591</v>
      </c>
      <c r="AV1046" s="53">
        <v>1044</v>
      </c>
      <c r="AW1046" s="4" t="s">
        <v>2791</v>
      </c>
      <c r="AX1046" t="s">
        <v>1348</v>
      </c>
      <c r="AY1046" s="4">
        <v>25595</v>
      </c>
      <c r="AZ1046" s="9">
        <v>24.942126288734162</v>
      </c>
      <c r="BA1046" s="7">
        <f t="shared" si="262"/>
        <v>6.3927727249405623E-4</v>
      </c>
      <c r="BB1046" s="54">
        <f t="shared" si="256"/>
        <v>868.98454902549531</v>
      </c>
      <c r="BC1046" s="55">
        <f t="shared" si="257"/>
        <v>1180.1317197914216</v>
      </c>
      <c r="BD1046" s="55">
        <f t="shared" si="258"/>
        <v>34.35304527682257</v>
      </c>
      <c r="BE1046" s="55">
        <f t="shared" si="259"/>
        <v>33.665365750923016</v>
      </c>
      <c r="BF1046" s="56">
        <f t="shared" si="260"/>
        <v>0.45349633033855385</v>
      </c>
      <c r="BG1046" s="56">
        <f t="shared" si="263"/>
        <v>3.2140596212857834E-4</v>
      </c>
      <c r="BH1046" s="56">
        <f t="shared" si="264"/>
        <v>1.7927798585676332E-2</v>
      </c>
      <c r="BI1046" s="56">
        <f t="shared" si="261"/>
        <v>1.756891977500686E-2</v>
      </c>
      <c r="BJ1046" s="57">
        <f t="shared" si="265"/>
        <v>3.6933144326860574E-2</v>
      </c>
      <c r="BK1046" s="57">
        <f t="shared" si="266"/>
        <v>1.4600558556523784E-3</v>
      </c>
      <c r="BL1046" s="58">
        <f t="shared" si="267"/>
        <v>65.16534626377809</v>
      </c>
      <c r="BM1046" s="58">
        <f t="shared" si="267"/>
        <v>2.5761425714530177</v>
      </c>
    </row>
    <row r="1047" spans="47:65" x14ac:dyDescent="0.2">
      <c r="AU1047" s="2">
        <v>-590</v>
      </c>
      <c r="AV1047" s="53">
        <v>1045</v>
      </c>
      <c r="AW1047" s="4" t="s">
        <v>1508</v>
      </c>
      <c r="AX1047" t="s">
        <v>103</v>
      </c>
      <c r="AY1047" s="4">
        <v>32791</v>
      </c>
      <c r="AZ1047" s="9">
        <v>25.267697204371423</v>
      </c>
      <c r="BA1047" s="7">
        <f t="shared" si="262"/>
        <v>6.4762179310720017E-4</v>
      </c>
      <c r="BB1047" s="54">
        <f t="shared" si="256"/>
        <v>-1.1676194856170172</v>
      </c>
      <c r="BC1047" s="55">
        <f t="shared" si="257"/>
        <v>875.99847330303226</v>
      </c>
      <c r="BD1047" s="55">
        <f t="shared" si="258"/>
        <v>29.597271382731083</v>
      </c>
      <c r="BE1047" s="55">
        <f t="shared" si="259"/>
        <v>29.004792975405458</v>
      </c>
      <c r="BF1047" s="56">
        <f t="shared" si="260"/>
        <v>39.96639309761045</v>
      </c>
      <c r="BG1047" s="56">
        <f t="shared" si="263"/>
        <v>0.45715668186574998</v>
      </c>
      <c r="BH1047" s="56">
        <f t="shared" si="264"/>
        <v>0.67613362722597226</v>
      </c>
      <c r="BI1047" s="56">
        <f t="shared" si="261"/>
        <v>0.66259877904966791</v>
      </c>
      <c r="BJ1047" s="57">
        <f t="shared" si="265"/>
        <v>4.1700089682522234</v>
      </c>
      <c r="BK1047" s="57">
        <f t="shared" si="266"/>
        <v>7.0546353341997839E-2</v>
      </c>
      <c r="BL1047" s="58">
        <f t="shared" si="267"/>
        <v>7357.6210011879821</v>
      </c>
      <c r="BM1047" s="58">
        <f t="shared" si="267"/>
        <v>124.47295314183994</v>
      </c>
    </row>
    <row r="1048" spans="47:65" x14ac:dyDescent="0.2">
      <c r="AU1048" s="2">
        <v>-589</v>
      </c>
      <c r="AV1048" s="53">
        <v>1046</v>
      </c>
      <c r="AW1048" s="4" t="s">
        <v>2232</v>
      </c>
      <c r="AX1048" t="s">
        <v>607</v>
      </c>
      <c r="AY1048" s="4">
        <v>50920</v>
      </c>
      <c r="AZ1048" s="9">
        <v>24.957438985779628</v>
      </c>
      <c r="BA1048" s="7">
        <f t="shared" si="262"/>
        <v>6.396697434120699E-4</v>
      </c>
      <c r="BB1048" s="54">
        <f t="shared" si="256"/>
        <v>877.68722005534164</v>
      </c>
      <c r="BC1048" s="55">
        <f t="shared" si="257"/>
        <v>1197.7908142778842</v>
      </c>
      <c r="BD1048" s="55">
        <f t="shared" si="258"/>
        <v>34.6091146127416</v>
      </c>
      <c r="BE1048" s="55">
        <f t="shared" si="259"/>
        <v>33.916309088896213</v>
      </c>
      <c r="BF1048" s="56">
        <f t="shared" si="260"/>
        <v>0.45803798689689468</v>
      </c>
      <c r="BG1048" s="56">
        <f t="shared" si="263"/>
        <v>3.2621537294143216E-4</v>
      </c>
      <c r="BH1048" s="56">
        <f t="shared" si="264"/>
        <v>1.8061433302521485E-2</v>
      </c>
      <c r="BI1048" s="56">
        <f t="shared" si="261"/>
        <v>1.7699879391057216E-2</v>
      </c>
      <c r="BJ1048" s="57">
        <f t="shared" si="265"/>
        <v>7.4212534594372076E-2</v>
      </c>
      <c r="BK1048" s="57">
        <f t="shared" si="266"/>
        <v>2.926361529243738E-3</v>
      </c>
      <c r="BL1048" s="58">
        <f t="shared" si="267"/>
        <v>130.94161361283554</v>
      </c>
      <c r="BM1048" s="58">
        <f t="shared" si="267"/>
        <v>5.1633124073727403</v>
      </c>
    </row>
    <row r="1049" spans="47:65" x14ac:dyDescent="0.2">
      <c r="AU1049" s="2">
        <v>-588</v>
      </c>
      <c r="AV1049" s="53">
        <v>1047</v>
      </c>
      <c r="AW1049" s="4" t="s">
        <v>2099</v>
      </c>
      <c r="AX1049" t="s">
        <v>507</v>
      </c>
      <c r="AY1049" s="4">
        <v>13720</v>
      </c>
      <c r="AZ1049" s="9">
        <v>24.958722620827903</v>
      </c>
      <c r="BA1049" s="7">
        <f t="shared" si="262"/>
        <v>6.3970264352263147E-4</v>
      </c>
      <c r="BB1049" s="54">
        <f t="shared" si="256"/>
        <v>878.42069638582791</v>
      </c>
      <c r="BC1049" s="55">
        <f t="shared" si="257"/>
        <v>1199.2824095498547</v>
      </c>
      <c r="BD1049" s="55">
        <f t="shared" si="258"/>
        <v>34.630657076495886</v>
      </c>
      <c r="BE1049" s="55">
        <f t="shared" si="259"/>
        <v>33.937420315444541</v>
      </c>
      <c r="BF1049" s="56">
        <f t="shared" si="260"/>
        <v>0.45842076565244183</v>
      </c>
      <c r="BG1049" s="56">
        <f t="shared" si="263"/>
        <v>3.2662160523349296E-4</v>
      </c>
      <c r="BH1049" s="56">
        <f t="shared" si="264"/>
        <v>1.8072675652307076E-2</v>
      </c>
      <c r="BI1049" s="56">
        <f t="shared" si="261"/>
        <v>1.7710896691397894E-2</v>
      </c>
      <c r="BJ1049" s="57">
        <f t="shared" si="265"/>
        <v>2.0012703712297044E-2</v>
      </c>
      <c r="BK1049" s="57">
        <f t="shared" si="266"/>
        <v>7.8897626420414244E-4</v>
      </c>
      <c r="BL1049" s="58">
        <f t="shared" si="267"/>
        <v>35.310688836687234</v>
      </c>
      <c r="BM1049" s="58">
        <f t="shared" si="267"/>
        <v>1.3920805387093167</v>
      </c>
    </row>
    <row r="1050" spans="47:65" x14ac:dyDescent="0.2">
      <c r="AU1050" s="2">
        <v>-587</v>
      </c>
      <c r="AV1050" s="53">
        <v>1048</v>
      </c>
      <c r="AW1050" s="4" t="s">
        <v>1799</v>
      </c>
      <c r="AX1050" t="s">
        <v>286</v>
      </c>
      <c r="AY1050" s="4">
        <v>49103</v>
      </c>
      <c r="AZ1050" s="9">
        <v>24.960373436747496</v>
      </c>
      <c r="BA1050" s="7">
        <f t="shared" si="262"/>
        <v>6.3974495463461325E-4</v>
      </c>
      <c r="BB1050" s="54">
        <f t="shared" si="256"/>
        <v>879.36488313119162</v>
      </c>
      <c r="BC1050" s="55">
        <f t="shared" si="257"/>
        <v>1201.203247055339</v>
      </c>
      <c r="BD1050" s="55">
        <f t="shared" si="258"/>
        <v>34.658379175249081</v>
      </c>
      <c r="BE1050" s="55">
        <f t="shared" si="259"/>
        <v>33.964587473010603</v>
      </c>
      <c r="BF1050" s="56">
        <f t="shared" si="260"/>
        <v>0.45891350769792105</v>
      </c>
      <c r="BG1050" s="56">
        <f t="shared" si="263"/>
        <v>3.271447405887974E-4</v>
      </c>
      <c r="BH1050" s="56">
        <f t="shared" si="264"/>
        <v>1.8087142963685486E-2</v>
      </c>
      <c r="BI1050" s="56">
        <f t="shared" si="261"/>
        <v>1.77250743960253E-2</v>
      </c>
      <c r="BJ1050" s="57">
        <f t="shared" si="265"/>
        <v>7.1701169551517049E-2</v>
      </c>
      <c r="BK1050" s="57">
        <f t="shared" si="266"/>
        <v>2.8259558339158832E-3</v>
      </c>
      <c r="BL1050" s="58">
        <f t="shared" si="267"/>
        <v>126.51052669632369</v>
      </c>
      <c r="BM1050" s="58">
        <f t="shared" si="267"/>
        <v>4.9861552218109226</v>
      </c>
    </row>
    <row r="1051" spans="47:65" x14ac:dyDescent="0.2">
      <c r="AU1051" s="2">
        <v>-586</v>
      </c>
      <c r="AV1051" s="53">
        <v>1049</v>
      </c>
      <c r="AW1051" s="4" t="s">
        <v>2912</v>
      </c>
      <c r="AX1051" t="s">
        <v>1124</v>
      </c>
      <c r="AY1051" s="4">
        <v>43395</v>
      </c>
      <c r="AZ1051" s="9">
        <v>24.960726937392273</v>
      </c>
      <c r="BA1051" s="7">
        <f t="shared" si="262"/>
        <v>6.3975401500602678E-4</v>
      </c>
      <c r="BB1051" s="54">
        <f t="shared" si="256"/>
        <v>879.56720028082452</v>
      </c>
      <c r="BC1051" s="55">
        <f t="shared" si="257"/>
        <v>1201.614946233695</v>
      </c>
      <c r="BD1051" s="55">
        <f t="shared" si="258"/>
        <v>34.664318055223518</v>
      </c>
      <c r="BE1051" s="55">
        <f t="shared" si="259"/>
        <v>33.970407468439802</v>
      </c>
      <c r="BF1051" s="56">
        <f t="shared" si="260"/>
        <v>0.45901909080066522</v>
      </c>
      <c r="BG1051" s="56">
        <f t="shared" si="263"/>
        <v>3.2725686584425041E-4</v>
      </c>
      <c r="BH1051" s="56">
        <f t="shared" si="264"/>
        <v>1.8090242282629895E-2</v>
      </c>
      <c r="BI1051" s="56">
        <f t="shared" si="261"/>
        <v>1.7728111672779122E-2</v>
      </c>
      <c r="BJ1051" s="57">
        <f t="shared" si="265"/>
        <v>6.3380814105486072E-2</v>
      </c>
      <c r="BK1051" s="57">
        <f t="shared" si="266"/>
        <v>2.4978792956924824E-3</v>
      </c>
      <c r="BL1051" s="58">
        <f t="shared" si="267"/>
        <v>111.82997746174384</v>
      </c>
      <c r="BM1051" s="58">
        <f t="shared" si="267"/>
        <v>4.4072924793067338</v>
      </c>
    </row>
    <row r="1052" spans="47:65" x14ac:dyDescent="0.2">
      <c r="AU1052" s="2">
        <v>-585</v>
      </c>
      <c r="AV1052" s="53">
        <v>1050</v>
      </c>
      <c r="AW1052" s="4" t="s">
        <v>2984</v>
      </c>
      <c r="AX1052" t="s">
        <v>2985</v>
      </c>
      <c r="AY1052" s="4">
        <v>7307</v>
      </c>
      <c r="AZ1052" s="9">
        <v>24.964418784330622</v>
      </c>
      <c r="BA1052" s="7">
        <f t="shared" si="262"/>
        <v>6.3984863860843712E-4</v>
      </c>
      <c r="BB1052" s="54">
        <f t="shared" si="256"/>
        <v>881.68291924782864</v>
      </c>
      <c r="BC1052" s="55">
        <f t="shared" si="257"/>
        <v>1205.9225579342603</v>
      </c>
      <c r="BD1052" s="55">
        <f t="shared" si="258"/>
        <v>34.726395694547115</v>
      </c>
      <c r="BE1052" s="55">
        <f t="shared" si="259"/>
        <v>34.031242437099564</v>
      </c>
      <c r="BF1052" s="56">
        <f t="shared" si="260"/>
        <v>0.46012321950886886</v>
      </c>
      <c r="BG1052" s="56">
        <f t="shared" si="263"/>
        <v>3.2843003326264486E-4</v>
      </c>
      <c r="BH1052" s="56">
        <f t="shared" si="264"/>
        <v>1.8122638694810556E-2</v>
      </c>
      <c r="BI1052" s="56">
        <f t="shared" si="261"/>
        <v>1.7759859573330327E-2</v>
      </c>
      <c r="BJ1052" s="57">
        <f t="shared" si="265"/>
        <v>1.0697951617046017E-2</v>
      </c>
      <c r="BK1052" s="57">
        <f t="shared" si="266"/>
        <v>4.2135476696270562E-4</v>
      </c>
      <c r="BL1052" s="58">
        <f t="shared" si="267"/>
        <v>18.875612519428483</v>
      </c>
      <c r="BM1052" s="58">
        <f t="shared" si="267"/>
        <v>0.74344412828801321</v>
      </c>
    </row>
    <row r="1053" spans="47:65" x14ac:dyDescent="0.2">
      <c r="AU1053" s="2">
        <v>-584</v>
      </c>
      <c r="AV1053" s="53">
        <v>1051</v>
      </c>
      <c r="AW1053" s="4" t="s">
        <v>1482</v>
      </c>
      <c r="AX1053" t="s">
        <v>79</v>
      </c>
      <c r="AY1053" s="4">
        <v>58281</v>
      </c>
      <c r="AZ1053" s="9">
        <v>24.967720197785727</v>
      </c>
      <c r="BA1053" s="7">
        <f t="shared" si="262"/>
        <v>6.3993325523512413E-4</v>
      </c>
      <c r="BB1053" s="54">
        <f t="shared" si="256"/>
        <v>883.57919939398448</v>
      </c>
      <c r="BC1053" s="55">
        <f t="shared" si="257"/>
        <v>1209.7869429724217</v>
      </c>
      <c r="BD1053" s="55">
        <f t="shared" si="258"/>
        <v>34.781991647581393</v>
      </c>
      <c r="BE1053" s="55">
        <f t="shared" si="259"/>
        <v>34.085725469916248</v>
      </c>
      <c r="BF1053" s="56">
        <f t="shared" si="260"/>
        <v>0.46111282984030655</v>
      </c>
      <c r="BG1053" s="56">
        <f t="shared" si="263"/>
        <v>3.2948248899315351E-4</v>
      </c>
      <c r="BH1053" s="56">
        <f t="shared" si="264"/>
        <v>1.8151652514114342E-2</v>
      </c>
      <c r="BI1053" s="56">
        <f t="shared" si="261"/>
        <v>1.7788292593775012E-2</v>
      </c>
      <c r="BJ1053" s="57">
        <f t="shared" si="265"/>
        <v>8.5510918841154873E-2</v>
      </c>
      <c r="BK1053" s="57">
        <f t="shared" si="266"/>
        <v>3.3661273001335157E-3</v>
      </c>
      <c r="BL1053" s="58">
        <f t="shared" si="267"/>
        <v>150.8766376970793</v>
      </c>
      <c r="BM1053" s="58">
        <f t="shared" si="267"/>
        <v>5.9392411634344811</v>
      </c>
    </row>
    <row r="1054" spans="47:65" x14ac:dyDescent="0.2">
      <c r="AU1054" s="2">
        <v>-583</v>
      </c>
      <c r="AV1054" s="53">
        <v>1052</v>
      </c>
      <c r="AW1054" s="4" t="s">
        <v>1907</v>
      </c>
      <c r="AX1054" t="s">
        <v>367</v>
      </c>
      <c r="AY1054" s="4">
        <v>30378</v>
      </c>
      <c r="AZ1054" s="9">
        <v>24.970312010897359</v>
      </c>
      <c r="BA1054" s="7">
        <f t="shared" si="262"/>
        <v>6.3999968450413017E-4</v>
      </c>
      <c r="BB1054" s="54">
        <f t="shared" si="256"/>
        <v>885.07075373788598</v>
      </c>
      <c r="BC1054" s="55">
        <f t="shared" si="257"/>
        <v>1212.8289006822774</v>
      </c>
      <c r="BD1054" s="55">
        <f t="shared" si="258"/>
        <v>34.825693111297547</v>
      </c>
      <c r="BE1054" s="55">
        <f t="shared" si="259"/>
        <v>34.128552117393916</v>
      </c>
      <c r="BF1054" s="56">
        <f t="shared" si="260"/>
        <v>0.46189122621365813</v>
      </c>
      <c r="BG1054" s="56">
        <f t="shared" si="263"/>
        <v>3.3031095866995213E-4</v>
      </c>
      <c r="BH1054" s="56">
        <f t="shared" si="264"/>
        <v>1.8174458964985783E-2</v>
      </c>
      <c r="BI1054" s="56">
        <f t="shared" si="261"/>
        <v>1.7810642504936618E-2</v>
      </c>
      <c r="BJ1054" s="57">
        <f t="shared" si="265"/>
        <v>4.4646381162409023E-2</v>
      </c>
      <c r="BK1054" s="57">
        <f t="shared" si="266"/>
        <v>1.7567422291671218E-3</v>
      </c>
      <c r="BL1054" s="58">
        <f t="shared" si="267"/>
        <v>78.774687097439198</v>
      </c>
      <c r="BM1054" s="58">
        <f t="shared" si="267"/>
        <v>3.0996200769350506</v>
      </c>
    </row>
    <row r="1055" spans="47:65" x14ac:dyDescent="0.2">
      <c r="AU1055" s="2">
        <v>-582</v>
      </c>
      <c r="AV1055" s="53">
        <v>1053</v>
      </c>
      <c r="AW1055" s="4" t="s">
        <v>1916</v>
      </c>
      <c r="AX1055" t="s">
        <v>376</v>
      </c>
      <c r="AY1055" s="4">
        <v>14435</v>
      </c>
      <c r="AZ1055" s="9">
        <v>24.974212906732667</v>
      </c>
      <c r="BA1055" s="7">
        <f t="shared" si="262"/>
        <v>6.4009966611840846E-4</v>
      </c>
      <c r="BB1055" s="54">
        <f t="shared" si="256"/>
        <v>887.32041633591007</v>
      </c>
      <c r="BC1055" s="55">
        <f t="shared" si="257"/>
        <v>1217.4208980783194</v>
      </c>
      <c r="BD1055" s="55">
        <f t="shared" si="258"/>
        <v>34.891559123637904</v>
      </c>
      <c r="BE1055" s="55">
        <f t="shared" si="259"/>
        <v>34.193099623390104</v>
      </c>
      <c r="BF1055" s="56">
        <f t="shared" si="260"/>
        <v>0.46306525598650994</v>
      </c>
      <c r="BG1055" s="56">
        <f t="shared" si="263"/>
        <v>3.3156157783085393E-4</v>
      </c>
      <c r="BH1055" s="56">
        <f t="shared" si="264"/>
        <v>1.8208832412619266E-2</v>
      </c>
      <c r="BI1055" s="56">
        <f t="shared" si="261"/>
        <v>1.7844327864629667E-2</v>
      </c>
      <c r="BJ1055" s="57">
        <f t="shared" si="265"/>
        <v>2.1268965032848221E-2</v>
      </c>
      <c r="BK1055" s="57">
        <f t="shared" si="266"/>
        <v>8.3634652970870894E-4</v>
      </c>
      <c r="BL1055" s="58">
        <f t="shared" si="267"/>
        <v>37.527253536053223</v>
      </c>
      <c r="BM1055" s="58">
        <f t="shared" si="267"/>
        <v>1.4756612846889421</v>
      </c>
    </row>
    <row r="1056" spans="47:65" x14ac:dyDescent="0.2">
      <c r="AU1056" s="2">
        <v>-581</v>
      </c>
      <c r="AV1056" s="53">
        <v>1054</v>
      </c>
      <c r="AW1056" s="4" t="s">
        <v>3122</v>
      </c>
      <c r="AX1056" t="s">
        <v>1263</v>
      </c>
      <c r="AY1056" s="4">
        <v>14448</v>
      </c>
      <c r="AZ1056" s="9">
        <v>24.974840155942594</v>
      </c>
      <c r="BA1056" s="7">
        <f t="shared" si="262"/>
        <v>6.4011574278161889E-4</v>
      </c>
      <c r="BB1056" s="54">
        <f t="shared" si="256"/>
        <v>887.68268684036582</v>
      </c>
      <c r="BC1056" s="55">
        <f t="shared" si="257"/>
        <v>1218.1608015204056</v>
      </c>
      <c r="BD1056" s="55">
        <f t="shared" si="258"/>
        <v>34.902160413367042</v>
      </c>
      <c r="BE1056" s="55">
        <f t="shared" si="259"/>
        <v>34.203488696419498</v>
      </c>
      <c r="BF1056" s="56">
        <f t="shared" si="260"/>
        <v>0.46325431382941917</v>
      </c>
      <c r="BG1056" s="56">
        <f t="shared" si="263"/>
        <v>3.3176308870776065E-4</v>
      </c>
      <c r="BH1056" s="56">
        <f t="shared" si="264"/>
        <v>1.8214364899928864E-2</v>
      </c>
      <c r="BI1056" s="56">
        <f t="shared" si="261"/>
        <v>1.7849749602565537E-2</v>
      </c>
      <c r="BJ1056" s="57">
        <f t="shared" si="265"/>
        <v>2.1296811026852103E-2</v>
      </c>
      <c r="BK1056" s="57">
        <f t="shared" si="266"/>
        <v>8.3735407457155272E-4</v>
      </c>
      <c r="BL1056" s="58">
        <f t="shared" si="267"/>
        <v>37.576385389687537</v>
      </c>
      <c r="BM1056" s="58">
        <f t="shared" si="267"/>
        <v>1.4774390106600221</v>
      </c>
    </row>
    <row r="1057" spans="47:65" x14ac:dyDescent="0.2">
      <c r="AU1057" s="2">
        <v>-580</v>
      </c>
      <c r="AV1057" s="53">
        <v>1055</v>
      </c>
      <c r="AW1057" s="4" t="s">
        <v>2149</v>
      </c>
      <c r="AX1057" t="s">
        <v>547</v>
      </c>
      <c r="AY1057" s="4">
        <v>36727</v>
      </c>
      <c r="AZ1057" s="9">
        <v>24.975350506375001</v>
      </c>
      <c r="BA1057" s="7">
        <f t="shared" si="262"/>
        <v>6.4012882327959522E-4</v>
      </c>
      <c r="BB1057" s="54">
        <f t="shared" si="256"/>
        <v>887.97755108174874</v>
      </c>
      <c r="BC1057" s="55">
        <f t="shared" si="257"/>
        <v>1218.7631238302799</v>
      </c>
      <c r="BD1057" s="55">
        <f t="shared" si="258"/>
        <v>34.9107880723177</v>
      </c>
      <c r="BE1057" s="55">
        <f t="shared" si="259"/>
        <v>34.21194364682659</v>
      </c>
      <c r="BF1057" s="56">
        <f t="shared" si="260"/>
        <v>0.46340819441517356</v>
      </c>
      <c r="BG1057" s="56">
        <f t="shared" si="263"/>
        <v>3.3192712970273882E-4</v>
      </c>
      <c r="BH1057" s="56">
        <f t="shared" si="264"/>
        <v>1.8218867409988439E-2</v>
      </c>
      <c r="BI1057" s="56">
        <f t="shared" si="261"/>
        <v>1.7854161981343934E-2</v>
      </c>
      <c r="BJ1057" s="57">
        <f t="shared" si="265"/>
        <v>5.4154747624929965E-2</v>
      </c>
      <c r="BK1057" s="57">
        <f t="shared" si="266"/>
        <v>2.1290908932785147E-3</v>
      </c>
      <c r="BL1057" s="58">
        <f t="shared" si="267"/>
        <v>95.551379259076796</v>
      </c>
      <c r="BM1057" s="58">
        <f t="shared" si="267"/>
        <v>3.756597165398849</v>
      </c>
    </row>
    <row r="1058" spans="47:65" x14ac:dyDescent="0.2">
      <c r="AU1058" s="2">
        <v>-579</v>
      </c>
      <c r="AV1058" s="53">
        <v>1056</v>
      </c>
      <c r="AW1058" s="4" t="s">
        <v>3237</v>
      </c>
      <c r="AX1058" t="s">
        <v>3238</v>
      </c>
      <c r="AY1058" s="5">
        <v>8571.91</v>
      </c>
      <c r="AZ1058" s="9">
        <v>24.977302752423768</v>
      </c>
      <c r="BA1058" s="7">
        <f t="shared" si="262"/>
        <v>6.4017886017359721E-4</v>
      </c>
      <c r="BB1058" s="54">
        <f t="shared" si="256"/>
        <v>889.10640104463573</v>
      </c>
      <c r="BC1058" s="55">
        <f t="shared" si="257"/>
        <v>1221.0697821104563</v>
      </c>
      <c r="BD1058" s="55">
        <f t="shared" si="258"/>
        <v>34.943808923906055</v>
      </c>
      <c r="BE1058" s="55">
        <f t="shared" si="259"/>
        <v>34.244303486752599</v>
      </c>
      <c r="BF1058" s="56">
        <f t="shared" si="260"/>
        <v>0.46399730651877324</v>
      </c>
      <c r="BG1058" s="56">
        <f t="shared" si="263"/>
        <v>3.3255534239406384E-4</v>
      </c>
      <c r="BH1058" s="56">
        <f t="shared" si="264"/>
        <v>1.8236099977628546E-2</v>
      </c>
      <c r="BI1058" s="56">
        <f t="shared" si="261"/>
        <v>1.7871049587311814E-2</v>
      </c>
      <c r="BJ1058" s="57">
        <f t="shared" si="265"/>
        <v>1.2655532813478095E-2</v>
      </c>
      <c r="BK1058" s="57">
        <f t="shared" si="266"/>
        <v>4.9738987363584541E-4</v>
      </c>
      <c r="BL1058" s="58">
        <f t="shared" si="267"/>
        <v>22.329595624034642</v>
      </c>
      <c r="BM1058" s="58">
        <f t="shared" si="267"/>
        <v>0.87760151306705336</v>
      </c>
    </row>
    <row r="1059" spans="47:65" x14ac:dyDescent="0.2">
      <c r="AU1059" s="2">
        <v>-578</v>
      </c>
      <c r="AV1059" s="53">
        <v>1057</v>
      </c>
      <c r="AW1059" s="4" t="s">
        <v>2244</v>
      </c>
      <c r="AX1059" t="s">
        <v>613</v>
      </c>
      <c r="AY1059" s="4">
        <v>31169</v>
      </c>
      <c r="AZ1059" s="9">
        <v>24.980473160438642</v>
      </c>
      <c r="BA1059" s="7">
        <f t="shared" si="262"/>
        <v>6.4026011907530346E-4</v>
      </c>
      <c r="BB1059" s="54">
        <f t="shared" si="256"/>
        <v>890.94268917017473</v>
      </c>
      <c r="BC1059" s="55">
        <f t="shared" si="257"/>
        <v>1224.8245174880446</v>
      </c>
      <c r="BD1059" s="55">
        <f t="shared" si="258"/>
        <v>34.997493017186883</v>
      </c>
      <c r="BE1059" s="55">
        <f t="shared" si="259"/>
        <v>34.296912931439152</v>
      </c>
      <c r="BF1059" s="56">
        <f t="shared" si="260"/>
        <v>0.46495560885833731</v>
      </c>
      <c r="BG1059" s="56">
        <f t="shared" si="263"/>
        <v>3.3357793531002842E-4</v>
      </c>
      <c r="BH1059" s="56">
        <f t="shared" si="264"/>
        <v>1.8264116056081893E-2</v>
      </c>
      <c r="BI1059" s="56">
        <f t="shared" si="261"/>
        <v>1.7898504839690119E-2</v>
      </c>
      <c r="BJ1059" s="57">
        <f t="shared" si="265"/>
        <v>4.6112825324086032E-2</v>
      </c>
      <c r="BK1059" s="57">
        <f t="shared" si="266"/>
        <v>1.811377209667222E-3</v>
      </c>
      <c r="BL1059" s="58">
        <f t="shared" si="267"/>
        <v>81.362101283636136</v>
      </c>
      <c r="BM1059" s="58">
        <f t="shared" si="267"/>
        <v>3.1960187856638513</v>
      </c>
    </row>
    <row r="1060" spans="47:65" x14ac:dyDescent="0.2">
      <c r="AU1060" s="2">
        <v>-577</v>
      </c>
      <c r="AV1060" s="53">
        <v>1058</v>
      </c>
      <c r="AW1060" s="4" t="s">
        <v>1714</v>
      </c>
      <c r="AX1060" t="s">
        <v>232</v>
      </c>
      <c r="AY1060" s="4">
        <v>34639</v>
      </c>
      <c r="AZ1060" s="9">
        <v>24.990635371396074</v>
      </c>
      <c r="BA1060" s="7">
        <f t="shared" si="262"/>
        <v>6.4052058085102266E-4</v>
      </c>
      <c r="BB1060" s="54">
        <f t="shared" si="256"/>
        <v>896.8542042145873</v>
      </c>
      <c r="BC1060" s="55">
        <f t="shared" si="257"/>
        <v>1236.9331581251927</v>
      </c>
      <c r="BD1060" s="55">
        <f t="shared" si="258"/>
        <v>35.170060536274214</v>
      </c>
      <c r="BE1060" s="55">
        <f t="shared" si="259"/>
        <v>34.466025992595448</v>
      </c>
      <c r="BF1060" s="56">
        <f t="shared" si="260"/>
        <v>0.46804064688621549</v>
      </c>
      <c r="BG1060" s="56">
        <f t="shared" si="263"/>
        <v>3.3687569371172824E-4</v>
      </c>
      <c r="BH1060" s="56">
        <f t="shared" si="264"/>
        <v>1.8354173740915941E-2</v>
      </c>
      <c r="BI1060" s="56">
        <f t="shared" si="261"/>
        <v>1.7986759749093015E-2</v>
      </c>
      <c r="BJ1060" s="57">
        <f t="shared" si="265"/>
        <v>5.1586526804204044E-2</v>
      </c>
      <c r="BK1060" s="57">
        <f t="shared" si="266"/>
        <v>2.022961214915507E-3</v>
      </c>
      <c r="BL1060" s="58">
        <f t="shared" si="267"/>
        <v>91.019975228504379</v>
      </c>
      <c r="BM1060" s="58">
        <f t="shared" si="267"/>
        <v>3.5693405056846919</v>
      </c>
    </row>
    <row r="1061" spans="47:65" x14ac:dyDescent="0.2">
      <c r="AU1061" s="2">
        <v>-576</v>
      </c>
      <c r="AV1061" s="53">
        <v>1059</v>
      </c>
      <c r="AW1061" s="4" t="s">
        <v>2824</v>
      </c>
      <c r="AX1061" t="s">
        <v>1058</v>
      </c>
      <c r="AY1061" s="4">
        <v>49969</v>
      </c>
      <c r="AZ1061" s="9">
        <v>24.993013571353629</v>
      </c>
      <c r="BA1061" s="7">
        <f t="shared" si="262"/>
        <v>6.4058153512431561E-4</v>
      </c>
      <c r="BB1061" s="54">
        <f t="shared" si="256"/>
        <v>898.24329447010155</v>
      </c>
      <c r="BC1061" s="55">
        <f t="shared" si="257"/>
        <v>1239.7831109195261</v>
      </c>
      <c r="BD1061" s="55">
        <f t="shared" si="258"/>
        <v>35.210553970642465</v>
      </c>
      <c r="BE1061" s="55">
        <f t="shared" si="259"/>
        <v>34.505708829081506</v>
      </c>
      <c r="BF1061" s="56">
        <f t="shared" si="260"/>
        <v>0.46876557040078365</v>
      </c>
      <c r="BG1061" s="56">
        <f t="shared" si="263"/>
        <v>3.3765187132354154E-4</v>
      </c>
      <c r="BH1061" s="56">
        <f t="shared" si="264"/>
        <v>1.8375306019861044E-2</v>
      </c>
      <c r="BI1061" s="56">
        <f t="shared" si="261"/>
        <v>1.8007469001914841E-2</v>
      </c>
      <c r="BJ1061" s="57">
        <f t="shared" si="265"/>
        <v>7.4532165009121867E-2</v>
      </c>
      <c r="BK1061" s="57">
        <f t="shared" si="266"/>
        <v>2.9216124793347326E-3</v>
      </c>
      <c r="BL1061" s="58">
        <f t="shared" si="267"/>
        <v>131.50557389927283</v>
      </c>
      <c r="BM1061" s="58">
        <f t="shared" si="267"/>
        <v>5.1549331185960954</v>
      </c>
    </row>
    <row r="1062" spans="47:65" x14ac:dyDescent="0.2">
      <c r="AU1062" s="2">
        <v>-575</v>
      </c>
      <c r="AV1062" s="53">
        <v>1060</v>
      </c>
      <c r="AW1062" s="4" t="s">
        <v>2241</v>
      </c>
      <c r="AX1062" t="s">
        <v>610</v>
      </c>
      <c r="AY1062" s="4">
        <v>37881</v>
      </c>
      <c r="AZ1062" s="9">
        <v>24.997313194449308</v>
      </c>
      <c r="BA1062" s="7">
        <f t="shared" si="262"/>
        <v>6.4069173628734162E-4</v>
      </c>
      <c r="BB1062" s="54">
        <f t="shared" si="256"/>
        <v>900.76013857427995</v>
      </c>
      <c r="BC1062" s="55">
        <f t="shared" si="257"/>
        <v>1244.9513404724155</v>
      </c>
      <c r="BD1062" s="55">
        <f t="shared" si="258"/>
        <v>35.283867991936702</v>
      </c>
      <c r="BE1062" s="55">
        <f t="shared" si="259"/>
        <v>34.577555249730757</v>
      </c>
      <c r="BF1062" s="56">
        <f t="shared" si="260"/>
        <v>0.47007903399062451</v>
      </c>
      <c r="BG1062" s="56">
        <f t="shared" si="263"/>
        <v>3.3905942589062556E-4</v>
      </c>
      <c r="BH1062" s="56">
        <f t="shared" si="264"/>
        <v>1.8413566354474234E-2</v>
      </c>
      <c r="BI1062" s="56">
        <f t="shared" si="261"/>
        <v>1.8044963440853993E-2</v>
      </c>
      <c r="BJ1062" s="57">
        <f t="shared" si="265"/>
        <v>5.6660406892732093E-2</v>
      </c>
      <c r="BK1062" s="57">
        <f t="shared" si="266"/>
        <v>2.2194569137317455E-3</v>
      </c>
      <c r="BL1062" s="58">
        <f t="shared" si="267"/>
        <v>99.972398827849858</v>
      </c>
      <c r="BM1062" s="58">
        <f t="shared" si="267"/>
        <v>3.9160402109516128</v>
      </c>
    </row>
    <row r="1063" spans="47:65" x14ac:dyDescent="0.2">
      <c r="AU1063" s="2">
        <v>-574</v>
      </c>
      <c r="AV1063" s="53">
        <v>1061</v>
      </c>
      <c r="AW1063" s="4" t="s">
        <v>2792</v>
      </c>
      <c r="AX1063" t="s">
        <v>1036</v>
      </c>
      <c r="AY1063" s="4">
        <v>24144</v>
      </c>
      <c r="AZ1063" s="9">
        <v>25.006116820076272</v>
      </c>
      <c r="BA1063" s="7">
        <f t="shared" si="262"/>
        <v>6.4091737694498691E-4</v>
      </c>
      <c r="BB1063" s="54">
        <f t="shared" si="256"/>
        <v>905.93548878162187</v>
      </c>
      <c r="BC1063" s="55">
        <f t="shared" si="257"/>
        <v>1255.5968544638895</v>
      </c>
      <c r="BD1063" s="55">
        <f t="shared" si="258"/>
        <v>35.434402132163733</v>
      </c>
      <c r="BE1063" s="55">
        <f t="shared" si="259"/>
        <v>34.725075996375104</v>
      </c>
      <c r="BF1063" s="56">
        <f t="shared" si="260"/>
        <v>0.47277989021399214</v>
      </c>
      <c r="BG1063" s="56">
        <f t="shared" si="263"/>
        <v>3.4195870536035417E-4</v>
      </c>
      <c r="BH1063" s="56">
        <f t="shared" si="264"/>
        <v>1.8492125496014627E-2</v>
      </c>
      <c r="BI1063" s="56">
        <f t="shared" si="261"/>
        <v>1.8121949984891771E-2</v>
      </c>
      <c r="BJ1063" s="57">
        <f t="shared" si="265"/>
        <v>3.6320815416908653E-2</v>
      </c>
      <c r="BK1063" s="57">
        <f t="shared" si="266"/>
        <v>1.420637998166657E-3</v>
      </c>
      <c r="BL1063" s="58">
        <f t="shared" si="267"/>
        <v>64.084944739033872</v>
      </c>
      <c r="BM1063" s="58">
        <f t="shared" si="267"/>
        <v>2.5065931632222878</v>
      </c>
    </row>
    <row r="1064" spans="47:65" x14ac:dyDescent="0.2">
      <c r="AU1064" s="2">
        <v>-573</v>
      </c>
      <c r="AV1064" s="53">
        <v>1062</v>
      </c>
      <c r="AW1064" s="4" t="s">
        <v>2536</v>
      </c>
      <c r="AX1064" t="s">
        <v>843</v>
      </c>
      <c r="AY1064" s="4">
        <v>14117</v>
      </c>
      <c r="AZ1064" s="9">
        <v>25.008840057213913</v>
      </c>
      <c r="BA1064" s="7">
        <f t="shared" si="262"/>
        <v>6.4098717466750472E-4</v>
      </c>
      <c r="BB1064" s="54">
        <f t="shared" si="256"/>
        <v>907.54240086798438</v>
      </c>
      <c r="BC1064" s="55">
        <f t="shared" si="257"/>
        <v>1258.9071696355627</v>
      </c>
      <c r="BD1064" s="55">
        <f t="shared" si="258"/>
        <v>35.481081855484092</v>
      </c>
      <c r="BE1064" s="55">
        <f t="shared" si="259"/>
        <v>34.7708212846332</v>
      </c>
      <c r="BF1064" s="56">
        <f t="shared" si="260"/>
        <v>0.47361848824793829</v>
      </c>
      <c r="BG1064" s="56">
        <f t="shared" si="263"/>
        <v>3.4286026152979956E-4</v>
      </c>
      <c r="BH1064" s="56">
        <f t="shared" si="264"/>
        <v>1.8516486209046237E-2</v>
      </c>
      <c r="BI1064" s="56">
        <f t="shared" si="261"/>
        <v>1.8145823044981607E-2</v>
      </c>
      <c r="BJ1064" s="57">
        <f t="shared" si="265"/>
        <v>2.1274454547879938E-2</v>
      </c>
      <c r="BK1064" s="57">
        <f t="shared" si="266"/>
        <v>8.3174148394853055E-4</v>
      </c>
      <c r="BL1064" s="58">
        <f t="shared" si="267"/>
        <v>37.536939311645362</v>
      </c>
      <c r="BM1064" s="58">
        <f t="shared" si="267"/>
        <v>1.4675360788070175</v>
      </c>
    </row>
    <row r="1065" spans="47:65" x14ac:dyDescent="0.2">
      <c r="AU1065" s="2">
        <v>-572</v>
      </c>
      <c r="AV1065" s="53">
        <v>1063</v>
      </c>
      <c r="AW1065" s="4" t="s">
        <v>1885</v>
      </c>
      <c r="AX1065" t="s">
        <v>352</v>
      </c>
      <c r="AY1065" s="4">
        <v>48083</v>
      </c>
      <c r="AZ1065" s="9">
        <v>25.009238843556926</v>
      </c>
      <c r="BA1065" s="7">
        <f t="shared" si="262"/>
        <v>6.4099739573056564E-4</v>
      </c>
      <c r="BB1065" s="54">
        <f t="shared" si="256"/>
        <v>907.77795357131754</v>
      </c>
      <c r="BC1065" s="55">
        <f t="shared" si="257"/>
        <v>1259.3926161048951</v>
      </c>
      <c r="BD1065" s="55">
        <f t="shared" si="258"/>
        <v>35.487922115910017</v>
      </c>
      <c r="BE1065" s="55">
        <f t="shared" si="259"/>
        <v>34.777524616673041</v>
      </c>
      <c r="BF1065" s="56">
        <f t="shared" si="260"/>
        <v>0.47374141596475761</v>
      </c>
      <c r="BG1065" s="56">
        <f t="shared" si="263"/>
        <v>3.4299247167797914E-4</v>
      </c>
      <c r="BH1065" s="56">
        <f t="shared" si="264"/>
        <v>1.8520055930746515E-2</v>
      </c>
      <c r="BI1065" s="56">
        <f t="shared" si="261"/>
        <v>1.8149321307965295E-2</v>
      </c>
      <c r="BJ1065" s="57">
        <f t="shared" si="265"/>
        <v>7.2480350080107156E-2</v>
      </c>
      <c r="BK1065" s="57">
        <f t="shared" si="266"/>
        <v>2.8334869870518795E-3</v>
      </c>
      <c r="BL1065" s="58">
        <f t="shared" si="267"/>
        <v>127.88532350480014</v>
      </c>
      <c r="BM1065" s="58">
        <f t="shared" si="267"/>
        <v>4.9994432916684302</v>
      </c>
    </row>
    <row r="1066" spans="47:65" x14ac:dyDescent="0.2">
      <c r="AU1066" s="2">
        <v>-571</v>
      </c>
      <c r="AV1066" s="53">
        <v>1064</v>
      </c>
      <c r="AW1066" s="4" t="s">
        <v>2214</v>
      </c>
      <c r="AX1066" t="s">
        <v>597</v>
      </c>
      <c r="AY1066" s="4">
        <v>33073</v>
      </c>
      <c r="AZ1066" s="9">
        <v>25.01192777197393</v>
      </c>
      <c r="BA1066" s="7">
        <f t="shared" si="262"/>
        <v>6.4106631410602627E-4</v>
      </c>
      <c r="BB1066" s="54">
        <f t="shared" si="256"/>
        <v>909.36783039209547</v>
      </c>
      <c r="BC1066" s="55">
        <f t="shared" si="257"/>
        <v>1262.6704793578135</v>
      </c>
      <c r="BD1066" s="55">
        <f t="shared" si="258"/>
        <v>35.53407490505154</v>
      </c>
      <c r="BE1066" s="55">
        <f t="shared" si="259"/>
        <v>34.82275351892477</v>
      </c>
      <c r="BF1066" s="56">
        <f t="shared" si="260"/>
        <v>0.47457112381712607</v>
      </c>
      <c r="BG1066" s="56">
        <f t="shared" si="263"/>
        <v>3.4388518964737326E-4</v>
      </c>
      <c r="BH1066" s="56">
        <f t="shared" si="264"/>
        <v>1.8544141653022747E-2</v>
      </c>
      <c r="BI1066" s="56">
        <f t="shared" si="261"/>
        <v>1.8172924882066819E-2</v>
      </c>
      <c r="BJ1066" s="57">
        <f t="shared" si="265"/>
        <v>4.9941579337629882E-2</v>
      </c>
      <c r="BK1066" s="57">
        <f t="shared" si="266"/>
        <v>1.9514961512271871E-3</v>
      </c>
      <c r="BL1066" s="58">
        <f t="shared" si="267"/>
        <v>88.117607363576326</v>
      </c>
      <c r="BM1066" s="58">
        <f t="shared" si="267"/>
        <v>3.4432465674107879</v>
      </c>
    </row>
    <row r="1067" spans="47:65" x14ac:dyDescent="0.2">
      <c r="AU1067" s="2">
        <v>-570</v>
      </c>
      <c r="AV1067" s="53">
        <v>1065</v>
      </c>
      <c r="AW1067" s="4" t="s">
        <v>1910</v>
      </c>
      <c r="AX1067" t="s">
        <v>370</v>
      </c>
      <c r="AY1067" s="4">
        <v>40201</v>
      </c>
      <c r="AZ1067" s="9">
        <v>25.017304801367079</v>
      </c>
      <c r="BA1067" s="7">
        <f t="shared" si="262"/>
        <v>6.4120412964928754E-4</v>
      </c>
      <c r="BB1067" s="54">
        <f t="shared" si="256"/>
        <v>912.55545171489518</v>
      </c>
      <c r="BC1067" s="55">
        <f t="shared" si="257"/>
        <v>1269.249307279397</v>
      </c>
      <c r="BD1067" s="55">
        <f t="shared" si="258"/>
        <v>35.626525332670276</v>
      </c>
      <c r="BE1067" s="55">
        <f t="shared" si="259"/>
        <v>34.913353273168795</v>
      </c>
      <c r="BF1067" s="56">
        <f t="shared" si="260"/>
        <v>0.47623464542291227</v>
      </c>
      <c r="BG1067" s="56">
        <f t="shared" si="263"/>
        <v>3.4567691719977013E-4</v>
      </c>
      <c r="BH1067" s="56">
        <f t="shared" si="264"/>
        <v>1.8592388689992745E-2</v>
      </c>
      <c r="BI1067" s="56">
        <f t="shared" si="261"/>
        <v>1.8220206109477805E-2</v>
      </c>
      <c r="BJ1067" s="57">
        <f t="shared" si="265"/>
        <v>6.0917940866461462E-2</v>
      </c>
      <c r="BK1067" s="57">
        <f t="shared" si="266"/>
        <v>2.3782604765712695E-3</v>
      </c>
      <c r="BL1067" s="58">
        <f t="shared" si="267"/>
        <v>107.48445014881187</v>
      </c>
      <c r="BM1067" s="58">
        <f t="shared" si="267"/>
        <v>4.1962353946807447</v>
      </c>
    </row>
    <row r="1068" spans="47:65" x14ac:dyDescent="0.2">
      <c r="AU1068" s="2">
        <v>-569</v>
      </c>
      <c r="AV1068" s="53">
        <v>1066</v>
      </c>
      <c r="AW1068" s="4" t="s">
        <v>2325</v>
      </c>
      <c r="AX1068" t="s">
        <v>676</v>
      </c>
      <c r="AY1068" s="4">
        <v>29297</v>
      </c>
      <c r="AZ1068" s="9">
        <v>25.020826589985703</v>
      </c>
      <c r="BA1068" s="7">
        <f t="shared" si="262"/>
        <v>6.4129439458485691E-4</v>
      </c>
      <c r="BB1068" s="54">
        <f t="shared" si="256"/>
        <v>914.64929939219155</v>
      </c>
      <c r="BC1068" s="55">
        <f t="shared" si="257"/>
        <v>1273.5757146261344</v>
      </c>
      <c r="BD1068" s="55">
        <f t="shared" si="258"/>
        <v>35.687192585381865</v>
      </c>
      <c r="BE1068" s="55">
        <f t="shared" si="259"/>
        <v>34.972806088346651</v>
      </c>
      <c r="BF1068" s="56">
        <f t="shared" si="260"/>
        <v>0.47732736017716954</v>
      </c>
      <c r="BG1068" s="56">
        <f t="shared" si="263"/>
        <v>3.4685520356603916E-4</v>
      </c>
      <c r="BH1068" s="56">
        <f t="shared" si="264"/>
        <v>1.8624049064745268E-2</v>
      </c>
      <c r="BI1068" s="56">
        <f t="shared" si="261"/>
        <v>1.8251232706603799E-2</v>
      </c>
      <c r="BJ1068" s="57">
        <f t="shared" si="265"/>
        <v>4.4496602477798304E-2</v>
      </c>
      <c r="BK1068" s="57">
        <f t="shared" si="266"/>
        <v>1.7361395488693346E-3</v>
      </c>
      <c r="BL1068" s="58">
        <f t="shared" si="267"/>
        <v>78.510415532602735</v>
      </c>
      <c r="BM1068" s="58">
        <f t="shared" si="267"/>
        <v>3.063268425321386</v>
      </c>
    </row>
    <row r="1069" spans="47:65" x14ac:dyDescent="0.2">
      <c r="AU1069" s="2">
        <v>-568</v>
      </c>
      <c r="AV1069" s="53">
        <v>1067</v>
      </c>
      <c r="AW1069" s="4" t="s">
        <v>3017</v>
      </c>
      <c r="AX1069" t="s">
        <v>1179</v>
      </c>
      <c r="AY1069" s="4">
        <v>8515</v>
      </c>
      <c r="AZ1069" s="9">
        <v>25.027577354986949</v>
      </c>
      <c r="BA1069" s="7">
        <f t="shared" si="262"/>
        <v>6.4146741955423147E-4</v>
      </c>
      <c r="BB1069" s="54">
        <f t="shared" si="256"/>
        <v>918.67634731357123</v>
      </c>
      <c r="BC1069" s="55">
        <f t="shared" si="257"/>
        <v>1281.907660009095</v>
      </c>
      <c r="BD1069" s="55">
        <f t="shared" si="258"/>
        <v>35.803738073127157</v>
      </c>
      <c r="BE1069" s="55">
        <f t="shared" si="259"/>
        <v>35.087018567617363</v>
      </c>
      <c r="BF1069" s="56">
        <f t="shared" si="260"/>
        <v>0.47942895272733804</v>
      </c>
      <c r="BG1069" s="56">
        <f t="shared" si="263"/>
        <v>3.4912438833356401E-4</v>
      </c>
      <c r="BH1069" s="56">
        <f t="shared" si="264"/>
        <v>1.8684870573101756E-2</v>
      </c>
      <c r="BI1069" s="56">
        <f t="shared" si="261"/>
        <v>1.8310836689535856E-2</v>
      </c>
      <c r="BJ1069" s="57">
        <f t="shared" si="265"/>
        <v>1.2989615084016403E-2</v>
      </c>
      <c r="BK1069" s="57">
        <f t="shared" si="266"/>
        <v>5.0624659870571263E-4</v>
      </c>
      <c r="BL1069" s="58">
        <f t="shared" si="267"/>
        <v>22.919054962983612</v>
      </c>
      <c r="BM1069" s="58">
        <f t="shared" si="267"/>
        <v>0.89322844022042958</v>
      </c>
    </row>
    <row r="1070" spans="47:65" x14ac:dyDescent="0.2">
      <c r="AU1070" s="2">
        <v>-567</v>
      </c>
      <c r="AV1070" s="53">
        <v>1068</v>
      </c>
      <c r="AW1070" s="4" t="s">
        <v>2439</v>
      </c>
      <c r="AX1070" t="s">
        <v>765</v>
      </c>
      <c r="AY1070" s="4">
        <v>16960</v>
      </c>
      <c r="AZ1070" s="9">
        <v>25.028729858222739</v>
      </c>
      <c r="BA1070" s="7">
        <f t="shared" si="262"/>
        <v>6.4149695870083776E-4</v>
      </c>
      <c r="BB1070" s="54">
        <f t="shared" si="256"/>
        <v>919.36562233500104</v>
      </c>
      <c r="BC1070" s="55">
        <f t="shared" si="257"/>
        <v>1283.335223071449</v>
      </c>
      <c r="BD1070" s="55">
        <f t="shared" si="258"/>
        <v>35.823668475903595</v>
      </c>
      <c r="BE1070" s="55">
        <f t="shared" si="259"/>
        <v>35.106550003436958</v>
      </c>
      <c r="BF1070" s="56">
        <f t="shared" si="260"/>
        <v>0.47978866417809163</v>
      </c>
      <c r="BG1070" s="56">
        <f t="shared" si="263"/>
        <v>3.49513181611346E-4</v>
      </c>
      <c r="BH1070" s="56">
        <f t="shared" si="264"/>
        <v>1.8695271637805801E-2</v>
      </c>
      <c r="BI1070" s="56">
        <f t="shared" si="261"/>
        <v>1.8321029545646256E-2</v>
      </c>
      <c r="BJ1070" s="57">
        <f t="shared" si="265"/>
        <v>2.5891857186071808E-2</v>
      </c>
      <c r="BK1070" s="57">
        <f t="shared" si="266"/>
        <v>1.0088927468307406E-3</v>
      </c>
      <c r="BL1070" s="58">
        <f t="shared" si="267"/>
        <v>45.68394783856958</v>
      </c>
      <c r="BM1070" s="58">
        <f t="shared" si="267"/>
        <v>1.7801041960682671</v>
      </c>
    </row>
    <row r="1071" spans="47:65" x14ac:dyDescent="0.2">
      <c r="AU1071" s="2">
        <v>-566</v>
      </c>
      <c r="AV1071" s="53">
        <v>1069</v>
      </c>
      <c r="AW1071" s="4" t="s">
        <v>3088</v>
      </c>
      <c r="AX1071" t="s">
        <v>1235</v>
      </c>
      <c r="AY1071" s="4">
        <v>47545</v>
      </c>
      <c r="AZ1071" s="9">
        <v>25.039883924711891</v>
      </c>
      <c r="BA1071" s="7">
        <f t="shared" si="262"/>
        <v>6.4178284215439172E-4</v>
      </c>
      <c r="BB1071" s="54">
        <f t="shared" si="256"/>
        <v>926.06329269822197</v>
      </c>
      <c r="BC1071" s="55">
        <f t="shared" si="257"/>
        <v>1297.2288839206628</v>
      </c>
      <c r="BD1071" s="55">
        <f t="shared" si="258"/>
        <v>36.017063788163838</v>
      </c>
      <c r="BE1071" s="55">
        <f t="shared" si="259"/>
        <v>35.296073926841437</v>
      </c>
      <c r="BF1071" s="56">
        <f t="shared" si="260"/>
        <v>0.48328397250658162</v>
      </c>
      <c r="BG1071" s="56">
        <f t="shared" si="263"/>
        <v>3.5329708586358358E-4</v>
      </c>
      <c r="BH1071" s="56">
        <f t="shared" si="264"/>
        <v>1.8796198707812801E-2</v>
      </c>
      <c r="BI1071" s="56">
        <f t="shared" si="261"/>
        <v>1.8419936256785691E-2</v>
      </c>
      <c r="BJ1071" s="57">
        <f t="shared" si="265"/>
        <v>7.3113002026350765E-2</v>
      </c>
      <c r="BK1071" s="57">
        <f t="shared" si="266"/>
        <v>2.8435590509745161E-3</v>
      </c>
      <c r="BL1071" s="58">
        <f t="shared" si="267"/>
        <v>129.00158327343931</v>
      </c>
      <c r="BM1071" s="58">
        <f t="shared" si="267"/>
        <v>5.0172145793579048</v>
      </c>
    </row>
    <row r="1072" spans="47:65" x14ac:dyDescent="0.2">
      <c r="AU1072" s="2">
        <v>-565</v>
      </c>
      <c r="AV1072" s="53">
        <v>1070</v>
      </c>
      <c r="AW1072" s="4" t="s">
        <v>2690</v>
      </c>
      <c r="AX1072" t="s">
        <v>955</v>
      </c>
      <c r="AY1072" s="4">
        <v>39320</v>
      </c>
      <c r="AZ1072" s="9">
        <v>25.041207721959143</v>
      </c>
      <c r="BA1072" s="7">
        <f t="shared" si="262"/>
        <v>6.4181677163914225E-4</v>
      </c>
      <c r="BB1072" s="54">
        <f t="shared" si="256"/>
        <v>926.86142427237712</v>
      </c>
      <c r="BC1072" s="55">
        <f t="shared" si="257"/>
        <v>1298.8871890939956</v>
      </c>
      <c r="BD1072" s="55">
        <f t="shared" si="258"/>
        <v>36.040077540066356</v>
      </c>
      <c r="BE1072" s="55">
        <f t="shared" si="259"/>
        <v>35.318626989280475</v>
      </c>
      <c r="BF1072" s="56">
        <f t="shared" si="260"/>
        <v>0.48370049284680239</v>
      </c>
      <c r="BG1072" s="56">
        <f t="shared" si="263"/>
        <v>3.5374872118598688E-4</v>
      </c>
      <c r="BH1072" s="56">
        <f t="shared" si="264"/>
        <v>1.8808208877667935E-2</v>
      </c>
      <c r="BI1072" s="56">
        <f t="shared" si="261"/>
        <v>1.8431706006967828E-2</v>
      </c>
      <c r="BJ1072" s="57">
        <f t="shared" si="265"/>
        <v>6.0517002861158395E-2</v>
      </c>
      <c r="BK1072" s="57">
        <f t="shared" si="266"/>
        <v>2.3531430033576404E-3</v>
      </c>
      <c r="BL1072" s="58">
        <f t="shared" si="267"/>
        <v>106.7770296347431</v>
      </c>
      <c r="BM1072" s="58">
        <f t="shared" si="267"/>
        <v>4.1519177805412157</v>
      </c>
    </row>
    <row r="1073" spans="47:65" x14ac:dyDescent="0.2">
      <c r="AU1073" s="2">
        <v>-564</v>
      </c>
      <c r="AV1073" s="53">
        <v>1071</v>
      </c>
      <c r="AW1073" s="4" t="s">
        <v>2282</v>
      </c>
      <c r="AX1073" t="s">
        <v>1316</v>
      </c>
      <c r="AY1073" s="4">
        <v>22299</v>
      </c>
      <c r="AZ1073" s="9">
        <v>25.041667283206404</v>
      </c>
      <c r="BA1073" s="7">
        <f t="shared" si="262"/>
        <v>6.4182855038876819E-4</v>
      </c>
      <c r="BB1073" s="54">
        <f t="shared" si="256"/>
        <v>927.13865951439618</v>
      </c>
      <c r="BC1073" s="55">
        <f t="shared" si="257"/>
        <v>1299.4633423396569</v>
      </c>
      <c r="BD1073" s="55">
        <f t="shared" si="258"/>
        <v>36.048069883693593</v>
      </c>
      <c r="BE1073" s="55">
        <f t="shared" si="259"/>
        <v>35.3264593421112</v>
      </c>
      <c r="BF1073" s="56">
        <f t="shared" si="260"/>
        <v>0.48384517339956573</v>
      </c>
      <c r="BG1073" s="56">
        <f t="shared" si="263"/>
        <v>3.5390563510090032E-4</v>
      </c>
      <c r="BH1073" s="56">
        <f t="shared" si="264"/>
        <v>1.8812379836185011E-2</v>
      </c>
      <c r="BI1073" s="56">
        <f t="shared" si="261"/>
        <v>1.8435793471205067E-2</v>
      </c>
      <c r="BJ1073" s="57">
        <f t="shared" si="265"/>
        <v>3.4330424437288988E-2</v>
      </c>
      <c r="BK1073" s="57">
        <f t="shared" si="266"/>
        <v>1.3348009238450908E-3</v>
      </c>
      <c r="BL1073" s="58">
        <f t="shared" si="267"/>
        <v>60.573071603096047</v>
      </c>
      <c r="BM1073" s="58">
        <f t="shared" si="267"/>
        <v>2.3551410523234488</v>
      </c>
    </row>
    <row r="1074" spans="47:65" x14ac:dyDescent="0.2">
      <c r="AU1074" s="2">
        <v>-563</v>
      </c>
      <c r="AV1074" s="53">
        <v>1072</v>
      </c>
      <c r="AW1074" s="4" t="s">
        <v>1517</v>
      </c>
      <c r="AX1074" t="s">
        <v>112</v>
      </c>
      <c r="AY1074" s="4">
        <v>28071</v>
      </c>
      <c r="AZ1074" s="9">
        <v>25.048751042873317</v>
      </c>
      <c r="BA1074" s="7">
        <f t="shared" si="262"/>
        <v>6.4201011015261689E-4</v>
      </c>
      <c r="BB1074" s="54">
        <f t="shared" si="256"/>
        <v>931.42251971083783</v>
      </c>
      <c r="BC1074" s="55">
        <f t="shared" si="257"/>
        <v>1308.3747487826095</v>
      </c>
      <c r="BD1074" s="55">
        <f t="shared" si="258"/>
        <v>36.17146318277171</v>
      </c>
      <c r="BE1074" s="55">
        <f t="shared" si="259"/>
        <v>35.447382553174542</v>
      </c>
      <c r="BF1074" s="56">
        <f t="shared" si="260"/>
        <v>0.48608078838368546</v>
      </c>
      <c r="BG1074" s="56">
        <f t="shared" si="263"/>
        <v>3.5633263465837382E-4</v>
      </c>
      <c r="BH1074" s="56">
        <f t="shared" si="264"/>
        <v>1.8876775006827141E-2</v>
      </c>
      <c r="BI1074" s="56">
        <f t="shared" si="261"/>
        <v>1.8498899578823509E-2</v>
      </c>
      <c r="BJ1074" s="57">
        <f t="shared" si="265"/>
        <v>4.3416390315555102E-2</v>
      </c>
      <c r="BK1074" s="57">
        <f t="shared" si="266"/>
        <v>1.6860601183612421E-3</v>
      </c>
      <c r="BL1074" s="58">
        <f t="shared" si="267"/>
        <v>76.604474382075551</v>
      </c>
      <c r="BM1074" s="58">
        <f t="shared" si="267"/>
        <v>2.9749075914624821</v>
      </c>
    </row>
    <row r="1075" spans="47:65" x14ac:dyDescent="0.2">
      <c r="AU1075" s="2">
        <v>-562</v>
      </c>
      <c r="AV1075" s="53">
        <v>1073</v>
      </c>
      <c r="AW1075" s="4" t="s">
        <v>1420</v>
      </c>
      <c r="AX1075" t="s">
        <v>32</v>
      </c>
      <c r="AY1075" s="4">
        <v>21347</v>
      </c>
      <c r="AZ1075" s="9">
        <v>25.053730484790748</v>
      </c>
      <c r="BA1075" s="7">
        <f t="shared" si="262"/>
        <v>6.4213773536029434E-4</v>
      </c>
      <c r="BB1075" s="54">
        <f t="shared" si="256"/>
        <v>934.44564930578667</v>
      </c>
      <c r="BC1075" s="55">
        <f t="shared" si="257"/>
        <v>1314.6732905379731</v>
      </c>
      <c r="BD1075" s="55">
        <f t="shared" si="258"/>
        <v>36.258423718330242</v>
      </c>
      <c r="BE1075" s="55">
        <f t="shared" si="259"/>
        <v>35.532602312060064</v>
      </c>
      <c r="BF1075" s="56">
        <f t="shared" si="260"/>
        <v>0.48765846681189751</v>
      </c>
      <c r="BG1075" s="56">
        <f t="shared" si="263"/>
        <v>3.5804802696497265E-4</v>
      </c>
      <c r="BH1075" s="56">
        <f t="shared" si="264"/>
        <v>1.8922157037847789E-2</v>
      </c>
      <c r="BI1075" s="56">
        <f t="shared" si="261"/>
        <v>1.8543373151996386E-2</v>
      </c>
      <c r="BJ1075" s="57">
        <f t="shared" si="265"/>
        <v>3.312378760013486E-2</v>
      </c>
      <c r="BK1075" s="57">
        <f t="shared" si="266"/>
        <v>1.2852714621272635E-3</v>
      </c>
      <c r="BL1075" s="58">
        <f t="shared" si="267"/>
        <v>58.444065022668163</v>
      </c>
      <c r="BM1075" s="58">
        <f t="shared" si="267"/>
        <v>2.2677505909390545</v>
      </c>
    </row>
    <row r="1076" spans="47:65" x14ac:dyDescent="0.2">
      <c r="AU1076" s="2">
        <v>-561</v>
      </c>
      <c r="AV1076" s="53">
        <v>1074</v>
      </c>
      <c r="AW1076" s="4" t="s">
        <v>1686</v>
      </c>
      <c r="AX1076" t="s">
        <v>221</v>
      </c>
      <c r="AY1076" s="4">
        <v>3855</v>
      </c>
      <c r="AZ1076" s="9">
        <v>25.055179590520666</v>
      </c>
      <c r="BA1076" s="7">
        <f t="shared" si="262"/>
        <v>6.4217487655458762E-4</v>
      </c>
      <c r="BB1076" s="54">
        <f t="shared" si="256"/>
        <v>935.32727553162999</v>
      </c>
      <c r="BC1076" s="55">
        <f t="shared" si="257"/>
        <v>1316.5116289848838</v>
      </c>
      <c r="BD1076" s="55">
        <f t="shared" si="258"/>
        <v>36.283765363932169</v>
      </c>
      <c r="BE1076" s="55">
        <f t="shared" si="259"/>
        <v>35.557436668404442</v>
      </c>
      <c r="BF1076" s="56">
        <f t="shared" si="260"/>
        <v>0.48811856044486091</v>
      </c>
      <c r="BG1076" s="56">
        <f t="shared" si="263"/>
        <v>3.5854869390521495E-4</v>
      </c>
      <c r="BH1076" s="56">
        <f t="shared" si="264"/>
        <v>1.8935382063882813E-2</v>
      </c>
      <c r="BI1076" s="56">
        <f t="shared" si="261"/>
        <v>1.855633343935801E-2</v>
      </c>
      <c r="BJ1076" s="57">
        <f t="shared" si="265"/>
        <v>5.9873835018510908E-3</v>
      </c>
      <c r="BK1076" s="57">
        <f t="shared" si="266"/>
        <v>2.3226609958697922E-4</v>
      </c>
      <c r="BL1076" s="58">
        <f t="shared" si="267"/>
        <v>10.564221547429893</v>
      </c>
      <c r="BM1076" s="58">
        <f t="shared" si="267"/>
        <v>0.40981349085717678</v>
      </c>
    </row>
    <row r="1077" spans="47:65" x14ac:dyDescent="0.2">
      <c r="AU1077" s="2">
        <v>-560</v>
      </c>
      <c r="AV1077" s="53">
        <v>1075</v>
      </c>
      <c r="AW1077" s="4" t="s">
        <v>1732</v>
      </c>
      <c r="AX1077" t="s">
        <v>243</v>
      </c>
      <c r="AY1077" s="4">
        <v>12229</v>
      </c>
      <c r="AZ1077" s="9">
        <v>25.068607514194799</v>
      </c>
      <c r="BA1077" s="7">
        <f t="shared" si="262"/>
        <v>6.4251903993193106E-4</v>
      </c>
      <c r="BB1077" s="54">
        <f t="shared" si="256"/>
        <v>943.5364055960365</v>
      </c>
      <c r="BC1077" s="55">
        <f t="shared" si="257"/>
        <v>1333.6617025163932</v>
      </c>
      <c r="BD1077" s="55">
        <f t="shared" si="258"/>
        <v>36.519333270425314</v>
      </c>
      <c r="BE1077" s="55">
        <f t="shared" si="259"/>
        <v>35.788288974724473</v>
      </c>
      <c r="BF1077" s="56">
        <f t="shared" si="260"/>
        <v>0.49240265314093401</v>
      </c>
      <c r="BG1077" s="56">
        <f t="shared" si="263"/>
        <v>3.6321947411690087E-4</v>
      </c>
      <c r="BH1077" s="56">
        <f t="shared" si="264"/>
        <v>1.9058317714764357E-2</v>
      </c>
      <c r="BI1077" s="56">
        <f t="shared" si="261"/>
        <v>1.8676808163429919E-2</v>
      </c>
      <c r="BJ1077" s="57">
        <f t="shared" si="265"/>
        <v>1.9160141031631037E-2</v>
      </c>
      <c r="BK1077" s="57">
        <f t="shared" si="266"/>
        <v>7.4158831783548932E-4</v>
      </c>
      <c r="BL1077" s="58">
        <f t="shared" si="267"/>
        <v>33.806415552899431</v>
      </c>
      <c r="BM1077" s="58">
        <f t="shared" si="267"/>
        <v>1.3084685963706633</v>
      </c>
    </row>
    <row r="1078" spans="47:65" x14ac:dyDescent="0.2">
      <c r="AU1078" s="2">
        <v>-559</v>
      </c>
      <c r="AV1078" s="53">
        <v>1076</v>
      </c>
      <c r="AW1078" s="4" t="s">
        <v>1559</v>
      </c>
      <c r="AX1078" t="s">
        <v>137</v>
      </c>
      <c r="AY1078" s="4">
        <v>36206</v>
      </c>
      <c r="AZ1078" s="9">
        <v>25.081098929629128</v>
      </c>
      <c r="BA1078" s="7">
        <f t="shared" si="262"/>
        <v>6.4283920020599943E-4</v>
      </c>
      <c r="BB1078" s="54">
        <f t="shared" si="256"/>
        <v>951.23768291560145</v>
      </c>
      <c r="BC1078" s="55">
        <f t="shared" si="257"/>
        <v>1349.8040853370494</v>
      </c>
      <c r="BD1078" s="55">
        <f t="shared" si="258"/>
        <v>36.739679984140437</v>
      </c>
      <c r="BE1078" s="55">
        <f t="shared" si="259"/>
        <v>36.004224786221172</v>
      </c>
      <c r="BF1078" s="56">
        <f t="shared" si="260"/>
        <v>0.49642171309689975</v>
      </c>
      <c r="BG1078" s="56">
        <f t="shared" si="263"/>
        <v>3.6761581224977472E-4</v>
      </c>
      <c r="BH1078" s="56">
        <f t="shared" si="264"/>
        <v>1.9173309892915588E-2</v>
      </c>
      <c r="BI1078" s="56">
        <f t="shared" si="261"/>
        <v>1.8789498427270034E-2</v>
      </c>
      <c r="BJ1078" s="57">
        <f t="shared" si="265"/>
        <v>5.7189814538448208E-2</v>
      </c>
      <c r="BK1078" s="57">
        <f t="shared" si="266"/>
        <v>2.2088438276067113E-3</v>
      </c>
      <c r="BL1078" s="58">
        <f t="shared" si="267"/>
        <v>100.90649293699106</v>
      </c>
      <c r="BM1078" s="58">
        <f t="shared" si="267"/>
        <v>3.8973143362699338</v>
      </c>
    </row>
    <row r="1079" spans="47:65" x14ac:dyDescent="0.2">
      <c r="AU1079" s="2">
        <v>-558</v>
      </c>
      <c r="AV1079" s="53">
        <v>1077</v>
      </c>
      <c r="AW1079" s="4" t="s">
        <v>1789</v>
      </c>
      <c r="AX1079" t="s">
        <v>279</v>
      </c>
      <c r="AY1079" s="4">
        <v>28828</v>
      </c>
      <c r="AZ1079" s="9">
        <v>25.081722024570421</v>
      </c>
      <c r="BA1079" s="7">
        <f t="shared" si="262"/>
        <v>6.4285517039354336E-4</v>
      </c>
      <c r="BB1079" s="54">
        <f t="shared" si="256"/>
        <v>951.62347875353259</v>
      </c>
      <c r="BC1079" s="55">
        <f t="shared" si="257"/>
        <v>1350.6140872770943</v>
      </c>
      <c r="BD1079" s="55">
        <f t="shared" si="258"/>
        <v>36.750701861013404</v>
      </c>
      <c r="BE1079" s="55">
        <f t="shared" si="259"/>
        <v>36.015026027077695</v>
      </c>
      <c r="BF1079" s="56">
        <f t="shared" si="260"/>
        <v>0.49662304808836572</v>
      </c>
      <c r="BG1079" s="56">
        <f t="shared" si="263"/>
        <v>3.6783641427961416E-4</v>
      </c>
      <c r="BH1079" s="56">
        <f t="shared" si="264"/>
        <v>1.9179061871729131E-2</v>
      </c>
      <c r="BI1079" s="56">
        <f t="shared" si="261"/>
        <v>1.8795135262927223E-2</v>
      </c>
      <c r="BJ1079" s="57">
        <f t="shared" si="265"/>
        <v>4.5554234875257012E-2</v>
      </c>
      <c r="BK1079" s="57">
        <f t="shared" si="266"/>
        <v>1.7592568298126535E-3</v>
      </c>
      <c r="BL1079" s="58">
        <f t="shared" si="267"/>
        <v>80.376516636538824</v>
      </c>
      <c r="BM1079" s="58">
        <f t="shared" si="267"/>
        <v>3.1040568727932905</v>
      </c>
    </row>
    <row r="1080" spans="47:65" x14ac:dyDescent="0.2">
      <c r="AU1080" s="2">
        <v>-557</v>
      </c>
      <c r="AV1080" s="53">
        <v>1078</v>
      </c>
      <c r="AW1080" s="4" t="s">
        <v>3046</v>
      </c>
      <c r="AX1080" t="s">
        <v>1206</v>
      </c>
      <c r="AY1080" s="4">
        <v>16040</v>
      </c>
      <c r="AZ1080" s="9">
        <v>25.082317776716799</v>
      </c>
      <c r="BA1080" s="7">
        <f t="shared" si="262"/>
        <v>6.428704397736599E-4</v>
      </c>
      <c r="BB1080" s="54">
        <f t="shared" si="256"/>
        <v>951.99249134084516</v>
      </c>
      <c r="BC1080" s="55">
        <f t="shared" si="257"/>
        <v>1351.388971764213</v>
      </c>
      <c r="BD1080" s="55">
        <f t="shared" si="258"/>
        <v>36.761242794065232</v>
      </c>
      <c r="BE1080" s="55">
        <f t="shared" si="259"/>
        <v>36.025355951650212</v>
      </c>
      <c r="BF1080" s="56">
        <f t="shared" si="260"/>
        <v>0.49681562441711941</v>
      </c>
      <c r="BG1080" s="56">
        <f t="shared" si="263"/>
        <v>3.6804745215780055E-4</v>
      </c>
      <c r="BH1080" s="56">
        <f t="shared" si="264"/>
        <v>1.9184562860743024E-2</v>
      </c>
      <c r="BI1080" s="56">
        <f t="shared" si="261"/>
        <v>1.8800526133100515E-2</v>
      </c>
      <c r="BJ1080" s="57">
        <f t="shared" si="265"/>
        <v>2.5356364236962286E-2</v>
      </c>
      <c r="BK1080" s="57">
        <f t="shared" si="266"/>
        <v>9.7913740976769714E-4</v>
      </c>
      <c r="BL1080" s="58">
        <f t="shared" si="267"/>
        <v>44.739116736681645</v>
      </c>
      <c r="BM1080" s="58">
        <f t="shared" si="267"/>
        <v>1.7276034713601771</v>
      </c>
    </row>
    <row r="1081" spans="47:65" x14ac:dyDescent="0.2">
      <c r="AU1081" s="2">
        <v>-556</v>
      </c>
      <c r="AV1081" s="53">
        <v>1079</v>
      </c>
      <c r="AW1081" s="4" t="s">
        <v>1591</v>
      </c>
      <c r="AX1081" t="s">
        <v>157</v>
      </c>
      <c r="AY1081" s="4">
        <v>55326</v>
      </c>
      <c r="AZ1081" s="9">
        <v>25.086022162004049</v>
      </c>
      <c r="BA1081" s="7">
        <f t="shared" si="262"/>
        <v>6.4296538473926899E-4</v>
      </c>
      <c r="BB1081" s="54">
        <f t="shared" si="256"/>
        <v>954.29022417825627</v>
      </c>
      <c r="BC1081" s="55">
        <f t="shared" si="257"/>
        <v>1356.216586556083</v>
      </c>
      <c r="BD1081" s="55">
        <f t="shared" si="258"/>
        <v>36.82684600337209</v>
      </c>
      <c r="BE1081" s="55">
        <f t="shared" si="259"/>
        <v>36.089645915406052</v>
      </c>
      <c r="BF1081" s="56">
        <f t="shared" si="260"/>
        <v>0.49801474057060346</v>
      </c>
      <c r="BG1081" s="56">
        <f t="shared" si="263"/>
        <v>3.6936224113510405E-4</v>
      </c>
      <c r="BH1081" s="56">
        <f t="shared" si="264"/>
        <v>1.9218799159549591E-2</v>
      </c>
      <c r="BI1081" s="56">
        <f t="shared" si="261"/>
        <v>1.8834077089412926E-2</v>
      </c>
      <c r="BJ1081" s="57">
        <f t="shared" si="265"/>
        <v>8.7671581745292632E-2</v>
      </c>
      <c r="BK1081" s="57">
        <f t="shared" si="266"/>
        <v>3.3833185733263232E-3</v>
      </c>
      <c r="BL1081" s="58">
        <f t="shared" si="267"/>
        <v>154.68894095134183</v>
      </c>
      <c r="BM1081" s="58">
        <f t="shared" si="267"/>
        <v>5.9695736815761808</v>
      </c>
    </row>
    <row r="1082" spans="47:65" x14ac:dyDescent="0.2">
      <c r="AU1082" s="2">
        <v>-555</v>
      </c>
      <c r="AV1082" s="53">
        <v>1080</v>
      </c>
      <c r="AW1082" s="4" t="s">
        <v>2269</v>
      </c>
      <c r="AX1082" t="s">
        <v>628</v>
      </c>
      <c r="AY1082" s="4">
        <v>47895</v>
      </c>
      <c r="AZ1082" s="9">
        <v>25.09631462904785</v>
      </c>
      <c r="BA1082" s="7">
        <f t="shared" si="262"/>
        <v>6.432291850337117E-4</v>
      </c>
      <c r="BB1082" s="54">
        <f t="shared" si="256"/>
        <v>960.70352578929919</v>
      </c>
      <c r="BC1082" s="55">
        <f t="shared" si="257"/>
        <v>1369.7151121254137</v>
      </c>
      <c r="BD1082" s="55">
        <f t="shared" si="258"/>
        <v>37.009662415718054</v>
      </c>
      <c r="BE1082" s="55">
        <f t="shared" si="259"/>
        <v>36.26880270739651</v>
      </c>
      <c r="BF1082" s="56">
        <f t="shared" si="260"/>
        <v>0.50136164558660623</v>
      </c>
      <c r="BG1082" s="56">
        <f t="shared" si="263"/>
        <v>3.7303853126882653E-4</v>
      </c>
      <c r="BH1082" s="56">
        <f t="shared" si="264"/>
        <v>1.9314205426805071E-2</v>
      </c>
      <c r="BI1082" s="56">
        <f t="shared" si="261"/>
        <v>1.8927573513272997E-2</v>
      </c>
      <c r="BJ1082" s="57">
        <f t="shared" si="265"/>
        <v>7.6406209844310652E-2</v>
      </c>
      <c r="BK1082" s="57">
        <f t="shared" si="266"/>
        <v>2.9434346360698465E-3</v>
      </c>
      <c r="BL1082" s="58">
        <f t="shared" si="267"/>
        <v>134.81216430268196</v>
      </c>
      <c r="BM1082" s="58">
        <f t="shared" si="267"/>
        <v>5.1934364311567833</v>
      </c>
    </row>
    <row r="1083" spans="47:65" x14ac:dyDescent="0.2">
      <c r="AU1083" s="2">
        <v>-554</v>
      </c>
      <c r="AV1083" s="53">
        <v>1081</v>
      </c>
      <c r="AW1083" s="4" t="s">
        <v>2818</v>
      </c>
      <c r="AX1083" t="s">
        <v>1055</v>
      </c>
      <c r="AY1083" s="4">
        <v>45809</v>
      </c>
      <c r="AZ1083" s="9">
        <v>25.097507299005368</v>
      </c>
      <c r="BA1083" s="7">
        <f t="shared" si="262"/>
        <v>6.4325975367042704E-4</v>
      </c>
      <c r="BB1083" s="54">
        <f t="shared" si="256"/>
        <v>961.44946731715436</v>
      </c>
      <c r="BC1083" s="55">
        <f t="shared" si="257"/>
        <v>1371.287429908788</v>
      </c>
      <c r="BD1083" s="55">
        <f t="shared" si="258"/>
        <v>37.030898313554154</v>
      </c>
      <c r="BE1083" s="55">
        <f t="shared" si="259"/>
        <v>36.289613504865578</v>
      </c>
      <c r="BF1083" s="56">
        <f t="shared" si="260"/>
        <v>0.5017509295455771</v>
      </c>
      <c r="BG1083" s="56">
        <f t="shared" si="263"/>
        <v>3.7346674813772406E-4</v>
      </c>
      <c r="BH1083" s="56">
        <f t="shared" si="264"/>
        <v>1.9325287789260064E-2</v>
      </c>
      <c r="BI1083" s="56">
        <f t="shared" si="261"/>
        <v>1.8938434028910697E-2</v>
      </c>
      <c r="BJ1083" s="57">
        <f t="shared" si="265"/>
        <v>7.313518582682671E-2</v>
      </c>
      <c r="BK1083" s="57">
        <f t="shared" si="266"/>
        <v>2.8168528056429958E-3</v>
      </c>
      <c r="BL1083" s="58">
        <f t="shared" si="267"/>
        <v>129.04072467517503</v>
      </c>
      <c r="BM1083" s="58">
        <f t="shared" si="267"/>
        <v>4.970093713908919</v>
      </c>
    </row>
    <row r="1084" spans="47:65" x14ac:dyDescent="0.2">
      <c r="AU1084" s="2">
        <v>-553</v>
      </c>
      <c r="AV1084" s="53">
        <v>1082</v>
      </c>
      <c r="AW1084" s="4" t="s">
        <v>2577</v>
      </c>
      <c r="AX1084" t="s">
        <v>878</v>
      </c>
      <c r="AY1084" s="4">
        <v>26639</v>
      </c>
      <c r="AZ1084" s="9">
        <v>25.099100453585738</v>
      </c>
      <c r="BA1084" s="7">
        <f t="shared" si="262"/>
        <v>6.4330058689783553E-4</v>
      </c>
      <c r="BB1084" s="54">
        <f t="shared" si="256"/>
        <v>962.44679100748715</v>
      </c>
      <c r="BC1084" s="55">
        <f t="shared" si="257"/>
        <v>1373.390359271674</v>
      </c>
      <c r="BD1084" s="55">
        <f t="shared" si="258"/>
        <v>37.059281688555082</v>
      </c>
      <c r="BE1084" s="55">
        <f t="shared" si="259"/>
        <v>36.317428701246335</v>
      </c>
      <c r="BF1084" s="56">
        <f t="shared" si="260"/>
        <v>0.50227140212962174</v>
      </c>
      <c r="BG1084" s="56">
        <f t="shared" si="263"/>
        <v>3.7403947576109361E-4</v>
      </c>
      <c r="BH1084" s="56">
        <f t="shared" si="264"/>
        <v>1.934010020038918E-2</v>
      </c>
      <c r="BI1084" s="56">
        <f t="shared" si="261"/>
        <v>1.8952949925079333E-2</v>
      </c>
      <c r="BJ1084" s="57">
        <f t="shared" si="265"/>
        <v>4.2573929964653874E-2</v>
      </c>
      <c r="BK1084" s="57">
        <f t="shared" si="266"/>
        <v>1.6393210283317417E-3</v>
      </c>
      <c r="BL1084" s="58">
        <f t="shared" si="267"/>
        <v>75.118025787444097</v>
      </c>
      <c r="BM1084" s="58">
        <f t="shared" si="267"/>
        <v>2.8924405001455047</v>
      </c>
    </row>
    <row r="1085" spans="47:65" x14ac:dyDescent="0.2">
      <c r="AU1085" s="2">
        <v>-552</v>
      </c>
      <c r="AV1085" s="53">
        <v>1083</v>
      </c>
      <c r="AW1085" s="4" t="s">
        <v>2789</v>
      </c>
      <c r="AX1085" t="s">
        <v>1034</v>
      </c>
      <c r="AY1085" s="4">
        <v>40020</v>
      </c>
      <c r="AZ1085" s="9">
        <v>25.108861855591197</v>
      </c>
      <c r="BA1085" s="7">
        <f t="shared" si="262"/>
        <v>6.435507757701687E-4</v>
      </c>
      <c r="BB1085" s="54">
        <f t="shared" si="256"/>
        <v>968.58011352289464</v>
      </c>
      <c r="BC1085" s="55">
        <f t="shared" si="257"/>
        <v>1386.3414939539725</v>
      </c>
      <c r="BD1085" s="55">
        <f t="shared" si="258"/>
        <v>37.233607050002185</v>
      </c>
      <c r="BE1085" s="55">
        <f t="shared" si="259"/>
        <v>36.488264416260456</v>
      </c>
      <c r="BF1085" s="56">
        <f t="shared" si="260"/>
        <v>0.50547219465998272</v>
      </c>
      <c r="BG1085" s="56">
        <f t="shared" si="263"/>
        <v>3.7756668533728998E-4</v>
      </c>
      <c r="BH1085" s="56">
        <f t="shared" si="264"/>
        <v>1.9431075249128391E-2</v>
      </c>
      <c r="BI1085" s="56">
        <f t="shared" si="261"/>
        <v>1.9042103834589649E-2</v>
      </c>
      <c r="BJ1085" s="57">
        <f t="shared" si="265"/>
        <v>6.4366771602527517E-2</v>
      </c>
      <c r="BK1085" s="57">
        <f t="shared" si="266"/>
        <v>2.4743509054805574E-3</v>
      </c>
      <c r="BL1085" s="58">
        <f t="shared" si="267"/>
        <v>113.56961438860429</v>
      </c>
      <c r="BM1085" s="58">
        <f t="shared" si="267"/>
        <v>4.3657786650043242</v>
      </c>
    </row>
    <row r="1086" spans="47:65" x14ac:dyDescent="0.2">
      <c r="AU1086" s="2">
        <v>-551</v>
      </c>
      <c r="AV1086" s="53">
        <v>1084</v>
      </c>
      <c r="AW1086" s="4" t="s">
        <v>2852</v>
      </c>
      <c r="AX1086" t="s">
        <v>1078</v>
      </c>
      <c r="AY1086" s="4">
        <v>38332</v>
      </c>
      <c r="AZ1086" s="9">
        <v>25.132496591803548</v>
      </c>
      <c r="BA1086" s="7">
        <f t="shared" si="262"/>
        <v>6.4415654408065835E-4</v>
      </c>
      <c r="BB1086" s="54">
        <f t="shared" si="256"/>
        <v>983.59277183505185</v>
      </c>
      <c r="BC1086" s="55">
        <f t="shared" si="257"/>
        <v>1418.1760014106815</v>
      </c>
      <c r="BD1086" s="55">
        <f t="shared" si="258"/>
        <v>37.65867763757354</v>
      </c>
      <c r="BE1086" s="55">
        <f t="shared" si="259"/>
        <v>36.904825937524024</v>
      </c>
      <c r="BF1086" s="56">
        <f t="shared" si="260"/>
        <v>0.51330683966123702</v>
      </c>
      <c r="BG1086" s="56">
        <f t="shared" si="263"/>
        <v>3.8623673489735893E-4</v>
      </c>
      <c r="BH1086" s="56">
        <f t="shared" si="264"/>
        <v>1.9652906525431776E-2</v>
      </c>
      <c r="BI1086" s="56">
        <f t="shared" si="261"/>
        <v>1.9259494490689241E-2</v>
      </c>
      <c r="BJ1086" s="57">
        <f t="shared" si="265"/>
        <v>6.2607433771693283E-2</v>
      </c>
      <c r="BK1086" s="57">
        <f t="shared" si="266"/>
        <v>2.397041980824331E-3</v>
      </c>
      <c r="BL1086" s="58">
        <f t="shared" si="267"/>
        <v>110.46541459649789</v>
      </c>
      <c r="BM1086" s="58">
        <f t="shared" si="267"/>
        <v>4.2293737383098096</v>
      </c>
    </row>
    <row r="1087" spans="47:65" x14ac:dyDescent="0.2">
      <c r="AU1087" s="2">
        <v>-550</v>
      </c>
      <c r="AV1087" s="53">
        <v>1085</v>
      </c>
      <c r="AW1087" s="4" t="s">
        <v>1791</v>
      </c>
      <c r="AX1087" t="s">
        <v>281</v>
      </c>
      <c r="AY1087" s="4">
        <v>78136</v>
      </c>
      <c r="AZ1087" s="9">
        <v>25.137312954386928</v>
      </c>
      <c r="BA1087" s="7">
        <f t="shared" si="262"/>
        <v>6.4427998949585688E-4</v>
      </c>
      <c r="BB1087" s="54">
        <f t="shared" si="256"/>
        <v>986.68052620666697</v>
      </c>
      <c r="BC1087" s="55">
        <f t="shared" si="257"/>
        <v>1424.7469543457707</v>
      </c>
      <c r="BD1087" s="55">
        <f t="shared" si="258"/>
        <v>37.745820355978104</v>
      </c>
      <c r="BE1087" s="55">
        <f t="shared" si="259"/>
        <v>36.990224232317956</v>
      </c>
      <c r="BF1087" s="56">
        <f t="shared" si="260"/>
        <v>0.5149182437743306</v>
      </c>
      <c r="BG1087" s="56">
        <f t="shared" si="263"/>
        <v>3.8802631771663477E-4</v>
      </c>
      <c r="BH1087" s="56">
        <f t="shared" si="264"/>
        <v>1.9698383632080953E-2</v>
      </c>
      <c r="BI1087" s="56">
        <f t="shared" si="261"/>
        <v>1.930406123626598E-2</v>
      </c>
      <c r="BJ1087" s="57">
        <f t="shared" si="265"/>
        <v>0.12801970620760669</v>
      </c>
      <c r="BK1087" s="57">
        <f t="shared" si="266"/>
        <v>4.8974401583815981E-3</v>
      </c>
      <c r="BL1087" s="58">
        <f t="shared" si="267"/>
        <v>225.87972499104475</v>
      </c>
      <c r="BM1087" s="58">
        <f t="shared" si="267"/>
        <v>8.6411105673167352</v>
      </c>
    </row>
    <row r="1088" spans="47:65" x14ac:dyDescent="0.2">
      <c r="AU1088" s="2">
        <v>-549</v>
      </c>
      <c r="AV1088" s="53">
        <v>1086</v>
      </c>
      <c r="AW1088" s="4" t="s">
        <v>1523</v>
      </c>
      <c r="AX1088" t="s">
        <v>116</v>
      </c>
      <c r="AY1088" s="4">
        <v>41697</v>
      </c>
      <c r="AZ1088" s="9">
        <v>25.148463134638082</v>
      </c>
      <c r="BA1088" s="7">
        <f t="shared" si="262"/>
        <v>6.4456577334348316E-4</v>
      </c>
      <c r="BB1088" s="54">
        <f t="shared" si="256"/>
        <v>993.86612059176696</v>
      </c>
      <c r="BC1088" s="55">
        <f t="shared" si="257"/>
        <v>1440.068925600649</v>
      </c>
      <c r="BD1088" s="55">
        <f t="shared" si="258"/>
        <v>37.948240085683146</v>
      </c>
      <c r="BE1088" s="55">
        <f t="shared" si="259"/>
        <v>37.188591922309065</v>
      </c>
      <c r="BF1088" s="56">
        <f t="shared" si="260"/>
        <v>0.51866818465486564</v>
      </c>
      <c r="BG1088" s="56">
        <f t="shared" si="263"/>
        <v>3.9219921878378729E-4</v>
      </c>
      <c r="BH1088" s="56">
        <f t="shared" si="264"/>
        <v>1.9804020268212898E-2</v>
      </c>
      <c r="BI1088" s="56">
        <f t="shared" si="261"/>
        <v>1.9407583237399266E-2</v>
      </c>
      <c r="BJ1088" s="57">
        <f t="shared" si="265"/>
        <v>6.8814790299016104E-2</v>
      </c>
      <c r="BK1088" s="57">
        <f t="shared" si="266"/>
        <v>2.6275170564806888E-3</v>
      </c>
      <c r="BL1088" s="58">
        <f t="shared" si="267"/>
        <v>121.41775956625797</v>
      </c>
      <c r="BM1088" s="58">
        <f t="shared" si="267"/>
        <v>4.6360271219859479</v>
      </c>
    </row>
    <row r="1089" spans="47:65" x14ac:dyDescent="0.2">
      <c r="AU1089" s="2">
        <v>-548</v>
      </c>
      <c r="AV1089" s="53">
        <v>1087</v>
      </c>
      <c r="AW1089" s="4" t="s">
        <v>1711</v>
      </c>
      <c r="AX1089" t="s">
        <v>229</v>
      </c>
      <c r="AY1089" s="4">
        <v>25223</v>
      </c>
      <c r="AZ1089" s="9">
        <v>25.149057809878641</v>
      </c>
      <c r="BA1089" s="7">
        <f t="shared" si="262"/>
        <v>6.4458101512204703E-4</v>
      </c>
      <c r="BB1089" s="54">
        <f t="shared" si="256"/>
        <v>994.25081825938503</v>
      </c>
      <c r="BC1089" s="55">
        <f t="shared" si="257"/>
        <v>1440.8904231503222</v>
      </c>
      <c r="BD1089" s="55">
        <f t="shared" si="258"/>
        <v>37.95906246405886</v>
      </c>
      <c r="BE1089" s="55">
        <f t="shared" si="259"/>
        <v>37.199197658230794</v>
      </c>
      <c r="BF1089" s="56">
        <f t="shared" si="260"/>
        <v>0.51886894654499394</v>
      </c>
      <c r="BG1089" s="56">
        <f t="shared" si="263"/>
        <v>3.9242295161451957E-4</v>
      </c>
      <c r="BH1089" s="56">
        <f t="shared" si="264"/>
        <v>1.9809668134891094E-2</v>
      </c>
      <c r="BI1089" s="56">
        <f t="shared" si="261"/>
        <v>1.941311804503864E-2</v>
      </c>
      <c r="BJ1089" s="57">
        <f t="shared" si="265"/>
        <v>4.1642979169395161E-2</v>
      </c>
      <c r="BK1089" s="57">
        <f t="shared" si="266"/>
        <v>1.5898688926884281E-3</v>
      </c>
      <c r="BL1089" s="58">
        <f t="shared" si="267"/>
        <v>73.475443439440411</v>
      </c>
      <c r="BM1089" s="58">
        <f t="shared" si="267"/>
        <v>2.805186473947249</v>
      </c>
    </row>
    <row r="1090" spans="47:65" x14ac:dyDescent="0.2">
      <c r="AU1090" s="2">
        <v>-547</v>
      </c>
      <c r="AV1090" s="53">
        <v>1088</v>
      </c>
      <c r="AW1090" s="4" t="s">
        <v>2725</v>
      </c>
      <c r="AX1090" t="s">
        <v>986</v>
      </c>
      <c r="AY1090" s="4">
        <v>17990</v>
      </c>
      <c r="AZ1090" s="9">
        <v>25.151434062631584</v>
      </c>
      <c r="BA1090" s="7">
        <f t="shared" si="262"/>
        <v>6.4464191948766011E-4</v>
      </c>
      <c r="BB1090" s="54">
        <f t="shared" si="256"/>
        <v>995.7895121698773</v>
      </c>
      <c r="BC1090" s="55">
        <f t="shared" si="257"/>
        <v>1444.1774219202214</v>
      </c>
      <c r="BD1090" s="55">
        <f t="shared" si="258"/>
        <v>38.002334427245671</v>
      </c>
      <c r="BE1090" s="55">
        <f t="shared" si="259"/>
        <v>37.241603402924042</v>
      </c>
      <c r="BF1090" s="56">
        <f t="shared" si="260"/>
        <v>0.51967194360944691</v>
      </c>
      <c r="BG1090" s="56">
        <f t="shared" si="263"/>
        <v>3.9331815761944216E-4</v>
      </c>
      <c r="BH1090" s="56">
        <f t="shared" si="264"/>
        <v>1.983225044263616E-2</v>
      </c>
      <c r="BI1090" s="56">
        <f t="shared" si="261"/>
        <v>1.9435248299972705E-2</v>
      </c>
      <c r="BJ1090" s="57">
        <f t="shared" si="265"/>
        <v>2.9747317306058493E-2</v>
      </c>
      <c r="BK1090" s="57">
        <f t="shared" si="266"/>
        <v>1.1352474461343851E-3</v>
      </c>
      <c r="BL1090" s="58">
        <f t="shared" si="267"/>
        <v>52.486574538901642</v>
      </c>
      <c r="BM1090" s="58">
        <f t="shared" si="267"/>
        <v>2.003046160048009</v>
      </c>
    </row>
    <row r="1091" spans="47:65" x14ac:dyDescent="0.2">
      <c r="AU1091" s="2">
        <v>-546</v>
      </c>
      <c r="AV1091" s="53">
        <v>1089</v>
      </c>
      <c r="AW1091" s="4" t="s">
        <v>3064</v>
      </c>
      <c r="AX1091" t="s">
        <v>1220</v>
      </c>
      <c r="AY1091" s="4">
        <v>63996</v>
      </c>
      <c r="AZ1091" s="9">
        <v>25.151730819217725</v>
      </c>
      <c r="BA1091" s="7">
        <f t="shared" si="262"/>
        <v>6.4464952548479073E-4</v>
      </c>
      <c r="BB1091" s="54">
        <f t="shared" ref="BB1091:BB1154" si="268">IFERROR(IF(MATCH(AX1091,$S$4:$S$20,0),VLOOKUP(AX1091,$S$4:$AT$20,20,FALSE)),AVERAGE((2^(($AE$23*AZ1091)+$AE$24)),(2^(($AF$23*AZ1091)+$AF$24)),(2^(($AG$23*AZ1091)+$AG$24)),(2^(($AH$23*AZ1091)+$AH$24))))</f>
        <v>995.98183803192023</v>
      </c>
      <c r="BC1091" s="55">
        <f t="shared" ref="BC1091:BC1154" si="269">IFERROR(IF(MATCH(AX1091,$S$4:$S$20,0),VLOOKUP(AX1091,$S$4:$AT$20,21,FALSE)),_xlfn.VAR.S((2^(($AE$23*AZ1091)+$AE$24)),(2^(($AF$23*AZ1091)+$AF$24)),(2^(($AG$23*AZ1091)+$AG$24)),(2^(($AH$23*AZ1091)+$AH$24))))</f>
        <v>1444.5884101235686</v>
      </c>
      <c r="BD1091" s="55">
        <f t="shared" ref="BD1091:BD1154" si="270">SQRT(BC1091)</f>
        <v>38.007741449914761</v>
      </c>
      <c r="BE1091" s="55">
        <f t="shared" ref="BE1091:BE1154" si="271">_xlfn.CONFIDENCE.NORM(0.05,BD1091,4)</f>
        <v>37.246902187771546</v>
      </c>
      <c r="BF1091" s="56">
        <f t="shared" ref="BF1091:BF1154" si="272">IFERROR(IF(MATCH(AX1091,$S$4:$S$20,0),VLOOKUP(AX1091,$S$4:$AT$20,24,FALSE)),AVERAGE((2^(($AI$23*AZ1091)+$AI$24)),(2^(($AJ$23*AZ1091)+$AJ$24)),(2^(($AK$23*AZ1091)+$AK$24)),(2^(($AL$23*AZ1091)+$AL$24))))</f>
        <v>0.51977231256625211</v>
      </c>
      <c r="BG1091" s="56">
        <f t="shared" si="263"/>
        <v>3.9343008924259504E-4</v>
      </c>
      <c r="BH1091" s="56">
        <f t="shared" si="264"/>
        <v>1.983507220159773E-2</v>
      </c>
      <c r="BI1091" s="56">
        <f t="shared" ref="BI1091:BI1154" si="273">_xlfn.CONFIDENCE.NORM(0.05,BH1091,4)</f>
        <v>1.943801357294157E-2</v>
      </c>
      <c r="BJ1091" s="57">
        <f t="shared" si="265"/>
        <v>0.10584085597382703</v>
      </c>
      <c r="BK1091" s="57">
        <f t="shared" si="266"/>
        <v>4.0390012499024238E-3</v>
      </c>
      <c r="BL1091" s="58">
        <f t="shared" si="267"/>
        <v>186.74705753046246</v>
      </c>
      <c r="BM1091" s="58">
        <f t="shared" si="267"/>
        <v>7.1264691866027476</v>
      </c>
    </row>
    <row r="1092" spans="47:65" x14ac:dyDescent="0.2">
      <c r="AU1092" s="2">
        <v>-545</v>
      </c>
      <c r="AV1092" s="53">
        <v>1090</v>
      </c>
      <c r="AW1092" s="4" t="s">
        <v>1572</v>
      </c>
      <c r="AX1092" t="s">
        <v>149</v>
      </c>
      <c r="AY1092" s="4">
        <v>306831</v>
      </c>
      <c r="AZ1092" s="9">
        <v>25.155776098361567</v>
      </c>
      <c r="BA1092" s="7">
        <f t="shared" ref="BA1092:BA1155" si="274">AZ1092/$AZ$1637</f>
        <v>6.4475320770448661E-4</v>
      </c>
      <c r="BB1092" s="54">
        <f t="shared" si="268"/>
        <v>998.60726279969867</v>
      </c>
      <c r="BC1092" s="55">
        <f t="shared" si="269"/>
        <v>1450.2018071297305</v>
      </c>
      <c r="BD1092" s="55">
        <f t="shared" si="270"/>
        <v>38.08151529455899</v>
      </c>
      <c r="BE1092" s="55">
        <f t="shared" si="271"/>
        <v>37.319199227023418</v>
      </c>
      <c r="BF1092" s="56">
        <f t="shared" si="272"/>
        <v>0.52114244106750429</v>
      </c>
      <c r="BG1092" s="56">
        <f t="shared" ref="BG1092:BG1155" si="275">IFERROR(IF(MATCH(AX1092,$S$4:$S$20,0),VLOOKUP(AX1092,$S$4:$AT$20,25,FALSE)),_xlfn.VAR.S((2^(($AI$23*AZ1092)+$AI$24)),(2^(($AJ$23*AZ1092)+$AJ$24)),(2^(($AK$23*AZ1092)+$AK$24)),(2^(($AL$23*AZ1092)+$AL$24))))</f>
        <v>3.9495888406718962E-4</v>
      </c>
      <c r="BH1092" s="56">
        <f t="shared" ref="BH1092:BH1155" si="276">SQRT(BG1092)</f>
        <v>1.9873572503885394E-2</v>
      </c>
      <c r="BI1092" s="56">
        <f t="shared" si="273"/>
        <v>1.9475743175880432E-2</v>
      </c>
      <c r="BJ1092" s="57">
        <f t="shared" ref="BJ1092:BJ1155" si="277">(((BF1092*0.000001)*AY1092)*1000000000000000)*$S$24</f>
        <v>0.5087952527647549</v>
      </c>
      <c r="BK1092" s="57">
        <f t="shared" ref="BK1092:BK1155" si="278">((((BH1092*0.000001)*AY1092)*1000000000000000)*$S$24)</f>
        <v>1.9402717085832747E-2</v>
      </c>
      <c r="BL1092" s="58">
        <f t="shared" ref="BL1092:BM1155" si="279">((BJ1092/$S$26)*0.000000001)/0.45</f>
        <v>897.72532038839518</v>
      </c>
      <c r="BM1092" s="58">
        <f t="shared" si="279"/>
        <v>34.234420069045086</v>
      </c>
    </row>
    <row r="1093" spans="47:65" x14ac:dyDescent="0.2">
      <c r="AU1093" s="2">
        <v>-544</v>
      </c>
      <c r="AV1093" s="53">
        <v>1091</v>
      </c>
      <c r="AW1093" s="4" t="s">
        <v>1448</v>
      </c>
      <c r="AX1093" t="s">
        <v>53</v>
      </c>
      <c r="AY1093" s="4">
        <v>36263</v>
      </c>
      <c r="AZ1093" s="9">
        <v>25.161323105005199</v>
      </c>
      <c r="BA1093" s="7">
        <f t="shared" si="274"/>
        <v>6.4489537983674987E-4</v>
      </c>
      <c r="BB1093" s="54">
        <f t="shared" si="268"/>
        <v>1002.2185789094116</v>
      </c>
      <c r="BC1093" s="55">
        <f t="shared" si="269"/>
        <v>1457.9323335711772</v>
      </c>
      <c r="BD1093" s="55">
        <f t="shared" si="270"/>
        <v>38.182880111002326</v>
      </c>
      <c r="BE1093" s="55">
        <f t="shared" si="271"/>
        <v>37.418534921787639</v>
      </c>
      <c r="BF1093" s="56">
        <f t="shared" si="272"/>
        <v>0.52302707596151199</v>
      </c>
      <c r="BG1093" s="56">
        <f t="shared" si="275"/>
        <v>3.9706427386987738E-4</v>
      </c>
      <c r="BH1093" s="56">
        <f t="shared" si="276"/>
        <v>1.9926471686424502E-2</v>
      </c>
      <c r="BI1093" s="56">
        <f t="shared" si="273"/>
        <v>1.9527583422174564E-2</v>
      </c>
      <c r="BJ1093" s="57">
        <f t="shared" si="277"/>
        <v>6.0349722024088115E-2</v>
      </c>
      <c r="BK1093" s="57">
        <f t="shared" si="278"/>
        <v>2.2992251882674492E-3</v>
      </c>
      <c r="BL1093" s="58">
        <f t="shared" si="279"/>
        <v>106.48187703212403</v>
      </c>
      <c r="BM1093" s="58">
        <f t="shared" si="279"/>
        <v>4.0567844482951623</v>
      </c>
    </row>
    <row r="1094" spans="47:65" x14ac:dyDescent="0.2">
      <c r="AU1094" s="2">
        <v>-543</v>
      </c>
      <c r="AV1094" s="53">
        <v>1092</v>
      </c>
      <c r="AW1094" s="4" t="s">
        <v>2764</v>
      </c>
      <c r="AX1094" t="s">
        <v>1012</v>
      </c>
      <c r="AY1094" s="4">
        <v>36738</v>
      </c>
      <c r="AZ1094" s="9">
        <v>25.169705764232813</v>
      </c>
      <c r="BA1094" s="7">
        <f t="shared" si="274"/>
        <v>6.4511023094708585E-4</v>
      </c>
      <c r="BB1094" s="54">
        <f t="shared" si="268"/>
        <v>1007.7008125338461</v>
      </c>
      <c r="BC1094" s="55">
        <f t="shared" si="269"/>
        <v>1469.6881049440356</v>
      </c>
      <c r="BD1094" s="55">
        <f t="shared" si="270"/>
        <v>38.336511382023737</v>
      </c>
      <c r="BE1094" s="55">
        <f t="shared" si="271"/>
        <v>37.569090800838183</v>
      </c>
      <c r="BF1094" s="56">
        <f t="shared" si="272"/>
        <v>0.5258880852090615</v>
      </c>
      <c r="BG1094" s="56">
        <f t="shared" si="275"/>
        <v>4.0026592919808086E-4</v>
      </c>
      <c r="BH1094" s="56">
        <f t="shared" si="276"/>
        <v>2.0006647125345136E-2</v>
      </c>
      <c r="BI1094" s="56">
        <f t="shared" si="273"/>
        <v>1.9606153908539131E-2</v>
      </c>
      <c r="BJ1094" s="57">
        <f t="shared" si="277"/>
        <v>6.1474671018765296E-2</v>
      </c>
      <c r="BK1094" s="57">
        <f t="shared" si="278"/>
        <v>2.3387144238686893E-3</v>
      </c>
      <c r="BL1094" s="58">
        <f t="shared" si="279"/>
        <v>108.46675246321243</v>
      </c>
      <c r="BM1094" s="58">
        <f t="shared" si="279"/>
        <v>4.1264597970516244</v>
      </c>
    </row>
    <row r="1095" spans="47:65" x14ac:dyDescent="0.2">
      <c r="AU1095" s="2">
        <v>-542</v>
      </c>
      <c r="AV1095" s="53">
        <v>1093</v>
      </c>
      <c r="AW1095" s="4" t="s">
        <v>2812</v>
      </c>
      <c r="AX1095" t="s">
        <v>1051</v>
      </c>
      <c r="AY1095" s="4">
        <v>32636</v>
      </c>
      <c r="AZ1095" s="9">
        <v>25.17342146156297</v>
      </c>
      <c r="BA1095" s="7">
        <f t="shared" si="274"/>
        <v>6.4520546584515101E-4</v>
      </c>
      <c r="BB1095" s="54">
        <f t="shared" si="268"/>
        <v>1010.140450716616</v>
      </c>
      <c r="BC1095" s="55">
        <f t="shared" si="269"/>
        <v>1474.9273484462658</v>
      </c>
      <c r="BD1095" s="55">
        <f t="shared" si="270"/>
        <v>38.40478288502964</v>
      </c>
      <c r="BE1095" s="55">
        <f t="shared" si="271"/>
        <v>37.635995644369174</v>
      </c>
      <c r="BF1095" s="56">
        <f t="shared" si="272"/>
        <v>0.52716125740122655</v>
      </c>
      <c r="BG1095" s="56">
        <f t="shared" si="275"/>
        <v>4.0169282423906539E-4</v>
      </c>
      <c r="BH1095" s="56">
        <f t="shared" si="276"/>
        <v>2.0042275924631547E-2</v>
      </c>
      <c r="BI1095" s="56">
        <f t="shared" si="273"/>
        <v>1.9641069490246018E-2</v>
      </c>
      <c r="BJ1095" s="57">
        <f t="shared" si="277"/>
        <v>5.4742897657901773E-2</v>
      </c>
      <c r="BK1095" s="57">
        <f t="shared" si="278"/>
        <v>2.0812839418099861E-3</v>
      </c>
      <c r="BL1095" s="58">
        <f t="shared" si="279"/>
        <v>96.589119241745593</v>
      </c>
      <c r="BM1095" s="58">
        <f t="shared" si="279"/>
        <v>3.6722459247167341</v>
      </c>
    </row>
    <row r="1096" spans="47:65" x14ac:dyDescent="0.2">
      <c r="AU1096" s="2">
        <v>-541</v>
      </c>
      <c r="AV1096" s="53">
        <v>1094</v>
      </c>
      <c r="AW1096" s="4" t="s">
        <v>1960</v>
      </c>
      <c r="AX1096" t="s">
        <v>403</v>
      </c>
      <c r="AY1096" s="4">
        <v>40711</v>
      </c>
      <c r="AZ1096" s="9">
        <v>25.178242671698637</v>
      </c>
      <c r="BA1096" s="7">
        <f t="shared" si="274"/>
        <v>6.4532903550517003E-4</v>
      </c>
      <c r="BB1096" s="54">
        <f t="shared" si="268"/>
        <v>1013.3147487579103</v>
      </c>
      <c r="BC1096" s="55">
        <f t="shared" si="269"/>
        <v>1481.7515010082736</v>
      </c>
      <c r="BD1096" s="55">
        <f t="shared" si="270"/>
        <v>38.49352544270625</v>
      </c>
      <c r="BE1096" s="55">
        <f t="shared" si="271"/>
        <v>37.722961752840234</v>
      </c>
      <c r="BF1096" s="56">
        <f t="shared" si="272"/>
        <v>0.52881782599584903</v>
      </c>
      <c r="BG1096" s="56">
        <f t="shared" si="275"/>
        <v>4.0355136535202043E-4</v>
      </c>
      <c r="BH1096" s="56">
        <f t="shared" si="276"/>
        <v>2.0088587938230512E-2</v>
      </c>
      <c r="BI1096" s="56">
        <f t="shared" si="273"/>
        <v>1.9686454429598769E-2</v>
      </c>
      <c r="BJ1096" s="57">
        <f t="shared" si="277"/>
        <v>6.850231189659875E-2</v>
      </c>
      <c r="BK1096" s="57">
        <f t="shared" si="278"/>
        <v>2.6022472179629591E-3</v>
      </c>
      <c r="BL1096" s="58">
        <f t="shared" si="279"/>
        <v>120.86641838844578</v>
      </c>
      <c r="BM1096" s="58">
        <f t="shared" si="279"/>
        <v>4.5914406724146879</v>
      </c>
    </row>
    <row r="1097" spans="47:65" x14ac:dyDescent="0.2">
      <c r="AU1097" s="2">
        <v>-540</v>
      </c>
      <c r="AV1097" s="53">
        <v>1095</v>
      </c>
      <c r="AW1097" s="4" t="s">
        <v>2587</v>
      </c>
      <c r="AX1097" t="s">
        <v>885</v>
      </c>
      <c r="AY1097" s="4">
        <v>24589</v>
      </c>
      <c r="AZ1097" s="9">
        <v>25.183073071906026</v>
      </c>
      <c r="BA1097" s="7">
        <f t="shared" si="274"/>
        <v>6.4545284071062397E-4</v>
      </c>
      <c r="BB1097" s="54">
        <f t="shared" si="268"/>
        <v>1016.5051019663179</v>
      </c>
      <c r="BC1097" s="55">
        <f t="shared" si="269"/>
        <v>1488.6183362566737</v>
      </c>
      <c r="BD1097" s="55">
        <f t="shared" si="270"/>
        <v>38.582617021874938</v>
      </c>
      <c r="BE1097" s="55">
        <f t="shared" si="271"/>
        <v>37.81026989608845</v>
      </c>
      <c r="BF1097" s="56">
        <f t="shared" si="272"/>
        <v>0.53048277328877758</v>
      </c>
      <c r="BG1097" s="56">
        <f t="shared" si="275"/>
        <v>4.0542153098925039E-4</v>
      </c>
      <c r="BH1097" s="56">
        <f t="shared" si="276"/>
        <v>2.0135082095418692E-2</v>
      </c>
      <c r="BI1097" s="56">
        <f t="shared" si="273"/>
        <v>1.9732017866388955E-2</v>
      </c>
      <c r="BJ1097" s="57">
        <f t="shared" si="277"/>
        <v>4.1504914584942598E-2</v>
      </c>
      <c r="BK1097" s="57">
        <f t="shared" si="278"/>
        <v>1.5753666369788589E-3</v>
      </c>
      <c r="BL1097" s="58">
        <f t="shared" si="279"/>
        <v>73.231840393542356</v>
      </c>
      <c r="BM1097" s="58">
        <f t="shared" si="279"/>
        <v>2.7795984951237775</v>
      </c>
    </row>
    <row r="1098" spans="47:65" x14ac:dyDescent="0.2">
      <c r="AU1098" s="2">
        <v>-539</v>
      </c>
      <c r="AV1098" s="53">
        <v>1096</v>
      </c>
      <c r="AW1098" s="4" t="s">
        <v>2174</v>
      </c>
      <c r="AX1098" t="s">
        <v>567</v>
      </c>
      <c r="AY1098" s="4">
        <v>29872</v>
      </c>
      <c r="AZ1098" s="9">
        <v>25.19048944292458</v>
      </c>
      <c r="BA1098" s="7">
        <f t="shared" si="274"/>
        <v>6.4564292544444588E-4</v>
      </c>
      <c r="BB1098" s="54">
        <f t="shared" si="268"/>
        <v>1021.422984107919</v>
      </c>
      <c r="BC1098" s="55">
        <f t="shared" si="269"/>
        <v>1499.2194328568639</v>
      </c>
      <c r="BD1098" s="55">
        <f t="shared" si="270"/>
        <v>38.719755072273685</v>
      </c>
      <c r="BE1098" s="55">
        <f t="shared" si="271"/>
        <v>37.944662715934243</v>
      </c>
      <c r="BF1098" s="56">
        <f t="shared" si="272"/>
        <v>0.53304926484119342</v>
      </c>
      <c r="BG1098" s="56">
        <f t="shared" si="275"/>
        <v>4.083087134920742E-4</v>
      </c>
      <c r="BH1098" s="56">
        <f t="shared" si="276"/>
        <v>2.0206650229369395E-2</v>
      </c>
      <c r="BI1098" s="56">
        <f t="shared" si="273"/>
        <v>1.9802153348881014E-2</v>
      </c>
      <c r="BJ1098" s="57">
        <f t="shared" si="277"/>
        <v>5.0666280305621168E-2</v>
      </c>
      <c r="BK1098" s="57">
        <f t="shared" si="278"/>
        <v>1.9206401210662661E-3</v>
      </c>
      <c r="BL1098" s="58">
        <f t="shared" si="279"/>
        <v>89.396279688328846</v>
      </c>
      <c r="BM1098" s="58">
        <f t="shared" si="279"/>
        <v>3.388803764708511</v>
      </c>
    </row>
    <row r="1099" spans="47:65" x14ac:dyDescent="0.2">
      <c r="AU1099" s="2">
        <v>-538</v>
      </c>
      <c r="AV1099" s="53">
        <v>1097</v>
      </c>
      <c r="AW1099" s="4" t="s">
        <v>2578</v>
      </c>
      <c r="AX1099" t="s">
        <v>879</v>
      </c>
      <c r="AY1099" s="4">
        <v>59445</v>
      </c>
      <c r="AZ1099" s="9">
        <v>25.200539357280952</v>
      </c>
      <c r="BA1099" s="7">
        <f t="shared" si="274"/>
        <v>6.4590050901066503E-4</v>
      </c>
      <c r="BB1099" s="54">
        <f t="shared" si="268"/>
        <v>1028.1251905779045</v>
      </c>
      <c r="BC1099" s="55">
        <f t="shared" si="269"/>
        <v>1513.6978846398706</v>
      </c>
      <c r="BD1099" s="55">
        <f t="shared" si="270"/>
        <v>38.906270505406589</v>
      </c>
      <c r="BE1099" s="55">
        <f t="shared" si="271"/>
        <v>38.127444481684932</v>
      </c>
      <c r="BF1099" s="56">
        <f t="shared" si="272"/>
        <v>0.5365469404243991</v>
      </c>
      <c r="BG1099" s="56">
        <f t="shared" si="275"/>
        <v>4.1225188411227057E-4</v>
      </c>
      <c r="BH1099" s="56">
        <f t="shared" si="276"/>
        <v>2.0303986901893691E-2</v>
      </c>
      <c r="BI1099" s="56">
        <f t="shared" si="273"/>
        <v>1.989754153514231E-2</v>
      </c>
      <c r="BJ1099" s="57">
        <f t="shared" si="277"/>
        <v>0.10148700268499787</v>
      </c>
      <c r="BK1099" s="57">
        <f t="shared" si="278"/>
        <v>3.8404669153434285E-3</v>
      </c>
      <c r="BL1099" s="58">
        <f t="shared" si="279"/>
        <v>179.06505908924393</v>
      </c>
      <c r="BM1099" s="58">
        <f t="shared" si="279"/>
        <v>6.7761724844782947</v>
      </c>
    </row>
    <row r="1100" spans="47:65" x14ac:dyDescent="0.2">
      <c r="AU1100" s="2">
        <v>-537</v>
      </c>
      <c r="AV1100" s="53">
        <v>1098</v>
      </c>
      <c r="AW1100" s="4" t="s">
        <v>2918</v>
      </c>
      <c r="AX1100" t="s">
        <v>1130</v>
      </c>
      <c r="AY1100" s="4">
        <v>45249</v>
      </c>
      <c r="AZ1100" s="9">
        <v>25.212722770137351</v>
      </c>
      <c r="BA1100" s="7">
        <f t="shared" si="274"/>
        <v>6.4621277504806475E-4</v>
      </c>
      <c r="BB1100" s="54">
        <f t="shared" si="268"/>
        <v>1036.3092145166124</v>
      </c>
      <c r="BC1100" s="55">
        <f t="shared" si="269"/>
        <v>1531.4256187251524</v>
      </c>
      <c r="BD1100" s="55">
        <f t="shared" si="270"/>
        <v>39.133433515667292</v>
      </c>
      <c r="BE1100" s="55">
        <f t="shared" si="271"/>
        <v>38.350060141050271</v>
      </c>
      <c r="BF1100" s="56">
        <f t="shared" si="272"/>
        <v>0.54081793100503572</v>
      </c>
      <c r="BG1100" s="56">
        <f t="shared" si="275"/>
        <v>4.170799887504835E-4</v>
      </c>
      <c r="BH1100" s="56">
        <f t="shared" si="276"/>
        <v>2.0422536295731819E-2</v>
      </c>
      <c r="BI1100" s="56">
        <f t="shared" si="273"/>
        <v>2.0013717806298202E-2</v>
      </c>
      <c r="BJ1100" s="57">
        <f t="shared" si="277"/>
        <v>7.7865923771928691E-2</v>
      </c>
      <c r="BK1100" s="57">
        <f t="shared" si="278"/>
        <v>2.9403974300143787E-3</v>
      </c>
      <c r="BL1100" s="58">
        <f t="shared" si="279"/>
        <v>137.38770357162278</v>
      </c>
      <c r="BM1100" s="58">
        <f t="shared" si="279"/>
        <v>5.1880775431474824</v>
      </c>
    </row>
    <row r="1101" spans="47:65" x14ac:dyDescent="0.2">
      <c r="AU1101" s="2">
        <v>-536</v>
      </c>
      <c r="AV1101" s="53">
        <v>1099</v>
      </c>
      <c r="AW1101" s="4" t="s">
        <v>1889</v>
      </c>
      <c r="AX1101" t="s">
        <v>356</v>
      </c>
      <c r="AY1101" s="4">
        <v>23205</v>
      </c>
      <c r="AZ1101" s="9">
        <v>25.21320500597194</v>
      </c>
      <c r="BA1101" s="7">
        <f t="shared" si="274"/>
        <v>6.4622513495697816E-4</v>
      </c>
      <c r="BB1101" s="54">
        <f t="shared" si="268"/>
        <v>1036.634486191731</v>
      </c>
      <c r="BC1101" s="55">
        <f t="shared" si="269"/>
        <v>1532.1312910298529</v>
      </c>
      <c r="BD1101" s="55">
        <f t="shared" si="270"/>
        <v>39.142448710189974</v>
      </c>
      <c r="BE1101" s="55">
        <f t="shared" si="271"/>
        <v>38.358894869339309</v>
      </c>
      <c r="BF1101" s="56">
        <f t="shared" si="272"/>
        <v>0.54098768029596922</v>
      </c>
      <c r="BG1101" s="56">
        <f t="shared" si="275"/>
        <v>4.1727217686157703E-4</v>
      </c>
      <c r="BH1101" s="56">
        <f t="shared" si="276"/>
        <v>2.0427241048697132E-2</v>
      </c>
      <c r="BI1101" s="56">
        <f t="shared" si="273"/>
        <v>2.0018328379482288E-2</v>
      </c>
      <c r="BJ1101" s="57">
        <f t="shared" si="277"/>
        <v>3.994443844966078E-2</v>
      </c>
      <c r="BK1101" s="57">
        <f t="shared" si="278"/>
        <v>1.5082684920286274E-3</v>
      </c>
      <c r="BL1101" s="58">
        <f t="shared" si="279"/>
        <v>70.478514903785822</v>
      </c>
      <c r="BM1101" s="58">
        <f t="shared" si="279"/>
        <v>2.6612096081489147</v>
      </c>
    </row>
    <row r="1102" spans="47:65" x14ac:dyDescent="0.2">
      <c r="AU1102" s="2">
        <v>-535</v>
      </c>
      <c r="AV1102" s="53">
        <v>1100</v>
      </c>
      <c r="AW1102" s="4" t="s">
        <v>2568</v>
      </c>
      <c r="AX1102" t="s">
        <v>871</v>
      </c>
      <c r="AY1102" s="4">
        <v>35481</v>
      </c>
      <c r="AZ1102" s="9">
        <v>25.222558104821918</v>
      </c>
      <c r="BA1102" s="7">
        <f t="shared" si="274"/>
        <v>6.4646485884631158E-4</v>
      </c>
      <c r="BB1102" s="54">
        <f t="shared" si="268"/>
        <v>1042.9634547686924</v>
      </c>
      <c r="BC1102" s="55">
        <f t="shared" si="269"/>
        <v>1545.8783736426597</v>
      </c>
      <c r="BD1102" s="55">
        <f t="shared" si="270"/>
        <v>39.317659819000667</v>
      </c>
      <c r="BE1102" s="55">
        <f t="shared" si="271"/>
        <v>38.530598600819452</v>
      </c>
      <c r="BF1102" s="56">
        <f t="shared" si="272"/>
        <v>0.54429057449322404</v>
      </c>
      <c r="BG1102" s="56">
        <f t="shared" si="275"/>
        <v>4.2101616089276311E-4</v>
      </c>
      <c r="BH1102" s="56">
        <f t="shared" si="276"/>
        <v>2.051867834176371E-2</v>
      </c>
      <c r="BI1102" s="56">
        <f t="shared" si="273"/>
        <v>2.010793528010945E-2</v>
      </c>
      <c r="BJ1102" s="57">
        <f t="shared" si="277"/>
        <v>6.1448889303033181E-2</v>
      </c>
      <c r="BK1102" s="57">
        <f t="shared" si="278"/>
        <v>2.3165016135756715E-3</v>
      </c>
      <c r="BL1102" s="58">
        <f t="shared" si="279"/>
        <v>108.42126285046544</v>
      </c>
      <c r="BM1102" s="58">
        <f t="shared" si="279"/>
        <v>4.0872672099968748</v>
      </c>
    </row>
    <row r="1103" spans="47:65" x14ac:dyDescent="0.2">
      <c r="AU1103" s="2">
        <v>-534</v>
      </c>
      <c r="AV1103" s="53">
        <v>1101</v>
      </c>
      <c r="AW1103" s="4" t="s">
        <v>2548</v>
      </c>
      <c r="AX1103" t="s">
        <v>853</v>
      </c>
      <c r="AY1103" s="4">
        <v>97501</v>
      </c>
      <c r="AZ1103" s="9">
        <v>25.234898785418661</v>
      </c>
      <c r="BA1103" s="7">
        <f t="shared" si="274"/>
        <v>6.467811557225795E-4</v>
      </c>
      <c r="BB1103" s="54">
        <f t="shared" si="268"/>
        <v>1051.3732011806733</v>
      </c>
      <c r="BC1103" s="55">
        <f t="shared" si="269"/>
        <v>1564.1933132175147</v>
      </c>
      <c r="BD1103" s="55">
        <f t="shared" si="270"/>
        <v>39.549883858457974</v>
      </c>
      <c r="BE1103" s="55">
        <f t="shared" si="271"/>
        <v>38.758173977659823</v>
      </c>
      <c r="BF1103" s="56">
        <f t="shared" si="272"/>
        <v>0.54867936269571593</v>
      </c>
      <c r="BG1103" s="56">
        <f t="shared" si="275"/>
        <v>4.2600418949725584E-4</v>
      </c>
      <c r="BH1103" s="56">
        <f t="shared" si="276"/>
        <v>2.0639868931203412E-2</v>
      </c>
      <c r="BI1103" s="56">
        <f t="shared" si="273"/>
        <v>2.022669987539295E-2</v>
      </c>
      <c r="BJ1103" s="57">
        <f t="shared" si="277"/>
        <v>0.17022175650279839</v>
      </c>
      <c r="BK1103" s="57">
        <f t="shared" si="278"/>
        <v>6.4032930383886169E-3</v>
      </c>
      <c r="BL1103" s="58">
        <f t="shared" si="279"/>
        <v>300.34160119061482</v>
      </c>
      <c r="BM1103" s="58">
        <f t="shared" si="279"/>
        <v>11.298058036492757</v>
      </c>
    </row>
    <row r="1104" spans="47:65" x14ac:dyDescent="0.2">
      <c r="AU1104" s="2">
        <v>-533</v>
      </c>
      <c r="AV1104" s="53">
        <v>1102</v>
      </c>
      <c r="AW1104" s="4" t="s">
        <v>2491</v>
      </c>
      <c r="AX1104" t="s">
        <v>802</v>
      </c>
      <c r="AY1104" s="4">
        <v>43785</v>
      </c>
      <c r="AZ1104" s="9">
        <v>25.24098732032208</v>
      </c>
      <c r="BA1104" s="7">
        <f t="shared" si="274"/>
        <v>6.4693720745375447E-4</v>
      </c>
      <c r="BB1104" s="54">
        <f t="shared" si="268"/>
        <v>1055.5472758886713</v>
      </c>
      <c r="BC1104" s="55">
        <f t="shared" si="269"/>
        <v>1573.304004594386</v>
      </c>
      <c r="BD1104" s="55">
        <f t="shared" si="270"/>
        <v>39.664896376952584</v>
      </c>
      <c r="BE1104" s="55">
        <f t="shared" si="271"/>
        <v>38.870884174670159</v>
      </c>
      <c r="BF1104" s="56">
        <f t="shared" si="272"/>
        <v>0.55085768400736601</v>
      </c>
      <c r="BG1104" s="56">
        <f t="shared" si="275"/>
        <v>4.2848546381481358E-4</v>
      </c>
      <c r="BH1104" s="56">
        <f t="shared" si="276"/>
        <v>2.0699890430019519E-2</v>
      </c>
      <c r="BI1104" s="56">
        <f t="shared" si="273"/>
        <v>2.0285519863381788E-2</v>
      </c>
      <c r="BJ1104" s="57">
        <f t="shared" si="277"/>
        <v>7.674536184007108E-2</v>
      </c>
      <c r="BK1104" s="57">
        <f t="shared" si="278"/>
        <v>2.8839038234790776E-3</v>
      </c>
      <c r="BL1104" s="58">
        <f t="shared" si="279"/>
        <v>135.410568734327</v>
      </c>
      <c r="BM1104" s="58">
        <f t="shared" si="279"/>
        <v>5.0883994491573876</v>
      </c>
    </row>
    <row r="1105" spans="47:65" x14ac:dyDescent="0.2">
      <c r="AU1105" s="2">
        <v>-532</v>
      </c>
      <c r="AV1105" s="53">
        <v>1103</v>
      </c>
      <c r="AW1105" s="4" t="s">
        <v>2522</v>
      </c>
      <c r="AX1105" t="s">
        <v>831</v>
      </c>
      <c r="AY1105" s="4">
        <v>35453</v>
      </c>
      <c r="AZ1105" s="9">
        <v>25.244729753425403</v>
      </c>
      <c r="BA1105" s="7">
        <f t="shared" si="274"/>
        <v>6.4703312760102218E-4</v>
      </c>
      <c r="BB1105" s="54">
        <f t="shared" si="268"/>
        <v>1058.1211698510626</v>
      </c>
      <c r="BC1105" s="55">
        <f t="shared" si="269"/>
        <v>1578.9286791961795</v>
      </c>
      <c r="BD1105" s="55">
        <f t="shared" si="270"/>
        <v>39.735735543666223</v>
      </c>
      <c r="BE1105" s="55">
        <f t="shared" si="271"/>
        <v>38.940305282396942</v>
      </c>
      <c r="BF1105" s="56">
        <f t="shared" si="272"/>
        <v>0.55220092016494005</v>
      </c>
      <c r="BG1105" s="56">
        <f t="shared" si="275"/>
        <v>4.3001733006478522E-4</v>
      </c>
      <c r="BH1105" s="56">
        <f t="shared" si="276"/>
        <v>2.0736859214085079E-2</v>
      </c>
      <c r="BI1105" s="56">
        <f t="shared" si="273"/>
        <v>2.0321748606042158E-2</v>
      </c>
      <c r="BJ1105" s="57">
        <f t="shared" si="277"/>
        <v>6.2292747845964822E-2</v>
      </c>
      <c r="BK1105" s="57">
        <f t="shared" si="278"/>
        <v>2.339286109400963E-3</v>
      </c>
      <c r="BL1105" s="58">
        <f t="shared" si="279"/>
        <v>109.91017843428683</v>
      </c>
      <c r="BM1105" s="58">
        <f t="shared" si="279"/>
        <v>4.1274684868435063</v>
      </c>
    </row>
    <row r="1106" spans="47:65" x14ac:dyDescent="0.2">
      <c r="AU1106" s="2">
        <v>-531</v>
      </c>
      <c r="AV1106" s="53">
        <v>1104</v>
      </c>
      <c r="AW1106" s="4" t="s">
        <v>2563</v>
      </c>
      <c r="AX1106" t="s">
        <v>868</v>
      </c>
      <c r="AY1106" s="4">
        <v>35749</v>
      </c>
      <c r="AZ1106" s="9">
        <v>25.244995835137864</v>
      </c>
      <c r="BA1106" s="7">
        <f t="shared" si="274"/>
        <v>6.4703994738813384E-4</v>
      </c>
      <c r="BB1106" s="54">
        <f t="shared" si="268"/>
        <v>1058.3044089003411</v>
      </c>
      <c r="BC1106" s="55">
        <f t="shared" si="269"/>
        <v>1579.3293011632111</v>
      </c>
      <c r="BD1106" s="55">
        <f t="shared" si="270"/>
        <v>39.740776302976407</v>
      </c>
      <c r="BE1106" s="55">
        <f t="shared" si="271"/>
        <v>38.945245135748287</v>
      </c>
      <c r="BF1106" s="56">
        <f t="shared" si="272"/>
        <v>0.55229654699342157</v>
      </c>
      <c r="BG1106" s="56">
        <f t="shared" si="275"/>
        <v>4.3012643846902803E-4</v>
      </c>
      <c r="BH1106" s="56">
        <f t="shared" si="276"/>
        <v>2.0739489831455064E-2</v>
      </c>
      <c r="BI1106" s="56">
        <f t="shared" si="273"/>
        <v>2.0324326563693297E-2</v>
      </c>
      <c r="BJ1106" s="57">
        <f t="shared" si="277"/>
        <v>6.2823712646802088E-2</v>
      </c>
      <c r="BK1106" s="57">
        <f t="shared" si="278"/>
        <v>2.3591162333088528E-3</v>
      </c>
      <c r="BL1106" s="58">
        <f t="shared" si="279"/>
        <v>110.84702000927493</v>
      </c>
      <c r="BM1106" s="58">
        <f t="shared" si="279"/>
        <v>4.1624570293698309</v>
      </c>
    </row>
    <row r="1107" spans="47:65" x14ac:dyDescent="0.2">
      <c r="AU1107" s="2">
        <v>-530</v>
      </c>
      <c r="AV1107" s="53">
        <v>1105</v>
      </c>
      <c r="AW1107" s="4" t="s">
        <v>2738</v>
      </c>
      <c r="AX1107" t="s">
        <v>997</v>
      </c>
      <c r="AY1107" s="4">
        <v>52472</v>
      </c>
      <c r="AZ1107" s="9">
        <v>25.245660824797429</v>
      </c>
      <c r="BA1107" s="7">
        <f t="shared" si="274"/>
        <v>6.4705699135507086E-4</v>
      </c>
      <c r="BB1107" s="54">
        <f t="shared" si="268"/>
        <v>1058.7624974980022</v>
      </c>
      <c r="BC1107" s="55">
        <f t="shared" si="269"/>
        <v>1580.3309488254793</v>
      </c>
      <c r="BD1107" s="55">
        <f t="shared" si="270"/>
        <v>39.753376571374154</v>
      </c>
      <c r="BE1107" s="55">
        <f t="shared" si="271"/>
        <v>38.95759317187585</v>
      </c>
      <c r="BF1107" s="56">
        <f t="shared" si="272"/>
        <v>0.55253560935447565</v>
      </c>
      <c r="BG1107" s="56">
        <f t="shared" si="275"/>
        <v>4.3039923473846194E-4</v>
      </c>
      <c r="BH1107" s="56">
        <f t="shared" si="276"/>
        <v>2.0746065524297901E-2</v>
      </c>
      <c r="BI1107" s="56">
        <f t="shared" si="273"/>
        <v>2.0330770624265974E-2</v>
      </c>
      <c r="BJ1107" s="57">
        <f t="shared" si="277"/>
        <v>9.2251887848114056E-2</v>
      </c>
      <c r="BK1107" s="57">
        <f t="shared" si="278"/>
        <v>3.4637834695814668E-3</v>
      </c>
      <c r="BL1107" s="58">
        <f t="shared" si="279"/>
        <v>162.77049584260462</v>
      </c>
      <c r="BM1107" s="58">
        <f t="shared" si="279"/>
        <v>6.1115470478333283</v>
      </c>
    </row>
    <row r="1108" spans="47:65" x14ac:dyDescent="0.2">
      <c r="AU1108" s="2">
        <v>-529</v>
      </c>
      <c r="AV1108" s="53">
        <v>1106</v>
      </c>
      <c r="AW1108" s="4" t="s">
        <v>2939</v>
      </c>
      <c r="AX1108" t="s">
        <v>1144</v>
      </c>
      <c r="AY1108" s="4">
        <v>22855</v>
      </c>
      <c r="AZ1108" s="9">
        <v>25.247460803771403</v>
      </c>
      <c r="BA1108" s="7">
        <f t="shared" si="274"/>
        <v>6.4710312557938305E-4</v>
      </c>
      <c r="BB1108" s="54">
        <f t="shared" si="268"/>
        <v>1060.0034364176352</v>
      </c>
      <c r="BC1108" s="55">
        <f t="shared" si="269"/>
        <v>1583.0451685138912</v>
      </c>
      <c r="BD1108" s="55">
        <f t="shared" si="270"/>
        <v>39.787500154117389</v>
      </c>
      <c r="BE1108" s="55">
        <f t="shared" si="271"/>
        <v>38.991033668475957</v>
      </c>
      <c r="BF1108" s="56">
        <f t="shared" si="272"/>
        <v>0.55318321723986175</v>
      </c>
      <c r="BG1108" s="56">
        <f t="shared" si="275"/>
        <v>4.3113844577379246E-4</v>
      </c>
      <c r="BH1108" s="56">
        <f t="shared" si="276"/>
        <v>2.0763873573439819E-2</v>
      </c>
      <c r="BI1108" s="56">
        <f t="shared" si="273"/>
        <v>2.0348222191742513E-2</v>
      </c>
      <c r="BJ1108" s="57">
        <f t="shared" si="277"/>
        <v>4.0228847753485009E-2</v>
      </c>
      <c r="BK1108" s="57">
        <f t="shared" si="278"/>
        <v>1.5100000916989681E-3</v>
      </c>
      <c r="BL1108" s="58">
        <f t="shared" si="279"/>
        <v>70.98033057916733</v>
      </c>
      <c r="BM1108" s="58">
        <f t="shared" si="279"/>
        <v>2.6642648663503108</v>
      </c>
    </row>
    <row r="1109" spans="47:65" x14ac:dyDescent="0.2">
      <c r="AU1109" s="2">
        <v>-528</v>
      </c>
      <c r="AV1109" s="53">
        <v>1107</v>
      </c>
      <c r="AW1109" s="4" t="s">
        <v>2012</v>
      </c>
      <c r="AX1109" t="s">
        <v>439</v>
      </c>
      <c r="AY1109" s="4">
        <v>30627</v>
      </c>
      <c r="AZ1109" s="9">
        <v>25.253893350805878</v>
      </c>
      <c r="BA1109" s="7">
        <f t="shared" si="274"/>
        <v>6.4726799448734174E-4</v>
      </c>
      <c r="BB1109" s="54">
        <f t="shared" si="268"/>
        <v>1064.4500531795156</v>
      </c>
      <c r="BC1109" s="55">
        <f t="shared" si="269"/>
        <v>1592.7805996954305</v>
      </c>
      <c r="BD1109" s="55">
        <f t="shared" si="270"/>
        <v>39.909655469515528</v>
      </c>
      <c r="BE1109" s="55">
        <f t="shared" si="271"/>
        <v>39.1107436778262</v>
      </c>
      <c r="BF1109" s="56">
        <f t="shared" si="272"/>
        <v>0.55550376987361849</v>
      </c>
      <c r="BG1109" s="56">
        <f t="shared" si="275"/>
        <v>4.3378986643568819E-4</v>
      </c>
      <c r="BH1109" s="56">
        <f t="shared" si="276"/>
        <v>2.082762267844528E-2</v>
      </c>
      <c r="BI1109" s="56">
        <f t="shared" si="273"/>
        <v>2.0410695166671197E-2</v>
      </c>
      <c r="BJ1109" s="57">
        <f t="shared" si="277"/>
        <v>5.4135087274493877E-2</v>
      </c>
      <c r="BK1109" s="57">
        <f t="shared" si="278"/>
        <v>2.0296985053303591E-3</v>
      </c>
      <c r="BL1109" s="58">
        <f t="shared" si="279"/>
        <v>95.51669026719199</v>
      </c>
      <c r="BM1109" s="58">
        <f t="shared" si="279"/>
        <v>3.5812278732718634</v>
      </c>
    </row>
    <row r="1110" spans="47:65" x14ac:dyDescent="0.2">
      <c r="AU1110" s="2">
        <v>-527</v>
      </c>
      <c r="AV1110" s="53">
        <v>1108</v>
      </c>
      <c r="AW1110" s="4" t="s">
        <v>2176</v>
      </c>
      <c r="AX1110" t="s">
        <v>569</v>
      </c>
      <c r="AY1110" s="4">
        <v>50635</v>
      </c>
      <c r="AZ1110" s="9">
        <v>25.254169764852683</v>
      </c>
      <c r="BA1110" s="7">
        <f t="shared" si="274"/>
        <v>6.4727507909656361E-4</v>
      </c>
      <c r="BB1110" s="54">
        <f t="shared" si="268"/>
        <v>1064.6415469583101</v>
      </c>
      <c r="BC1110" s="55">
        <f t="shared" si="269"/>
        <v>1593.2001948746467</v>
      </c>
      <c r="BD1110" s="55">
        <f t="shared" si="270"/>
        <v>39.914911936200568</v>
      </c>
      <c r="BE1110" s="55">
        <f t="shared" si="271"/>
        <v>39.115894920520503</v>
      </c>
      <c r="BF1110" s="56">
        <f t="shared" si="272"/>
        <v>0.55560370459174824</v>
      </c>
      <c r="BG1110" s="56">
        <f t="shared" si="275"/>
        <v>4.3390414214747477E-4</v>
      </c>
      <c r="BH1110" s="56">
        <f t="shared" si="276"/>
        <v>2.0830365866865486E-2</v>
      </c>
      <c r="BI1110" s="56">
        <f t="shared" si="273"/>
        <v>2.0413383441924404E-2</v>
      </c>
      <c r="BJ1110" s="57">
        <f t="shared" si="277"/>
        <v>8.9516546558051344E-2</v>
      </c>
      <c r="BK1110" s="57">
        <f t="shared" si="278"/>
        <v>3.3561014812034814E-3</v>
      </c>
      <c r="BL1110" s="58">
        <f t="shared" si="279"/>
        <v>157.94422216444096</v>
      </c>
      <c r="BM1110" s="58">
        <f t="shared" si="279"/>
        <v>5.9215514710440491</v>
      </c>
    </row>
    <row r="1111" spans="47:65" x14ac:dyDescent="0.2">
      <c r="AU1111" s="2">
        <v>-526</v>
      </c>
      <c r="AV1111" s="53">
        <v>1109</v>
      </c>
      <c r="AW1111" s="4" t="s">
        <v>1529</v>
      </c>
      <c r="AX1111" t="s">
        <v>122</v>
      </c>
      <c r="AY1111" s="4">
        <v>42509</v>
      </c>
      <c r="AZ1111" s="9">
        <v>25.262784111147734</v>
      </c>
      <c r="BA1111" s="7">
        <f t="shared" si="274"/>
        <v>6.4749586844467576E-4</v>
      </c>
      <c r="BB1111" s="54">
        <f t="shared" si="268"/>
        <v>1070.6266818756428</v>
      </c>
      <c r="BC1111" s="55">
        <f t="shared" si="269"/>
        <v>1606.328663855548</v>
      </c>
      <c r="BD1111" s="55">
        <f t="shared" si="270"/>
        <v>40.079030225986607</v>
      </c>
      <c r="BE1111" s="55">
        <f t="shared" si="271"/>
        <v>39.276727889112976</v>
      </c>
      <c r="BF1111" s="56">
        <f t="shared" si="272"/>
        <v>0.55872716256880328</v>
      </c>
      <c r="BG1111" s="56">
        <f t="shared" si="275"/>
        <v>4.3747964828235087E-4</v>
      </c>
      <c r="BH1111" s="56">
        <f t="shared" si="276"/>
        <v>2.0916014158590325E-2</v>
      </c>
      <c r="BI1111" s="56">
        <f t="shared" si="273"/>
        <v>2.0497317225483435E-2</v>
      </c>
      <c r="BJ1111" s="57">
        <f t="shared" si="277"/>
        <v>7.5573240698476693E-2</v>
      </c>
      <c r="BK1111" s="57">
        <f t="shared" si="278"/>
        <v>2.8290927636174163E-3</v>
      </c>
      <c r="BL1111" s="58">
        <f t="shared" si="279"/>
        <v>133.34246212041106</v>
      </c>
      <c r="BM1111" s="58">
        <f t="shared" si="279"/>
        <v>4.991690063588714</v>
      </c>
    </row>
    <row r="1112" spans="47:65" x14ac:dyDescent="0.2">
      <c r="AU1112" s="2">
        <v>-525</v>
      </c>
      <c r="AV1112" s="53">
        <v>1110</v>
      </c>
      <c r="AW1112" s="4" t="s">
        <v>1730</v>
      </c>
      <c r="AX1112" t="s">
        <v>241</v>
      </c>
      <c r="AY1112" s="4">
        <v>44168</v>
      </c>
      <c r="AZ1112" s="9">
        <v>25.26322601999987</v>
      </c>
      <c r="BA1112" s="7">
        <f t="shared" si="274"/>
        <v>6.4750719475592977E-4</v>
      </c>
      <c r="BB1112" s="54">
        <f t="shared" si="268"/>
        <v>1070.9346201214062</v>
      </c>
      <c r="BC1112" s="55">
        <f t="shared" si="269"/>
        <v>1607.0048639475124</v>
      </c>
      <c r="BD1112" s="55">
        <f t="shared" si="270"/>
        <v>40.087465172389145</v>
      </c>
      <c r="BE1112" s="55">
        <f t="shared" si="271"/>
        <v>39.28499398469323</v>
      </c>
      <c r="BF1112" s="56">
        <f t="shared" si="272"/>
        <v>0.55888786607565044</v>
      </c>
      <c r="BG1112" s="56">
        <f t="shared" si="275"/>
        <v>4.376638097090333E-4</v>
      </c>
      <c r="BH1112" s="56">
        <f t="shared" si="276"/>
        <v>2.0920416097894259E-2</v>
      </c>
      <c r="BI1112" s="56">
        <f t="shared" si="273"/>
        <v>2.0501631046732357E-2</v>
      </c>
      <c r="BJ1112" s="57">
        <f t="shared" si="277"/>
        <v>7.8545224816932616E-2</v>
      </c>
      <c r="BK1112" s="57">
        <f t="shared" si="278"/>
        <v>2.9401224922110929E-3</v>
      </c>
      <c r="BL1112" s="58">
        <f t="shared" si="279"/>
        <v>138.58627164974968</v>
      </c>
      <c r="BM1112" s="58">
        <f t="shared" si="279"/>
        <v>5.1875924391175214</v>
      </c>
    </row>
    <row r="1113" spans="47:65" x14ac:dyDescent="0.2">
      <c r="AU1113" s="2">
        <v>-524</v>
      </c>
      <c r="AV1113" s="53">
        <v>1111</v>
      </c>
      <c r="AW1113" s="4" t="s">
        <v>2815</v>
      </c>
      <c r="AX1113" t="s">
        <v>1054</v>
      </c>
      <c r="AY1113" s="4">
        <v>72350</v>
      </c>
      <c r="AZ1113" s="9">
        <v>25.268601678091358</v>
      </c>
      <c r="BA1113" s="7">
        <f t="shared" si="274"/>
        <v>6.47644975152148E-4</v>
      </c>
      <c r="BB1113" s="54">
        <f t="shared" si="268"/>
        <v>1074.6876753800113</v>
      </c>
      <c r="BC1113" s="55">
        <f t="shared" si="269"/>
        <v>1615.2519289744448</v>
      </c>
      <c r="BD1113" s="55">
        <f t="shared" si="270"/>
        <v>40.190196926295904</v>
      </c>
      <c r="BE1113" s="55">
        <f t="shared" si="271"/>
        <v>39.385669253556166</v>
      </c>
      <c r="BF1113" s="56">
        <f t="shared" si="272"/>
        <v>0.56084647027551093</v>
      </c>
      <c r="BG1113" s="56">
        <f t="shared" si="275"/>
        <v>4.3990987752097607E-4</v>
      </c>
      <c r="BH1113" s="56">
        <f t="shared" si="276"/>
        <v>2.0974028643085622E-2</v>
      </c>
      <c r="BI1113" s="56">
        <f t="shared" si="273"/>
        <v>2.0554170375579654E-2</v>
      </c>
      <c r="BJ1113" s="57">
        <f t="shared" si="277"/>
        <v>0.12911297808537417</v>
      </c>
      <c r="BK1113" s="57">
        <f t="shared" si="278"/>
        <v>4.8284502873423337E-3</v>
      </c>
      <c r="BL1113" s="58">
        <f t="shared" si="279"/>
        <v>227.80870888271289</v>
      </c>
      <c r="BM1113" s="58">
        <f t="shared" si="279"/>
        <v>8.5193838928917422</v>
      </c>
    </row>
    <row r="1114" spans="47:65" x14ac:dyDescent="0.2">
      <c r="AU1114" s="2">
        <v>-523</v>
      </c>
      <c r="AV1114" s="53">
        <v>1112</v>
      </c>
      <c r="AW1114" s="4" t="s">
        <v>2303</v>
      </c>
      <c r="AX1114" t="s">
        <v>657</v>
      </c>
      <c r="AY1114" s="4">
        <v>22677</v>
      </c>
      <c r="AZ1114" s="9">
        <v>25.277934553496813</v>
      </c>
      <c r="BA1114" s="7">
        <f t="shared" si="274"/>
        <v>6.4788418070602343E-4</v>
      </c>
      <c r="BB1114" s="54">
        <f t="shared" si="268"/>
        <v>1081.2347595640485</v>
      </c>
      <c r="BC1114" s="55">
        <f t="shared" si="269"/>
        <v>1629.6640099955548</v>
      </c>
      <c r="BD1114" s="55">
        <f t="shared" si="270"/>
        <v>40.369097215513193</v>
      </c>
      <c r="BE1114" s="55">
        <f t="shared" si="271"/>
        <v>39.560988315401012</v>
      </c>
      <c r="BF1114" s="56">
        <f t="shared" si="272"/>
        <v>0.56426319230492827</v>
      </c>
      <c r="BG1114" s="56">
        <f t="shared" si="275"/>
        <v>4.4383497222796306E-4</v>
      </c>
      <c r="BH1114" s="56">
        <f t="shared" si="276"/>
        <v>2.1067391206031256E-2</v>
      </c>
      <c r="BI1114" s="56">
        <f t="shared" si="273"/>
        <v>2.0645664006018551E-2</v>
      </c>
      <c r="BJ1114" s="57">
        <f t="shared" si="277"/>
        <v>4.0715023870969494E-2</v>
      </c>
      <c r="BK1114" s="57">
        <f t="shared" si="278"/>
        <v>1.5201405081001302E-3</v>
      </c>
      <c r="BL1114" s="58">
        <f t="shared" si="279"/>
        <v>71.838146387122094</v>
      </c>
      <c r="BM1114" s="58">
        <f t="shared" si="279"/>
        <v>2.6821567560901194</v>
      </c>
    </row>
    <row r="1115" spans="47:65" x14ac:dyDescent="0.2">
      <c r="AU1115" s="2">
        <v>-522</v>
      </c>
      <c r="AV1115" s="53">
        <v>1113</v>
      </c>
      <c r="AW1115" s="4" t="s">
        <v>2456</v>
      </c>
      <c r="AX1115" t="s">
        <v>775</v>
      </c>
      <c r="AY1115" s="4">
        <v>25341</v>
      </c>
      <c r="AZ1115" s="9">
        <v>25.279210605670155</v>
      </c>
      <c r="BA1115" s="7">
        <f t="shared" si="274"/>
        <v>6.4791688646428523E-4</v>
      </c>
      <c r="BB1115" s="54">
        <f t="shared" si="268"/>
        <v>1082.1330143625851</v>
      </c>
      <c r="BC1115" s="55">
        <f t="shared" si="269"/>
        <v>1631.6438392370537</v>
      </c>
      <c r="BD1115" s="55">
        <f t="shared" si="270"/>
        <v>40.393611366614074</v>
      </c>
      <c r="BE1115" s="55">
        <f t="shared" si="271"/>
        <v>39.585011742035661</v>
      </c>
      <c r="BF1115" s="56">
        <f t="shared" si="272"/>
        <v>0.56473196387894742</v>
      </c>
      <c r="BG1115" s="56">
        <f t="shared" si="275"/>
        <v>4.4437417383702782E-4</v>
      </c>
      <c r="BH1115" s="56">
        <f t="shared" si="276"/>
        <v>2.1080184388117384E-2</v>
      </c>
      <c r="BI1115" s="56">
        <f t="shared" si="273"/>
        <v>2.0658201094086788E-2</v>
      </c>
      <c r="BJ1115" s="57">
        <f t="shared" si="277"/>
        <v>4.5535854487099091E-2</v>
      </c>
      <c r="BK1115" s="57">
        <f t="shared" si="278"/>
        <v>1.6997518650534369E-3</v>
      </c>
      <c r="BL1115" s="58">
        <f t="shared" si="279"/>
        <v>80.344086027648004</v>
      </c>
      <c r="BM1115" s="58">
        <f t="shared" si="279"/>
        <v>2.999065497062301</v>
      </c>
    </row>
    <row r="1116" spans="47:65" x14ac:dyDescent="0.2">
      <c r="AU1116" s="2">
        <v>-521</v>
      </c>
      <c r="AV1116" s="53">
        <v>1114</v>
      </c>
      <c r="AW1116" s="4" t="s">
        <v>3134</v>
      </c>
      <c r="AX1116" t="s">
        <v>1267</v>
      </c>
      <c r="AY1116" s="5">
        <v>30546.154999999999</v>
      </c>
      <c r="AZ1116" s="9">
        <v>25.287348372480647</v>
      </c>
      <c r="BA1116" s="7">
        <f t="shared" si="274"/>
        <v>6.4812546087813356E-4</v>
      </c>
      <c r="BB1116" s="54">
        <f t="shared" si="268"/>
        <v>1087.8790360888531</v>
      </c>
      <c r="BC1116" s="55">
        <f t="shared" si="269"/>
        <v>1644.3227766060911</v>
      </c>
      <c r="BD1116" s="55">
        <f t="shared" si="270"/>
        <v>40.550250019033065</v>
      </c>
      <c r="BE1116" s="55">
        <f t="shared" si="271"/>
        <v>39.738514800699718</v>
      </c>
      <c r="BF1116" s="56">
        <f t="shared" si="272"/>
        <v>0.56773063603005824</v>
      </c>
      <c r="BG1116" s="56">
        <f t="shared" si="275"/>
        <v>4.4782725114651502E-4</v>
      </c>
      <c r="BH1116" s="56">
        <f t="shared" si="276"/>
        <v>2.1161929286965191E-2</v>
      </c>
      <c r="BI1116" s="56">
        <f t="shared" si="273"/>
        <v>2.0738309622917575E-2</v>
      </c>
      <c r="BJ1116" s="57">
        <f t="shared" si="277"/>
        <v>5.5180579068527733E-2</v>
      </c>
      <c r="BK1116" s="57">
        <f t="shared" si="278"/>
        <v>2.0568337133036992E-3</v>
      </c>
      <c r="BL1116" s="58">
        <f t="shared" si="279"/>
        <v>97.361370323977894</v>
      </c>
      <c r="BM1116" s="58">
        <f t="shared" si="279"/>
        <v>3.6291056062878506</v>
      </c>
    </row>
    <row r="1117" spans="47:65" x14ac:dyDescent="0.2">
      <c r="AU1117" s="2">
        <v>-520</v>
      </c>
      <c r="AV1117" s="53">
        <v>1115</v>
      </c>
      <c r="AW1117" s="4" t="s">
        <v>1512</v>
      </c>
      <c r="AX1117" t="s">
        <v>107</v>
      </c>
      <c r="AY1117" s="4">
        <v>58524</v>
      </c>
      <c r="AZ1117" s="9">
        <v>25.30664276398819</v>
      </c>
      <c r="BA1117" s="7">
        <f t="shared" si="274"/>
        <v>6.4861998431348902E-4</v>
      </c>
      <c r="BB1117" s="54">
        <f t="shared" si="268"/>
        <v>1101.6249089581374</v>
      </c>
      <c r="BC1117" s="55">
        <f t="shared" si="269"/>
        <v>1674.7529388803121</v>
      </c>
      <c r="BD1117" s="55">
        <f t="shared" si="270"/>
        <v>40.923745416082241</v>
      </c>
      <c r="BE1117" s="55">
        <f t="shared" si="271"/>
        <v>40.104533564003653</v>
      </c>
      <c r="BF1117" s="56">
        <f t="shared" si="272"/>
        <v>0.574904184639767</v>
      </c>
      <c r="BG1117" s="56">
        <f t="shared" si="275"/>
        <v>4.5611483076112529E-4</v>
      </c>
      <c r="BH1117" s="56">
        <f t="shared" si="276"/>
        <v>2.1356845056354306E-2</v>
      </c>
      <c r="BI1117" s="56">
        <f t="shared" si="273"/>
        <v>2.0929323566928365E-2</v>
      </c>
      <c r="BJ1117" s="57">
        <f t="shared" si="277"/>
        <v>0.10705743740144028</v>
      </c>
      <c r="BK1117" s="57">
        <f t="shared" si="278"/>
        <v>3.9770263703082396E-3</v>
      </c>
      <c r="BL1117" s="58">
        <f t="shared" si="279"/>
        <v>188.89361048265292</v>
      </c>
      <c r="BM1117" s="58">
        <f t="shared" si="279"/>
        <v>7.0171198592703927</v>
      </c>
    </row>
    <row r="1118" spans="47:65" x14ac:dyDescent="0.2">
      <c r="AU1118" s="2">
        <v>-519</v>
      </c>
      <c r="AV1118" s="53">
        <v>1116</v>
      </c>
      <c r="AW1118" s="4" t="s">
        <v>1598</v>
      </c>
      <c r="AX1118" t="s">
        <v>162</v>
      </c>
      <c r="AY1118" s="4">
        <v>23692</v>
      </c>
      <c r="AZ1118" s="9">
        <v>25.312309560080585</v>
      </c>
      <c r="BA1118" s="7">
        <f t="shared" si="274"/>
        <v>6.4876522670011597E-4</v>
      </c>
      <c r="BB1118" s="54">
        <f t="shared" si="268"/>
        <v>1105.6949976479414</v>
      </c>
      <c r="BC1118" s="55">
        <f t="shared" si="269"/>
        <v>1683.7897569122672</v>
      </c>
      <c r="BD1118" s="55">
        <f t="shared" si="270"/>
        <v>41.034007322125717</v>
      </c>
      <c r="BE1118" s="55">
        <f t="shared" si="271"/>
        <v>40.21258824635963</v>
      </c>
      <c r="BF1118" s="56">
        <f t="shared" si="272"/>
        <v>0.57702823884423893</v>
      </c>
      <c r="BG1118" s="56">
        <f t="shared" si="275"/>
        <v>4.5857598585545756E-4</v>
      </c>
      <c r="BH1118" s="56">
        <f t="shared" si="276"/>
        <v>2.141438735652873E-2</v>
      </c>
      <c r="BI1118" s="56">
        <f t="shared" si="273"/>
        <v>2.0985713984893097E-2</v>
      </c>
      <c r="BJ1118" s="57">
        <f t="shared" si="277"/>
        <v>4.3499690150510931E-2</v>
      </c>
      <c r="BK1118" s="57">
        <f t="shared" si="278"/>
        <v>1.614339042813241E-3</v>
      </c>
      <c r="BL1118" s="58">
        <f t="shared" si="279"/>
        <v>76.751449753047808</v>
      </c>
      <c r="BM1118" s="58">
        <f t="shared" si="279"/>
        <v>2.8483619423530184</v>
      </c>
    </row>
    <row r="1119" spans="47:65" x14ac:dyDescent="0.2">
      <c r="AU1119" s="2">
        <v>-518</v>
      </c>
      <c r="AV1119" s="53">
        <v>1117</v>
      </c>
      <c r="AW1119" s="4" t="s">
        <v>1380</v>
      </c>
      <c r="AX1119" t="s">
        <v>3</v>
      </c>
      <c r="AY1119" s="4">
        <v>35395</v>
      </c>
      <c r="AZ1119" s="9">
        <v>25.314270402072836</v>
      </c>
      <c r="BA1119" s="7">
        <f t="shared" si="274"/>
        <v>6.4881548391179417E-4</v>
      </c>
      <c r="BB1119" s="54">
        <f t="shared" si="268"/>
        <v>1107.1068414494059</v>
      </c>
      <c r="BC1119" s="55">
        <f t="shared" si="269"/>
        <v>1686.9272922953887</v>
      </c>
      <c r="BD1119" s="55">
        <f t="shared" si="270"/>
        <v>41.072220445154763</v>
      </c>
      <c r="BE1119" s="55">
        <f t="shared" si="271"/>
        <v>40.250036418796491</v>
      </c>
      <c r="BF1119" s="56">
        <f t="shared" si="272"/>
        <v>0.57776503673517199</v>
      </c>
      <c r="BG1119" s="56">
        <f t="shared" si="275"/>
        <v>4.5943048587572793E-4</v>
      </c>
      <c r="BH1119" s="56">
        <f t="shared" si="276"/>
        <v>2.1434329611063833E-2</v>
      </c>
      <c r="BI1119" s="56">
        <f t="shared" si="273"/>
        <v>2.1005257035222765E-2</v>
      </c>
      <c r="BJ1119" s="57">
        <f t="shared" si="277"/>
        <v>6.5069960923367462E-2</v>
      </c>
      <c r="BK1119" s="57">
        <f t="shared" si="278"/>
        <v>2.4140107163490398E-3</v>
      </c>
      <c r="BL1119" s="58">
        <f t="shared" si="279"/>
        <v>114.81033126816334</v>
      </c>
      <c r="BM1119" s="58">
        <f t="shared" si="279"/>
        <v>4.2593136079385623</v>
      </c>
    </row>
    <row r="1120" spans="47:65" x14ac:dyDescent="0.2">
      <c r="AU1120" s="2">
        <v>-517</v>
      </c>
      <c r="AV1120" s="53">
        <v>1118</v>
      </c>
      <c r="AW1120" s="4" t="s">
        <v>2320</v>
      </c>
      <c r="AX1120" t="s">
        <v>672</v>
      </c>
      <c r="AY1120" s="4">
        <v>16476</v>
      </c>
      <c r="AZ1120" s="9">
        <v>25.316424254549595</v>
      </c>
      <c r="BA1120" s="7">
        <f t="shared" si="274"/>
        <v>6.4887068806402878E-4</v>
      </c>
      <c r="BB1120" s="54">
        <f t="shared" si="268"/>
        <v>1108.6597344239108</v>
      </c>
      <c r="BC1120" s="55">
        <f t="shared" si="269"/>
        <v>1690.3799531565608</v>
      </c>
      <c r="BD1120" s="55">
        <f t="shared" si="270"/>
        <v>41.114230543165476</v>
      </c>
      <c r="BE1120" s="55">
        <f t="shared" si="271"/>
        <v>40.291205558340486</v>
      </c>
      <c r="BF1120" s="56">
        <f t="shared" si="272"/>
        <v>0.57857544385476489</v>
      </c>
      <c r="BG1120" s="56">
        <f t="shared" si="275"/>
        <v>4.6037080954251564E-4</v>
      </c>
      <c r="BH1120" s="56">
        <f t="shared" si="276"/>
        <v>2.145625339015448E-2</v>
      </c>
      <c r="BI1120" s="56">
        <f t="shared" si="273"/>
        <v>2.1026741943934103E-2</v>
      </c>
      <c r="BJ1120" s="57">
        <f t="shared" si="277"/>
        <v>3.0331867671324352E-2</v>
      </c>
      <c r="BK1120" s="57">
        <f t="shared" si="278"/>
        <v>1.1248459392202226E-3</v>
      </c>
      <c r="BL1120" s="58">
        <f t="shared" si="279"/>
        <v>53.517963218512769</v>
      </c>
      <c r="BM1120" s="58">
        <f t="shared" si="279"/>
        <v>1.9846935986270866</v>
      </c>
    </row>
    <row r="1121" spans="47:65" x14ac:dyDescent="0.2">
      <c r="AU1121" s="2">
        <v>-516</v>
      </c>
      <c r="AV1121" s="53">
        <v>1119</v>
      </c>
      <c r="AW1121" s="4" t="s">
        <v>2194</v>
      </c>
      <c r="AX1121" t="s">
        <v>584</v>
      </c>
      <c r="AY1121" s="4">
        <v>14714</v>
      </c>
      <c r="AZ1121" s="9">
        <v>25.317977178577941</v>
      </c>
      <c r="BA1121" s="7">
        <f t="shared" si="274"/>
        <v>6.4891049016533079E-4</v>
      </c>
      <c r="BB1121" s="54">
        <f t="shared" si="268"/>
        <v>1109.7807189746522</v>
      </c>
      <c r="BC1121" s="55">
        <f t="shared" si="269"/>
        <v>1692.8734075722632</v>
      </c>
      <c r="BD1121" s="55">
        <f t="shared" si="270"/>
        <v>41.144542865029663</v>
      </c>
      <c r="BE1121" s="55">
        <f t="shared" si="271"/>
        <v>40.320911087911284</v>
      </c>
      <c r="BF1121" s="56">
        <f t="shared" si="272"/>
        <v>0.57916045124148807</v>
      </c>
      <c r="BG1121" s="56">
        <f t="shared" si="275"/>
        <v>4.6104989570046529E-4</v>
      </c>
      <c r="BH1121" s="56">
        <f t="shared" si="276"/>
        <v>2.1472072459370689E-2</v>
      </c>
      <c r="BI1121" s="56">
        <f t="shared" si="273"/>
        <v>2.1042244346900461E-2</v>
      </c>
      <c r="BJ1121" s="57">
        <f t="shared" si="277"/>
        <v>2.7115462825102066E-2</v>
      </c>
      <c r="BK1121" s="57">
        <f t="shared" si="278"/>
        <v>1.0052916791916755E-3</v>
      </c>
      <c r="BL1121" s="58">
        <f t="shared" si="279"/>
        <v>47.842894405697571</v>
      </c>
      <c r="BM1121" s="58">
        <f t="shared" si="279"/>
        <v>1.7737504229494074</v>
      </c>
    </row>
    <row r="1122" spans="47:65" x14ac:dyDescent="0.2">
      <c r="AU1122" s="2">
        <v>-515</v>
      </c>
      <c r="AV1122" s="53">
        <v>1120</v>
      </c>
      <c r="AW1122" s="4" t="s">
        <v>1728</v>
      </c>
      <c r="AX1122" t="s">
        <v>239</v>
      </c>
      <c r="AY1122" s="4">
        <v>27263</v>
      </c>
      <c r="AZ1122" s="9">
        <v>25.32091740019753</v>
      </c>
      <c r="BA1122" s="7">
        <f t="shared" si="274"/>
        <v>6.4898584929212451E-4</v>
      </c>
      <c r="BB1122" s="54">
        <f t="shared" si="268"/>
        <v>1111.906235713657</v>
      </c>
      <c r="BC1122" s="55">
        <f t="shared" si="269"/>
        <v>1697.6037851083183</v>
      </c>
      <c r="BD1122" s="55">
        <f t="shared" si="270"/>
        <v>41.201987635408059</v>
      </c>
      <c r="BE1122" s="55">
        <f t="shared" si="271"/>
        <v>40.377205928432204</v>
      </c>
      <c r="BF1122" s="56">
        <f t="shared" si="272"/>
        <v>0.58026969310579135</v>
      </c>
      <c r="BG1122" s="56">
        <f t="shared" si="275"/>
        <v>4.6233820235107309E-4</v>
      </c>
      <c r="BH1122" s="56">
        <f t="shared" si="276"/>
        <v>2.1502051119627472E-2</v>
      </c>
      <c r="BI1122" s="56">
        <f t="shared" si="273"/>
        <v>2.107162289410449E-2</v>
      </c>
      <c r="BJ1122" s="57">
        <f t="shared" si="277"/>
        <v>5.0337414402966879E-2</v>
      </c>
      <c r="BK1122" s="57">
        <f t="shared" si="278"/>
        <v>1.8652665658434394E-3</v>
      </c>
      <c r="BL1122" s="58">
        <f t="shared" si="279"/>
        <v>88.816024180399324</v>
      </c>
      <c r="BM1122" s="58">
        <f t="shared" si="279"/>
        <v>3.291101904611871</v>
      </c>
    </row>
    <row r="1123" spans="47:65" x14ac:dyDescent="0.2">
      <c r="AU1123" s="2">
        <v>-514</v>
      </c>
      <c r="AV1123" s="53">
        <v>1121</v>
      </c>
      <c r="AW1123" s="4" t="s">
        <v>2609</v>
      </c>
      <c r="AX1123" t="s">
        <v>903</v>
      </c>
      <c r="AY1123" s="4">
        <v>39766</v>
      </c>
      <c r="AZ1123" s="9">
        <v>25.321685922990504</v>
      </c>
      <c r="BA1123" s="7">
        <f t="shared" si="274"/>
        <v>6.4900554685716992E-4</v>
      </c>
      <c r="BB1123" s="54">
        <f t="shared" si="268"/>
        <v>1112.462479656801</v>
      </c>
      <c r="BC1123" s="55">
        <f t="shared" si="269"/>
        <v>1698.8422559116932</v>
      </c>
      <c r="BD1123" s="55">
        <f t="shared" si="270"/>
        <v>41.217014155706295</v>
      </c>
      <c r="BE1123" s="55">
        <f t="shared" si="271"/>
        <v>40.391931647730949</v>
      </c>
      <c r="BF1123" s="56">
        <f t="shared" si="272"/>
        <v>0.58055997972512352</v>
      </c>
      <c r="BG1123" s="56">
        <f t="shared" si="275"/>
        <v>4.6267549681868126E-4</v>
      </c>
      <c r="BH1123" s="56">
        <f t="shared" si="276"/>
        <v>2.1509892998773407E-2</v>
      </c>
      <c r="BI1123" s="56">
        <f t="shared" si="273"/>
        <v>2.1079307794453064E-2</v>
      </c>
      <c r="BJ1123" s="57">
        <f t="shared" si="277"/>
        <v>7.3459230587953617E-2</v>
      </c>
      <c r="BK1123" s="57">
        <f t="shared" si="278"/>
        <v>2.721682935270928E-3</v>
      </c>
      <c r="BL1123" s="58">
        <f t="shared" si="279"/>
        <v>129.61247369488797</v>
      </c>
      <c r="BM1123" s="58">
        <f t="shared" si="279"/>
        <v>4.8021746896907658</v>
      </c>
    </row>
    <row r="1124" spans="47:65" x14ac:dyDescent="0.2">
      <c r="AU1124" s="2">
        <v>-513</v>
      </c>
      <c r="AV1124" s="53">
        <v>1122</v>
      </c>
      <c r="AW1124" s="4" t="s">
        <v>1877</v>
      </c>
      <c r="AX1124" t="s">
        <v>346</v>
      </c>
      <c r="AY1124" s="4">
        <v>48403</v>
      </c>
      <c r="AZ1124" s="9">
        <v>25.325762564651477</v>
      </c>
      <c r="BA1124" s="7">
        <f t="shared" si="274"/>
        <v>6.4911003291147785E-4</v>
      </c>
      <c r="BB1124" s="54">
        <f t="shared" si="268"/>
        <v>1115.4177413954985</v>
      </c>
      <c r="BC1124" s="55">
        <f t="shared" si="269"/>
        <v>1705.4258576526947</v>
      </c>
      <c r="BD1124" s="55">
        <f t="shared" si="270"/>
        <v>41.296802026945073</v>
      </c>
      <c r="BE1124" s="55">
        <f t="shared" si="271"/>
        <v>40.470122324746512</v>
      </c>
      <c r="BF1124" s="56">
        <f t="shared" si="272"/>
        <v>0.58210224000488586</v>
      </c>
      <c r="BG1124" s="56">
        <f t="shared" si="275"/>
        <v>4.6446852450902362E-4</v>
      </c>
      <c r="BH1124" s="56">
        <f t="shared" si="276"/>
        <v>2.1551531836716934E-2</v>
      </c>
      <c r="BI1124" s="56">
        <f t="shared" si="273"/>
        <v>2.1120113105816771E-2</v>
      </c>
      <c r="BJ1124" s="57">
        <f t="shared" si="277"/>
        <v>8.9651781201738612E-2</v>
      </c>
      <c r="BK1124" s="57">
        <f t="shared" si="278"/>
        <v>3.3192334335827895E-3</v>
      </c>
      <c r="BL1124" s="58">
        <f t="shared" si="279"/>
        <v>158.18283202404962</v>
      </c>
      <c r="BM1124" s="58">
        <f t="shared" si="279"/>
        <v>5.856500982301216</v>
      </c>
    </row>
    <row r="1125" spans="47:65" x14ac:dyDescent="0.2">
      <c r="AU1125" s="2">
        <v>-512</v>
      </c>
      <c r="AV1125" s="53">
        <v>1123</v>
      </c>
      <c r="AW1125" s="4" t="s">
        <v>2594</v>
      </c>
      <c r="AX1125" t="s">
        <v>891</v>
      </c>
      <c r="AY1125" s="4">
        <v>28987</v>
      </c>
      <c r="AZ1125" s="9">
        <v>25.333472040932133</v>
      </c>
      <c r="BA1125" s="7">
        <f t="shared" si="274"/>
        <v>6.4930763005744698E-4</v>
      </c>
      <c r="BB1125" s="54">
        <f t="shared" si="268"/>
        <v>1121.0280183560315</v>
      </c>
      <c r="BC1125" s="55">
        <f t="shared" si="269"/>
        <v>1717.9414717533093</v>
      </c>
      <c r="BD1125" s="55">
        <f t="shared" si="270"/>
        <v>41.448057514837885</v>
      </c>
      <c r="BE1125" s="55">
        <f t="shared" si="271"/>
        <v>40.618349979113489</v>
      </c>
      <c r="BF1125" s="56">
        <f t="shared" si="272"/>
        <v>0.5850300711344929</v>
      </c>
      <c r="BG1125" s="56">
        <f t="shared" si="275"/>
        <v>4.6787712112938154E-4</v>
      </c>
      <c r="BH1125" s="56">
        <f t="shared" si="276"/>
        <v>2.1630467427436271E-2</v>
      </c>
      <c r="BI1125" s="56">
        <f t="shared" si="273"/>
        <v>2.1197468563270917E-2</v>
      </c>
      <c r="BJ1125" s="57">
        <f t="shared" si="277"/>
        <v>5.3959613777356821E-2</v>
      </c>
      <c r="BK1125" s="57">
        <f t="shared" si="278"/>
        <v>1.9950626912985411E-3</v>
      </c>
      <c r="BL1125" s="58">
        <f t="shared" si="279"/>
        <v>95.207082422816399</v>
      </c>
      <c r="BM1125" s="58">
        <f t="shared" si="279"/>
        <v>3.5201159680807925</v>
      </c>
    </row>
    <row r="1126" spans="47:65" x14ac:dyDescent="0.2">
      <c r="AU1126" s="2">
        <v>-511</v>
      </c>
      <c r="AV1126" s="53">
        <v>1124</v>
      </c>
      <c r="AW1126" s="4" t="s">
        <v>2469</v>
      </c>
      <c r="AX1126" t="s">
        <v>788</v>
      </c>
      <c r="AY1126" s="4">
        <v>36122</v>
      </c>
      <c r="AZ1126" s="9">
        <v>25.017885285844031</v>
      </c>
      <c r="BA1126" s="7">
        <f t="shared" si="274"/>
        <v>6.4121900771256307E-4</v>
      </c>
      <c r="BB1126" s="54">
        <f t="shared" si="268"/>
        <v>-0.73299701880360235</v>
      </c>
      <c r="BC1126" s="55">
        <f t="shared" si="269"/>
        <v>1122.8048956297966</v>
      </c>
      <c r="BD1126" s="55">
        <f t="shared" si="270"/>
        <v>33.508281000818243</v>
      </c>
      <c r="BE1126" s="55">
        <f t="shared" si="271"/>
        <v>32.83751197272575</v>
      </c>
      <c r="BF1126" s="56">
        <f t="shared" si="272"/>
        <v>64.877086578684981</v>
      </c>
      <c r="BG1126" s="56">
        <f t="shared" si="275"/>
        <v>0.58595736877634208</v>
      </c>
      <c r="BH1126" s="56">
        <f t="shared" si="276"/>
        <v>0.76547852274008454</v>
      </c>
      <c r="BI1126" s="56">
        <f t="shared" si="273"/>
        <v>0.75015516775474511</v>
      </c>
      <c r="BJ1126" s="57">
        <f t="shared" si="277"/>
        <v>7.4567657348207055</v>
      </c>
      <c r="BK1126" s="57">
        <f t="shared" si="278"/>
        <v>8.798166379106126E-2</v>
      </c>
      <c r="BL1126" s="58">
        <f t="shared" si="279"/>
        <v>13156.81970690124</v>
      </c>
      <c r="BM1126" s="58">
        <f t="shared" si="279"/>
        <v>155.23605396462506</v>
      </c>
    </row>
    <row r="1127" spans="47:65" x14ac:dyDescent="0.2">
      <c r="AU1127" s="2">
        <v>-510</v>
      </c>
      <c r="AV1127" s="53">
        <v>1125</v>
      </c>
      <c r="AW1127" s="4" t="s">
        <v>2062</v>
      </c>
      <c r="AX1127" t="s">
        <v>481</v>
      </c>
      <c r="AY1127" s="4">
        <v>43743</v>
      </c>
      <c r="AZ1127" s="9">
        <v>25.338365982232489</v>
      </c>
      <c r="BA1127" s="7">
        <f t="shared" si="274"/>
        <v>6.4943306384805579E-4</v>
      </c>
      <c r="BB1127" s="54">
        <f t="shared" si="268"/>
        <v>1124.6040314384727</v>
      </c>
      <c r="BC1127" s="55">
        <f t="shared" si="269"/>
        <v>1725.9307406235073</v>
      </c>
      <c r="BD1127" s="55">
        <f t="shared" si="270"/>
        <v>41.544322603979325</v>
      </c>
      <c r="BE1127" s="55">
        <f t="shared" si="271"/>
        <v>40.712688032956365</v>
      </c>
      <c r="BF1127" s="56">
        <f t="shared" si="272"/>
        <v>0.58689628246350756</v>
      </c>
      <c r="BG1127" s="56">
        <f t="shared" si="275"/>
        <v>4.700529787941507E-4</v>
      </c>
      <c r="BH1127" s="56">
        <f t="shared" si="276"/>
        <v>2.1680705219022527E-2</v>
      </c>
      <c r="BI1127" s="56">
        <f t="shared" si="273"/>
        <v>2.1246700694356864E-2</v>
      </c>
      <c r="BJ1127" s="57">
        <f t="shared" si="277"/>
        <v>8.1687817971996118E-2</v>
      </c>
      <c r="BK1127" s="57">
        <f t="shared" si="278"/>
        <v>3.0176532964257445E-3</v>
      </c>
      <c r="BL1127" s="58">
        <f t="shared" si="279"/>
        <v>144.13110610260597</v>
      </c>
      <c r="BM1127" s="58">
        <f t="shared" si="279"/>
        <v>5.3243888531472496</v>
      </c>
    </row>
    <row r="1128" spans="47:65" x14ac:dyDescent="0.2">
      <c r="AU1128" s="2">
        <v>-509</v>
      </c>
      <c r="AV1128" s="53">
        <v>1126</v>
      </c>
      <c r="AW1128" s="4" t="s">
        <v>2512</v>
      </c>
      <c r="AX1128" t="s">
        <v>823</v>
      </c>
      <c r="AY1128" s="4">
        <v>30095</v>
      </c>
      <c r="AZ1128" s="9">
        <v>25.347484943138664</v>
      </c>
      <c r="BA1128" s="7">
        <f t="shared" si="274"/>
        <v>6.4966678668261263E-4</v>
      </c>
      <c r="BB1128" s="54">
        <f t="shared" si="268"/>
        <v>1131.297735972428</v>
      </c>
      <c r="BC1128" s="55">
        <f t="shared" si="269"/>
        <v>1740.9098127978871</v>
      </c>
      <c r="BD1128" s="55">
        <f t="shared" si="270"/>
        <v>41.724211350220713</v>
      </c>
      <c r="BE1128" s="55">
        <f t="shared" si="271"/>
        <v>40.888975764884961</v>
      </c>
      <c r="BF1128" s="56">
        <f t="shared" si="272"/>
        <v>0.59038952114758203</v>
      </c>
      <c r="BG1128" s="56">
        <f t="shared" si="275"/>
        <v>4.7413249214274967E-4</v>
      </c>
      <c r="BH1128" s="56">
        <f t="shared" si="276"/>
        <v>2.1774583627310756E-2</v>
      </c>
      <c r="BI1128" s="56">
        <f t="shared" si="273"/>
        <v>2.1338699843942301E-2</v>
      </c>
      <c r="BJ1128" s="57">
        <f t="shared" si="277"/>
        <v>5.6535385828392112E-2</v>
      </c>
      <c r="BK1128" s="57">
        <f t="shared" si="278"/>
        <v>2.0851225208566616E-3</v>
      </c>
      <c r="BL1128" s="58">
        <f t="shared" si="279"/>
        <v>99.751809947686326</v>
      </c>
      <c r="BM1128" s="58">
        <f t="shared" si="279"/>
        <v>3.6790187662198495</v>
      </c>
    </row>
    <row r="1129" spans="47:65" x14ac:dyDescent="0.2">
      <c r="AU1129" s="2">
        <v>-508</v>
      </c>
      <c r="AV1129" s="53">
        <v>1127</v>
      </c>
      <c r="AW1129" s="4" t="s">
        <v>2882</v>
      </c>
      <c r="AX1129" t="s">
        <v>1100</v>
      </c>
      <c r="AY1129" s="4">
        <v>39583</v>
      </c>
      <c r="AZ1129" s="9">
        <v>25.352006056345608</v>
      </c>
      <c r="BA1129" s="7">
        <f t="shared" si="274"/>
        <v>6.4978266473110437E-4</v>
      </c>
      <c r="BB1129" s="54">
        <f t="shared" si="268"/>
        <v>1134.6311847302211</v>
      </c>
      <c r="BC1129" s="55">
        <f t="shared" si="269"/>
        <v>1748.3812020829173</v>
      </c>
      <c r="BD1129" s="55">
        <f t="shared" si="270"/>
        <v>41.813648514365703</v>
      </c>
      <c r="BE1129" s="55">
        <f t="shared" si="271"/>
        <v>40.976622575186745</v>
      </c>
      <c r="BF1129" s="56">
        <f t="shared" si="272"/>
        <v>0.59212914561009555</v>
      </c>
      <c r="BG1129" s="56">
        <f t="shared" si="275"/>
        <v>4.761673065802152E-4</v>
      </c>
      <c r="BH1129" s="56">
        <f t="shared" si="276"/>
        <v>2.1821258134677186E-2</v>
      </c>
      <c r="BI1129" s="56">
        <f t="shared" si="273"/>
        <v>2.1384440020659479E-2</v>
      </c>
      <c r="BJ1129" s="57">
        <f t="shared" si="277"/>
        <v>7.4578306414184684E-2</v>
      </c>
      <c r="BK1129" s="57">
        <f t="shared" si="278"/>
        <v>2.7483742146051674E-3</v>
      </c>
      <c r="BL1129" s="58">
        <f t="shared" si="279"/>
        <v>131.58698642703934</v>
      </c>
      <c r="BM1129" s="58">
        <f t="shared" si="279"/>
        <v>4.8492691489289399</v>
      </c>
    </row>
    <row r="1130" spans="47:65" x14ac:dyDescent="0.2">
      <c r="AU1130" s="2">
        <v>-507</v>
      </c>
      <c r="AV1130" s="53">
        <v>1128</v>
      </c>
      <c r="AW1130" s="4" t="s">
        <v>2848</v>
      </c>
      <c r="AX1130" t="s">
        <v>1076</v>
      </c>
      <c r="AY1130" s="4">
        <v>32491</v>
      </c>
      <c r="AZ1130" s="9">
        <v>25.356714522077308</v>
      </c>
      <c r="BA1130" s="7">
        <f t="shared" si="274"/>
        <v>6.4990334470424493E-4</v>
      </c>
      <c r="BB1130" s="54">
        <f t="shared" si="268"/>
        <v>1138.1132123323766</v>
      </c>
      <c r="BC1130" s="55">
        <f t="shared" si="269"/>
        <v>1756.1939783870375</v>
      </c>
      <c r="BD1130" s="55">
        <f t="shared" si="270"/>
        <v>41.906968136421391</v>
      </c>
      <c r="BE1130" s="55">
        <f t="shared" si="271"/>
        <v>41.068074124326763</v>
      </c>
      <c r="BF1130" s="56">
        <f t="shared" si="272"/>
        <v>0.59394630880532828</v>
      </c>
      <c r="BG1130" s="56">
        <f t="shared" si="275"/>
        <v>4.7829509693006803E-4</v>
      </c>
      <c r="BH1130" s="56">
        <f t="shared" si="276"/>
        <v>2.1869958777511859E-2</v>
      </c>
      <c r="BI1130" s="56">
        <f t="shared" si="273"/>
        <v>2.1432165773649432E-2</v>
      </c>
      <c r="BJ1130" s="57">
        <f t="shared" si="277"/>
        <v>6.1404137847277218E-2</v>
      </c>
      <c r="BK1130" s="57">
        <f t="shared" si="278"/>
        <v>2.2609888193256865E-3</v>
      </c>
      <c r="BL1130" s="58">
        <f t="shared" si="279"/>
        <v>108.34230276831438</v>
      </c>
      <c r="BM1130" s="58">
        <f t="shared" si="279"/>
        <v>3.9893196746515227</v>
      </c>
    </row>
    <row r="1131" spans="47:65" x14ac:dyDescent="0.2">
      <c r="AU1131" s="2">
        <v>-506</v>
      </c>
      <c r="AV1131" s="53">
        <v>1129</v>
      </c>
      <c r="AW1131" s="4" t="s">
        <v>1856</v>
      </c>
      <c r="AX1131" t="s">
        <v>331</v>
      </c>
      <c r="AY1131" s="4">
        <v>15855</v>
      </c>
      <c r="AZ1131" s="9">
        <v>25.357318782886498</v>
      </c>
      <c r="BA1131" s="7">
        <f t="shared" si="274"/>
        <v>6.4991883216499716E-4</v>
      </c>
      <c r="BB1131" s="54">
        <f t="shared" si="268"/>
        <v>1138.5608512978849</v>
      </c>
      <c r="BC1131" s="55">
        <f t="shared" si="269"/>
        <v>1757.1989842681112</v>
      </c>
      <c r="BD1131" s="55">
        <f t="shared" si="270"/>
        <v>41.918957337559235</v>
      </c>
      <c r="BE1131" s="55">
        <f t="shared" si="271"/>
        <v>41.079823325543558</v>
      </c>
      <c r="BF1131" s="56">
        <f t="shared" si="272"/>
        <v>0.5941799178245013</v>
      </c>
      <c r="BG1131" s="56">
        <f t="shared" si="275"/>
        <v>4.7856880780210967E-4</v>
      </c>
      <c r="BH1131" s="56">
        <f t="shared" si="276"/>
        <v>2.1876215573131238E-2</v>
      </c>
      <c r="BI1131" s="56">
        <f t="shared" si="273"/>
        <v>2.1438297320685737E-2</v>
      </c>
      <c r="BJ1131" s="57">
        <f t="shared" si="277"/>
        <v>2.9975855591632718E-2</v>
      </c>
      <c r="BK1131" s="57">
        <f t="shared" si="278"/>
        <v>1.1036358840813185E-3</v>
      </c>
      <c r="BL1131" s="58">
        <f t="shared" si="279"/>
        <v>52.889810623600326</v>
      </c>
      <c r="BM1131" s="58">
        <f t="shared" si="279"/>
        <v>1.947270286515659</v>
      </c>
    </row>
    <row r="1132" spans="47:65" x14ac:dyDescent="0.2">
      <c r="AU1132" s="2">
        <v>-505</v>
      </c>
      <c r="AV1132" s="53">
        <v>1130</v>
      </c>
      <c r="AW1132" s="4" t="s">
        <v>2619</v>
      </c>
      <c r="AX1132" t="s">
        <v>909</v>
      </c>
      <c r="AY1132" s="4">
        <v>40855</v>
      </c>
      <c r="AZ1132" s="9">
        <v>25.358179976533005</v>
      </c>
      <c r="BA1132" s="7">
        <f t="shared" si="274"/>
        <v>6.4994090492331196E-4</v>
      </c>
      <c r="BB1132" s="54">
        <f t="shared" si="268"/>
        <v>1139.1991315127198</v>
      </c>
      <c r="BC1132" s="55">
        <f t="shared" si="269"/>
        <v>1758.6322472539966</v>
      </c>
      <c r="BD1132" s="55">
        <f t="shared" si="270"/>
        <v>41.936049495082351</v>
      </c>
      <c r="BE1132" s="55">
        <f t="shared" si="271"/>
        <v>41.096573332125253</v>
      </c>
      <c r="BF1132" s="56">
        <f t="shared" si="272"/>
        <v>0.59451301665287537</v>
      </c>
      <c r="BG1132" s="56">
        <f t="shared" si="275"/>
        <v>4.7895915344005178E-4</v>
      </c>
      <c r="BH1132" s="56">
        <f t="shared" si="276"/>
        <v>2.1885135444864211E-2</v>
      </c>
      <c r="BI1132" s="56">
        <f t="shared" si="273"/>
        <v>2.1447038634357408E-2</v>
      </c>
      <c r="BJ1132" s="57">
        <f t="shared" si="277"/>
        <v>7.7284776400366031E-2</v>
      </c>
      <c r="BK1132" s="57">
        <f t="shared" si="278"/>
        <v>2.8449970849597473E-3</v>
      </c>
      <c r="BL1132" s="58">
        <f t="shared" si="279"/>
        <v>136.36231918076217</v>
      </c>
      <c r="BM1132" s="58">
        <f t="shared" si="279"/>
        <v>5.0197518662392318</v>
      </c>
    </row>
    <row r="1133" spans="47:65" x14ac:dyDescent="0.2">
      <c r="AU1133" s="2">
        <v>-504</v>
      </c>
      <c r="AV1133" s="53">
        <v>1131</v>
      </c>
      <c r="AW1133" s="4" t="s">
        <v>2553</v>
      </c>
      <c r="AX1133" t="s">
        <v>858</v>
      </c>
      <c r="AY1133" s="4">
        <v>26115</v>
      </c>
      <c r="AZ1133" s="9">
        <v>25.3704934596913</v>
      </c>
      <c r="BA1133" s="7">
        <f t="shared" si="274"/>
        <v>6.5025650471770046E-4</v>
      </c>
      <c r="BB1133" s="54">
        <f t="shared" si="268"/>
        <v>1148.3645979083099</v>
      </c>
      <c r="BC1133" s="55">
        <f t="shared" si="269"/>
        <v>1779.2448209120585</v>
      </c>
      <c r="BD1133" s="55">
        <f t="shared" si="270"/>
        <v>42.181095539495637</v>
      </c>
      <c r="BE1133" s="55">
        <f t="shared" si="271"/>
        <v>41.336714042927277</v>
      </c>
      <c r="BF1133" s="56">
        <f t="shared" si="272"/>
        <v>0.59929619188988348</v>
      </c>
      <c r="BG1133" s="56">
        <f t="shared" si="275"/>
        <v>4.8457293701811122E-4</v>
      </c>
      <c r="BH1133" s="56">
        <f t="shared" si="276"/>
        <v>2.2013017444641958E-2</v>
      </c>
      <c r="BI1133" s="56">
        <f t="shared" si="273"/>
        <v>2.1572360691275081E-2</v>
      </c>
      <c r="BJ1133" s="57">
        <f t="shared" si="277"/>
        <v>4.9798804894059433E-2</v>
      </c>
      <c r="BK1133" s="57">
        <f t="shared" si="278"/>
        <v>1.8291822569376094E-3</v>
      </c>
      <c r="BL1133" s="58">
        <f t="shared" si="279"/>
        <v>87.865694177670832</v>
      </c>
      <c r="BM1133" s="58">
        <f t="shared" si="279"/>
        <v>3.2274342552038737</v>
      </c>
    </row>
    <row r="1134" spans="47:65" x14ac:dyDescent="0.2">
      <c r="AU1134" s="2">
        <v>-503</v>
      </c>
      <c r="AV1134" s="53">
        <v>1132</v>
      </c>
      <c r="AW1134" s="4" t="s">
        <v>2185</v>
      </c>
      <c r="AX1134" t="s">
        <v>577</v>
      </c>
      <c r="AY1134" s="4">
        <v>45832</v>
      </c>
      <c r="AZ1134" s="9">
        <v>25.37079274986878</v>
      </c>
      <c r="BA1134" s="7">
        <f t="shared" si="274"/>
        <v>6.5026417565185136E-4</v>
      </c>
      <c r="BB1134" s="54">
        <f t="shared" si="268"/>
        <v>1148.5882883703819</v>
      </c>
      <c r="BC1134" s="55">
        <f t="shared" si="269"/>
        <v>1779.7486196021143</v>
      </c>
      <c r="BD1134" s="55">
        <f t="shared" si="270"/>
        <v>42.187066970839702</v>
      </c>
      <c r="BE1134" s="55">
        <f t="shared" si="271"/>
        <v>41.342565938112536</v>
      </c>
      <c r="BF1134" s="56">
        <f t="shared" si="272"/>
        <v>0.59941292906754118</v>
      </c>
      <c r="BG1134" s="56">
        <f t="shared" si="275"/>
        <v>4.8471014534829125E-4</v>
      </c>
      <c r="BH1134" s="56">
        <f t="shared" si="276"/>
        <v>2.2016133751144664E-2</v>
      </c>
      <c r="BI1134" s="56">
        <f t="shared" si="273"/>
        <v>2.1575414615530128E-2</v>
      </c>
      <c r="BJ1134" s="57">
        <f t="shared" si="277"/>
        <v>8.7414260444709832E-2</v>
      </c>
      <c r="BK1134" s="57">
        <f t="shared" si="278"/>
        <v>3.2106815792277863E-3</v>
      </c>
      <c r="BL1134" s="58">
        <f t="shared" si="279"/>
        <v>154.23491972030007</v>
      </c>
      <c r="BM1134" s="58">
        <f t="shared" si="279"/>
        <v>5.6649706020548098</v>
      </c>
    </row>
    <row r="1135" spans="47:65" x14ac:dyDescent="0.2">
      <c r="AU1135" s="2">
        <v>-502</v>
      </c>
      <c r="AV1135" s="53">
        <v>1133</v>
      </c>
      <c r="AW1135" s="4" t="s">
        <v>2737</v>
      </c>
      <c r="AX1135" t="s">
        <v>996</v>
      </c>
      <c r="AY1135" s="4">
        <v>86087</v>
      </c>
      <c r="AZ1135" s="9">
        <v>25.372111104250379</v>
      </c>
      <c r="BA1135" s="7">
        <f t="shared" si="274"/>
        <v>6.5029796563364735E-4</v>
      </c>
      <c r="BB1135" s="54">
        <f t="shared" si="268"/>
        <v>1149.574149623453</v>
      </c>
      <c r="BC1135" s="55">
        <f t="shared" si="269"/>
        <v>1781.9694040485326</v>
      </c>
      <c r="BD1135" s="55">
        <f t="shared" si="270"/>
        <v>42.213379443590306</v>
      </c>
      <c r="BE1135" s="55">
        <f t="shared" si="271"/>
        <v>41.368351687580223</v>
      </c>
      <c r="BF1135" s="56">
        <f t="shared" si="272"/>
        <v>0.59992741975784369</v>
      </c>
      <c r="BG1135" s="56">
        <f t="shared" si="275"/>
        <v>4.8531497051288467E-4</v>
      </c>
      <c r="BH1135" s="56">
        <f t="shared" si="276"/>
        <v>2.2029865422032988E-2</v>
      </c>
      <c r="BI1135" s="56">
        <f t="shared" si="273"/>
        <v>2.1588871405724464E-2</v>
      </c>
      <c r="BJ1135" s="57">
        <f t="shared" si="277"/>
        <v>0.16433257392227377</v>
      </c>
      <c r="BK1135" s="57">
        <f t="shared" si="278"/>
        <v>6.0344374481587386E-3</v>
      </c>
      <c r="BL1135" s="58">
        <f t="shared" si="279"/>
        <v>289.95064669526766</v>
      </c>
      <c r="BM1135" s="58">
        <f t="shared" si="279"/>
        <v>10.647244175481225</v>
      </c>
    </row>
    <row r="1136" spans="47:65" x14ac:dyDescent="0.2">
      <c r="AU1136" s="2">
        <v>-501</v>
      </c>
      <c r="AV1136" s="53">
        <v>1134</v>
      </c>
      <c r="AW1136" s="4" t="s">
        <v>3038</v>
      </c>
      <c r="AX1136" t="s">
        <v>1200</v>
      </c>
      <c r="AY1136" s="4">
        <v>39195</v>
      </c>
      <c r="AZ1136" s="9">
        <v>25.379588485302445</v>
      </c>
      <c r="BA1136" s="7">
        <f t="shared" si="274"/>
        <v>6.5048961408049693E-4</v>
      </c>
      <c r="BB1136" s="54">
        <f t="shared" si="268"/>
        <v>1155.1817444711796</v>
      </c>
      <c r="BC1136" s="55">
        <f t="shared" si="269"/>
        <v>1794.6140794248968</v>
      </c>
      <c r="BD1136" s="55">
        <f t="shared" si="270"/>
        <v>42.362885636189809</v>
      </c>
      <c r="BE1136" s="55">
        <f t="shared" si="271"/>
        <v>41.514865064060594</v>
      </c>
      <c r="BF1136" s="56">
        <f t="shared" si="272"/>
        <v>0.60285385117520551</v>
      </c>
      <c r="BG1136" s="56">
        <f t="shared" si="275"/>
        <v>4.887587166532535E-4</v>
      </c>
      <c r="BH1136" s="56">
        <f t="shared" si="276"/>
        <v>2.2107888109298309E-2</v>
      </c>
      <c r="BI1136" s="56">
        <f t="shared" si="273"/>
        <v>2.1665332234232993E-2</v>
      </c>
      <c r="BJ1136" s="57">
        <f t="shared" si="277"/>
        <v>7.518480550064173E-2</v>
      </c>
      <c r="BK1136" s="57">
        <f t="shared" si="278"/>
        <v>2.7571811381602511E-3</v>
      </c>
      <c r="BL1136" s="58">
        <f t="shared" si="279"/>
        <v>132.65710173127283</v>
      </c>
      <c r="BM1136" s="58">
        <f t="shared" si="279"/>
        <v>4.8648082056067725</v>
      </c>
    </row>
    <row r="1137" spans="47:65" x14ac:dyDescent="0.2">
      <c r="AU1137" s="2">
        <v>-500</v>
      </c>
      <c r="AV1137" s="53">
        <v>1135</v>
      </c>
      <c r="AW1137" s="4" t="s">
        <v>2799</v>
      </c>
      <c r="AX1137" t="s">
        <v>1041</v>
      </c>
      <c r="AY1137" s="4">
        <v>45014</v>
      </c>
      <c r="AZ1137" s="9">
        <v>25.381283999255523</v>
      </c>
      <c r="BA1137" s="7">
        <f t="shared" si="274"/>
        <v>6.5053307082202935E-4</v>
      </c>
      <c r="BB1137" s="54">
        <f t="shared" si="268"/>
        <v>1156.457079968445</v>
      </c>
      <c r="BC1137" s="55">
        <f t="shared" si="269"/>
        <v>1797.4928929939354</v>
      </c>
      <c r="BD1137" s="55">
        <f t="shared" si="270"/>
        <v>42.396850036222446</v>
      </c>
      <c r="BE1137" s="55">
        <f t="shared" si="271"/>
        <v>41.548149564470833</v>
      </c>
      <c r="BF1137" s="56">
        <f t="shared" si="272"/>
        <v>0.60351940957737504</v>
      </c>
      <c r="BG1137" s="56">
        <f t="shared" si="275"/>
        <v>4.8954275442584779E-4</v>
      </c>
      <c r="BH1137" s="56">
        <f t="shared" si="276"/>
        <v>2.2125613085875108E-2</v>
      </c>
      <c r="BI1137" s="56">
        <f t="shared" si="273"/>
        <v>2.1682702392091663E-2</v>
      </c>
      <c r="BJ1137" s="57">
        <f t="shared" si="277"/>
        <v>8.6442281451970568E-2</v>
      </c>
      <c r="BK1137" s="57">
        <f t="shared" si="278"/>
        <v>3.1690587631737345E-3</v>
      </c>
      <c r="BL1137" s="58">
        <f t="shared" si="279"/>
        <v>152.51994665809841</v>
      </c>
      <c r="BM1137" s="58">
        <f t="shared" si="279"/>
        <v>5.5915307346925518</v>
      </c>
    </row>
    <row r="1138" spans="47:65" x14ac:dyDescent="0.2">
      <c r="AU1138" s="2">
        <v>-499</v>
      </c>
      <c r="AV1138" s="53">
        <v>1136</v>
      </c>
      <c r="AW1138" s="4" t="s">
        <v>2090</v>
      </c>
      <c r="AX1138" t="s">
        <v>500</v>
      </c>
      <c r="AY1138" s="4">
        <v>49763</v>
      </c>
      <c r="AZ1138" s="9">
        <v>25.381394028697599</v>
      </c>
      <c r="BA1138" s="7">
        <f t="shared" si="274"/>
        <v>6.5053589092328344E-4</v>
      </c>
      <c r="BB1138" s="54">
        <f t="shared" si="268"/>
        <v>1156.5398907988058</v>
      </c>
      <c r="BC1138" s="55">
        <f t="shared" si="269"/>
        <v>1797.6798605858467</v>
      </c>
      <c r="BD1138" s="55">
        <f t="shared" si="270"/>
        <v>42.399054949206672</v>
      </c>
      <c r="BE1138" s="55">
        <f t="shared" si="271"/>
        <v>41.550310339489897</v>
      </c>
      <c r="BF1138" s="56">
        <f t="shared" si="272"/>
        <v>0.60356262600478316</v>
      </c>
      <c r="BG1138" s="56">
        <f t="shared" si="275"/>
        <v>4.8959367458818574E-4</v>
      </c>
      <c r="BH1138" s="56">
        <f t="shared" si="276"/>
        <v>2.2126763762199516E-2</v>
      </c>
      <c r="BI1138" s="56">
        <f t="shared" si="273"/>
        <v>2.1683830034168516E-2</v>
      </c>
      <c r="BJ1138" s="57">
        <f t="shared" si="277"/>
        <v>9.5568829253910817E-2</v>
      </c>
      <c r="BK1138" s="57">
        <f t="shared" si="278"/>
        <v>3.5035782813936339E-3</v>
      </c>
      <c r="BL1138" s="58">
        <f t="shared" si="279"/>
        <v>168.6229527396527</v>
      </c>
      <c r="BM1138" s="58">
        <f t="shared" si="279"/>
        <v>6.1817615594462954</v>
      </c>
    </row>
    <row r="1139" spans="47:65" x14ac:dyDescent="0.2">
      <c r="AU1139" s="2">
        <v>-498</v>
      </c>
      <c r="AV1139" s="53">
        <v>1137</v>
      </c>
      <c r="AW1139" s="4" t="s">
        <v>2608</v>
      </c>
      <c r="AX1139" t="s">
        <v>902</v>
      </c>
      <c r="AY1139" s="4">
        <v>18900</v>
      </c>
      <c r="AZ1139" s="9">
        <v>25.383724680341171</v>
      </c>
      <c r="BA1139" s="7">
        <f t="shared" si="274"/>
        <v>6.5059562651312807E-4</v>
      </c>
      <c r="BB1139" s="54">
        <f t="shared" si="268"/>
        <v>1158.2953897251862</v>
      </c>
      <c r="BC1139" s="55">
        <f t="shared" si="269"/>
        <v>1801.6444804858068</v>
      </c>
      <c r="BD1139" s="55">
        <f t="shared" si="270"/>
        <v>42.44578283511575</v>
      </c>
      <c r="BE1139" s="55">
        <f t="shared" si="271"/>
        <v>41.596102826217638</v>
      </c>
      <c r="BF1139" s="56">
        <f t="shared" si="272"/>
        <v>0.60447876694413472</v>
      </c>
      <c r="BG1139" s="56">
        <f t="shared" si="275"/>
        <v>4.9067342903596285E-4</v>
      </c>
      <c r="BH1139" s="56">
        <f t="shared" si="276"/>
        <v>2.2151149609804969E-2</v>
      </c>
      <c r="BI1139" s="56">
        <f t="shared" si="273"/>
        <v>2.1707727725688099E-2</v>
      </c>
      <c r="BJ1139" s="57">
        <f t="shared" si="277"/>
        <v>3.6352160457301171E-2</v>
      </c>
      <c r="BK1139" s="57">
        <f t="shared" si="278"/>
        <v>1.3321264351436417E-3</v>
      </c>
      <c r="BL1139" s="58">
        <f t="shared" si="279"/>
        <v>64.140250358093894</v>
      </c>
      <c r="BM1139" s="58">
        <f t="shared" si="279"/>
        <v>2.3504221477870231</v>
      </c>
    </row>
    <row r="1140" spans="47:65" x14ac:dyDescent="0.2">
      <c r="AU1140" s="2">
        <v>-497</v>
      </c>
      <c r="AV1140" s="53">
        <v>1138</v>
      </c>
      <c r="AW1140" s="4" t="s">
        <v>1428</v>
      </c>
      <c r="AX1140" t="s">
        <v>37</v>
      </c>
      <c r="AY1140" s="4">
        <v>24778</v>
      </c>
      <c r="AZ1140" s="9">
        <v>25.392322052653491</v>
      </c>
      <c r="BA1140" s="7">
        <f t="shared" si="274"/>
        <v>6.5081598081086559E-4</v>
      </c>
      <c r="BB1140" s="54">
        <f t="shared" si="268"/>
        <v>1164.7942003221949</v>
      </c>
      <c r="BC1140" s="55">
        <f t="shared" si="269"/>
        <v>1816.3398232722182</v>
      </c>
      <c r="BD1140" s="55">
        <f t="shared" si="270"/>
        <v>42.618538492916649</v>
      </c>
      <c r="BE1140" s="55">
        <f t="shared" si="271"/>
        <v>41.765400259925286</v>
      </c>
      <c r="BF1140" s="56">
        <f t="shared" si="272"/>
        <v>0.60787029647203539</v>
      </c>
      <c r="BG1140" s="56">
        <f t="shared" si="275"/>
        <v>4.9467566938581618E-4</v>
      </c>
      <c r="BH1140" s="56">
        <f t="shared" si="276"/>
        <v>2.2241305478451937E-2</v>
      </c>
      <c r="BI1140" s="56">
        <f t="shared" si="273"/>
        <v>2.1796078853459591E-2</v>
      </c>
      <c r="BJ1140" s="57">
        <f t="shared" si="277"/>
        <v>4.792526719996875E-2</v>
      </c>
      <c r="BK1140" s="57">
        <f t="shared" si="278"/>
        <v>1.7535328080962986E-3</v>
      </c>
      <c r="BL1140" s="58">
        <f t="shared" si="279"/>
        <v>84.559998580968923</v>
      </c>
      <c r="BM1140" s="58">
        <f t="shared" si="279"/>
        <v>3.0939573303913077</v>
      </c>
    </row>
    <row r="1141" spans="47:65" x14ac:dyDescent="0.2">
      <c r="AU1141" s="2">
        <v>-496</v>
      </c>
      <c r="AV1141" s="53">
        <v>1139</v>
      </c>
      <c r="AW1141" s="4" t="s">
        <v>2564</v>
      </c>
      <c r="AX1141" t="s">
        <v>869</v>
      </c>
      <c r="AY1141" s="4">
        <v>31724</v>
      </c>
      <c r="AZ1141" s="9">
        <v>25.394842254255863</v>
      </c>
      <c r="BA1141" s="7">
        <f t="shared" si="274"/>
        <v>6.5088057464652541E-4</v>
      </c>
      <c r="BB1141" s="54">
        <f t="shared" si="268"/>
        <v>1166.7061396992467</v>
      </c>
      <c r="BC1141" s="55">
        <f t="shared" si="269"/>
        <v>1820.6686724851791</v>
      </c>
      <c r="BD1141" s="55">
        <f t="shared" si="270"/>
        <v>42.66929425811</v>
      </c>
      <c r="BE1141" s="55">
        <f t="shared" si="271"/>
        <v>41.815139995818654</v>
      </c>
      <c r="BF1141" s="56">
        <f t="shared" si="272"/>
        <v>0.60886807887483463</v>
      </c>
      <c r="BG1141" s="56">
        <f t="shared" si="275"/>
        <v>4.9585462078831507E-4</v>
      </c>
      <c r="BH1141" s="56">
        <f t="shared" si="276"/>
        <v>2.2267793352470179E-2</v>
      </c>
      <c r="BI1141" s="56">
        <f t="shared" si="273"/>
        <v>2.1822036493010986E-2</v>
      </c>
      <c r="BJ1141" s="57">
        <f t="shared" si="277"/>
        <v>6.1460843917529907E-2</v>
      </c>
      <c r="BK1141" s="57">
        <f t="shared" si="278"/>
        <v>2.2477732354652196E-3</v>
      </c>
      <c r="BL1141" s="58">
        <f t="shared" si="279"/>
        <v>108.44235573620067</v>
      </c>
      <c r="BM1141" s="58">
        <f t="shared" si="279"/>
        <v>3.9660019172809702</v>
      </c>
    </row>
    <row r="1142" spans="47:65" x14ac:dyDescent="0.2">
      <c r="AU1142" s="2">
        <v>-495</v>
      </c>
      <c r="AV1142" s="53">
        <v>1140</v>
      </c>
      <c r="AW1142" s="4" t="s">
        <v>1908</v>
      </c>
      <c r="AX1142" t="s">
        <v>368</v>
      </c>
      <c r="AY1142" s="4">
        <v>46211</v>
      </c>
      <c r="AZ1142" s="9">
        <v>25.399663085702613</v>
      </c>
      <c r="BA1142" s="7">
        <f t="shared" si="274"/>
        <v>6.5100413460058681E-4</v>
      </c>
      <c r="BB1142" s="54">
        <f t="shared" si="268"/>
        <v>1170.3721897780224</v>
      </c>
      <c r="BC1142" s="55">
        <f t="shared" si="269"/>
        <v>1828.9759977150759</v>
      </c>
      <c r="BD1142" s="55">
        <f t="shared" si="270"/>
        <v>42.766528941627655</v>
      </c>
      <c r="BE1142" s="55">
        <f t="shared" si="271"/>
        <v>41.910428234690031</v>
      </c>
      <c r="BF1142" s="56">
        <f t="shared" si="272"/>
        <v>0.61078127774520197</v>
      </c>
      <c r="BG1142" s="56">
        <f t="shared" si="275"/>
        <v>4.9811710031794207E-4</v>
      </c>
      <c r="BH1142" s="56">
        <f t="shared" si="276"/>
        <v>2.2318537145564494E-2</v>
      </c>
      <c r="BI1142" s="56">
        <f t="shared" si="273"/>
        <v>2.187176449646289E-2</v>
      </c>
      <c r="BJ1142" s="57">
        <f t="shared" si="277"/>
        <v>8.9808709324484981E-2</v>
      </c>
      <c r="BK1142" s="57">
        <f t="shared" si="278"/>
        <v>3.2816968824802327E-3</v>
      </c>
      <c r="BL1142" s="58">
        <f t="shared" si="279"/>
        <v>158.45971815556308</v>
      </c>
      <c r="BM1142" s="58">
        <f t="shared" si="279"/>
        <v>5.7902709768487117</v>
      </c>
    </row>
    <row r="1143" spans="47:65" x14ac:dyDescent="0.2">
      <c r="AU1143" s="2">
        <v>-494</v>
      </c>
      <c r="AV1143" s="53">
        <v>1141</v>
      </c>
      <c r="AW1143" s="4" t="s">
        <v>1863</v>
      </c>
      <c r="AX1143" t="s">
        <v>338</v>
      </c>
      <c r="AY1143" s="4">
        <v>41966</v>
      </c>
      <c r="AZ1143" s="9">
        <v>25.408609019296094</v>
      </c>
      <c r="BA1143" s="7">
        <f t="shared" si="274"/>
        <v>6.5123342267175413E-4</v>
      </c>
      <c r="BB1143" s="54">
        <f t="shared" si="268"/>
        <v>1177.2057678378123</v>
      </c>
      <c r="BC1143" s="55">
        <f t="shared" si="269"/>
        <v>1844.4853352669024</v>
      </c>
      <c r="BD1143" s="55">
        <f t="shared" si="270"/>
        <v>42.947471814612122</v>
      </c>
      <c r="BE1143" s="55">
        <f t="shared" si="271"/>
        <v>42.087748991844407</v>
      </c>
      <c r="BF1143" s="56">
        <f t="shared" si="272"/>
        <v>0.61434751212379024</v>
      </c>
      <c r="BG1143" s="56">
        <f t="shared" si="275"/>
        <v>5.0234103013370565E-4</v>
      </c>
      <c r="BH1143" s="56">
        <f t="shared" si="276"/>
        <v>2.2412965670203167E-2</v>
      </c>
      <c r="BI1143" s="56">
        <f t="shared" si="273"/>
        <v>2.1964302750165417E-2</v>
      </c>
      <c r="BJ1143" s="57">
        <f t="shared" si="277"/>
        <v>8.2034975424489565E-2</v>
      </c>
      <c r="BK1143" s="57">
        <f t="shared" si="278"/>
        <v>2.9928453386078987E-3</v>
      </c>
      <c r="BL1143" s="58">
        <f t="shared" si="279"/>
        <v>144.74363547187863</v>
      </c>
      <c r="BM1143" s="58">
        <f t="shared" si="279"/>
        <v>5.2806173522160016</v>
      </c>
    </row>
    <row r="1144" spans="47:65" x14ac:dyDescent="0.2">
      <c r="AU1144" s="2">
        <v>-493</v>
      </c>
      <c r="AV1144" s="53">
        <v>1142</v>
      </c>
      <c r="AW1144" s="4" t="s">
        <v>2064</v>
      </c>
      <c r="AX1144" t="s">
        <v>483</v>
      </c>
      <c r="AY1144" s="4">
        <v>35060</v>
      </c>
      <c r="AZ1144" s="9">
        <v>25.41254452185369</v>
      </c>
      <c r="BA1144" s="7">
        <f t="shared" si="274"/>
        <v>6.5133429127099815E-4</v>
      </c>
      <c r="BB1144" s="54">
        <f t="shared" si="268"/>
        <v>1180.2246258188329</v>
      </c>
      <c r="BC1144" s="55">
        <f t="shared" si="269"/>
        <v>1851.3469130496012</v>
      </c>
      <c r="BD1144" s="55">
        <f t="shared" si="270"/>
        <v>43.02728103249845</v>
      </c>
      <c r="BE1144" s="55">
        <f t="shared" si="271"/>
        <v>42.165960588190167</v>
      </c>
      <c r="BF1144" s="56">
        <f t="shared" si="272"/>
        <v>0.61592296132796953</v>
      </c>
      <c r="BG1144" s="56">
        <f t="shared" si="275"/>
        <v>5.0420976391314773E-4</v>
      </c>
      <c r="BH1144" s="56">
        <f t="shared" si="276"/>
        <v>2.2454615648305979E-2</v>
      </c>
      <c r="BI1144" s="56">
        <f t="shared" si="273"/>
        <v>2.2005118978684613E-2</v>
      </c>
      <c r="BJ1144" s="57">
        <f t="shared" si="277"/>
        <v>6.8710906562012411E-2</v>
      </c>
      <c r="BK1144" s="57">
        <f t="shared" si="278"/>
        <v>2.5049837310336864E-3</v>
      </c>
      <c r="BL1144" s="58">
        <f t="shared" si="279"/>
        <v>121.23446567627369</v>
      </c>
      <c r="BM1144" s="58">
        <f t="shared" si="279"/>
        <v>4.4198276424361147</v>
      </c>
    </row>
    <row r="1145" spans="47:65" x14ac:dyDescent="0.2">
      <c r="AU1145" s="2">
        <v>-492</v>
      </c>
      <c r="AV1145" s="53">
        <v>1143</v>
      </c>
      <c r="AW1145" s="4" t="s">
        <v>1792</v>
      </c>
      <c r="AX1145" t="s">
        <v>282</v>
      </c>
      <c r="AY1145" s="4">
        <v>65488</v>
      </c>
      <c r="AZ1145" s="9">
        <v>25.41644784135584</v>
      </c>
      <c r="BA1145" s="7">
        <f t="shared" si="274"/>
        <v>6.5143433500488516E-4</v>
      </c>
      <c r="BB1145" s="54">
        <f t="shared" si="268"/>
        <v>1183.2264442301152</v>
      </c>
      <c r="BC1145" s="55">
        <f t="shared" si="269"/>
        <v>1858.1758374833544</v>
      </c>
      <c r="BD1145" s="55">
        <f t="shared" si="270"/>
        <v>43.106563740146981</v>
      </c>
      <c r="BE1145" s="55">
        <f t="shared" si="271"/>
        <v>42.243656213984139</v>
      </c>
      <c r="BF1145" s="56">
        <f t="shared" si="272"/>
        <v>0.61748951810436525</v>
      </c>
      <c r="BG1145" s="56">
        <f t="shared" si="275"/>
        <v>5.0606960463357394E-4</v>
      </c>
      <c r="BH1145" s="56">
        <f t="shared" si="276"/>
        <v>2.2495990856896568E-2</v>
      </c>
      <c r="BI1145" s="56">
        <f t="shared" si="273"/>
        <v>2.2045665938029806E-2</v>
      </c>
      <c r="BJ1145" s="57">
        <f t="shared" si="277"/>
        <v>0.12867041132572279</v>
      </c>
      <c r="BK1145" s="57">
        <f t="shared" si="278"/>
        <v>4.6876397280760877E-3</v>
      </c>
      <c r="BL1145" s="58">
        <f t="shared" si="279"/>
        <v>227.02783802367409</v>
      </c>
      <c r="BM1145" s="58">
        <f t="shared" si="279"/>
        <v>8.2709358113806388</v>
      </c>
    </row>
    <row r="1146" spans="47:65" x14ac:dyDescent="0.2">
      <c r="AU1146" s="2">
        <v>-491</v>
      </c>
      <c r="AV1146" s="53">
        <v>1144</v>
      </c>
      <c r="AW1146" s="4" t="s">
        <v>1548</v>
      </c>
      <c r="AX1146" t="s">
        <v>133</v>
      </c>
      <c r="AY1146" s="4">
        <v>27582</v>
      </c>
      <c r="AZ1146" s="9">
        <v>25.418186416264035</v>
      </c>
      <c r="BA1146" s="7">
        <f t="shared" si="274"/>
        <v>6.5147889541695557E-4</v>
      </c>
      <c r="BB1146" s="54">
        <f t="shared" si="268"/>
        <v>1184.5659388667968</v>
      </c>
      <c r="BC1146" s="55">
        <f t="shared" si="269"/>
        <v>1861.2250429572916</v>
      </c>
      <c r="BD1146" s="55">
        <f t="shared" si="270"/>
        <v>43.141917469640724</v>
      </c>
      <c r="BE1146" s="55">
        <f t="shared" si="271"/>
        <v>42.27830223224759</v>
      </c>
      <c r="BF1146" s="56">
        <f t="shared" si="272"/>
        <v>0.61818855918964666</v>
      </c>
      <c r="BG1146" s="56">
        <f t="shared" si="275"/>
        <v>5.0690004822105618E-4</v>
      </c>
      <c r="BH1146" s="56">
        <f t="shared" si="276"/>
        <v>2.2514440881821963E-2</v>
      </c>
      <c r="BI1146" s="56">
        <f t="shared" si="273"/>
        <v>2.2063746630213626E-2</v>
      </c>
      <c r="BJ1146" s="57">
        <f t="shared" si="277"/>
        <v>5.4254290643327346E-2</v>
      </c>
      <c r="BK1146" s="57">
        <f t="shared" si="278"/>
        <v>1.9759424549616244E-3</v>
      </c>
      <c r="BL1146" s="58">
        <f t="shared" si="279"/>
        <v>95.727014325633789</v>
      </c>
      <c r="BM1146" s="58">
        <f t="shared" si="279"/>
        <v>3.4863799609184056</v>
      </c>
    </row>
    <row r="1147" spans="47:65" x14ac:dyDescent="0.2">
      <c r="AU1147" s="2">
        <v>-490</v>
      </c>
      <c r="AV1147" s="53">
        <v>1145</v>
      </c>
      <c r="AW1147" s="4" t="s">
        <v>1875</v>
      </c>
      <c r="AX1147" t="s">
        <v>344</v>
      </c>
      <c r="AY1147" s="4">
        <v>35473</v>
      </c>
      <c r="AZ1147" s="9">
        <v>25.423015516552006</v>
      </c>
      <c r="BA1147" s="7">
        <f t="shared" si="274"/>
        <v>6.516026673049236E-4</v>
      </c>
      <c r="BB1147" s="54">
        <f t="shared" si="268"/>
        <v>1188.294507478372</v>
      </c>
      <c r="BC1147" s="55">
        <f t="shared" si="269"/>
        <v>1869.7190192215614</v>
      </c>
      <c r="BD1147" s="55">
        <f t="shared" si="270"/>
        <v>43.240247677615834</v>
      </c>
      <c r="BE1147" s="55">
        <f t="shared" si="271"/>
        <v>42.374664065359362</v>
      </c>
      <c r="BF1147" s="56">
        <f t="shared" si="272"/>
        <v>0.62013438456095005</v>
      </c>
      <c r="BG1147" s="56">
        <f t="shared" si="275"/>
        <v>5.0921336169932208E-4</v>
      </c>
      <c r="BH1147" s="56">
        <f t="shared" si="276"/>
        <v>2.2565756395461732E-2</v>
      </c>
      <c r="BI1147" s="56">
        <f t="shared" si="273"/>
        <v>2.2114034909504688E-2</v>
      </c>
      <c r="BJ1147" s="57">
        <f t="shared" si="277"/>
        <v>6.999565846049341E-2</v>
      </c>
      <c r="BK1147" s="57">
        <f t="shared" si="278"/>
        <v>2.5470366051024737E-3</v>
      </c>
      <c r="BL1147" s="58">
        <f t="shared" si="279"/>
        <v>123.50129954199123</v>
      </c>
      <c r="BM1147" s="58">
        <f t="shared" si="279"/>
        <v>4.4940263100563689</v>
      </c>
    </row>
    <row r="1148" spans="47:65" x14ac:dyDescent="0.2">
      <c r="AU1148" s="2">
        <v>-489</v>
      </c>
      <c r="AV1148" s="53">
        <v>1146</v>
      </c>
      <c r="AW1148" s="4" t="s">
        <v>2963</v>
      </c>
      <c r="AX1148" t="s">
        <v>2964</v>
      </c>
      <c r="AY1148" s="4">
        <v>78243</v>
      </c>
      <c r="AZ1148" s="9">
        <v>25.433570245248838</v>
      </c>
      <c r="BA1148" s="7">
        <f t="shared" si="274"/>
        <v>6.5187318947673516E-4</v>
      </c>
      <c r="BB1148" s="54">
        <f t="shared" si="268"/>
        <v>1196.4847697554756</v>
      </c>
      <c r="BC1148" s="55">
        <f t="shared" si="269"/>
        <v>1888.4095799615668</v>
      </c>
      <c r="BD1148" s="55">
        <f t="shared" si="270"/>
        <v>43.455834820672436</v>
      </c>
      <c r="BE1148" s="55">
        <f t="shared" si="271"/>
        <v>42.585935583319774</v>
      </c>
      <c r="BF1148" s="56">
        <f t="shared" si="272"/>
        <v>0.62440863073867781</v>
      </c>
      <c r="BG1148" s="56">
        <f t="shared" si="275"/>
        <v>5.1430368980139192E-4</v>
      </c>
      <c r="BH1148" s="56">
        <f t="shared" si="276"/>
        <v>2.2678264699958678E-2</v>
      </c>
      <c r="BI1148" s="56">
        <f t="shared" si="273"/>
        <v>2.2224291021892526E-2</v>
      </c>
      <c r="BJ1148" s="57">
        <f t="shared" si="277"/>
        <v>0.15545395059507341</v>
      </c>
      <c r="BK1148" s="57">
        <f t="shared" si="278"/>
        <v>5.6460235600503811E-3</v>
      </c>
      <c r="BL1148" s="58">
        <f t="shared" si="279"/>
        <v>274.2850819563921</v>
      </c>
      <c r="BM1148" s="58">
        <f t="shared" si="279"/>
        <v>9.9619213855168365</v>
      </c>
    </row>
    <row r="1149" spans="47:65" x14ac:dyDescent="0.2">
      <c r="AU1149" s="2">
        <v>-488</v>
      </c>
      <c r="AV1149" s="53">
        <v>1147</v>
      </c>
      <c r="AW1149" s="4" t="s">
        <v>3106</v>
      </c>
      <c r="AX1149" t="s">
        <v>1251</v>
      </c>
      <c r="AY1149" s="4">
        <v>35495</v>
      </c>
      <c r="AZ1149" s="9">
        <v>25.434726459191989</v>
      </c>
      <c r="BA1149" s="7">
        <f t="shared" si="274"/>
        <v>6.5190282373034456E-4</v>
      </c>
      <c r="BB1149" s="54">
        <f t="shared" si="268"/>
        <v>1197.3853930226612</v>
      </c>
      <c r="BC1149" s="55">
        <f t="shared" si="269"/>
        <v>1890.4675572006761</v>
      </c>
      <c r="BD1149" s="55">
        <f t="shared" si="270"/>
        <v>43.4795073247234</v>
      </c>
      <c r="BE1149" s="55">
        <f t="shared" si="271"/>
        <v>42.60913421100166</v>
      </c>
      <c r="BF1149" s="56">
        <f t="shared" si="272"/>
        <v>0.62487863834369717</v>
      </c>
      <c r="BG1149" s="56">
        <f t="shared" si="275"/>
        <v>5.148641748247961E-4</v>
      </c>
      <c r="BH1149" s="56">
        <f t="shared" si="276"/>
        <v>2.2690618652315236E-2</v>
      </c>
      <c r="BI1149" s="56">
        <f t="shared" si="273"/>
        <v>2.2236397672735317E-2</v>
      </c>
      <c r="BJ1149" s="57">
        <f t="shared" si="277"/>
        <v>7.057489344211168E-2</v>
      </c>
      <c r="BK1149" s="57">
        <f t="shared" si="278"/>
        <v>2.5627184148387236E-3</v>
      </c>
      <c r="BL1149" s="58">
        <f t="shared" si="279"/>
        <v>124.52330968581198</v>
      </c>
      <c r="BM1149" s="58">
        <f t="shared" si="279"/>
        <v>4.5216955101781187</v>
      </c>
    </row>
    <row r="1150" spans="47:65" x14ac:dyDescent="0.2">
      <c r="AU1150" s="2">
        <v>-487</v>
      </c>
      <c r="AV1150" s="53">
        <v>1148</v>
      </c>
      <c r="AW1150" s="4" t="s">
        <v>2270</v>
      </c>
      <c r="AX1150" t="s">
        <v>629</v>
      </c>
      <c r="AY1150" s="4">
        <v>29638</v>
      </c>
      <c r="AZ1150" s="9">
        <v>25.436718488267307</v>
      </c>
      <c r="BA1150" s="7">
        <f t="shared" si="274"/>
        <v>6.5195388028018537E-4</v>
      </c>
      <c r="BB1150" s="54">
        <f t="shared" si="268"/>
        <v>1198.9386581227977</v>
      </c>
      <c r="BC1150" s="55">
        <f t="shared" si="269"/>
        <v>1894.0181177565448</v>
      </c>
      <c r="BD1150" s="55">
        <f t="shared" si="270"/>
        <v>43.520318447324634</v>
      </c>
      <c r="BE1150" s="55">
        <f t="shared" si="271"/>
        <v>42.649128376235197</v>
      </c>
      <c r="BF1150" s="56">
        <f t="shared" si="272"/>
        <v>0.62568923966422063</v>
      </c>
      <c r="BG1150" s="56">
        <f t="shared" si="275"/>
        <v>5.1583116123178998E-4</v>
      </c>
      <c r="BH1150" s="56">
        <f t="shared" si="276"/>
        <v>2.2711916722984653E-2</v>
      </c>
      <c r="BI1150" s="56">
        <f t="shared" si="273"/>
        <v>2.2257269398461441E-2</v>
      </c>
      <c r="BJ1150" s="57">
        <f t="shared" si="277"/>
        <v>5.9005833854704016E-2</v>
      </c>
      <c r="BK1150" s="57">
        <f t="shared" si="278"/>
        <v>2.1418549332852467E-3</v>
      </c>
      <c r="BL1150" s="58">
        <f t="shared" si="279"/>
        <v>104.11070231917064</v>
      </c>
      <c r="BM1150" s="58">
        <f t="shared" si="279"/>
        <v>3.7791182126024707</v>
      </c>
    </row>
    <row r="1151" spans="47:65" x14ac:dyDescent="0.2">
      <c r="AU1151" s="2">
        <v>-486</v>
      </c>
      <c r="AV1151" s="53">
        <v>1149</v>
      </c>
      <c r="AW1151" s="4" t="s">
        <v>1744</v>
      </c>
      <c r="AX1151" t="s">
        <v>253</v>
      </c>
      <c r="AY1151" s="4">
        <v>40341</v>
      </c>
      <c r="AZ1151" s="9">
        <v>25.441127186151409</v>
      </c>
      <c r="BA1151" s="7">
        <f t="shared" si="274"/>
        <v>6.5206687707628744E-4</v>
      </c>
      <c r="BB1151" s="54">
        <f t="shared" si="268"/>
        <v>1202.3834656599429</v>
      </c>
      <c r="BC1151" s="55">
        <f t="shared" si="269"/>
        <v>1901.8981686964617</v>
      </c>
      <c r="BD1151" s="55">
        <f t="shared" si="270"/>
        <v>43.610757488221431</v>
      </c>
      <c r="BE1151" s="55">
        <f t="shared" si="271"/>
        <v>42.737757007712226</v>
      </c>
      <c r="BF1151" s="56">
        <f t="shared" si="272"/>
        <v>0.62748697885137861</v>
      </c>
      <c r="BG1151" s="56">
        <f t="shared" si="275"/>
        <v>5.1797727366273459E-4</v>
      </c>
      <c r="BH1151" s="56">
        <f t="shared" si="276"/>
        <v>2.2759114079039515E-2</v>
      </c>
      <c r="BI1151" s="56">
        <f t="shared" si="273"/>
        <v>2.2303521957477961E-2</v>
      </c>
      <c r="BJ1151" s="57">
        <f t="shared" si="277"/>
        <v>8.0545030412088159E-2</v>
      </c>
      <c r="BK1151" s="57">
        <f t="shared" si="278"/>
        <v>2.921388964921617E-3</v>
      </c>
      <c r="BL1151" s="58">
        <f t="shared" si="279"/>
        <v>142.11475606242865</v>
      </c>
      <c r="BM1151" s="58">
        <f t="shared" si="279"/>
        <v>5.1545387467008474</v>
      </c>
    </row>
    <row r="1152" spans="47:65" x14ac:dyDescent="0.2">
      <c r="AU1152" s="2">
        <v>-485</v>
      </c>
      <c r="AV1152" s="53">
        <v>1150</v>
      </c>
      <c r="AW1152" s="4" t="s">
        <v>2432</v>
      </c>
      <c r="AX1152" t="s">
        <v>760</v>
      </c>
      <c r="AY1152" s="4">
        <v>27008</v>
      </c>
      <c r="AZ1152" s="9">
        <v>25.44278357079515</v>
      </c>
      <c r="BA1152" s="7">
        <f t="shared" si="274"/>
        <v>6.5210933091703032E-4</v>
      </c>
      <c r="BB1152" s="54">
        <f t="shared" si="268"/>
        <v>1203.6802652066017</v>
      </c>
      <c r="BC1152" s="55">
        <f t="shared" si="269"/>
        <v>1904.8666391509184</v>
      </c>
      <c r="BD1152" s="55">
        <f t="shared" si="270"/>
        <v>43.644777913868673</v>
      </c>
      <c r="BE1152" s="55">
        <f t="shared" si="271"/>
        <v>42.771096412215883</v>
      </c>
      <c r="BF1152" s="56">
        <f t="shared" si="272"/>
        <v>0.62816373868129072</v>
      </c>
      <c r="BG1152" s="56">
        <f t="shared" si="275"/>
        <v>5.1878572926682966E-4</v>
      </c>
      <c r="BH1152" s="56">
        <f t="shared" si="276"/>
        <v>2.2776868293662097E-2</v>
      </c>
      <c r="BI1152" s="56">
        <f t="shared" si="273"/>
        <v>2.2320920768094988E-2</v>
      </c>
      <c r="BJ1152" s="57">
        <f t="shared" si="277"/>
        <v>5.3982458534845068E-2</v>
      </c>
      <c r="BK1152" s="57">
        <f t="shared" si="278"/>
        <v>1.9573739655801346E-3</v>
      </c>
      <c r="BL1152" s="58">
        <f t="shared" si="279"/>
        <v>95.247390026167423</v>
      </c>
      <c r="BM1152" s="58">
        <f t="shared" si="279"/>
        <v>3.4536174636495214</v>
      </c>
    </row>
    <row r="1153" spans="47:65" x14ac:dyDescent="0.2">
      <c r="AU1153" s="2">
        <v>-484</v>
      </c>
      <c r="AV1153" s="53">
        <v>1151</v>
      </c>
      <c r="AW1153" s="4" t="s">
        <v>2884</v>
      </c>
      <c r="AX1153" t="s">
        <v>1102</v>
      </c>
      <c r="AY1153" s="4">
        <v>44755</v>
      </c>
      <c r="AZ1153" s="9">
        <v>25.452231770755919</v>
      </c>
      <c r="BA1153" s="7">
        <f t="shared" si="274"/>
        <v>6.5235149228815719E-4</v>
      </c>
      <c r="BB1153" s="54">
        <f t="shared" si="268"/>
        <v>1211.1041422336805</v>
      </c>
      <c r="BC1153" s="55">
        <f t="shared" si="269"/>
        <v>1921.8816367813636</v>
      </c>
      <c r="BD1153" s="55">
        <f t="shared" si="270"/>
        <v>43.839270486418492</v>
      </c>
      <c r="BE1153" s="55">
        <f t="shared" si="271"/>
        <v>42.96169563094498</v>
      </c>
      <c r="BF1153" s="56">
        <f t="shared" si="272"/>
        <v>0.63203803194972741</v>
      </c>
      <c r="BG1153" s="56">
        <f t="shared" si="275"/>
        <v>5.234197218901617E-4</v>
      </c>
      <c r="BH1153" s="56">
        <f t="shared" si="276"/>
        <v>2.2878367990094087E-2</v>
      </c>
      <c r="BI1153" s="56">
        <f t="shared" si="273"/>
        <v>2.242038864281921E-2</v>
      </c>
      <c r="BJ1153" s="57">
        <f t="shared" si="277"/>
        <v>9.0006141812008666E-2</v>
      </c>
      <c r="BK1153" s="57">
        <f t="shared" si="278"/>
        <v>3.2580217164961951E-3</v>
      </c>
      <c r="BL1153" s="58">
        <f t="shared" si="279"/>
        <v>158.80807074367033</v>
      </c>
      <c r="BM1153" s="58">
        <f t="shared" si="279"/>
        <v>5.7484981893614524</v>
      </c>
    </row>
    <row r="1154" spans="47:65" x14ac:dyDescent="0.2">
      <c r="AU1154" s="2">
        <v>-483</v>
      </c>
      <c r="AV1154" s="53">
        <v>1152</v>
      </c>
      <c r="AW1154" s="4" t="s">
        <v>2401</v>
      </c>
      <c r="AX1154" t="s">
        <v>737</v>
      </c>
      <c r="AY1154" s="4">
        <v>26959</v>
      </c>
      <c r="AZ1154" s="9">
        <v>25.457230313248786</v>
      </c>
      <c r="BA1154" s="7">
        <f t="shared" si="274"/>
        <v>6.524796070516819E-4</v>
      </c>
      <c r="BB1154" s="54">
        <f t="shared" si="268"/>
        <v>1215.0502260151382</v>
      </c>
      <c r="BC1154" s="55">
        <f t="shared" si="269"/>
        <v>1930.9404016562228</v>
      </c>
      <c r="BD1154" s="55">
        <f t="shared" si="270"/>
        <v>43.942466950049841</v>
      </c>
      <c r="BE1154" s="55">
        <f t="shared" si="271"/>
        <v>43.062826306969654</v>
      </c>
      <c r="BF1154" s="56">
        <f t="shared" si="272"/>
        <v>0.63409737180347625</v>
      </c>
      <c r="BG1154" s="56">
        <f t="shared" si="275"/>
        <v>5.2588685415298363E-4</v>
      </c>
      <c r="BH1154" s="56">
        <f t="shared" si="276"/>
        <v>2.2932223053009571E-2</v>
      </c>
      <c r="BI1154" s="56">
        <f t="shared" si="273"/>
        <v>2.2473165634668956E-2</v>
      </c>
      <c r="BJ1154" s="57">
        <f t="shared" si="277"/>
        <v>5.4393512425252685E-2</v>
      </c>
      <c r="BK1154" s="57">
        <f t="shared" si="278"/>
        <v>1.967149234548687E-3</v>
      </c>
      <c r="BL1154" s="58">
        <f t="shared" si="279"/>
        <v>95.972659146619861</v>
      </c>
      <c r="BM1154" s="58">
        <f t="shared" si="279"/>
        <v>3.4708650822524683</v>
      </c>
    </row>
    <row r="1155" spans="47:65" x14ac:dyDescent="0.2">
      <c r="AU1155" s="2">
        <v>-482</v>
      </c>
      <c r="AV1155" s="53">
        <v>1153</v>
      </c>
      <c r="AW1155" s="4" t="s">
        <v>2775</v>
      </c>
      <c r="AX1155" t="s">
        <v>1023</v>
      </c>
      <c r="AY1155" s="4">
        <v>21066</v>
      </c>
      <c r="AZ1155" s="9">
        <v>25.460337818043911</v>
      </c>
      <c r="BA1155" s="7">
        <f t="shared" si="274"/>
        <v>6.5255925371719443E-4</v>
      </c>
      <c r="BB1155" s="54">
        <f t="shared" ref="BB1155:BB1218" si="280">IFERROR(IF(MATCH(AX1155,$S$4:$S$20,0),VLOOKUP(AX1155,$S$4:$AT$20,20,FALSE)),AVERAGE((2^(($AE$23*AZ1155)+$AE$24)),(2^(($AF$23*AZ1155)+$AF$24)),(2^(($AG$23*AZ1155)+$AG$24)),(2^(($AH$23*AZ1155)+$AH$24))))</f>
        <v>1217.5099150545011</v>
      </c>
      <c r="BC1155" s="55">
        <f t="shared" ref="BC1155:BC1218" si="281">IFERROR(IF(MATCH(AX1155,$S$4:$S$20,0),VLOOKUP(AX1155,$S$4:$AT$20,21,FALSE)),_xlfn.VAR.S((2^(($AE$23*AZ1155)+$AE$24)),(2^(($AF$23*AZ1155)+$AF$24)),(2^(($AG$23*AZ1155)+$AG$24)),(2^(($AH$23*AZ1155)+$AH$24))))</f>
        <v>1936.5920581285282</v>
      </c>
      <c r="BD1155" s="55">
        <f t="shared" ref="BD1155:BD1218" si="282">SQRT(BC1155)</f>
        <v>44.006727418981384</v>
      </c>
      <c r="BE1155" s="55">
        <f t="shared" ref="BE1155:BE1218" si="283">_xlfn.CONFIDENCE.NORM(0.05,BD1155,4)</f>
        <v>43.125800409337394</v>
      </c>
      <c r="BF1155" s="56">
        <f t="shared" ref="BF1155:BF1218" si="284">IFERROR(IF(MATCH(AX1155,$S$4:$S$20,0),VLOOKUP(AX1155,$S$4:$AT$20,24,FALSE)),AVERAGE((2^(($AI$23*AZ1155)+$AI$24)),(2^(($AJ$23*AZ1155)+$AJ$24)),(2^(($AK$23*AZ1155)+$AK$24)),(2^(($AL$23*AZ1155)+$AL$24))))</f>
        <v>0.63538100792148977</v>
      </c>
      <c r="BG1155" s="56">
        <f t="shared" si="275"/>
        <v>5.2742606884878919E-4</v>
      </c>
      <c r="BH1155" s="56">
        <f t="shared" si="276"/>
        <v>2.296575861687981E-2</v>
      </c>
      <c r="BI1155" s="56">
        <f t="shared" ref="BI1155:BI1218" si="285">_xlfn.CONFIDENCE.NORM(0.05,BH1155,4)</f>
        <v>2.2506029883362411E-2</v>
      </c>
      <c r="BJ1155" s="57">
        <f t="shared" si="277"/>
        <v>4.2589611771511743E-2</v>
      </c>
      <c r="BK1155" s="57">
        <f t="shared" si="278"/>
        <v>1.5393956245730593E-3</v>
      </c>
      <c r="BL1155" s="58">
        <f t="shared" si="279"/>
        <v>75.1456949824872</v>
      </c>
      <c r="BM1155" s="58">
        <f t="shared" si="279"/>
        <v>2.7161307476139127</v>
      </c>
    </row>
    <row r="1156" spans="47:65" x14ac:dyDescent="0.2">
      <c r="AU1156" s="2">
        <v>-481</v>
      </c>
      <c r="AV1156" s="53">
        <v>1154</v>
      </c>
      <c r="AW1156" s="4" t="s">
        <v>2762</v>
      </c>
      <c r="AX1156" t="s">
        <v>1268</v>
      </c>
      <c r="AY1156" s="4">
        <v>70514</v>
      </c>
      <c r="AZ1156" s="9">
        <v>25.464103724456859</v>
      </c>
      <c r="BA1156" s="7">
        <f t="shared" ref="BA1156:BA1219" si="286">AZ1156/$AZ$1637</f>
        <v>6.5265577549534072E-4</v>
      </c>
      <c r="BB1156" s="54">
        <f t="shared" si="280"/>
        <v>1220.4974249628317</v>
      </c>
      <c r="BC1156" s="55">
        <f t="shared" si="281"/>
        <v>1943.4617556254323</v>
      </c>
      <c r="BD1156" s="55">
        <f t="shared" si="282"/>
        <v>44.084711132380491</v>
      </c>
      <c r="BE1156" s="55">
        <f t="shared" si="283"/>
        <v>43.202223044158863</v>
      </c>
      <c r="BF1156" s="56">
        <f t="shared" si="284"/>
        <v>0.63694009752992631</v>
      </c>
      <c r="BG1156" s="56">
        <f t="shared" ref="BG1156:BG1219" si="287">IFERROR(IF(MATCH(AX1156,$S$4:$S$20,0),VLOOKUP(AX1156,$S$4:$AT$20,25,FALSE)),_xlfn.VAR.S((2^(($AI$23*AZ1156)+$AI$24)),(2^(($AJ$23*AZ1156)+$AJ$24)),(2^(($AK$23*AZ1156)+$AK$24)),(2^(($AL$23*AZ1156)+$AL$24))))</f>
        <v>5.2929701401239007E-4</v>
      </c>
      <c r="BH1156" s="56">
        <f t="shared" ref="BH1156:BH1219" si="288">SQRT(BG1156)</f>
        <v>2.3006455920293115E-2</v>
      </c>
      <c r="BI1156" s="56">
        <f t="shared" si="285"/>
        <v>2.2545912507841399E-2</v>
      </c>
      <c r="BJ1156" s="57">
        <f t="shared" ref="BJ1156:BJ1219" si="289">(((BF1156*0.000001)*AY1156)*1000000000000000)*$S$24</f>
        <v>0.14290957033722801</v>
      </c>
      <c r="BK1156" s="57">
        <f t="shared" ref="BK1156:BK1219" si="290">((((BH1156*0.000001)*AY1156)*1000000000000000)*$S$24)</f>
        <v>5.1619339766829277E-3</v>
      </c>
      <c r="BL1156" s="58">
        <f t="shared" ref="BL1156:BM1219" si="291">((BJ1156/$S$26)*0.000000001)/0.45</f>
        <v>252.15160542559809</v>
      </c>
      <c r="BM1156" s="58">
        <f t="shared" si="291"/>
        <v>9.1077870869679423</v>
      </c>
    </row>
    <row r="1157" spans="47:65" x14ac:dyDescent="0.2">
      <c r="AU1157" s="2">
        <v>-480</v>
      </c>
      <c r="AV1157" s="53">
        <v>1155</v>
      </c>
      <c r="AW1157" s="4" t="s">
        <v>1613</v>
      </c>
      <c r="AX1157" t="s">
        <v>171</v>
      </c>
      <c r="AY1157" s="4">
        <v>25105</v>
      </c>
      <c r="AZ1157" s="9">
        <v>25.464778883333043</v>
      </c>
      <c r="BA1157" s="7">
        <f t="shared" si="286"/>
        <v>6.5267308010361156E-4</v>
      </c>
      <c r="BB1157" s="54">
        <f t="shared" si="280"/>
        <v>1221.0338059186677</v>
      </c>
      <c r="BC1157" s="55">
        <f t="shared" si="281"/>
        <v>1944.6957587592515</v>
      </c>
      <c r="BD1157" s="55">
        <f t="shared" si="282"/>
        <v>44.098704728815463</v>
      </c>
      <c r="BE1157" s="55">
        <f t="shared" si="283"/>
        <v>43.21593651667223</v>
      </c>
      <c r="BF1157" s="56">
        <f t="shared" si="284"/>
        <v>0.63722001826661634</v>
      </c>
      <c r="BG1157" s="56">
        <f t="shared" si="287"/>
        <v>5.2963309172119168E-4</v>
      </c>
      <c r="BH1157" s="56">
        <f t="shared" si="288"/>
        <v>2.3013758748218243E-2</v>
      </c>
      <c r="BI1157" s="56">
        <f t="shared" si="285"/>
        <v>2.2553069147700673E-2</v>
      </c>
      <c r="BJ1157" s="57">
        <f t="shared" si="289"/>
        <v>5.0902253393989301E-2</v>
      </c>
      <c r="BK1157" s="57">
        <f t="shared" si="290"/>
        <v>1.8383794384497837E-3</v>
      </c>
      <c r="BL1157" s="58">
        <f t="shared" si="291"/>
        <v>89.812633841020343</v>
      </c>
      <c r="BM1157" s="58">
        <f t="shared" si="291"/>
        <v>3.2436618883722677</v>
      </c>
    </row>
    <row r="1158" spans="47:65" x14ac:dyDescent="0.2">
      <c r="AU1158" s="2">
        <v>-479</v>
      </c>
      <c r="AV1158" s="53">
        <v>1156</v>
      </c>
      <c r="AW1158" s="4" t="s">
        <v>2059</v>
      </c>
      <c r="AX1158" t="s">
        <v>479</v>
      </c>
      <c r="AY1158" s="4">
        <v>22905</v>
      </c>
      <c r="AZ1158" s="9">
        <v>25.468730011733665</v>
      </c>
      <c r="BA1158" s="7">
        <f t="shared" si="286"/>
        <v>6.5277434919983784E-4</v>
      </c>
      <c r="BB1158" s="54">
        <f t="shared" si="280"/>
        <v>1224.1775157037632</v>
      </c>
      <c r="BC1158" s="55">
        <f t="shared" si="281"/>
        <v>1951.9319310220681</v>
      </c>
      <c r="BD1158" s="55">
        <f t="shared" si="282"/>
        <v>44.180673727570834</v>
      </c>
      <c r="BE1158" s="55">
        <f t="shared" si="283"/>
        <v>43.296264659376895</v>
      </c>
      <c r="BF1158" s="56">
        <f t="shared" si="284"/>
        <v>0.63886062379037334</v>
      </c>
      <c r="BG1158" s="56">
        <f t="shared" si="287"/>
        <v>5.3160384538305063E-4</v>
      </c>
      <c r="BH1158" s="56">
        <f t="shared" si="288"/>
        <v>2.3056535849581797E-2</v>
      </c>
      <c r="BI1158" s="56">
        <f t="shared" si="285"/>
        <v>2.2594989936718463E-2</v>
      </c>
      <c r="BJ1158" s="57">
        <f t="shared" si="289"/>
        <v>4.6561159774269507E-2</v>
      </c>
      <c r="BK1158" s="57">
        <f t="shared" si="290"/>
        <v>1.6803963330283547E-3</v>
      </c>
      <c r="BL1158" s="58">
        <f t="shared" si="291"/>
        <v>82.153148734934192</v>
      </c>
      <c r="BM1158" s="58">
        <f t="shared" si="291"/>
        <v>2.9649143309614288</v>
      </c>
    </row>
    <row r="1159" spans="47:65" x14ac:dyDescent="0.2">
      <c r="AU1159" s="2">
        <v>-478</v>
      </c>
      <c r="AV1159" s="53">
        <v>1157</v>
      </c>
      <c r="AW1159" s="4" t="s">
        <v>2198</v>
      </c>
      <c r="AX1159" t="s">
        <v>586</v>
      </c>
      <c r="AY1159" s="4">
        <v>43132</v>
      </c>
      <c r="AZ1159" s="9">
        <v>25.474816970968586</v>
      </c>
      <c r="BA1159" s="7">
        <f t="shared" si="286"/>
        <v>6.5293036054596117E-4</v>
      </c>
      <c r="BB1159" s="54">
        <f t="shared" si="280"/>
        <v>1229.0364442665266</v>
      </c>
      <c r="BC1159" s="55">
        <f t="shared" si="281"/>
        <v>1963.1286616970583</v>
      </c>
      <c r="BD1159" s="55">
        <f t="shared" si="282"/>
        <v>44.307207784931094</v>
      </c>
      <c r="BE1159" s="55">
        <f t="shared" si="283"/>
        <v>43.420265756998816</v>
      </c>
      <c r="BF1159" s="56">
        <f t="shared" si="284"/>
        <v>0.64139634928176537</v>
      </c>
      <c r="BG1159" s="56">
        <f t="shared" si="287"/>
        <v>5.346532473565073E-4</v>
      </c>
      <c r="BH1159" s="56">
        <f t="shared" si="288"/>
        <v>2.3122570085449136E-2</v>
      </c>
      <c r="BI1159" s="56">
        <f t="shared" si="285"/>
        <v>2.2659702298741768E-2</v>
      </c>
      <c r="BJ1159" s="57">
        <f t="shared" si="289"/>
        <v>8.8026503654819566E-2</v>
      </c>
      <c r="BK1159" s="57">
        <f t="shared" si="290"/>
        <v>3.1733872548773412E-3</v>
      </c>
      <c r="BL1159" s="58">
        <f t="shared" si="291"/>
        <v>155.31517003506767</v>
      </c>
      <c r="BM1159" s="58">
        <f t="shared" si="291"/>
        <v>5.599167984805054</v>
      </c>
    </row>
    <row r="1160" spans="47:65" x14ac:dyDescent="0.2">
      <c r="AU1160" s="2">
        <v>-477</v>
      </c>
      <c r="AV1160" s="53">
        <v>1158</v>
      </c>
      <c r="AW1160" s="4" t="s">
        <v>1472</v>
      </c>
      <c r="AX1160" t="s">
        <v>71</v>
      </c>
      <c r="AY1160" s="4">
        <v>29004</v>
      </c>
      <c r="AZ1160" s="9">
        <v>25.48010794641803</v>
      </c>
      <c r="BA1160" s="7">
        <f t="shared" si="286"/>
        <v>6.5306597049015751E-4</v>
      </c>
      <c r="BB1160" s="54">
        <f t="shared" si="280"/>
        <v>1233.2756433005618</v>
      </c>
      <c r="BC1160" s="55">
        <f t="shared" si="281"/>
        <v>1972.9096356779803</v>
      </c>
      <c r="BD1160" s="55">
        <f t="shared" si="282"/>
        <v>44.417447424159576</v>
      </c>
      <c r="BE1160" s="55">
        <f t="shared" si="283"/>
        <v>43.52829861827707</v>
      </c>
      <c r="BF1160" s="56">
        <f t="shared" si="284"/>
        <v>0.6436086569777596</v>
      </c>
      <c r="BG1160" s="56">
        <f t="shared" si="287"/>
        <v>5.373170714874988E-4</v>
      </c>
      <c r="BH1160" s="56">
        <f t="shared" si="288"/>
        <v>2.3180100765257661E-2</v>
      </c>
      <c r="BI1160" s="56">
        <f t="shared" si="285"/>
        <v>2.2716081328957177E-2</v>
      </c>
      <c r="BJ1160" s="57">
        <f t="shared" si="289"/>
        <v>5.9397360417560219E-2</v>
      </c>
      <c r="BK1160" s="57">
        <f t="shared" si="290"/>
        <v>2.1392453080645098E-3</v>
      </c>
      <c r="BL1160" s="58">
        <f t="shared" si="291"/>
        <v>104.80151715513996</v>
      </c>
      <c r="BM1160" s="58">
        <f t="shared" si="291"/>
        <v>3.7745137540807971</v>
      </c>
    </row>
    <row r="1161" spans="47:65" x14ac:dyDescent="0.2">
      <c r="AU1161" s="2">
        <v>-476</v>
      </c>
      <c r="AV1161" s="53">
        <v>1159</v>
      </c>
      <c r="AW1161" s="4" t="s">
        <v>2672</v>
      </c>
      <c r="AX1161" t="s">
        <v>940</v>
      </c>
      <c r="AY1161" s="4">
        <v>29084</v>
      </c>
      <c r="AZ1161" s="9">
        <v>25.48704732002259</v>
      </c>
      <c r="BA1161" s="7">
        <f t="shared" si="286"/>
        <v>6.5324382957800695E-4</v>
      </c>
      <c r="BB1161" s="54">
        <f t="shared" si="280"/>
        <v>1238.8577349816578</v>
      </c>
      <c r="BC1161" s="55">
        <f t="shared" si="281"/>
        <v>1985.8064545057532</v>
      </c>
      <c r="BD1161" s="55">
        <f t="shared" si="282"/>
        <v>44.562388339335598</v>
      </c>
      <c r="BE1161" s="55">
        <f t="shared" si="283"/>
        <v>43.670338105092711</v>
      </c>
      <c r="BF1161" s="56">
        <f t="shared" si="284"/>
        <v>0.64652177907622488</v>
      </c>
      <c r="BG1161" s="56">
        <f t="shared" si="287"/>
        <v>5.4082948827472181E-4</v>
      </c>
      <c r="BH1161" s="56">
        <f t="shared" si="288"/>
        <v>2.3255740974536199E-2</v>
      </c>
      <c r="BI1161" s="56">
        <f t="shared" si="285"/>
        <v>2.2790207371941679E-2</v>
      </c>
      <c r="BJ1161" s="57">
        <f t="shared" si="289"/>
        <v>5.9830780383292474E-2</v>
      </c>
      <c r="BK1161" s="57">
        <f t="shared" si="290"/>
        <v>2.1521457991505099E-3</v>
      </c>
      <c r="BL1161" s="58">
        <f t="shared" si="291"/>
        <v>105.56624928557046</v>
      </c>
      <c r="BM1161" s="58">
        <f t="shared" si="291"/>
        <v>3.7972755574396464</v>
      </c>
    </row>
    <row r="1162" spans="47:65" x14ac:dyDescent="0.2">
      <c r="AU1162" s="2">
        <v>-475</v>
      </c>
      <c r="AV1162" s="53">
        <v>1160</v>
      </c>
      <c r="AW1162" s="4" t="s">
        <v>1939</v>
      </c>
      <c r="AX1162" t="s">
        <v>392</v>
      </c>
      <c r="AY1162" s="4">
        <v>20486</v>
      </c>
      <c r="AZ1162" s="9">
        <v>25.487712851118935</v>
      </c>
      <c r="BA1162" s="7">
        <f t="shared" si="286"/>
        <v>6.5326088742219824E-4</v>
      </c>
      <c r="BB1162" s="54">
        <f t="shared" si="280"/>
        <v>1239.3944199865505</v>
      </c>
      <c r="BC1162" s="55">
        <f t="shared" si="281"/>
        <v>1987.0474474281748</v>
      </c>
      <c r="BD1162" s="55">
        <f t="shared" si="282"/>
        <v>44.57631038374727</v>
      </c>
      <c r="BE1162" s="55">
        <f t="shared" si="283"/>
        <v>43.683981457911734</v>
      </c>
      <c r="BF1162" s="56">
        <f t="shared" si="284"/>
        <v>0.64680185848677341</v>
      </c>
      <c r="BG1162" s="56">
        <f t="shared" si="287"/>
        <v>5.4116746963522465E-4</v>
      </c>
      <c r="BH1162" s="56">
        <f t="shared" si="288"/>
        <v>2.3263006461659779E-2</v>
      </c>
      <c r="BI1162" s="56">
        <f t="shared" si="285"/>
        <v>2.2797327418487858E-2</v>
      </c>
      <c r="BJ1162" s="57">
        <f t="shared" si="289"/>
        <v>4.2161475347511766E-2</v>
      </c>
      <c r="BK1162" s="57">
        <f t="shared" si="290"/>
        <v>1.5163881497448298E-3</v>
      </c>
      <c r="BL1162" s="58">
        <f t="shared" si="291"/>
        <v>74.390285205535079</v>
      </c>
      <c r="BM1162" s="58">
        <f t="shared" si="291"/>
        <v>2.6755360435570927</v>
      </c>
    </row>
    <row r="1163" spans="47:65" x14ac:dyDescent="0.2">
      <c r="AU1163" s="2">
        <v>-474</v>
      </c>
      <c r="AV1163" s="53">
        <v>1161</v>
      </c>
      <c r="AW1163" s="4" t="s">
        <v>2207</v>
      </c>
      <c r="AX1163" t="s">
        <v>593</v>
      </c>
      <c r="AY1163" s="4">
        <v>45286</v>
      </c>
      <c r="AZ1163" s="9">
        <v>25.491111367458128</v>
      </c>
      <c r="BA1163" s="7">
        <f t="shared" si="286"/>
        <v>6.53347992836977E-4</v>
      </c>
      <c r="BB1163" s="54">
        <f t="shared" si="280"/>
        <v>1242.1386146564698</v>
      </c>
      <c r="BC1163" s="55">
        <f t="shared" si="281"/>
        <v>1993.3957749655162</v>
      </c>
      <c r="BD1163" s="55">
        <f t="shared" si="282"/>
        <v>44.647461013651338</v>
      </c>
      <c r="BE1163" s="55">
        <f t="shared" si="283"/>
        <v>43.753707793956387</v>
      </c>
      <c r="BF1163" s="56">
        <f t="shared" si="284"/>
        <v>0.64823396934989319</v>
      </c>
      <c r="BG1163" s="56">
        <f t="shared" si="287"/>
        <v>5.4289642097673564E-4</v>
      </c>
      <c r="BH1163" s="56">
        <f t="shared" si="288"/>
        <v>2.3300137788792915E-2</v>
      </c>
      <c r="BI1163" s="56">
        <f t="shared" si="285"/>
        <v>2.2833715450427419E-2</v>
      </c>
      <c r="BJ1163" s="57">
        <f t="shared" si="289"/>
        <v>9.3407794954466813E-2</v>
      </c>
      <c r="BK1163" s="57">
        <f t="shared" si="290"/>
        <v>3.3574520865808605E-3</v>
      </c>
      <c r="BL1163" s="58">
        <f t="shared" si="291"/>
        <v>164.80999419041947</v>
      </c>
      <c r="BM1163" s="58">
        <f t="shared" si="291"/>
        <v>5.9239344976908921</v>
      </c>
    </row>
    <row r="1164" spans="47:65" x14ac:dyDescent="0.2">
      <c r="AU1164" s="2">
        <v>-473</v>
      </c>
      <c r="AV1164" s="53">
        <v>1162</v>
      </c>
      <c r="AW1164" s="4" t="s">
        <v>2366</v>
      </c>
      <c r="AX1164" t="s">
        <v>709</v>
      </c>
      <c r="AY1164" s="4">
        <v>52550</v>
      </c>
      <c r="AZ1164" s="9">
        <v>25.492059358849659</v>
      </c>
      <c r="BA1164" s="7">
        <f t="shared" si="286"/>
        <v>6.5337229025829986E-4</v>
      </c>
      <c r="BB1164" s="54">
        <f t="shared" si="280"/>
        <v>1242.9051711127438</v>
      </c>
      <c r="BC1164" s="55">
        <f t="shared" si="281"/>
        <v>1995.169949599732</v>
      </c>
      <c r="BD1164" s="55">
        <f t="shared" si="282"/>
        <v>44.667325301608692</v>
      </c>
      <c r="BE1164" s="55">
        <f t="shared" si="283"/>
        <v>43.77317443844386</v>
      </c>
      <c r="BF1164" s="56">
        <f t="shared" si="284"/>
        <v>0.64863401160646439</v>
      </c>
      <c r="BG1164" s="56">
        <f t="shared" si="287"/>
        <v>5.4337961306086214E-4</v>
      </c>
      <c r="BH1164" s="56">
        <f t="shared" si="288"/>
        <v>2.3310504350203626E-2</v>
      </c>
      <c r="BI1164" s="56">
        <f t="shared" si="285"/>
        <v>2.2843874493931677E-2</v>
      </c>
      <c r="BJ1164" s="57">
        <f t="shared" si="289"/>
        <v>0.10845755506409727</v>
      </c>
      <c r="BK1164" s="57">
        <f t="shared" si="290"/>
        <v>3.8977300972431643E-3</v>
      </c>
      <c r="BL1164" s="58">
        <f t="shared" si="291"/>
        <v>191.36399728453478</v>
      </c>
      <c r="BM1164" s="58">
        <f t="shared" si="291"/>
        <v>6.8772084277935273</v>
      </c>
    </row>
    <row r="1165" spans="47:65" x14ac:dyDescent="0.2">
      <c r="AU1165" s="2">
        <v>-472</v>
      </c>
      <c r="AV1165" s="53">
        <v>1163</v>
      </c>
      <c r="AW1165" s="4" t="s">
        <v>2291</v>
      </c>
      <c r="AX1165" t="s">
        <v>646</v>
      </c>
      <c r="AY1165" s="4">
        <v>76108</v>
      </c>
      <c r="AZ1165" s="9">
        <v>25.502587988318886</v>
      </c>
      <c r="BA1165" s="7">
        <f t="shared" si="286"/>
        <v>6.5364214349584158E-4</v>
      </c>
      <c r="BB1165" s="54">
        <f t="shared" si="280"/>
        <v>1251.4506104512707</v>
      </c>
      <c r="BC1165" s="55">
        <f t="shared" si="281"/>
        <v>2014.9731348456546</v>
      </c>
      <c r="BD1165" s="55">
        <f t="shared" si="282"/>
        <v>44.888452132432171</v>
      </c>
      <c r="BE1165" s="55">
        <f t="shared" si="283"/>
        <v>43.989874750658615</v>
      </c>
      <c r="BF1165" s="56">
        <f t="shared" si="284"/>
        <v>0.65309361377718</v>
      </c>
      <c r="BG1165" s="56">
        <f t="shared" si="287"/>
        <v>5.4877296170193206E-4</v>
      </c>
      <c r="BH1165" s="56">
        <f t="shared" si="288"/>
        <v>2.3425903647499535E-2</v>
      </c>
      <c r="BI1165" s="56">
        <f t="shared" si="285"/>
        <v>2.2956963727202281E-2</v>
      </c>
      <c r="BJ1165" s="57">
        <f t="shared" si="289"/>
        <v>0.1581587116997086</v>
      </c>
      <c r="BK1165" s="57">
        <f t="shared" si="290"/>
        <v>5.6730163381357021E-3</v>
      </c>
      <c r="BL1165" s="58">
        <f t="shared" si="291"/>
        <v>279.05739953608338</v>
      </c>
      <c r="BM1165" s="58">
        <f t="shared" si="291"/>
        <v>10.009547813285456</v>
      </c>
    </row>
    <row r="1166" spans="47:65" x14ac:dyDescent="0.2">
      <c r="AU1166" s="2">
        <v>-471</v>
      </c>
      <c r="AV1166" s="53">
        <v>1164</v>
      </c>
      <c r="AW1166" s="4" t="s">
        <v>2428</v>
      </c>
      <c r="AX1166" t="s">
        <v>757</v>
      </c>
      <c r="AY1166" s="4">
        <v>27406</v>
      </c>
      <c r="AZ1166" s="9">
        <v>25.502840866453287</v>
      </c>
      <c r="BA1166" s="7">
        <f t="shared" si="286"/>
        <v>6.5364862486964913E-4</v>
      </c>
      <c r="BB1166" s="54">
        <f t="shared" si="280"/>
        <v>1251.6565770057105</v>
      </c>
      <c r="BC1166" s="55">
        <f t="shared" si="281"/>
        <v>2015.4510056065992</v>
      </c>
      <c r="BD1166" s="55">
        <f t="shared" si="282"/>
        <v>44.893774686548682</v>
      </c>
      <c r="BE1166" s="55">
        <f t="shared" si="283"/>
        <v>43.995090757845674</v>
      </c>
      <c r="BF1166" s="56">
        <f t="shared" si="284"/>
        <v>0.65320110139213927</v>
      </c>
      <c r="BG1166" s="56">
        <f t="shared" si="287"/>
        <v>5.4890310862456767E-4</v>
      </c>
      <c r="BH1166" s="56">
        <f t="shared" si="288"/>
        <v>2.3428681324918134E-2</v>
      </c>
      <c r="BI1166" s="56">
        <f t="shared" si="285"/>
        <v>2.2959685801052843E-2</v>
      </c>
      <c r="BJ1166" s="57">
        <f t="shared" si="289"/>
        <v>5.6961305437127102E-2</v>
      </c>
      <c r="BK1166" s="57">
        <f t="shared" si="290"/>
        <v>2.0430588223038127E-3</v>
      </c>
      <c r="BL1166" s="58">
        <f t="shared" si="291"/>
        <v>100.50330834538875</v>
      </c>
      <c r="BM1166" s="58">
        <f t="shared" si="291"/>
        <v>3.6048009997314958</v>
      </c>
    </row>
    <row r="1167" spans="47:65" x14ac:dyDescent="0.2">
      <c r="AU1167" s="2">
        <v>-470</v>
      </c>
      <c r="AV1167" s="53">
        <v>1165</v>
      </c>
      <c r="AW1167" s="4" t="s">
        <v>3119</v>
      </c>
      <c r="AX1167" t="s">
        <v>1260</v>
      </c>
      <c r="AY1167" s="4">
        <v>9159</v>
      </c>
      <c r="AZ1167" s="9">
        <v>25.504043959104731</v>
      </c>
      <c r="BA1167" s="7">
        <f t="shared" si="286"/>
        <v>6.5367946064442907E-4</v>
      </c>
      <c r="BB1167" s="54">
        <f t="shared" si="280"/>
        <v>1252.6369476039299</v>
      </c>
      <c r="BC1167" s="55">
        <f t="shared" si="281"/>
        <v>2017.7259632162377</v>
      </c>
      <c r="BD1167" s="55">
        <f t="shared" si="282"/>
        <v>44.919104657330799</v>
      </c>
      <c r="BE1167" s="55">
        <f t="shared" si="283"/>
        <v>44.019913673076879</v>
      </c>
      <c r="BF1167" s="56">
        <f t="shared" si="284"/>
        <v>0.65371272667841485</v>
      </c>
      <c r="BG1167" s="56">
        <f t="shared" si="287"/>
        <v>5.4952268771652033E-4</v>
      </c>
      <c r="BH1167" s="56">
        <f t="shared" si="288"/>
        <v>2.3441900258223954E-2</v>
      </c>
      <c r="BI1167" s="56">
        <f t="shared" si="285"/>
        <v>2.2972640117649566E-2</v>
      </c>
      <c r="BJ1167" s="57">
        <f t="shared" si="289"/>
        <v>1.9051201531363051E-2</v>
      </c>
      <c r="BK1167" s="57">
        <f t="shared" si="290"/>
        <v>6.8316914735122342E-4</v>
      </c>
      <c r="BL1167" s="58">
        <f t="shared" si="291"/>
        <v>33.614201204888907</v>
      </c>
      <c r="BM1167" s="58">
        <f t="shared" si="291"/>
        <v>1.2053930109464026</v>
      </c>
    </row>
    <row r="1168" spans="47:65" x14ac:dyDescent="0.2">
      <c r="AU1168" s="2">
        <v>-469</v>
      </c>
      <c r="AV1168" s="53">
        <v>1166</v>
      </c>
      <c r="AW1168" s="4" t="s">
        <v>2377</v>
      </c>
      <c r="AX1168" t="s">
        <v>718</v>
      </c>
      <c r="AY1168" s="4">
        <v>47502</v>
      </c>
      <c r="AZ1168" s="9">
        <v>25.508483676258699</v>
      </c>
      <c r="BA1168" s="7">
        <f t="shared" si="286"/>
        <v>6.5379325247757027E-4</v>
      </c>
      <c r="BB1168" s="54">
        <f t="shared" si="280"/>
        <v>1256.261414435704</v>
      </c>
      <c r="BC1168" s="55">
        <f t="shared" si="281"/>
        <v>2026.1417652129041</v>
      </c>
      <c r="BD1168" s="55">
        <f t="shared" si="282"/>
        <v>45.012684492406187</v>
      </c>
      <c r="BE1168" s="55">
        <f t="shared" si="283"/>
        <v>44.111620226290356</v>
      </c>
      <c r="BF1168" s="56">
        <f t="shared" si="284"/>
        <v>0.65560422453011635</v>
      </c>
      <c r="BG1168" s="56">
        <f t="shared" si="287"/>
        <v>5.5181471062588276E-4</v>
      </c>
      <c r="BH1168" s="56">
        <f t="shared" si="288"/>
        <v>2.3490736698236665E-2</v>
      </c>
      <c r="BI1168" s="56">
        <f t="shared" si="285"/>
        <v>2.3020498949428599E-2</v>
      </c>
      <c r="BJ1168" s="57">
        <f t="shared" si="289"/>
        <v>9.9092551453670435E-2</v>
      </c>
      <c r="BK1168" s="57">
        <f t="shared" si="290"/>
        <v>3.550552220164517E-3</v>
      </c>
      <c r="BL1168" s="58">
        <f t="shared" si="291"/>
        <v>174.84025650486984</v>
      </c>
      <c r="BM1168" s="58">
        <f t="shared" si="291"/>
        <v>6.2646430211027253</v>
      </c>
    </row>
    <row r="1169" spans="47:65" x14ac:dyDescent="0.2">
      <c r="AU1169" s="2">
        <v>-468</v>
      </c>
      <c r="AV1169" s="53">
        <v>1167</v>
      </c>
      <c r="AW1169" s="4" t="s">
        <v>1941</v>
      </c>
      <c r="AX1169" t="s">
        <v>394</v>
      </c>
      <c r="AY1169" s="4">
        <v>10816</v>
      </c>
      <c r="AZ1169" s="9">
        <v>25.510346303278709</v>
      </c>
      <c r="BA1169" s="7">
        <f t="shared" si="286"/>
        <v>6.5384099239786586E-4</v>
      </c>
      <c r="BB1169" s="54">
        <f t="shared" si="280"/>
        <v>1257.7851348788024</v>
      </c>
      <c r="BC1169" s="55">
        <f t="shared" si="281"/>
        <v>2029.6821939530346</v>
      </c>
      <c r="BD1169" s="55">
        <f t="shared" si="282"/>
        <v>45.051994339352333</v>
      </c>
      <c r="BE1169" s="55">
        <f t="shared" si="283"/>
        <v>44.15014316841647</v>
      </c>
      <c r="BF1169" s="56">
        <f t="shared" si="284"/>
        <v>0.65639940740210356</v>
      </c>
      <c r="BG1169" s="56">
        <f t="shared" si="287"/>
        <v>5.5277893765793889E-4</v>
      </c>
      <c r="BH1169" s="56">
        <f t="shared" si="288"/>
        <v>2.3511251299280923E-2</v>
      </c>
      <c r="BI1169" s="56">
        <f t="shared" si="285"/>
        <v>2.3040602889030575E-2</v>
      </c>
      <c r="BJ1169" s="57">
        <f t="shared" si="289"/>
        <v>2.2590312101054024E-2</v>
      </c>
      <c r="BK1169" s="57">
        <f t="shared" si="290"/>
        <v>8.0915140804157582E-4</v>
      </c>
      <c r="BL1169" s="58">
        <f t="shared" si="291"/>
        <v>39.858656421012476</v>
      </c>
      <c r="BM1169" s="58">
        <f t="shared" si="291"/>
        <v>1.4276778391301126</v>
      </c>
    </row>
    <row r="1170" spans="47:65" x14ac:dyDescent="0.2">
      <c r="AU1170" s="2">
        <v>-467</v>
      </c>
      <c r="AV1170" s="53">
        <v>1168</v>
      </c>
      <c r="AW1170" s="4" t="s">
        <v>2677</v>
      </c>
      <c r="AX1170" t="s">
        <v>943</v>
      </c>
      <c r="AY1170" s="4">
        <v>31710</v>
      </c>
      <c r="AZ1170" s="9">
        <v>25.52033316750591</v>
      </c>
      <c r="BA1170" s="7">
        <f t="shared" si="286"/>
        <v>6.540969599625404E-4</v>
      </c>
      <c r="BB1170" s="54">
        <f t="shared" si="280"/>
        <v>1265.9864582506088</v>
      </c>
      <c r="BC1170" s="55">
        <f t="shared" si="281"/>
        <v>2048.762991142406</v>
      </c>
      <c r="BD1170" s="55">
        <f t="shared" si="282"/>
        <v>45.2632631517261</v>
      </c>
      <c r="BE1170" s="55">
        <f t="shared" si="283"/>
        <v>44.357182800071037</v>
      </c>
      <c r="BF1170" s="56">
        <f t="shared" si="284"/>
        <v>0.66067942602522489</v>
      </c>
      <c r="BG1170" s="56">
        <f t="shared" si="287"/>
        <v>5.579755456941478E-4</v>
      </c>
      <c r="BH1170" s="56">
        <f t="shared" si="288"/>
        <v>2.3621505999706027E-2</v>
      </c>
      <c r="BI1170" s="56">
        <f t="shared" si="285"/>
        <v>2.3148650510010305E-2</v>
      </c>
      <c r="BJ1170" s="57">
        <f t="shared" si="289"/>
        <v>6.6661394883239466E-2</v>
      </c>
      <c r="BK1170" s="57">
        <f t="shared" si="290"/>
        <v>2.3833685099845891E-3</v>
      </c>
      <c r="BL1170" s="58">
        <f t="shared" si="291"/>
        <v>117.61827916810891</v>
      </c>
      <c r="BM1170" s="58">
        <f t="shared" si="291"/>
        <v>4.20524807887465</v>
      </c>
    </row>
    <row r="1171" spans="47:65" x14ac:dyDescent="0.2">
      <c r="AU1171" s="2">
        <v>-466</v>
      </c>
      <c r="AV1171" s="53">
        <v>1169</v>
      </c>
      <c r="AW1171" s="4" t="s">
        <v>2895</v>
      </c>
      <c r="AX1171" t="s">
        <v>1110</v>
      </c>
      <c r="AY1171" s="4">
        <v>30393</v>
      </c>
      <c r="AZ1171" s="9">
        <v>25.532353705576782</v>
      </c>
      <c r="BA1171" s="7">
        <f t="shared" si="286"/>
        <v>6.5440505145012654E-4</v>
      </c>
      <c r="BB1171" s="54">
        <f t="shared" si="280"/>
        <v>1275.9288138158524</v>
      </c>
      <c r="BC1171" s="55">
        <f t="shared" si="281"/>
        <v>2071.949823302914</v>
      </c>
      <c r="BD1171" s="55">
        <f t="shared" si="282"/>
        <v>45.518675544252318</v>
      </c>
      <c r="BE1171" s="55">
        <f t="shared" si="283"/>
        <v>44.607482345349332</v>
      </c>
      <c r="BF1171" s="56">
        <f t="shared" si="284"/>
        <v>0.66586803584437004</v>
      </c>
      <c r="BG1171" s="56">
        <f t="shared" si="287"/>
        <v>5.6429042222381901E-4</v>
      </c>
      <c r="BH1171" s="56">
        <f t="shared" si="288"/>
        <v>2.3754797877982861E-2</v>
      </c>
      <c r="BI1171" s="56">
        <f t="shared" si="285"/>
        <v>2.327927415043745E-2</v>
      </c>
      <c r="BJ1171" s="57">
        <f t="shared" si="289"/>
        <v>6.4394549589915209E-2</v>
      </c>
      <c r="BK1171" s="57">
        <f t="shared" si="290"/>
        <v>2.2972712723962384E-3</v>
      </c>
      <c r="BL1171" s="58">
        <f t="shared" si="291"/>
        <v>113.61862625043251</v>
      </c>
      <c r="BM1171" s="58">
        <f t="shared" si="291"/>
        <v>4.0533369323406347</v>
      </c>
    </row>
    <row r="1172" spans="47:65" x14ac:dyDescent="0.2">
      <c r="AU1172" s="2">
        <v>-465</v>
      </c>
      <c r="AV1172" s="53">
        <v>1170</v>
      </c>
      <c r="AW1172" s="4" t="s">
        <v>2077</v>
      </c>
      <c r="AX1172" t="s">
        <v>493</v>
      </c>
      <c r="AY1172" s="4">
        <v>78037</v>
      </c>
      <c r="AZ1172" s="9">
        <v>25.548857255473781</v>
      </c>
      <c r="BA1172" s="7">
        <f t="shared" si="286"/>
        <v>6.5482804443165875E-4</v>
      </c>
      <c r="BB1172" s="54">
        <f t="shared" si="280"/>
        <v>1289.7064581965647</v>
      </c>
      <c r="BC1172" s="55">
        <f t="shared" si="281"/>
        <v>2104.1803682571581</v>
      </c>
      <c r="BD1172" s="55">
        <f t="shared" si="282"/>
        <v>45.871345830018527</v>
      </c>
      <c r="BE1172" s="55">
        <f t="shared" si="283"/>
        <v>44.953092874608942</v>
      </c>
      <c r="BF1172" s="56">
        <f t="shared" si="284"/>
        <v>0.67305816502948579</v>
      </c>
      <c r="BG1172" s="56">
        <f t="shared" si="287"/>
        <v>5.7306833161918549E-4</v>
      </c>
      <c r="BH1172" s="56">
        <f t="shared" si="288"/>
        <v>2.3938845661793835E-2</v>
      </c>
      <c r="BI1172" s="56">
        <f t="shared" si="285"/>
        <v>2.345963766428941E-2</v>
      </c>
      <c r="BJ1172" s="57">
        <f t="shared" si="289"/>
        <v>0.16712465918811675</v>
      </c>
      <c r="BK1172" s="57">
        <f t="shared" si="290"/>
        <v>5.9441689150431052E-3</v>
      </c>
      <c r="BL1172" s="58">
        <f t="shared" si="291"/>
        <v>294.87704022235016</v>
      </c>
      <c r="BM1172" s="58">
        <f t="shared" si="291"/>
        <v>10.487973137923628</v>
      </c>
    </row>
    <row r="1173" spans="47:65" x14ac:dyDescent="0.2">
      <c r="AU1173" s="2">
        <v>-464</v>
      </c>
      <c r="AV1173" s="53">
        <v>1171</v>
      </c>
      <c r="AW1173" s="4" t="s">
        <v>3013</v>
      </c>
      <c r="AX1173" t="s">
        <v>1175</v>
      </c>
      <c r="AY1173" s="4">
        <v>34941</v>
      </c>
      <c r="AZ1173" s="9">
        <v>25.550032383691899</v>
      </c>
      <c r="BA1173" s="7">
        <f t="shared" si="286"/>
        <v>6.5485816346615535E-4</v>
      </c>
      <c r="BB1173" s="54">
        <f t="shared" si="280"/>
        <v>1290.6931448704454</v>
      </c>
      <c r="BC1173" s="55">
        <f t="shared" si="281"/>
        <v>2106.4929508195678</v>
      </c>
      <c r="BD1173" s="55">
        <f t="shared" si="282"/>
        <v>45.896546175279546</v>
      </c>
      <c r="BE1173" s="55">
        <f t="shared" si="283"/>
        <v>44.97778875916373</v>
      </c>
      <c r="BF1173" s="56">
        <f t="shared" si="284"/>
        <v>0.67357308648154268</v>
      </c>
      <c r="BG1173" s="56">
        <f t="shared" si="287"/>
        <v>5.7369815777419853E-4</v>
      </c>
      <c r="BH1173" s="56">
        <f t="shared" si="288"/>
        <v>2.395199694752399E-2</v>
      </c>
      <c r="BI1173" s="56">
        <f t="shared" si="285"/>
        <v>2.3472525687480161E-2</v>
      </c>
      <c r="BJ1173" s="57">
        <f t="shared" si="289"/>
        <v>7.4887171643210723E-2</v>
      </c>
      <c r="BK1173" s="57">
        <f t="shared" si="290"/>
        <v>2.6629586938759602E-3</v>
      </c>
      <c r="BL1173" s="58">
        <f t="shared" si="291"/>
        <v>132.1319524721774</v>
      </c>
      <c r="BM1173" s="58">
        <f t="shared" si="291"/>
        <v>4.6985608329686448</v>
      </c>
    </row>
    <row r="1174" spans="47:65" x14ac:dyDescent="0.2">
      <c r="AU1174" s="2">
        <v>-463</v>
      </c>
      <c r="AV1174" s="53">
        <v>1172</v>
      </c>
      <c r="AW1174" s="4" t="s">
        <v>2954</v>
      </c>
      <c r="AX1174" t="s">
        <v>1357</v>
      </c>
      <c r="AY1174" s="4">
        <v>20850</v>
      </c>
      <c r="AZ1174" s="9">
        <v>25.551474328528901</v>
      </c>
      <c r="BA1174" s="7">
        <f t="shared" si="286"/>
        <v>6.5489512112372689E-4</v>
      </c>
      <c r="BB1174" s="54">
        <f t="shared" si="280"/>
        <v>1291.9048934632699</v>
      </c>
      <c r="BC1174" s="55">
        <f t="shared" si="281"/>
        <v>2109.3338288785899</v>
      </c>
      <c r="BD1174" s="55">
        <f t="shared" si="282"/>
        <v>45.927484460599295</v>
      </c>
      <c r="BE1174" s="55">
        <f t="shared" si="283"/>
        <v>45.008107721648791</v>
      </c>
      <c r="BF1174" s="56">
        <f t="shared" si="284"/>
        <v>0.67420546083245059</v>
      </c>
      <c r="BG1174" s="56">
        <f t="shared" si="287"/>
        <v>5.7447186390422724E-4</v>
      </c>
      <c r="BH1174" s="56">
        <f t="shared" si="288"/>
        <v>2.3968142687831012E-2</v>
      </c>
      <c r="BI1174" s="56">
        <f t="shared" si="285"/>
        <v>2.3488348222232912E-2</v>
      </c>
      <c r="BJ1174" s="57">
        <f t="shared" si="289"/>
        <v>4.4728640400950426E-2</v>
      </c>
      <c r="BK1174" s="57">
        <f t="shared" si="290"/>
        <v>1.5901123583884544E-3</v>
      </c>
      <c r="BL1174" s="58">
        <f t="shared" si="291"/>
        <v>78.919826425829584</v>
      </c>
      <c r="BM1174" s="58">
        <f t="shared" si="291"/>
        <v>2.8056160481666859</v>
      </c>
    </row>
    <row r="1175" spans="47:65" x14ac:dyDescent="0.2">
      <c r="AU1175" s="2">
        <v>-462</v>
      </c>
      <c r="AV1175" s="53">
        <v>1173</v>
      </c>
      <c r="AW1175" s="4" t="s">
        <v>1495</v>
      </c>
      <c r="AX1175" t="s">
        <v>90</v>
      </c>
      <c r="AY1175" s="4">
        <v>25336</v>
      </c>
      <c r="AZ1175" s="9">
        <v>25.55499651737022</v>
      </c>
      <c r="BA1175" s="7">
        <f t="shared" si="286"/>
        <v>6.549853963171736E-4</v>
      </c>
      <c r="BB1175" s="54">
        <f t="shared" si="280"/>
        <v>1294.8695757799728</v>
      </c>
      <c r="BC1175" s="55">
        <f t="shared" si="281"/>
        <v>2116.2880685681143</v>
      </c>
      <c r="BD1175" s="55">
        <f t="shared" si="282"/>
        <v>46.003131073527094</v>
      </c>
      <c r="BE1175" s="55">
        <f t="shared" si="283"/>
        <v>45.082240040094256</v>
      </c>
      <c r="BF1175" s="56">
        <f t="shared" si="284"/>
        <v>0.67575263742235914</v>
      </c>
      <c r="BG1175" s="56">
        <f t="shared" si="287"/>
        <v>5.7636583392536606E-4</v>
      </c>
      <c r="BH1175" s="56">
        <f t="shared" si="288"/>
        <v>2.4007620330331911E-2</v>
      </c>
      <c r="BI1175" s="56">
        <f t="shared" si="285"/>
        <v>2.3527035600981065E-2</v>
      </c>
      <c r="BJ1175" s="57">
        <f t="shared" si="289"/>
        <v>5.4476998564964491E-2</v>
      </c>
      <c r="BK1175" s="57">
        <f t="shared" si="290"/>
        <v>1.9354169349194311E-3</v>
      </c>
      <c r="BL1175" s="58">
        <f t="shared" si="291"/>
        <v>96.119963236258101</v>
      </c>
      <c r="BM1175" s="58">
        <f t="shared" si="291"/>
        <v>3.4148761776851813</v>
      </c>
    </row>
    <row r="1176" spans="47:65" x14ac:dyDescent="0.2">
      <c r="AU1176" s="2">
        <v>-461</v>
      </c>
      <c r="AV1176" s="53">
        <v>1174</v>
      </c>
      <c r="AW1176" s="4" t="s">
        <v>3034</v>
      </c>
      <c r="AX1176" t="s">
        <v>1196</v>
      </c>
      <c r="AY1176" s="4">
        <v>56207</v>
      </c>
      <c r="AZ1176" s="9">
        <v>25.577183774267578</v>
      </c>
      <c r="BA1176" s="7">
        <f t="shared" si="286"/>
        <v>6.5555406511907423E-4</v>
      </c>
      <c r="BB1176" s="54">
        <f t="shared" si="280"/>
        <v>1313.702001930101</v>
      </c>
      <c r="BC1176" s="55">
        <f t="shared" si="281"/>
        <v>2160.5850526698587</v>
      </c>
      <c r="BD1176" s="55">
        <f t="shared" si="282"/>
        <v>46.482093892915998</v>
      </c>
      <c r="BE1176" s="55">
        <f t="shared" si="283"/>
        <v>45.551614978062268</v>
      </c>
      <c r="BF1176" s="56">
        <f t="shared" si="284"/>
        <v>0.68558070186842079</v>
      </c>
      <c r="BG1176" s="56">
        <f t="shared" si="287"/>
        <v>5.8843000825086584E-4</v>
      </c>
      <c r="BH1176" s="56">
        <f t="shared" si="288"/>
        <v>2.425757630619485E-2</v>
      </c>
      <c r="BI1176" s="56">
        <f t="shared" si="285"/>
        <v>2.3771987956187027E-2</v>
      </c>
      <c r="BJ1176" s="57">
        <f t="shared" si="289"/>
        <v>0.12261295588187703</v>
      </c>
      <c r="BK1176" s="57">
        <f t="shared" si="290"/>
        <v>4.3383559737414715E-3</v>
      </c>
      <c r="BL1176" s="58">
        <f t="shared" si="291"/>
        <v>216.33998058098851</v>
      </c>
      <c r="BM1176" s="58">
        <f t="shared" si="291"/>
        <v>7.6546547659844046</v>
      </c>
    </row>
    <row r="1177" spans="47:65" x14ac:dyDescent="0.2">
      <c r="AU1177" s="2">
        <v>-460</v>
      </c>
      <c r="AV1177" s="53">
        <v>1175</v>
      </c>
      <c r="AW1177" s="4" t="s">
        <v>1432</v>
      </c>
      <c r="AX1177" t="s">
        <v>41</v>
      </c>
      <c r="AY1177" s="4">
        <v>40157</v>
      </c>
      <c r="AZ1177" s="9">
        <v>25.580484544515013</v>
      </c>
      <c r="BA1177" s="7">
        <f t="shared" si="286"/>
        <v>6.5563866526007592E-4</v>
      </c>
      <c r="BB1177" s="54">
        <f t="shared" si="280"/>
        <v>1316.5269887983136</v>
      </c>
      <c r="BC1177" s="55">
        <f t="shared" si="281"/>
        <v>2167.2479001095994</v>
      </c>
      <c r="BD1177" s="55">
        <f t="shared" si="282"/>
        <v>46.553709842606523</v>
      </c>
      <c r="BE1177" s="55">
        <f t="shared" si="283"/>
        <v>45.621797319118294</v>
      </c>
      <c r="BF1177" s="56">
        <f t="shared" si="284"/>
        <v>0.68705497569690877</v>
      </c>
      <c r="BG1177" s="56">
        <f t="shared" si="287"/>
        <v>5.902446183117671E-4</v>
      </c>
      <c r="BH1177" s="56">
        <f t="shared" si="288"/>
        <v>2.4294950469424034E-2</v>
      </c>
      <c r="BI1177" s="56">
        <f t="shared" si="285"/>
        <v>2.3808613963127789E-2</v>
      </c>
      <c r="BJ1177" s="57">
        <f t="shared" si="289"/>
        <v>8.7789004018593908E-2</v>
      </c>
      <c r="BK1177" s="57">
        <f t="shared" si="290"/>
        <v>3.1043069038665908E-3</v>
      </c>
      <c r="BL1177" s="58">
        <f t="shared" si="291"/>
        <v>154.89612242040491</v>
      </c>
      <c r="BM1177" s="58">
        <f t="shared" si="291"/>
        <v>5.4772816662777437</v>
      </c>
    </row>
    <row r="1178" spans="47:65" x14ac:dyDescent="0.2">
      <c r="AU1178" s="2">
        <v>-459</v>
      </c>
      <c r="AV1178" s="53">
        <v>1176</v>
      </c>
      <c r="AW1178" s="4" t="s">
        <v>1465</v>
      </c>
      <c r="AX1178" t="s">
        <v>64</v>
      </c>
      <c r="AY1178" s="4">
        <v>38433</v>
      </c>
      <c r="AZ1178" s="9">
        <v>25.591968621300907</v>
      </c>
      <c r="BA1178" s="7">
        <f t="shared" si="286"/>
        <v>6.5593300701746314E-4</v>
      </c>
      <c r="BB1178" s="54">
        <f t="shared" si="280"/>
        <v>1326.4031384768991</v>
      </c>
      <c r="BC1178" s="55">
        <f t="shared" si="281"/>
        <v>2190.5777350918365</v>
      </c>
      <c r="BD1178" s="55">
        <f t="shared" si="282"/>
        <v>46.803608141807153</v>
      </c>
      <c r="BE1178" s="55">
        <f t="shared" si="283"/>
        <v>45.866693152233822</v>
      </c>
      <c r="BF1178" s="56">
        <f t="shared" si="284"/>
        <v>0.69220903469845929</v>
      </c>
      <c r="BG1178" s="56">
        <f t="shared" si="287"/>
        <v>5.965984413071017E-4</v>
      </c>
      <c r="BH1178" s="56">
        <f t="shared" si="288"/>
        <v>2.4425364711854389E-2</v>
      </c>
      <c r="BI1178" s="56">
        <f t="shared" si="285"/>
        <v>2.3936417572245072E-2</v>
      </c>
      <c r="BJ1178" s="57">
        <f t="shared" si="289"/>
        <v>8.4650381839432673E-2</v>
      </c>
      <c r="BK1178" s="57">
        <f t="shared" si="290"/>
        <v>2.9869827548936506E-3</v>
      </c>
      <c r="BL1178" s="58">
        <f t="shared" si="291"/>
        <v>149.35829441187906</v>
      </c>
      <c r="BM1178" s="58">
        <f t="shared" si="291"/>
        <v>5.2702733291250263</v>
      </c>
    </row>
    <row r="1179" spans="47:65" x14ac:dyDescent="0.2">
      <c r="AU1179" s="2">
        <v>-458</v>
      </c>
      <c r="AV1179" s="53">
        <v>1177</v>
      </c>
      <c r="AW1179" s="4" t="s">
        <v>2646</v>
      </c>
      <c r="AX1179" t="s">
        <v>924</v>
      </c>
      <c r="AY1179" s="4">
        <v>32515</v>
      </c>
      <c r="AZ1179" s="9">
        <v>25.592367914828493</v>
      </c>
      <c r="BA1179" s="7">
        <f t="shared" si="286"/>
        <v>6.5594324107987967E-4</v>
      </c>
      <c r="BB1179" s="54">
        <f t="shared" si="280"/>
        <v>1326.7478551488573</v>
      </c>
      <c r="BC1179" s="55">
        <f t="shared" si="281"/>
        <v>2191.3930600925523</v>
      </c>
      <c r="BD1179" s="55">
        <f t="shared" si="282"/>
        <v>46.812317397161102</v>
      </c>
      <c r="BE1179" s="55">
        <f t="shared" si="283"/>
        <v>45.875228065646773</v>
      </c>
      <c r="BF1179" s="56">
        <f t="shared" si="284"/>
        <v>0.69238893173565619</v>
      </c>
      <c r="BG1179" s="56">
        <f t="shared" si="287"/>
        <v>5.9682049305941607E-4</v>
      </c>
      <c r="BH1179" s="56">
        <f t="shared" si="288"/>
        <v>2.442990980456981E-2</v>
      </c>
      <c r="BI1179" s="56">
        <f t="shared" si="285"/>
        <v>2.3940871681259385E-2</v>
      </c>
      <c r="BJ1179" s="57">
        <f t="shared" si="289"/>
        <v>7.1634337261202996E-2</v>
      </c>
      <c r="BK1179" s="57">
        <f t="shared" si="290"/>
        <v>2.5275106489851509E-3</v>
      </c>
      <c r="BL1179" s="58">
        <f t="shared" si="291"/>
        <v>126.39260688691421</v>
      </c>
      <c r="BM1179" s="58">
        <f t="shared" si="291"/>
        <v>4.4595744453503547</v>
      </c>
    </row>
    <row r="1180" spans="47:65" x14ac:dyDescent="0.2">
      <c r="AU1180" s="2">
        <v>-457</v>
      </c>
      <c r="AV1180" s="53">
        <v>1178</v>
      </c>
      <c r="AW1180" s="4" t="s">
        <v>1930</v>
      </c>
      <c r="AX1180" t="s">
        <v>385</v>
      </c>
      <c r="AY1180" s="4">
        <v>29064</v>
      </c>
      <c r="AZ1180" s="9">
        <v>25.600548075967506</v>
      </c>
      <c r="BA1180" s="7">
        <f t="shared" si="286"/>
        <v>6.5615290207834357E-4</v>
      </c>
      <c r="BB1180" s="54">
        <f t="shared" si="280"/>
        <v>1333.8296754916046</v>
      </c>
      <c r="BC1180" s="55">
        <f t="shared" si="281"/>
        <v>2208.1581636278588</v>
      </c>
      <c r="BD1180" s="55">
        <f t="shared" si="282"/>
        <v>46.991043440509586</v>
      </c>
      <c r="BE1180" s="55">
        <f t="shared" si="283"/>
        <v>46.050376369677956</v>
      </c>
      <c r="BF1180" s="56">
        <f t="shared" si="284"/>
        <v>0.69608471613269107</v>
      </c>
      <c r="BG1180" s="56">
        <f t="shared" si="287"/>
        <v>6.013864276424337E-4</v>
      </c>
      <c r="BH1180" s="56">
        <f t="shared" si="288"/>
        <v>2.4523181433950075E-2</v>
      </c>
      <c r="BI1180" s="56">
        <f t="shared" si="285"/>
        <v>2.4032276198441727E-2</v>
      </c>
      <c r="BJ1180" s="57">
        <f t="shared" si="289"/>
        <v>6.4373163922849475E-2</v>
      </c>
      <c r="BK1180" s="57">
        <f t="shared" si="290"/>
        <v>2.2678773743633244E-3</v>
      </c>
      <c r="BL1180" s="58">
        <f t="shared" si="291"/>
        <v>113.58089308622948</v>
      </c>
      <c r="BM1180" s="58">
        <f t="shared" si="291"/>
        <v>4.0014739356132214</v>
      </c>
    </row>
    <row r="1181" spans="47:65" x14ac:dyDescent="0.2">
      <c r="AU1181" s="2">
        <v>-456</v>
      </c>
      <c r="AV1181" s="53">
        <v>1179</v>
      </c>
      <c r="AW1181" s="4" t="s">
        <v>2350</v>
      </c>
      <c r="AX1181" t="s">
        <v>698</v>
      </c>
      <c r="AY1181" s="4">
        <v>28299</v>
      </c>
      <c r="AZ1181" s="9">
        <v>25.60824970751403</v>
      </c>
      <c r="BA1181" s="7">
        <f t="shared" si="286"/>
        <v>6.5635029816045064E-4</v>
      </c>
      <c r="BB1181" s="54">
        <f t="shared" si="280"/>
        <v>1340.5317656778818</v>
      </c>
      <c r="BC1181" s="55">
        <f t="shared" si="281"/>
        <v>2224.0508144395376</v>
      </c>
      <c r="BD1181" s="55">
        <f t="shared" si="282"/>
        <v>47.159843240192579</v>
      </c>
      <c r="BE1181" s="55">
        <f t="shared" si="283"/>
        <v>46.215797133666079</v>
      </c>
      <c r="BF1181" s="56">
        <f t="shared" si="284"/>
        <v>0.69958233103100387</v>
      </c>
      <c r="BG1181" s="56">
        <f t="shared" si="287"/>
        <v>6.0571475187882334E-4</v>
      </c>
      <c r="BH1181" s="56">
        <f t="shared" si="288"/>
        <v>2.4611272861817274E-2</v>
      </c>
      <c r="BI1181" s="56">
        <f t="shared" si="285"/>
        <v>2.4118604211424935E-2</v>
      </c>
      <c r="BJ1181" s="57">
        <f t="shared" si="289"/>
        <v>6.2993725482005339E-2</v>
      </c>
      <c r="BK1181" s="57">
        <f t="shared" si="290"/>
        <v>2.2161162420086008E-3</v>
      </c>
      <c r="BL1181" s="58">
        <f t="shared" si="291"/>
        <v>111.14699298685996</v>
      </c>
      <c r="BM1181" s="58">
        <f t="shared" si="291"/>
        <v>3.9101458839572545</v>
      </c>
    </row>
    <row r="1182" spans="47:65" x14ac:dyDescent="0.2">
      <c r="AU1182" s="2">
        <v>-455</v>
      </c>
      <c r="AV1182" s="53">
        <v>1180</v>
      </c>
      <c r="AW1182" s="4" t="s">
        <v>1434</v>
      </c>
      <c r="AX1182" t="s">
        <v>43</v>
      </c>
      <c r="AY1182" s="4">
        <v>19707</v>
      </c>
      <c r="AZ1182" s="9">
        <v>25.609555939047613</v>
      </c>
      <c r="BA1182" s="7">
        <f t="shared" si="286"/>
        <v>6.5638377742851183E-4</v>
      </c>
      <c r="BB1182" s="54">
        <f t="shared" si="280"/>
        <v>1341.6718062717964</v>
      </c>
      <c r="BC1182" s="55">
        <f t="shared" si="281"/>
        <v>2226.7567415468525</v>
      </c>
      <c r="BD1182" s="55">
        <f t="shared" si="282"/>
        <v>47.188523409266075</v>
      </c>
      <c r="BE1182" s="55">
        <f t="shared" si="283"/>
        <v>46.243903182893369</v>
      </c>
      <c r="BF1182" s="56">
        <f t="shared" si="284"/>
        <v>0.70017728318102368</v>
      </c>
      <c r="BG1182" s="56">
        <f t="shared" si="287"/>
        <v>6.0645170445015916E-4</v>
      </c>
      <c r="BH1182" s="56">
        <f t="shared" si="288"/>
        <v>2.4626240160653009E-2</v>
      </c>
      <c r="BI1182" s="56">
        <f t="shared" si="285"/>
        <v>2.4133271894756881E-2</v>
      </c>
      <c r="BJ1182" s="57">
        <f t="shared" si="289"/>
        <v>4.3905194455430667E-2</v>
      </c>
      <c r="BK1182" s="57">
        <f t="shared" si="290"/>
        <v>1.5442087153234138E-3</v>
      </c>
      <c r="BL1182" s="58">
        <f t="shared" si="291"/>
        <v>77.4669271087716</v>
      </c>
      <c r="BM1182" s="58">
        <f t="shared" si="291"/>
        <v>2.724623030929139</v>
      </c>
    </row>
    <row r="1183" spans="47:65" x14ac:dyDescent="0.2">
      <c r="AU1183" s="2">
        <v>-454</v>
      </c>
      <c r="AV1183" s="53">
        <v>1181</v>
      </c>
      <c r="AW1183" s="4" t="s">
        <v>2820</v>
      </c>
      <c r="AX1183" t="s">
        <v>1056</v>
      </c>
      <c r="AY1183" s="4">
        <v>14543</v>
      </c>
      <c r="AZ1183" s="9">
        <v>25.614797147822834</v>
      </c>
      <c r="BA1183" s="7">
        <f t="shared" si="286"/>
        <v>6.5651811183174626E-4</v>
      </c>
      <c r="BB1183" s="54">
        <f t="shared" si="280"/>
        <v>1346.2559386029309</v>
      </c>
      <c r="BC1183" s="55">
        <f t="shared" si="281"/>
        <v>2237.6448007541544</v>
      </c>
      <c r="BD1183" s="55">
        <f t="shared" si="282"/>
        <v>47.303750387830291</v>
      </c>
      <c r="BE1183" s="55">
        <f t="shared" si="283"/>
        <v>46.356823546909979</v>
      </c>
      <c r="BF1183" s="56">
        <f t="shared" si="284"/>
        <v>0.70256960096421928</v>
      </c>
      <c r="BG1183" s="56">
        <f t="shared" si="287"/>
        <v>6.0941704051095441E-4</v>
      </c>
      <c r="BH1183" s="56">
        <f t="shared" si="288"/>
        <v>2.4686373579587473E-2</v>
      </c>
      <c r="BI1183" s="56">
        <f t="shared" si="285"/>
        <v>2.4192201562446284E-2</v>
      </c>
      <c r="BJ1183" s="57">
        <f t="shared" si="289"/>
        <v>3.2511030155758597E-2</v>
      </c>
      <c r="BK1183" s="57">
        <f t="shared" si="290"/>
        <v>1.1423486509817902E-3</v>
      </c>
      <c r="BL1183" s="58">
        <f t="shared" si="291"/>
        <v>57.362907385909722</v>
      </c>
      <c r="BM1183" s="58">
        <f t="shared" si="291"/>
        <v>2.0155756232498359</v>
      </c>
    </row>
    <row r="1184" spans="47:65" x14ac:dyDescent="0.2">
      <c r="AU1184" s="2">
        <v>-453</v>
      </c>
      <c r="AV1184" s="53">
        <v>1182</v>
      </c>
      <c r="AW1184" s="4" t="s">
        <v>2048</v>
      </c>
      <c r="AX1184" t="s">
        <v>469</v>
      </c>
      <c r="AY1184" s="4">
        <v>26827</v>
      </c>
      <c r="AZ1184" s="9">
        <v>25.637537258365274</v>
      </c>
      <c r="BA1184" s="7">
        <f t="shared" si="286"/>
        <v>6.5710095050698582E-4</v>
      </c>
      <c r="BB1184" s="54">
        <f t="shared" si="280"/>
        <v>1366.3272874545992</v>
      </c>
      <c r="BC1184" s="55">
        <f t="shared" si="281"/>
        <v>2285.456927691564</v>
      </c>
      <c r="BD1184" s="55">
        <f t="shared" si="282"/>
        <v>47.806452782982802</v>
      </c>
      <c r="BE1184" s="55">
        <f t="shared" si="283"/>
        <v>46.849462841630455</v>
      </c>
      <c r="BF1184" s="56">
        <f t="shared" si="284"/>
        <v>0.71304422109340804</v>
      </c>
      <c r="BG1184" s="56">
        <f t="shared" si="287"/>
        <v>6.2243855531478505E-4</v>
      </c>
      <c r="BH1184" s="56">
        <f t="shared" si="288"/>
        <v>2.4948718510472336E-2</v>
      </c>
      <c r="BI1184" s="56">
        <f t="shared" si="285"/>
        <v>2.4449294870476774E-2</v>
      </c>
      <c r="BJ1184" s="57">
        <f t="shared" si="289"/>
        <v>6.0866165966336289E-2</v>
      </c>
      <c r="BK1184" s="57">
        <f t="shared" si="290"/>
        <v>2.1296474981274544E-3</v>
      </c>
      <c r="BL1184" s="58">
        <f t="shared" si="291"/>
        <v>107.39309780511293</v>
      </c>
      <c r="BM1184" s="58">
        <f t="shared" si="291"/>
        <v>3.7575792466262756</v>
      </c>
    </row>
    <row r="1185" spans="47:65" x14ac:dyDescent="0.2">
      <c r="AU1185" s="2">
        <v>-452</v>
      </c>
      <c r="AV1185" s="53">
        <v>1183</v>
      </c>
      <c r="AW1185" s="4" t="s">
        <v>2049</v>
      </c>
      <c r="AX1185" t="s">
        <v>470</v>
      </c>
      <c r="AY1185" s="4">
        <v>15871</v>
      </c>
      <c r="AZ1185" s="9">
        <v>25.639792598934381</v>
      </c>
      <c r="BA1185" s="7">
        <f t="shared" si="286"/>
        <v>6.5715875584205921E-4</v>
      </c>
      <c r="BB1185" s="54">
        <f t="shared" si="280"/>
        <v>1368.3341829484671</v>
      </c>
      <c r="BC1185" s="55">
        <f t="shared" si="281"/>
        <v>2290.2499401222567</v>
      </c>
      <c r="BD1185" s="55">
        <f t="shared" si="282"/>
        <v>47.856555874010162</v>
      </c>
      <c r="BE1185" s="55">
        <f t="shared" si="283"/>
        <v>46.898562968594334</v>
      </c>
      <c r="BF1185" s="56">
        <f t="shared" si="284"/>
        <v>0.71409155817536474</v>
      </c>
      <c r="BG1185" s="56">
        <f t="shared" si="287"/>
        <v>6.2374392042440342E-4</v>
      </c>
      <c r="BH1185" s="56">
        <f t="shared" si="288"/>
        <v>2.4974865773901636E-2</v>
      </c>
      <c r="BI1185" s="56">
        <f t="shared" si="285"/>
        <v>2.4474918717784629E-2</v>
      </c>
      <c r="BJ1185" s="57">
        <f t="shared" si="289"/>
        <v>3.6061647408800378E-2</v>
      </c>
      <c r="BK1185" s="57">
        <f t="shared" si="290"/>
        <v>1.2612315512059054E-3</v>
      </c>
      <c r="BL1185" s="58">
        <f t="shared" si="291"/>
        <v>63.627665151912808</v>
      </c>
      <c r="BM1185" s="58">
        <f t="shared" si="291"/>
        <v>2.2253342424831413</v>
      </c>
    </row>
    <row r="1186" spans="47:65" x14ac:dyDescent="0.2">
      <c r="AU1186" s="2">
        <v>-451</v>
      </c>
      <c r="AV1186" s="53">
        <v>1184</v>
      </c>
      <c r="AW1186" s="4" t="s">
        <v>2308</v>
      </c>
      <c r="AX1186" t="s">
        <v>660</v>
      </c>
      <c r="AY1186" s="4">
        <v>32751</v>
      </c>
      <c r="AZ1186" s="9">
        <v>25.641033832639586</v>
      </c>
      <c r="BA1186" s="7">
        <f t="shared" si="286"/>
        <v>6.5719056918821922E-4</v>
      </c>
      <c r="BB1186" s="54">
        <f t="shared" si="280"/>
        <v>1369.4399415429748</v>
      </c>
      <c r="BC1186" s="55">
        <f t="shared" si="281"/>
        <v>2292.8917458269057</v>
      </c>
      <c r="BD1186" s="55">
        <f t="shared" si="282"/>
        <v>47.884149212729106</v>
      </c>
      <c r="BE1186" s="55">
        <f t="shared" si="283"/>
        <v>46.925603943645505</v>
      </c>
      <c r="BF1186" s="56">
        <f t="shared" si="284"/>
        <v>0.71466861960345596</v>
      </c>
      <c r="BG1186" s="56">
        <f t="shared" si="287"/>
        <v>6.2446340968995179E-4</v>
      </c>
      <c r="BH1186" s="56">
        <f t="shared" si="288"/>
        <v>2.498926588937642E-2</v>
      </c>
      <c r="BI1186" s="56">
        <f t="shared" si="285"/>
        <v>2.4489030571636528E-2</v>
      </c>
      <c r="BJ1186" s="57">
        <f t="shared" si="289"/>
        <v>7.4476052644723872E-2</v>
      </c>
      <c r="BK1186" s="57">
        <f t="shared" si="290"/>
        <v>2.6041466364688853E-3</v>
      </c>
      <c r="BL1186" s="58">
        <f t="shared" si="291"/>
        <v>131.40656847413723</v>
      </c>
      <c r="BM1186" s="58">
        <f t="shared" si="291"/>
        <v>4.5947920324706608</v>
      </c>
    </row>
    <row r="1187" spans="47:65" x14ac:dyDescent="0.2">
      <c r="AU1187" s="2">
        <v>-450</v>
      </c>
      <c r="AV1187" s="53">
        <v>1185</v>
      </c>
      <c r="AW1187" s="4" t="s">
        <v>1515</v>
      </c>
      <c r="AX1187" t="s">
        <v>110</v>
      </c>
      <c r="AY1187" s="4">
        <v>48763</v>
      </c>
      <c r="AZ1187" s="9">
        <v>25.65193824911454</v>
      </c>
      <c r="BA1187" s="7">
        <f t="shared" si="286"/>
        <v>6.5747005400605522E-4</v>
      </c>
      <c r="BB1187" s="54">
        <f t="shared" si="280"/>
        <v>1379.1926808989494</v>
      </c>
      <c r="BC1187" s="55">
        <f t="shared" si="281"/>
        <v>2316.2215548987406</v>
      </c>
      <c r="BD1187" s="55">
        <f t="shared" si="282"/>
        <v>48.127139483858173</v>
      </c>
      <c r="BE1187" s="55">
        <f t="shared" si="283"/>
        <v>47.163730033648804</v>
      </c>
      <c r="BF1187" s="56">
        <f t="shared" si="284"/>
        <v>0.71975827455030483</v>
      </c>
      <c r="BG1187" s="56">
        <f t="shared" si="287"/>
        <v>6.3081722562863935E-4</v>
      </c>
      <c r="BH1187" s="56">
        <f t="shared" si="288"/>
        <v>2.5116075044254813E-2</v>
      </c>
      <c r="BI1187" s="56">
        <f t="shared" si="285"/>
        <v>2.4613301259872333E-2</v>
      </c>
      <c r="BJ1187" s="57">
        <f t="shared" si="289"/>
        <v>0.11167718413138972</v>
      </c>
      <c r="BK1187" s="57">
        <f t="shared" si="290"/>
        <v>3.8969924161379121E-3</v>
      </c>
      <c r="BL1187" s="58">
        <f t="shared" si="291"/>
        <v>197.04475495721547</v>
      </c>
      <c r="BM1187" s="58">
        <f t="shared" si="291"/>
        <v>6.8759068531366125</v>
      </c>
    </row>
    <row r="1188" spans="47:65" x14ac:dyDescent="0.2">
      <c r="AU1188" s="2">
        <v>-449</v>
      </c>
      <c r="AV1188" s="53">
        <v>1186</v>
      </c>
      <c r="AW1188" s="4" t="s">
        <v>3032</v>
      </c>
      <c r="AX1188" t="s">
        <v>1194</v>
      </c>
      <c r="AY1188" s="4">
        <v>36115</v>
      </c>
      <c r="AZ1188" s="9">
        <v>25.653278438040221</v>
      </c>
      <c r="BA1188" s="7">
        <f t="shared" si="286"/>
        <v>6.5750440361647406E-4</v>
      </c>
      <c r="BB1188" s="54">
        <f t="shared" si="280"/>
        <v>1380.3961081032339</v>
      </c>
      <c r="BC1188" s="55">
        <f t="shared" si="281"/>
        <v>2319.1039292164819</v>
      </c>
      <c r="BD1188" s="55">
        <f t="shared" si="282"/>
        <v>48.15707558829213</v>
      </c>
      <c r="BE1188" s="55">
        <f t="shared" si="283"/>
        <v>47.193066876912795</v>
      </c>
      <c r="BF1188" s="56">
        <f t="shared" si="284"/>
        <v>0.72038630622426825</v>
      </c>
      <c r="BG1188" s="56">
        <f t="shared" si="287"/>
        <v>6.3160223316239639E-4</v>
      </c>
      <c r="BH1188" s="56">
        <f t="shared" si="288"/>
        <v>2.5131697777157763E-2</v>
      </c>
      <c r="BI1188" s="56">
        <f t="shared" si="285"/>
        <v>2.462861125678727E-2</v>
      </c>
      <c r="BJ1188" s="57">
        <f t="shared" si="289"/>
        <v>8.2782862606181992E-2</v>
      </c>
      <c r="BK1188" s="57">
        <f t="shared" si="290"/>
        <v>2.8879975454431449E-3</v>
      </c>
      <c r="BL1188" s="58">
        <f t="shared" si="291"/>
        <v>146.06321787000613</v>
      </c>
      <c r="BM1188" s="58">
        <f t="shared" si="291"/>
        <v>5.0956224683223734</v>
      </c>
    </row>
    <row r="1189" spans="47:65" x14ac:dyDescent="0.2">
      <c r="AU1189" s="2">
        <v>-448</v>
      </c>
      <c r="AV1189" s="53">
        <v>1187</v>
      </c>
      <c r="AW1189" s="4" t="s">
        <v>2844</v>
      </c>
      <c r="AX1189" t="s">
        <v>1072</v>
      </c>
      <c r="AY1189" s="4">
        <v>40815</v>
      </c>
      <c r="AZ1189" s="9">
        <v>25.657164322175422</v>
      </c>
      <c r="BA1189" s="7">
        <f t="shared" si="286"/>
        <v>6.5760400047451344E-4</v>
      </c>
      <c r="BB1189" s="54">
        <f t="shared" si="280"/>
        <v>1383.8913910779092</v>
      </c>
      <c r="BC1189" s="55">
        <f t="shared" si="281"/>
        <v>2327.4801033928497</v>
      </c>
      <c r="BD1189" s="55">
        <f t="shared" si="282"/>
        <v>48.243964424504441</v>
      </c>
      <c r="BE1189" s="55">
        <f t="shared" si="283"/>
        <v>47.27821637173016</v>
      </c>
      <c r="BF1189" s="56">
        <f t="shared" si="284"/>
        <v>0.72221038699105211</v>
      </c>
      <c r="BG1189" s="56">
        <f t="shared" si="287"/>
        <v>6.3388346353259871E-4</v>
      </c>
      <c r="BH1189" s="56">
        <f t="shared" si="288"/>
        <v>2.5177042390491355E-2</v>
      </c>
      <c r="BI1189" s="56">
        <f t="shared" si="285"/>
        <v>2.4673048161300636E-2</v>
      </c>
      <c r="BJ1189" s="57">
        <f t="shared" si="289"/>
        <v>9.3793102822911159E-2</v>
      </c>
      <c r="BK1189" s="57">
        <f t="shared" si="290"/>
        <v>3.26972994053242E-3</v>
      </c>
      <c r="BL1189" s="58">
        <f t="shared" si="291"/>
        <v>165.48983667670007</v>
      </c>
      <c r="BM1189" s="58">
        <f t="shared" si="291"/>
        <v>5.769156340389757</v>
      </c>
    </row>
    <row r="1190" spans="47:65" x14ac:dyDescent="0.2">
      <c r="AU1190" s="2">
        <v>-447</v>
      </c>
      <c r="AV1190" s="53">
        <v>1188</v>
      </c>
      <c r="AW1190" s="4" t="s">
        <v>1382</v>
      </c>
      <c r="AX1190" t="s">
        <v>5</v>
      </c>
      <c r="AY1190" s="4">
        <v>28262</v>
      </c>
      <c r="AZ1190" s="9">
        <v>25.657545975512566</v>
      </c>
      <c r="BA1190" s="7">
        <f t="shared" si="286"/>
        <v>6.5761378241136934E-4</v>
      </c>
      <c r="BB1190" s="54">
        <f t="shared" si="280"/>
        <v>1384.2351583819468</v>
      </c>
      <c r="BC1190" s="55">
        <f t="shared" si="281"/>
        <v>2328.3042751351545</v>
      </c>
      <c r="BD1190" s="55">
        <f t="shared" si="282"/>
        <v>48.252505376769342</v>
      </c>
      <c r="BE1190" s="55">
        <f t="shared" si="283"/>
        <v>47.286586351146603</v>
      </c>
      <c r="BF1190" s="56">
        <f t="shared" si="284"/>
        <v>0.72238978858230751</v>
      </c>
      <c r="BG1190" s="56">
        <f t="shared" si="287"/>
        <v>6.3410792467318629E-4</v>
      </c>
      <c r="BH1190" s="56">
        <f t="shared" si="288"/>
        <v>2.5181499650997481E-2</v>
      </c>
      <c r="BI1190" s="56">
        <f t="shared" si="285"/>
        <v>2.4677416196331497E-2</v>
      </c>
      <c r="BJ1190" s="57">
        <f t="shared" si="289"/>
        <v>6.4962370269042155E-2</v>
      </c>
      <c r="BK1190" s="57">
        <f t="shared" si="290"/>
        <v>2.2644975470489624E-3</v>
      </c>
      <c r="BL1190" s="58">
        <f t="shared" si="291"/>
        <v>114.62049684242893</v>
      </c>
      <c r="BM1190" s="58">
        <f t="shared" si="291"/>
        <v>3.9955105219568332</v>
      </c>
    </row>
    <row r="1191" spans="47:65" x14ac:dyDescent="0.2">
      <c r="AU1191" s="2">
        <v>-446</v>
      </c>
      <c r="AV1191" s="53">
        <v>1189</v>
      </c>
      <c r="AW1191" s="4" t="s">
        <v>3157</v>
      </c>
      <c r="AX1191" t="s">
        <v>3158</v>
      </c>
      <c r="AY1191" s="5">
        <v>8770.9850000000024</v>
      </c>
      <c r="AZ1191" s="9">
        <v>25.65937106286669</v>
      </c>
      <c r="BA1191" s="7">
        <f t="shared" si="286"/>
        <v>6.57660560174111E-4</v>
      </c>
      <c r="BB1191" s="54">
        <f t="shared" si="280"/>
        <v>1385.8802536744511</v>
      </c>
      <c r="BC1191" s="55">
        <f t="shared" si="281"/>
        <v>2332.2492325705721</v>
      </c>
      <c r="BD1191" s="55">
        <f t="shared" si="282"/>
        <v>48.293366341254078</v>
      </c>
      <c r="BE1191" s="55">
        <f t="shared" si="283"/>
        <v>47.326629360528429</v>
      </c>
      <c r="BF1191" s="56">
        <f t="shared" si="284"/>
        <v>0.7232483132580857</v>
      </c>
      <c r="BG1191" s="56">
        <f t="shared" si="287"/>
        <v>6.3518232409724013E-4</v>
      </c>
      <c r="BH1191" s="56">
        <f t="shared" si="288"/>
        <v>2.5202823732614569E-2</v>
      </c>
      <c r="BI1191" s="56">
        <f t="shared" si="285"/>
        <v>2.469831341231794E-2</v>
      </c>
      <c r="BJ1191" s="57">
        <f t="shared" si="289"/>
        <v>2.0184740477630171E-2</v>
      </c>
      <c r="BK1191" s="57">
        <f t="shared" si="290"/>
        <v>7.033717839653688E-4</v>
      </c>
      <c r="BL1191" s="58">
        <f t="shared" si="291"/>
        <v>35.614232864344807</v>
      </c>
      <c r="BM1191" s="58">
        <f t="shared" si="291"/>
        <v>1.2410388199993998</v>
      </c>
    </row>
    <row r="1192" spans="47:65" x14ac:dyDescent="0.2">
      <c r="AU1192" s="2">
        <v>-445</v>
      </c>
      <c r="AV1192" s="53">
        <v>1190</v>
      </c>
      <c r="AW1192" s="4" t="s">
        <v>2283</v>
      </c>
      <c r="AX1192" t="s">
        <v>638</v>
      </c>
      <c r="AY1192" s="4">
        <v>34087</v>
      </c>
      <c r="AZ1192" s="9">
        <v>25.659797491734064</v>
      </c>
      <c r="BA1192" s="7">
        <f t="shared" si="286"/>
        <v>6.5767148972679197E-4</v>
      </c>
      <c r="BB1192" s="54">
        <f t="shared" si="280"/>
        <v>1386.2649093809159</v>
      </c>
      <c r="BC1192" s="55">
        <f t="shared" si="281"/>
        <v>2333.1718538474656</v>
      </c>
      <c r="BD1192" s="55">
        <f t="shared" si="282"/>
        <v>48.302917653568976</v>
      </c>
      <c r="BE1192" s="55">
        <f t="shared" si="283"/>
        <v>47.335989474599572</v>
      </c>
      <c r="BF1192" s="56">
        <f t="shared" si="284"/>
        <v>0.7234490532499771</v>
      </c>
      <c r="BG1192" s="56">
        <f t="shared" si="287"/>
        <v>6.3543359772560439E-4</v>
      </c>
      <c r="BH1192" s="56">
        <f t="shared" si="288"/>
        <v>2.5207808268978966E-2</v>
      </c>
      <c r="BI1192" s="56">
        <f t="shared" si="285"/>
        <v>2.4703198168194863E-2</v>
      </c>
      <c r="BJ1192" s="57">
        <f t="shared" si="289"/>
        <v>7.8466468213541724E-2</v>
      </c>
      <c r="BK1192" s="57">
        <f t="shared" si="290"/>
        <v>2.7340801365143739E-3</v>
      </c>
      <c r="BL1192" s="58">
        <f t="shared" si="291"/>
        <v>138.44731241884566</v>
      </c>
      <c r="BM1192" s="58">
        <f t="shared" si="291"/>
        <v>4.8240484815504905</v>
      </c>
    </row>
    <row r="1193" spans="47:65" x14ac:dyDescent="0.2">
      <c r="AU1193" s="2">
        <v>-444</v>
      </c>
      <c r="AV1193" s="53">
        <v>1191</v>
      </c>
      <c r="AW1193" s="4" t="s">
        <v>2576</v>
      </c>
      <c r="AX1193" t="s">
        <v>877</v>
      </c>
      <c r="AY1193" s="4">
        <v>25342</v>
      </c>
      <c r="AZ1193" s="9">
        <v>25.661296250737017</v>
      </c>
      <c r="BA1193" s="7">
        <f t="shared" si="286"/>
        <v>6.5770990355552665E-4</v>
      </c>
      <c r="BB1193" s="54">
        <f t="shared" si="280"/>
        <v>1387.6176965872367</v>
      </c>
      <c r="BC1193" s="55">
        <f t="shared" si="281"/>
        <v>2336.4172392374617</v>
      </c>
      <c r="BD1193" s="55">
        <f t="shared" si="282"/>
        <v>48.33650007227935</v>
      </c>
      <c r="BE1193" s="55">
        <f t="shared" si="283"/>
        <v>47.368899640192609</v>
      </c>
      <c r="BF1193" s="56">
        <f t="shared" si="284"/>
        <v>0.72415503131884262</v>
      </c>
      <c r="BG1193" s="56">
        <f t="shared" si="287"/>
        <v>6.3631747042918504E-4</v>
      </c>
      <c r="BH1193" s="56">
        <f t="shared" si="288"/>
        <v>2.5225333901242715E-2</v>
      </c>
      <c r="BI1193" s="56">
        <f t="shared" si="285"/>
        <v>2.4720372972216482E-2</v>
      </c>
      <c r="BJ1193" s="57">
        <f t="shared" si="289"/>
        <v>5.8392868640523517E-2</v>
      </c>
      <c r="BK1193" s="57">
        <f t="shared" si="290"/>
        <v>2.0340666641865302E-3</v>
      </c>
      <c r="BL1193" s="58">
        <f t="shared" si="291"/>
        <v>103.02917809052074</v>
      </c>
      <c r="BM1193" s="58">
        <f t="shared" si="291"/>
        <v>3.5889351126522531</v>
      </c>
    </row>
    <row r="1194" spans="47:65" x14ac:dyDescent="0.2">
      <c r="AU1194" s="2">
        <v>-443</v>
      </c>
      <c r="AV1194" s="53">
        <v>1192</v>
      </c>
      <c r="AW1194" s="4" t="s">
        <v>1652</v>
      </c>
      <c r="AX1194" t="s">
        <v>199</v>
      </c>
      <c r="AY1194" s="4">
        <v>18443</v>
      </c>
      <c r="AZ1194" s="9">
        <v>25.682934093618517</v>
      </c>
      <c r="BA1194" s="7">
        <f t="shared" si="286"/>
        <v>6.5826449064324368E-4</v>
      </c>
      <c r="BB1194" s="54">
        <f t="shared" si="280"/>
        <v>1407.2958833661078</v>
      </c>
      <c r="BC1194" s="55">
        <f t="shared" si="281"/>
        <v>2383.7376040056256</v>
      </c>
      <c r="BD1194" s="55">
        <f t="shared" si="282"/>
        <v>48.823535349313097</v>
      </c>
      <c r="BE1194" s="55">
        <f t="shared" si="283"/>
        <v>47.846185441285925</v>
      </c>
      <c r="BF1194" s="56">
        <f t="shared" si="284"/>
        <v>0.73442447224497054</v>
      </c>
      <c r="BG1194" s="56">
        <f t="shared" si="287"/>
        <v>6.492050550195174E-4</v>
      </c>
      <c r="BH1194" s="56">
        <f t="shared" si="288"/>
        <v>2.5479502644665523E-2</v>
      </c>
      <c r="BI1194" s="56">
        <f t="shared" si="285"/>
        <v>2.4969453763768735E-2</v>
      </c>
      <c r="BJ1194" s="57">
        <f t="shared" si="289"/>
        <v>4.3098889313449996E-2</v>
      </c>
      <c r="BK1194" s="57">
        <f t="shared" si="290"/>
        <v>1.4952364820952034E-3</v>
      </c>
      <c r="BL1194" s="58">
        <f t="shared" si="291"/>
        <v>76.044271260506278</v>
      </c>
      <c r="BM1194" s="58">
        <f t="shared" si="291"/>
        <v>2.6382157511323334</v>
      </c>
    </row>
    <row r="1195" spans="47:65" x14ac:dyDescent="0.2">
      <c r="AU1195" s="2">
        <v>-442</v>
      </c>
      <c r="AV1195" s="53">
        <v>1193</v>
      </c>
      <c r="AW1195" s="4" t="s">
        <v>2892</v>
      </c>
      <c r="AX1195" t="s">
        <v>1108</v>
      </c>
      <c r="AY1195" s="4">
        <v>34721</v>
      </c>
      <c r="AZ1195" s="9">
        <v>25.713653819704213</v>
      </c>
      <c r="BA1195" s="7">
        <f t="shared" si="286"/>
        <v>6.5905185024829464E-4</v>
      </c>
      <c r="BB1195" s="54">
        <f t="shared" si="280"/>
        <v>1435.7137664763964</v>
      </c>
      <c r="BC1195" s="55">
        <f t="shared" si="281"/>
        <v>2452.4371766371564</v>
      </c>
      <c r="BD1195" s="55">
        <f t="shared" si="282"/>
        <v>49.522087765331101</v>
      </c>
      <c r="BE1195" s="55">
        <f t="shared" si="283"/>
        <v>48.530754229640294</v>
      </c>
      <c r="BF1195" s="56">
        <f t="shared" si="284"/>
        <v>0.74925489209646057</v>
      </c>
      <c r="BG1195" s="56">
        <f t="shared" si="287"/>
        <v>6.6791521412230782E-4</v>
      </c>
      <c r="BH1195" s="56">
        <f t="shared" si="288"/>
        <v>2.5844055682541542E-2</v>
      </c>
      <c r="BI1195" s="56">
        <f t="shared" si="285"/>
        <v>2.5326709176114567E-2</v>
      </c>
      <c r="BJ1195" s="57">
        <f t="shared" si="289"/>
        <v>8.2776904993365402E-2</v>
      </c>
      <c r="BK1195" s="57">
        <f t="shared" si="290"/>
        <v>2.8552245229805854E-3</v>
      </c>
      <c r="BL1195" s="58">
        <f t="shared" si="291"/>
        <v>146.05270617626397</v>
      </c>
      <c r="BM1195" s="58">
        <f t="shared" si="291"/>
        <v>5.0377972981180035</v>
      </c>
    </row>
    <row r="1196" spans="47:65" x14ac:dyDescent="0.2">
      <c r="AU1196" s="2">
        <v>-441</v>
      </c>
      <c r="AV1196" s="53">
        <v>1194</v>
      </c>
      <c r="AW1196" s="4" t="s">
        <v>3021</v>
      </c>
      <c r="AX1196" t="s">
        <v>1183</v>
      </c>
      <c r="AY1196" s="4">
        <v>100416</v>
      </c>
      <c r="AZ1196" s="9">
        <v>25.714649745834731</v>
      </c>
      <c r="BA1196" s="7">
        <f t="shared" si="286"/>
        <v>6.5907737625730254E-4</v>
      </c>
      <c r="BB1196" s="54">
        <f t="shared" si="280"/>
        <v>1436.6446098687538</v>
      </c>
      <c r="BC1196" s="55">
        <f t="shared" si="281"/>
        <v>2454.694600675728</v>
      </c>
      <c r="BD1196" s="55">
        <f t="shared" si="282"/>
        <v>49.544874615602048</v>
      </c>
      <c r="BE1196" s="55">
        <f t="shared" si="283"/>
        <v>48.553084932566371</v>
      </c>
      <c r="BF1196" s="56">
        <f t="shared" si="284"/>
        <v>0.74974067065607519</v>
      </c>
      <c r="BG1196" s="56">
        <f t="shared" si="287"/>
        <v>6.6853001798940204E-4</v>
      </c>
      <c r="BH1196" s="56">
        <f t="shared" si="288"/>
        <v>2.5855947439407476E-2</v>
      </c>
      <c r="BI1196" s="56">
        <f t="shared" si="285"/>
        <v>2.5338362883699637E-2</v>
      </c>
      <c r="BJ1196" s="57">
        <f t="shared" si="289"/>
        <v>0.23955285991416966</v>
      </c>
      <c r="BK1196" s="57">
        <f t="shared" si="290"/>
        <v>8.2613447520199865E-3</v>
      </c>
      <c r="BL1196" s="58">
        <f t="shared" si="291"/>
        <v>422.67035069180463</v>
      </c>
      <c r="BM1196" s="58">
        <f t="shared" si="291"/>
        <v>14.576429956934295</v>
      </c>
    </row>
    <row r="1197" spans="47:65" x14ac:dyDescent="0.2">
      <c r="AU1197" s="2">
        <v>-440</v>
      </c>
      <c r="AV1197" s="53">
        <v>1195</v>
      </c>
      <c r="AW1197" s="4" t="s">
        <v>2833</v>
      </c>
      <c r="AX1197" t="s">
        <v>1351</v>
      </c>
      <c r="AY1197" s="4">
        <v>24061</v>
      </c>
      <c r="AZ1197" s="9">
        <v>25.720828320763854</v>
      </c>
      <c r="BA1197" s="7">
        <f t="shared" si="286"/>
        <v>6.5923573575251424E-4</v>
      </c>
      <c r="BB1197" s="54">
        <f t="shared" si="280"/>
        <v>1442.432923570444</v>
      </c>
      <c r="BC1197" s="55">
        <f t="shared" si="281"/>
        <v>2468.7420958873481</v>
      </c>
      <c r="BD1197" s="55">
        <f t="shared" si="282"/>
        <v>49.686437746002156</v>
      </c>
      <c r="BE1197" s="55">
        <f t="shared" si="283"/>
        <v>48.691814251127852</v>
      </c>
      <c r="BF1197" s="56">
        <f t="shared" si="284"/>
        <v>0.7527614136894345</v>
      </c>
      <c r="BG1197" s="56">
        <f t="shared" si="287"/>
        <v>6.7235581865068546E-4</v>
      </c>
      <c r="BH1197" s="56">
        <f t="shared" si="288"/>
        <v>2.5929824886618217E-2</v>
      </c>
      <c r="BI1197" s="56">
        <f t="shared" si="285"/>
        <v>2.5410761451601042E-2</v>
      </c>
      <c r="BJ1197" s="57">
        <f t="shared" si="289"/>
        <v>5.7631297119503481E-2</v>
      </c>
      <c r="BK1197" s="57">
        <f t="shared" si="290"/>
        <v>1.9851833730068417E-3</v>
      </c>
      <c r="BL1197" s="58">
        <f t="shared" si="291"/>
        <v>101.68545085644907</v>
      </c>
      <c r="BM1197" s="58">
        <f t="shared" si="291"/>
        <v>3.5026847634254001</v>
      </c>
    </row>
    <row r="1198" spans="47:65" x14ac:dyDescent="0.2">
      <c r="AU1198" s="2">
        <v>-439</v>
      </c>
      <c r="AV1198" s="53">
        <v>1196</v>
      </c>
      <c r="AW1198" s="4" t="s">
        <v>2026</v>
      </c>
      <c r="AX1198" t="s">
        <v>451</v>
      </c>
      <c r="AY1198" s="4">
        <v>29836</v>
      </c>
      <c r="AZ1198" s="9">
        <v>25.721636808989782</v>
      </c>
      <c r="BA1198" s="7">
        <f t="shared" si="286"/>
        <v>6.5925645764855197E-4</v>
      </c>
      <c r="BB1198" s="54">
        <f t="shared" si="280"/>
        <v>1443.1920683818641</v>
      </c>
      <c r="BC1198" s="55">
        <f t="shared" si="281"/>
        <v>2470.5857220696807</v>
      </c>
      <c r="BD1198" s="55">
        <f t="shared" si="282"/>
        <v>49.704986893365948</v>
      </c>
      <c r="BE1198" s="55">
        <f t="shared" si="283"/>
        <v>48.709992081516333</v>
      </c>
      <c r="BF1198" s="56">
        <f t="shared" si="284"/>
        <v>0.75315758803633259</v>
      </c>
      <c r="BG1198" s="56">
        <f t="shared" si="287"/>
        <v>6.728579256926251E-4</v>
      </c>
      <c r="BH1198" s="56">
        <f t="shared" si="288"/>
        <v>2.593950511657123E-2</v>
      </c>
      <c r="BI1198" s="56">
        <f t="shared" si="285"/>
        <v>2.5420247902636028E-2</v>
      </c>
      <c r="BJ1198" s="57">
        <f t="shared" si="289"/>
        <v>7.1501281657581447E-2</v>
      </c>
      <c r="BK1198" s="57">
        <f t="shared" si="290"/>
        <v>2.4625760808357714E-3</v>
      </c>
      <c r="BL1198" s="58">
        <f t="shared" si="291"/>
        <v>126.15784175547566</v>
      </c>
      <c r="BM1198" s="58">
        <f t="shared" si="291"/>
        <v>4.3450030029490705</v>
      </c>
    </row>
    <row r="1199" spans="47:65" x14ac:dyDescent="0.2">
      <c r="AU1199" s="2">
        <v>-438</v>
      </c>
      <c r="AV1199" s="53">
        <v>1197</v>
      </c>
      <c r="AW1199" s="4" t="s">
        <v>1928</v>
      </c>
      <c r="AX1199" t="s">
        <v>383</v>
      </c>
      <c r="AY1199" s="4">
        <v>25614</v>
      </c>
      <c r="AZ1199" s="9">
        <v>25.723582277610952</v>
      </c>
      <c r="BA1199" s="7">
        <f t="shared" si="286"/>
        <v>6.5930632083421089E-4</v>
      </c>
      <c r="BB1199" s="54">
        <f t="shared" si="280"/>
        <v>1445.0204396861991</v>
      </c>
      <c r="BC1199" s="55">
        <f t="shared" si="281"/>
        <v>2475.0272393600471</v>
      </c>
      <c r="BD1199" s="55">
        <f t="shared" si="282"/>
        <v>49.749645620446856</v>
      </c>
      <c r="BE1199" s="55">
        <f t="shared" si="283"/>
        <v>48.753756829853323</v>
      </c>
      <c r="BF1199" s="56">
        <f t="shared" si="284"/>
        <v>0.75411175883021142</v>
      </c>
      <c r="BG1199" s="56">
        <f t="shared" si="287"/>
        <v>6.7406756196808977E-4</v>
      </c>
      <c r="BH1199" s="56">
        <f t="shared" si="288"/>
        <v>2.5962811133775361E-2</v>
      </c>
      <c r="BI1199" s="56">
        <f t="shared" si="285"/>
        <v>2.5443087379807612E-2</v>
      </c>
      <c r="BJ1199" s="57">
        <f t="shared" si="289"/>
        <v>6.1461122832136852E-2</v>
      </c>
      <c r="BK1199" s="57">
        <f t="shared" si="290"/>
        <v>2.1160040345158059E-3</v>
      </c>
      <c r="BL1199" s="58">
        <f t="shared" si="291"/>
        <v>108.44284785695753</v>
      </c>
      <c r="BM1199" s="58">
        <f t="shared" si="291"/>
        <v>3.7335065323558116</v>
      </c>
    </row>
    <row r="1200" spans="47:65" x14ac:dyDescent="0.2">
      <c r="AU1200" s="2">
        <v>-437</v>
      </c>
      <c r="AV1200" s="53">
        <v>1198</v>
      </c>
      <c r="AW1200" s="4" t="s">
        <v>1411</v>
      </c>
      <c r="AX1200" t="s">
        <v>26</v>
      </c>
      <c r="AY1200" s="4">
        <v>22344</v>
      </c>
      <c r="AZ1200" s="9">
        <v>25.729956123000097</v>
      </c>
      <c r="BA1200" s="7">
        <f t="shared" si="286"/>
        <v>6.5946968519410955E-4</v>
      </c>
      <c r="BB1200" s="54">
        <f t="shared" si="280"/>
        <v>1451.0268878438001</v>
      </c>
      <c r="BC1200" s="55">
        <f t="shared" si="281"/>
        <v>2489.6302681269312</v>
      </c>
      <c r="BD1200" s="55">
        <f t="shared" si="282"/>
        <v>49.896194926336129</v>
      </c>
      <c r="BE1200" s="55">
        <f t="shared" si="283"/>
        <v>48.897372510604484</v>
      </c>
      <c r="BF1200" s="56">
        <f t="shared" si="284"/>
        <v>0.75724633953235987</v>
      </c>
      <c r="BG1200" s="56">
        <f t="shared" si="287"/>
        <v>6.7804466082240378E-4</v>
      </c>
      <c r="BH1200" s="56">
        <f t="shared" si="288"/>
        <v>2.603929071273647E-2</v>
      </c>
      <c r="BI1200" s="56">
        <f t="shared" si="285"/>
        <v>2.5518035989965892E-2</v>
      </c>
      <c r="BJ1200" s="57">
        <f t="shared" si="289"/>
        <v>5.3837573478823078E-2</v>
      </c>
      <c r="BK1200" s="57">
        <f t="shared" si="290"/>
        <v>1.8513027450870587E-3</v>
      </c>
      <c r="BL1200" s="58">
        <f t="shared" si="291"/>
        <v>94.991752846712515</v>
      </c>
      <c r="BM1200" s="58">
        <f t="shared" si="291"/>
        <v>3.2664639478026243</v>
      </c>
    </row>
    <row r="1201" spans="47:65" x14ac:dyDescent="0.2">
      <c r="AU1201" s="2">
        <v>-436</v>
      </c>
      <c r="AV1201" s="53">
        <v>1199</v>
      </c>
      <c r="AW1201" s="4" t="s">
        <v>2004</v>
      </c>
      <c r="AX1201" t="s">
        <v>431</v>
      </c>
      <c r="AY1201" s="4">
        <v>22900</v>
      </c>
      <c r="AZ1201" s="9">
        <v>25.735295019740725</v>
      </c>
      <c r="BA1201" s="7">
        <f t="shared" si="286"/>
        <v>6.5960652338131808E-4</v>
      </c>
      <c r="BB1201" s="54">
        <f t="shared" si="280"/>
        <v>1456.0772554026075</v>
      </c>
      <c r="BC1201" s="55">
        <f t="shared" si="281"/>
        <v>2501.9230757448072</v>
      </c>
      <c r="BD1201" s="55">
        <f t="shared" si="282"/>
        <v>50.019227060649463</v>
      </c>
      <c r="BE1201" s="55">
        <f t="shared" si="283"/>
        <v>49.017941786702096</v>
      </c>
      <c r="BF1201" s="56">
        <f t="shared" si="284"/>
        <v>0.7598819711524496</v>
      </c>
      <c r="BG1201" s="56">
        <f t="shared" si="287"/>
        <v>6.8139257664694239E-4</v>
      </c>
      <c r="BH1201" s="56">
        <f t="shared" si="288"/>
        <v>2.6103497402588459E-2</v>
      </c>
      <c r="BI1201" s="56">
        <f t="shared" si="285"/>
        <v>2.5580957389804107E-2</v>
      </c>
      <c r="BJ1201" s="57">
        <f t="shared" si="289"/>
        <v>5.5369295166130504E-2</v>
      </c>
      <c r="BK1201" s="57">
        <f t="shared" si="290"/>
        <v>1.9020483541150827E-3</v>
      </c>
      <c r="BL1201" s="58">
        <f t="shared" si="291"/>
        <v>97.694343594192787</v>
      </c>
      <c r="BM1201" s="58">
        <f t="shared" si="291"/>
        <v>3.3560001961764865</v>
      </c>
    </row>
    <row r="1202" spans="47:65" x14ac:dyDescent="0.2">
      <c r="AU1202" s="2">
        <v>-435</v>
      </c>
      <c r="AV1202" s="53">
        <v>1200</v>
      </c>
      <c r="AW1202" s="4" t="s">
        <v>2169</v>
      </c>
      <c r="AX1202" t="s">
        <v>565</v>
      </c>
      <c r="AY1202" s="4">
        <v>59842</v>
      </c>
      <c r="AZ1202" s="9">
        <v>25.735863108195115</v>
      </c>
      <c r="BA1202" s="7">
        <f t="shared" si="286"/>
        <v>6.5962108372927936E-4</v>
      </c>
      <c r="BB1202" s="54">
        <f t="shared" si="280"/>
        <v>1456.6156764649918</v>
      </c>
      <c r="BC1202" s="55">
        <f t="shared" si="281"/>
        <v>2503.2343789467964</v>
      </c>
      <c r="BD1202" s="55">
        <f t="shared" si="282"/>
        <v>50.032333335022429</v>
      </c>
      <c r="BE1202" s="55">
        <f t="shared" si="283"/>
        <v>49.030785699573357</v>
      </c>
      <c r="BF1202" s="56">
        <f t="shared" si="284"/>
        <v>0.76016295655804944</v>
      </c>
      <c r="BG1202" s="56">
        <f t="shared" si="287"/>
        <v>6.8174970683863238E-4</v>
      </c>
      <c r="BH1202" s="56">
        <f t="shared" si="288"/>
        <v>2.6110337164399703E-2</v>
      </c>
      <c r="BI1202" s="56">
        <f t="shared" si="285"/>
        <v>2.5587660233210543E-2</v>
      </c>
      <c r="BJ1202" s="57">
        <f t="shared" si="289"/>
        <v>0.14474386801288011</v>
      </c>
      <c r="BK1202" s="57">
        <f t="shared" si="290"/>
        <v>4.9717118726858994E-3</v>
      </c>
      <c r="BL1202" s="58">
        <f t="shared" si="291"/>
        <v>255.38806539572249</v>
      </c>
      <c r="BM1202" s="58">
        <f t="shared" si="291"/>
        <v>8.7721565984212191</v>
      </c>
    </row>
    <row r="1203" spans="47:65" x14ac:dyDescent="0.2">
      <c r="AU1203" s="2">
        <v>-434</v>
      </c>
      <c r="AV1203" s="53">
        <v>1201</v>
      </c>
      <c r="AW1203" s="4" t="s">
        <v>2906</v>
      </c>
      <c r="AX1203" t="s">
        <v>1269</v>
      </c>
      <c r="AY1203" s="4">
        <v>31189</v>
      </c>
      <c r="AZ1203" s="9">
        <v>25.750427649510407</v>
      </c>
      <c r="BA1203" s="7">
        <f t="shared" si="286"/>
        <v>6.5999437909870307E-4</v>
      </c>
      <c r="BB1203" s="54">
        <f t="shared" si="280"/>
        <v>1470.4878078486192</v>
      </c>
      <c r="BC1203" s="55">
        <f t="shared" si="281"/>
        <v>2537.0698063880036</v>
      </c>
      <c r="BD1203" s="55">
        <f t="shared" si="282"/>
        <v>50.369333987933608</v>
      </c>
      <c r="BE1203" s="55">
        <f t="shared" si="283"/>
        <v>49.361040270809553</v>
      </c>
      <c r="BF1203" s="56">
        <f t="shared" si="284"/>
        <v>0.76740239560619417</v>
      </c>
      <c r="BG1203" s="56">
        <f t="shared" si="287"/>
        <v>6.9096470201956072E-4</v>
      </c>
      <c r="BH1203" s="56">
        <f t="shared" si="288"/>
        <v>2.6286207448385564E-2</v>
      </c>
      <c r="BI1203" s="56">
        <f t="shared" si="285"/>
        <v>2.5760009944492103E-2</v>
      </c>
      <c r="BJ1203" s="57">
        <f t="shared" si="289"/>
        <v>7.6157376192517112E-2</v>
      </c>
      <c r="BK1203" s="57">
        <f t="shared" si="290"/>
        <v>2.6086556424415293E-3</v>
      </c>
      <c r="BL1203" s="58">
        <f t="shared" si="291"/>
        <v>134.37311879554346</v>
      </c>
      <c r="BM1203" s="58">
        <f t="shared" si="291"/>
        <v>4.6027477844345981</v>
      </c>
    </row>
    <row r="1204" spans="47:65" x14ac:dyDescent="0.2">
      <c r="AU1204" s="2">
        <v>-433</v>
      </c>
      <c r="AV1204" s="53">
        <v>1202</v>
      </c>
      <c r="AW1204" s="4" t="s">
        <v>3026</v>
      </c>
      <c r="AX1204" t="s">
        <v>1188</v>
      </c>
      <c r="AY1204" s="4">
        <v>39489</v>
      </c>
      <c r="AZ1204" s="9">
        <v>25.755980031758046</v>
      </c>
      <c r="BA1204" s="7">
        <f t="shared" si="286"/>
        <v>6.6013668900997632E-4</v>
      </c>
      <c r="BB1204" s="54">
        <f t="shared" si="280"/>
        <v>1475.8109425461789</v>
      </c>
      <c r="BC1204" s="55">
        <f t="shared" si="281"/>
        <v>2550.0790217919198</v>
      </c>
      <c r="BD1204" s="55">
        <f t="shared" si="282"/>
        <v>50.498307118079907</v>
      </c>
      <c r="BE1204" s="55">
        <f t="shared" si="283"/>
        <v>49.487431615839625</v>
      </c>
      <c r="BF1204" s="56">
        <f t="shared" si="284"/>
        <v>0.77018037601326572</v>
      </c>
      <c r="BG1204" s="56">
        <f t="shared" si="287"/>
        <v>6.945077297369741E-4</v>
      </c>
      <c r="BH1204" s="56">
        <f t="shared" si="288"/>
        <v>2.6353514561382019E-2</v>
      </c>
      <c r="BI1204" s="56">
        <f t="shared" si="285"/>
        <v>2.5825969703180313E-2</v>
      </c>
      <c r="BJ1204" s="57">
        <f t="shared" si="289"/>
        <v>9.6773390469724746E-2</v>
      </c>
      <c r="BK1204" s="57">
        <f t="shared" si="290"/>
        <v>3.3113268454067588E-3</v>
      </c>
      <c r="BL1204" s="58">
        <f t="shared" si="291"/>
        <v>170.74829706532779</v>
      </c>
      <c r="BM1204" s="58">
        <f t="shared" si="291"/>
        <v>5.8425504897112468</v>
      </c>
    </row>
    <row r="1205" spans="47:65" x14ac:dyDescent="0.2">
      <c r="AU1205" s="2">
        <v>-432</v>
      </c>
      <c r="AV1205" s="53">
        <v>1203</v>
      </c>
      <c r="AW1205" s="4" t="s">
        <v>2408</v>
      </c>
      <c r="AX1205" t="s">
        <v>741</v>
      </c>
      <c r="AY1205" s="4">
        <v>73350</v>
      </c>
      <c r="AZ1205" s="9">
        <v>25.764568257890417</v>
      </c>
      <c r="BA1205" s="7">
        <f t="shared" si="286"/>
        <v>6.6035680888724372E-4</v>
      </c>
      <c r="BB1205" s="54">
        <f t="shared" si="280"/>
        <v>1484.082558831429</v>
      </c>
      <c r="BC1205" s="55">
        <f t="shared" si="281"/>
        <v>2570.3219405356504</v>
      </c>
      <c r="BD1205" s="55">
        <f t="shared" si="282"/>
        <v>50.698342581741763</v>
      </c>
      <c r="BE1205" s="55">
        <f t="shared" si="283"/>
        <v>49.683462768043626</v>
      </c>
      <c r="BF1205" s="56">
        <f t="shared" si="284"/>
        <v>0.77449707834765746</v>
      </c>
      <c r="BG1205" s="56">
        <f t="shared" si="287"/>
        <v>7.0002083871120431E-4</v>
      </c>
      <c r="BH1205" s="56">
        <f t="shared" si="288"/>
        <v>2.6457906922339951E-2</v>
      </c>
      <c r="BI1205" s="56">
        <f t="shared" si="285"/>
        <v>2.5928272337049637E-2</v>
      </c>
      <c r="BJ1205" s="57">
        <f t="shared" si="289"/>
        <v>0.18076205672621465</v>
      </c>
      <c r="BK1205" s="57">
        <f t="shared" si="290"/>
        <v>6.175085491808798E-3</v>
      </c>
      <c r="BL1205" s="58">
        <f t="shared" si="291"/>
        <v>318.93905142946602</v>
      </c>
      <c r="BM1205" s="58">
        <f t="shared" si="291"/>
        <v>10.895405512210772</v>
      </c>
    </row>
    <row r="1206" spans="47:65" x14ac:dyDescent="0.2">
      <c r="AU1206" s="2">
        <v>-431</v>
      </c>
      <c r="AV1206" s="53">
        <v>1204</v>
      </c>
      <c r="AW1206" s="4" t="s">
        <v>1637</v>
      </c>
      <c r="AX1206" t="s">
        <v>188</v>
      </c>
      <c r="AY1206" s="4">
        <v>75196</v>
      </c>
      <c r="AZ1206" s="9">
        <v>25.767197945376953</v>
      </c>
      <c r="BA1206" s="7">
        <f t="shared" si="286"/>
        <v>6.6042420889253777E-4</v>
      </c>
      <c r="BB1206" s="54">
        <f t="shared" si="280"/>
        <v>1486.6245612236919</v>
      </c>
      <c r="BC1206" s="55">
        <f t="shared" si="281"/>
        <v>2576.5497037631462</v>
      </c>
      <c r="BD1206" s="55">
        <f t="shared" si="282"/>
        <v>50.759725213629224</v>
      </c>
      <c r="BE1206" s="55">
        <f t="shared" si="283"/>
        <v>49.743616641931482</v>
      </c>
      <c r="BF1206" s="56">
        <f t="shared" si="284"/>
        <v>0.77582367127488061</v>
      </c>
      <c r="BG1206" s="56">
        <f t="shared" si="287"/>
        <v>7.0171695466034873E-4</v>
      </c>
      <c r="BH1206" s="56">
        <f t="shared" si="288"/>
        <v>2.6489940631499134E-2</v>
      </c>
      <c r="BI1206" s="56">
        <f t="shared" si="285"/>
        <v>2.5959664795171252E-2</v>
      </c>
      <c r="BJ1206" s="57">
        <f t="shared" si="289"/>
        <v>0.18562870616671176</v>
      </c>
      <c r="BK1206" s="57">
        <f t="shared" si="290"/>
        <v>6.3381585119435665E-3</v>
      </c>
      <c r="BL1206" s="58">
        <f t="shared" si="291"/>
        <v>327.52583443195653</v>
      </c>
      <c r="BM1206" s="58">
        <f t="shared" si="291"/>
        <v>11.183133784932837</v>
      </c>
    </row>
    <row r="1207" spans="47:65" x14ac:dyDescent="0.2">
      <c r="AU1207" s="2">
        <v>-430</v>
      </c>
      <c r="AV1207" s="53">
        <v>1205</v>
      </c>
      <c r="AW1207" s="4" t="s">
        <v>2631</v>
      </c>
      <c r="AX1207" t="s">
        <v>917</v>
      </c>
      <c r="AY1207" s="4">
        <v>34268</v>
      </c>
      <c r="AZ1207" s="9">
        <v>25.770948746031404</v>
      </c>
      <c r="BA1207" s="7">
        <f t="shared" si="286"/>
        <v>6.6052034350368876E-4</v>
      </c>
      <c r="BB1207" s="54">
        <f t="shared" si="280"/>
        <v>1490.2578306373719</v>
      </c>
      <c r="BC1207" s="55">
        <f t="shared" si="281"/>
        <v>2585.4565209449215</v>
      </c>
      <c r="BD1207" s="55">
        <f t="shared" si="282"/>
        <v>50.847384602798613</v>
      </c>
      <c r="BE1207" s="55">
        <f t="shared" si="283"/>
        <v>49.829521264770868</v>
      </c>
      <c r="BF1207" s="56">
        <f t="shared" si="284"/>
        <v>0.77771976292355716</v>
      </c>
      <c r="BG1207" s="56">
        <f t="shared" si="287"/>
        <v>7.0414270434386236E-4</v>
      </c>
      <c r="BH1207" s="56">
        <f t="shared" si="288"/>
        <v>2.6535687372741305E-2</v>
      </c>
      <c r="BI1207" s="56">
        <f t="shared" si="285"/>
        <v>2.6004495777793617E-2</v>
      </c>
      <c r="BJ1207" s="57">
        <f t="shared" si="289"/>
        <v>8.4800666467780839E-2</v>
      </c>
      <c r="BK1207" s="57">
        <f t="shared" si="290"/>
        <v>2.8933866434487383E-3</v>
      </c>
      <c r="BL1207" s="58">
        <f t="shared" si="291"/>
        <v>149.62345867078318</v>
      </c>
      <c r="BM1207" s="58">
        <f t="shared" si="291"/>
        <v>5.1051310667367389</v>
      </c>
    </row>
    <row r="1208" spans="47:65" x14ac:dyDescent="0.2">
      <c r="AU1208" s="2">
        <v>-429</v>
      </c>
      <c r="AV1208" s="53">
        <v>1206</v>
      </c>
      <c r="AW1208" s="4" t="s">
        <v>2192</v>
      </c>
      <c r="AX1208" t="s">
        <v>583</v>
      </c>
      <c r="AY1208" s="4">
        <v>54599</v>
      </c>
      <c r="AZ1208" s="9">
        <v>25.77590400232706</v>
      </c>
      <c r="BA1208" s="7">
        <f t="shared" si="286"/>
        <v>6.6064734882362525E-4</v>
      </c>
      <c r="BB1208" s="54">
        <f t="shared" si="280"/>
        <v>1495.0714333465139</v>
      </c>
      <c r="BC1208" s="55">
        <f t="shared" si="281"/>
        <v>2597.2668292654134</v>
      </c>
      <c r="BD1208" s="55">
        <f t="shared" si="282"/>
        <v>50.963387144747486</v>
      </c>
      <c r="BE1208" s="55">
        <f t="shared" si="283"/>
        <v>49.943201666938315</v>
      </c>
      <c r="BF1208" s="56">
        <f t="shared" si="284"/>
        <v>0.78023183424490705</v>
      </c>
      <c r="BG1208" s="56">
        <f t="shared" si="287"/>
        <v>7.073592126752051E-4</v>
      </c>
      <c r="BH1208" s="56">
        <f t="shared" si="288"/>
        <v>2.659622553437245E-2</v>
      </c>
      <c r="BI1208" s="56">
        <f t="shared" si="285"/>
        <v>2.6063822086037271E-2</v>
      </c>
      <c r="BJ1208" s="57">
        <f t="shared" si="289"/>
        <v>0.13554881544663702</v>
      </c>
      <c r="BK1208" s="57">
        <f t="shared" si="290"/>
        <v>4.6205329086895274E-3</v>
      </c>
      <c r="BL1208" s="58">
        <f t="shared" si="291"/>
        <v>239.16418856872053</v>
      </c>
      <c r="BM1208" s="58">
        <f t="shared" si="291"/>
        <v>8.152531619111377</v>
      </c>
    </row>
    <row r="1209" spans="47:65" x14ac:dyDescent="0.2">
      <c r="AU1209" s="2">
        <v>-428</v>
      </c>
      <c r="AV1209" s="53">
        <v>1207</v>
      </c>
      <c r="AW1209" s="4" t="s">
        <v>2100</v>
      </c>
      <c r="AX1209" t="s">
        <v>508</v>
      </c>
      <c r="AY1209" s="4">
        <v>47350</v>
      </c>
      <c r="AZ1209" s="9">
        <v>25.77868021778994</v>
      </c>
      <c r="BA1209" s="7">
        <f t="shared" si="286"/>
        <v>6.6071850440308226E-4</v>
      </c>
      <c r="BB1209" s="54">
        <f t="shared" si="280"/>
        <v>1497.775079454346</v>
      </c>
      <c r="BC1209" s="55">
        <f t="shared" si="281"/>
        <v>2603.9052555158482</v>
      </c>
      <c r="BD1209" s="55">
        <f t="shared" si="282"/>
        <v>51.028474947972413</v>
      </c>
      <c r="BE1209" s="55">
        <f t="shared" si="283"/>
        <v>50.006986542015156</v>
      </c>
      <c r="BF1209" s="56">
        <f t="shared" si="284"/>
        <v>0.78164278405961962</v>
      </c>
      <c r="BG1209" s="56">
        <f t="shared" si="287"/>
        <v>7.0916717168545982E-4</v>
      </c>
      <c r="BH1209" s="56">
        <f t="shared" si="288"/>
        <v>2.663019285858553E-2</v>
      </c>
      <c r="BI1209" s="56">
        <f t="shared" si="285"/>
        <v>2.6097109452091687E-2</v>
      </c>
      <c r="BJ1209" s="57">
        <f t="shared" si="289"/>
        <v>0.11776484869328072</v>
      </c>
      <c r="BK1209" s="57">
        <f t="shared" si="290"/>
        <v>4.0121916259192435E-3</v>
      </c>
      <c r="BL1209" s="58">
        <f t="shared" si="291"/>
        <v>207.78591378199619</v>
      </c>
      <c r="BM1209" s="58">
        <f t="shared" si="291"/>
        <v>7.0791659184432847</v>
      </c>
    </row>
    <row r="1210" spans="47:65" x14ac:dyDescent="0.2">
      <c r="AU1210" s="2">
        <v>-427</v>
      </c>
      <c r="AV1210" s="53">
        <v>1208</v>
      </c>
      <c r="AW1210" s="4" t="s">
        <v>1679</v>
      </c>
      <c r="AX1210" t="s">
        <v>219</v>
      </c>
      <c r="AY1210" s="4">
        <v>89440</v>
      </c>
      <c r="AZ1210" s="9">
        <v>25.783800510071096</v>
      </c>
      <c r="BA1210" s="7">
        <f t="shared" si="286"/>
        <v>6.6084973966530397E-4</v>
      </c>
      <c r="BB1210" s="54">
        <f t="shared" si="280"/>
        <v>1502.7743607980656</v>
      </c>
      <c r="BC1210" s="55">
        <f t="shared" si="281"/>
        <v>2616.1896438642243</v>
      </c>
      <c r="BD1210" s="55">
        <f t="shared" si="282"/>
        <v>51.148701292058476</v>
      </c>
      <c r="BE1210" s="55">
        <f t="shared" si="283"/>
        <v>50.124806194215957</v>
      </c>
      <c r="BF1210" s="56">
        <f t="shared" si="284"/>
        <v>0.78425175535404579</v>
      </c>
      <c r="BG1210" s="56">
        <f t="shared" si="287"/>
        <v>7.1251279454264251E-4</v>
      </c>
      <c r="BH1210" s="56">
        <f t="shared" si="288"/>
        <v>2.6692935292744455E-2</v>
      </c>
      <c r="BI1210" s="56">
        <f t="shared" si="285"/>
        <v>2.6158595907718622E-2</v>
      </c>
      <c r="BJ1210" s="57">
        <f t="shared" si="289"/>
        <v>0.22318996399051147</v>
      </c>
      <c r="BK1210" s="57">
        <f t="shared" si="290"/>
        <v>7.5965341819339213E-3</v>
      </c>
      <c r="BL1210" s="58">
        <f t="shared" si="291"/>
        <v>393.79943276219143</v>
      </c>
      <c r="BM1210" s="58">
        <f t="shared" si="291"/>
        <v>13.403429071440483</v>
      </c>
    </row>
    <row r="1211" spans="47:65" x14ac:dyDescent="0.2">
      <c r="AU1211" s="2">
        <v>-426</v>
      </c>
      <c r="AV1211" s="53">
        <v>1209</v>
      </c>
      <c r="AW1211" s="4" t="s">
        <v>1771</v>
      </c>
      <c r="AX1211" t="s">
        <v>269</v>
      </c>
      <c r="AY1211" s="4">
        <v>14861</v>
      </c>
      <c r="AZ1211" s="9">
        <v>25.787857136579703</v>
      </c>
      <c r="BA1211" s="7">
        <f t="shared" si="286"/>
        <v>6.6095371272277027E-4</v>
      </c>
      <c r="BB1211" s="54">
        <f t="shared" si="280"/>
        <v>1506.746959930638</v>
      </c>
      <c r="BC1211" s="55">
        <f t="shared" si="281"/>
        <v>2625.9598567473377</v>
      </c>
      <c r="BD1211" s="55">
        <f t="shared" si="282"/>
        <v>51.244120216346161</v>
      </c>
      <c r="BE1211" s="55">
        <f t="shared" si="283"/>
        <v>50.21831502173967</v>
      </c>
      <c r="BF1211" s="56">
        <f t="shared" si="284"/>
        <v>0.78632493275466508</v>
      </c>
      <c r="BG1211" s="56">
        <f t="shared" si="287"/>
        <v>7.1517368791521247E-4</v>
      </c>
      <c r="BH1211" s="56">
        <f t="shared" si="288"/>
        <v>2.6742731496898601E-2</v>
      </c>
      <c r="BI1211" s="56">
        <f t="shared" si="285"/>
        <v>2.6207395291073087E-2</v>
      </c>
      <c r="BJ1211" s="57">
        <f t="shared" si="289"/>
        <v>3.7182402928090275E-2</v>
      </c>
      <c r="BK1211" s="57">
        <f t="shared" si="290"/>
        <v>1.2645650372956653E-3</v>
      </c>
      <c r="BL1211" s="58">
        <f t="shared" si="291"/>
        <v>65.605141557528512</v>
      </c>
      <c r="BM1211" s="58">
        <f t="shared" si="291"/>
        <v>2.231215891047428</v>
      </c>
    </row>
    <row r="1212" spans="47:65" x14ac:dyDescent="0.2">
      <c r="AU1212" s="2">
        <v>-425</v>
      </c>
      <c r="AV1212" s="53">
        <v>1210</v>
      </c>
      <c r="AW1212" s="4" t="s">
        <v>1604</v>
      </c>
      <c r="AX1212" t="s">
        <v>167</v>
      </c>
      <c r="AY1212" s="4">
        <v>27427</v>
      </c>
      <c r="AZ1212" s="9">
        <v>25.788338519080195</v>
      </c>
      <c r="BA1212" s="7">
        <f t="shared" si="286"/>
        <v>6.6096605076036892E-4</v>
      </c>
      <c r="BB1212" s="54">
        <f t="shared" si="280"/>
        <v>1507.2190678085267</v>
      </c>
      <c r="BC1212" s="55">
        <f t="shared" si="281"/>
        <v>2627.1214650472898</v>
      </c>
      <c r="BD1212" s="55">
        <f t="shared" si="282"/>
        <v>51.255453027432019</v>
      </c>
      <c r="BE1212" s="55">
        <f t="shared" si="283"/>
        <v>50.22942097252561</v>
      </c>
      <c r="BF1212" s="56">
        <f t="shared" si="284"/>
        <v>0.78657131134722702</v>
      </c>
      <c r="BG1212" s="56">
        <f t="shared" si="287"/>
        <v>7.1549004906958959E-4</v>
      </c>
      <c r="BH1212" s="56">
        <f t="shared" si="288"/>
        <v>2.6748645742721063E-2</v>
      </c>
      <c r="BI1212" s="56">
        <f t="shared" si="285"/>
        <v>2.6213191145476957E-2</v>
      </c>
      <c r="BJ1212" s="57">
        <f t="shared" si="289"/>
        <v>6.8644189409826584E-2</v>
      </c>
      <c r="BK1212" s="57">
        <f t="shared" si="290"/>
        <v>2.3343580910353645E-3</v>
      </c>
      <c r="BL1212" s="58">
        <f t="shared" si="291"/>
        <v>121.11674901815638</v>
      </c>
      <c r="BM1212" s="58">
        <f t="shared" si="291"/>
        <v>4.1187734236680988</v>
      </c>
    </row>
    <row r="1213" spans="47:65" x14ac:dyDescent="0.2">
      <c r="AU1213" s="2">
        <v>-424</v>
      </c>
      <c r="AV1213" s="53">
        <v>1211</v>
      </c>
      <c r="AW1213" s="4" t="s">
        <v>1525</v>
      </c>
      <c r="AX1213" t="s">
        <v>118</v>
      </c>
      <c r="AY1213" s="4">
        <v>36137</v>
      </c>
      <c r="AZ1213" s="9">
        <v>25.796967801369483</v>
      </c>
      <c r="BA1213" s="7">
        <f t="shared" si="286"/>
        <v>6.6118722292434634E-4</v>
      </c>
      <c r="BB1213" s="54">
        <f t="shared" si="280"/>
        <v>1515.7072325393547</v>
      </c>
      <c r="BC1213" s="55">
        <f t="shared" si="281"/>
        <v>2648.0246147468993</v>
      </c>
      <c r="BD1213" s="55">
        <f t="shared" si="282"/>
        <v>51.458960490345113</v>
      </c>
      <c r="BE1213" s="55">
        <f t="shared" si="283"/>
        <v>50.428854621473</v>
      </c>
      <c r="BF1213" s="56">
        <f t="shared" si="284"/>
        <v>0.79100102366035785</v>
      </c>
      <c r="BG1213" s="56">
        <f t="shared" si="287"/>
        <v>7.2118297031565195E-4</v>
      </c>
      <c r="BH1213" s="56">
        <f t="shared" si="288"/>
        <v>2.6854850033385998E-2</v>
      </c>
      <c r="BI1213" s="56">
        <f t="shared" si="285"/>
        <v>2.6317269437830408E-2</v>
      </c>
      <c r="BJ1213" s="57">
        <f t="shared" si="289"/>
        <v>9.0952892138082497E-2</v>
      </c>
      <c r="BK1213" s="57">
        <f t="shared" si="290"/>
        <v>3.0878926896556282E-3</v>
      </c>
      <c r="BL1213" s="58">
        <f t="shared" si="291"/>
        <v>160.47853000048144</v>
      </c>
      <c r="BM1213" s="58">
        <f t="shared" si="291"/>
        <v>5.4483202016583538</v>
      </c>
    </row>
    <row r="1214" spans="47:65" x14ac:dyDescent="0.2">
      <c r="AU1214" s="2">
        <v>-423</v>
      </c>
      <c r="AV1214" s="53">
        <v>1212</v>
      </c>
      <c r="AW1214" s="4" t="s">
        <v>2342</v>
      </c>
      <c r="AX1214" t="s">
        <v>690</v>
      </c>
      <c r="AY1214" s="4">
        <v>58598</v>
      </c>
      <c r="AZ1214" s="9">
        <v>25.803502547686868</v>
      </c>
      <c r="BA1214" s="7">
        <f t="shared" si="286"/>
        <v>6.6135471124325945E-4</v>
      </c>
      <c r="BB1214" s="54">
        <f t="shared" si="280"/>
        <v>1522.1669085562378</v>
      </c>
      <c r="BC1214" s="55">
        <f t="shared" si="281"/>
        <v>2663.9554200363432</v>
      </c>
      <c r="BD1214" s="55">
        <f t="shared" si="282"/>
        <v>51.613519740823172</v>
      </c>
      <c r="BE1214" s="55">
        <f t="shared" si="283"/>
        <v>50.580319903680248</v>
      </c>
      <c r="BF1214" s="56">
        <f t="shared" si="284"/>
        <v>0.79437213005358243</v>
      </c>
      <c r="BG1214" s="56">
        <f t="shared" si="287"/>
        <v>7.2552168582988141E-4</v>
      </c>
      <c r="BH1214" s="56">
        <f t="shared" si="288"/>
        <v>2.693550975626564E-2</v>
      </c>
      <c r="BI1214" s="56">
        <f t="shared" si="285"/>
        <v>2.6396314513753946E-2</v>
      </c>
      <c r="BJ1214" s="57">
        <f t="shared" si="289"/>
        <v>0.14811333622019995</v>
      </c>
      <c r="BK1214" s="57">
        <f t="shared" si="290"/>
        <v>5.0222157372554685E-3</v>
      </c>
      <c r="BL1214" s="58">
        <f t="shared" si="291"/>
        <v>261.33320130160581</v>
      </c>
      <c r="BM1214" s="58">
        <f t="shared" si="291"/>
        <v>8.861266309557875</v>
      </c>
    </row>
    <row r="1215" spans="47:65" x14ac:dyDescent="0.2">
      <c r="AU1215" s="2">
        <v>-422</v>
      </c>
      <c r="AV1215" s="53">
        <v>1213</v>
      </c>
      <c r="AW1215" s="4" t="s">
        <v>2178</v>
      </c>
      <c r="AX1215" t="s">
        <v>571</v>
      </c>
      <c r="AY1215" s="4">
        <v>62512</v>
      </c>
      <c r="AZ1215" s="9">
        <v>25.811135482594889</v>
      </c>
      <c r="BA1215" s="7">
        <f t="shared" si="286"/>
        <v>6.6155034660139364E-4</v>
      </c>
      <c r="BB1215" s="54">
        <f t="shared" si="280"/>
        <v>1529.7470270370013</v>
      </c>
      <c r="BC1215" s="55">
        <f t="shared" si="281"/>
        <v>2682.6746757998931</v>
      </c>
      <c r="BD1215" s="55">
        <f t="shared" si="282"/>
        <v>51.794542915252116</v>
      </c>
      <c r="BE1215" s="55">
        <f t="shared" si="283"/>
        <v>50.757719354804173</v>
      </c>
      <c r="BF1215" s="56">
        <f t="shared" si="284"/>
        <v>0.79832796093505465</v>
      </c>
      <c r="BG1215" s="56">
        <f t="shared" si="287"/>
        <v>7.3061982895085973E-4</v>
      </c>
      <c r="BH1215" s="56">
        <f t="shared" si="288"/>
        <v>2.7029980187762988E-2</v>
      </c>
      <c r="BI1215" s="56">
        <f t="shared" si="285"/>
        <v>2.6488893835423327E-2</v>
      </c>
      <c r="BJ1215" s="57">
        <f t="shared" si="289"/>
        <v>0.15879327523218476</v>
      </c>
      <c r="BK1215" s="57">
        <f t="shared" si="290"/>
        <v>5.3764609202071097E-3</v>
      </c>
      <c r="BL1215" s="58">
        <f t="shared" si="291"/>
        <v>280.17703213368219</v>
      </c>
      <c r="BM1215" s="58">
        <f t="shared" si="291"/>
        <v>9.4863013676352441</v>
      </c>
    </row>
    <row r="1216" spans="47:65" x14ac:dyDescent="0.2">
      <c r="AU1216" s="2">
        <v>-421</v>
      </c>
      <c r="AV1216" s="53">
        <v>1214</v>
      </c>
      <c r="AW1216" s="4" t="s">
        <v>3065</v>
      </c>
      <c r="AX1216" t="s">
        <v>1221</v>
      </c>
      <c r="AY1216" s="4">
        <v>68087</v>
      </c>
      <c r="AZ1216" s="9">
        <v>25.811739804085814</v>
      </c>
      <c r="BA1216" s="7">
        <f t="shared" si="286"/>
        <v>6.6156583561744441E-4</v>
      </c>
      <c r="BB1216" s="54">
        <f t="shared" si="280"/>
        <v>1530.3487771744985</v>
      </c>
      <c r="BC1216" s="55">
        <f t="shared" si="281"/>
        <v>2684.1618711329365</v>
      </c>
      <c r="BD1216" s="55">
        <f t="shared" si="282"/>
        <v>51.808897605845047</v>
      </c>
      <c r="BE1216" s="55">
        <f t="shared" si="283"/>
        <v>50.771786693089851</v>
      </c>
      <c r="BF1216" s="56">
        <f t="shared" si="284"/>
        <v>0.79864199583871587</v>
      </c>
      <c r="BG1216" s="56">
        <f t="shared" si="287"/>
        <v>7.3102486293038615E-4</v>
      </c>
      <c r="BH1216" s="56">
        <f t="shared" si="288"/>
        <v>2.7037471459631469E-2</v>
      </c>
      <c r="BI1216" s="56">
        <f t="shared" si="285"/>
        <v>2.6496235146953637E-2</v>
      </c>
      <c r="BJ1216" s="57">
        <f t="shared" si="289"/>
        <v>0.17302295089394137</v>
      </c>
      <c r="BK1216" s="57">
        <f t="shared" si="290"/>
        <v>5.8575721299796131E-3</v>
      </c>
      <c r="BL1216" s="58">
        <f t="shared" si="291"/>
        <v>305.28406698327757</v>
      </c>
      <c r="BM1216" s="58">
        <f t="shared" si="291"/>
        <v>10.335180582974864</v>
      </c>
    </row>
    <row r="1217" spans="47:65" x14ac:dyDescent="0.2">
      <c r="AU1217" s="2">
        <v>-420</v>
      </c>
      <c r="AV1217" s="53">
        <v>1215</v>
      </c>
      <c r="AW1217" s="4" t="s">
        <v>2632</v>
      </c>
      <c r="AX1217" t="s">
        <v>918</v>
      </c>
      <c r="AY1217" s="4">
        <v>75003</v>
      </c>
      <c r="AZ1217" s="9">
        <v>25.812278580036729</v>
      </c>
      <c r="BA1217" s="7">
        <f t="shared" si="286"/>
        <v>6.6157964467351285E-4</v>
      </c>
      <c r="BB1217" s="54">
        <f t="shared" si="280"/>
        <v>1530.8854602677918</v>
      </c>
      <c r="BC1217" s="55">
        <f t="shared" si="281"/>
        <v>2685.4884002052786</v>
      </c>
      <c r="BD1217" s="55">
        <f t="shared" si="282"/>
        <v>51.821698160184589</v>
      </c>
      <c r="BE1217" s="55">
        <f t="shared" si="283"/>
        <v>50.784331005833678</v>
      </c>
      <c r="BF1217" s="56">
        <f t="shared" si="284"/>
        <v>0.79892207425165918</v>
      </c>
      <c r="BG1217" s="56">
        <f t="shared" si="287"/>
        <v>7.31386139850325E-4</v>
      </c>
      <c r="BH1217" s="56">
        <f t="shared" si="288"/>
        <v>2.7044151675553164E-2</v>
      </c>
      <c r="BI1217" s="56">
        <f t="shared" si="285"/>
        <v>2.6502781638261374E-2</v>
      </c>
      <c r="BJ1217" s="57">
        <f t="shared" si="289"/>
        <v>0.1906647585796486</v>
      </c>
      <c r="BK1217" s="57">
        <f t="shared" si="290"/>
        <v>6.4541546871647662E-3</v>
      </c>
      <c r="BL1217" s="58">
        <f t="shared" si="291"/>
        <v>336.41151436180991</v>
      </c>
      <c r="BM1217" s="58">
        <f t="shared" si="291"/>
        <v>11.387799026989304</v>
      </c>
    </row>
    <row r="1218" spans="47:65" x14ac:dyDescent="0.2">
      <c r="AU1218" s="2">
        <v>-419</v>
      </c>
      <c r="AV1218" s="53">
        <v>1216</v>
      </c>
      <c r="AW1218" s="4" t="s">
        <v>1886</v>
      </c>
      <c r="AX1218" t="s">
        <v>353</v>
      </c>
      <c r="AY1218" s="4">
        <v>31281</v>
      </c>
      <c r="AZ1218" s="9">
        <v>25.815205676112281</v>
      </c>
      <c r="BA1218" s="7">
        <f t="shared" si="286"/>
        <v>6.6165466738704755E-4</v>
      </c>
      <c r="BB1218" s="54">
        <f t="shared" si="280"/>
        <v>1533.8044769931</v>
      </c>
      <c r="BC1218" s="55">
        <f t="shared" si="281"/>
        <v>2692.7057543180031</v>
      </c>
      <c r="BD1218" s="55">
        <f t="shared" si="282"/>
        <v>51.891287846015182</v>
      </c>
      <c r="BE1218" s="55">
        <f t="shared" si="283"/>
        <v>50.852527644795387</v>
      </c>
      <c r="BF1218" s="56">
        <f t="shared" si="284"/>
        <v>0.80044541937282232</v>
      </c>
      <c r="BG1218" s="56">
        <f t="shared" si="287"/>
        <v>7.3335176843543836E-4</v>
      </c>
      <c r="BH1218" s="56">
        <f t="shared" si="288"/>
        <v>2.708046839394471E-2</v>
      </c>
      <c r="BI1218" s="56">
        <f t="shared" si="285"/>
        <v>2.6538371368303431E-2</v>
      </c>
      <c r="BJ1218" s="57">
        <f t="shared" si="289"/>
        <v>7.9670900163644726E-2</v>
      </c>
      <c r="BK1218" s="57">
        <f t="shared" si="290"/>
        <v>2.6954058847500234E-3</v>
      </c>
      <c r="BL1218" s="58">
        <f t="shared" si="291"/>
        <v>140.57242866632797</v>
      </c>
      <c r="BM1218" s="58">
        <f t="shared" si="291"/>
        <v>4.7558111014505906</v>
      </c>
    </row>
    <row r="1219" spans="47:65" x14ac:dyDescent="0.2">
      <c r="AU1219" s="2">
        <v>-418</v>
      </c>
      <c r="AV1219" s="53">
        <v>1217</v>
      </c>
      <c r="AW1219" s="4" t="s">
        <v>2692</v>
      </c>
      <c r="AX1219" t="s">
        <v>957</v>
      </c>
      <c r="AY1219" s="4">
        <v>40794</v>
      </c>
      <c r="AZ1219" s="9">
        <v>25.822517799174157</v>
      </c>
      <c r="BA1219" s="7">
        <f t="shared" si="286"/>
        <v>6.6184208020153763E-4</v>
      </c>
      <c r="BB1219" s="54">
        <f t="shared" ref="BB1219:BB1282" si="292">IFERROR(IF(MATCH(AX1219,$S$4:$S$20,0),VLOOKUP(AX1219,$S$4:$AT$20,20,FALSE)),AVERAGE((2^(($AE$23*AZ1219)+$AE$24)),(2^(($AF$23*AZ1219)+$AF$24)),(2^(($AG$23*AZ1219)+$AG$24)),(2^(($AH$23*AZ1219)+$AH$24))))</f>
        <v>1541.1207608547159</v>
      </c>
      <c r="BC1219" s="55">
        <f t="shared" ref="BC1219:BC1282" si="293">IFERROR(IF(MATCH(AX1219,$S$4:$S$20,0),VLOOKUP(AX1219,$S$4:$AT$20,21,FALSE)),_xlfn.VAR.S((2^(($AE$23*AZ1219)+$AE$24)),(2^(($AF$23*AZ1219)+$AF$24)),(2^(($AG$23*AZ1219)+$AG$24)),(2^(($AH$23*AZ1219)+$AH$24))))</f>
        <v>2710.8130030551597</v>
      </c>
      <c r="BD1219" s="55">
        <f t="shared" ref="BD1219:BD1282" si="294">SQRT(BC1219)</f>
        <v>52.065468432111125</v>
      </c>
      <c r="BE1219" s="55">
        <f t="shared" ref="BE1219:BE1282" si="295">_xlfn.CONFIDENCE.NORM(0.05,BD1219,4)</f>
        <v>51.023221482572445</v>
      </c>
      <c r="BF1219" s="56">
        <f t="shared" ref="BF1219:BF1282" si="296">IFERROR(IF(MATCH(AX1219,$S$4:$S$20,0),VLOOKUP(AX1219,$S$4:$AT$20,24,FALSE)),AVERAGE((2^(($AI$23*AZ1219)+$AI$24)),(2^(($AJ$23*AZ1219)+$AJ$24)),(2^(($AK$23*AZ1219)+$AK$24)),(2^(($AL$23*AZ1219)+$AL$24))))</f>
        <v>0.80426356307477698</v>
      </c>
      <c r="BG1219" s="56">
        <f t="shared" si="287"/>
        <v>7.3828323295263988E-4</v>
      </c>
      <c r="BH1219" s="56">
        <f t="shared" si="288"/>
        <v>2.7171367888875964E-2</v>
      </c>
      <c r="BI1219" s="56">
        <f t="shared" ref="BI1219:BI1282" si="297">_xlfn.CONFIDENCE.NORM(0.05,BH1219,4)</f>
        <v>2.6627451236442501E-2</v>
      </c>
      <c r="BJ1219" s="57">
        <f t="shared" si="289"/>
        <v>0.10439556696898758</v>
      </c>
      <c r="BK1219" s="57">
        <f t="shared" si="290"/>
        <v>3.5269164069023193E-3</v>
      </c>
      <c r="BL1219" s="58">
        <f t="shared" si="291"/>
        <v>184.1969697930613</v>
      </c>
      <c r="BM1219" s="58">
        <f t="shared" si="291"/>
        <v>6.22293966809747</v>
      </c>
    </row>
    <row r="1220" spans="47:65" x14ac:dyDescent="0.2">
      <c r="AU1220" s="2">
        <v>-417</v>
      </c>
      <c r="AV1220" s="53">
        <v>1218</v>
      </c>
      <c r="AW1220" s="4" t="s">
        <v>2051</v>
      </c>
      <c r="AX1220" t="s">
        <v>472</v>
      </c>
      <c r="AY1220" s="4">
        <v>27199</v>
      </c>
      <c r="AZ1220" s="9">
        <v>25.826281258578778</v>
      </c>
      <c r="BA1220" s="7">
        <f t="shared" ref="BA1220:BA1283" si="298">AZ1220/$AZ$1637</f>
        <v>6.6193853926182285E-4</v>
      </c>
      <c r="BB1220" s="54">
        <f t="shared" si="292"/>
        <v>1544.8999558273781</v>
      </c>
      <c r="BC1220" s="55">
        <f t="shared" si="293"/>
        <v>2720.1759909022003</v>
      </c>
      <c r="BD1220" s="55">
        <f t="shared" si="294"/>
        <v>52.155306450084254</v>
      </c>
      <c r="BE1220" s="55">
        <f t="shared" si="295"/>
        <v>51.111261122407349</v>
      </c>
      <c r="BF1220" s="56">
        <f t="shared" si="296"/>
        <v>0.80623580878807366</v>
      </c>
      <c r="BG1220" s="56">
        <f t="shared" ref="BG1220:BG1283" si="299">IFERROR(IF(MATCH(AX1220,$S$4:$S$20,0),VLOOKUP(AX1220,$S$4:$AT$20,25,FALSE)),_xlfn.VAR.S((2^(($AI$23*AZ1220)+$AI$24)),(2^(($AJ$23*AZ1220)+$AJ$24)),(2^(($AK$23*AZ1220)+$AK$24)),(2^(($AL$23*AZ1220)+$AL$24))))</f>
        <v>7.4083321959134087E-4</v>
      </c>
      <c r="BH1220" s="56">
        <f t="shared" ref="BH1220:BH1283" si="300">SQRT(BG1220)</f>
        <v>2.7218251589537137E-2</v>
      </c>
      <c r="BI1220" s="56">
        <f t="shared" si="297"/>
        <v>2.6673396418821427E-2</v>
      </c>
      <c r="BJ1220" s="57">
        <f t="shared" ref="BJ1220:BJ1283" si="301">(((BF1220*0.000001)*AY1220)*1000000000000000)*$S$24</f>
        <v>6.9775409267330404E-2</v>
      </c>
      <c r="BK1220" s="57">
        <f t="shared" ref="BK1220:BK1283" si="302">((((BH1220*0.000001)*AY1220)*1000000000000000)*$S$24)</f>
        <v>2.3555945090753625E-3</v>
      </c>
      <c r="BL1220" s="58">
        <f t="shared" ref="BL1220:BM1283" si="303">((BJ1220/$S$26)*0.000000001)/0.45</f>
        <v>123.11268884559982</v>
      </c>
      <c r="BM1220" s="58">
        <f t="shared" si="303"/>
        <v>4.1562432508436942</v>
      </c>
    </row>
    <row r="1221" spans="47:65" x14ac:dyDescent="0.2">
      <c r="AU1221" s="2">
        <v>-416</v>
      </c>
      <c r="AV1221" s="53">
        <v>1219</v>
      </c>
      <c r="AW1221" s="4" t="s">
        <v>2915</v>
      </c>
      <c r="AX1221" t="s">
        <v>1127</v>
      </c>
      <c r="AY1221" s="4">
        <v>53476</v>
      </c>
      <c r="AZ1221" s="9">
        <v>25.833392831963863</v>
      </c>
      <c r="BA1221" s="7">
        <f t="shared" si="298"/>
        <v>6.6212081190306169E-4</v>
      </c>
      <c r="BB1221" s="54">
        <f t="shared" si="292"/>
        <v>1552.0665861500977</v>
      </c>
      <c r="BC1221" s="55">
        <f t="shared" si="293"/>
        <v>2737.9495381230186</v>
      </c>
      <c r="BD1221" s="55">
        <f t="shared" si="294"/>
        <v>52.325419617266505</v>
      </c>
      <c r="BE1221" s="55">
        <f t="shared" si="295"/>
        <v>51.277968962893972</v>
      </c>
      <c r="BF1221" s="56">
        <f t="shared" si="296"/>
        <v>0.80997585290725982</v>
      </c>
      <c r="BG1221" s="56">
        <f t="shared" si="299"/>
        <v>7.4567380132406675E-4</v>
      </c>
      <c r="BH1221" s="56">
        <f t="shared" si="300"/>
        <v>2.7307028423540828E-2</v>
      </c>
      <c r="BI1221" s="56">
        <f t="shared" si="297"/>
        <v>2.6760396117475788E-2</v>
      </c>
      <c r="BJ1221" s="57">
        <f t="shared" si="301"/>
        <v>0.13782193993365721</v>
      </c>
      <c r="BK1221" s="57">
        <f t="shared" si="302"/>
        <v>4.6464442336737483E-3</v>
      </c>
      <c r="BL1221" s="58">
        <f t="shared" si="303"/>
        <v>243.17492058185198</v>
      </c>
      <c r="BM1221" s="58">
        <f t="shared" si="303"/>
        <v>8.198249916199936</v>
      </c>
    </row>
    <row r="1222" spans="47:65" x14ac:dyDescent="0.2">
      <c r="AU1222" s="2">
        <v>-415</v>
      </c>
      <c r="AV1222" s="53">
        <v>1220</v>
      </c>
      <c r="AW1222" s="4" t="s">
        <v>2003</v>
      </c>
      <c r="AX1222" t="s">
        <v>430</v>
      </c>
      <c r="AY1222" s="4">
        <v>26772</v>
      </c>
      <c r="AZ1222" s="9">
        <v>25.834992535212915</v>
      </c>
      <c r="BA1222" s="7">
        <f t="shared" si="298"/>
        <v>6.6216181297562517E-4</v>
      </c>
      <c r="BB1222" s="54">
        <f t="shared" si="292"/>
        <v>1553.6832492592787</v>
      </c>
      <c r="BC1222" s="55">
        <f t="shared" si="293"/>
        <v>2741.9622045461288</v>
      </c>
      <c r="BD1222" s="55">
        <f t="shared" si="294"/>
        <v>52.363748954273021</v>
      </c>
      <c r="BE1222" s="55">
        <f t="shared" si="295"/>
        <v>51.315531022936007</v>
      </c>
      <c r="BF1222" s="56">
        <f t="shared" si="296"/>
        <v>0.81081953970034393</v>
      </c>
      <c r="BG1222" s="56">
        <f t="shared" si="299"/>
        <v>7.4676664112382238E-4</v>
      </c>
      <c r="BH1222" s="56">
        <f t="shared" si="300"/>
        <v>2.7327031326578859E-2</v>
      </c>
      <c r="BI1222" s="56">
        <f t="shared" si="297"/>
        <v>2.6779998602246183E-2</v>
      </c>
      <c r="BJ1222" s="57">
        <f t="shared" si="301"/>
        <v>6.907046734803908E-2</v>
      </c>
      <c r="BK1222" s="57">
        <f t="shared" si="302"/>
        <v>2.3278802896867404E-3</v>
      </c>
      <c r="BL1222" s="58">
        <f t="shared" si="303"/>
        <v>121.8688796573022</v>
      </c>
      <c r="BM1222" s="58">
        <f t="shared" si="303"/>
        <v>4.107343902147397</v>
      </c>
    </row>
    <row r="1223" spans="47:65" x14ac:dyDescent="0.2">
      <c r="AU1223" s="2">
        <v>-414</v>
      </c>
      <c r="AV1223" s="53">
        <v>1221</v>
      </c>
      <c r="AW1223" s="4" t="s">
        <v>2750</v>
      </c>
      <c r="AX1223" t="s">
        <v>1002</v>
      </c>
      <c r="AY1223" s="4">
        <v>90659</v>
      </c>
      <c r="AZ1223" s="9">
        <v>25.841421660993397</v>
      </c>
      <c r="BA1223" s="7">
        <f t="shared" si="298"/>
        <v>6.6232659419539327E-4</v>
      </c>
      <c r="BB1223" s="54">
        <f t="shared" si="292"/>
        <v>1560.1975384395655</v>
      </c>
      <c r="BC1223" s="55">
        <f t="shared" si="293"/>
        <v>2758.1432557383614</v>
      </c>
      <c r="BD1223" s="55">
        <f t="shared" si="294"/>
        <v>52.518027911740568</v>
      </c>
      <c r="BE1223" s="55">
        <f t="shared" si="295"/>
        <v>51.466721623040399</v>
      </c>
      <c r="BF1223" s="56">
        <f t="shared" si="296"/>
        <v>0.81421914702516651</v>
      </c>
      <c r="BG1223" s="56">
        <f t="shared" si="299"/>
        <v>7.5117351049229237E-4</v>
      </c>
      <c r="BH1223" s="56">
        <f t="shared" si="300"/>
        <v>2.7407544773151285E-2</v>
      </c>
      <c r="BI1223" s="56">
        <f t="shared" si="297"/>
        <v>2.6858900330022757E-2</v>
      </c>
      <c r="BJ1223" s="57">
        <f t="shared" si="301"/>
        <v>0.23487652204576923</v>
      </c>
      <c r="BK1223" s="57">
        <f t="shared" si="302"/>
        <v>7.9062115127740938E-3</v>
      </c>
      <c r="BL1223" s="58">
        <f t="shared" si="303"/>
        <v>414.41935603660249</v>
      </c>
      <c r="BM1223" s="58">
        <f t="shared" si="303"/>
        <v>13.949828000154652</v>
      </c>
    </row>
    <row r="1224" spans="47:65" x14ac:dyDescent="0.2">
      <c r="AU1224" s="2">
        <v>-413</v>
      </c>
      <c r="AV1224" s="53">
        <v>1222</v>
      </c>
      <c r="AW1224" s="4" t="s">
        <v>2504</v>
      </c>
      <c r="AX1224" t="s">
        <v>815</v>
      </c>
      <c r="AY1224" s="4">
        <v>59626</v>
      </c>
      <c r="AZ1224" s="9">
        <v>25.847208972668117</v>
      </c>
      <c r="BA1224" s="7">
        <f t="shared" si="298"/>
        <v>6.6247492544749503E-4</v>
      </c>
      <c r="BB1224" s="54">
        <f t="shared" si="292"/>
        <v>1566.0848696615933</v>
      </c>
      <c r="BC1224" s="55">
        <f t="shared" si="293"/>
        <v>2772.7836529751125</v>
      </c>
      <c r="BD1224" s="55">
        <f t="shared" si="294"/>
        <v>52.657227927181211</v>
      </c>
      <c r="BE1224" s="55">
        <f t="shared" si="295"/>
        <v>51.603135131495939</v>
      </c>
      <c r="BF1224" s="56">
        <f t="shared" si="296"/>
        <v>0.81729156425936389</v>
      </c>
      <c r="BG1224" s="56">
        <f t="shared" si="299"/>
        <v>7.5516078655726772E-4</v>
      </c>
      <c r="BH1224" s="56">
        <f t="shared" si="300"/>
        <v>2.7480188983288811E-2</v>
      </c>
      <c r="BI1224" s="56">
        <f t="shared" si="297"/>
        <v>2.6930090347800213E-2</v>
      </c>
      <c r="BJ1224" s="57">
        <f t="shared" si="301"/>
        <v>0.15506010161443282</v>
      </c>
      <c r="BK1224" s="57">
        <f t="shared" si="302"/>
        <v>5.2136606842308553E-3</v>
      </c>
      <c r="BL1224" s="58">
        <f t="shared" si="303"/>
        <v>273.59016941463989</v>
      </c>
      <c r="BM1224" s="58">
        <f t="shared" si="303"/>
        <v>9.1990543990227778</v>
      </c>
    </row>
    <row r="1225" spans="47:65" x14ac:dyDescent="0.2">
      <c r="AU1225" s="2">
        <v>-412</v>
      </c>
      <c r="AV1225" s="53">
        <v>1223</v>
      </c>
      <c r="AW1225" s="4" t="s">
        <v>2878</v>
      </c>
      <c r="AX1225" t="s">
        <v>1096</v>
      </c>
      <c r="AY1225" s="4">
        <v>31143</v>
      </c>
      <c r="AZ1225" s="9">
        <v>25.847511668272848</v>
      </c>
      <c r="BA1225" s="7">
        <f t="shared" si="298"/>
        <v>6.624826836641903E-4</v>
      </c>
      <c r="BB1225" s="54">
        <f t="shared" si="292"/>
        <v>1566.3934073040791</v>
      </c>
      <c r="BC1225" s="55">
        <f t="shared" si="293"/>
        <v>2773.5513474925287</v>
      </c>
      <c r="BD1225" s="55">
        <f t="shared" si="294"/>
        <v>52.664516968187684</v>
      </c>
      <c r="BE1225" s="55">
        <f t="shared" si="295"/>
        <v>51.6102782604232</v>
      </c>
      <c r="BF1225" s="56">
        <f t="shared" si="296"/>
        <v>0.81745258057294012</v>
      </c>
      <c r="BG1225" s="56">
        <f t="shared" si="299"/>
        <v>7.5536986626493499E-4</v>
      </c>
      <c r="BH1225" s="56">
        <f t="shared" si="300"/>
        <v>2.7483992909781776E-2</v>
      </c>
      <c r="BI1225" s="56">
        <f t="shared" si="297"/>
        <v>2.6933818127263236E-2</v>
      </c>
      <c r="BJ1225" s="57">
        <f t="shared" si="301"/>
        <v>8.1004731546082356E-2</v>
      </c>
      <c r="BK1225" s="57">
        <f t="shared" si="302"/>
        <v>2.7235016689419462E-3</v>
      </c>
      <c r="BL1225" s="58">
        <f t="shared" si="303"/>
        <v>142.92585904649809</v>
      </c>
      <c r="BM1225" s="58">
        <f t="shared" si="303"/>
        <v>4.8053836883177068</v>
      </c>
    </row>
    <row r="1226" spans="47:65" x14ac:dyDescent="0.2">
      <c r="AU1226" s="2">
        <v>-411</v>
      </c>
      <c r="AV1226" s="53">
        <v>1224</v>
      </c>
      <c r="AW1226" s="4" t="s">
        <v>2424</v>
      </c>
      <c r="AX1226" t="s">
        <v>754</v>
      </c>
      <c r="AY1226" s="4">
        <v>60229</v>
      </c>
      <c r="AZ1226" s="9">
        <v>25.854472049100281</v>
      </c>
      <c r="BA1226" s="7">
        <f t="shared" si="298"/>
        <v>6.6266108117606927E-4</v>
      </c>
      <c r="BB1226" s="54">
        <f t="shared" si="292"/>
        <v>1573.5049186037222</v>
      </c>
      <c r="BC1226" s="55">
        <f t="shared" si="293"/>
        <v>2791.2579473864721</v>
      </c>
      <c r="BD1226" s="55">
        <f t="shared" si="294"/>
        <v>52.832357011460999</v>
      </c>
      <c r="BE1226" s="55">
        <f t="shared" si="295"/>
        <v>51.774758480412871</v>
      </c>
      <c r="BF1226" s="56">
        <f t="shared" si="296"/>
        <v>0.82116385976791029</v>
      </c>
      <c r="BG1226" s="56">
        <f t="shared" si="299"/>
        <v>7.6019221505827341E-4</v>
      </c>
      <c r="BH1226" s="56">
        <f t="shared" si="300"/>
        <v>2.7571583470273765E-2</v>
      </c>
      <c r="BI1226" s="56">
        <f t="shared" si="297"/>
        <v>2.7019655299238225E-2</v>
      </c>
      <c r="BJ1226" s="57">
        <f t="shared" si="301"/>
        <v>0.15737032874187129</v>
      </c>
      <c r="BK1226" s="57">
        <f t="shared" si="302"/>
        <v>5.2839017487657895E-3</v>
      </c>
      <c r="BL1226" s="58">
        <f t="shared" si="303"/>
        <v>277.66636583526287</v>
      </c>
      <c r="BM1226" s="58">
        <f t="shared" si="303"/>
        <v>9.3229886964074282</v>
      </c>
    </row>
    <row r="1227" spans="47:65" x14ac:dyDescent="0.2">
      <c r="AU1227" s="2">
        <v>-410</v>
      </c>
      <c r="AV1227" s="53">
        <v>1225</v>
      </c>
      <c r="AW1227" s="4" t="s">
        <v>2389</v>
      </c>
      <c r="AX1227" t="s">
        <v>729</v>
      </c>
      <c r="AY1227" s="4">
        <v>118203</v>
      </c>
      <c r="AZ1227" s="9">
        <v>25.857504710394441</v>
      </c>
      <c r="BA1227" s="7">
        <f t="shared" si="298"/>
        <v>6.6273880957091764E-4</v>
      </c>
      <c r="BB1227" s="54">
        <f t="shared" si="292"/>
        <v>1576.6135184821426</v>
      </c>
      <c r="BC1227" s="55">
        <f t="shared" si="293"/>
        <v>2799.0050606849982</v>
      </c>
      <c r="BD1227" s="55">
        <f t="shared" si="294"/>
        <v>52.905624093143423</v>
      </c>
      <c r="BE1227" s="55">
        <f t="shared" si="295"/>
        <v>51.846558901087825</v>
      </c>
      <c r="BF1227" s="56">
        <f t="shared" si="296"/>
        <v>0.82278614251037685</v>
      </c>
      <c r="BG1227" s="56">
        <f t="shared" si="299"/>
        <v>7.6230212225061585E-4</v>
      </c>
      <c r="BH1227" s="56">
        <f t="shared" si="300"/>
        <v>2.7609819308547019E-2</v>
      </c>
      <c r="BI1227" s="56">
        <f t="shared" si="297"/>
        <v>2.705712573220536E-2</v>
      </c>
      <c r="BJ1227" s="57">
        <f t="shared" si="301"/>
        <v>0.3094588019681383</v>
      </c>
      <c r="BK1227" s="57">
        <f t="shared" si="302"/>
        <v>1.0384352827954897E-2</v>
      </c>
      <c r="BL1227" s="58">
        <f t="shared" si="303"/>
        <v>546.01335337596572</v>
      </c>
      <c r="BM1227" s="58">
        <f t="shared" si="303"/>
        <v>18.322294516006775</v>
      </c>
    </row>
    <row r="1228" spans="47:65" x14ac:dyDescent="0.2">
      <c r="AU1228" s="2">
        <v>-409</v>
      </c>
      <c r="AV1228" s="53">
        <v>1226</v>
      </c>
      <c r="AW1228" s="4" t="s">
        <v>2045</v>
      </c>
      <c r="AX1228" t="s">
        <v>466</v>
      </c>
      <c r="AY1228" s="4">
        <v>52942</v>
      </c>
      <c r="AZ1228" s="9">
        <v>25.859251731081812</v>
      </c>
      <c r="BA1228" s="7">
        <f t="shared" si="298"/>
        <v>6.6278358645188945E-4</v>
      </c>
      <c r="BB1228" s="54">
        <f t="shared" si="292"/>
        <v>1578.407072371529</v>
      </c>
      <c r="BC1228" s="55">
        <f t="shared" si="293"/>
        <v>2803.4768500719092</v>
      </c>
      <c r="BD1228" s="55">
        <f t="shared" si="294"/>
        <v>52.947869174046176</v>
      </c>
      <c r="BE1228" s="55">
        <f t="shared" si="295"/>
        <v>51.887958319634507</v>
      </c>
      <c r="BF1228" s="56">
        <f t="shared" si="296"/>
        <v>0.82372214316540981</v>
      </c>
      <c r="BG1228" s="56">
        <f t="shared" si="299"/>
        <v>7.6352000305677213E-4</v>
      </c>
      <c r="BH1228" s="56">
        <f t="shared" si="300"/>
        <v>2.7631865717985316E-2</v>
      </c>
      <c r="BI1228" s="56">
        <f t="shared" si="297"/>
        <v>2.7078730816449105E-2</v>
      </c>
      <c r="BJ1228" s="57">
        <f t="shared" si="301"/>
        <v>0.13876133089663639</v>
      </c>
      <c r="BK1228" s="57">
        <f t="shared" si="302"/>
        <v>4.6547667729928193E-3</v>
      </c>
      <c r="BL1228" s="58">
        <f t="shared" si="303"/>
        <v>244.8323948775101</v>
      </c>
      <c r="BM1228" s="58">
        <f t="shared" si="303"/>
        <v>8.2129343186900527</v>
      </c>
    </row>
    <row r="1229" spans="47:65" x14ac:dyDescent="0.2">
      <c r="AU1229" s="2">
        <v>-408</v>
      </c>
      <c r="AV1229" s="53">
        <v>1227</v>
      </c>
      <c r="AW1229" s="4" t="s">
        <v>2475</v>
      </c>
      <c r="AX1229" t="s">
        <v>794</v>
      </c>
      <c r="AY1229" s="4">
        <v>17551</v>
      </c>
      <c r="AZ1229" s="9">
        <v>25.862904934546251</v>
      </c>
      <c r="BA1229" s="7">
        <f t="shared" si="298"/>
        <v>6.6287721960567824E-4</v>
      </c>
      <c r="BB1229" s="54">
        <f t="shared" si="292"/>
        <v>1582.1641791286527</v>
      </c>
      <c r="BC1229" s="55">
        <f t="shared" si="293"/>
        <v>2812.8489502814609</v>
      </c>
      <c r="BD1229" s="55">
        <f t="shared" si="294"/>
        <v>53.036298421755085</v>
      </c>
      <c r="BE1229" s="55">
        <f t="shared" si="295"/>
        <v>51.974617389979223</v>
      </c>
      <c r="BF1229" s="56">
        <f t="shared" si="296"/>
        <v>0.82568286171783645</v>
      </c>
      <c r="BG1229" s="56">
        <f t="shared" si="299"/>
        <v>7.6607247142494435E-4</v>
      </c>
      <c r="BH1229" s="56">
        <f t="shared" si="300"/>
        <v>2.7678014224740623E-2</v>
      </c>
      <c r="BI1229" s="56">
        <f t="shared" si="297"/>
        <v>2.7123955522039458E-2</v>
      </c>
      <c r="BJ1229" s="57">
        <f t="shared" si="301"/>
        <v>4.6110784237869365E-2</v>
      </c>
      <c r="BK1229" s="57">
        <f t="shared" si="302"/>
        <v>1.5456962972374654E-3</v>
      </c>
      <c r="BL1229" s="58">
        <f t="shared" si="303"/>
        <v>81.358499963128835</v>
      </c>
      <c r="BM1229" s="58">
        <f t="shared" si="303"/>
        <v>2.7272477408554585</v>
      </c>
    </row>
    <row r="1230" spans="47:65" x14ac:dyDescent="0.2">
      <c r="AU1230" s="2">
        <v>-407</v>
      </c>
      <c r="AV1230" s="53">
        <v>1228</v>
      </c>
      <c r="AW1230" s="4" t="s">
        <v>2117</v>
      </c>
      <c r="AX1230" t="s">
        <v>521</v>
      </c>
      <c r="AY1230" s="4">
        <v>35215</v>
      </c>
      <c r="AZ1230" s="9">
        <v>25.868496980941437</v>
      </c>
      <c r="BA1230" s="7">
        <f t="shared" si="298"/>
        <v>6.6302054612587104E-4</v>
      </c>
      <c r="BB1230" s="54">
        <f t="shared" si="292"/>
        <v>1587.9326035816132</v>
      </c>
      <c r="BC1230" s="55">
        <f t="shared" si="293"/>
        <v>2827.2505403371561</v>
      </c>
      <c r="BD1230" s="55">
        <f t="shared" si="294"/>
        <v>53.171896151417769</v>
      </c>
      <c r="BE1230" s="55">
        <f t="shared" si="295"/>
        <v>52.107500723241358</v>
      </c>
      <c r="BF1230" s="56">
        <f t="shared" si="296"/>
        <v>0.82869322516352195</v>
      </c>
      <c r="BG1230" s="56">
        <f t="shared" si="299"/>
        <v>7.6999470894331776E-4</v>
      </c>
      <c r="BH1230" s="56">
        <f t="shared" si="300"/>
        <v>2.774877851263579E-2</v>
      </c>
      <c r="BI1230" s="56">
        <f t="shared" si="297"/>
        <v>2.7193303249872531E-2</v>
      </c>
      <c r="BJ1230" s="57">
        <f t="shared" si="301"/>
        <v>9.2855760919981267E-2</v>
      </c>
      <c r="BK1230" s="57">
        <f t="shared" si="302"/>
        <v>3.1092735709072404E-3</v>
      </c>
      <c r="BL1230" s="58">
        <f t="shared" si="303"/>
        <v>163.83597777068886</v>
      </c>
      <c r="BM1230" s="58">
        <f t="shared" si="303"/>
        <v>5.4860449217053473</v>
      </c>
    </row>
    <row r="1231" spans="47:65" x14ac:dyDescent="0.2">
      <c r="AU1231" s="2">
        <v>-406</v>
      </c>
      <c r="AV1231" s="53">
        <v>1229</v>
      </c>
      <c r="AW1231" s="4" t="s">
        <v>2911</v>
      </c>
      <c r="AX1231" t="s">
        <v>1123</v>
      </c>
      <c r="AY1231" s="4">
        <v>38553</v>
      </c>
      <c r="AZ1231" s="9">
        <v>25.870802984357478</v>
      </c>
      <c r="BA1231" s="7">
        <f t="shared" si="298"/>
        <v>6.6307964997119298E-4</v>
      </c>
      <c r="BB1231" s="54">
        <f t="shared" si="292"/>
        <v>1590.3174610157055</v>
      </c>
      <c r="BC1231" s="55">
        <f t="shared" si="293"/>
        <v>2833.2089549392763</v>
      </c>
      <c r="BD1231" s="55">
        <f t="shared" si="294"/>
        <v>53.227896397840823</v>
      </c>
      <c r="BE1231" s="55">
        <f t="shared" si="295"/>
        <v>52.162379956298629</v>
      </c>
      <c r="BF1231" s="56">
        <f t="shared" si="296"/>
        <v>0.8299378089664845</v>
      </c>
      <c r="BG1231" s="56">
        <f t="shared" si="299"/>
        <v>7.7161746845899354E-4</v>
      </c>
      <c r="BH1231" s="56">
        <f t="shared" si="300"/>
        <v>2.7778003320235122E-2</v>
      </c>
      <c r="BI1231" s="56">
        <f t="shared" si="297"/>
        <v>2.7221943035047436E-2</v>
      </c>
      <c r="BJ1231" s="57">
        <f t="shared" si="301"/>
        <v>0.101810155409416</v>
      </c>
      <c r="BK1231" s="57">
        <f t="shared" si="302"/>
        <v>3.4075840435781597E-3</v>
      </c>
      <c r="BL1231" s="58">
        <f t="shared" si="303"/>
        <v>179.63523418715661</v>
      </c>
      <c r="BM1231" s="58">
        <f t="shared" si="303"/>
        <v>6.0123880100075766</v>
      </c>
    </row>
    <row r="1232" spans="47:65" x14ac:dyDescent="0.2">
      <c r="AU1232" s="2">
        <v>-405</v>
      </c>
      <c r="AV1232" s="53">
        <v>1230</v>
      </c>
      <c r="AW1232" s="4" t="s">
        <v>2550</v>
      </c>
      <c r="AX1232" t="s">
        <v>855</v>
      </c>
      <c r="AY1232" s="4">
        <v>29849</v>
      </c>
      <c r="AZ1232" s="9">
        <v>25.871014575503189</v>
      </c>
      <c r="BA1232" s="7">
        <f t="shared" si="298"/>
        <v>6.6308507314197435E-4</v>
      </c>
      <c r="BB1232" s="54">
        <f t="shared" si="292"/>
        <v>1590.5364668766304</v>
      </c>
      <c r="BC1232" s="55">
        <f t="shared" si="293"/>
        <v>2833.7562535236843</v>
      </c>
      <c r="BD1232" s="55">
        <f t="shared" si="294"/>
        <v>53.233037237449494</v>
      </c>
      <c r="BE1232" s="55">
        <f t="shared" si="295"/>
        <v>52.167417886540278</v>
      </c>
      <c r="BF1232" s="56">
        <f t="shared" si="296"/>
        <v>0.83005210139477159</v>
      </c>
      <c r="BG1232" s="56">
        <f t="shared" si="299"/>
        <v>7.7176652387805249E-4</v>
      </c>
      <c r="BH1232" s="56">
        <f t="shared" si="300"/>
        <v>2.778068616643679E-2</v>
      </c>
      <c r="BI1232" s="56">
        <f t="shared" si="297"/>
        <v>2.7224572176013099E-2</v>
      </c>
      <c r="BJ1232" s="57">
        <f t="shared" si="301"/>
        <v>7.8835624367667598E-2</v>
      </c>
      <c r="BK1232" s="57">
        <f t="shared" si="302"/>
        <v>2.6385183961502418E-3</v>
      </c>
      <c r="BL1232" s="58">
        <f t="shared" si="303"/>
        <v>139.09865659891651</v>
      </c>
      <c r="BM1232" s="58">
        <f t="shared" si="303"/>
        <v>4.6554380365451635</v>
      </c>
    </row>
    <row r="1233" spans="47:65" x14ac:dyDescent="0.2">
      <c r="AU1233" s="2">
        <v>-404</v>
      </c>
      <c r="AV1233" s="53">
        <v>1231</v>
      </c>
      <c r="AW1233" s="4" t="s">
        <v>1567</v>
      </c>
      <c r="AX1233" t="s">
        <v>144</v>
      </c>
      <c r="AY1233" s="4">
        <v>19667</v>
      </c>
      <c r="AZ1233" s="9">
        <v>25.876575336542686</v>
      </c>
      <c r="BA1233" s="7">
        <f t="shared" si="298"/>
        <v>6.632275978052355E-4</v>
      </c>
      <c r="BB1233" s="54">
        <f t="shared" si="292"/>
        <v>1596.3029167812188</v>
      </c>
      <c r="BC1233" s="55">
        <f t="shared" si="293"/>
        <v>2848.1743164309719</v>
      </c>
      <c r="BD1233" s="55">
        <f t="shared" si="294"/>
        <v>53.368289427627076</v>
      </c>
      <c r="BE1233" s="55">
        <f t="shared" si="295"/>
        <v>52.29996259732939</v>
      </c>
      <c r="BF1233" s="56">
        <f t="shared" si="296"/>
        <v>0.83306143438434477</v>
      </c>
      <c r="BG1233" s="56">
        <f t="shared" si="299"/>
        <v>7.7569324773695198E-4</v>
      </c>
      <c r="BH1233" s="56">
        <f t="shared" si="300"/>
        <v>2.785127012789456E-2</v>
      </c>
      <c r="BI1233" s="56">
        <f t="shared" si="297"/>
        <v>2.7293743187184794E-2</v>
      </c>
      <c r="BJ1233" s="57">
        <f t="shared" si="301"/>
        <v>5.2131775903240613E-2</v>
      </c>
      <c r="BK1233" s="57">
        <f t="shared" si="302"/>
        <v>1.7428920761420668E-3</v>
      </c>
      <c r="BL1233" s="58">
        <f t="shared" si="303"/>
        <v>91.98202021509627</v>
      </c>
      <c r="BM1233" s="58">
        <f t="shared" si="303"/>
        <v>3.0751826770295239</v>
      </c>
    </row>
    <row r="1234" spans="47:65" x14ac:dyDescent="0.2">
      <c r="AU1234" s="2">
        <v>-403</v>
      </c>
      <c r="AV1234" s="53">
        <v>1232</v>
      </c>
      <c r="AW1234" s="4" t="s">
        <v>1934</v>
      </c>
      <c r="AX1234" t="s">
        <v>389</v>
      </c>
      <c r="AY1234" s="4">
        <v>37498</v>
      </c>
      <c r="AZ1234" s="9">
        <v>25.877698961253405</v>
      </c>
      <c r="BA1234" s="7">
        <f t="shared" si="298"/>
        <v>6.6325639678299945E-4</v>
      </c>
      <c r="BB1234" s="54">
        <f t="shared" si="292"/>
        <v>1597.4706403606199</v>
      </c>
      <c r="BC1234" s="55">
        <f t="shared" si="293"/>
        <v>2851.0958029462267</v>
      </c>
      <c r="BD1234" s="55">
        <f t="shared" si="294"/>
        <v>53.395653408739427</v>
      </c>
      <c r="BE1234" s="55">
        <f t="shared" si="295"/>
        <v>52.326778806056311</v>
      </c>
      <c r="BF1234" s="56">
        <f t="shared" si="296"/>
        <v>0.8336708334337315</v>
      </c>
      <c r="BG1234" s="56">
        <f t="shared" si="299"/>
        <v>7.7648890738116845E-4</v>
      </c>
      <c r="BH1234" s="56">
        <f t="shared" si="300"/>
        <v>2.78655505486823E-2</v>
      </c>
      <c r="BI1234" s="56">
        <f t="shared" si="297"/>
        <v>2.7307737742398818E-2</v>
      </c>
      <c r="BJ1234" s="57">
        <f t="shared" si="301"/>
        <v>9.9469534276319951E-2</v>
      </c>
      <c r="BK1234" s="57">
        <f t="shared" si="302"/>
        <v>3.3247814656226764E-3</v>
      </c>
      <c r="BL1234" s="58">
        <f t="shared" si="303"/>
        <v>175.50541016620011</v>
      </c>
      <c r="BM1234" s="58">
        <f t="shared" si="303"/>
        <v>5.8662900061049337</v>
      </c>
    </row>
    <row r="1235" spans="47:65" x14ac:dyDescent="0.2">
      <c r="AU1235" s="2">
        <v>-402</v>
      </c>
      <c r="AV1235" s="53">
        <v>1233</v>
      </c>
      <c r="AW1235" s="4" t="s">
        <v>1948</v>
      </c>
      <c r="AX1235" t="s">
        <v>395</v>
      </c>
      <c r="AY1235" s="4">
        <v>57416</v>
      </c>
      <c r="AZ1235" s="9">
        <v>25.879764458529891</v>
      </c>
      <c r="BA1235" s="7">
        <f t="shared" si="298"/>
        <v>6.6330933635398758E-4</v>
      </c>
      <c r="BB1235" s="54">
        <f t="shared" si="292"/>
        <v>1599.6194311652503</v>
      </c>
      <c r="BC1235" s="55">
        <f t="shared" si="293"/>
        <v>2856.4733533441668</v>
      </c>
      <c r="BD1235" s="55">
        <f t="shared" si="294"/>
        <v>53.445985380982236</v>
      </c>
      <c r="BE1235" s="55">
        <f t="shared" si="295"/>
        <v>52.376103232489697</v>
      </c>
      <c r="BF1235" s="56">
        <f t="shared" si="296"/>
        <v>0.83479222131762265</v>
      </c>
      <c r="BG1235" s="56">
        <f t="shared" si="299"/>
        <v>7.7795346996393101E-4</v>
      </c>
      <c r="BH1235" s="56">
        <f t="shared" si="300"/>
        <v>2.7891817258184005E-2</v>
      </c>
      <c r="BI1235" s="56">
        <f t="shared" si="297"/>
        <v>2.7333478644706678E-2</v>
      </c>
      <c r="BJ1235" s="57">
        <f t="shared" si="301"/>
        <v>0.15251013270859429</v>
      </c>
      <c r="BK1235" s="57">
        <f t="shared" si="302"/>
        <v>5.0956209735823817E-3</v>
      </c>
      <c r="BL1235" s="58">
        <f t="shared" si="303"/>
        <v>269.09096931295824</v>
      </c>
      <c r="BM1235" s="58">
        <f t="shared" si="303"/>
        <v>8.9907835150382329</v>
      </c>
    </row>
    <row r="1236" spans="47:65" x14ac:dyDescent="0.2">
      <c r="AU1236" s="2">
        <v>-401</v>
      </c>
      <c r="AV1236" s="53">
        <v>1234</v>
      </c>
      <c r="AW1236" s="4" t="s">
        <v>2938</v>
      </c>
      <c r="AX1236" t="s">
        <v>1143</v>
      </c>
      <c r="AY1236" s="4">
        <v>47788</v>
      </c>
      <c r="AZ1236" s="9">
        <v>25.890187014087179</v>
      </c>
      <c r="BA1236" s="7">
        <f t="shared" si="298"/>
        <v>6.635764708721898E-4</v>
      </c>
      <c r="BB1236" s="54">
        <f t="shared" si="292"/>
        <v>1610.5064623569863</v>
      </c>
      <c r="BC1236" s="55">
        <f t="shared" si="293"/>
        <v>2883.7502147424725</v>
      </c>
      <c r="BD1236" s="55">
        <f t="shared" si="294"/>
        <v>53.700560655755474</v>
      </c>
      <c r="BE1236" s="55">
        <f t="shared" si="295"/>
        <v>52.625582417444669</v>
      </c>
      <c r="BF1236" s="56">
        <f t="shared" si="296"/>
        <v>0.84047382831428363</v>
      </c>
      <c r="BG1236" s="56">
        <f t="shared" si="299"/>
        <v>7.8538225586511419E-4</v>
      </c>
      <c r="BH1236" s="56">
        <f t="shared" si="300"/>
        <v>2.8024672270431893E-2</v>
      </c>
      <c r="BI1236" s="56">
        <f t="shared" si="297"/>
        <v>2.746367416429242E-2</v>
      </c>
      <c r="BJ1236" s="57">
        <f t="shared" si="301"/>
        <v>0.12779987280123981</v>
      </c>
      <c r="BK1236" s="57">
        <f t="shared" si="302"/>
        <v>4.2613457204741861E-3</v>
      </c>
      <c r="BL1236" s="58">
        <f t="shared" si="303"/>
        <v>225.49184791457753</v>
      </c>
      <c r="BM1236" s="58">
        <f t="shared" si="303"/>
        <v>7.5187768191838078</v>
      </c>
    </row>
    <row r="1237" spans="47:65" x14ac:dyDescent="0.2">
      <c r="AU1237" s="2">
        <v>-400</v>
      </c>
      <c r="AV1237" s="53">
        <v>1235</v>
      </c>
      <c r="AW1237" s="4" t="s">
        <v>1451</v>
      </c>
      <c r="AX1237" t="s">
        <v>55</v>
      </c>
      <c r="AY1237" s="4">
        <v>51813</v>
      </c>
      <c r="AZ1237" s="9">
        <v>25.891300091439096</v>
      </c>
      <c r="BA1237" s="7">
        <f t="shared" si="298"/>
        <v>6.6360499951667552E-4</v>
      </c>
      <c r="BB1237" s="54">
        <f t="shared" si="292"/>
        <v>1611.6735140804667</v>
      </c>
      <c r="BC1237" s="55">
        <f t="shared" si="293"/>
        <v>2886.6772617927413</v>
      </c>
      <c r="BD1237" s="55">
        <f t="shared" si="294"/>
        <v>53.727807156003877</v>
      </c>
      <c r="BE1237" s="55">
        <f t="shared" si="295"/>
        <v>52.652283497040479</v>
      </c>
      <c r="BF1237" s="56">
        <f t="shared" si="296"/>
        <v>0.84108287674271309</v>
      </c>
      <c r="BG1237" s="56">
        <f t="shared" si="299"/>
        <v>7.8617942990729815E-4</v>
      </c>
      <c r="BH1237" s="56">
        <f t="shared" si="300"/>
        <v>2.803889138156675E-2</v>
      </c>
      <c r="BI1237" s="56">
        <f t="shared" si="297"/>
        <v>2.747760863715067E-2</v>
      </c>
      <c r="BJ1237" s="57">
        <f t="shared" si="301"/>
        <v>0.13866437627139369</v>
      </c>
      <c r="BK1237" s="57">
        <f t="shared" si="302"/>
        <v>4.6226067516954659E-3</v>
      </c>
      <c r="BL1237" s="58">
        <f t="shared" si="303"/>
        <v>244.66132680732628</v>
      </c>
      <c r="BM1237" s="58">
        <f t="shared" si="303"/>
        <v>8.1561907361468151</v>
      </c>
    </row>
    <row r="1238" spans="47:65" x14ac:dyDescent="0.2">
      <c r="AU1238" s="2">
        <v>-399</v>
      </c>
      <c r="AV1238" s="53">
        <v>1236</v>
      </c>
      <c r="AW1238" s="4" t="s">
        <v>1752</v>
      </c>
      <c r="AX1238" t="s">
        <v>257</v>
      </c>
      <c r="AY1238" s="4">
        <v>53323</v>
      </c>
      <c r="AZ1238" s="9">
        <v>25.896852632995436</v>
      </c>
      <c r="BA1238" s="7">
        <f t="shared" si="298"/>
        <v>6.6374731351109828E-4</v>
      </c>
      <c r="BB1238" s="54">
        <f t="shared" si="292"/>
        <v>1617.5079497535687</v>
      </c>
      <c r="BC1238" s="55">
        <f t="shared" si="293"/>
        <v>2901.3192736854467</v>
      </c>
      <c r="BD1238" s="55">
        <f t="shared" si="294"/>
        <v>53.863895827218499</v>
      </c>
      <c r="BE1238" s="55">
        <f t="shared" si="295"/>
        <v>52.78564794418277</v>
      </c>
      <c r="BF1238" s="56">
        <f t="shared" si="296"/>
        <v>0.84412768941552274</v>
      </c>
      <c r="BG1238" s="56">
        <f t="shared" si="299"/>
        <v>7.9016714571986417E-4</v>
      </c>
      <c r="BH1238" s="56">
        <f t="shared" si="300"/>
        <v>2.8109911876771584E-2</v>
      </c>
      <c r="BI1238" s="56">
        <f t="shared" si="297"/>
        <v>2.7547207443533506E-2</v>
      </c>
      <c r="BJ1238" s="57">
        <f t="shared" si="301"/>
        <v>0.14322211862716588</v>
      </c>
      <c r="BK1238" s="57">
        <f t="shared" si="302"/>
        <v>4.7693745672550449E-3</v>
      </c>
      <c r="BL1238" s="58">
        <f t="shared" si="303"/>
        <v>252.70306991390976</v>
      </c>
      <c r="BM1238" s="58">
        <f t="shared" si="303"/>
        <v>8.4151498823455437</v>
      </c>
    </row>
    <row r="1239" spans="47:65" x14ac:dyDescent="0.2">
      <c r="AU1239" s="2">
        <v>-398</v>
      </c>
      <c r="AV1239" s="53">
        <v>1237</v>
      </c>
      <c r="AW1239" s="4" t="s">
        <v>3009</v>
      </c>
      <c r="AX1239" t="s">
        <v>1171</v>
      </c>
      <c r="AY1239" s="4">
        <v>59477</v>
      </c>
      <c r="AZ1239" s="9">
        <v>25.909649767513329</v>
      </c>
      <c r="BA1239" s="7">
        <f t="shared" si="298"/>
        <v>6.6407530949490635E-4</v>
      </c>
      <c r="BB1239" s="54">
        <f t="shared" si="292"/>
        <v>1631.0353442991427</v>
      </c>
      <c r="BC1239" s="55">
        <f t="shared" si="293"/>
        <v>2935.323715834164</v>
      </c>
      <c r="BD1239" s="55">
        <f t="shared" si="294"/>
        <v>54.178627851156989</v>
      </c>
      <c r="BE1239" s="55">
        <f t="shared" si="295"/>
        <v>53.094079660033188</v>
      </c>
      <c r="BF1239" s="56">
        <f t="shared" si="296"/>
        <v>0.8511872209024044</v>
      </c>
      <c r="BG1239" s="56">
        <f t="shared" si="299"/>
        <v>7.9942817163945962E-4</v>
      </c>
      <c r="BH1239" s="56">
        <f t="shared" si="300"/>
        <v>2.8274160847661944E-2</v>
      </c>
      <c r="BI1239" s="56">
        <f t="shared" si="297"/>
        <v>2.7708168477254942E-2</v>
      </c>
      <c r="BJ1239" s="57">
        <f t="shared" si="301"/>
        <v>0.16108738137255124</v>
      </c>
      <c r="BK1239" s="57">
        <f t="shared" si="302"/>
        <v>5.3508915777982519E-3</v>
      </c>
      <c r="BL1239" s="58">
        <f t="shared" si="303"/>
        <v>284.2247844636704</v>
      </c>
      <c r="BM1239" s="58">
        <f t="shared" si="303"/>
        <v>9.4411864692917913</v>
      </c>
    </row>
    <row r="1240" spans="47:65" x14ac:dyDescent="0.2">
      <c r="AU1240" s="2">
        <v>-397</v>
      </c>
      <c r="AV1240" s="53">
        <v>1238</v>
      </c>
      <c r="AW1240" s="4" t="s">
        <v>2796</v>
      </c>
      <c r="AX1240" t="s">
        <v>1038</v>
      </c>
      <c r="AY1240" s="4">
        <v>37606</v>
      </c>
      <c r="AZ1240" s="9">
        <v>25.91622627064363</v>
      </c>
      <c r="BA1240" s="7">
        <f t="shared" si="298"/>
        <v>6.6424386805863985E-4</v>
      </c>
      <c r="BB1240" s="54">
        <f t="shared" si="292"/>
        <v>1638.0310835179725</v>
      </c>
      <c r="BC1240" s="55">
        <f t="shared" si="293"/>
        <v>2952.9398213758632</v>
      </c>
      <c r="BD1240" s="55">
        <f t="shared" si="294"/>
        <v>54.340958966288618</v>
      </c>
      <c r="BE1240" s="55">
        <f t="shared" si="295"/>
        <v>53.253161229647297</v>
      </c>
      <c r="BF1240" s="56">
        <f t="shared" si="296"/>
        <v>0.85483808220632862</v>
      </c>
      <c r="BG1240" s="56">
        <f t="shared" si="299"/>
        <v>8.0422587451920303E-4</v>
      </c>
      <c r="BH1240" s="56">
        <f t="shared" si="300"/>
        <v>2.8358876467857522E-2</v>
      </c>
      <c r="BI1240" s="56">
        <f t="shared" si="297"/>
        <v>2.7791188259510595E-2</v>
      </c>
      <c r="BJ1240" s="57">
        <f t="shared" si="301"/>
        <v>0.10228886864746983</v>
      </c>
      <c r="BK1240" s="57">
        <f t="shared" si="302"/>
        <v>3.393388116874218E-3</v>
      </c>
      <c r="BL1240" s="58">
        <f t="shared" si="303"/>
        <v>180.47988238831573</v>
      </c>
      <c r="BM1240" s="58">
        <f t="shared" si="303"/>
        <v>5.9873405222819036</v>
      </c>
    </row>
    <row r="1241" spans="47:65" x14ac:dyDescent="0.2">
      <c r="AU1241" s="2">
        <v>-396</v>
      </c>
      <c r="AV1241" s="53">
        <v>1239</v>
      </c>
      <c r="AW1241" s="4" t="s">
        <v>2867</v>
      </c>
      <c r="AX1241" t="s">
        <v>1089</v>
      </c>
      <c r="AY1241" s="4">
        <v>27971</v>
      </c>
      <c r="AZ1241" s="9">
        <v>25.917099359053747</v>
      </c>
      <c r="BA1241" s="7">
        <f t="shared" si="298"/>
        <v>6.6426624568478941E-4</v>
      </c>
      <c r="BB1241" s="54">
        <f t="shared" si="292"/>
        <v>1638.9620827693643</v>
      </c>
      <c r="BC1241" s="55">
        <f t="shared" si="293"/>
        <v>2955.2857495992744</v>
      </c>
      <c r="BD1241" s="55">
        <f t="shared" si="294"/>
        <v>54.362539948012682</v>
      </c>
      <c r="BE1241" s="55">
        <f t="shared" si="295"/>
        <v>53.274310203112385</v>
      </c>
      <c r="BF1241" s="56">
        <f t="shared" si="296"/>
        <v>0.8553239421039831</v>
      </c>
      <c r="BG1241" s="56">
        <f t="shared" si="299"/>
        <v>8.048647822827146E-4</v>
      </c>
      <c r="BH1241" s="56">
        <f t="shared" si="300"/>
        <v>2.8370138918988652E-2</v>
      </c>
      <c r="BI1241" s="56">
        <f t="shared" si="297"/>
        <v>2.7802225258807923E-2</v>
      </c>
      <c r="BJ1241" s="57">
        <f t="shared" si="301"/>
        <v>7.6124770143437742E-2</v>
      </c>
      <c r="BK1241" s="57">
        <f t="shared" si="302"/>
        <v>2.5249735191942681E-3</v>
      </c>
      <c r="BL1241" s="58">
        <f t="shared" si="303"/>
        <v>134.31558823546587</v>
      </c>
      <c r="BM1241" s="58">
        <f t="shared" si="303"/>
        <v>4.4550978987591456</v>
      </c>
    </row>
    <row r="1242" spans="47:65" x14ac:dyDescent="0.2">
      <c r="AU1242" s="2">
        <v>-395</v>
      </c>
      <c r="AV1242" s="53">
        <v>1240</v>
      </c>
      <c r="AW1242" s="4" t="s">
        <v>1430</v>
      </c>
      <c r="AX1242" t="s">
        <v>39</v>
      </c>
      <c r="AY1242" s="4">
        <v>33088</v>
      </c>
      <c r="AZ1242" s="9">
        <v>25.9225914797691</v>
      </c>
      <c r="BA1242" s="7">
        <f t="shared" si="298"/>
        <v>6.6440701106743863E-4</v>
      </c>
      <c r="BB1242" s="54">
        <f t="shared" si="292"/>
        <v>1644.8306354288384</v>
      </c>
      <c r="BC1242" s="55">
        <f t="shared" si="293"/>
        <v>2970.0817075812174</v>
      </c>
      <c r="BD1242" s="55">
        <f t="shared" si="294"/>
        <v>54.498456010984548</v>
      </c>
      <c r="BE1242" s="55">
        <f t="shared" si="295"/>
        <v>53.407505497285058</v>
      </c>
      <c r="BF1242" s="56">
        <f t="shared" si="296"/>
        <v>0.85838655938349107</v>
      </c>
      <c r="BG1242" s="56">
        <f t="shared" si="299"/>
        <v>8.0889442493279012E-4</v>
      </c>
      <c r="BH1242" s="56">
        <f t="shared" si="300"/>
        <v>2.8441069335255139E-2</v>
      </c>
      <c r="BI1242" s="56">
        <f t="shared" si="297"/>
        <v>2.78717357894533E-2</v>
      </c>
      <c r="BJ1242" s="57">
        <f t="shared" si="301"/>
        <v>9.0373436743739696E-2</v>
      </c>
      <c r="BK1242" s="57">
        <f t="shared" si="302"/>
        <v>2.9943586049856648E-3</v>
      </c>
      <c r="BL1242" s="58">
        <f t="shared" si="303"/>
        <v>159.45613095742729</v>
      </c>
      <c r="BM1242" s="58">
        <f t="shared" si="303"/>
        <v>5.2832873801622737</v>
      </c>
    </row>
    <row r="1243" spans="47:65" x14ac:dyDescent="0.2">
      <c r="AU1243" s="2">
        <v>-394</v>
      </c>
      <c r="AV1243" s="53">
        <v>1241</v>
      </c>
      <c r="AW1243" s="4" t="s">
        <v>1379</v>
      </c>
      <c r="AX1243" t="s">
        <v>2</v>
      </c>
      <c r="AY1243" s="4">
        <v>52940</v>
      </c>
      <c r="AZ1243" s="9">
        <v>25.926977710316095</v>
      </c>
      <c r="BA1243" s="7">
        <f t="shared" si="298"/>
        <v>6.6451943201616419E-4</v>
      </c>
      <c r="BB1243" s="54">
        <f t="shared" si="292"/>
        <v>1649.5325898473061</v>
      </c>
      <c r="BC1243" s="55">
        <f t="shared" si="293"/>
        <v>2981.946831032094</v>
      </c>
      <c r="BD1243" s="55">
        <f t="shared" si="294"/>
        <v>54.607204937005278</v>
      </c>
      <c r="BE1243" s="55">
        <f t="shared" si="295"/>
        <v>53.514077486464075</v>
      </c>
      <c r="BF1243" s="56">
        <f t="shared" si="296"/>
        <v>0.86084036489313553</v>
      </c>
      <c r="BG1243" s="56">
        <f t="shared" si="299"/>
        <v>8.1212586202965753E-4</v>
      </c>
      <c r="BH1243" s="56">
        <f t="shared" si="300"/>
        <v>2.8497822057653065E-2</v>
      </c>
      <c r="BI1243" s="56">
        <f t="shared" si="297"/>
        <v>2.7927352435415567E-2</v>
      </c>
      <c r="BJ1243" s="57">
        <f t="shared" si="301"/>
        <v>0.14500865756329778</v>
      </c>
      <c r="BK1243" s="57">
        <f t="shared" si="302"/>
        <v>4.8004613730804856E-3</v>
      </c>
      <c r="BL1243" s="58">
        <f t="shared" si="303"/>
        <v>255.85526370917475</v>
      </c>
      <c r="BM1243" s="58">
        <f t="shared" si="303"/>
        <v>8.4699998687946092</v>
      </c>
    </row>
    <row r="1244" spans="47:65" x14ac:dyDescent="0.2">
      <c r="AU1244" s="2">
        <v>-393</v>
      </c>
      <c r="AV1244" s="53">
        <v>1242</v>
      </c>
      <c r="AW1244" s="4" t="s">
        <v>2605</v>
      </c>
      <c r="AX1244" t="s">
        <v>901</v>
      </c>
      <c r="AY1244" s="4">
        <v>50344</v>
      </c>
      <c r="AZ1244" s="9">
        <v>25.931215366368292</v>
      </c>
      <c r="BA1244" s="7">
        <f t="shared" si="298"/>
        <v>6.6462804493759109E-4</v>
      </c>
      <c r="BB1244" s="54">
        <f t="shared" si="292"/>
        <v>1654.0880418186043</v>
      </c>
      <c r="BC1244" s="55">
        <f t="shared" si="293"/>
        <v>2993.4510648458454</v>
      </c>
      <c r="BD1244" s="55">
        <f t="shared" si="294"/>
        <v>54.712439763237072</v>
      </c>
      <c r="BE1244" s="55">
        <f t="shared" si="295"/>
        <v>53.617205721130901</v>
      </c>
      <c r="BF1244" s="56">
        <f t="shared" si="296"/>
        <v>0.86321771527794211</v>
      </c>
      <c r="BG1244" s="56">
        <f t="shared" si="299"/>
        <v>8.1525901172432153E-4</v>
      </c>
      <c r="BH1244" s="56">
        <f t="shared" si="300"/>
        <v>2.8552740879367808E-2</v>
      </c>
      <c r="BI1244" s="56">
        <f t="shared" si="297"/>
        <v>2.7981171891732701E-2</v>
      </c>
      <c r="BJ1244" s="57">
        <f t="shared" si="301"/>
        <v>0.1382787469487857</v>
      </c>
      <c r="BK1244" s="57">
        <f t="shared" si="302"/>
        <v>4.5738602914110506E-3</v>
      </c>
      <c r="BL1244" s="58">
        <f t="shared" si="303"/>
        <v>243.98091714291166</v>
      </c>
      <c r="BM1244" s="58">
        <f t="shared" si="303"/>
        <v>8.0701818132277552</v>
      </c>
    </row>
    <row r="1245" spans="47:65" x14ac:dyDescent="0.2">
      <c r="AU1245" s="2">
        <v>-392</v>
      </c>
      <c r="AV1245" s="53">
        <v>1243</v>
      </c>
      <c r="AW1245" s="4" t="s">
        <v>1641</v>
      </c>
      <c r="AX1245" t="s">
        <v>191</v>
      </c>
      <c r="AY1245" s="4">
        <v>25614</v>
      </c>
      <c r="AZ1245" s="9">
        <v>25.933378316594492</v>
      </c>
      <c r="BA1245" s="7">
        <f t="shared" si="298"/>
        <v>6.6468348226900132E-4</v>
      </c>
      <c r="BB1245" s="54">
        <f t="shared" si="292"/>
        <v>1656.4180464935544</v>
      </c>
      <c r="BC1245" s="55">
        <f t="shared" si="293"/>
        <v>2999.3385404260221</v>
      </c>
      <c r="BD1245" s="55">
        <f t="shared" si="294"/>
        <v>54.766217145481413</v>
      </c>
      <c r="BE1245" s="55">
        <f t="shared" si="295"/>
        <v>53.669906587321776</v>
      </c>
      <c r="BF1245" s="56">
        <f t="shared" si="296"/>
        <v>0.86443367311165276</v>
      </c>
      <c r="BG1245" s="56">
        <f t="shared" si="299"/>
        <v>8.1686245117223988E-4</v>
      </c>
      <c r="BH1245" s="56">
        <f t="shared" si="300"/>
        <v>2.8580805642462914E-2</v>
      </c>
      <c r="BI1245" s="56">
        <f t="shared" si="297"/>
        <v>2.8008674854183228E-2</v>
      </c>
      <c r="BJ1245" s="57">
        <f t="shared" si="301"/>
        <v>7.0452507259355104E-2</v>
      </c>
      <c r="BK1245" s="57">
        <f t="shared" si="302"/>
        <v>2.3293741088956346E-3</v>
      </c>
      <c r="BL1245" s="58">
        <f t="shared" si="303"/>
        <v>124.3073698268427</v>
      </c>
      <c r="BM1245" s="58">
        <f t="shared" si="303"/>
        <v>4.10997961724226</v>
      </c>
    </row>
    <row r="1246" spans="47:65" x14ac:dyDescent="0.2">
      <c r="AU1246" s="2">
        <v>-391</v>
      </c>
      <c r="AV1246" s="53">
        <v>1244</v>
      </c>
      <c r="AW1246" s="4" t="s">
        <v>2413</v>
      </c>
      <c r="AX1246" t="s">
        <v>744</v>
      </c>
      <c r="AY1246" s="4">
        <v>47270</v>
      </c>
      <c r="AZ1246" s="9">
        <v>25.94034825116098</v>
      </c>
      <c r="BA1246" s="7">
        <f t="shared" si="298"/>
        <v>6.6486212464726322E-4</v>
      </c>
      <c r="BB1246" s="54">
        <f t="shared" si="292"/>
        <v>1663.9486548143966</v>
      </c>
      <c r="BC1246" s="55">
        <f t="shared" si="293"/>
        <v>3018.3823087326782</v>
      </c>
      <c r="BD1246" s="55">
        <f t="shared" si="294"/>
        <v>54.939806231298981</v>
      </c>
      <c r="BE1246" s="55">
        <f t="shared" si="295"/>
        <v>53.840020765477611</v>
      </c>
      <c r="BF1246" s="56">
        <f t="shared" si="296"/>
        <v>0.86836366616221838</v>
      </c>
      <c r="BG1246" s="56">
        <f t="shared" si="299"/>
        <v>8.2204897448356863E-4</v>
      </c>
      <c r="BH1246" s="56">
        <f t="shared" si="300"/>
        <v>2.8671396451578159E-2</v>
      </c>
      <c r="BI1246" s="56">
        <f t="shared" si="297"/>
        <v>2.8097452215781339E-2</v>
      </c>
      <c r="BJ1246" s="57">
        <f t="shared" si="301"/>
        <v>0.13060945521744771</v>
      </c>
      <c r="BK1246" s="57">
        <f t="shared" si="302"/>
        <v>4.3124276346271388E-3</v>
      </c>
      <c r="BL1246" s="58">
        <f t="shared" si="303"/>
        <v>230.44911365367835</v>
      </c>
      <c r="BM1246" s="58">
        <f t="shared" si="303"/>
        <v>7.6089064489313856</v>
      </c>
    </row>
    <row r="1247" spans="47:65" x14ac:dyDescent="0.2">
      <c r="AU1247" s="2">
        <v>-390</v>
      </c>
      <c r="AV1247" s="53">
        <v>1245</v>
      </c>
      <c r="AW1247" s="4" t="s">
        <v>2182</v>
      </c>
      <c r="AX1247" t="s">
        <v>574</v>
      </c>
      <c r="AY1247" s="4">
        <v>43778</v>
      </c>
      <c r="AZ1247" s="9">
        <v>25.943168566007969</v>
      </c>
      <c r="BA1247" s="7">
        <f t="shared" si="298"/>
        <v>6.6493441051263349E-4</v>
      </c>
      <c r="BB1247" s="54">
        <f t="shared" si="292"/>
        <v>1667.005562350528</v>
      </c>
      <c r="BC1247" s="55">
        <f t="shared" si="293"/>
        <v>3026.119432426111</v>
      </c>
      <c r="BD1247" s="55">
        <f t="shared" si="294"/>
        <v>55.010175717099024</v>
      </c>
      <c r="BE1247" s="55">
        <f t="shared" si="295"/>
        <v>53.908981594366949</v>
      </c>
      <c r="BF1247" s="56">
        <f t="shared" si="296"/>
        <v>0.86995897225986463</v>
      </c>
      <c r="BG1247" s="56">
        <f t="shared" si="299"/>
        <v>8.2415616103158644E-4</v>
      </c>
      <c r="BH1247" s="56">
        <f t="shared" si="300"/>
        <v>2.870812012360939E-2</v>
      </c>
      <c r="BI1247" s="56">
        <f t="shared" si="297"/>
        <v>2.813344075306198E-2</v>
      </c>
      <c r="BJ1247" s="57">
        <f t="shared" si="301"/>
        <v>0.1211831007149176</v>
      </c>
      <c r="BK1247" s="57">
        <f t="shared" si="302"/>
        <v>3.9989690585501758E-3</v>
      </c>
      <c r="BL1247" s="58">
        <f t="shared" si="303"/>
        <v>213.81712451876587</v>
      </c>
      <c r="BM1247" s="58">
        <f t="shared" si="303"/>
        <v>7.0558358392744012</v>
      </c>
    </row>
    <row r="1248" spans="47:65" x14ac:dyDescent="0.2">
      <c r="AU1248" s="2">
        <v>-389</v>
      </c>
      <c r="AV1248" s="53">
        <v>1246</v>
      </c>
      <c r="AW1248" s="4" t="s">
        <v>2101</v>
      </c>
      <c r="AX1248" t="s">
        <v>509</v>
      </c>
      <c r="AY1248" s="4">
        <v>77587</v>
      </c>
      <c r="AZ1248" s="9">
        <v>25.949290089094031</v>
      </c>
      <c r="BA1248" s="7">
        <f t="shared" si="298"/>
        <v>6.6509130774491704E-4</v>
      </c>
      <c r="BB1248" s="54">
        <f t="shared" si="292"/>
        <v>1673.6599513068459</v>
      </c>
      <c r="BC1248" s="55">
        <f t="shared" si="293"/>
        <v>3042.9751244690674</v>
      </c>
      <c r="BD1248" s="55">
        <f t="shared" si="294"/>
        <v>55.163168187379043</v>
      </c>
      <c r="BE1248" s="55">
        <f t="shared" si="295"/>
        <v>54.058911460194274</v>
      </c>
      <c r="BF1248" s="56">
        <f t="shared" si="296"/>
        <v>0.87343169335222437</v>
      </c>
      <c r="BG1248" s="56">
        <f t="shared" si="299"/>
        <v>8.2874676717118996E-4</v>
      </c>
      <c r="BH1248" s="56">
        <f t="shared" si="300"/>
        <v>2.8787962192055032E-2</v>
      </c>
      <c r="BI1248" s="56">
        <f t="shared" si="297"/>
        <v>2.8211684542364297E-2</v>
      </c>
      <c r="BJ1248" s="57">
        <f t="shared" si="301"/>
        <v>0.21562806143962013</v>
      </c>
      <c r="BK1248" s="57">
        <f t="shared" si="302"/>
        <v>7.1070153825602469E-3</v>
      </c>
      <c r="BL1248" s="58">
        <f t="shared" si="303"/>
        <v>380.45710821541843</v>
      </c>
      <c r="BM1248" s="58">
        <f t="shared" si="303"/>
        <v>12.539715389726833</v>
      </c>
    </row>
    <row r="1249" spans="47:65" x14ac:dyDescent="0.2">
      <c r="AU1249" s="2">
        <v>-388</v>
      </c>
      <c r="AV1249" s="53">
        <v>1247</v>
      </c>
      <c r="AW1249" s="4" t="s">
        <v>1994</v>
      </c>
      <c r="AX1249" t="s">
        <v>422</v>
      </c>
      <c r="AY1249" s="4">
        <v>101947</v>
      </c>
      <c r="AZ1249" s="9">
        <v>25.952567022001684</v>
      </c>
      <c r="BA1249" s="7">
        <f t="shared" si="298"/>
        <v>6.6517529692479286E-4</v>
      </c>
      <c r="BB1249" s="54">
        <f t="shared" si="292"/>
        <v>1677.2330443478259</v>
      </c>
      <c r="BC1249" s="55">
        <f t="shared" si="293"/>
        <v>3052.0332879498042</v>
      </c>
      <c r="BD1249" s="55">
        <f t="shared" si="294"/>
        <v>55.245210543085129</v>
      </c>
      <c r="BE1249" s="55">
        <f t="shared" si="295"/>
        <v>54.139311491389655</v>
      </c>
      <c r="BF1249" s="56">
        <f t="shared" si="296"/>
        <v>0.87529638080133865</v>
      </c>
      <c r="BG1249" s="56">
        <f t="shared" si="299"/>
        <v>8.3121373564579463E-4</v>
      </c>
      <c r="BH1249" s="56">
        <f t="shared" si="300"/>
        <v>2.883077757615626E-2</v>
      </c>
      <c r="BI1249" s="56">
        <f t="shared" si="297"/>
        <v>2.8253642847775626E-2</v>
      </c>
      <c r="BJ1249" s="57">
        <f t="shared" si="301"/>
        <v>0.28393370871057638</v>
      </c>
      <c r="BK1249" s="57">
        <f t="shared" si="302"/>
        <v>9.3522945847364439E-3</v>
      </c>
      <c r="BL1249" s="58">
        <f t="shared" si="303"/>
        <v>500.97652884178888</v>
      </c>
      <c r="BM1249" s="58">
        <f t="shared" si="303"/>
        <v>16.501316800475397</v>
      </c>
    </row>
    <row r="1250" spans="47:65" x14ac:dyDescent="0.2">
      <c r="AU1250" s="2">
        <v>-387</v>
      </c>
      <c r="AV1250" s="53">
        <v>1248</v>
      </c>
      <c r="AW1250" s="4" t="s">
        <v>1906</v>
      </c>
      <c r="AX1250" t="s">
        <v>366</v>
      </c>
      <c r="AY1250" s="4">
        <v>30532</v>
      </c>
      <c r="AZ1250" s="9">
        <v>25.95553356012422</v>
      </c>
      <c r="BA1250" s="7">
        <f t="shared" si="298"/>
        <v>6.652513305547156E-4</v>
      </c>
      <c r="BB1250" s="54">
        <f t="shared" si="292"/>
        <v>1680.4742686630059</v>
      </c>
      <c r="BC1250" s="55">
        <f t="shared" si="293"/>
        <v>3060.2546131672552</v>
      </c>
      <c r="BD1250" s="55">
        <f t="shared" si="294"/>
        <v>55.319568085508905</v>
      </c>
      <c r="BE1250" s="55">
        <f t="shared" si="295"/>
        <v>54.21218054395441</v>
      </c>
      <c r="BF1250" s="56">
        <f t="shared" si="296"/>
        <v>0.87698787616151075</v>
      </c>
      <c r="BG1250" s="56">
        <f t="shared" si="299"/>
        <v>8.334527932841513E-4</v>
      </c>
      <c r="BH1250" s="56">
        <f t="shared" si="300"/>
        <v>2.8869582492376838E-2</v>
      </c>
      <c r="BI1250" s="56">
        <f t="shared" si="297"/>
        <v>2.8291670966883339E-2</v>
      </c>
      <c r="BJ1250" s="57">
        <f t="shared" si="301"/>
        <v>8.5199337037783734E-2</v>
      </c>
      <c r="BK1250" s="57">
        <f t="shared" si="302"/>
        <v>2.804678782646168E-3</v>
      </c>
      <c r="BL1250" s="58">
        <f t="shared" si="303"/>
        <v>150.32687849091809</v>
      </c>
      <c r="BM1250" s="58">
        <f t="shared" si="303"/>
        <v>4.948613700807666</v>
      </c>
    </row>
    <row r="1251" spans="47:65" x14ac:dyDescent="0.2">
      <c r="AU1251" s="2">
        <v>-386</v>
      </c>
      <c r="AV1251" s="53">
        <v>1249</v>
      </c>
      <c r="AW1251" s="4" t="s">
        <v>1956</v>
      </c>
      <c r="AX1251" t="s">
        <v>399</v>
      </c>
      <c r="AY1251" s="4">
        <v>37900</v>
      </c>
      <c r="AZ1251" s="9">
        <v>25.95670074734813</v>
      </c>
      <c r="BA1251" s="7">
        <f t="shared" si="298"/>
        <v>6.6528124605816363E-4</v>
      </c>
      <c r="BB1251" s="54">
        <f t="shared" si="292"/>
        <v>1681.751247926182</v>
      </c>
      <c r="BC1251" s="55">
        <f t="shared" si="293"/>
        <v>3063.494823272451</v>
      </c>
      <c r="BD1251" s="55">
        <f t="shared" si="294"/>
        <v>55.34884663001074</v>
      </c>
      <c r="BE1251" s="55">
        <f t="shared" si="295"/>
        <v>54.240872990326082</v>
      </c>
      <c r="BF1251" s="56">
        <f t="shared" si="296"/>
        <v>0.87765429239459491</v>
      </c>
      <c r="BG1251" s="56">
        <f t="shared" si="299"/>
        <v>8.3433525651174052E-4</v>
      </c>
      <c r="BH1251" s="56">
        <f t="shared" si="300"/>
        <v>2.8884862064959573E-2</v>
      </c>
      <c r="BI1251" s="56">
        <f t="shared" si="297"/>
        <v>2.8306644672864003E-2</v>
      </c>
      <c r="BJ1251" s="57">
        <f t="shared" si="301"/>
        <v>0.1058400565732411</v>
      </c>
      <c r="BK1251" s="57">
        <f t="shared" si="302"/>
        <v>3.4833481264295754E-3</v>
      </c>
      <c r="BL1251" s="58">
        <f t="shared" si="303"/>
        <v>186.74564705710756</v>
      </c>
      <c r="BM1251" s="58">
        <f t="shared" si="303"/>
        <v>6.1460671966393896</v>
      </c>
    </row>
    <row r="1252" spans="47:65" x14ac:dyDescent="0.2">
      <c r="AU1252" s="2">
        <v>-385</v>
      </c>
      <c r="AV1252" s="53">
        <v>1250</v>
      </c>
      <c r="AW1252" s="4" t="s">
        <v>2188</v>
      </c>
      <c r="AX1252" t="s">
        <v>580</v>
      </c>
      <c r="AY1252" s="4">
        <v>31443</v>
      </c>
      <c r="AZ1252" s="9">
        <v>25.957675142316596</v>
      </c>
      <c r="BA1252" s="7">
        <f t="shared" si="298"/>
        <v>6.6530622021435874E-4</v>
      </c>
      <c r="BB1252" s="54">
        <f t="shared" si="292"/>
        <v>1682.8180430467048</v>
      </c>
      <c r="BC1252" s="55">
        <f t="shared" si="293"/>
        <v>3066.2022168998315</v>
      </c>
      <c r="BD1252" s="55">
        <f t="shared" si="294"/>
        <v>55.373298772060089</v>
      </c>
      <c r="BE1252" s="55">
        <f t="shared" si="295"/>
        <v>54.264835649206873</v>
      </c>
      <c r="BF1252" s="56">
        <f t="shared" si="296"/>
        <v>0.87821101998304463</v>
      </c>
      <c r="BG1252" s="56">
        <f t="shared" si="299"/>
        <v>8.3507260848611779E-4</v>
      </c>
      <c r="BH1252" s="56">
        <f t="shared" si="300"/>
        <v>2.8897622886426451E-2</v>
      </c>
      <c r="BI1252" s="56">
        <f t="shared" si="297"/>
        <v>2.8319150048108116E-2</v>
      </c>
      <c r="BJ1252" s="57">
        <f t="shared" si="301"/>
        <v>8.786385022335827E-2</v>
      </c>
      <c r="BK1252" s="57">
        <f t="shared" si="302"/>
        <v>2.8911689233335792E-3</v>
      </c>
      <c r="BL1252" s="58">
        <f t="shared" si="303"/>
        <v>155.02818209035433</v>
      </c>
      <c r="BM1252" s="58">
        <f t="shared" si="303"/>
        <v>5.101218090957004</v>
      </c>
    </row>
    <row r="1253" spans="47:65" x14ac:dyDescent="0.2">
      <c r="AU1253" s="2">
        <v>-384</v>
      </c>
      <c r="AV1253" s="53">
        <v>1251</v>
      </c>
      <c r="AW1253" s="4" t="s">
        <v>2711</v>
      </c>
      <c r="AX1253" t="s">
        <v>973</v>
      </c>
      <c r="AY1253" s="4">
        <v>23952</v>
      </c>
      <c r="AZ1253" s="9">
        <v>25.961463118987513</v>
      </c>
      <c r="BA1253" s="7">
        <f t="shared" si="298"/>
        <v>6.6540330766257474E-4</v>
      </c>
      <c r="BB1253" s="54">
        <f t="shared" si="292"/>
        <v>1686.9716601168839</v>
      </c>
      <c r="BC1253" s="55">
        <f t="shared" si="293"/>
        <v>3076.7479537101226</v>
      </c>
      <c r="BD1253" s="55">
        <f t="shared" si="294"/>
        <v>55.468441060752035</v>
      </c>
      <c r="BE1253" s="55">
        <f t="shared" si="295"/>
        <v>54.358073378828337</v>
      </c>
      <c r="BF1253" s="56">
        <f t="shared" si="296"/>
        <v>0.88037866508222518</v>
      </c>
      <c r="BG1253" s="56">
        <f t="shared" si="299"/>
        <v>8.3794471388678202E-4</v>
      </c>
      <c r="BH1253" s="56">
        <f t="shared" si="300"/>
        <v>2.8947274722964544E-2</v>
      </c>
      <c r="BI1253" s="56">
        <f t="shared" si="297"/>
        <v>2.8367807953798584E-2</v>
      </c>
      <c r="BJ1253" s="57">
        <f t="shared" si="301"/>
        <v>6.7096314325828479E-2</v>
      </c>
      <c r="BK1253" s="57">
        <f t="shared" si="302"/>
        <v>2.2061591457429707E-3</v>
      </c>
      <c r="BL1253" s="58">
        <f t="shared" si="303"/>
        <v>118.38565699606575</v>
      </c>
      <c r="BM1253" s="58">
        <f t="shared" si="303"/>
        <v>3.8925774467781964</v>
      </c>
    </row>
    <row r="1254" spans="47:65" x14ac:dyDescent="0.2">
      <c r="AU1254" s="2">
        <v>-383</v>
      </c>
      <c r="AV1254" s="53">
        <v>1252</v>
      </c>
      <c r="AW1254" s="4" t="s">
        <v>2813</v>
      </c>
      <c r="AX1254" t="s">
        <v>1052</v>
      </c>
      <c r="AY1254" s="4">
        <v>38633</v>
      </c>
      <c r="AZ1254" s="9">
        <v>25.968584652949811</v>
      </c>
      <c r="BA1254" s="7">
        <f t="shared" si="298"/>
        <v>6.6558583559763092E-4</v>
      </c>
      <c r="BB1254" s="54">
        <f t="shared" si="292"/>
        <v>1694.8083892788977</v>
      </c>
      <c r="BC1254" s="55">
        <f t="shared" si="293"/>
        <v>3096.6637128992847</v>
      </c>
      <c r="BD1254" s="55">
        <f t="shared" si="294"/>
        <v>55.647674820241008</v>
      </c>
      <c r="BE1254" s="55">
        <f t="shared" si="295"/>
        <v>54.533719235534392</v>
      </c>
      <c r="BF1254" s="56">
        <f t="shared" si="296"/>
        <v>0.88446841319203362</v>
      </c>
      <c r="BG1254" s="56">
        <f t="shared" si="299"/>
        <v>8.4336872176349884E-4</v>
      </c>
      <c r="BH1254" s="56">
        <f t="shared" si="300"/>
        <v>2.9040811313795951E-2</v>
      </c>
      <c r="BI1254" s="56">
        <f t="shared" si="297"/>
        <v>2.8459472128431692E-2</v>
      </c>
      <c r="BJ1254" s="57">
        <f t="shared" si="301"/>
        <v>0.1087246789430955</v>
      </c>
      <c r="BK1254" s="57">
        <f t="shared" si="302"/>
        <v>3.569887674048504E-3</v>
      </c>
      <c r="BL1254" s="58">
        <f t="shared" si="303"/>
        <v>191.83531431934199</v>
      </c>
      <c r="BM1254" s="58">
        <f t="shared" si="303"/>
        <v>6.2987587610561455</v>
      </c>
    </row>
    <row r="1255" spans="47:65" x14ac:dyDescent="0.2">
      <c r="AU1255" s="2">
        <v>-382</v>
      </c>
      <c r="AV1255" s="53">
        <v>1253</v>
      </c>
      <c r="AW1255" s="4" t="s">
        <v>2723</v>
      </c>
      <c r="AX1255" t="s">
        <v>984</v>
      </c>
      <c r="AY1255" s="4">
        <v>24536</v>
      </c>
      <c r="AZ1255" s="9">
        <v>25.971569631126975</v>
      </c>
      <c r="BA1255" s="7">
        <f t="shared" si="298"/>
        <v>6.6566234185397245E-4</v>
      </c>
      <c r="BB1255" s="54">
        <f t="shared" si="292"/>
        <v>1698.1039588875922</v>
      </c>
      <c r="BC1255" s="55">
        <f t="shared" si="293"/>
        <v>3105.0461890737884</v>
      </c>
      <c r="BD1255" s="55">
        <f t="shared" si="294"/>
        <v>55.722941317502148</v>
      </c>
      <c r="BE1255" s="55">
        <f t="shared" si="295"/>
        <v>54.60747904747155</v>
      </c>
      <c r="BF1255" s="56">
        <f t="shared" si="296"/>
        <v>0.88618826969074116</v>
      </c>
      <c r="BG1255" s="56">
        <f t="shared" si="299"/>
        <v>8.4565166846738312E-4</v>
      </c>
      <c r="BH1255" s="56">
        <f t="shared" si="300"/>
        <v>2.9080090585611715E-2</v>
      </c>
      <c r="BI1255" s="56">
        <f t="shared" si="297"/>
        <v>2.8497965107480618E-2</v>
      </c>
      <c r="BJ1255" s="57">
        <f t="shared" si="301"/>
        <v>6.9185826301613421E-2</v>
      </c>
      <c r="BK1255" s="57">
        <f t="shared" si="302"/>
        <v>2.2703190336670022E-3</v>
      </c>
      <c r="BL1255" s="58">
        <f t="shared" si="303"/>
        <v>122.07242057674762</v>
      </c>
      <c r="BM1255" s="58">
        <f t="shared" si="303"/>
        <v>4.0057820327677502</v>
      </c>
    </row>
    <row r="1256" spans="47:65" x14ac:dyDescent="0.2">
      <c r="AU1256" s="2">
        <v>-381</v>
      </c>
      <c r="AV1256" s="53">
        <v>1254</v>
      </c>
      <c r="AW1256" s="4" t="s">
        <v>2773</v>
      </c>
      <c r="AX1256" t="s">
        <v>1021</v>
      </c>
      <c r="AY1256" s="4">
        <v>18444</v>
      </c>
      <c r="AZ1256" s="9">
        <v>25.981206596969322</v>
      </c>
      <c r="BA1256" s="7">
        <f t="shared" si="298"/>
        <v>6.6590934137468287E-4</v>
      </c>
      <c r="BB1256" s="54">
        <f t="shared" si="292"/>
        <v>1708.7874738328096</v>
      </c>
      <c r="BC1256" s="55">
        <f t="shared" si="293"/>
        <v>3132.2499535100674</v>
      </c>
      <c r="BD1256" s="55">
        <f t="shared" si="294"/>
        <v>55.966507426406977</v>
      </c>
      <c r="BE1256" s="55">
        <f t="shared" si="295"/>
        <v>54.846169448125558</v>
      </c>
      <c r="BF1256" s="56">
        <f t="shared" si="296"/>
        <v>0.89176366781284511</v>
      </c>
      <c r="BG1256" s="56">
        <f t="shared" si="299"/>
        <v>8.5306054659139779E-4</v>
      </c>
      <c r="BH1256" s="56">
        <f t="shared" si="300"/>
        <v>2.9207200252530159E-2</v>
      </c>
      <c r="BI1256" s="56">
        <f t="shared" si="297"/>
        <v>2.8622530292104136E-2</v>
      </c>
      <c r="BJ1256" s="57">
        <f t="shared" si="301"/>
        <v>5.2335003803584863E-2</v>
      </c>
      <c r="BK1256" s="57">
        <f t="shared" si="302"/>
        <v>1.7140852352251579E-3</v>
      </c>
      <c r="BL1256" s="58">
        <f t="shared" si="303"/>
        <v>92.340598309048644</v>
      </c>
      <c r="BM1256" s="58">
        <f t="shared" si="303"/>
        <v>3.0243554919270981</v>
      </c>
    </row>
    <row r="1257" spans="47:65" x14ac:dyDescent="0.2">
      <c r="AU1257" s="2">
        <v>-380</v>
      </c>
      <c r="AV1257" s="53">
        <v>1255</v>
      </c>
      <c r="AW1257" s="4" t="s">
        <v>2904</v>
      </c>
      <c r="AX1257" t="s">
        <v>1118</v>
      </c>
      <c r="AY1257" s="4">
        <v>39317</v>
      </c>
      <c r="AZ1257" s="9">
        <v>25.981620352062514</v>
      </c>
      <c r="BA1257" s="7">
        <f t="shared" si="298"/>
        <v>6.6591994609315765E-4</v>
      </c>
      <c r="BB1257" s="54">
        <f t="shared" si="292"/>
        <v>1709.2476636043566</v>
      </c>
      <c r="BC1257" s="55">
        <f t="shared" si="293"/>
        <v>3133.4227608820856</v>
      </c>
      <c r="BD1257" s="55">
        <f t="shared" si="294"/>
        <v>55.976984206744163</v>
      </c>
      <c r="BE1257" s="55">
        <f t="shared" si="295"/>
        <v>54.85643650419297</v>
      </c>
      <c r="BF1257" s="56">
        <f t="shared" si="296"/>
        <v>0.89200382671197553</v>
      </c>
      <c r="BG1257" s="56">
        <f t="shared" si="299"/>
        <v>8.5337995778544517E-4</v>
      </c>
      <c r="BH1257" s="56">
        <f t="shared" si="300"/>
        <v>2.921266776221311E-2</v>
      </c>
      <c r="BI1257" s="56">
        <f t="shared" si="297"/>
        <v>2.862788835313599E-2</v>
      </c>
      <c r="BJ1257" s="57">
        <f t="shared" si="301"/>
        <v>0.11159235996264395</v>
      </c>
      <c r="BK1257" s="57">
        <f t="shared" si="302"/>
        <v>3.6545925463194479E-3</v>
      </c>
      <c r="BL1257" s="58">
        <f t="shared" si="303"/>
        <v>196.89509003080315</v>
      </c>
      <c r="BM1257" s="58">
        <f t="shared" si="303"/>
        <v>6.4482131991325362</v>
      </c>
    </row>
    <row r="1258" spans="47:65" x14ac:dyDescent="0.2">
      <c r="AU1258" s="2">
        <v>-379</v>
      </c>
      <c r="AV1258" s="53">
        <v>1256</v>
      </c>
      <c r="AW1258" s="4" t="s">
        <v>2260</v>
      </c>
      <c r="AX1258" t="s">
        <v>623</v>
      </c>
      <c r="AY1258" s="4">
        <v>59171</v>
      </c>
      <c r="AZ1258" s="9">
        <v>25.996745918099165</v>
      </c>
      <c r="BA1258" s="7">
        <f t="shared" si="298"/>
        <v>6.6630762076407002E-4</v>
      </c>
      <c r="BB1258" s="54">
        <f t="shared" si="292"/>
        <v>1726.1560897079826</v>
      </c>
      <c r="BC1258" s="55">
        <f t="shared" si="293"/>
        <v>3176.5717981755693</v>
      </c>
      <c r="BD1258" s="55">
        <f t="shared" si="294"/>
        <v>56.361084075588622</v>
      </c>
      <c r="BE1258" s="55">
        <f t="shared" si="295"/>
        <v>55.232847458893822</v>
      </c>
      <c r="BF1258" s="56">
        <f t="shared" si="296"/>
        <v>0.90082781466250261</v>
      </c>
      <c r="BG1258" s="56">
        <f t="shared" si="299"/>
        <v>8.6513149163005036E-4</v>
      </c>
      <c r="BH1258" s="56">
        <f t="shared" si="300"/>
        <v>2.9413117679532891E-2</v>
      </c>
      <c r="BI1258" s="56">
        <f t="shared" si="297"/>
        <v>2.8824325662461389E-2</v>
      </c>
      <c r="BJ1258" s="57">
        <f t="shared" si="301"/>
        <v>0.16960477241600033</v>
      </c>
      <c r="BK1258" s="57">
        <f t="shared" si="302"/>
        <v>5.5378009525063401E-3</v>
      </c>
      <c r="BL1258" s="58">
        <f t="shared" si="303"/>
        <v>299.25298600801324</v>
      </c>
      <c r="BM1258" s="58">
        <f t="shared" si="303"/>
        <v>9.7709719328582008</v>
      </c>
    </row>
    <row r="1259" spans="47:65" x14ac:dyDescent="0.2">
      <c r="AU1259" s="2">
        <v>-378</v>
      </c>
      <c r="AV1259" s="53">
        <v>1257</v>
      </c>
      <c r="AW1259" s="4" t="s">
        <v>2115</v>
      </c>
      <c r="AX1259" t="s">
        <v>519</v>
      </c>
      <c r="AY1259" s="4">
        <v>51023</v>
      </c>
      <c r="AZ1259" s="9">
        <v>25.997449594733929</v>
      </c>
      <c r="BA1259" s="7">
        <f t="shared" si="298"/>
        <v>6.6632565629458503E-4</v>
      </c>
      <c r="BB1259" s="54">
        <f t="shared" si="292"/>
        <v>1726.9467685012642</v>
      </c>
      <c r="BC1259" s="55">
        <f t="shared" si="293"/>
        <v>3178.5922703146862</v>
      </c>
      <c r="BD1259" s="55">
        <f t="shared" si="294"/>
        <v>56.3790055811087</v>
      </c>
      <c r="BE1259" s="55">
        <f t="shared" si="295"/>
        <v>55.250410211577865</v>
      </c>
      <c r="BF1259" s="56">
        <f t="shared" si="296"/>
        <v>0.90124044562542527</v>
      </c>
      <c r="BG1259" s="56">
        <f t="shared" si="299"/>
        <v>8.6568176223209275E-4</v>
      </c>
      <c r="BH1259" s="56">
        <f t="shared" si="300"/>
        <v>2.9422470362498333E-2</v>
      </c>
      <c r="BI1259" s="56">
        <f t="shared" si="297"/>
        <v>2.8833491123346933E-2</v>
      </c>
      <c r="BJ1259" s="57">
        <f t="shared" si="301"/>
        <v>0.1463167466447147</v>
      </c>
      <c r="BK1259" s="57">
        <f t="shared" si="302"/>
        <v>4.7767498258511863E-3</v>
      </c>
      <c r="BL1259" s="58">
        <f t="shared" si="303"/>
        <v>258.16327402045511</v>
      </c>
      <c r="BM1259" s="58">
        <f t="shared" si="303"/>
        <v>8.4281628897393652</v>
      </c>
    </row>
    <row r="1260" spans="47:65" x14ac:dyDescent="0.2">
      <c r="AU1260" s="2">
        <v>-377</v>
      </c>
      <c r="AV1260" s="53">
        <v>1258</v>
      </c>
      <c r="AW1260" s="4" t="s">
        <v>1614</v>
      </c>
      <c r="AX1260" t="s">
        <v>172</v>
      </c>
      <c r="AY1260" s="4">
        <v>44044</v>
      </c>
      <c r="AZ1260" s="9">
        <v>26.003974542655893</v>
      </c>
      <c r="BA1260" s="7">
        <f t="shared" si="298"/>
        <v>6.6649289347646889E-4</v>
      </c>
      <c r="BB1260" s="54">
        <f t="shared" si="292"/>
        <v>1734.2957298168467</v>
      </c>
      <c r="BC1260" s="55">
        <f t="shared" si="293"/>
        <v>3197.3830669848335</v>
      </c>
      <c r="BD1260" s="55">
        <f t="shared" si="294"/>
        <v>56.545407125467172</v>
      </c>
      <c r="BE1260" s="55">
        <f t="shared" si="295"/>
        <v>55.413480728535092</v>
      </c>
      <c r="BF1260" s="56">
        <f t="shared" si="296"/>
        <v>0.90507564268635543</v>
      </c>
      <c r="BG1260" s="56">
        <f t="shared" si="299"/>
        <v>8.7079938934230938E-4</v>
      </c>
      <c r="BH1260" s="56">
        <f t="shared" si="300"/>
        <v>2.9509310214613782E-2</v>
      </c>
      <c r="BI1260" s="56">
        <f t="shared" si="297"/>
        <v>2.8918592614631467E-2</v>
      </c>
      <c r="BJ1260" s="57">
        <f t="shared" si="301"/>
        <v>0.12684080904261338</v>
      </c>
      <c r="BK1260" s="57">
        <f t="shared" si="302"/>
        <v>4.1355491247135031E-3</v>
      </c>
      <c r="BL1260" s="58">
        <f t="shared" si="303"/>
        <v>223.79966266853341</v>
      </c>
      <c r="BM1260" s="58">
        <f t="shared" si="303"/>
        <v>7.2968195807477736</v>
      </c>
    </row>
    <row r="1261" spans="47:65" x14ac:dyDescent="0.2">
      <c r="AU1261" s="2">
        <v>-376</v>
      </c>
      <c r="AV1261" s="53">
        <v>1259</v>
      </c>
      <c r="AW1261" s="4" t="s">
        <v>2731</v>
      </c>
      <c r="AX1261" t="s">
        <v>992</v>
      </c>
      <c r="AY1261" s="4">
        <v>18115</v>
      </c>
      <c r="AZ1261" s="9">
        <v>26.00804927977223</v>
      </c>
      <c r="BA1261" s="7">
        <f t="shared" si="298"/>
        <v>6.6659733071649033E-4</v>
      </c>
      <c r="BB1261" s="54">
        <f t="shared" si="292"/>
        <v>1738.9009072982235</v>
      </c>
      <c r="BC1261" s="55">
        <f t="shared" si="293"/>
        <v>3209.1687558026115</v>
      </c>
      <c r="BD1261" s="55">
        <f t="shared" si="294"/>
        <v>56.649525644992046</v>
      </c>
      <c r="BE1261" s="55">
        <f t="shared" si="295"/>
        <v>55.515515002731277</v>
      </c>
      <c r="BF1261" s="56">
        <f t="shared" si="296"/>
        <v>0.90747894328669898</v>
      </c>
      <c r="BG1261" s="56">
        <f t="shared" si="299"/>
        <v>8.7400919261287652E-4</v>
      </c>
      <c r="BH1261" s="56">
        <f t="shared" si="300"/>
        <v>2.9563646470164611E-2</v>
      </c>
      <c r="BI1261" s="56">
        <f t="shared" si="297"/>
        <v>2.897184116659866E-2</v>
      </c>
      <c r="BJ1261" s="57">
        <f t="shared" si="301"/>
        <v>5.2307295664205146E-2</v>
      </c>
      <c r="BK1261" s="57">
        <f t="shared" si="302"/>
        <v>1.7040554034523576E-3</v>
      </c>
      <c r="BL1261" s="58">
        <f t="shared" si="303"/>
        <v>92.291709688003436</v>
      </c>
      <c r="BM1261" s="58">
        <f t="shared" si="303"/>
        <v>3.0066587192218663</v>
      </c>
    </row>
    <row r="1262" spans="47:65" x14ac:dyDescent="0.2">
      <c r="AU1262" s="2">
        <v>-375</v>
      </c>
      <c r="AV1262" s="53">
        <v>1260</v>
      </c>
      <c r="AW1262" s="4" t="s">
        <v>1903</v>
      </c>
      <c r="AX1262" t="s">
        <v>364</v>
      </c>
      <c r="AY1262" s="4">
        <v>34268</v>
      </c>
      <c r="AZ1262" s="9">
        <v>26.035870279707812</v>
      </c>
      <c r="BA1262" s="7">
        <f t="shared" si="298"/>
        <v>6.6731039474122469E-4</v>
      </c>
      <c r="BB1262" s="54">
        <f t="shared" si="292"/>
        <v>1770.6720751812263</v>
      </c>
      <c r="BC1262" s="55">
        <f t="shared" si="293"/>
        <v>3290.6968556399097</v>
      </c>
      <c r="BD1262" s="55">
        <f t="shared" si="294"/>
        <v>57.364595837850281</v>
      </c>
      <c r="BE1262" s="55">
        <f t="shared" si="295"/>
        <v>56.216270914941404</v>
      </c>
      <c r="BF1262" s="56">
        <f t="shared" si="296"/>
        <v>0.92405933940728591</v>
      </c>
      <c r="BG1262" s="56">
        <f t="shared" si="299"/>
        <v>8.9621316944809041E-4</v>
      </c>
      <c r="BH1262" s="56">
        <f t="shared" si="300"/>
        <v>2.9936819628145046E-2</v>
      </c>
      <c r="BI1262" s="56">
        <f t="shared" si="297"/>
        <v>2.9337544141418027E-2</v>
      </c>
      <c r="BJ1262" s="57">
        <f t="shared" si="301"/>
        <v>0.10075717703629619</v>
      </c>
      <c r="BK1262" s="57">
        <f t="shared" si="302"/>
        <v>3.2642378108655198E-3</v>
      </c>
      <c r="BL1262" s="58">
        <f t="shared" si="303"/>
        <v>177.77734470757827</v>
      </c>
      <c r="BM1262" s="58">
        <f t="shared" si="303"/>
        <v>5.7594659514994513</v>
      </c>
    </row>
    <row r="1263" spans="47:65" x14ac:dyDescent="0.2">
      <c r="AU1263" s="2">
        <v>-374</v>
      </c>
      <c r="AV1263" s="53">
        <v>1261</v>
      </c>
      <c r="AW1263" s="4" t="s">
        <v>2373</v>
      </c>
      <c r="AX1263" t="s">
        <v>714</v>
      </c>
      <c r="AY1263" s="4">
        <v>24161</v>
      </c>
      <c r="AZ1263" s="9">
        <v>26.037148877629534</v>
      </c>
      <c r="BA1263" s="7">
        <f t="shared" si="298"/>
        <v>6.6734316574809682E-4</v>
      </c>
      <c r="BB1263" s="54">
        <f t="shared" si="292"/>
        <v>1772.1460877946085</v>
      </c>
      <c r="BC1263" s="55">
        <f t="shared" si="293"/>
        <v>3294.4884724176613</v>
      </c>
      <c r="BD1263" s="55">
        <f t="shared" si="294"/>
        <v>57.39763472842467</v>
      </c>
      <c r="BE1263" s="55">
        <f t="shared" si="295"/>
        <v>56.248648432748887</v>
      </c>
      <c r="BF1263" s="56">
        <f t="shared" si="296"/>
        <v>0.92482858129057455</v>
      </c>
      <c r="BG1263" s="56">
        <f t="shared" si="299"/>
        <v>8.972458069223863E-4</v>
      </c>
      <c r="BH1263" s="56">
        <f t="shared" si="300"/>
        <v>2.995406160977817E-2</v>
      </c>
      <c r="BI1263" s="56">
        <f t="shared" si="297"/>
        <v>2.9354440972929538E-2</v>
      </c>
      <c r="BJ1263" s="57">
        <f t="shared" si="301"/>
        <v>7.1099004571938088E-2</v>
      </c>
      <c r="BK1263" s="57">
        <f t="shared" si="302"/>
        <v>2.3028094140103085E-3</v>
      </c>
      <c r="BL1263" s="58">
        <f t="shared" si="303"/>
        <v>125.44805854969354</v>
      </c>
      <c r="BM1263" s="58">
        <f t="shared" si="303"/>
        <v>4.0631085053414271</v>
      </c>
    </row>
    <row r="1264" spans="47:65" x14ac:dyDescent="0.2">
      <c r="AU1264" s="2">
        <v>-373</v>
      </c>
      <c r="AV1264" s="53">
        <v>1262</v>
      </c>
      <c r="AW1264" s="4" t="s">
        <v>1555</v>
      </c>
      <c r="AX1264" t="s">
        <v>135</v>
      </c>
      <c r="AY1264" s="4">
        <v>26763</v>
      </c>
      <c r="AZ1264" s="9">
        <v>26.042307639578421</v>
      </c>
      <c r="BA1264" s="7">
        <f t="shared" si="298"/>
        <v>6.674753870042141E-4</v>
      </c>
      <c r="BB1264" s="54">
        <f t="shared" si="292"/>
        <v>1778.1057642852265</v>
      </c>
      <c r="BC1264" s="55">
        <f t="shared" si="293"/>
        <v>3309.8267674499743</v>
      </c>
      <c r="BD1264" s="55">
        <f t="shared" si="294"/>
        <v>57.531093918419231</v>
      </c>
      <c r="BE1264" s="55">
        <f t="shared" si="295"/>
        <v>56.379436035646499</v>
      </c>
      <c r="BF1264" s="56">
        <f t="shared" si="296"/>
        <v>0.92793875329712039</v>
      </c>
      <c r="BG1264" s="56">
        <f t="shared" si="299"/>
        <v>9.0142315373001683E-4</v>
      </c>
      <c r="BH1264" s="56">
        <f t="shared" si="300"/>
        <v>3.0023709859542953E-2</v>
      </c>
      <c r="BI1264" s="56">
        <f t="shared" si="297"/>
        <v>2.942269500349215E-2</v>
      </c>
      <c r="BJ1264" s="57">
        <f t="shared" si="301"/>
        <v>7.9020810289864768E-2</v>
      </c>
      <c r="BK1264" s="57">
        <f t="shared" si="302"/>
        <v>2.5567397337151912E-3</v>
      </c>
      <c r="BL1264" s="58">
        <f t="shared" si="303"/>
        <v>139.42540117924133</v>
      </c>
      <c r="BM1264" s="58">
        <f t="shared" si="303"/>
        <v>4.5111466432263185</v>
      </c>
    </row>
    <row r="1265" spans="47:65" x14ac:dyDescent="0.2">
      <c r="AU1265" s="2">
        <v>-372</v>
      </c>
      <c r="AV1265" s="53">
        <v>1263</v>
      </c>
      <c r="AW1265" s="4" t="s">
        <v>1762</v>
      </c>
      <c r="AX1265" t="s">
        <v>262</v>
      </c>
      <c r="AY1265" s="4">
        <v>59794</v>
      </c>
      <c r="AZ1265" s="9">
        <v>26.042446809882673</v>
      </c>
      <c r="BA1265" s="7">
        <f t="shared" si="298"/>
        <v>6.674789539981216E-4</v>
      </c>
      <c r="BB1265" s="54">
        <f t="shared" si="292"/>
        <v>1778.2668185888829</v>
      </c>
      <c r="BC1265" s="55">
        <f t="shared" si="293"/>
        <v>3310.2414507014441</v>
      </c>
      <c r="BD1265" s="55">
        <f t="shared" si="294"/>
        <v>57.534697797950102</v>
      </c>
      <c r="BE1265" s="55">
        <f t="shared" si="295"/>
        <v>56.382967772689064</v>
      </c>
      <c r="BF1265" s="56">
        <f t="shared" si="296"/>
        <v>0.92802280258864789</v>
      </c>
      <c r="BG1265" s="56">
        <f t="shared" si="299"/>
        <v>9.0153609169041707E-4</v>
      </c>
      <c r="BH1265" s="56">
        <f t="shared" si="300"/>
        <v>3.0025590613515282E-2</v>
      </c>
      <c r="BI1265" s="56">
        <f t="shared" si="297"/>
        <v>2.9424538108516921E-2</v>
      </c>
      <c r="BJ1265" s="57">
        <f t="shared" si="301"/>
        <v>0.1765645966808076</v>
      </c>
      <c r="BK1265" s="57">
        <f t="shared" si="302"/>
        <v>5.7126358123856073E-3</v>
      </c>
      <c r="BL1265" s="58">
        <f t="shared" si="303"/>
        <v>311.53299537134717</v>
      </c>
      <c r="BM1265" s="58">
        <f t="shared" si="303"/>
        <v>10.079452956899408</v>
      </c>
    </row>
    <row r="1266" spans="47:65" x14ac:dyDescent="0.2">
      <c r="AU1266" s="2">
        <v>-371</v>
      </c>
      <c r="AV1266" s="53">
        <v>1264</v>
      </c>
      <c r="AW1266" s="4" t="s">
        <v>2495</v>
      </c>
      <c r="AX1266" t="s">
        <v>806</v>
      </c>
      <c r="AY1266" s="4">
        <v>44605</v>
      </c>
      <c r="AZ1266" s="9">
        <v>26.047420283961518</v>
      </c>
      <c r="BA1266" s="7">
        <f t="shared" si="298"/>
        <v>6.6760642624756573E-4</v>
      </c>
      <c r="BB1266" s="54">
        <f t="shared" si="292"/>
        <v>1784.0319390072157</v>
      </c>
      <c r="BC1266" s="55">
        <f t="shared" si="293"/>
        <v>3325.0917586682785</v>
      </c>
      <c r="BD1266" s="55">
        <f t="shared" si="294"/>
        <v>57.663608616425307</v>
      </c>
      <c r="BE1266" s="55">
        <f t="shared" si="295"/>
        <v>56.509298053403555</v>
      </c>
      <c r="BF1266" s="56">
        <f t="shared" si="296"/>
        <v>0.93103144176020303</v>
      </c>
      <c r="BG1266" s="56">
        <f t="shared" si="299"/>
        <v>9.0558053642474676E-4</v>
      </c>
      <c r="BH1266" s="56">
        <f t="shared" si="300"/>
        <v>3.009286520796494E-2</v>
      </c>
      <c r="BI1266" s="56">
        <f t="shared" si="297"/>
        <v>2.9490465999614857E-2</v>
      </c>
      <c r="BJ1266" s="57">
        <f t="shared" si="301"/>
        <v>0.13214029243457218</v>
      </c>
      <c r="BK1266" s="57">
        <f t="shared" si="302"/>
        <v>4.2710480338416269E-3</v>
      </c>
      <c r="BL1266" s="58">
        <f t="shared" si="303"/>
        <v>233.15014382984029</v>
      </c>
      <c r="BM1266" s="58">
        <f t="shared" si="303"/>
        <v>7.5358957139238134</v>
      </c>
    </row>
    <row r="1267" spans="47:65" x14ac:dyDescent="0.2">
      <c r="AU1267" s="2">
        <v>-370</v>
      </c>
      <c r="AV1267" s="53">
        <v>1265</v>
      </c>
      <c r="AW1267" s="4" t="s">
        <v>2708</v>
      </c>
      <c r="AX1267" t="s">
        <v>970</v>
      </c>
      <c r="AY1267" s="4">
        <v>47947</v>
      </c>
      <c r="AZ1267" s="9">
        <v>26.053122807449565</v>
      </c>
      <c r="BA1267" s="7">
        <f t="shared" si="298"/>
        <v>6.6775258434249201E-4</v>
      </c>
      <c r="BB1267" s="54">
        <f t="shared" si="292"/>
        <v>1790.6651608203958</v>
      </c>
      <c r="BC1267" s="55">
        <f t="shared" si="293"/>
        <v>3342.1931885560357</v>
      </c>
      <c r="BD1267" s="55">
        <f t="shared" si="294"/>
        <v>57.811704598256185</v>
      </c>
      <c r="BE1267" s="55">
        <f t="shared" si="295"/>
        <v>56.654429448725367</v>
      </c>
      <c r="BF1267" s="56">
        <f t="shared" si="296"/>
        <v>0.93449311637107124</v>
      </c>
      <c r="BG1267" s="56">
        <f t="shared" si="299"/>
        <v>9.1023806866010967E-4</v>
      </c>
      <c r="BH1267" s="56">
        <f t="shared" si="300"/>
        <v>3.0170151949569457E-2</v>
      </c>
      <c r="BI1267" s="56">
        <f t="shared" si="297"/>
        <v>2.9566205614628509E-2</v>
      </c>
      <c r="BJ1267" s="57">
        <f t="shared" si="301"/>
        <v>0.14256893904881043</v>
      </c>
      <c r="BK1267" s="57">
        <f t="shared" si="302"/>
        <v>4.6028445571594072E-3</v>
      </c>
      <c r="BL1267" s="58">
        <f t="shared" si="303"/>
        <v>251.55059090970525</v>
      </c>
      <c r="BM1267" s="58">
        <f t="shared" si="303"/>
        <v>8.1213220491355713</v>
      </c>
    </row>
    <row r="1268" spans="47:65" x14ac:dyDescent="0.2">
      <c r="AU1268" s="2">
        <v>-369</v>
      </c>
      <c r="AV1268" s="53">
        <v>1266</v>
      </c>
      <c r="AW1268" s="4" t="s">
        <v>1419</v>
      </c>
      <c r="AX1268" t="s">
        <v>31</v>
      </c>
      <c r="AY1268" s="4">
        <v>65988</v>
      </c>
      <c r="AZ1268" s="9">
        <v>26.053371433663568</v>
      </c>
      <c r="BA1268" s="7">
        <f t="shared" si="298"/>
        <v>6.6775895673777696E-4</v>
      </c>
      <c r="BB1268" s="54">
        <f t="shared" si="292"/>
        <v>1790.9549253285923</v>
      </c>
      <c r="BC1268" s="55">
        <f t="shared" si="293"/>
        <v>3342.9406085128903</v>
      </c>
      <c r="BD1268" s="55">
        <f t="shared" si="294"/>
        <v>57.81816849843041</v>
      </c>
      <c r="BE1268" s="55">
        <f t="shared" si="295"/>
        <v>56.660763954495934</v>
      </c>
      <c r="BF1268" s="56">
        <f t="shared" si="296"/>
        <v>0.93464433556280113</v>
      </c>
      <c r="BG1268" s="56">
        <f t="shared" si="299"/>
        <v>9.1044162664126688E-4</v>
      </c>
      <c r="BH1268" s="56">
        <f t="shared" si="300"/>
        <v>3.0173525260421045E-2</v>
      </c>
      <c r="BI1268" s="56">
        <f t="shared" si="297"/>
        <v>2.9569511398517396E-2</v>
      </c>
      <c r="BJ1268" s="57">
        <f t="shared" si="301"/>
        <v>0.19624505227872296</v>
      </c>
      <c r="BK1268" s="57">
        <f t="shared" si="302"/>
        <v>6.3354634665378782E-3</v>
      </c>
      <c r="BL1268" s="58">
        <f t="shared" si="303"/>
        <v>346.25746107935748</v>
      </c>
      <c r="BM1268" s="58">
        <f t="shared" si="303"/>
        <v>11.178378609865586</v>
      </c>
    </row>
    <row r="1269" spans="47:65" x14ac:dyDescent="0.2">
      <c r="AU1269" s="2">
        <v>-368</v>
      </c>
      <c r="AV1269" s="53">
        <v>1267</v>
      </c>
      <c r="AW1269" s="4" t="s">
        <v>1527</v>
      </c>
      <c r="AX1269" t="s">
        <v>120</v>
      </c>
      <c r="AY1269" s="4">
        <v>68199</v>
      </c>
      <c r="AZ1269" s="9">
        <v>26.055055438475875</v>
      </c>
      <c r="BA1269" s="7">
        <f t="shared" si="298"/>
        <v>6.6780211849515152E-4</v>
      </c>
      <c r="BB1269" s="54">
        <f t="shared" si="292"/>
        <v>1792.9188045001147</v>
      </c>
      <c r="BC1269" s="55">
        <f t="shared" si="293"/>
        <v>3348.007048669811</v>
      </c>
      <c r="BD1269" s="55">
        <f t="shared" si="294"/>
        <v>57.861965475343219</v>
      </c>
      <c r="BE1269" s="55">
        <f t="shared" si="295"/>
        <v>56.703684203186356</v>
      </c>
      <c r="BF1269" s="56">
        <f t="shared" si="296"/>
        <v>0.93566922374811212</v>
      </c>
      <c r="BG1269" s="56">
        <f t="shared" si="299"/>
        <v>9.118214591175073E-4</v>
      </c>
      <c r="BH1269" s="56">
        <f t="shared" si="300"/>
        <v>3.0196381556694955E-2</v>
      </c>
      <c r="BI1269" s="56">
        <f t="shared" si="297"/>
        <v>2.9591910157275816E-2</v>
      </c>
      <c r="BJ1269" s="57">
        <f t="shared" si="301"/>
        <v>0.20304286068519564</v>
      </c>
      <c r="BK1269" s="57">
        <f t="shared" si="302"/>
        <v>6.5526999691758285E-3</v>
      </c>
      <c r="BL1269" s="58">
        <f t="shared" si="303"/>
        <v>358.25160744074492</v>
      </c>
      <c r="BM1269" s="58">
        <f t="shared" si="303"/>
        <v>11.56167367378568</v>
      </c>
    </row>
    <row r="1270" spans="47:65" x14ac:dyDescent="0.2">
      <c r="AU1270" s="2">
        <v>-367</v>
      </c>
      <c r="AV1270" s="53">
        <v>1268</v>
      </c>
      <c r="AW1270" s="4" t="s">
        <v>2779</v>
      </c>
      <c r="AX1270" t="s">
        <v>1025</v>
      </c>
      <c r="AY1270" s="4">
        <v>40808</v>
      </c>
      <c r="AZ1270" s="9">
        <v>26.056723700646465</v>
      </c>
      <c r="BA1270" s="7">
        <f t="shared" si="298"/>
        <v>6.6784487676194377E-4</v>
      </c>
      <c r="BB1270" s="54">
        <f t="shared" si="292"/>
        <v>1794.8664482346585</v>
      </c>
      <c r="BC1270" s="55">
        <f t="shared" si="293"/>
        <v>3353.032980975036</v>
      </c>
      <c r="BD1270" s="55">
        <f t="shared" si="294"/>
        <v>57.905379551256168</v>
      </c>
      <c r="BE1270" s="55">
        <f t="shared" si="295"/>
        <v>56.746229215792091</v>
      </c>
      <c r="BF1270" s="56">
        <f t="shared" si="296"/>
        <v>0.93668563915781478</v>
      </c>
      <c r="BG1270" s="56">
        <f t="shared" si="299"/>
        <v>9.1319025938021764E-4</v>
      </c>
      <c r="BH1270" s="56">
        <f t="shared" si="300"/>
        <v>3.0219038028703325E-2</v>
      </c>
      <c r="BI1270" s="56">
        <f t="shared" si="297"/>
        <v>2.9614113091852388E-2</v>
      </c>
      <c r="BJ1270" s="57">
        <f t="shared" si="301"/>
        <v>0.1216260337512533</v>
      </c>
      <c r="BK1270" s="57">
        <f t="shared" si="302"/>
        <v>3.9238583208279923E-3</v>
      </c>
      <c r="BL1270" s="58">
        <f t="shared" si="303"/>
        <v>214.59864164140879</v>
      </c>
      <c r="BM1270" s="58">
        <f t="shared" si="303"/>
        <v>6.9233094237470301</v>
      </c>
    </row>
    <row r="1271" spans="47:65" x14ac:dyDescent="0.2">
      <c r="AU1271" s="2">
        <v>-366</v>
      </c>
      <c r="AV1271" s="53">
        <v>1269</v>
      </c>
      <c r="AW1271" s="4" t="s">
        <v>1742</v>
      </c>
      <c r="AX1271" t="s">
        <v>251</v>
      </c>
      <c r="AY1271" s="4">
        <v>26561</v>
      </c>
      <c r="AZ1271" s="9">
        <v>26.065152643788597</v>
      </c>
      <c r="BA1271" s="7">
        <f t="shared" si="298"/>
        <v>6.6806091414863369E-4</v>
      </c>
      <c r="BB1271" s="54">
        <f t="shared" si="292"/>
        <v>1804.7393750274814</v>
      </c>
      <c r="BC1271" s="55">
        <f t="shared" si="293"/>
        <v>3378.5312489088942</v>
      </c>
      <c r="BD1271" s="55">
        <f t="shared" si="294"/>
        <v>58.125134399060912</v>
      </c>
      <c r="BE1271" s="55">
        <f t="shared" si="295"/>
        <v>56.961585009354778</v>
      </c>
      <c r="BF1271" s="56">
        <f t="shared" si="296"/>
        <v>0.9418380162343315</v>
      </c>
      <c r="BG1271" s="56">
        <f t="shared" si="299"/>
        <v>9.2013464973970819E-4</v>
      </c>
      <c r="BH1271" s="56">
        <f t="shared" si="300"/>
        <v>3.0333721330224359E-2</v>
      </c>
      <c r="BI1271" s="56">
        <f t="shared" si="297"/>
        <v>2.9726500662157075E-2</v>
      </c>
      <c r="BJ1271" s="57">
        <f t="shared" si="301"/>
        <v>7.9599073040778012E-2</v>
      </c>
      <c r="BK1271" s="57">
        <f t="shared" si="302"/>
        <v>2.5636426414565039E-3</v>
      </c>
      <c r="BL1271" s="58">
        <f t="shared" si="303"/>
        <v>140.44569590587525</v>
      </c>
      <c r="BM1271" s="58">
        <f t="shared" si="303"/>
        <v>4.5233262282951801</v>
      </c>
    </row>
    <row r="1272" spans="47:65" x14ac:dyDescent="0.2">
      <c r="AU1272" s="2">
        <v>-365</v>
      </c>
      <c r="AV1272" s="53">
        <v>1270</v>
      </c>
      <c r="AW1272" s="4" t="s">
        <v>2683</v>
      </c>
      <c r="AX1272" t="s">
        <v>949</v>
      </c>
      <c r="AY1272" s="4">
        <v>26147</v>
      </c>
      <c r="AZ1272" s="9">
        <v>26.068559681404405</v>
      </c>
      <c r="BA1272" s="7">
        <f t="shared" si="298"/>
        <v>6.6814823796734529E-4</v>
      </c>
      <c r="BB1272" s="54">
        <f t="shared" si="292"/>
        <v>1808.7454775775072</v>
      </c>
      <c r="BC1272" s="55">
        <f t="shared" si="293"/>
        <v>3388.8875376581927</v>
      </c>
      <c r="BD1272" s="55">
        <f t="shared" si="294"/>
        <v>58.214152382888756</v>
      </c>
      <c r="BE1272" s="55">
        <f t="shared" si="295"/>
        <v>57.048821030494253</v>
      </c>
      <c r="BF1272" s="56">
        <f t="shared" si="296"/>
        <v>0.94392867803888636</v>
      </c>
      <c r="BG1272" s="56">
        <f t="shared" si="299"/>
        <v>9.2295515942841366E-4</v>
      </c>
      <c r="BH1272" s="56">
        <f t="shared" si="300"/>
        <v>3.0380177080267547E-2</v>
      </c>
      <c r="BI1272" s="56">
        <f t="shared" si="297"/>
        <v>2.9772026460636796E-2</v>
      </c>
      <c r="BJ1272" s="57">
        <f t="shared" si="301"/>
        <v>7.8532318610383609E-2</v>
      </c>
      <c r="BK1272" s="57">
        <f t="shared" si="302"/>
        <v>2.5275487453821775E-3</v>
      </c>
      <c r="BL1272" s="58">
        <f t="shared" si="303"/>
        <v>138.56349976194949</v>
      </c>
      <c r="BM1272" s="58">
        <f t="shared" si="303"/>
        <v>4.4596416631556322</v>
      </c>
    </row>
    <row r="1273" spans="47:65" x14ac:dyDescent="0.2">
      <c r="AU1273" s="2">
        <v>-364</v>
      </c>
      <c r="AV1273" s="53">
        <v>1271</v>
      </c>
      <c r="AW1273" s="4" t="s">
        <v>1392</v>
      </c>
      <c r="AX1273" t="s">
        <v>15</v>
      </c>
      <c r="AY1273" s="4">
        <v>23754</v>
      </c>
      <c r="AZ1273" s="9">
        <v>26.068757835498033</v>
      </c>
      <c r="BA1273" s="7">
        <f t="shared" si="298"/>
        <v>6.6815331674078431E-4</v>
      </c>
      <c r="BB1273" s="54">
        <f t="shared" si="292"/>
        <v>1808.9787468963937</v>
      </c>
      <c r="BC1273" s="55">
        <f t="shared" si="293"/>
        <v>3389.490744831945</v>
      </c>
      <c r="BD1273" s="55">
        <f t="shared" si="294"/>
        <v>58.21933308474037</v>
      </c>
      <c r="BE1273" s="55">
        <f t="shared" si="295"/>
        <v>57.053898025016153</v>
      </c>
      <c r="BF1273" s="56">
        <f t="shared" si="296"/>
        <v>0.94405041412753687</v>
      </c>
      <c r="BG1273" s="56">
        <f t="shared" si="299"/>
        <v>9.2311944141386685E-4</v>
      </c>
      <c r="BH1273" s="56">
        <f t="shared" si="300"/>
        <v>3.0382880729349328E-2</v>
      </c>
      <c r="BI1273" s="56">
        <f t="shared" si="297"/>
        <v>2.9774675988050361E-2</v>
      </c>
      <c r="BJ1273" s="57">
        <f t="shared" si="301"/>
        <v>7.1354162217158595E-2</v>
      </c>
      <c r="BK1273" s="57">
        <f t="shared" si="302"/>
        <v>2.2964292666405152E-3</v>
      </c>
      <c r="BL1273" s="58">
        <f t="shared" si="303"/>
        <v>125.89826219754684</v>
      </c>
      <c r="BM1273" s="58">
        <f t="shared" si="303"/>
        <v>4.0518512858399687</v>
      </c>
    </row>
    <row r="1274" spans="47:65" x14ac:dyDescent="0.2">
      <c r="AU1274" s="2">
        <v>-363</v>
      </c>
      <c r="AV1274" s="53">
        <v>1272</v>
      </c>
      <c r="AW1274" s="4" t="s">
        <v>1634</v>
      </c>
      <c r="AX1274" t="s">
        <v>185</v>
      </c>
      <c r="AY1274" s="4">
        <v>106263</v>
      </c>
      <c r="AZ1274" s="9">
        <v>26.08502940057031</v>
      </c>
      <c r="BA1274" s="7">
        <f t="shared" si="298"/>
        <v>6.6857036385289492E-4</v>
      </c>
      <c r="BB1274" s="54">
        <f t="shared" si="292"/>
        <v>1828.2368550226838</v>
      </c>
      <c r="BC1274" s="55">
        <f t="shared" si="293"/>
        <v>3439.3562669364451</v>
      </c>
      <c r="BD1274" s="55">
        <f t="shared" si="294"/>
        <v>58.646025158883916</v>
      </c>
      <c r="BE1274" s="55">
        <f t="shared" si="295"/>
        <v>57.472048573921178</v>
      </c>
      <c r="BF1274" s="56">
        <f t="shared" si="296"/>
        <v>0.95410062891481839</v>
      </c>
      <c r="BG1274" s="56">
        <f t="shared" si="299"/>
        <v>9.3670019332502651E-4</v>
      </c>
      <c r="BH1274" s="56">
        <f t="shared" si="300"/>
        <v>3.0605558209662286E-2</v>
      </c>
      <c r="BI1274" s="56">
        <f t="shared" si="297"/>
        <v>2.9992895908841122E-2</v>
      </c>
      <c r="BJ1274" s="57">
        <f t="shared" si="301"/>
        <v>0.32259945321317507</v>
      </c>
      <c r="BK1274" s="57">
        <f t="shared" si="302"/>
        <v>1.0348317613993043E-2</v>
      </c>
      <c r="BL1274" s="58">
        <f t="shared" si="303"/>
        <v>569.19889861240495</v>
      </c>
      <c r="BM1274" s="58">
        <f t="shared" si="303"/>
        <v>18.258713490391095</v>
      </c>
    </row>
    <row r="1275" spans="47:65" x14ac:dyDescent="0.2">
      <c r="AU1275" s="2">
        <v>-362</v>
      </c>
      <c r="AV1275" s="53">
        <v>1273</v>
      </c>
      <c r="AW1275" s="4" t="s">
        <v>1888</v>
      </c>
      <c r="AX1275" t="s">
        <v>355</v>
      </c>
      <c r="AY1275" s="4">
        <v>44329</v>
      </c>
      <c r="AZ1275" s="9">
        <v>26.091863572502273</v>
      </c>
      <c r="BA1275" s="7">
        <f t="shared" si="298"/>
        <v>6.6874552657726909E-4</v>
      </c>
      <c r="BB1275" s="54">
        <f t="shared" si="292"/>
        <v>1836.3864137612995</v>
      </c>
      <c r="BC1275" s="55">
        <f t="shared" si="293"/>
        <v>3460.4972219356805</v>
      </c>
      <c r="BD1275" s="55">
        <f t="shared" si="294"/>
        <v>58.825991040828889</v>
      </c>
      <c r="BE1275" s="55">
        <f t="shared" si="295"/>
        <v>57.648411897450245</v>
      </c>
      <c r="BF1275" s="56">
        <f t="shared" si="296"/>
        <v>0.95835363316671873</v>
      </c>
      <c r="BG1275" s="56">
        <f t="shared" si="299"/>
        <v>9.4245788025778708E-4</v>
      </c>
      <c r="BH1275" s="56">
        <f t="shared" si="300"/>
        <v>3.0699476872705616E-2</v>
      </c>
      <c r="BI1275" s="56">
        <f t="shared" si="297"/>
        <v>3.008493450736166E-2</v>
      </c>
      <c r="BJ1275" s="57">
        <f t="shared" si="301"/>
        <v>0.1351764696960002</v>
      </c>
      <c r="BK1275" s="57">
        <f t="shared" si="302"/>
        <v>4.330183307652182E-3</v>
      </c>
      <c r="BL1275" s="58">
        <f t="shared" si="303"/>
        <v>238.5072166208312</v>
      </c>
      <c r="BM1275" s="58">
        <f t="shared" si="303"/>
        <v>7.6402348018759199</v>
      </c>
    </row>
    <row r="1276" spans="47:65" x14ac:dyDescent="0.2">
      <c r="AU1276" s="2">
        <v>-361</v>
      </c>
      <c r="AV1276" s="53">
        <v>1274</v>
      </c>
      <c r="AW1276" s="4" t="s">
        <v>1912</v>
      </c>
      <c r="AX1276" t="s">
        <v>372</v>
      </c>
      <c r="AY1276" s="4">
        <v>28600</v>
      </c>
      <c r="AZ1276" s="9">
        <v>26.092166115204726</v>
      </c>
      <c r="BA1276" s="7">
        <f t="shared" si="298"/>
        <v>6.6875328087501412E-4</v>
      </c>
      <c r="BB1276" s="54">
        <f t="shared" si="292"/>
        <v>1836.7480260348593</v>
      </c>
      <c r="BC1276" s="55">
        <f t="shared" si="293"/>
        <v>3461.4358221256357</v>
      </c>
      <c r="BD1276" s="55">
        <f t="shared" si="294"/>
        <v>58.833968267707689</v>
      </c>
      <c r="BE1276" s="55">
        <f t="shared" si="295"/>
        <v>57.656229436139718</v>
      </c>
      <c r="BF1276" s="56">
        <f t="shared" si="296"/>
        <v>0.9585423474991529</v>
      </c>
      <c r="BG1276" s="56">
        <f t="shared" si="299"/>
        <v>9.4271350570360223E-4</v>
      </c>
      <c r="BH1276" s="56">
        <f t="shared" si="300"/>
        <v>3.0703639942254439E-2</v>
      </c>
      <c r="BI1276" s="56">
        <f t="shared" si="297"/>
        <v>3.0089014240552076E-2</v>
      </c>
      <c r="BJ1276" s="57">
        <f t="shared" si="301"/>
        <v>8.7229766438866693E-2</v>
      </c>
      <c r="BK1276" s="57">
        <f t="shared" si="302"/>
        <v>2.7941085211034764E-3</v>
      </c>
      <c r="BL1276" s="58">
        <f t="shared" si="303"/>
        <v>153.90939596667761</v>
      </c>
      <c r="BM1276" s="58">
        <f t="shared" si="303"/>
        <v>4.929963386406266</v>
      </c>
    </row>
    <row r="1277" spans="47:65" x14ac:dyDescent="0.2">
      <c r="AU1277" s="2">
        <v>-360</v>
      </c>
      <c r="AV1277" s="53">
        <v>1275</v>
      </c>
      <c r="AW1277" s="4" t="s">
        <v>1880</v>
      </c>
      <c r="AX1277" t="s">
        <v>349</v>
      </c>
      <c r="AY1277" s="4">
        <v>19799</v>
      </c>
      <c r="AZ1277" s="9">
        <v>26.100050153896817</v>
      </c>
      <c r="BA1277" s="7">
        <f t="shared" si="298"/>
        <v>6.689553521296046E-4</v>
      </c>
      <c r="BB1277" s="54">
        <f t="shared" si="292"/>
        <v>1846.1965229858113</v>
      </c>
      <c r="BC1277" s="55">
        <f t="shared" si="293"/>
        <v>3485.976297259092</v>
      </c>
      <c r="BD1277" s="55">
        <f t="shared" si="294"/>
        <v>59.04215694958215</v>
      </c>
      <c r="BE1277" s="55">
        <f t="shared" si="295"/>
        <v>57.860250595371127</v>
      </c>
      <c r="BF1277" s="56">
        <f t="shared" si="296"/>
        <v>0.96347322768485533</v>
      </c>
      <c r="BG1277" s="56">
        <f t="shared" si="299"/>
        <v>9.4939704355721485E-4</v>
      </c>
      <c r="BH1277" s="56">
        <f t="shared" si="300"/>
        <v>3.0812287217232264E-2</v>
      </c>
      <c r="BI1277" s="56">
        <f t="shared" si="297"/>
        <v>3.0195486613539553E-2</v>
      </c>
      <c r="BJ1277" s="57">
        <f t="shared" si="301"/>
        <v>6.0697426666935554E-2</v>
      </c>
      <c r="BK1277" s="57">
        <f t="shared" si="302"/>
        <v>1.9411297481534665E-3</v>
      </c>
      <c r="BL1277" s="58">
        <f t="shared" si="303"/>
        <v>107.09537187156009</v>
      </c>
      <c r="BM1277" s="58">
        <f t="shared" si="303"/>
        <v>3.4249559436872725</v>
      </c>
    </row>
    <row r="1278" spans="47:65" x14ac:dyDescent="0.2">
      <c r="AU1278" s="2">
        <v>-359</v>
      </c>
      <c r="AV1278" s="53">
        <v>1276</v>
      </c>
      <c r="AW1278" s="4" t="s">
        <v>2126</v>
      </c>
      <c r="AX1278" t="s">
        <v>528</v>
      </c>
      <c r="AY1278" s="4">
        <v>40392</v>
      </c>
      <c r="AZ1278" s="9">
        <v>26.104002745522319</v>
      </c>
      <c r="BA1278" s="7">
        <f t="shared" si="298"/>
        <v>6.6905665872890499E-4</v>
      </c>
      <c r="BB1278" s="54">
        <f t="shared" si="292"/>
        <v>1850.9517194164198</v>
      </c>
      <c r="BC1278" s="55">
        <f t="shared" si="293"/>
        <v>3498.3384974517326</v>
      </c>
      <c r="BD1278" s="55">
        <f t="shared" si="294"/>
        <v>59.146753904603528</v>
      </c>
      <c r="BE1278" s="55">
        <f t="shared" si="295"/>
        <v>57.962753727738352</v>
      </c>
      <c r="BF1278" s="56">
        <f t="shared" si="296"/>
        <v>0.9659548185643908</v>
      </c>
      <c r="BG1278" s="56">
        <f t="shared" si="299"/>
        <v>9.5276385827819995E-4</v>
      </c>
      <c r="BH1278" s="56">
        <f t="shared" si="300"/>
        <v>3.0866873153563838E-2</v>
      </c>
      <c r="BI1278" s="56">
        <f t="shared" si="297"/>
        <v>3.0248979848175695E-2</v>
      </c>
      <c r="BJ1278" s="57">
        <f t="shared" si="301"/>
        <v>0.12414794727261756</v>
      </c>
      <c r="BK1278" s="57">
        <f t="shared" si="302"/>
        <v>3.9671202701120666E-3</v>
      </c>
      <c r="BL1278" s="58">
        <f t="shared" si="303"/>
        <v>219.04834043803911</v>
      </c>
      <c r="BM1278" s="58">
        <f t="shared" si="303"/>
        <v>6.9996414002555243</v>
      </c>
    </row>
    <row r="1279" spans="47:65" x14ac:dyDescent="0.2">
      <c r="AU1279" s="2">
        <v>-358</v>
      </c>
      <c r="AV1279" s="53">
        <v>1277</v>
      </c>
      <c r="AW1279" s="4" t="s">
        <v>2689</v>
      </c>
      <c r="AX1279" t="s">
        <v>954</v>
      </c>
      <c r="AY1279" s="4">
        <v>46814</v>
      </c>
      <c r="AZ1279" s="9">
        <v>26.104709331411414</v>
      </c>
      <c r="BA1279" s="7">
        <f t="shared" si="298"/>
        <v>6.6907476882484209E-4</v>
      </c>
      <c r="BB1279" s="54">
        <f t="shared" si="292"/>
        <v>1851.8030727673477</v>
      </c>
      <c r="BC1279" s="55">
        <f t="shared" si="293"/>
        <v>3500.5525958629883</v>
      </c>
      <c r="BD1279" s="55">
        <f t="shared" si="294"/>
        <v>59.16546793411667</v>
      </c>
      <c r="BE1279" s="55">
        <f t="shared" si="295"/>
        <v>57.98109313966404</v>
      </c>
      <c r="BF1279" s="56">
        <f t="shared" si="296"/>
        <v>0.96639911371428777</v>
      </c>
      <c r="BG1279" s="56">
        <f t="shared" si="299"/>
        <v>9.5336686251762772E-4</v>
      </c>
      <c r="BH1279" s="56">
        <f t="shared" si="300"/>
        <v>3.0876639430443654E-2</v>
      </c>
      <c r="BI1279" s="56">
        <f t="shared" si="297"/>
        <v>3.0258550623649436E-2</v>
      </c>
      <c r="BJ1279" s="57">
        <f t="shared" si="301"/>
        <v>0.14395264396430335</v>
      </c>
      <c r="BK1279" s="57">
        <f t="shared" si="302"/>
        <v>4.599314941071961E-3</v>
      </c>
      <c r="BL1279" s="58">
        <f t="shared" si="303"/>
        <v>253.99201883544535</v>
      </c>
      <c r="BM1279" s="58">
        <f t="shared" si="303"/>
        <v>8.1150943461141054</v>
      </c>
    </row>
    <row r="1280" spans="47:65" x14ac:dyDescent="0.2">
      <c r="AU1280" s="2">
        <v>-357</v>
      </c>
      <c r="AV1280" s="53">
        <v>1278</v>
      </c>
      <c r="AW1280" s="4" t="s">
        <v>1970</v>
      </c>
      <c r="AX1280" t="s">
        <v>408</v>
      </c>
      <c r="AY1280" s="4">
        <v>18042</v>
      </c>
      <c r="AZ1280" s="9">
        <v>26.106852301938119</v>
      </c>
      <c r="BA1280" s="7">
        <f t="shared" si="298"/>
        <v>6.6912969406808271E-4</v>
      </c>
      <c r="BB1280" s="54">
        <f t="shared" si="292"/>
        <v>1854.3874972830758</v>
      </c>
      <c r="BC1280" s="55">
        <f t="shared" si="293"/>
        <v>3507.2753700838784</v>
      </c>
      <c r="BD1280" s="55">
        <f t="shared" si="294"/>
        <v>59.222254010497423</v>
      </c>
      <c r="BE1280" s="55">
        <f t="shared" si="295"/>
        <v>58.036742471928846</v>
      </c>
      <c r="BF1280" s="56">
        <f t="shared" si="296"/>
        <v>0.96774784544402404</v>
      </c>
      <c r="BG1280" s="56">
        <f t="shared" si="299"/>
        <v>9.5519779348946995E-4</v>
      </c>
      <c r="BH1280" s="56">
        <f t="shared" si="300"/>
        <v>3.0906274338546046E-2</v>
      </c>
      <c r="BI1280" s="56">
        <f t="shared" si="297"/>
        <v>3.0287592299932359E-2</v>
      </c>
      <c r="BJ1280" s="57">
        <f t="shared" si="301"/>
        <v>5.5556421440663209E-2</v>
      </c>
      <c r="BK1280" s="57">
        <f t="shared" si="302"/>
        <v>1.7742659003546547E-3</v>
      </c>
      <c r="BL1280" s="58">
        <f t="shared" si="303"/>
        <v>98.024511758783788</v>
      </c>
      <c r="BM1280" s="58">
        <f t="shared" si="303"/>
        <v>3.1305390826563606</v>
      </c>
    </row>
    <row r="1281" spans="47:65" x14ac:dyDescent="0.2">
      <c r="AU1281" s="2">
        <v>-356</v>
      </c>
      <c r="AV1281" s="53">
        <v>1279</v>
      </c>
      <c r="AW1281" s="4" t="s">
        <v>2191</v>
      </c>
      <c r="AX1281" t="s">
        <v>582</v>
      </c>
      <c r="AY1281" s="4">
        <v>52291</v>
      </c>
      <c r="AZ1281" s="9">
        <v>26.110070760469284</v>
      </c>
      <c r="BA1281" s="7">
        <f t="shared" si="298"/>
        <v>6.6921218452489545E-4</v>
      </c>
      <c r="BB1281" s="54">
        <f t="shared" si="292"/>
        <v>1858.2757399058032</v>
      </c>
      <c r="BC1281" s="55">
        <f t="shared" si="293"/>
        <v>3517.3939925297523</v>
      </c>
      <c r="BD1281" s="55">
        <f t="shared" si="294"/>
        <v>59.3076217069084</v>
      </c>
      <c r="BE1281" s="55">
        <f t="shared" si="295"/>
        <v>58.120401277133183</v>
      </c>
      <c r="BF1281" s="56">
        <f t="shared" si="296"/>
        <v>0.96977699977461562</v>
      </c>
      <c r="BG1281" s="56">
        <f t="shared" si="299"/>
        <v>9.5795357534672273E-4</v>
      </c>
      <c r="BH1281" s="56">
        <f t="shared" si="300"/>
        <v>3.095082511576586E-2</v>
      </c>
      <c r="BI1281" s="56">
        <f t="shared" si="297"/>
        <v>3.033125125934941E-2</v>
      </c>
      <c r="BJ1281" s="57">
        <f t="shared" si="301"/>
        <v>0.16135640122431932</v>
      </c>
      <c r="BK1281" s="57">
        <f t="shared" si="302"/>
        <v>5.1497547959622973E-3</v>
      </c>
      <c r="BL1281" s="58">
        <f t="shared" si="303"/>
        <v>284.69944677882961</v>
      </c>
      <c r="BM1281" s="58">
        <f t="shared" si="303"/>
        <v>9.0862979735080884</v>
      </c>
    </row>
    <row r="1282" spans="47:65" x14ac:dyDescent="0.2">
      <c r="AU1282" s="2">
        <v>-355</v>
      </c>
      <c r="AV1282" s="53">
        <v>1280</v>
      </c>
      <c r="AW1282" s="4" t="s">
        <v>3135</v>
      </c>
      <c r="AX1282" t="s">
        <v>3136</v>
      </c>
      <c r="AY1282" s="5">
        <v>9265.4599999999973</v>
      </c>
      <c r="AZ1282" s="9">
        <v>26.110787653971791</v>
      </c>
      <c r="BA1282" s="7">
        <f t="shared" si="298"/>
        <v>6.6923055880933478E-4</v>
      </c>
      <c r="BB1282" s="54">
        <f t="shared" si="292"/>
        <v>1859.1429337738518</v>
      </c>
      <c r="BC1282" s="55">
        <f t="shared" si="293"/>
        <v>3519.6514447327568</v>
      </c>
      <c r="BD1282" s="55">
        <f t="shared" si="294"/>
        <v>59.326650375128686</v>
      </c>
      <c r="BE1282" s="55">
        <f t="shared" si="295"/>
        <v>58.139049029325946</v>
      </c>
      <c r="BF1282" s="56">
        <f t="shared" si="296"/>
        <v>0.97022956160358254</v>
      </c>
      <c r="BG1282" s="56">
        <f t="shared" si="299"/>
        <v>9.5856838688443424E-4</v>
      </c>
      <c r="BH1282" s="56">
        <f t="shared" si="300"/>
        <v>3.0960755592918502E-2</v>
      </c>
      <c r="BI1282" s="56">
        <f t="shared" si="297"/>
        <v>3.0340982948133647E-2</v>
      </c>
      <c r="BJ1282" s="57">
        <f t="shared" si="301"/>
        <v>2.860413772983229E-2</v>
      </c>
      <c r="BK1282" s="57">
        <f t="shared" si="302"/>
        <v>9.1277956500912917E-4</v>
      </c>
      <c r="BL1282" s="58">
        <f t="shared" si="303"/>
        <v>50.469532819757234</v>
      </c>
      <c r="BM1282" s="58">
        <f t="shared" si="303"/>
        <v>1.6105207801942045</v>
      </c>
    </row>
    <row r="1283" spans="47:65" x14ac:dyDescent="0.2">
      <c r="AU1283" s="2">
        <v>-354</v>
      </c>
      <c r="AV1283" s="53">
        <v>1281</v>
      </c>
      <c r="AW1283" s="4" t="s">
        <v>2710</v>
      </c>
      <c r="AX1283" t="s">
        <v>972</v>
      </c>
      <c r="AY1283" s="4">
        <v>8625</v>
      </c>
      <c r="AZ1283" s="9">
        <v>26.120846249732576</v>
      </c>
      <c r="BA1283" s="7">
        <f t="shared" si="298"/>
        <v>6.6948836488363002E-4</v>
      </c>
      <c r="BB1283" s="54">
        <f t="shared" ref="BB1283:BB1346" si="304">IFERROR(IF(MATCH(AX1283,$S$4:$S$20,0),VLOOKUP(AX1283,$S$4:$AT$20,20,FALSE)),AVERAGE((2^(($AE$23*AZ1283)+$AE$24)),(2^(($AF$23*AZ1283)+$AF$24)),(2^(($AG$23*AZ1283)+$AG$24)),(2^(($AH$23*AZ1283)+$AH$24))))</f>
        <v>1871.3531288051831</v>
      </c>
      <c r="BC1283" s="55">
        <f t="shared" ref="BC1283:BC1346" si="305">IFERROR(IF(MATCH(AX1283,$S$4:$S$20,0),VLOOKUP(AX1283,$S$4:$AT$20,21,FALSE)),_xlfn.VAR.S((2^(($AE$23*AZ1283)+$AE$24)),(2^(($AF$23*AZ1283)+$AF$24)),(2^(($AG$23*AZ1283)+$AG$24)),(2^(($AH$23*AZ1283)+$AH$24))))</f>
        <v>3551.4635233455633</v>
      </c>
      <c r="BD1283" s="55">
        <f t="shared" ref="BD1283:BD1346" si="306">SQRT(BC1283)</f>
        <v>59.594156788611109</v>
      </c>
      <c r="BE1283" s="55">
        <f t="shared" ref="BE1283:BE1346" si="307">_xlfn.CONFIDENCE.NORM(0.05,BD1283,4)</f>
        <v>58.401200497355454</v>
      </c>
      <c r="BF1283" s="56">
        <f t="shared" ref="BF1283:BF1346" si="308">IFERROR(IF(MATCH(AX1283,$S$4:$S$20,0),VLOOKUP(AX1283,$S$4:$AT$20,24,FALSE)),AVERAGE((2^(($AI$23*AZ1283)+$AI$24)),(2^(($AJ$23*AZ1283)+$AJ$24)),(2^(($AK$23*AZ1283)+$AK$24)),(2^(($AL$23*AZ1283)+$AL$24))))</f>
        <v>0.97660168714440787</v>
      </c>
      <c r="BG1283" s="56">
        <f t="shared" si="299"/>
        <v>9.6723232800419027E-4</v>
      </c>
      <c r="BH1283" s="56">
        <f t="shared" si="300"/>
        <v>3.1100358969056777E-2</v>
      </c>
      <c r="BI1283" s="56">
        <f t="shared" ref="BI1283:BI1346" si="309">_xlfn.CONFIDENCE.NORM(0.05,BH1283,4)</f>
        <v>3.0477791742809259E-2</v>
      </c>
      <c r="BJ1283" s="57">
        <f t="shared" si="301"/>
        <v>2.6801799014637286E-2</v>
      </c>
      <c r="BK1283" s="57">
        <f t="shared" si="302"/>
        <v>8.5351641446476157E-4</v>
      </c>
      <c r="BL1283" s="58">
        <f t="shared" si="303"/>
        <v>47.28946167767262</v>
      </c>
      <c r="BM1283" s="58">
        <f t="shared" si="303"/>
        <v>1.5059560647795611</v>
      </c>
    </row>
    <row r="1284" spans="47:65" x14ac:dyDescent="0.2">
      <c r="AU1284" s="2">
        <v>-353</v>
      </c>
      <c r="AV1284" s="53">
        <v>1282</v>
      </c>
      <c r="AW1284" s="4" t="s">
        <v>2037</v>
      </c>
      <c r="AX1284" t="s">
        <v>460</v>
      </c>
      <c r="AY1284" s="4">
        <v>32919</v>
      </c>
      <c r="AZ1284" s="9">
        <v>26.125038077185607</v>
      </c>
      <c r="BA1284" s="7">
        <f t="shared" ref="BA1284:BA1347" si="310">AZ1284/$AZ$1637</f>
        <v>6.6959580319862853E-4</v>
      </c>
      <c r="BB1284" s="54">
        <f t="shared" si="304"/>
        <v>1876.4652606102825</v>
      </c>
      <c r="BC1284" s="55">
        <f t="shared" si="305"/>
        <v>3564.7973333953337</v>
      </c>
      <c r="BD1284" s="55">
        <f t="shared" si="306"/>
        <v>59.705923771392513</v>
      </c>
      <c r="BE1284" s="55">
        <f t="shared" si="307"/>
        <v>58.510730127811584</v>
      </c>
      <c r="BF1284" s="56">
        <f t="shared" si="308"/>
        <v>0.97926955162648555</v>
      </c>
      <c r="BG1284" s="56">
        <f t="shared" ref="BG1284:BG1347" si="311">IFERROR(IF(MATCH(AX1284,$S$4:$S$20,0),VLOOKUP(AX1284,$S$4:$AT$20,25,FALSE)),_xlfn.VAR.S((2^(($AI$23*AZ1284)+$AI$24)),(2^(($AJ$23*AZ1284)+$AJ$24)),(2^(($AK$23*AZ1284)+$AK$24)),(2^(($AL$23*AZ1284)+$AL$24))))</f>
        <v>9.7086375827252949E-4</v>
      </c>
      <c r="BH1284" s="56">
        <f t="shared" ref="BH1284:BH1347" si="312">SQRT(BG1284)</f>
        <v>3.1158686722526183E-2</v>
      </c>
      <c r="BI1284" s="56">
        <f t="shared" si="309"/>
        <v>3.0534951890858839E-2</v>
      </c>
      <c r="BJ1284" s="57">
        <f t="shared" ref="BJ1284:BJ1347" si="313">(((BF1284*0.000001)*AY1284)*1000000000000000)*$S$24</f>
        <v>0.10257375568839218</v>
      </c>
      <c r="BK1284" s="57">
        <f t="shared" ref="BK1284:BK1347" si="314">((((BH1284*0.000001)*AY1284)*1000000000000000)*$S$24)</f>
        <v>3.2637219386012291E-3</v>
      </c>
      <c r="BL1284" s="58">
        <f t="shared" ref="BL1284:BM1347" si="315">((BJ1284/$S$26)*0.000000001)/0.45</f>
        <v>180.98254098958367</v>
      </c>
      <c r="BM1284" s="58">
        <f t="shared" si="315"/>
        <v>5.7585557394028886</v>
      </c>
    </row>
    <row r="1285" spans="47:65" x14ac:dyDescent="0.2">
      <c r="AU1285" s="2">
        <v>-352</v>
      </c>
      <c r="AV1285" s="53">
        <v>1283</v>
      </c>
      <c r="AW1285" s="4" t="s">
        <v>2199</v>
      </c>
      <c r="AX1285" t="s">
        <v>587</v>
      </c>
      <c r="AY1285" s="4">
        <v>104978</v>
      </c>
      <c r="AZ1285" s="9">
        <v>26.128326410811194</v>
      </c>
      <c r="BA1285" s="7">
        <f t="shared" si="310"/>
        <v>6.6968008458373896E-4</v>
      </c>
      <c r="BB1285" s="54">
        <f t="shared" si="304"/>
        <v>1880.4853124422784</v>
      </c>
      <c r="BC1285" s="55">
        <f t="shared" si="305"/>
        <v>3575.2888032772094</v>
      </c>
      <c r="BD1285" s="55">
        <f t="shared" si="306"/>
        <v>59.793718761063936</v>
      </c>
      <c r="BE1285" s="55">
        <f t="shared" si="307"/>
        <v>58.596767636701117</v>
      </c>
      <c r="BF1285" s="56">
        <f t="shared" si="308"/>
        <v>0.9813674931326104</v>
      </c>
      <c r="BG1285" s="56">
        <f t="shared" si="311"/>
        <v>9.7372108420910647E-4</v>
      </c>
      <c r="BH1285" s="56">
        <f t="shared" si="312"/>
        <v>3.1204504229503573E-2</v>
      </c>
      <c r="BI1285" s="56">
        <f t="shared" si="309"/>
        <v>3.057985222262739E-2</v>
      </c>
      <c r="BJ1285" s="57">
        <f t="shared" si="313"/>
        <v>0.32780632948596222</v>
      </c>
      <c r="BK1285" s="57">
        <f t="shared" si="314"/>
        <v>1.0423245182343246E-2</v>
      </c>
      <c r="BL1285" s="58">
        <f t="shared" si="315"/>
        <v>578.38598250285122</v>
      </c>
      <c r="BM1285" s="58">
        <f t="shared" si="315"/>
        <v>18.390916719366995</v>
      </c>
    </row>
    <row r="1286" spans="47:65" x14ac:dyDescent="0.2">
      <c r="AU1286" s="2">
        <v>-351</v>
      </c>
      <c r="AV1286" s="53">
        <v>1284</v>
      </c>
      <c r="AW1286" s="4" t="s">
        <v>2599</v>
      </c>
      <c r="AX1286" t="s">
        <v>896</v>
      </c>
      <c r="AY1286" s="4">
        <v>18592</v>
      </c>
      <c r="AZ1286" s="9">
        <v>26.129833518453381</v>
      </c>
      <c r="BA1286" s="7">
        <f t="shared" si="310"/>
        <v>6.6971871239163714E-4</v>
      </c>
      <c r="BB1286" s="54">
        <f t="shared" si="304"/>
        <v>1882.3306581332151</v>
      </c>
      <c r="BC1286" s="55">
        <f t="shared" si="305"/>
        <v>3580.1065492006273</v>
      </c>
      <c r="BD1286" s="55">
        <f t="shared" si="306"/>
        <v>59.833991586727919</v>
      </c>
      <c r="BE1286" s="55">
        <f t="shared" si="307"/>
        <v>58.636234280629651</v>
      </c>
      <c r="BF1286" s="56">
        <f t="shared" si="308"/>
        <v>0.98233052233719564</v>
      </c>
      <c r="BG1286" s="56">
        <f t="shared" si="311"/>
        <v>9.7503318542447887E-4</v>
      </c>
      <c r="BH1286" s="56">
        <f t="shared" si="312"/>
        <v>3.1225521379545911E-2</v>
      </c>
      <c r="BI1286" s="56">
        <f t="shared" si="309"/>
        <v>3.0600448651197716E-2</v>
      </c>
      <c r="BJ1286" s="57">
        <f t="shared" si="313"/>
        <v>5.8112709015393185E-2</v>
      </c>
      <c r="BK1286" s="57">
        <f t="shared" si="314"/>
        <v>1.8472393929755237E-3</v>
      </c>
      <c r="BL1286" s="58">
        <f t="shared" si="315"/>
        <v>102.53486060649676</v>
      </c>
      <c r="BM1286" s="58">
        <f t="shared" si="315"/>
        <v>3.259294513621867</v>
      </c>
    </row>
    <row r="1287" spans="47:65" x14ac:dyDescent="0.2">
      <c r="AU1287" s="2">
        <v>-350</v>
      </c>
      <c r="AV1287" s="53">
        <v>1285</v>
      </c>
      <c r="AW1287" s="4" t="s">
        <v>2686</v>
      </c>
      <c r="AX1287" t="s">
        <v>1342</v>
      </c>
      <c r="AY1287" s="4">
        <v>18171</v>
      </c>
      <c r="AZ1287" s="9">
        <v>26.132378918440622</v>
      </c>
      <c r="BA1287" s="7">
        <f t="shared" si="310"/>
        <v>6.6978395207258545E-4</v>
      </c>
      <c r="BB1287" s="54">
        <f t="shared" si="304"/>
        <v>1885.4514318662095</v>
      </c>
      <c r="BC1287" s="55">
        <f t="shared" si="305"/>
        <v>3588.2566821157529</v>
      </c>
      <c r="BD1287" s="55">
        <f t="shared" si="306"/>
        <v>59.902059080767437</v>
      </c>
      <c r="BE1287" s="55">
        <f t="shared" si="307"/>
        <v>58.702939199047321</v>
      </c>
      <c r="BF1287" s="56">
        <f t="shared" si="308"/>
        <v>0.98395915824023494</v>
      </c>
      <c r="BG1287" s="56">
        <f t="shared" si="311"/>
        <v>9.7725285401497491E-4</v>
      </c>
      <c r="BH1287" s="56">
        <f t="shared" si="312"/>
        <v>3.1261043712822109E-2</v>
      </c>
      <c r="BI1287" s="56">
        <f t="shared" si="309"/>
        <v>3.0635259898131807E-2</v>
      </c>
      <c r="BJ1287" s="57">
        <f t="shared" si="313"/>
        <v>5.6890961381110265E-2</v>
      </c>
      <c r="BK1287" s="57">
        <f t="shared" si="314"/>
        <v>1.8074640758261496E-3</v>
      </c>
      <c r="BL1287" s="58">
        <f t="shared" si="315"/>
        <v>100.37919232842125</v>
      </c>
      <c r="BM1287" s="58">
        <f t="shared" si="315"/>
        <v>3.1891143986592345</v>
      </c>
    </row>
    <row r="1288" spans="47:65" x14ac:dyDescent="0.2">
      <c r="AU1288" s="2">
        <v>-349</v>
      </c>
      <c r="AV1288" s="53">
        <v>1286</v>
      </c>
      <c r="AW1288" s="4" t="s">
        <v>2718</v>
      </c>
      <c r="AX1288" t="s">
        <v>979</v>
      </c>
      <c r="AY1288" s="4">
        <v>37024</v>
      </c>
      <c r="AZ1288" s="9">
        <v>26.139467926610294</v>
      </c>
      <c r="BA1288" s="7">
        <f t="shared" si="310"/>
        <v>6.6996564635778534E-4</v>
      </c>
      <c r="BB1288" s="54">
        <f t="shared" si="304"/>
        <v>1894.170171475665</v>
      </c>
      <c r="BC1288" s="55">
        <f t="shared" si="305"/>
        <v>3611.0432686664149</v>
      </c>
      <c r="BD1288" s="55">
        <f t="shared" si="306"/>
        <v>60.091956771821096</v>
      </c>
      <c r="BE1288" s="55">
        <f t="shared" si="307"/>
        <v>58.889035516653564</v>
      </c>
      <c r="BF1288" s="56">
        <f t="shared" si="308"/>
        <v>0.98850920049645308</v>
      </c>
      <c r="BG1288" s="56">
        <f t="shared" si="311"/>
        <v>9.8345872464039954E-4</v>
      </c>
      <c r="BH1288" s="56">
        <f t="shared" si="312"/>
        <v>3.1360145481811777E-2</v>
      </c>
      <c r="BI1288" s="56">
        <f t="shared" si="309"/>
        <v>3.0732377847143784E-2</v>
      </c>
      <c r="BJ1288" s="57">
        <f t="shared" si="313"/>
        <v>0.11645319954776719</v>
      </c>
      <c r="BK1288" s="57">
        <f t="shared" si="314"/>
        <v>3.694441364639115E-3</v>
      </c>
      <c r="BL1288" s="58">
        <f t="shared" si="315"/>
        <v>205.47162204480946</v>
      </c>
      <c r="BM1288" s="58">
        <f t="shared" si="315"/>
        <v>6.5185230005678534</v>
      </c>
    </row>
    <row r="1289" spans="47:65" x14ac:dyDescent="0.2">
      <c r="AU1289" s="2">
        <v>-348</v>
      </c>
      <c r="AV1289" s="53">
        <v>1287</v>
      </c>
      <c r="AW1289" s="4" t="s">
        <v>2391</v>
      </c>
      <c r="AX1289" t="s">
        <v>730</v>
      </c>
      <c r="AY1289" s="4">
        <v>41858</v>
      </c>
      <c r="AZ1289" s="9">
        <v>26.144086030397926</v>
      </c>
      <c r="BA1289" s="7">
        <f t="shared" si="310"/>
        <v>6.7008401031598498E-4</v>
      </c>
      <c r="BB1289" s="54">
        <f t="shared" si="304"/>
        <v>1899.8716341879822</v>
      </c>
      <c r="BC1289" s="55">
        <f t="shared" si="305"/>
        <v>3625.9575656483266</v>
      </c>
      <c r="BD1289" s="55">
        <f t="shared" si="306"/>
        <v>60.215924518754392</v>
      </c>
      <c r="BE1289" s="55">
        <f t="shared" si="307"/>
        <v>59.010521676270486</v>
      </c>
      <c r="BF1289" s="56">
        <f t="shared" si="308"/>
        <v>0.99148461866757776</v>
      </c>
      <c r="BG1289" s="56">
        <f t="shared" si="311"/>
        <v>9.8752059662505056E-4</v>
      </c>
      <c r="BH1289" s="56">
        <f t="shared" si="312"/>
        <v>3.1424840439134301E-2</v>
      </c>
      <c r="BI1289" s="56">
        <f t="shared" si="309"/>
        <v>3.0795777740310535E-2</v>
      </c>
      <c r="BJ1289" s="57">
        <f t="shared" si="313"/>
        <v>0.13205408094051949</v>
      </c>
      <c r="BK1289" s="57">
        <f t="shared" si="314"/>
        <v>4.1854188605256392E-3</v>
      </c>
      <c r="BL1289" s="58">
        <f t="shared" si="315"/>
        <v>232.99803108763396</v>
      </c>
      <c r="BM1289" s="58">
        <f t="shared" si="315"/>
        <v>7.3848104264098788</v>
      </c>
    </row>
    <row r="1290" spans="47:65" x14ac:dyDescent="0.2">
      <c r="AU1290" s="2">
        <v>-347</v>
      </c>
      <c r="AV1290" s="53">
        <v>1288</v>
      </c>
      <c r="AW1290" s="4" t="s">
        <v>2898</v>
      </c>
      <c r="AX1290" t="s">
        <v>1112</v>
      </c>
      <c r="AY1290" s="4">
        <v>66715</v>
      </c>
      <c r="AZ1290" s="9">
        <v>26.147182458029562</v>
      </c>
      <c r="BA1290" s="7">
        <f t="shared" si="310"/>
        <v>6.7016337306910045E-4</v>
      </c>
      <c r="BB1290" s="54">
        <f t="shared" si="304"/>
        <v>1903.7040599840138</v>
      </c>
      <c r="BC1290" s="55">
        <f t="shared" si="305"/>
        <v>3635.9886279057851</v>
      </c>
      <c r="BD1290" s="55">
        <f t="shared" si="306"/>
        <v>60.299159429512656</v>
      </c>
      <c r="BE1290" s="55">
        <f t="shared" si="307"/>
        <v>59.092090389941788</v>
      </c>
      <c r="BF1290" s="56">
        <f t="shared" si="308"/>
        <v>0.993484643911692</v>
      </c>
      <c r="BG1290" s="56">
        <f t="shared" si="311"/>
        <v>9.9025253168110111E-4</v>
      </c>
      <c r="BH1290" s="56">
        <f t="shared" si="312"/>
        <v>3.1468278181068329E-2</v>
      </c>
      <c r="BI1290" s="56">
        <f t="shared" si="309"/>
        <v>3.0838345945190755E-2</v>
      </c>
      <c r="BJ1290" s="57">
        <f t="shared" si="313"/>
        <v>0.21089778631850242</v>
      </c>
      <c r="BK1290" s="57">
        <f t="shared" si="314"/>
        <v>6.6801135259741858E-3</v>
      </c>
      <c r="BL1290" s="58">
        <f t="shared" si="315"/>
        <v>372.11094593195463</v>
      </c>
      <c r="BM1290" s="58">
        <f t="shared" si="315"/>
        <v>11.786483900447754</v>
      </c>
    </row>
    <row r="1291" spans="47:65" x14ac:dyDescent="0.2">
      <c r="AU1291" s="2">
        <v>-346</v>
      </c>
      <c r="AV1291" s="53">
        <v>1289</v>
      </c>
      <c r="AW1291" s="4" t="s">
        <v>1649</v>
      </c>
      <c r="AX1291" t="s">
        <v>197</v>
      </c>
      <c r="AY1291" s="4">
        <v>51117</v>
      </c>
      <c r="AZ1291" s="9">
        <v>26.156046238270054</v>
      </c>
      <c r="BA1291" s="7">
        <f t="shared" si="310"/>
        <v>6.7039055551499672E-4</v>
      </c>
      <c r="BB1291" s="54">
        <f t="shared" si="304"/>
        <v>1914.7174924051556</v>
      </c>
      <c r="BC1291" s="55">
        <f t="shared" si="305"/>
        <v>3664.841726564357</v>
      </c>
      <c r="BD1291" s="55">
        <f t="shared" si="306"/>
        <v>60.537936259541894</v>
      </c>
      <c r="BE1291" s="55">
        <f t="shared" si="307"/>
        <v>59.326087383541761</v>
      </c>
      <c r="BF1291" s="56">
        <f t="shared" si="308"/>
        <v>0.99923221582539234</v>
      </c>
      <c r="BG1291" s="56">
        <f t="shared" si="311"/>
        <v>9.9811060191114091E-4</v>
      </c>
      <c r="BH1291" s="56">
        <f t="shared" si="312"/>
        <v>3.1592888470526735E-2</v>
      </c>
      <c r="BI1291" s="56">
        <f t="shared" si="309"/>
        <v>3.0960461784911551E-2</v>
      </c>
      <c r="BJ1291" s="57">
        <f t="shared" si="313"/>
        <v>0.16252461925047362</v>
      </c>
      <c r="BK1291" s="57">
        <f t="shared" si="314"/>
        <v>5.1385674804867061E-3</v>
      </c>
      <c r="BL1291" s="58">
        <f t="shared" si="315"/>
        <v>286.76066668234506</v>
      </c>
      <c r="BM1291" s="58">
        <f t="shared" si="315"/>
        <v>9.0665589206866688</v>
      </c>
    </row>
    <row r="1292" spans="47:65" x14ac:dyDescent="0.2">
      <c r="AU1292" s="2">
        <v>-345</v>
      </c>
      <c r="AV1292" s="53">
        <v>1290</v>
      </c>
      <c r="AW1292" s="4" t="s">
        <v>2905</v>
      </c>
      <c r="AX1292" t="s">
        <v>1119</v>
      </c>
      <c r="AY1292" s="4">
        <v>12777</v>
      </c>
      <c r="AZ1292" s="9">
        <v>26.161278249567921</v>
      </c>
      <c r="BA1292" s="7">
        <f t="shared" si="310"/>
        <v>6.7052465418298679E-4</v>
      </c>
      <c r="BB1292" s="54">
        <f t="shared" si="304"/>
        <v>1921.2482592796923</v>
      </c>
      <c r="BC1292" s="55">
        <f t="shared" si="305"/>
        <v>3681.9694156470869</v>
      </c>
      <c r="BD1292" s="55">
        <f t="shared" si="306"/>
        <v>60.67923380899834</v>
      </c>
      <c r="BE1292" s="55">
        <f t="shared" si="307"/>
        <v>59.464556437560958</v>
      </c>
      <c r="BF1292" s="56">
        <f t="shared" si="308"/>
        <v>1.0026404223524477</v>
      </c>
      <c r="BG1292" s="56">
        <f t="shared" si="311"/>
        <v>1.0027752857733299E-3</v>
      </c>
      <c r="BH1292" s="56">
        <f t="shared" si="312"/>
        <v>3.1666627319203569E-2</v>
      </c>
      <c r="BI1292" s="56">
        <f t="shared" si="309"/>
        <v>3.1032724528745573E-2</v>
      </c>
      <c r="BJ1292" s="57">
        <f t="shared" si="313"/>
        <v>4.076256239112943E-2</v>
      </c>
      <c r="BK1292" s="57">
        <f t="shared" si="314"/>
        <v>1.2874135562848208E-3</v>
      </c>
      <c r="BL1292" s="58">
        <f t="shared" si="315"/>
        <v>71.922024003922687</v>
      </c>
      <c r="BM1292" s="58">
        <f t="shared" si="315"/>
        <v>2.2715301312422431</v>
      </c>
    </row>
    <row r="1293" spans="47:65" x14ac:dyDescent="0.2">
      <c r="AU1293" s="2">
        <v>-344</v>
      </c>
      <c r="AV1293" s="53">
        <v>1291</v>
      </c>
      <c r="AW1293" s="4" t="s">
        <v>1541</v>
      </c>
      <c r="AX1293" t="s">
        <v>130</v>
      </c>
      <c r="AY1293" s="4">
        <v>20673</v>
      </c>
      <c r="AZ1293" s="9">
        <v>26.162162285312089</v>
      </c>
      <c r="BA1293" s="7">
        <f t="shared" si="310"/>
        <v>6.7054731239394986E-4</v>
      </c>
      <c r="BB1293" s="54">
        <f t="shared" si="304"/>
        <v>1922.353939458274</v>
      </c>
      <c r="BC1293" s="55">
        <f t="shared" si="305"/>
        <v>3684.8705309977995</v>
      </c>
      <c r="BD1293" s="55">
        <f t="shared" si="306"/>
        <v>60.703134441293884</v>
      </c>
      <c r="BE1293" s="55">
        <f t="shared" si="307"/>
        <v>59.48797862681446</v>
      </c>
      <c r="BF1293" s="56">
        <f t="shared" si="308"/>
        <v>1.0032174428576766</v>
      </c>
      <c r="BG1293" s="56">
        <f t="shared" si="311"/>
        <v>1.0035653973812372E-3</v>
      </c>
      <c r="BH1293" s="56">
        <f t="shared" si="312"/>
        <v>3.1679100324681526E-2</v>
      </c>
      <c r="BI1293" s="56">
        <f t="shared" si="309"/>
        <v>3.1044947849503454E-2</v>
      </c>
      <c r="BJ1293" s="57">
        <f t="shared" si="313"/>
        <v>6.599118869891063E-2</v>
      </c>
      <c r="BK1293" s="57">
        <f t="shared" si="314"/>
        <v>2.0838368613117892E-3</v>
      </c>
      <c r="BL1293" s="58">
        <f t="shared" si="315"/>
        <v>116.4357581868625</v>
      </c>
      <c r="BM1293" s="58">
        <f t="shared" si="315"/>
        <v>3.6767503308903935</v>
      </c>
    </row>
    <row r="1294" spans="47:65" x14ac:dyDescent="0.2">
      <c r="AU1294" s="2">
        <v>-343</v>
      </c>
      <c r="AV1294" s="53">
        <v>1292</v>
      </c>
      <c r="AW1294" s="4" t="s">
        <v>2031</v>
      </c>
      <c r="AX1294" t="s">
        <v>455</v>
      </c>
      <c r="AY1294" s="4">
        <v>11279</v>
      </c>
      <c r="AZ1294" s="9">
        <v>26.162283957963545</v>
      </c>
      <c r="BA1294" s="7">
        <f t="shared" si="310"/>
        <v>6.7055043091559716E-4</v>
      </c>
      <c r="BB1294" s="54">
        <f t="shared" si="304"/>
        <v>1922.5061675503557</v>
      </c>
      <c r="BC1294" s="55">
        <f t="shared" si="305"/>
        <v>3685.2699817753</v>
      </c>
      <c r="BD1294" s="55">
        <f t="shared" si="306"/>
        <v>60.706424551074491</v>
      </c>
      <c r="BE1294" s="55">
        <f t="shared" si="307"/>
        <v>59.491202875152048</v>
      </c>
      <c r="BF1294" s="56">
        <f t="shared" si="308"/>
        <v>1.0032968860206322</v>
      </c>
      <c r="BG1294" s="56">
        <f t="shared" si="311"/>
        <v>1.0036741868149136E-3</v>
      </c>
      <c r="BH1294" s="56">
        <f t="shared" si="312"/>
        <v>3.1680817331863668E-2</v>
      </c>
      <c r="BI1294" s="56">
        <f t="shared" si="309"/>
        <v>3.1046630485622551E-2</v>
      </c>
      <c r="BJ1294" s="57">
        <f t="shared" si="313"/>
        <v>3.6007040990805893E-2</v>
      </c>
      <c r="BK1294" s="57">
        <f t="shared" si="314"/>
        <v>1.1369839816957135E-3</v>
      </c>
      <c r="BL1294" s="58">
        <f t="shared" si="315"/>
        <v>63.531316839260541</v>
      </c>
      <c r="BM1294" s="58">
        <f t="shared" si="315"/>
        <v>2.0061101272031427</v>
      </c>
    </row>
    <row r="1295" spans="47:65" x14ac:dyDescent="0.2">
      <c r="AU1295" s="2">
        <v>-342</v>
      </c>
      <c r="AV1295" s="53">
        <v>1293</v>
      </c>
      <c r="AW1295" s="4" t="s">
        <v>2000</v>
      </c>
      <c r="AX1295" t="s">
        <v>427</v>
      </c>
      <c r="AY1295" s="4">
        <v>65133</v>
      </c>
      <c r="AZ1295" s="9">
        <v>26.163979902486368</v>
      </c>
      <c r="BA1295" s="7">
        <f t="shared" si="310"/>
        <v>6.7059389869281475E-4</v>
      </c>
      <c r="BB1295" s="54">
        <f t="shared" si="304"/>
        <v>1924.629267224386</v>
      </c>
      <c r="BC1295" s="55">
        <f t="shared" si="305"/>
        <v>3690.8418194361693</v>
      </c>
      <c r="BD1295" s="55">
        <f t="shared" si="306"/>
        <v>60.752298881903798</v>
      </c>
      <c r="BE1295" s="55">
        <f t="shared" si="307"/>
        <v>59.536158893272209</v>
      </c>
      <c r="BF1295" s="56">
        <f t="shared" si="308"/>
        <v>1.0044048664930068</v>
      </c>
      <c r="BG1295" s="56">
        <f t="shared" si="311"/>
        <v>1.0051916630543108E-3</v>
      </c>
      <c r="BH1295" s="56">
        <f t="shared" si="312"/>
        <v>3.1704757735303873E-2</v>
      </c>
      <c r="BI1295" s="56">
        <f t="shared" si="309"/>
        <v>3.1070091649881632E-2</v>
      </c>
      <c r="BJ1295" s="57">
        <f t="shared" si="313"/>
        <v>0.20815999197847698</v>
      </c>
      <c r="BK1295" s="57">
        <f t="shared" si="314"/>
        <v>6.5707189760080276E-3</v>
      </c>
      <c r="BL1295" s="58">
        <f t="shared" si="315"/>
        <v>367.2803440588014</v>
      </c>
      <c r="BM1295" s="58">
        <f t="shared" si="315"/>
        <v>11.593466656510296</v>
      </c>
    </row>
    <row r="1296" spans="47:65" x14ac:dyDescent="0.2">
      <c r="AU1296" s="2">
        <v>-341</v>
      </c>
      <c r="AV1296" s="53">
        <v>1294</v>
      </c>
      <c r="AW1296" s="4" t="s">
        <v>2942</v>
      </c>
      <c r="AX1296" t="s">
        <v>1147</v>
      </c>
      <c r="AY1296" s="4">
        <v>10800</v>
      </c>
      <c r="AZ1296" s="9">
        <v>26.165539690437903</v>
      </c>
      <c r="BA1296" s="7">
        <f t="shared" si="310"/>
        <v>6.7063387671937843E-4</v>
      </c>
      <c r="BB1296" s="54">
        <f t="shared" si="304"/>
        <v>1926.5839866999502</v>
      </c>
      <c r="BC1296" s="55">
        <f t="shared" si="305"/>
        <v>3695.973021985214</v>
      </c>
      <c r="BD1296" s="55">
        <f t="shared" si="306"/>
        <v>60.794514735995833</v>
      </c>
      <c r="BE1296" s="55">
        <f t="shared" si="307"/>
        <v>59.577529670070696</v>
      </c>
      <c r="BF1296" s="56">
        <f t="shared" si="308"/>
        <v>1.0054249745144939</v>
      </c>
      <c r="BG1296" s="56">
        <f t="shared" si="311"/>
        <v>1.0065891334083339E-3</v>
      </c>
      <c r="BH1296" s="56">
        <f t="shared" si="312"/>
        <v>3.1726788892170191E-2</v>
      </c>
      <c r="BI1296" s="56">
        <f t="shared" si="309"/>
        <v>3.1091681786879499E-2</v>
      </c>
      <c r="BJ1296" s="57">
        <f t="shared" si="313"/>
        <v>3.4551013912460245E-2</v>
      </c>
      <c r="BK1296" s="57">
        <f t="shared" si="314"/>
        <v>1.0902779940794667E-3</v>
      </c>
      <c r="BL1296" s="58">
        <f t="shared" si="315"/>
        <v>60.962282697728611</v>
      </c>
      <c r="BM1296" s="58">
        <f t="shared" si="315"/>
        <v>1.9237014422379985</v>
      </c>
    </row>
    <row r="1297" spans="47:65" x14ac:dyDescent="0.2">
      <c r="AU1297" s="2">
        <v>-340</v>
      </c>
      <c r="AV1297" s="53">
        <v>1295</v>
      </c>
      <c r="AW1297" s="4" t="s">
        <v>1753</v>
      </c>
      <c r="AX1297" t="s">
        <v>258</v>
      </c>
      <c r="AY1297" s="4">
        <v>50128</v>
      </c>
      <c r="AZ1297" s="9">
        <v>26.168577710165248</v>
      </c>
      <c r="BA1297" s="7">
        <f t="shared" si="310"/>
        <v>6.7071174245314144E-4</v>
      </c>
      <c r="BB1297" s="54">
        <f t="shared" si="304"/>
        <v>1930.3969211492431</v>
      </c>
      <c r="BC1297" s="55">
        <f t="shared" si="305"/>
        <v>3705.9855662426367</v>
      </c>
      <c r="BD1297" s="55">
        <f t="shared" si="306"/>
        <v>60.876806472109202</v>
      </c>
      <c r="BE1297" s="55">
        <f t="shared" si="307"/>
        <v>59.658174089574437</v>
      </c>
      <c r="BF1297" s="56">
        <f t="shared" si="308"/>
        <v>1.0074148278237551</v>
      </c>
      <c r="BG1297" s="56">
        <f t="shared" si="311"/>
        <v>1.0093160251326951E-3</v>
      </c>
      <c r="BH1297" s="56">
        <f t="shared" si="312"/>
        <v>3.176973442024178E-2</v>
      </c>
      <c r="BI1297" s="56">
        <f t="shared" si="309"/>
        <v>3.1133767631038183E-2</v>
      </c>
      <c r="BJ1297" s="57">
        <f t="shared" si="313"/>
        <v>0.16068527800507276</v>
      </c>
      <c r="BK1297" s="57">
        <f t="shared" si="314"/>
        <v>5.0673550423033622E-3</v>
      </c>
      <c r="BL1297" s="58">
        <f t="shared" si="315"/>
        <v>283.51530776860039</v>
      </c>
      <c r="BM1297" s="58">
        <f t="shared" si="315"/>
        <v>8.9409107183176513</v>
      </c>
    </row>
    <row r="1298" spans="47:65" x14ac:dyDescent="0.2">
      <c r="AU1298" s="2">
        <v>-339</v>
      </c>
      <c r="AV1298" s="53">
        <v>1296</v>
      </c>
      <c r="AW1298" s="4" t="s">
        <v>2299</v>
      </c>
      <c r="AX1298" t="s">
        <v>653</v>
      </c>
      <c r="AY1298" s="4">
        <v>68652</v>
      </c>
      <c r="AZ1298" s="9">
        <v>26.173809022355332</v>
      </c>
      <c r="BA1298" s="7">
        <f t="shared" si="310"/>
        <v>6.708458232027025E-4</v>
      </c>
      <c r="BB1298" s="54">
        <f t="shared" si="304"/>
        <v>1936.9802909450109</v>
      </c>
      <c r="BC1298" s="55">
        <f t="shared" si="305"/>
        <v>3723.2838561500835</v>
      </c>
      <c r="BD1298" s="55">
        <f t="shared" si="306"/>
        <v>61.018717260772398</v>
      </c>
      <c r="BE1298" s="55">
        <f t="shared" si="307"/>
        <v>59.79724410697321</v>
      </c>
      <c r="BF1298" s="56">
        <f t="shared" si="308"/>
        <v>1.0108504861987988</v>
      </c>
      <c r="BG1298" s="56">
        <f t="shared" si="311"/>
        <v>1.0140271717086844E-3</v>
      </c>
      <c r="BH1298" s="56">
        <f t="shared" si="312"/>
        <v>3.1843793299616244E-2</v>
      </c>
      <c r="BI1298" s="56">
        <f t="shared" si="309"/>
        <v>3.1206343999192858E-2</v>
      </c>
      <c r="BJ1298" s="57">
        <f t="shared" si="313"/>
        <v>0.22081445012703255</v>
      </c>
      <c r="BK1298" s="57">
        <f t="shared" si="314"/>
        <v>6.9560927193646127E-3</v>
      </c>
      <c r="BL1298" s="58">
        <f t="shared" si="315"/>
        <v>389.60804352931132</v>
      </c>
      <c r="BM1298" s="58">
        <f t="shared" si="315"/>
        <v>12.27342537338933</v>
      </c>
    </row>
    <row r="1299" spans="47:65" x14ac:dyDescent="0.2">
      <c r="AU1299" s="2">
        <v>-338</v>
      </c>
      <c r="AV1299" s="53">
        <v>1297</v>
      </c>
      <c r="AW1299" s="4" t="s">
        <v>2914</v>
      </c>
      <c r="AX1299" t="s">
        <v>1126</v>
      </c>
      <c r="AY1299" s="4">
        <v>21311</v>
      </c>
      <c r="AZ1299" s="9">
        <v>26.175447063478657</v>
      </c>
      <c r="BA1299" s="7">
        <f t="shared" si="310"/>
        <v>6.7088780689123937E-4</v>
      </c>
      <c r="BB1299" s="54">
        <f t="shared" si="304"/>
        <v>1939.0463041144094</v>
      </c>
      <c r="BC1299" s="55">
        <f t="shared" si="305"/>
        <v>3728.7152512779417</v>
      </c>
      <c r="BD1299" s="55">
        <f t="shared" si="306"/>
        <v>61.063207017630035</v>
      </c>
      <c r="BE1299" s="55">
        <f t="shared" si="307"/>
        <v>59.840843267534161</v>
      </c>
      <c r="BF1299" s="56">
        <f t="shared" si="308"/>
        <v>1.0119286749788006</v>
      </c>
      <c r="BG1299" s="56">
        <f t="shared" si="311"/>
        <v>1.0155063987707239E-3</v>
      </c>
      <c r="BH1299" s="56">
        <f t="shared" si="312"/>
        <v>3.1867011136451497E-2</v>
      </c>
      <c r="BI1299" s="56">
        <f t="shared" si="309"/>
        <v>3.1229097061190869E-2</v>
      </c>
      <c r="BJ1299" s="57">
        <f t="shared" si="313"/>
        <v>6.8618481631950862E-2</v>
      </c>
      <c r="BK1299" s="57">
        <f t="shared" si="314"/>
        <v>2.1608893713557231E-3</v>
      </c>
      <c r="BL1299" s="58">
        <f t="shared" si="315"/>
        <v>121.07138986237702</v>
      </c>
      <c r="BM1299" s="58">
        <f t="shared" si="315"/>
        <v>3.8127028361271171</v>
      </c>
    </row>
    <row r="1300" spans="47:65" x14ac:dyDescent="0.2">
      <c r="AU1300" s="2">
        <v>-337</v>
      </c>
      <c r="AV1300" s="53">
        <v>1298</v>
      </c>
      <c r="AW1300" s="4" t="s">
        <v>2381</v>
      </c>
      <c r="AX1300" t="s">
        <v>721</v>
      </c>
      <c r="AY1300" s="4">
        <v>64881</v>
      </c>
      <c r="AZ1300" s="9">
        <v>26.178730238743153</v>
      </c>
      <c r="BA1300" s="7">
        <f t="shared" si="310"/>
        <v>6.7097195606536796E-4</v>
      </c>
      <c r="BB1300" s="54">
        <f t="shared" si="304"/>
        <v>1943.1939143852635</v>
      </c>
      <c r="BC1300" s="55">
        <f t="shared" si="305"/>
        <v>3739.6230210986164</v>
      </c>
      <c r="BD1300" s="55">
        <f t="shared" si="306"/>
        <v>61.152457195918274</v>
      </c>
      <c r="BE1300" s="55">
        <f t="shared" si="307"/>
        <v>59.928306835063523</v>
      </c>
      <c r="BF1300" s="56">
        <f t="shared" si="308"/>
        <v>1.014093185314014</v>
      </c>
      <c r="BG1300" s="56">
        <f t="shared" si="311"/>
        <v>1.0184771029685543E-3</v>
      </c>
      <c r="BH1300" s="56">
        <f t="shared" si="312"/>
        <v>3.1913588061647881E-2</v>
      </c>
      <c r="BI1300" s="56">
        <f t="shared" si="309"/>
        <v>3.127474160913863E-2</v>
      </c>
      <c r="BJ1300" s="57">
        <f t="shared" si="313"/>
        <v>0.20935472707517941</v>
      </c>
      <c r="BK1300" s="57">
        <f t="shared" si="314"/>
        <v>6.5884088517636002E-3</v>
      </c>
      <c r="BL1300" s="58">
        <f t="shared" si="315"/>
        <v>369.38835104518415</v>
      </c>
      <c r="BM1300" s="58">
        <f t="shared" si="315"/>
        <v>11.62467891585039</v>
      </c>
    </row>
    <row r="1301" spans="47:65" x14ac:dyDescent="0.2">
      <c r="AU1301" s="2">
        <v>-336</v>
      </c>
      <c r="AV1301" s="53">
        <v>1299</v>
      </c>
      <c r="AW1301" s="4" t="s">
        <v>2431</v>
      </c>
      <c r="AX1301" t="s">
        <v>759</v>
      </c>
      <c r="AY1301" s="4">
        <v>15680</v>
      </c>
      <c r="AZ1301" s="9">
        <v>26.182751127010526</v>
      </c>
      <c r="BA1301" s="7">
        <f t="shared" si="310"/>
        <v>6.7107501313655796E-4</v>
      </c>
      <c r="BB1301" s="54">
        <f t="shared" si="304"/>
        <v>1948.285560617988</v>
      </c>
      <c r="BC1301" s="55">
        <f t="shared" si="305"/>
        <v>3753.0207966795097</v>
      </c>
      <c r="BD1301" s="55">
        <f t="shared" si="306"/>
        <v>61.261903306047465</v>
      </c>
      <c r="BE1301" s="55">
        <f t="shared" si="307"/>
        <v>60.035562052114138</v>
      </c>
      <c r="BF1301" s="56">
        <f t="shared" si="308"/>
        <v>1.0167503590054361</v>
      </c>
      <c r="BG1301" s="56">
        <f t="shared" si="311"/>
        <v>1.0221259540913968E-3</v>
      </c>
      <c r="BH1301" s="56">
        <f t="shared" si="312"/>
        <v>3.1970704623004428E-2</v>
      </c>
      <c r="BI1301" s="56">
        <f t="shared" si="309"/>
        <v>3.1330714810728438E-2</v>
      </c>
      <c r="BJ1301" s="57">
        <f t="shared" si="313"/>
        <v>5.0728002889753182E-2</v>
      </c>
      <c r="BK1301" s="57">
        <f t="shared" si="314"/>
        <v>1.5950916389049861E-3</v>
      </c>
      <c r="BL1301" s="58">
        <f t="shared" si="315"/>
        <v>89.505183862088373</v>
      </c>
      <c r="BM1301" s="58">
        <f t="shared" si="315"/>
        <v>2.8144015589840876</v>
      </c>
    </row>
    <row r="1302" spans="47:65" x14ac:dyDescent="0.2">
      <c r="AU1302" s="2">
        <v>-335</v>
      </c>
      <c r="AV1302" s="53">
        <v>1300</v>
      </c>
      <c r="AW1302" s="4" t="s">
        <v>1470</v>
      </c>
      <c r="AX1302" t="s">
        <v>69</v>
      </c>
      <c r="AY1302" s="4">
        <v>35682</v>
      </c>
      <c r="AZ1302" s="9">
        <v>26.184271842459559</v>
      </c>
      <c r="BA1302" s="7">
        <f t="shared" si="310"/>
        <v>6.7111398971831542E-4</v>
      </c>
      <c r="BB1302" s="54">
        <f t="shared" si="304"/>
        <v>1950.2147162989852</v>
      </c>
      <c r="BC1302" s="55">
        <f t="shared" si="305"/>
        <v>3758.0991236598293</v>
      </c>
      <c r="BD1302" s="55">
        <f t="shared" si="306"/>
        <v>61.303336970020069</v>
      </c>
      <c r="BE1302" s="55">
        <f t="shared" si="307"/>
        <v>60.076166296681059</v>
      </c>
      <c r="BF1302" s="56">
        <f t="shared" si="308"/>
        <v>1.0177571260681688</v>
      </c>
      <c r="BG1302" s="56">
        <f t="shared" si="311"/>
        <v>1.023509023914695E-3</v>
      </c>
      <c r="BH1302" s="56">
        <f t="shared" si="312"/>
        <v>3.1992327578885142E-2</v>
      </c>
      <c r="BI1302" s="56">
        <f t="shared" si="309"/>
        <v>3.1351904918111184E-2</v>
      </c>
      <c r="BJ1302" s="57">
        <f t="shared" si="313"/>
        <v>0.11555286370418349</v>
      </c>
      <c r="BK1302" s="57">
        <f t="shared" si="314"/>
        <v>3.6323057570563214E-3</v>
      </c>
      <c r="BL1302" s="58">
        <f t="shared" si="315"/>
        <v>203.88305713732197</v>
      </c>
      <c r="BM1302" s="58">
        <f t="shared" si="315"/>
        <v>6.4088900825685542</v>
      </c>
    </row>
    <row r="1303" spans="47:65" x14ac:dyDescent="0.2">
      <c r="AU1303" s="2">
        <v>-334</v>
      </c>
      <c r="AV1303" s="53">
        <v>1301</v>
      </c>
      <c r="AW1303" s="4" t="s">
        <v>2934</v>
      </c>
      <c r="AX1303" t="s">
        <v>1141</v>
      </c>
      <c r="AY1303" s="4">
        <v>65679</v>
      </c>
      <c r="AZ1303" s="9">
        <v>26.188333938710976</v>
      </c>
      <c r="BA1303" s="7">
        <f t="shared" si="310"/>
        <v>6.7121810296760906E-4</v>
      </c>
      <c r="BB1303" s="54">
        <f t="shared" si="304"/>
        <v>1955.3771997105291</v>
      </c>
      <c r="BC1303" s="55">
        <f t="shared" si="305"/>
        <v>3771.694522030341</v>
      </c>
      <c r="BD1303" s="55">
        <f t="shared" si="306"/>
        <v>61.41412314794001</v>
      </c>
      <c r="BE1303" s="55">
        <f t="shared" si="307"/>
        <v>60.18473475603502</v>
      </c>
      <c r="BF1303" s="56">
        <f t="shared" si="308"/>
        <v>1.0204512675062358</v>
      </c>
      <c r="BG1303" s="56">
        <f t="shared" si="311"/>
        <v>1.0272116971168325E-3</v>
      </c>
      <c r="BH1303" s="56">
        <f t="shared" si="312"/>
        <v>3.2050143480440656E-2</v>
      </c>
      <c r="BI1303" s="56">
        <f t="shared" si="309"/>
        <v>3.1408563460502442E-2</v>
      </c>
      <c r="BJ1303" s="57">
        <f t="shared" si="313"/>
        <v>0.21325841318719704</v>
      </c>
      <c r="BK1303" s="57">
        <f t="shared" si="314"/>
        <v>6.6979805490995636E-3</v>
      </c>
      <c r="BL1303" s="58">
        <f t="shared" si="315"/>
        <v>376.27606834711236</v>
      </c>
      <c r="BM1303" s="58">
        <f t="shared" si="315"/>
        <v>11.81800872103611</v>
      </c>
    </row>
    <row r="1304" spans="47:65" x14ac:dyDescent="0.2">
      <c r="AU1304" s="2">
        <v>-333</v>
      </c>
      <c r="AV1304" s="53">
        <v>1302</v>
      </c>
      <c r="AW1304" s="4" t="s">
        <v>2371</v>
      </c>
      <c r="AX1304" t="s">
        <v>712</v>
      </c>
      <c r="AY1304" s="4">
        <v>41369</v>
      </c>
      <c r="AZ1304" s="9">
        <v>26.190822222099914</v>
      </c>
      <c r="BA1304" s="7">
        <f t="shared" si="310"/>
        <v>6.7128187872592495E-4</v>
      </c>
      <c r="BB1304" s="54">
        <f t="shared" si="304"/>
        <v>1958.546285543121</v>
      </c>
      <c r="BC1304" s="55">
        <f t="shared" si="305"/>
        <v>3780.0443546419515</v>
      </c>
      <c r="BD1304" s="55">
        <f t="shared" si="306"/>
        <v>61.482065308852071</v>
      </c>
      <c r="BE1304" s="55">
        <f t="shared" si="307"/>
        <v>60.251316850244756</v>
      </c>
      <c r="BF1304" s="56">
        <f t="shared" si="308"/>
        <v>1.0221051160093189</v>
      </c>
      <c r="BG1304" s="56">
        <f t="shared" si="311"/>
        <v>1.0294857534268191E-3</v>
      </c>
      <c r="BH1304" s="56">
        <f t="shared" si="312"/>
        <v>3.2085600406207442E-2</v>
      </c>
      <c r="BI1304" s="56">
        <f t="shared" si="309"/>
        <v>3.1443310609255148E-2</v>
      </c>
      <c r="BJ1304" s="57">
        <f t="shared" si="313"/>
        <v>0.13454202413638897</v>
      </c>
      <c r="BK1304" s="57">
        <f t="shared" si="314"/>
        <v>4.223500652395849E-3</v>
      </c>
      <c r="BL1304" s="58">
        <f t="shared" si="315"/>
        <v>237.38779217617287</v>
      </c>
      <c r="BM1304" s="58">
        <f t="shared" si="315"/>
        <v>7.4520024621489682</v>
      </c>
    </row>
    <row r="1305" spans="47:65" x14ac:dyDescent="0.2">
      <c r="AU1305" s="2">
        <v>-332</v>
      </c>
      <c r="AV1305" s="53">
        <v>1303</v>
      </c>
      <c r="AW1305" s="4" t="s">
        <v>2080</v>
      </c>
      <c r="AX1305" t="s">
        <v>494</v>
      </c>
      <c r="AY1305" s="4">
        <v>27883</v>
      </c>
      <c r="AZ1305" s="9">
        <v>26.198917089526624</v>
      </c>
      <c r="BA1305" s="7">
        <f t="shared" si="310"/>
        <v>6.7148935361037714E-4</v>
      </c>
      <c r="BB1305" s="54">
        <f t="shared" si="304"/>
        <v>1968.8915143400263</v>
      </c>
      <c r="BC1305" s="55">
        <f t="shared" si="305"/>
        <v>3807.3230071273101</v>
      </c>
      <c r="BD1305" s="55">
        <f t="shared" si="306"/>
        <v>61.703508872083688</v>
      </c>
      <c r="BE1305" s="55">
        <f t="shared" si="307"/>
        <v>60.468327554515845</v>
      </c>
      <c r="BF1305" s="56">
        <f t="shared" si="308"/>
        <v>1.0275039729868927</v>
      </c>
      <c r="BG1305" s="56">
        <f t="shared" si="311"/>
        <v>1.036915027126293E-3</v>
      </c>
      <c r="BH1305" s="56">
        <f t="shared" si="312"/>
        <v>3.2201164996414226E-2</v>
      </c>
      <c r="BI1305" s="56">
        <f t="shared" si="309"/>
        <v>3.1556561826601867E-2</v>
      </c>
      <c r="BJ1305" s="57">
        <f t="shared" si="313"/>
        <v>9.1161272905380994E-2</v>
      </c>
      <c r="BK1305" s="57">
        <f t="shared" si="314"/>
        <v>2.856922471624123E-3</v>
      </c>
      <c r="BL1305" s="58">
        <f t="shared" si="315"/>
        <v>160.84619988354208</v>
      </c>
      <c r="BM1305" s="58">
        <f t="shared" si="315"/>
        <v>5.0407931819862988</v>
      </c>
    </row>
    <row r="1306" spans="47:65" x14ac:dyDescent="0.2">
      <c r="AU1306" s="2">
        <v>-331</v>
      </c>
      <c r="AV1306" s="53">
        <v>1304</v>
      </c>
      <c r="AW1306" s="4" t="s">
        <v>3253</v>
      </c>
      <c r="AX1306" t="s">
        <v>3254</v>
      </c>
      <c r="AY1306" s="5">
        <v>25204.379999999997</v>
      </c>
      <c r="AZ1306" s="9">
        <v>26.216366456013983</v>
      </c>
      <c r="BA1306" s="7">
        <f t="shared" si="310"/>
        <v>6.7193658827215607E-4</v>
      </c>
      <c r="BB1306" s="54">
        <f t="shared" si="304"/>
        <v>1991.3780259559715</v>
      </c>
      <c r="BC1306" s="55">
        <f t="shared" si="305"/>
        <v>3866.7272388197111</v>
      </c>
      <c r="BD1306" s="55">
        <f t="shared" si="306"/>
        <v>62.183014069918734</v>
      </c>
      <c r="BE1306" s="55">
        <f t="shared" si="307"/>
        <v>60.938234013594069</v>
      </c>
      <c r="BF1306" s="56">
        <f t="shared" si="308"/>
        <v>1.0392389923395178</v>
      </c>
      <c r="BG1306" s="56">
        <f t="shared" si="311"/>
        <v>1.0530936230587673E-3</v>
      </c>
      <c r="BH1306" s="56">
        <f t="shared" si="312"/>
        <v>3.2451404022919676E-2</v>
      </c>
      <c r="BI1306" s="56">
        <f t="shared" si="309"/>
        <v>3.1801791566340387E-2</v>
      </c>
      <c r="BJ1306" s="57">
        <f t="shared" si="313"/>
        <v>8.3344860501840382E-2</v>
      </c>
      <c r="BK1306" s="57">
        <f t="shared" si="314"/>
        <v>2.6025368190722149E-3</v>
      </c>
      <c r="BL1306" s="58">
        <f t="shared" si="315"/>
        <v>147.0548146630108</v>
      </c>
      <c r="BM1306" s="58">
        <f t="shared" si="315"/>
        <v>4.5919516485827607</v>
      </c>
    </row>
    <row r="1307" spans="47:65" x14ac:dyDescent="0.2">
      <c r="AU1307" s="2">
        <v>-330</v>
      </c>
      <c r="AV1307" s="53">
        <v>1305</v>
      </c>
      <c r="AW1307" s="4" t="s">
        <v>2659</v>
      </c>
      <c r="AX1307" t="s">
        <v>931</v>
      </c>
      <c r="AY1307" s="4">
        <v>88669</v>
      </c>
      <c r="AZ1307" s="9">
        <v>26.218585209771589</v>
      </c>
      <c r="BA1307" s="7">
        <f t="shared" si="310"/>
        <v>6.7199345587173756E-4</v>
      </c>
      <c r="BB1307" s="54">
        <f t="shared" si="304"/>
        <v>1994.2556163844984</v>
      </c>
      <c r="BC1307" s="55">
        <f t="shared" si="305"/>
        <v>3874.3400184445604</v>
      </c>
      <c r="BD1307" s="55">
        <f t="shared" si="306"/>
        <v>62.244196664786031</v>
      </c>
      <c r="BE1307" s="55">
        <f t="shared" si="307"/>
        <v>60.998191854804375</v>
      </c>
      <c r="BF1307" s="56">
        <f t="shared" si="308"/>
        <v>1.0407407183495121</v>
      </c>
      <c r="BG1307" s="56">
        <f t="shared" si="311"/>
        <v>1.0551669448063802E-3</v>
      </c>
      <c r="BH1307" s="56">
        <f t="shared" si="312"/>
        <v>3.2483333338904435E-2</v>
      </c>
      <c r="BI1307" s="56">
        <f t="shared" si="309"/>
        <v>3.1833081721030949E-2</v>
      </c>
      <c r="BJ1307" s="57">
        <f t="shared" si="313"/>
        <v>0.29363088164460904</v>
      </c>
      <c r="BK1307" s="57">
        <f t="shared" si="314"/>
        <v>9.1647320402573566E-3</v>
      </c>
      <c r="BL1307" s="58">
        <f t="shared" si="315"/>
        <v>518.08635373060542</v>
      </c>
      <c r="BM1307" s="58">
        <f t="shared" si="315"/>
        <v>16.170378875209021</v>
      </c>
    </row>
    <row r="1308" spans="47:65" x14ac:dyDescent="0.2">
      <c r="AU1308" s="2">
        <v>-329</v>
      </c>
      <c r="AV1308" s="53">
        <v>1306</v>
      </c>
      <c r="AW1308" s="4" t="s">
        <v>2233</v>
      </c>
      <c r="AX1308" t="s">
        <v>608</v>
      </c>
      <c r="AY1308" s="4">
        <v>43188</v>
      </c>
      <c r="AZ1308" s="9">
        <v>26.233985112842369</v>
      </c>
      <c r="BA1308" s="7">
        <f t="shared" si="310"/>
        <v>6.7238816191715622E-4</v>
      </c>
      <c r="BB1308" s="54">
        <f t="shared" si="304"/>
        <v>2014.3432942249592</v>
      </c>
      <c r="BC1308" s="55">
        <f t="shared" si="305"/>
        <v>3927.5502294568964</v>
      </c>
      <c r="BD1308" s="55">
        <f t="shared" si="306"/>
        <v>62.670170172554151</v>
      </c>
      <c r="BE1308" s="55">
        <f t="shared" si="307"/>
        <v>61.415638221601228</v>
      </c>
      <c r="BF1308" s="56">
        <f t="shared" si="308"/>
        <v>1.0512238600761266</v>
      </c>
      <c r="BG1308" s="56">
        <f t="shared" si="311"/>
        <v>1.0696586144892616E-3</v>
      </c>
      <c r="BH1308" s="56">
        <f t="shared" si="312"/>
        <v>3.2705635821510357E-2</v>
      </c>
      <c r="BI1308" s="56">
        <f t="shared" si="309"/>
        <v>3.2050934150821671E-2</v>
      </c>
      <c r="BJ1308" s="57">
        <f t="shared" si="313"/>
        <v>0.14445935603330232</v>
      </c>
      <c r="BK1308" s="57">
        <f t="shared" si="314"/>
        <v>4.4944138626124277E-3</v>
      </c>
      <c r="BL1308" s="58">
        <f t="shared" si="315"/>
        <v>254.88606855783357</v>
      </c>
      <c r="BM1308" s="58">
        <f t="shared" si="315"/>
        <v>7.9300054449157402</v>
      </c>
    </row>
    <row r="1309" spans="47:65" x14ac:dyDescent="0.2">
      <c r="AU1309" s="2">
        <v>-328</v>
      </c>
      <c r="AV1309" s="53">
        <v>1307</v>
      </c>
      <c r="AW1309" s="4" t="s">
        <v>2145</v>
      </c>
      <c r="AX1309" t="s">
        <v>543</v>
      </c>
      <c r="AY1309" s="4">
        <v>20606</v>
      </c>
      <c r="AZ1309" s="9">
        <v>26.246126135248456</v>
      </c>
      <c r="BA1309" s="7">
        <f t="shared" si="310"/>
        <v>6.7269934146934056E-4</v>
      </c>
      <c r="BB1309" s="54">
        <f t="shared" si="304"/>
        <v>2030.3226312270588</v>
      </c>
      <c r="BC1309" s="55">
        <f t="shared" si="305"/>
        <v>3969.9610176507617</v>
      </c>
      <c r="BD1309" s="55">
        <f t="shared" si="306"/>
        <v>63.007626662577614</v>
      </c>
      <c r="BE1309" s="55">
        <f t="shared" si="307"/>
        <v>61.746339504998872</v>
      </c>
      <c r="BF1309" s="56">
        <f t="shared" si="308"/>
        <v>1.0595629849775074</v>
      </c>
      <c r="BG1309" s="56">
        <f t="shared" si="311"/>
        <v>1.0812090880131622E-3</v>
      </c>
      <c r="BH1309" s="56">
        <f t="shared" si="312"/>
        <v>3.2881743992877903E-2</v>
      </c>
      <c r="BI1309" s="56">
        <f t="shared" si="309"/>
        <v>3.2223516987453474E-2</v>
      </c>
      <c r="BJ1309" s="57">
        <f t="shared" si="313"/>
        <v>6.9471687110113284E-2</v>
      </c>
      <c r="BK1309" s="57">
        <f t="shared" si="314"/>
        <v>2.1559362328578829E-3</v>
      </c>
      <c r="BL1309" s="58">
        <f t="shared" si="315"/>
        <v>122.57679730688129</v>
      </c>
      <c r="BM1309" s="58">
        <f t="shared" si="315"/>
        <v>3.803963450645945</v>
      </c>
    </row>
    <row r="1310" spans="47:65" x14ac:dyDescent="0.2">
      <c r="AU1310" s="2">
        <v>-327</v>
      </c>
      <c r="AV1310" s="53">
        <v>1308</v>
      </c>
      <c r="AW1310" s="4" t="s">
        <v>2678</v>
      </c>
      <c r="AX1310" t="s">
        <v>944</v>
      </c>
      <c r="AY1310" s="4">
        <v>98750</v>
      </c>
      <c r="AZ1310" s="9">
        <v>26.256984967857012</v>
      </c>
      <c r="BA1310" s="7">
        <f t="shared" si="310"/>
        <v>6.7297765795335267E-4</v>
      </c>
      <c r="BB1310" s="54">
        <f t="shared" si="304"/>
        <v>2044.7217874630305</v>
      </c>
      <c r="BC1310" s="55">
        <f t="shared" si="305"/>
        <v>4008.239860714682</v>
      </c>
      <c r="BD1310" s="55">
        <f t="shared" si="306"/>
        <v>63.310661509059294</v>
      </c>
      <c r="BE1310" s="55">
        <f t="shared" si="307"/>
        <v>62.043308197581226</v>
      </c>
      <c r="BF1310" s="56">
        <f t="shared" si="308"/>
        <v>1.0670774620994634</v>
      </c>
      <c r="BG1310" s="56">
        <f t="shared" si="311"/>
        <v>1.0916342364756678E-3</v>
      </c>
      <c r="BH1310" s="56">
        <f t="shared" si="312"/>
        <v>3.3039888566332477E-2</v>
      </c>
      <c r="BI1310" s="56">
        <f t="shared" si="309"/>
        <v>3.237849582161418E-2</v>
      </c>
      <c r="BJ1310" s="57">
        <f t="shared" si="313"/>
        <v>0.33528986321936249</v>
      </c>
      <c r="BK1310" s="57">
        <f t="shared" si="314"/>
        <v>1.0381570327980564E-2</v>
      </c>
      <c r="BL1310" s="58">
        <f t="shared" si="315"/>
        <v>591.59003203347902</v>
      </c>
      <c r="BM1310" s="58">
        <f t="shared" si="315"/>
        <v>18.317385034899459</v>
      </c>
    </row>
    <row r="1311" spans="47:65" x14ac:dyDescent="0.2">
      <c r="AU1311" s="2">
        <v>-326</v>
      </c>
      <c r="AV1311" s="53">
        <v>1309</v>
      </c>
      <c r="AW1311" s="4" t="s">
        <v>2633</v>
      </c>
      <c r="AX1311" t="s">
        <v>919</v>
      </c>
      <c r="AY1311" s="4">
        <v>33047</v>
      </c>
      <c r="AZ1311" s="9">
        <v>26.26586867442931</v>
      </c>
      <c r="BA1311" s="7">
        <f t="shared" si="310"/>
        <v>6.7320535111958216E-4</v>
      </c>
      <c r="BB1311" s="54">
        <f t="shared" si="304"/>
        <v>2056.5777845499342</v>
      </c>
      <c r="BC1311" s="55">
        <f t="shared" si="305"/>
        <v>4039.8014343323471</v>
      </c>
      <c r="BD1311" s="55">
        <f t="shared" si="306"/>
        <v>63.559432300267964</v>
      </c>
      <c r="BE1311" s="55">
        <f t="shared" si="307"/>
        <v>62.287099093168493</v>
      </c>
      <c r="BF1311" s="56">
        <f t="shared" si="308"/>
        <v>1.073264742618369</v>
      </c>
      <c r="BG1311" s="56">
        <f t="shared" si="311"/>
        <v>1.1002299531780984E-3</v>
      </c>
      <c r="BH1311" s="56">
        <f t="shared" si="312"/>
        <v>3.3169714396993205E-2</v>
      </c>
      <c r="BI1311" s="56">
        <f t="shared" si="309"/>
        <v>3.2505722797793193E-2</v>
      </c>
      <c r="BJ1311" s="57">
        <f t="shared" si="313"/>
        <v>0.11285642150050967</v>
      </c>
      <c r="BK1311" s="57">
        <f t="shared" si="314"/>
        <v>3.4878768680186409E-3</v>
      </c>
      <c r="BL1311" s="58">
        <f t="shared" si="315"/>
        <v>199.12541754055263</v>
      </c>
      <c r="BM1311" s="58">
        <f t="shared" si="315"/>
        <v>6.1540577703955481</v>
      </c>
    </row>
    <row r="1312" spans="47:65" x14ac:dyDescent="0.2">
      <c r="AU1312" s="2">
        <v>-325</v>
      </c>
      <c r="AV1312" s="53">
        <v>1310</v>
      </c>
      <c r="AW1312" s="4" t="s">
        <v>2057</v>
      </c>
      <c r="AX1312" t="s">
        <v>477</v>
      </c>
      <c r="AY1312" s="4">
        <v>16975</v>
      </c>
      <c r="AZ1312" s="9">
        <v>26.267482903831855</v>
      </c>
      <c r="BA1312" s="7">
        <f t="shared" si="310"/>
        <v>6.7324672450361895E-4</v>
      </c>
      <c r="BB1312" s="54">
        <f t="shared" si="304"/>
        <v>2058.739468769415</v>
      </c>
      <c r="BC1312" s="55">
        <f t="shared" si="305"/>
        <v>4045.5601949801289</v>
      </c>
      <c r="BD1312" s="55">
        <f t="shared" si="306"/>
        <v>63.604718338973321</v>
      </c>
      <c r="BE1312" s="55">
        <f t="shared" si="307"/>
        <v>62.331478595600984</v>
      </c>
      <c r="BF1312" s="56">
        <f t="shared" si="308"/>
        <v>1.0743928591792269</v>
      </c>
      <c r="BG1312" s="56">
        <f t="shared" si="311"/>
        <v>1.1017983374318429E-3</v>
      </c>
      <c r="BH1312" s="56">
        <f t="shared" si="312"/>
        <v>3.3193347788854362E-2</v>
      </c>
      <c r="BI1312" s="56">
        <f t="shared" si="309"/>
        <v>3.2528883096233384E-2</v>
      </c>
      <c r="BJ1312" s="57">
        <f t="shared" si="313"/>
        <v>5.803102857103707E-2</v>
      </c>
      <c r="BK1312" s="57">
        <f t="shared" si="314"/>
        <v>1.7928675692938949E-3</v>
      </c>
      <c r="BL1312" s="58">
        <f t="shared" si="315"/>
        <v>102.39074251050312</v>
      </c>
      <c r="BM1312" s="58">
        <f t="shared" si="315"/>
        <v>3.163360122391885</v>
      </c>
    </row>
    <row r="1313" spans="47:65" x14ac:dyDescent="0.2">
      <c r="AU1313" s="2">
        <v>-324</v>
      </c>
      <c r="AV1313" s="53">
        <v>1311</v>
      </c>
      <c r="AW1313" s="4" t="s">
        <v>1492</v>
      </c>
      <c r="AX1313" t="s">
        <v>87</v>
      </c>
      <c r="AY1313" s="4">
        <v>33339</v>
      </c>
      <c r="AZ1313" s="9">
        <v>26.268417259081339</v>
      </c>
      <c r="BA1313" s="7">
        <f t="shared" si="310"/>
        <v>6.7327067242483924E-4</v>
      </c>
      <c r="BB1313" s="54">
        <f t="shared" si="304"/>
        <v>2059.9917423391871</v>
      </c>
      <c r="BC1313" s="55">
        <f t="shared" si="305"/>
        <v>4048.8968596120817</v>
      </c>
      <c r="BD1313" s="55">
        <f t="shared" si="306"/>
        <v>63.630942627090491</v>
      </c>
      <c r="BE1313" s="55">
        <f t="shared" si="307"/>
        <v>62.357177925715909</v>
      </c>
      <c r="BF1313" s="56">
        <f t="shared" si="308"/>
        <v>1.0750463822701817</v>
      </c>
      <c r="BG1313" s="56">
        <f t="shared" si="311"/>
        <v>1.1027070698116149E-3</v>
      </c>
      <c r="BH1313" s="56">
        <f t="shared" si="312"/>
        <v>3.3207033438890844E-2</v>
      </c>
      <c r="BI1313" s="56">
        <f t="shared" si="309"/>
        <v>3.2542294786821649E-2</v>
      </c>
      <c r="BJ1313" s="57">
        <f t="shared" si="313"/>
        <v>0.11404260873117764</v>
      </c>
      <c r="BK1313" s="57">
        <f t="shared" si="314"/>
        <v>3.5226542631560656E-3</v>
      </c>
      <c r="BL1313" s="58">
        <f t="shared" si="315"/>
        <v>201.21834255489892</v>
      </c>
      <c r="BM1313" s="58">
        <f t="shared" si="315"/>
        <v>6.2154194832306588</v>
      </c>
    </row>
    <row r="1314" spans="47:65" x14ac:dyDescent="0.2">
      <c r="AU1314" s="2">
        <v>-323</v>
      </c>
      <c r="AV1314" s="53">
        <v>1312</v>
      </c>
      <c r="AW1314" s="4" t="s">
        <v>1424</v>
      </c>
      <c r="AX1314" t="s">
        <v>35</v>
      </c>
      <c r="AY1314" s="4">
        <v>35344</v>
      </c>
      <c r="AZ1314" s="9">
        <v>26.278265490229359</v>
      </c>
      <c r="BA1314" s="7">
        <f t="shared" si="310"/>
        <v>6.7352308676491262E-4</v>
      </c>
      <c r="BB1314" s="54">
        <f t="shared" si="304"/>
        <v>2073.2372952269443</v>
      </c>
      <c r="BC1314" s="55">
        <f t="shared" si="305"/>
        <v>4084.2157092419206</v>
      </c>
      <c r="BD1314" s="55">
        <f t="shared" si="306"/>
        <v>63.907868914883409</v>
      </c>
      <c r="BE1314" s="55">
        <f t="shared" si="307"/>
        <v>62.628560700939161</v>
      </c>
      <c r="BF1314" s="56">
        <f t="shared" si="308"/>
        <v>1.0819588292574616</v>
      </c>
      <c r="BG1314" s="56">
        <f t="shared" si="311"/>
        <v>1.1123260713656541E-3</v>
      </c>
      <c r="BH1314" s="56">
        <f t="shared" si="312"/>
        <v>3.3351552757939981E-2</v>
      </c>
      <c r="BI1314" s="56">
        <f t="shared" si="309"/>
        <v>3.2683921117024929E-2</v>
      </c>
      <c r="BJ1314" s="57">
        <f t="shared" si="313"/>
        <v>0.12167848842474943</v>
      </c>
      <c r="BK1314" s="57">
        <f t="shared" si="314"/>
        <v>3.750758731725035E-3</v>
      </c>
      <c r="BL1314" s="58">
        <f t="shared" si="315"/>
        <v>214.69119338656424</v>
      </c>
      <c r="BM1314" s="58">
        <f t="shared" si="315"/>
        <v>6.617890135256931</v>
      </c>
    </row>
    <row r="1315" spans="47:65" x14ac:dyDescent="0.2">
      <c r="AU1315" s="2">
        <v>-322</v>
      </c>
      <c r="AV1315" s="53">
        <v>1313</v>
      </c>
      <c r="AW1315" s="4" t="s">
        <v>2339</v>
      </c>
      <c r="AX1315" t="s">
        <v>687</v>
      </c>
      <c r="AY1315" s="4">
        <v>43009</v>
      </c>
      <c r="AZ1315" s="9">
        <v>26.280981030050565</v>
      </c>
      <c r="BA1315" s="7">
        <f t="shared" si="310"/>
        <v>6.7359268720194648E-4</v>
      </c>
      <c r="BB1315" s="54">
        <f t="shared" si="304"/>
        <v>2076.9045663904762</v>
      </c>
      <c r="BC1315" s="55">
        <f t="shared" si="305"/>
        <v>4094.0028025502629</v>
      </c>
      <c r="BD1315" s="55">
        <f t="shared" si="306"/>
        <v>63.98439499245314</v>
      </c>
      <c r="BE1315" s="55">
        <f t="shared" si="307"/>
        <v>62.703554878896554</v>
      </c>
      <c r="BF1315" s="56">
        <f t="shared" si="308"/>
        <v>1.0838726653744346</v>
      </c>
      <c r="BG1315" s="56">
        <f t="shared" si="311"/>
        <v>1.1149915620803413E-3</v>
      </c>
      <c r="BH1315" s="56">
        <f t="shared" si="312"/>
        <v>3.339148936600974E-2</v>
      </c>
      <c r="BI1315" s="56">
        <f t="shared" si="309"/>
        <v>3.2723058273765641E-2</v>
      </c>
      <c r="BJ1315" s="57">
        <f t="shared" si="313"/>
        <v>0.14832862841049457</v>
      </c>
      <c r="BK1315" s="57">
        <f t="shared" si="314"/>
        <v>4.5696454726375131E-3</v>
      </c>
      <c r="BL1315" s="58">
        <f t="shared" si="315"/>
        <v>261.71306579416768</v>
      </c>
      <c r="BM1315" s="58">
        <f t="shared" si="315"/>
        <v>8.0627451291917076</v>
      </c>
    </row>
    <row r="1316" spans="47:65" x14ac:dyDescent="0.2">
      <c r="AU1316" s="2">
        <v>-321</v>
      </c>
      <c r="AV1316" s="53">
        <v>1314</v>
      </c>
      <c r="AW1316" s="4" t="s">
        <v>2688</v>
      </c>
      <c r="AX1316" t="s">
        <v>953</v>
      </c>
      <c r="AY1316" s="4">
        <v>19537</v>
      </c>
      <c r="AZ1316" s="9">
        <v>26.281877216494205</v>
      </c>
      <c r="BA1316" s="7">
        <f t="shared" si="310"/>
        <v>6.7361565684048914E-4</v>
      </c>
      <c r="BB1316" s="54">
        <f t="shared" si="304"/>
        <v>2078.116267831213</v>
      </c>
      <c r="BC1316" s="55">
        <f t="shared" si="305"/>
        <v>4097.2373501520806</v>
      </c>
      <c r="BD1316" s="55">
        <f t="shared" si="306"/>
        <v>64.009666068118804</v>
      </c>
      <c r="BE1316" s="55">
        <f t="shared" si="307"/>
        <v>62.728320077974196</v>
      </c>
      <c r="BF1316" s="56">
        <f t="shared" si="308"/>
        <v>1.084505015118117</v>
      </c>
      <c r="BG1316" s="56">
        <f t="shared" si="311"/>
        <v>1.115872483139055E-3</v>
      </c>
      <c r="BH1316" s="56">
        <f t="shared" si="312"/>
        <v>3.3404677563764251E-2</v>
      </c>
      <c r="BI1316" s="56">
        <f t="shared" si="309"/>
        <v>3.2735982470075559E-2</v>
      </c>
      <c r="BJ1316" s="57">
        <f t="shared" si="313"/>
        <v>6.7418147255239133E-2</v>
      </c>
      <c r="BK1316" s="57">
        <f t="shared" si="314"/>
        <v>2.0765984846666287E-3</v>
      </c>
      <c r="BL1316" s="58">
        <f t="shared" si="315"/>
        <v>118.9535034295707</v>
      </c>
      <c r="BM1316" s="58">
        <f t="shared" si="315"/>
        <v>3.6639788398877577</v>
      </c>
    </row>
    <row r="1317" spans="47:65" x14ac:dyDescent="0.2">
      <c r="AU1317" s="2">
        <v>-320</v>
      </c>
      <c r="AV1317" s="53">
        <v>1315</v>
      </c>
      <c r="AW1317" s="4" t="s">
        <v>2600</v>
      </c>
      <c r="AX1317" t="s">
        <v>897</v>
      </c>
      <c r="AY1317" s="4">
        <v>16261</v>
      </c>
      <c r="AZ1317" s="9">
        <v>26.284874214891872</v>
      </c>
      <c r="BA1317" s="7">
        <f t="shared" si="310"/>
        <v>6.736924711801789E-4</v>
      </c>
      <c r="BB1317" s="54">
        <f t="shared" si="304"/>
        <v>2082.1735392697356</v>
      </c>
      <c r="BC1317" s="55">
        <f t="shared" si="305"/>
        <v>4108.0708150787286</v>
      </c>
      <c r="BD1317" s="55">
        <f t="shared" si="306"/>
        <v>64.094233867632184</v>
      </c>
      <c r="BE1317" s="55">
        <f t="shared" si="307"/>
        <v>62.811194998623215</v>
      </c>
      <c r="BF1317" s="56">
        <f t="shared" si="308"/>
        <v>1.0866223803930493</v>
      </c>
      <c r="BG1317" s="56">
        <f t="shared" si="311"/>
        <v>1.1188229505822227E-3</v>
      </c>
      <c r="BH1317" s="56">
        <f t="shared" si="312"/>
        <v>3.3448810899376118E-2</v>
      </c>
      <c r="BI1317" s="56">
        <f t="shared" si="309"/>
        <v>3.2779232344233994E-2</v>
      </c>
      <c r="BJ1317" s="57">
        <f t="shared" si="313"/>
        <v>5.6222903194268051E-2</v>
      </c>
      <c r="BK1317" s="57">
        <f t="shared" si="314"/>
        <v>1.7306741431910883E-3</v>
      </c>
      <c r="BL1317" s="58">
        <f t="shared" si="315"/>
        <v>99.200461303392771</v>
      </c>
      <c r="BM1317" s="58">
        <f t="shared" si="315"/>
        <v>3.053625188603089</v>
      </c>
    </row>
    <row r="1318" spans="47:65" x14ac:dyDescent="0.2">
      <c r="AU1318" s="2">
        <v>-319</v>
      </c>
      <c r="AV1318" s="53">
        <v>1316</v>
      </c>
      <c r="AW1318" s="4" t="s">
        <v>2991</v>
      </c>
      <c r="AX1318" t="s">
        <v>1165</v>
      </c>
      <c r="AY1318" s="4">
        <v>39665</v>
      </c>
      <c r="AZ1318" s="9">
        <v>26.284921269332809</v>
      </c>
      <c r="BA1318" s="7">
        <f t="shared" si="310"/>
        <v>6.7369367720545171E-4</v>
      </c>
      <c r="BB1318" s="54">
        <f t="shared" si="304"/>
        <v>2082.2373036771073</v>
      </c>
      <c r="BC1318" s="55">
        <f t="shared" si="305"/>
        <v>4108.241110005566</v>
      </c>
      <c r="BD1318" s="55">
        <f t="shared" si="306"/>
        <v>64.095562326931542</v>
      </c>
      <c r="BE1318" s="55">
        <f t="shared" si="307"/>
        <v>62.812496864814051</v>
      </c>
      <c r="BF1318" s="56">
        <f t="shared" si="308"/>
        <v>1.0866556570776349</v>
      </c>
      <c r="BG1318" s="56">
        <f t="shared" si="311"/>
        <v>1.1188693299853303E-3</v>
      </c>
      <c r="BH1318" s="56">
        <f t="shared" si="312"/>
        <v>3.3449504181457312E-2</v>
      </c>
      <c r="BI1318" s="56">
        <f t="shared" si="309"/>
        <v>3.2779911748189131E-2</v>
      </c>
      <c r="BJ1318" s="57">
        <f t="shared" si="313"/>
        <v>0.13714714649373921</v>
      </c>
      <c r="BK1318" s="57">
        <f t="shared" si="314"/>
        <v>4.2216722659453466E-3</v>
      </c>
      <c r="BL1318" s="58">
        <f t="shared" si="315"/>
        <v>241.9843057839453</v>
      </c>
      <c r="BM1318" s="58">
        <f t="shared" si="315"/>
        <v>7.4487764320255501</v>
      </c>
    </row>
    <row r="1319" spans="47:65" x14ac:dyDescent="0.2">
      <c r="AU1319" s="2">
        <v>-318</v>
      </c>
      <c r="AV1319" s="53">
        <v>1317</v>
      </c>
      <c r="AW1319" s="4" t="s">
        <v>3080</v>
      </c>
      <c r="AX1319" t="s">
        <v>1229</v>
      </c>
      <c r="AY1319" s="4">
        <v>61865</v>
      </c>
      <c r="AZ1319" s="9">
        <v>26.284927151030018</v>
      </c>
      <c r="BA1319" s="7">
        <f t="shared" si="310"/>
        <v>6.7369382795584511E-4</v>
      </c>
      <c r="BB1319" s="54">
        <f t="shared" si="304"/>
        <v>2082.2452742191067</v>
      </c>
      <c r="BC1319" s="55">
        <f t="shared" si="305"/>
        <v>4108.2623969239112</v>
      </c>
      <c r="BD1319" s="55">
        <f t="shared" si="306"/>
        <v>64.095728382817455</v>
      </c>
      <c r="BE1319" s="55">
        <f t="shared" si="307"/>
        <v>62.812659596591956</v>
      </c>
      <c r="BF1319" s="56">
        <f t="shared" si="308"/>
        <v>1.0866598166585528</v>
      </c>
      <c r="BG1319" s="56">
        <f t="shared" si="311"/>
        <v>1.1188751274251619E-3</v>
      </c>
      <c r="BH1319" s="56">
        <f t="shared" si="312"/>
        <v>3.3449590840923027E-2</v>
      </c>
      <c r="BI1319" s="56">
        <f t="shared" si="309"/>
        <v>3.2779996672904987E-2</v>
      </c>
      <c r="BJ1319" s="57">
        <f t="shared" si="313"/>
        <v>0.2139074926470749</v>
      </c>
      <c r="BK1319" s="57">
        <f t="shared" si="314"/>
        <v>6.5845060221829009E-3</v>
      </c>
      <c r="BL1319" s="58">
        <f t="shared" si="315"/>
        <v>377.42131304605573</v>
      </c>
      <c r="BM1319" s="58">
        <f t="shared" si="315"/>
        <v>11.617792709824068</v>
      </c>
    </row>
    <row r="1320" spans="47:65" x14ac:dyDescent="0.2">
      <c r="AU1320" s="2">
        <v>-317</v>
      </c>
      <c r="AV1320" s="53">
        <v>1318</v>
      </c>
      <c r="AW1320" s="4" t="s">
        <v>1384</v>
      </c>
      <c r="AX1320" t="s">
        <v>7</v>
      </c>
      <c r="AY1320" s="4">
        <v>67583</v>
      </c>
      <c r="AZ1320" s="9">
        <v>26.302807959258715</v>
      </c>
      <c r="BA1320" s="7">
        <f t="shared" si="310"/>
        <v>6.7415212065239012E-4</v>
      </c>
      <c r="BB1320" s="54">
        <f t="shared" si="304"/>
        <v>2106.6179253259124</v>
      </c>
      <c r="BC1320" s="55">
        <f t="shared" si="305"/>
        <v>4173.4334668650117</v>
      </c>
      <c r="BD1320" s="55">
        <f t="shared" si="306"/>
        <v>64.602116581927959</v>
      </c>
      <c r="BE1320" s="55">
        <f t="shared" si="307"/>
        <v>63.308910912818298</v>
      </c>
      <c r="BF1320" s="56">
        <f t="shared" si="308"/>
        <v>1.0993791542462605</v>
      </c>
      <c r="BG1320" s="56">
        <f t="shared" si="311"/>
        <v>1.1366243075260102E-3</v>
      </c>
      <c r="BH1320" s="56">
        <f t="shared" si="312"/>
        <v>3.3713859279619861E-2</v>
      </c>
      <c r="BI1320" s="56">
        <f t="shared" si="309"/>
        <v>3.3038974983953202E-2</v>
      </c>
      <c r="BJ1320" s="57">
        <f t="shared" si="313"/>
        <v>0.23641353461430345</v>
      </c>
      <c r="BK1320" s="57">
        <f t="shared" si="314"/>
        <v>7.2499215643657697E-3</v>
      </c>
      <c r="BL1320" s="58">
        <f t="shared" si="315"/>
        <v>417.13128208746599</v>
      </c>
      <c r="BM1320" s="58">
        <f t="shared" si="315"/>
        <v>12.791861016380629</v>
      </c>
    </row>
    <row r="1321" spans="47:65" x14ac:dyDescent="0.2">
      <c r="AU1321" s="2">
        <v>-316</v>
      </c>
      <c r="AV1321" s="53">
        <v>1319</v>
      </c>
      <c r="AW1321" s="4" t="s">
        <v>3044</v>
      </c>
      <c r="AX1321" t="s">
        <v>1204</v>
      </c>
      <c r="AY1321" s="4">
        <v>20636</v>
      </c>
      <c r="AZ1321" s="9">
        <v>26.306410992716874</v>
      </c>
      <c r="BA1321" s="7">
        <f t="shared" si="310"/>
        <v>6.7424446792764537E-4</v>
      </c>
      <c r="BB1321" s="54">
        <f t="shared" si="304"/>
        <v>2111.563513531853</v>
      </c>
      <c r="BC1321" s="55">
        <f t="shared" si="305"/>
        <v>4186.6767775329545</v>
      </c>
      <c r="BD1321" s="55">
        <f t="shared" si="306"/>
        <v>64.704534443367677</v>
      </c>
      <c r="BE1321" s="55">
        <f t="shared" si="307"/>
        <v>63.409278572716026</v>
      </c>
      <c r="BF1321" s="56">
        <f t="shared" si="308"/>
        <v>1.1019601047421883</v>
      </c>
      <c r="BG1321" s="56">
        <f t="shared" si="311"/>
        <v>1.1402310905110492E-3</v>
      </c>
      <c r="BH1321" s="56">
        <f t="shared" si="312"/>
        <v>3.3767308013980757E-2</v>
      </c>
      <c r="BI1321" s="56">
        <f t="shared" si="309"/>
        <v>3.3091353781136507E-2</v>
      </c>
      <c r="BJ1321" s="57">
        <f t="shared" si="313"/>
        <v>7.2356701897842213E-2</v>
      </c>
      <c r="BK1321" s="57">
        <f t="shared" si="314"/>
        <v>2.217222773624686E-3</v>
      </c>
      <c r="BL1321" s="58">
        <f t="shared" si="315"/>
        <v>127.66715695659425</v>
      </c>
      <c r="BM1321" s="58">
        <f t="shared" si="315"/>
        <v>3.9120982635130237</v>
      </c>
    </row>
    <row r="1322" spans="47:65" x14ac:dyDescent="0.2">
      <c r="AU1322" s="2">
        <v>-315</v>
      </c>
      <c r="AV1322" s="53">
        <v>1320</v>
      </c>
      <c r="AW1322" s="4" t="s">
        <v>2152</v>
      </c>
      <c r="AX1322" t="s">
        <v>550</v>
      </c>
      <c r="AY1322" s="4">
        <v>32577</v>
      </c>
      <c r="AZ1322" s="9">
        <v>26.309507856273548</v>
      </c>
      <c r="BA1322" s="7">
        <f t="shared" si="310"/>
        <v>6.7432384185370437E-4</v>
      </c>
      <c r="BB1322" s="54">
        <f t="shared" si="304"/>
        <v>2115.8236020318459</v>
      </c>
      <c r="BC1322" s="55">
        <f t="shared" si="305"/>
        <v>4198.0895577781766</v>
      </c>
      <c r="BD1322" s="55">
        <f t="shared" si="306"/>
        <v>64.792665925845156</v>
      </c>
      <c r="BE1322" s="55">
        <f t="shared" si="307"/>
        <v>63.495645838496017</v>
      </c>
      <c r="BF1322" s="56">
        <f t="shared" si="308"/>
        <v>1.1041833140084873</v>
      </c>
      <c r="BG1322" s="56">
        <f t="shared" si="311"/>
        <v>1.1433393330519356E-3</v>
      </c>
      <c r="BH1322" s="56">
        <f t="shared" si="312"/>
        <v>3.3813301126212676E-2</v>
      </c>
      <c r="BI1322" s="56">
        <f t="shared" si="309"/>
        <v>3.3136426202892241E-2</v>
      </c>
      <c r="BJ1322" s="57">
        <f t="shared" si="313"/>
        <v>0.11445628352527298</v>
      </c>
      <c r="BK1322" s="57">
        <f t="shared" si="314"/>
        <v>3.5049839383802556E-3</v>
      </c>
      <c r="BL1322" s="58">
        <f t="shared" si="315"/>
        <v>201.94823603375485</v>
      </c>
      <c r="BM1322" s="58">
        <f t="shared" si="315"/>
        <v>6.1842417199073321</v>
      </c>
    </row>
    <row r="1323" spans="47:65" x14ac:dyDescent="0.2">
      <c r="AU1323" s="2">
        <v>-314</v>
      </c>
      <c r="AV1323" s="53">
        <v>1321</v>
      </c>
      <c r="AW1323" s="4" t="s">
        <v>2347</v>
      </c>
      <c r="AX1323" t="s">
        <v>695</v>
      </c>
      <c r="AY1323" s="4">
        <v>11461</v>
      </c>
      <c r="AZ1323" s="9">
        <v>26.31367089798367</v>
      </c>
      <c r="BA1323" s="7">
        <f t="shared" si="310"/>
        <v>6.7443054237790664E-4</v>
      </c>
      <c r="BB1323" s="54">
        <f t="shared" si="304"/>
        <v>2121.5638868092801</v>
      </c>
      <c r="BC1323" s="55">
        <f t="shared" si="305"/>
        <v>4213.4752147485997</v>
      </c>
      <c r="BD1323" s="55">
        <f t="shared" si="306"/>
        <v>64.911287267690199</v>
      </c>
      <c r="BE1323" s="55">
        <f t="shared" si="307"/>
        <v>63.611892617403065</v>
      </c>
      <c r="BF1323" s="56">
        <f t="shared" si="308"/>
        <v>1.1071789922223108</v>
      </c>
      <c r="BG1323" s="56">
        <f t="shared" si="311"/>
        <v>1.1475295787664243E-3</v>
      </c>
      <c r="BH1323" s="56">
        <f t="shared" si="312"/>
        <v>3.3875205959025906E-2</v>
      </c>
      <c r="BI1323" s="56">
        <f t="shared" si="309"/>
        <v>3.3197091824283688E-2</v>
      </c>
      <c r="BJ1323" s="57">
        <f t="shared" si="313"/>
        <v>4.0376411834677058E-2</v>
      </c>
      <c r="BK1323" s="57">
        <f t="shared" si="314"/>
        <v>1.2353551470849291E-3</v>
      </c>
      <c r="BL1323" s="58">
        <f t="shared" si="315"/>
        <v>71.240694667366071</v>
      </c>
      <c r="BM1323" s="58">
        <f t="shared" si="315"/>
        <v>2.1796775602445124</v>
      </c>
    </row>
    <row r="1324" spans="47:65" x14ac:dyDescent="0.2">
      <c r="AU1324" s="2">
        <v>-313</v>
      </c>
      <c r="AV1324" s="53">
        <v>1322</v>
      </c>
      <c r="AW1324" s="4" t="s">
        <v>2052</v>
      </c>
      <c r="AX1324" t="s">
        <v>473</v>
      </c>
      <c r="AY1324" s="4">
        <v>74873</v>
      </c>
      <c r="AZ1324" s="9">
        <v>26.314472102242856</v>
      </c>
      <c r="BA1324" s="7">
        <f t="shared" si="310"/>
        <v>6.7445107758278824E-4</v>
      </c>
      <c r="BB1324" s="54">
        <f t="shared" si="304"/>
        <v>2122.6704275576235</v>
      </c>
      <c r="BC1324" s="55">
        <f t="shared" si="305"/>
        <v>4216.4420471853564</v>
      </c>
      <c r="BD1324" s="55">
        <f t="shared" si="306"/>
        <v>64.934136224218435</v>
      </c>
      <c r="BE1324" s="55">
        <f t="shared" si="307"/>
        <v>63.634284183342899</v>
      </c>
      <c r="BF1324" s="56">
        <f t="shared" si="308"/>
        <v>1.107756461832452</v>
      </c>
      <c r="BG1324" s="56">
        <f t="shared" si="311"/>
        <v>1.1483375882605095E-3</v>
      </c>
      <c r="BH1324" s="56">
        <f t="shared" si="312"/>
        <v>3.3887130127240185E-2</v>
      </c>
      <c r="BI1324" s="56">
        <f t="shared" si="309"/>
        <v>3.320877729440648E-2</v>
      </c>
      <c r="BJ1324" s="57">
        <f t="shared" si="313"/>
        <v>0.26391063942331283</v>
      </c>
      <c r="BK1324" s="57">
        <f t="shared" si="314"/>
        <v>8.0732313358002471E-3</v>
      </c>
      <c r="BL1324" s="58">
        <f t="shared" si="315"/>
        <v>465.6475508425018</v>
      </c>
      <c r="BM1324" s="58">
        <f t="shared" si="315"/>
        <v>14.24452006601536</v>
      </c>
    </row>
    <row r="1325" spans="47:65" x14ac:dyDescent="0.2">
      <c r="AU1325" s="2">
        <v>-312</v>
      </c>
      <c r="AV1325" s="53">
        <v>1323</v>
      </c>
      <c r="AW1325" s="4" t="s">
        <v>2604</v>
      </c>
      <c r="AX1325" t="s">
        <v>900</v>
      </c>
      <c r="AY1325" s="4">
        <v>20702</v>
      </c>
      <c r="AZ1325" s="9">
        <v>26.31473715101621</v>
      </c>
      <c r="BA1325" s="7">
        <f t="shared" si="310"/>
        <v>6.7445787089523272E-4</v>
      </c>
      <c r="BB1325" s="54">
        <f t="shared" si="304"/>
        <v>2123.0366126446434</v>
      </c>
      <c r="BC1325" s="55">
        <f t="shared" si="305"/>
        <v>4217.42392384096</v>
      </c>
      <c r="BD1325" s="55">
        <f t="shared" si="306"/>
        <v>64.941696342496016</v>
      </c>
      <c r="BE1325" s="55">
        <f t="shared" si="307"/>
        <v>63.641692963114359</v>
      </c>
      <c r="BF1325" s="56">
        <f t="shared" si="308"/>
        <v>1.1079475625756967</v>
      </c>
      <c r="BG1325" s="56">
        <f t="shared" si="311"/>
        <v>1.1486049999451093E-3</v>
      </c>
      <c r="BH1325" s="56">
        <f t="shared" si="312"/>
        <v>3.3891075520630934E-2</v>
      </c>
      <c r="BI1325" s="56">
        <f t="shared" si="309"/>
        <v>3.3212643708881835E-2</v>
      </c>
      <c r="BJ1325" s="57">
        <f t="shared" si="313"/>
        <v>7.2982524677884283E-2</v>
      </c>
      <c r="BK1325" s="57">
        <f t="shared" si="314"/>
        <v>2.2324668956302672E-3</v>
      </c>
      <c r="BL1325" s="58">
        <f t="shared" si="315"/>
        <v>128.77136725074843</v>
      </c>
      <c r="BM1325" s="58">
        <f t="shared" si="315"/>
        <v>3.9389952014013718</v>
      </c>
    </row>
    <row r="1326" spans="47:65" x14ac:dyDescent="0.2">
      <c r="AU1326" s="2">
        <v>-311</v>
      </c>
      <c r="AV1326" s="53">
        <v>1324</v>
      </c>
      <c r="AW1326" s="4" t="s">
        <v>2832</v>
      </c>
      <c r="AX1326" t="s">
        <v>1064</v>
      </c>
      <c r="AY1326" s="4">
        <v>27859</v>
      </c>
      <c r="AZ1326" s="9">
        <v>26.316821271946282</v>
      </c>
      <c r="BA1326" s="7">
        <f t="shared" si="310"/>
        <v>6.7451128779835875E-4</v>
      </c>
      <c r="BB1326" s="54">
        <f t="shared" si="304"/>
        <v>2125.9181869235913</v>
      </c>
      <c r="BC1326" s="55">
        <f t="shared" si="305"/>
        <v>4225.1516839588112</v>
      </c>
      <c r="BD1326" s="55">
        <f t="shared" si="306"/>
        <v>65.001166789210885</v>
      </c>
      <c r="BE1326" s="55">
        <f t="shared" si="307"/>
        <v>63.699972929967181</v>
      </c>
      <c r="BF1326" s="56">
        <f t="shared" si="308"/>
        <v>1.1094513676347926</v>
      </c>
      <c r="BG1326" s="56">
        <f t="shared" si="311"/>
        <v>1.1507096363463085E-3</v>
      </c>
      <c r="BH1326" s="56">
        <f t="shared" si="312"/>
        <v>3.3922111319113206E-2</v>
      </c>
      <c r="BI1326" s="56">
        <f t="shared" si="309"/>
        <v>3.3243058232510184E-2</v>
      </c>
      <c r="BJ1326" s="57">
        <f t="shared" si="313"/>
        <v>9.8347011032196854E-2</v>
      </c>
      <c r="BK1326" s="57">
        <f t="shared" si="314"/>
        <v>3.0070162185192968E-3</v>
      </c>
      <c r="BL1326" s="58">
        <f t="shared" si="315"/>
        <v>173.52481476265038</v>
      </c>
      <c r="BM1326" s="58">
        <f t="shared" si="315"/>
        <v>5.3056206470374789</v>
      </c>
    </row>
    <row r="1327" spans="47:65" x14ac:dyDescent="0.2">
      <c r="AU1327" s="2">
        <v>-310</v>
      </c>
      <c r="AV1327" s="53">
        <v>1325</v>
      </c>
      <c r="AW1327" s="4" t="s">
        <v>1773</v>
      </c>
      <c r="AX1327" t="s">
        <v>271</v>
      </c>
      <c r="AY1327" s="4">
        <v>21840</v>
      </c>
      <c r="AZ1327" s="9">
        <v>26.318873662252862</v>
      </c>
      <c r="BA1327" s="7">
        <f t="shared" si="310"/>
        <v>6.7456389143215063E-4</v>
      </c>
      <c r="BB1327" s="54">
        <f t="shared" si="304"/>
        <v>2128.7597119477559</v>
      </c>
      <c r="BC1327" s="55">
        <f t="shared" si="305"/>
        <v>4232.7741240447785</v>
      </c>
      <c r="BD1327" s="55">
        <f t="shared" si="306"/>
        <v>65.059773470592248</v>
      </c>
      <c r="BE1327" s="55">
        <f t="shared" si="307"/>
        <v>63.757406422347628</v>
      </c>
      <c r="BF1327" s="56">
        <f t="shared" si="308"/>
        <v>1.1109342722186184</v>
      </c>
      <c r="BG1327" s="56">
        <f t="shared" si="311"/>
        <v>1.1527855890967596E-3</v>
      </c>
      <c r="BH1327" s="56">
        <f t="shared" si="312"/>
        <v>3.395269634501448E-2</v>
      </c>
      <c r="BI1327" s="56">
        <f t="shared" si="309"/>
        <v>3.3273031007126544E-2</v>
      </c>
      <c r="BJ1327" s="57">
        <f t="shared" si="313"/>
        <v>7.7201967959531839E-2</v>
      </c>
      <c r="BK1327" s="57">
        <f t="shared" si="314"/>
        <v>2.3594689991269786E-3</v>
      </c>
      <c r="BL1327" s="58">
        <f t="shared" si="315"/>
        <v>136.21621083231597</v>
      </c>
      <c r="BM1327" s="58">
        <f t="shared" si="315"/>
        <v>4.1630794542163256</v>
      </c>
    </row>
    <row r="1328" spans="47:65" x14ac:dyDescent="0.2">
      <c r="AU1328" s="2">
        <v>-309</v>
      </c>
      <c r="AV1328" s="53">
        <v>1326</v>
      </c>
      <c r="AW1328" s="4" t="s">
        <v>2684</v>
      </c>
      <c r="AX1328" t="s">
        <v>950</v>
      </c>
      <c r="AY1328" s="4">
        <v>22882</v>
      </c>
      <c r="AZ1328" s="9">
        <v>26.32042969210217</v>
      </c>
      <c r="BA1328" s="7">
        <f t="shared" si="310"/>
        <v>6.7460377313696078E-4</v>
      </c>
      <c r="BB1328" s="54">
        <f t="shared" si="304"/>
        <v>2130.9165594050878</v>
      </c>
      <c r="BC1328" s="55">
        <f t="shared" si="305"/>
        <v>4238.5612819945136</v>
      </c>
      <c r="BD1328" s="55">
        <f t="shared" si="306"/>
        <v>65.104233979016399</v>
      </c>
      <c r="BE1328" s="55">
        <f t="shared" si="307"/>
        <v>63.800976919970466</v>
      </c>
      <c r="BF1328" s="56">
        <f t="shared" si="308"/>
        <v>1.1120598646219559</v>
      </c>
      <c r="BG1328" s="56">
        <f t="shared" si="311"/>
        <v>1.1543617072856448E-3</v>
      </c>
      <c r="BH1328" s="56">
        <f t="shared" si="312"/>
        <v>3.3975898917992513E-2</v>
      </c>
      <c r="BI1328" s="56">
        <f t="shared" si="309"/>
        <v>3.329576911081935E-2</v>
      </c>
      <c r="BJ1328" s="57">
        <f t="shared" si="313"/>
        <v>8.0967274482036708E-2</v>
      </c>
      <c r="BK1328" s="57">
        <f t="shared" si="314"/>
        <v>2.4737300760352614E-3</v>
      </c>
      <c r="BL1328" s="58">
        <f t="shared" si="315"/>
        <v>142.85976928909869</v>
      </c>
      <c r="BM1328" s="58">
        <f t="shared" si="315"/>
        <v>4.3646832650184626</v>
      </c>
    </row>
    <row r="1329" spans="47:65" x14ac:dyDescent="0.2">
      <c r="AU1329" s="2">
        <v>-308</v>
      </c>
      <c r="AV1329" s="53">
        <v>1327</v>
      </c>
      <c r="AW1329" s="4" t="s">
        <v>2937</v>
      </c>
      <c r="AX1329" t="s">
        <v>1142</v>
      </c>
      <c r="AY1329" s="4">
        <v>11811</v>
      </c>
      <c r="AZ1329" s="9">
        <v>26.325846038297861</v>
      </c>
      <c r="BA1329" s="7">
        <f t="shared" si="310"/>
        <v>6.7474259638654192E-4</v>
      </c>
      <c r="BB1329" s="54">
        <f t="shared" si="304"/>
        <v>2138.4413351020139</v>
      </c>
      <c r="BC1329" s="55">
        <f t="shared" si="305"/>
        <v>4258.7606940747028</v>
      </c>
      <c r="BD1329" s="55">
        <f t="shared" si="306"/>
        <v>65.25918091789616</v>
      </c>
      <c r="BE1329" s="55">
        <f t="shared" si="307"/>
        <v>63.952822129829997</v>
      </c>
      <c r="BF1329" s="56">
        <f t="shared" si="308"/>
        <v>1.1159868138053497</v>
      </c>
      <c r="BG1329" s="56">
        <f t="shared" si="311"/>
        <v>1.1598629673273931E-3</v>
      </c>
      <c r="BH1329" s="56">
        <f t="shared" si="312"/>
        <v>3.4056760963535465E-2</v>
      </c>
      <c r="BI1329" s="56">
        <f t="shared" si="309"/>
        <v>3.3375012459309565E-2</v>
      </c>
      <c r="BJ1329" s="57">
        <f t="shared" si="313"/>
        <v>4.1940451822199014E-2</v>
      </c>
      <c r="BK1329" s="57">
        <f t="shared" si="314"/>
        <v>1.279903960102203E-3</v>
      </c>
      <c r="BL1329" s="58">
        <f t="shared" si="315"/>
        <v>74.000308266881305</v>
      </c>
      <c r="BM1329" s="58">
        <f t="shared" si="315"/>
        <v>2.2582800967688574</v>
      </c>
    </row>
    <row r="1330" spans="47:65" x14ac:dyDescent="0.2">
      <c r="AU1330" s="2">
        <v>-307</v>
      </c>
      <c r="AV1330" s="53">
        <v>1328</v>
      </c>
      <c r="AW1330" s="4" t="s">
        <v>2965</v>
      </c>
      <c r="AX1330" t="s">
        <v>1159</v>
      </c>
      <c r="AY1330" s="4">
        <v>32052</v>
      </c>
      <c r="AZ1330" s="9">
        <v>26.33581321172251</v>
      </c>
      <c r="BA1330" s="7">
        <f t="shared" si="310"/>
        <v>6.74998059267598E-4</v>
      </c>
      <c r="BB1330" s="54">
        <f t="shared" si="304"/>
        <v>2152.3579593691361</v>
      </c>
      <c r="BC1330" s="55">
        <f t="shared" si="305"/>
        <v>4296.1559374418111</v>
      </c>
      <c r="BD1330" s="55">
        <f t="shared" si="306"/>
        <v>65.545067987162938</v>
      </c>
      <c r="BE1330" s="55">
        <f t="shared" si="307"/>
        <v>64.232986309534297</v>
      </c>
      <c r="BF1330" s="56">
        <f t="shared" si="308"/>
        <v>1.1232494723220245</v>
      </c>
      <c r="BG1330" s="56">
        <f t="shared" si="311"/>
        <v>1.1700474695925348E-3</v>
      </c>
      <c r="BH1330" s="56">
        <f t="shared" si="312"/>
        <v>3.4205956639049503E-2</v>
      </c>
      <c r="BI1330" s="56">
        <f t="shared" si="309"/>
        <v>3.3521221534637879E-2</v>
      </c>
      <c r="BJ1330" s="57">
        <f t="shared" si="313"/>
        <v>0.11455623441036032</v>
      </c>
      <c r="BK1330" s="57">
        <f t="shared" si="314"/>
        <v>3.4885443381273886E-3</v>
      </c>
      <c r="BL1330" s="58">
        <f t="shared" si="315"/>
        <v>202.12459074589214</v>
      </c>
      <c r="BM1330" s="58">
        <f t="shared" si="315"/>
        <v>6.1552354638075224</v>
      </c>
    </row>
    <row r="1331" spans="47:65" x14ac:dyDescent="0.2">
      <c r="AU1331" s="2">
        <v>-306</v>
      </c>
      <c r="AV1331" s="53">
        <v>1329</v>
      </c>
      <c r="AW1331" s="4" t="s">
        <v>2793</v>
      </c>
      <c r="AX1331" t="s">
        <v>1037</v>
      </c>
      <c r="AY1331" s="4">
        <v>18384</v>
      </c>
      <c r="AZ1331" s="9">
        <v>26.350910818440177</v>
      </c>
      <c r="BA1331" s="7">
        <f t="shared" si="310"/>
        <v>6.7538501732930978E-4</v>
      </c>
      <c r="BB1331" s="54">
        <f t="shared" si="304"/>
        <v>2173.6106282768133</v>
      </c>
      <c r="BC1331" s="55">
        <f t="shared" si="305"/>
        <v>4353.3566492021691</v>
      </c>
      <c r="BD1331" s="55">
        <f t="shared" si="306"/>
        <v>65.979971576245532</v>
      </c>
      <c r="BE1331" s="55">
        <f t="shared" si="307"/>
        <v>64.659183995208835</v>
      </c>
      <c r="BF1331" s="56">
        <f t="shared" si="308"/>
        <v>1.1343405870838934</v>
      </c>
      <c r="BG1331" s="56">
        <f t="shared" si="311"/>
        <v>1.1856259423084466E-3</v>
      </c>
      <c r="BH1331" s="56">
        <f t="shared" si="312"/>
        <v>3.4432919456654366E-2</v>
      </c>
      <c r="BI1331" s="56">
        <f t="shared" si="309"/>
        <v>3.3743641008805517E-2</v>
      </c>
      <c r="BJ1331" s="57">
        <f t="shared" si="313"/>
        <v>6.6354572430855352E-2</v>
      </c>
      <c r="BK1331" s="57">
        <f t="shared" si="314"/>
        <v>2.014193685836442E-3</v>
      </c>
      <c r="BL1331" s="58">
        <f t="shared" si="315"/>
        <v>117.07691742608763</v>
      </c>
      <c r="BM1331" s="58">
        <f t="shared" si="315"/>
        <v>3.553870957160508</v>
      </c>
    </row>
    <row r="1332" spans="47:65" x14ac:dyDescent="0.2">
      <c r="AU1332" s="2">
        <v>-305</v>
      </c>
      <c r="AV1332" s="53">
        <v>1330</v>
      </c>
      <c r="AW1332" s="4" t="s">
        <v>2382</v>
      </c>
      <c r="AX1332" t="s">
        <v>722</v>
      </c>
      <c r="AY1332" s="4">
        <v>18470</v>
      </c>
      <c r="AZ1332" s="9">
        <v>26.363146959456813</v>
      </c>
      <c r="BA1332" s="7">
        <f t="shared" si="310"/>
        <v>6.7569863481181365E-4</v>
      </c>
      <c r="BB1332" s="54">
        <f t="shared" si="304"/>
        <v>2190.9891336151804</v>
      </c>
      <c r="BC1332" s="55">
        <f t="shared" si="305"/>
        <v>4400.2120407015227</v>
      </c>
      <c r="BD1332" s="55">
        <f t="shared" si="306"/>
        <v>66.334094104777847</v>
      </c>
      <c r="BE1332" s="55">
        <f t="shared" si="307"/>
        <v>65.006217696227637</v>
      </c>
      <c r="BF1332" s="56">
        <f t="shared" si="308"/>
        <v>1.1434098949404674</v>
      </c>
      <c r="BG1332" s="56">
        <f t="shared" si="311"/>
        <v>1.1983868925761634E-3</v>
      </c>
      <c r="BH1332" s="56">
        <f t="shared" si="312"/>
        <v>3.4617725121332904E-2</v>
      </c>
      <c r="BI1332" s="56">
        <f t="shared" si="309"/>
        <v>3.3924747232259973E-2</v>
      </c>
      <c r="BJ1332" s="57">
        <f t="shared" si="313"/>
        <v>6.7197979326342486E-2</v>
      </c>
      <c r="BK1332" s="57">
        <f t="shared" si="314"/>
        <v>2.0344770386559003E-3</v>
      </c>
      <c r="BL1332" s="58">
        <f t="shared" si="315"/>
        <v>118.56503611696513</v>
      </c>
      <c r="BM1332" s="58">
        <f t="shared" si="315"/>
        <v>3.5896591829929108</v>
      </c>
    </row>
    <row r="1333" spans="47:65" x14ac:dyDescent="0.2">
      <c r="AU1333" s="2">
        <v>-304</v>
      </c>
      <c r="AV1333" s="53">
        <v>1331</v>
      </c>
      <c r="AW1333" s="4" t="s">
        <v>3063</v>
      </c>
      <c r="AX1333" t="s">
        <v>1219</v>
      </c>
      <c r="AY1333" s="4">
        <v>34631</v>
      </c>
      <c r="AZ1333" s="9">
        <v>26.369534204341718</v>
      </c>
      <c r="BA1333" s="7">
        <f t="shared" si="310"/>
        <v>6.7586234260647027E-4</v>
      </c>
      <c r="BB1333" s="54">
        <f t="shared" si="304"/>
        <v>2200.1158129914543</v>
      </c>
      <c r="BC1333" s="55">
        <f t="shared" si="305"/>
        <v>4424.848097150606</v>
      </c>
      <c r="BD1333" s="55">
        <f t="shared" si="306"/>
        <v>66.519531696717507</v>
      </c>
      <c r="BE1333" s="55">
        <f t="shared" si="307"/>
        <v>65.187943197018413</v>
      </c>
      <c r="BF1333" s="56">
        <f t="shared" si="308"/>
        <v>1.1481728284241037</v>
      </c>
      <c r="BG1333" s="56">
        <f t="shared" si="311"/>
        <v>1.2050964617652264E-3</v>
      </c>
      <c r="BH1333" s="56">
        <f t="shared" si="312"/>
        <v>3.4714499301663947E-2</v>
      </c>
      <c r="BI1333" s="56">
        <f t="shared" si="309"/>
        <v>3.4019584186301091E-2</v>
      </c>
      <c r="BJ1333" s="57">
        <f t="shared" si="313"/>
        <v>0.12652014167404882</v>
      </c>
      <c r="BK1333" s="57">
        <f t="shared" si="314"/>
        <v>3.825280707799398E-3</v>
      </c>
      <c r="BL1333" s="58">
        <f t="shared" si="315"/>
        <v>223.23387276656706</v>
      </c>
      <c r="BM1333" s="58">
        <f t="shared" si="315"/>
        <v>6.7493777316600081</v>
      </c>
    </row>
    <row r="1334" spans="47:65" x14ac:dyDescent="0.2">
      <c r="AU1334" s="2">
        <v>-303</v>
      </c>
      <c r="AV1334" s="53">
        <v>1332</v>
      </c>
      <c r="AW1334" s="4" t="s">
        <v>2180</v>
      </c>
      <c r="AX1334" t="s">
        <v>573</v>
      </c>
      <c r="AY1334" s="4">
        <v>58930</v>
      </c>
      <c r="AZ1334" s="9">
        <v>26.377400090229617</v>
      </c>
      <c r="BA1334" s="7">
        <f t="shared" si="310"/>
        <v>6.7606394859699227E-4</v>
      </c>
      <c r="BB1334" s="54">
        <f t="shared" si="304"/>
        <v>2211.4075688527037</v>
      </c>
      <c r="BC1334" s="55">
        <f t="shared" si="305"/>
        <v>4455.3556917631904</v>
      </c>
      <c r="BD1334" s="55">
        <f t="shared" si="306"/>
        <v>66.748450856654273</v>
      </c>
      <c r="BE1334" s="55">
        <f t="shared" si="307"/>
        <v>65.412279851442037</v>
      </c>
      <c r="BF1334" s="56">
        <f t="shared" si="308"/>
        <v>1.1540656487877086</v>
      </c>
      <c r="BG1334" s="56">
        <f t="shared" si="311"/>
        <v>1.2134051298861674E-3</v>
      </c>
      <c r="BH1334" s="56">
        <f t="shared" si="312"/>
        <v>3.4833965176048615E-2</v>
      </c>
      <c r="BI1334" s="56">
        <f t="shared" si="309"/>
        <v>3.4136658591888858E-2</v>
      </c>
      <c r="BJ1334" s="57">
        <f t="shared" si="313"/>
        <v>0.21639854058624747</v>
      </c>
      <c r="BK1334" s="57">
        <f t="shared" si="314"/>
        <v>6.5317074768211159E-3</v>
      </c>
      <c r="BL1334" s="58">
        <f t="shared" si="315"/>
        <v>381.81655218624968</v>
      </c>
      <c r="BM1334" s="58">
        <f t="shared" si="315"/>
        <v>11.52463423243382</v>
      </c>
    </row>
    <row r="1335" spans="47:65" x14ac:dyDescent="0.2">
      <c r="AU1335" s="2">
        <v>-302</v>
      </c>
      <c r="AV1335" s="53">
        <v>1333</v>
      </c>
      <c r="AW1335" s="4" t="s">
        <v>1812</v>
      </c>
      <c r="AX1335" t="s">
        <v>293</v>
      </c>
      <c r="AY1335" s="4">
        <v>46833</v>
      </c>
      <c r="AZ1335" s="9">
        <v>26.377995750653238</v>
      </c>
      <c r="BA1335" s="7">
        <f t="shared" si="310"/>
        <v>6.7607921562621567E-4</v>
      </c>
      <c r="BB1335" s="54">
        <f t="shared" si="304"/>
        <v>2212.265017294802</v>
      </c>
      <c r="BC1335" s="55">
        <f t="shared" si="305"/>
        <v>4457.6735319163035</v>
      </c>
      <c r="BD1335" s="55">
        <f t="shared" si="306"/>
        <v>66.765811100564818</v>
      </c>
      <c r="BE1335" s="55">
        <f t="shared" si="307"/>
        <v>65.429292577855776</v>
      </c>
      <c r="BF1335" s="56">
        <f t="shared" si="308"/>
        <v>1.1545131247783724</v>
      </c>
      <c r="BG1335" s="56">
        <f t="shared" si="311"/>
        <v>1.2140363879329277E-3</v>
      </c>
      <c r="BH1335" s="56">
        <f t="shared" si="312"/>
        <v>3.4843024953825803E-2</v>
      </c>
      <c r="BI1335" s="56">
        <f t="shared" si="309"/>
        <v>3.4145537010964469E-2</v>
      </c>
      <c r="BJ1335" s="57">
        <f t="shared" si="313"/>
        <v>0.17204348253525958</v>
      </c>
      <c r="BK1335" s="57">
        <f t="shared" si="314"/>
        <v>5.1922453079690086E-3</v>
      </c>
      <c r="BL1335" s="58">
        <f t="shared" si="315"/>
        <v>303.55587958111551</v>
      </c>
      <c r="BM1335" s="58">
        <f t="shared" si="315"/>
        <v>9.1612688155067428</v>
      </c>
    </row>
    <row r="1336" spans="47:65" x14ac:dyDescent="0.2">
      <c r="AU1336" s="2">
        <v>-301</v>
      </c>
      <c r="AV1336" s="53">
        <v>1334</v>
      </c>
      <c r="AW1336" s="4" t="s">
        <v>2125</v>
      </c>
      <c r="AX1336" t="s">
        <v>527</v>
      </c>
      <c r="AY1336" s="4">
        <v>63286</v>
      </c>
      <c r="AZ1336" s="9">
        <v>26.38385099960356</v>
      </c>
      <c r="BA1336" s="7">
        <f t="shared" si="310"/>
        <v>6.7622928813949727E-4</v>
      </c>
      <c r="BB1336" s="54">
        <f t="shared" si="304"/>
        <v>2220.7113197068247</v>
      </c>
      <c r="BC1336" s="55">
        <f t="shared" si="305"/>
        <v>4480.5145814121388</v>
      </c>
      <c r="BD1336" s="55">
        <f t="shared" si="306"/>
        <v>66.936646027509767</v>
      </c>
      <c r="BE1336" s="55">
        <f t="shared" si="307"/>
        <v>65.596707729912595</v>
      </c>
      <c r="BF1336" s="56">
        <f t="shared" si="308"/>
        <v>1.1589209904338398</v>
      </c>
      <c r="BG1336" s="56">
        <f t="shared" si="311"/>
        <v>1.2202570914071249E-3</v>
      </c>
      <c r="BH1336" s="56">
        <f t="shared" si="312"/>
        <v>3.4932178452068016E-2</v>
      </c>
      <c r="BI1336" s="56">
        <f t="shared" si="309"/>
        <v>3.4232905833789719E-2</v>
      </c>
      <c r="BJ1336" s="57">
        <f t="shared" si="313"/>
        <v>0.23337205363741401</v>
      </c>
      <c r="BK1336" s="57">
        <f t="shared" si="314"/>
        <v>7.0342968077021194E-3</v>
      </c>
      <c r="BL1336" s="58">
        <f t="shared" si="315"/>
        <v>411.76485134819234</v>
      </c>
      <c r="BM1336" s="58">
        <f t="shared" si="315"/>
        <v>12.411409739157245</v>
      </c>
    </row>
    <row r="1337" spans="47:65" x14ac:dyDescent="0.2">
      <c r="AU1337" s="2">
        <v>-300</v>
      </c>
      <c r="AV1337" s="53">
        <v>1335</v>
      </c>
      <c r="AW1337" s="4" t="s">
        <v>1890</v>
      </c>
      <c r="AX1337" t="s">
        <v>357</v>
      </c>
      <c r="AY1337" s="4">
        <v>25303</v>
      </c>
      <c r="AZ1337" s="9">
        <v>26.409860918511715</v>
      </c>
      <c r="BA1337" s="7">
        <f t="shared" si="310"/>
        <v>6.7689593338958194E-4</v>
      </c>
      <c r="BB1337" s="54">
        <f t="shared" si="304"/>
        <v>2258.6226317637761</v>
      </c>
      <c r="BC1337" s="55">
        <f t="shared" si="305"/>
        <v>4583.2379545160593</v>
      </c>
      <c r="BD1337" s="55">
        <f t="shared" si="306"/>
        <v>67.69961561571867</v>
      </c>
      <c r="BE1337" s="55">
        <f t="shared" si="307"/>
        <v>66.344404187007001</v>
      </c>
      <c r="BF1337" s="56">
        <f t="shared" si="308"/>
        <v>1.1787057390987368</v>
      </c>
      <c r="BG1337" s="56">
        <f t="shared" si="311"/>
        <v>1.2482335486211241E-3</v>
      </c>
      <c r="BH1337" s="56">
        <f t="shared" si="312"/>
        <v>3.5330348832429095E-2</v>
      </c>
      <c r="BI1337" s="56">
        <f t="shared" si="309"/>
        <v>3.4623105636398879E-2</v>
      </c>
      <c r="BJ1337" s="57">
        <f t="shared" si="313"/>
        <v>9.4899688249598588E-2</v>
      </c>
      <c r="BK1337" s="57">
        <f t="shared" si="314"/>
        <v>2.8445090057088738E-3</v>
      </c>
      <c r="BL1337" s="58">
        <f t="shared" si="315"/>
        <v>167.44231117663298</v>
      </c>
      <c r="BM1337" s="58">
        <f t="shared" si="315"/>
        <v>5.0188906925166288</v>
      </c>
    </row>
    <row r="1338" spans="47:65" x14ac:dyDescent="0.2">
      <c r="AU1338" s="2">
        <v>-299</v>
      </c>
      <c r="AV1338" s="53">
        <v>1336</v>
      </c>
      <c r="AW1338" s="4" t="s">
        <v>1867</v>
      </c>
      <c r="AX1338" t="s">
        <v>340</v>
      </c>
      <c r="AY1338" s="4">
        <v>11764</v>
      </c>
      <c r="AZ1338" s="9">
        <v>26.411235676363461</v>
      </c>
      <c r="BA1338" s="7">
        <f t="shared" si="310"/>
        <v>6.7693116901623338E-4</v>
      </c>
      <c r="BB1338" s="54">
        <f t="shared" si="304"/>
        <v>2260.6443528570908</v>
      </c>
      <c r="BC1338" s="55">
        <f t="shared" si="305"/>
        <v>4588.7250257490805</v>
      </c>
      <c r="BD1338" s="55">
        <f t="shared" si="306"/>
        <v>67.740128622176982</v>
      </c>
      <c r="BE1338" s="55">
        <f t="shared" si="307"/>
        <v>66.384106203788861</v>
      </c>
      <c r="BF1338" s="56">
        <f t="shared" si="308"/>
        <v>1.1797608132054227</v>
      </c>
      <c r="BG1338" s="56">
        <f t="shared" si="311"/>
        <v>1.2497279389329962E-3</v>
      </c>
      <c r="BH1338" s="56">
        <f t="shared" si="312"/>
        <v>3.535149132544476E-2</v>
      </c>
      <c r="BI1338" s="56">
        <f t="shared" si="309"/>
        <v>3.4643824898825927E-2</v>
      </c>
      <c r="BJ1338" s="57">
        <f t="shared" si="313"/>
        <v>4.4160741255021521E-2</v>
      </c>
      <c r="BK1338" s="57">
        <f t="shared" si="314"/>
        <v>1.3232750604425044E-3</v>
      </c>
      <c r="BL1338" s="58">
        <f t="shared" si="315"/>
        <v>77.917817385931855</v>
      </c>
      <c r="BM1338" s="58">
        <f t="shared" si="315"/>
        <v>2.3348046608975959</v>
      </c>
    </row>
    <row r="1339" spans="47:65" x14ac:dyDescent="0.2">
      <c r="AU1339" s="2">
        <v>-298</v>
      </c>
      <c r="AV1339" s="53">
        <v>1337</v>
      </c>
      <c r="AW1339" s="4" t="s">
        <v>1995</v>
      </c>
      <c r="AX1339" t="s">
        <v>423</v>
      </c>
      <c r="AY1339" s="4">
        <v>14600</v>
      </c>
      <c r="AZ1339" s="9">
        <v>26.417467630074974</v>
      </c>
      <c r="BA1339" s="7">
        <f t="shared" si="310"/>
        <v>6.7709089663227091E-4</v>
      </c>
      <c r="BB1339" s="54">
        <f t="shared" si="304"/>
        <v>2269.8317951420167</v>
      </c>
      <c r="BC1339" s="55">
        <f t="shared" si="305"/>
        <v>4613.6716588866739</v>
      </c>
      <c r="BD1339" s="55">
        <f t="shared" si="306"/>
        <v>67.924013860244401</v>
      </c>
      <c r="BE1339" s="55">
        <f t="shared" si="307"/>
        <v>66.564310425739222</v>
      </c>
      <c r="BF1339" s="56">
        <f t="shared" si="308"/>
        <v>1.1845554569837071</v>
      </c>
      <c r="BG1339" s="56">
        <f t="shared" si="311"/>
        <v>1.256522092916938E-3</v>
      </c>
      <c r="BH1339" s="56">
        <f t="shared" si="312"/>
        <v>3.5447455379997841E-2</v>
      </c>
      <c r="BI1339" s="56">
        <f t="shared" si="309"/>
        <v>3.4737867944193167E-2</v>
      </c>
      <c r="BJ1339" s="57">
        <f t="shared" si="313"/>
        <v>5.5029507461986676E-2</v>
      </c>
      <c r="BK1339" s="57">
        <f t="shared" si="314"/>
        <v>1.6467409768294715E-3</v>
      </c>
      <c r="BL1339" s="58">
        <f t="shared" si="315"/>
        <v>97.094817509959469</v>
      </c>
      <c r="BM1339" s="58">
        <f t="shared" si="315"/>
        <v>2.9055323590144591</v>
      </c>
    </row>
    <row r="1340" spans="47:65" x14ac:dyDescent="0.2">
      <c r="AU1340" s="2">
        <v>-297</v>
      </c>
      <c r="AV1340" s="53">
        <v>1338</v>
      </c>
      <c r="AW1340" s="4" t="s">
        <v>3036</v>
      </c>
      <c r="AX1340" t="s">
        <v>1198</v>
      </c>
      <c r="AY1340" s="4">
        <v>34209</v>
      </c>
      <c r="AZ1340" s="9">
        <v>26.418159602314841</v>
      </c>
      <c r="BA1340" s="7">
        <f t="shared" si="310"/>
        <v>6.7710863217418187E-4</v>
      </c>
      <c r="BB1340" s="54">
        <f t="shared" si="304"/>
        <v>2270.8542340561712</v>
      </c>
      <c r="BC1340" s="55">
        <f t="shared" si="305"/>
        <v>4616.4490312427633</v>
      </c>
      <c r="BD1340" s="55">
        <f t="shared" si="306"/>
        <v>67.944455485659489</v>
      </c>
      <c r="BE1340" s="55">
        <f t="shared" si="307"/>
        <v>66.584342850538732</v>
      </c>
      <c r="BF1340" s="56">
        <f t="shared" si="308"/>
        <v>1.1850890364312172</v>
      </c>
      <c r="BG1340" s="56">
        <f t="shared" si="311"/>
        <v>1.2572785034252849E-3</v>
      </c>
      <c r="BH1340" s="56">
        <f t="shared" si="312"/>
        <v>3.5458123236083501E-2</v>
      </c>
      <c r="BI1340" s="56">
        <f t="shared" si="309"/>
        <v>3.4748322251053239E-2</v>
      </c>
      <c r="BJ1340" s="57">
        <f t="shared" si="313"/>
        <v>0.12899673898828057</v>
      </c>
      <c r="BK1340" s="57">
        <f t="shared" si="314"/>
        <v>3.8596106515958171E-3</v>
      </c>
      <c r="BL1340" s="58">
        <f t="shared" si="315"/>
        <v>227.60361502597394</v>
      </c>
      <c r="BM1340" s="58">
        <f t="shared" si="315"/>
        <v>6.8099499552137619</v>
      </c>
    </row>
    <row r="1341" spans="47:65" x14ac:dyDescent="0.2">
      <c r="AU1341" s="2">
        <v>-296</v>
      </c>
      <c r="AV1341" s="53">
        <v>1339</v>
      </c>
      <c r="AW1341" s="4" t="s">
        <v>3161</v>
      </c>
      <c r="AX1341" t="s">
        <v>3162</v>
      </c>
      <c r="AY1341" s="5">
        <v>16587.764999999996</v>
      </c>
      <c r="AZ1341" s="9">
        <v>26.419397886709724</v>
      </c>
      <c r="BA1341" s="7">
        <f t="shared" si="310"/>
        <v>6.7714036992826783E-4</v>
      </c>
      <c r="BB1341" s="54">
        <f t="shared" si="304"/>
        <v>2272.6850383303899</v>
      </c>
      <c r="BC1341" s="55">
        <f t="shared" si="305"/>
        <v>4621.4228340197842</v>
      </c>
      <c r="BD1341" s="55">
        <f t="shared" si="306"/>
        <v>67.981047609019555</v>
      </c>
      <c r="BE1341" s="55">
        <f t="shared" si="307"/>
        <v>66.620202472490519</v>
      </c>
      <c r="BF1341" s="56">
        <f t="shared" si="308"/>
        <v>1.1860444769173091</v>
      </c>
      <c r="BG1341" s="56">
        <f t="shared" si="311"/>
        <v>1.2586331063397234E-3</v>
      </c>
      <c r="BH1341" s="56">
        <f t="shared" si="312"/>
        <v>3.5477219540709828E-2</v>
      </c>
      <c r="BI1341" s="56">
        <f t="shared" si="309"/>
        <v>3.4767036285705946E-2</v>
      </c>
      <c r="BJ1341" s="57">
        <f t="shared" si="313"/>
        <v>6.2600272206921007E-2</v>
      </c>
      <c r="BK1341" s="57">
        <f t="shared" si="314"/>
        <v>1.8725129146636311E-3</v>
      </c>
      <c r="BL1341" s="58">
        <f t="shared" si="315"/>
        <v>110.45277863341697</v>
      </c>
      <c r="BM1341" s="58">
        <f t="shared" si="315"/>
        <v>3.3038874618294427</v>
      </c>
    </row>
    <row r="1342" spans="47:65" x14ac:dyDescent="0.2">
      <c r="AU1342" s="2">
        <v>-295</v>
      </c>
      <c r="AV1342" s="53">
        <v>1340</v>
      </c>
      <c r="AW1342" s="4" t="s">
        <v>1743</v>
      </c>
      <c r="AX1342" t="s">
        <v>252</v>
      </c>
      <c r="AY1342" s="4">
        <v>23224</v>
      </c>
      <c r="AZ1342" s="9">
        <v>26.421512839986761</v>
      </c>
      <c r="BA1342" s="7">
        <f t="shared" si="310"/>
        <v>6.7719457707751988E-4</v>
      </c>
      <c r="BB1342" s="54">
        <f t="shared" si="304"/>
        <v>2275.8154124548705</v>
      </c>
      <c r="BC1342" s="55">
        <f t="shared" si="305"/>
        <v>4629.9289138830682</v>
      </c>
      <c r="BD1342" s="55">
        <f t="shared" si="306"/>
        <v>68.043580989561889</v>
      </c>
      <c r="BE1342" s="55">
        <f t="shared" si="307"/>
        <v>66.681484059337777</v>
      </c>
      <c r="BF1342" s="56">
        <f t="shared" si="308"/>
        <v>1.1876781229696236</v>
      </c>
      <c r="BG1342" s="56">
        <f t="shared" si="311"/>
        <v>1.26094971620326E-3</v>
      </c>
      <c r="BH1342" s="56">
        <f t="shared" si="312"/>
        <v>3.5509853790226455E-2</v>
      </c>
      <c r="BI1342" s="56">
        <f t="shared" si="309"/>
        <v>3.4799017262563486E-2</v>
      </c>
      <c r="BJ1342" s="57">
        <f t="shared" si="313"/>
        <v>8.7765362674436104E-2</v>
      </c>
      <c r="BK1342" s="57">
        <f t="shared" si="314"/>
        <v>2.6240570876416938E-3</v>
      </c>
      <c r="BL1342" s="58">
        <f t="shared" si="315"/>
        <v>154.85440930861159</v>
      </c>
      <c r="BM1342" s="58">
        <f t="shared" si="315"/>
        <v>4.6299223055246257</v>
      </c>
    </row>
    <row r="1343" spans="47:65" x14ac:dyDescent="0.2">
      <c r="AU1343" s="2">
        <v>-294</v>
      </c>
      <c r="AV1343" s="53">
        <v>1341</v>
      </c>
      <c r="AW1343" s="4" t="s">
        <v>1915</v>
      </c>
      <c r="AX1343" t="s">
        <v>375</v>
      </c>
      <c r="AY1343" s="4">
        <v>23243</v>
      </c>
      <c r="AZ1343" s="9">
        <v>26.432046659341221</v>
      </c>
      <c r="BA1343" s="7">
        <f t="shared" si="310"/>
        <v>6.7746456333402062E-4</v>
      </c>
      <c r="BB1343" s="54">
        <f t="shared" si="304"/>
        <v>2291.4710174470574</v>
      </c>
      <c r="BC1343" s="55">
        <f t="shared" si="305"/>
        <v>4672.5013218664817</v>
      </c>
      <c r="BD1343" s="55">
        <f t="shared" si="306"/>
        <v>68.355697069567526</v>
      </c>
      <c r="BE1343" s="55">
        <f t="shared" si="307"/>
        <v>66.987352197241222</v>
      </c>
      <c r="BF1343" s="56">
        <f t="shared" si="308"/>
        <v>1.1958483020840265</v>
      </c>
      <c r="BG1343" s="56">
        <f t="shared" si="311"/>
        <v>1.2725442064781456E-3</v>
      </c>
      <c r="BH1343" s="56">
        <f t="shared" si="312"/>
        <v>3.567273758037285E-2</v>
      </c>
      <c r="BI1343" s="56">
        <f t="shared" si="309"/>
        <v>3.4958640443739641E-2</v>
      </c>
      <c r="BJ1343" s="57">
        <f t="shared" si="313"/>
        <v>8.8441407511630973E-2</v>
      </c>
      <c r="BK1343" s="57">
        <f t="shared" si="314"/>
        <v>2.6382502830024882E-3</v>
      </c>
      <c r="BL1343" s="58">
        <f t="shared" si="315"/>
        <v>156.04723208903224</v>
      </c>
      <c r="BM1343" s="58">
        <f t="shared" si="315"/>
        <v>4.6549649740309995</v>
      </c>
    </row>
    <row r="1344" spans="47:65" x14ac:dyDescent="0.2">
      <c r="AU1344" s="2">
        <v>-293</v>
      </c>
      <c r="AV1344" s="53">
        <v>1342</v>
      </c>
      <c r="AW1344" s="4" t="s">
        <v>2139</v>
      </c>
      <c r="AX1344" t="s">
        <v>539</v>
      </c>
      <c r="AY1344" s="4">
        <v>25801</v>
      </c>
      <c r="AZ1344" s="9">
        <v>26.43290686031122</v>
      </c>
      <c r="BA1344" s="7">
        <f t="shared" si="310"/>
        <v>6.7748661064961566E-4</v>
      </c>
      <c r="BB1344" s="54">
        <f t="shared" si="304"/>
        <v>2292.7542147482445</v>
      </c>
      <c r="BC1344" s="55">
        <f t="shared" si="305"/>
        <v>4675.9930674360685</v>
      </c>
      <c r="BD1344" s="55">
        <f t="shared" si="306"/>
        <v>68.381233298589081</v>
      </c>
      <c r="BE1344" s="55">
        <f t="shared" si="307"/>
        <v>67.012377241832823</v>
      </c>
      <c r="BF1344" s="56">
        <f t="shared" si="308"/>
        <v>1.1965179633200527</v>
      </c>
      <c r="BG1344" s="56">
        <f t="shared" si="311"/>
        <v>1.2734951747687539E-3</v>
      </c>
      <c r="BH1344" s="56">
        <f t="shared" si="312"/>
        <v>3.5686064153514517E-2</v>
      </c>
      <c r="BI1344" s="56">
        <f t="shared" si="309"/>
        <v>3.4971700245437144E-2</v>
      </c>
      <c r="BJ1344" s="57">
        <f t="shared" si="313"/>
        <v>9.8229771536924859E-2</v>
      </c>
      <c r="BK1344" s="57">
        <f t="shared" si="314"/>
        <v>2.9296960315790248E-3</v>
      </c>
      <c r="BL1344" s="58">
        <f t="shared" si="315"/>
        <v>173.31795578964832</v>
      </c>
      <c r="BM1344" s="58">
        <f t="shared" si="315"/>
        <v>5.1691958490145709</v>
      </c>
    </row>
    <row r="1345" spans="47:65" x14ac:dyDescent="0.2">
      <c r="AU1345" s="2">
        <v>-292</v>
      </c>
      <c r="AV1345" s="53">
        <v>1343</v>
      </c>
      <c r="AW1345" s="4" t="s">
        <v>2027</v>
      </c>
      <c r="AX1345" t="s">
        <v>452</v>
      </c>
      <c r="AY1345" s="4">
        <v>46754</v>
      </c>
      <c r="AZ1345" s="9">
        <v>26.433103254037459</v>
      </c>
      <c r="BA1345" s="7">
        <f t="shared" si="310"/>
        <v>6.7749164430409208E-4</v>
      </c>
      <c r="BB1345" s="54">
        <f t="shared" si="304"/>
        <v>2293.0472841295682</v>
      </c>
      <c r="BC1345" s="55">
        <f t="shared" si="305"/>
        <v>4676.7905964248948</v>
      </c>
      <c r="BD1345" s="55">
        <f t="shared" si="306"/>
        <v>68.387064540195723</v>
      </c>
      <c r="BE1345" s="55">
        <f t="shared" si="307"/>
        <v>67.018091753599904</v>
      </c>
      <c r="BF1345" s="56">
        <f t="shared" si="308"/>
        <v>1.1966709072235029</v>
      </c>
      <c r="BG1345" s="56">
        <f t="shared" si="311"/>
        <v>1.2737123798210379E-3</v>
      </c>
      <c r="BH1345" s="56">
        <f t="shared" si="312"/>
        <v>3.5689107299301255E-2</v>
      </c>
      <c r="BI1345" s="56">
        <f t="shared" si="309"/>
        <v>3.4974682473507997E-2</v>
      </c>
      <c r="BJ1345" s="57">
        <f t="shared" si="313"/>
        <v>0.17802495206055932</v>
      </c>
      <c r="BK1345" s="57">
        <f t="shared" si="314"/>
        <v>5.3093557950561979E-3</v>
      </c>
      <c r="BL1345" s="58">
        <f t="shared" si="315"/>
        <v>314.10966642722798</v>
      </c>
      <c r="BM1345" s="58">
        <f t="shared" si="315"/>
        <v>9.3679001646985895</v>
      </c>
    </row>
    <row r="1346" spans="47:65" x14ac:dyDescent="0.2">
      <c r="AU1346" s="2">
        <v>-291</v>
      </c>
      <c r="AV1346" s="53">
        <v>1344</v>
      </c>
      <c r="AW1346" s="4" t="s">
        <v>1388</v>
      </c>
      <c r="AX1346" t="s">
        <v>11</v>
      </c>
      <c r="AY1346" s="4">
        <v>25643</v>
      </c>
      <c r="AZ1346" s="9">
        <v>26.437644692296573</v>
      </c>
      <c r="BA1346" s="7">
        <f t="shared" si="310"/>
        <v>6.7760804329228892E-4</v>
      </c>
      <c r="BB1346" s="54">
        <f t="shared" si="304"/>
        <v>2299.8347245087116</v>
      </c>
      <c r="BC1346" s="55">
        <f t="shared" si="305"/>
        <v>4695.2663598214585</v>
      </c>
      <c r="BD1346" s="55">
        <f t="shared" si="306"/>
        <v>68.522013687730009</v>
      </c>
      <c r="BE1346" s="55">
        <f t="shared" si="307"/>
        <v>67.150339488055707</v>
      </c>
      <c r="BF1346" s="56">
        <f t="shared" si="308"/>
        <v>1.2002130637644737</v>
      </c>
      <c r="BG1346" s="56">
        <f t="shared" si="311"/>
        <v>1.2787442083965841E-3</v>
      </c>
      <c r="BH1346" s="56">
        <f t="shared" si="312"/>
        <v>3.5759533112116888E-2</v>
      </c>
      <c r="BI1346" s="56">
        <f t="shared" si="309"/>
        <v>3.5043698501858303E-2</v>
      </c>
      <c r="BJ1346" s="57">
        <f t="shared" si="313"/>
        <v>9.7929729309180036E-2</v>
      </c>
      <c r="BK1346" s="57">
        <f t="shared" si="314"/>
        <v>2.9177497759510086E-3</v>
      </c>
      <c r="BL1346" s="58">
        <f t="shared" si="315"/>
        <v>172.7885571689485</v>
      </c>
      <c r="BM1346" s="58">
        <f t="shared" si="315"/>
        <v>5.1481177117819072</v>
      </c>
    </row>
    <row r="1347" spans="47:65" x14ac:dyDescent="0.2">
      <c r="AU1347" s="2">
        <v>-290</v>
      </c>
      <c r="AV1347" s="53">
        <v>1345</v>
      </c>
      <c r="AW1347" s="4" t="s">
        <v>2655</v>
      </c>
      <c r="AX1347" t="s">
        <v>927</v>
      </c>
      <c r="AY1347" s="4">
        <v>96273</v>
      </c>
      <c r="AZ1347" s="9">
        <v>26.441158854642122</v>
      </c>
      <c r="BA1347" s="7">
        <f t="shared" si="310"/>
        <v>6.776981127632457E-4</v>
      </c>
      <c r="BB1347" s="54">
        <f t="shared" ref="BB1347:BB1410" si="316">IFERROR(IF(MATCH(AX1347,$S$4:$S$20,0),VLOOKUP(AX1347,$S$4:$AT$20,20,FALSE)),AVERAGE((2^(($AE$23*AZ1347)+$AE$24)),(2^(($AF$23*AZ1347)+$AF$24)),(2^(($AG$23*AZ1347)+$AG$24)),(2^(($AH$23*AZ1347)+$AH$24))))</f>
        <v>2305.1006281040941</v>
      </c>
      <c r="BC1347" s="55">
        <f t="shared" ref="BC1347:BC1410" si="317">IFERROR(IF(MATCH(AX1347,$S$4:$S$20,0),VLOOKUP(AX1347,$S$4:$AT$20,21,FALSE)),_xlfn.VAR.S((2^(($AE$23*AZ1347)+$AE$24)),(2^(($AF$23*AZ1347)+$AF$24)),(2^(($AG$23*AZ1347)+$AG$24)),(2^(($AH$23*AZ1347)+$AH$24))))</f>
        <v>4709.6071505348509</v>
      </c>
      <c r="BD1347" s="55">
        <f t="shared" ref="BD1347:BD1410" si="318">SQRT(BC1347)</f>
        <v>68.626577581392255</v>
      </c>
      <c r="BE1347" s="55">
        <f t="shared" ref="BE1347:BE1410" si="319">_xlfn.CONFIDENCE.NORM(0.05,BD1347,4)</f>
        <v>67.252810220886346</v>
      </c>
      <c r="BF1347" s="56">
        <f t="shared" ref="BF1347:BF1410" si="320">IFERROR(IF(MATCH(AX1347,$S$4:$S$20,0),VLOOKUP(AX1347,$S$4:$AT$20,24,FALSE)),AVERAGE((2^(($AI$23*AZ1347)+$AI$24)),(2^(($AJ$23*AZ1347)+$AJ$24)),(2^(($AK$23*AZ1347)+$AK$24)),(2^(($AL$23*AZ1347)+$AL$24))))</f>
        <v>1.2029611770181572</v>
      </c>
      <c r="BG1347" s="56">
        <f t="shared" si="311"/>
        <v>1.2826498873641239E-3</v>
      </c>
      <c r="BH1347" s="56">
        <f t="shared" si="312"/>
        <v>3.5814101794741746E-2</v>
      </c>
      <c r="BI1347" s="56">
        <f t="shared" ref="BI1347:BI1410" si="321">_xlfn.CONFIDENCE.NORM(0.05,BH1347,4)</f>
        <v>3.509717482817256E-2</v>
      </c>
      <c r="BJ1347" s="57">
        <f t="shared" si="313"/>
        <v>0.36850508837233686</v>
      </c>
      <c r="BK1347" s="57">
        <f t="shared" si="314"/>
        <v>1.097099307856381E-2</v>
      </c>
      <c r="BL1347" s="58">
        <f t="shared" si="315"/>
        <v>650.19543072813474</v>
      </c>
      <c r="BM1347" s="58">
        <f t="shared" si="315"/>
        <v>19.357370617972901</v>
      </c>
    </row>
    <row r="1348" spans="47:65" x14ac:dyDescent="0.2">
      <c r="AU1348" s="2">
        <v>-289</v>
      </c>
      <c r="AV1348" s="53">
        <v>1346</v>
      </c>
      <c r="AW1348" s="4" t="s">
        <v>2455</v>
      </c>
      <c r="AX1348" t="s">
        <v>774</v>
      </c>
      <c r="AY1348" s="4">
        <v>9380</v>
      </c>
      <c r="AZ1348" s="9">
        <v>26.441174688626798</v>
      </c>
      <c r="BA1348" s="7">
        <f t="shared" ref="BA1348:BA1411" si="322">AZ1348/$AZ$1637</f>
        <v>6.7769851859498674E-4</v>
      </c>
      <c r="BB1348" s="54">
        <f t="shared" si="316"/>
        <v>2305.1243822882261</v>
      </c>
      <c r="BC1348" s="55">
        <f t="shared" si="317"/>
        <v>4709.6718542668004</v>
      </c>
      <c r="BD1348" s="55">
        <f t="shared" si="318"/>
        <v>68.627048998676898</v>
      </c>
      <c r="BE1348" s="55">
        <f t="shared" si="319"/>
        <v>67.253272201336131</v>
      </c>
      <c r="BF1348" s="56">
        <f t="shared" si="320"/>
        <v>1.2029735735968379</v>
      </c>
      <c r="BG1348" s="56">
        <f t="shared" ref="BG1348:BG1411" si="323">IFERROR(IF(MATCH(AX1348,$S$4:$S$20,0),VLOOKUP(AX1348,$S$4:$AT$20,25,FALSE)),_xlfn.VAR.S((2^(($AI$23*AZ1348)+$AI$24)),(2^(($AJ$23*AZ1348)+$AJ$24)),(2^(($AK$23*AZ1348)+$AK$24)),(2^(($AL$23*AZ1348)+$AL$24))))</f>
        <v>1.2826675092658809E-3</v>
      </c>
      <c r="BH1348" s="56">
        <f t="shared" ref="BH1348:BH1411" si="324">SQRT(BG1348)</f>
        <v>3.5814347812934987E-2</v>
      </c>
      <c r="BI1348" s="56">
        <f t="shared" si="321"/>
        <v>3.5097415921571708E-2</v>
      </c>
      <c r="BJ1348" s="57">
        <f t="shared" ref="BJ1348:BJ1411" si="325">(((BF1348*0.000001)*AY1348)*1000000000000000)*$S$24</f>
        <v>3.5904286239643507E-2</v>
      </c>
      <c r="BK1348" s="57">
        <f t="shared" ref="BK1348:BK1411" si="326">((((BH1348*0.000001)*AY1348)*1000000000000000)*$S$24)</f>
        <v>1.0689250566968136E-3</v>
      </c>
      <c r="BL1348" s="58">
        <f t="shared" ref="BL1348:BM1411" si="327">((BJ1348/$S$26)*0.000000001)/0.45</f>
        <v>63.350014947374909</v>
      </c>
      <c r="BM1348" s="58">
        <f t="shared" si="327"/>
        <v>1.8860260267365523</v>
      </c>
    </row>
    <row r="1349" spans="47:65" x14ac:dyDescent="0.2">
      <c r="AU1349" s="2">
        <v>-288</v>
      </c>
      <c r="AV1349" s="53">
        <v>1347</v>
      </c>
      <c r="AW1349" s="4" t="s">
        <v>2030</v>
      </c>
      <c r="AX1349" t="s">
        <v>454</v>
      </c>
      <c r="AY1349" s="4">
        <v>27127</v>
      </c>
      <c r="AZ1349" s="9">
        <v>26.461425947085832</v>
      </c>
      <c r="BA1349" s="7">
        <f t="shared" si="322"/>
        <v>6.7821756693603019E-4</v>
      </c>
      <c r="BB1349" s="54">
        <f t="shared" si="316"/>
        <v>2335.7066366866811</v>
      </c>
      <c r="BC1349" s="55">
        <f t="shared" si="317"/>
        <v>4793.071949677912</v>
      </c>
      <c r="BD1349" s="55">
        <f t="shared" si="318"/>
        <v>69.232015351843629</v>
      </c>
      <c r="BE1349" s="55">
        <f t="shared" si="319"/>
        <v>67.846128333368796</v>
      </c>
      <c r="BF1349" s="56">
        <f t="shared" si="320"/>
        <v>1.2189335123077523</v>
      </c>
      <c r="BG1349" s="56">
        <f t="shared" si="323"/>
        <v>1.305381319476792E-3</v>
      </c>
      <c r="BH1349" s="56">
        <f t="shared" si="324"/>
        <v>3.6130061160712032E-2</v>
      </c>
      <c r="BI1349" s="56">
        <f t="shared" si="321"/>
        <v>3.5406809317112493E-2</v>
      </c>
      <c r="BJ1349" s="57">
        <f t="shared" si="325"/>
        <v>0.10521294011159549</v>
      </c>
      <c r="BK1349" s="57">
        <f t="shared" si="326"/>
        <v>3.1185867996469732E-3</v>
      </c>
      <c r="BL1349" s="58">
        <f t="shared" si="327"/>
        <v>185.63915417339359</v>
      </c>
      <c r="BM1349" s="58">
        <f t="shared" si="327"/>
        <v>5.5024773101932416</v>
      </c>
    </row>
    <row r="1350" spans="47:65" x14ac:dyDescent="0.2">
      <c r="AU1350" s="2">
        <v>-287</v>
      </c>
      <c r="AV1350" s="53">
        <v>1348</v>
      </c>
      <c r="AW1350" s="4" t="s">
        <v>2695</v>
      </c>
      <c r="AX1350" t="s">
        <v>959</v>
      </c>
      <c r="AY1350" s="4">
        <v>40337</v>
      </c>
      <c r="AZ1350" s="9">
        <v>26.462913637074138</v>
      </c>
      <c r="BA1350" s="7">
        <f t="shared" si="322"/>
        <v>6.7825569706122602E-4</v>
      </c>
      <c r="BB1350" s="54">
        <f t="shared" si="316"/>
        <v>2337.9691922687407</v>
      </c>
      <c r="BC1350" s="55">
        <f t="shared" si="317"/>
        <v>4799.249751104976</v>
      </c>
      <c r="BD1350" s="55">
        <f t="shared" si="318"/>
        <v>69.276617636147449</v>
      </c>
      <c r="BE1350" s="55">
        <f t="shared" si="319"/>
        <v>67.889837768800646</v>
      </c>
      <c r="BF1350" s="56">
        <f t="shared" si="320"/>
        <v>1.2201142705327421</v>
      </c>
      <c r="BG1350" s="56">
        <f t="shared" si="323"/>
        <v>1.3070638284529877E-3</v>
      </c>
      <c r="BH1350" s="56">
        <f t="shared" si="324"/>
        <v>3.6153337722165953E-2</v>
      </c>
      <c r="BI1350" s="56">
        <f t="shared" si="321"/>
        <v>3.54296199281793E-2</v>
      </c>
      <c r="BJ1350" s="57">
        <f t="shared" si="325"/>
        <v>0.15659989767848698</v>
      </c>
      <c r="BK1350" s="57">
        <f t="shared" si="326"/>
        <v>4.6402284808577197E-3</v>
      </c>
      <c r="BL1350" s="58">
        <f t="shared" si="327"/>
        <v>276.30700670316492</v>
      </c>
      <c r="BM1350" s="58">
        <f t="shared" si="327"/>
        <v>8.1872827567032562</v>
      </c>
    </row>
    <row r="1351" spans="47:65" x14ac:dyDescent="0.2">
      <c r="AU1351" s="2">
        <v>-286</v>
      </c>
      <c r="AV1351" s="53">
        <v>1349</v>
      </c>
      <c r="AW1351" s="4" t="s">
        <v>1520</v>
      </c>
      <c r="AX1351" t="s">
        <v>113</v>
      </c>
      <c r="AY1351" s="4">
        <v>102760</v>
      </c>
      <c r="AZ1351" s="9">
        <v>26.470748064083804</v>
      </c>
      <c r="BA1351" s="7">
        <f t="shared" si="322"/>
        <v>6.7845649674736007E-4</v>
      </c>
      <c r="BB1351" s="54">
        <f t="shared" si="316"/>
        <v>2349.9204069079192</v>
      </c>
      <c r="BC1351" s="55">
        <f t="shared" si="317"/>
        <v>4831.899157023593</v>
      </c>
      <c r="BD1351" s="55">
        <f t="shared" si="318"/>
        <v>69.511863426494273</v>
      </c>
      <c r="BE1351" s="55">
        <f t="shared" si="319"/>
        <v>68.12037440709787</v>
      </c>
      <c r="BF1351" s="56">
        <f t="shared" si="320"/>
        <v>1.2263512421659368</v>
      </c>
      <c r="BG1351" s="56">
        <f t="shared" si="323"/>
        <v>1.3159558135984427E-3</v>
      </c>
      <c r="BH1351" s="56">
        <f t="shared" si="324"/>
        <v>3.6276105270528186E-2</v>
      </c>
      <c r="BI1351" s="56">
        <f t="shared" si="321"/>
        <v>3.5549929914809431E-2</v>
      </c>
      <c r="BJ1351" s="57">
        <f t="shared" si="325"/>
        <v>0.40098335298613047</v>
      </c>
      <c r="BK1351" s="57">
        <f t="shared" si="326"/>
        <v>1.1861295381381452E-2</v>
      </c>
      <c r="BL1351" s="58">
        <f t="shared" si="327"/>
        <v>707.50052614253264</v>
      </c>
      <c r="BM1351" s="58">
        <f t="shared" si="327"/>
        <v>20.928232208556629</v>
      </c>
    </row>
    <row r="1352" spans="47:65" x14ac:dyDescent="0.2">
      <c r="AU1352" s="2">
        <v>-285</v>
      </c>
      <c r="AV1352" s="53">
        <v>1350</v>
      </c>
      <c r="AW1352" s="4" t="s">
        <v>2907</v>
      </c>
      <c r="AX1352" t="s">
        <v>1120</v>
      </c>
      <c r="AY1352" s="4">
        <v>49623</v>
      </c>
      <c r="AZ1352" s="9">
        <v>26.471942042195213</v>
      </c>
      <c r="BA1352" s="7">
        <f t="shared" si="322"/>
        <v>6.7848709891261429E-4</v>
      </c>
      <c r="BB1352" s="54">
        <f t="shared" si="316"/>
        <v>2351.7471469096813</v>
      </c>
      <c r="BC1352" s="55">
        <f t="shared" si="317"/>
        <v>4836.8921396956102</v>
      </c>
      <c r="BD1352" s="55">
        <f t="shared" si="318"/>
        <v>69.547768761446335</v>
      </c>
      <c r="BE1352" s="55">
        <f t="shared" si="319"/>
        <v>68.15556098877731</v>
      </c>
      <c r="BF1352" s="56">
        <f t="shared" si="320"/>
        <v>1.2273045616331357</v>
      </c>
      <c r="BG1352" s="56">
        <f t="shared" si="323"/>
        <v>1.3173156401099595E-3</v>
      </c>
      <c r="BH1352" s="56">
        <f t="shared" si="324"/>
        <v>3.6294843161390838E-2</v>
      </c>
      <c r="BI1352" s="56">
        <f t="shared" si="321"/>
        <v>3.5568292710427954E-2</v>
      </c>
      <c r="BJ1352" s="57">
        <f t="shared" si="325"/>
        <v>0.19378615104963851</v>
      </c>
      <c r="BK1352" s="57">
        <f t="shared" si="326"/>
        <v>5.7308007963704204E-3</v>
      </c>
      <c r="BL1352" s="58">
        <f t="shared" si="327"/>
        <v>341.91894203522651</v>
      </c>
      <c r="BM1352" s="58">
        <f t="shared" si="327"/>
        <v>10.111503503713678</v>
      </c>
    </row>
    <row r="1353" spans="47:65" x14ac:dyDescent="0.2">
      <c r="AU1353" s="2">
        <v>-284</v>
      </c>
      <c r="AV1353" s="53">
        <v>1351</v>
      </c>
      <c r="AW1353" s="4" t="s">
        <v>1661</v>
      </c>
      <c r="AX1353" t="s">
        <v>206</v>
      </c>
      <c r="AY1353" s="4">
        <v>36923</v>
      </c>
      <c r="AZ1353" s="9">
        <v>26.477645012991001</v>
      </c>
      <c r="BA1353" s="7">
        <f t="shared" si="322"/>
        <v>6.7863326847222762E-4</v>
      </c>
      <c r="BB1353" s="54">
        <f t="shared" si="316"/>
        <v>2360.4920809394971</v>
      </c>
      <c r="BC1353" s="55">
        <f t="shared" si="317"/>
        <v>4860.8036610181289</v>
      </c>
      <c r="BD1353" s="55">
        <f t="shared" si="318"/>
        <v>69.71946400409378</v>
      </c>
      <c r="BE1353" s="55">
        <f t="shared" si="319"/>
        <v>68.323819234730237</v>
      </c>
      <c r="BF1353" s="56">
        <f t="shared" si="320"/>
        <v>1.2318682739523275</v>
      </c>
      <c r="BG1353" s="56">
        <f t="shared" si="323"/>
        <v>1.3238278839448198E-3</v>
      </c>
      <c r="BH1353" s="56">
        <f t="shared" si="324"/>
        <v>3.6384445631956794E-2</v>
      </c>
      <c r="BI1353" s="56">
        <f t="shared" si="321"/>
        <v>3.5656101518045491E-2</v>
      </c>
      <c r="BJ1353" s="57">
        <f t="shared" si="325"/>
        <v>0.1447266877329223</v>
      </c>
      <c r="BK1353" s="57">
        <f t="shared" si="326"/>
        <v>4.2746456034758488E-3</v>
      </c>
      <c r="BL1353" s="58">
        <f t="shared" si="327"/>
        <v>255.35775227419535</v>
      </c>
      <c r="BM1353" s="58">
        <f t="shared" si="327"/>
        <v>7.5422433151149644</v>
      </c>
    </row>
    <row r="1354" spans="47:65" x14ac:dyDescent="0.2">
      <c r="AU1354" s="2">
        <v>-283</v>
      </c>
      <c r="AV1354" s="53">
        <v>1352</v>
      </c>
      <c r="AW1354" s="4" t="s">
        <v>2797</v>
      </c>
      <c r="AX1354" t="s">
        <v>1039</v>
      </c>
      <c r="AY1354" s="4">
        <v>23894</v>
      </c>
      <c r="AZ1354" s="9">
        <v>26.483417793593482</v>
      </c>
      <c r="BA1354" s="7">
        <f t="shared" si="322"/>
        <v>6.7878122728678655E-4</v>
      </c>
      <c r="BB1354" s="54">
        <f t="shared" si="316"/>
        <v>2369.3771819567046</v>
      </c>
      <c r="BC1354" s="55">
        <f t="shared" si="317"/>
        <v>4885.1139387392786</v>
      </c>
      <c r="BD1354" s="55">
        <f t="shared" si="318"/>
        <v>69.893590111964329</v>
      </c>
      <c r="BE1354" s="55">
        <f t="shared" si="319"/>
        <v>68.494459684827447</v>
      </c>
      <c r="BF1354" s="56">
        <f t="shared" si="320"/>
        <v>1.2365051351145999</v>
      </c>
      <c r="BG1354" s="56">
        <f t="shared" si="323"/>
        <v>1.3304487281011017E-3</v>
      </c>
      <c r="BH1354" s="56">
        <f t="shared" si="324"/>
        <v>3.6475316696378414E-2</v>
      </c>
      <c r="BI1354" s="56">
        <f t="shared" si="321"/>
        <v>3.5745153524797089E-2</v>
      </c>
      <c r="BJ1354" s="57">
        <f t="shared" si="325"/>
        <v>9.4009589389994874E-2</v>
      </c>
      <c r="BK1354" s="57">
        <f t="shared" si="326"/>
        <v>2.7731623978890754E-3</v>
      </c>
      <c r="BL1354" s="58">
        <f t="shared" si="327"/>
        <v>165.87180854404542</v>
      </c>
      <c r="BM1354" s="58">
        <f t="shared" si="327"/>
        <v>4.8930057594013681</v>
      </c>
    </row>
    <row r="1355" spans="47:65" x14ac:dyDescent="0.2">
      <c r="AU1355" s="2">
        <v>-282</v>
      </c>
      <c r="AV1355" s="53">
        <v>1353</v>
      </c>
      <c r="AW1355" s="4" t="s">
        <v>1767</v>
      </c>
      <c r="AX1355" t="s">
        <v>265</v>
      </c>
      <c r="AY1355" s="4">
        <v>56520</v>
      </c>
      <c r="AZ1355" s="9">
        <v>26.483950764199015</v>
      </c>
      <c r="BA1355" s="7">
        <f t="shared" si="322"/>
        <v>6.7879488754939133E-4</v>
      </c>
      <c r="BB1355" s="54">
        <f t="shared" si="316"/>
        <v>2370.1991814372695</v>
      </c>
      <c r="BC1355" s="55">
        <f t="shared" si="317"/>
        <v>4887.3637723282454</v>
      </c>
      <c r="BD1355" s="55">
        <f t="shared" si="318"/>
        <v>69.909682965439387</v>
      </c>
      <c r="BE1355" s="55">
        <f t="shared" si="319"/>
        <v>68.510230391437247</v>
      </c>
      <c r="BF1355" s="56">
        <f t="shared" si="320"/>
        <v>1.2369341113816632</v>
      </c>
      <c r="BG1355" s="56">
        <f t="shared" si="323"/>
        <v>1.3310614647279876E-3</v>
      </c>
      <c r="BH1355" s="56">
        <f t="shared" si="324"/>
        <v>3.6483715062038125E-2</v>
      </c>
      <c r="BI1355" s="56">
        <f t="shared" si="321"/>
        <v>3.5753383771908107E-2</v>
      </c>
      <c r="BJ1355" s="57">
        <f t="shared" si="325"/>
        <v>0.2224518857726385</v>
      </c>
      <c r="BK1355" s="57">
        <f t="shared" si="326"/>
        <v>6.5612801368025303E-3</v>
      </c>
      <c r="BL1355" s="58">
        <f t="shared" si="327"/>
        <v>392.49715743432381</v>
      </c>
      <c r="BM1355" s="58">
        <f t="shared" si="327"/>
        <v>11.576812639194284</v>
      </c>
    </row>
    <row r="1356" spans="47:65" x14ac:dyDescent="0.2">
      <c r="AU1356" s="2">
        <v>-281</v>
      </c>
      <c r="AV1356" s="53">
        <v>1354</v>
      </c>
      <c r="AW1356" s="4" t="s">
        <v>1724</v>
      </c>
      <c r="AX1356" t="s">
        <v>237</v>
      </c>
      <c r="AY1356" s="4">
        <v>40342</v>
      </c>
      <c r="AZ1356" s="9">
        <v>26.488932705253966</v>
      </c>
      <c r="BA1356" s="7">
        <f t="shared" si="322"/>
        <v>6.7892257681102309E-4</v>
      </c>
      <c r="BB1356" s="54">
        <f t="shared" si="316"/>
        <v>2377.8966248880643</v>
      </c>
      <c r="BC1356" s="55">
        <f t="shared" si="317"/>
        <v>4908.4382696741277</v>
      </c>
      <c r="BD1356" s="55">
        <f t="shared" si="318"/>
        <v>70.060247428011039</v>
      </c>
      <c r="BE1356" s="55">
        <f t="shared" si="319"/>
        <v>68.65778085343328</v>
      </c>
      <c r="BF1356" s="56">
        <f t="shared" si="320"/>
        <v>1.2409511705593408</v>
      </c>
      <c r="BG1356" s="56">
        <f t="shared" si="323"/>
        <v>1.3368010520826987E-3</v>
      </c>
      <c r="BH1356" s="56">
        <f t="shared" si="324"/>
        <v>3.6562290027878433E-2</v>
      </c>
      <c r="BI1356" s="56">
        <f t="shared" si="321"/>
        <v>3.5830385823474843E-2</v>
      </c>
      <c r="BJ1356" s="57">
        <f t="shared" si="325"/>
        <v>0.15929402653826072</v>
      </c>
      <c r="BK1356" s="57">
        <f t="shared" si="326"/>
        <v>4.6932986052749346E-3</v>
      </c>
      <c r="BL1356" s="58">
        <f t="shared" si="327"/>
        <v>281.06056460423724</v>
      </c>
      <c r="BM1356" s="58">
        <f t="shared" si="327"/>
        <v>8.2809204119026933</v>
      </c>
    </row>
    <row r="1357" spans="47:65" x14ac:dyDescent="0.2">
      <c r="AU1357" s="2">
        <v>-280</v>
      </c>
      <c r="AV1357" s="53">
        <v>1355</v>
      </c>
      <c r="AW1357" s="4" t="s">
        <v>3016</v>
      </c>
      <c r="AX1357" t="s">
        <v>1178</v>
      </c>
      <c r="AY1357" s="4">
        <v>12355</v>
      </c>
      <c r="AZ1357" s="9">
        <v>26.493393645730649</v>
      </c>
      <c r="BA1357" s="7">
        <f t="shared" si="322"/>
        <v>6.7903691260692432E-4</v>
      </c>
      <c r="BB1357" s="54">
        <f t="shared" si="316"/>
        <v>2384.8102992509635</v>
      </c>
      <c r="BC1357" s="55">
        <f t="shared" si="317"/>
        <v>4927.3767166096341</v>
      </c>
      <c r="BD1357" s="55">
        <f t="shared" si="318"/>
        <v>70.195275600353867</v>
      </c>
      <c r="BE1357" s="55">
        <f t="shared" si="319"/>
        <v>68.790106030778389</v>
      </c>
      <c r="BF1357" s="56">
        <f t="shared" si="320"/>
        <v>1.2445592047369869</v>
      </c>
      <c r="BG1357" s="56">
        <f t="shared" si="323"/>
        <v>1.3419588913784451E-3</v>
      </c>
      <c r="BH1357" s="56">
        <f t="shared" si="324"/>
        <v>3.6632757081312417E-2</v>
      </c>
      <c r="BI1357" s="56">
        <f t="shared" si="321"/>
        <v>3.5899442266888473E-2</v>
      </c>
      <c r="BJ1357" s="57">
        <f t="shared" si="325"/>
        <v>4.8926672799223893E-2</v>
      </c>
      <c r="BK1357" s="57">
        <f t="shared" si="326"/>
        <v>1.4401234691198126E-3</v>
      </c>
      <c r="BL1357" s="58">
        <f t="shared" si="327"/>
        <v>86.326892351193834</v>
      </c>
      <c r="BM1357" s="58">
        <f t="shared" si="327"/>
        <v>2.5409735953495276</v>
      </c>
    </row>
    <row r="1358" spans="47:65" x14ac:dyDescent="0.2">
      <c r="AU1358" s="2">
        <v>-279</v>
      </c>
      <c r="AV1358" s="53">
        <v>1356</v>
      </c>
      <c r="AW1358" s="4" t="s">
        <v>2921</v>
      </c>
      <c r="AX1358" t="s">
        <v>1131</v>
      </c>
      <c r="AY1358" s="4">
        <v>51079</v>
      </c>
      <c r="AZ1358" s="9">
        <v>26.496266827016957</v>
      </c>
      <c r="BA1358" s="7">
        <f t="shared" si="322"/>
        <v>6.7911055346155037E-4</v>
      </c>
      <c r="BB1358" s="54">
        <f t="shared" si="316"/>
        <v>2389.2738656348133</v>
      </c>
      <c r="BC1358" s="55">
        <f t="shared" si="317"/>
        <v>4939.608536119099</v>
      </c>
      <c r="BD1358" s="55">
        <f t="shared" si="318"/>
        <v>70.28234868101022</v>
      </c>
      <c r="BE1358" s="55">
        <f t="shared" si="319"/>
        <v>68.875436081833087</v>
      </c>
      <c r="BF1358" s="56">
        <f t="shared" si="320"/>
        <v>1.246888602857551</v>
      </c>
      <c r="BG1358" s="56">
        <f t="shared" si="323"/>
        <v>1.3452901972421582E-3</v>
      </c>
      <c r="BH1358" s="56">
        <f t="shared" si="324"/>
        <v>3.6678197846161394E-2</v>
      </c>
      <c r="BI1358" s="56">
        <f t="shared" si="321"/>
        <v>3.594397339815545E-2</v>
      </c>
      <c r="BJ1358" s="57">
        <f t="shared" si="325"/>
        <v>0.20265504217829097</v>
      </c>
      <c r="BK1358" s="57">
        <f t="shared" si="326"/>
        <v>5.9612556522715375E-3</v>
      </c>
      <c r="BL1358" s="58">
        <f t="shared" si="327"/>
        <v>357.56733514953993</v>
      </c>
      <c r="BM1358" s="58">
        <f t="shared" si="327"/>
        <v>10.518121211376423</v>
      </c>
    </row>
    <row r="1359" spans="47:65" x14ac:dyDescent="0.2">
      <c r="AU1359" s="2">
        <v>-278</v>
      </c>
      <c r="AV1359" s="53">
        <v>1357</v>
      </c>
      <c r="AW1359" s="4" t="s">
        <v>2598</v>
      </c>
      <c r="AX1359" t="s">
        <v>895</v>
      </c>
      <c r="AY1359" s="4">
        <v>28924</v>
      </c>
      <c r="AZ1359" s="9">
        <v>26.498170651371858</v>
      </c>
      <c r="BA1359" s="7">
        <f t="shared" si="322"/>
        <v>6.7915934928700723E-4</v>
      </c>
      <c r="BB1359" s="54">
        <f t="shared" si="316"/>
        <v>2392.2361105930108</v>
      </c>
      <c r="BC1359" s="55">
        <f t="shared" si="317"/>
        <v>4947.7282868185503</v>
      </c>
      <c r="BD1359" s="55">
        <f t="shared" si="318"/>
        <v>70.340090182047319</v>
      </c>
      <c r="BE1359" s="55">
        <f t="shared" si="319"/>
        <v>68.932021713056088</v>
      </c>
      <c r="BF1359" s="56">
        <f t="shared" si="320"/>
        <v>1.2484345074649603</v>
      </c>
      <c r="BG1359" s="56">
        <f t="shared" si="323"/>
        <v>1.347501591311113E-3</v>
      </c>
      <c r="BH1359" s="56">
        <f t="shared" si="324"/>
        <v>3.6708331361029106E-2</v>
      </c>
      <c r="BI1359" s="56">
        <f t="shared" si="321"/>
        <v>3.5973503700089608E-2</v>
      </c>
      <c r="BJ1359" s="57">
        <f t="shared" si="325"/>
        <v>0.11489774078811349</v>
      </c>
      <c r="BK1359" s="57">
        <f t="shared" si="326"/>
        <v>3.3783945543511638E-3</v>
      </c>
      <c r="BL1359" s="58">
        <f t="shared" si="327"/>
        <v>202.72714928140758</v>
      </c>
      <c r="BM1359" s="58">
        <f t="shared" si="327"/>
        <v>5.9608856749801031</v>
      </c>
    </row>
    <row r="1360" spans="47:65" x14ac:dyDescent="0.2">
      <c r="AU1360" s="2">
        <v>-277</v>
      </c>
      <c r="AV1360" s="53">
        <v>1358</v>
      </c>
      <c r="AW1360" s="4" t="s">
        <v>1709</v>
      </c>
      <c r="AX1360" t="s">
        <v>227</v>
      </c>
      <c r="AY1360" s="4">
        <v>85383</v>
      </c>
      <c r="AZ1360" s="9">
        <v>26.50796977216427</v>
      </c>
      <c r="BA1360" s="7">
        <f t="shared" si="322"/>
        <v>6.7941050490784305E-4</v>
      </c>
      <c r="BB1360" s="54">
        <f t="shared" si="316"/>
        <v>2407.5412025767769</v>
      </c>
      <c r="BC1360" s="55">
        <f t="shared" si="317"/>
        <v>4989.7073038591616</v>
      </c>
      <c r="BD1360" s="55">
        <f t="shared" si="318"/>
        <v>70.63786027237208</v>
      </c>
      <c r="BE1360" s="55">
        <f t="shared" si="319"/>
        <v>69.223831039410967</v>
      </c>
      <c r="BF1360" s="56">
        <f t="shared" si="320"/>
        <v>1.2564217646123002</v>
      </c>
      <c r="BG1360" s="56">
        <f t="shared" si="323"/>
        <v>1.3589344730267148E-3</v>
      </c>
      <c r="BH1360" s="56">
        <f t="shared" si="324"/>
        <v>3.6863728420043394E-2</v>
      </c>
      <c r="BI1360" s="56">
        <f t="shared" si="321"/>
        <v>3.6125790019575332E-2</v>
      </c>
      <c r="BJ1360" s="57">
        <f t="shared" si="325"/>
        <v>0.3413455402763298</v>
      </c>
      <c r="BK1360" s="57">
        <f t="shared" si="326"/>
        <v>1.0015163417693965E-2</v>
      </c>
      <c r="BL1360" s="58">
        <f t="shared" si="327"/>
        <v>602.27475166597162</v>
      </c>
      <c r="BM1360" s="58">
        <f t="shared" si="327"/>
        <v>17.670891658355231</v>
      </c>
    </row>
    <row r="1361" spans="47:65" x14ac:dyDescent="0.2">
      <c r="AU1361" s="2">
        <v>-276</v>
      </c>
      <c r="AV1361" s="53">
        <v>1359</v>
      </c>
      <c r="AW1361" s="4" t="s">
        <v>2782</v>
      </c>
      <c r="AX1361" t="s">
        <v>1028</v>
      </c>
      <c r="AY1361" s="4">
        <v>76720</v>
      </c>
      <c r="AZ1361" s="9">
        <v>26.507974811328356</v>
      </c>
      <c r="BA1361" s="7">
        <f t="shared" si="322"/>
        <v>6.7941063406375525E-4</v>
      </c>
      <c r="BB1361" s="54">
        <f t="shared" si="316"/>
        <v>2407.5490983063723</v>
      </c>
      <c r="BC1361" s="55">
        <f t="shared" si="317"/>
        <v>4989.7289717689282</v>
      </c>
      <c r="BD1361" s="55">
        <f t="shared" si="318"/>
        <v>70.638013645408577</v>
      </c>
      <c r="BE1361" s="55">
        <f t="shared" si="319"/>
        <v>69.223981342224832</v>
      </c>
      <c r="BF1361" s="56">
        <f t="shared" si="320"/>
        <v>1.2564258851509233</v>
      </c>
      <c r="BG1361" s="56">
        <f t="shared" si="323"/>
        <v>1.3589403742284706E-3</v>
      </c>
      <c r="BH1361" s="56">
        <f t="shared" si="324"/>
        <v>3.6863808460717545E-2</v>
      </c>
      <c r="BI1361" s="56">
        <f t="shared" si="321"/>
        <v>3.6125868457994648E-2</v>
      </c>
      <c r="BJ1361" s="57">
        <f t="shared" si="325"/>
        <v>0.30671346445779696</v>
      </c>
      <c r="BK1361" s="57">
        <f t="shared" si="326"/>
        <v>8.9990396884708883E-3</v>
      </c>
      <c r="BL1361" s="58">
        <f t="shared" si="327"/>
        <v>541.16944222967788</v>
      </c>
      <c r="BM1361" s="58">
        <f t="shared" si="327"/>
        <v>15.878029017805401</v>
      </c>
    </row>
    <row r="1362" spans="47:65" x14ac:dyDescent="0.2">
      <c r="AU1362" s="2">
        <v>-275</v>
      </c>
      <c r="AV1362" s="53">
        <v>1360</v>
      </c>
      <c r="AW1362" s="4" t="s">
        <v>1400</v>
      </c>
      <c r="AX1362" t="s">
        <v>21</v>
      </c>
      <c r="AY1362" s="4">
        <v>56450</v>
      </c>
      <c r="AZ1362" s="9">
        <v>26.516290600832193</v>
      </c>
      <c r="BA1362" s="7">
        <f t="shared" si="322"/>
        <v>6.7962377127471745E-4</v>
      </c>
      <c r="BB1362" s="54">
        <f t="shared" si="316"/>
        <v>2420.614230482689</v>
      </c>
      <c r="BC1362" s="55">
        <f t="shared" si="317"/>
        <v>5025.5989680160465</v>
      </c>
      <c r="BD1362" s="55">
        <f t="shared" si="318"/>
        <v>70.891459062541841</v>
      </c>
      <c r="BE1362" s="55">
        <f t="shared" si="319"/>
        <v>69.4723532870388</v>
      </c>
      <c r="BF1362" s="56">
        <f t="shared" si="320"/>
        <v>1.2632441761136242</v>
      </c>
      <c r="BG1362" s="56">
        <f t="shared" si="323"/>
        <v>1.3687094792038063E-3</v>
      </c>
      <c r="BH1362" s="56">
        <f t="shared" si="324"/>
        <v>3.6996073834986952E-2</v>
      </c>
      <c r="BI1362" s="56">
        <f t="shared" si="321"/>
        <v>3.6255486142979521E-2</v>
      </c>
      <c r="BJ1362" s="57">
        <f t="shared" si="325"/>
        <v>0.22690215630751737</v>
      </c>
      <c r="BK1362" s="57">
        <f t="shared" si="326"/>
        <v>6.6451831615771551E-3</v>
      </c>
      <c r="BL1362" s="58">
        <f t="shared" si="327"/>
        <v>400.34927578650968</v>
      </c>
      <c r="BM1362" s="58">
        <f t="shared" si="327"/>
        <v>11.724852286553537</v>
      </c>
    </row>
    <row r="1363" spans="47:65" x14ac:dyDescent="0.2">
      <c r="AU1363" s="2">
        <v>-274</v>
      </c>
      <c r="AV1363" s="53">
        <v>1361</v>
      </c>
      <c r="AW1363" s="4" t="s">
        <v>1955</v>
      </c>
      <c r="AX1363" t="s">
        <v>398</v>
      </c>
      <c r="AY1363" s="4">
        <v>19260</v>
      </c>
      <c r="AZ1363" s="9">
        <v>26.528488807760034</v>
      </c>
      <c r="BA1363" s="7">
        <f t="shared" si="322"/>
        <v>6.7993641649044111E-4</v>
      </c>
      <c r="BB1363" s="54">
        <f t="shared" si="316"/>
        <v>2439.9075195836626</v>
      </c>
      <c r="BC1363" s="55">
        <f t="shared" si="317"/>
        <v>5078.6256686653423</v>
      </c>
      <c r="BD1363" s="55">
        <f t="shared" si="318"/>
        <v>71.264476905856412</v>
      </c>
      <c r="BE1363" s="55">
        <f t="shared" si="319"/>
        <v>69.837904056282483</v>
      </c>
      <c r="BF1363" s="56">
        <f t="shared" si="320"/>
        <v>1.2733127507704056</v>
      </c>
      <c r="BG1363" s="56">
        <f t="shared" si="323"/>
        <v>1.3831511702920496E-3</v>
      </c>
      <c r="BH1363" s="56">
        <f t="shared" si="324"/>
        <v>3.7190740383757484E-2</v>
      </c>
      <c r="BI1363" s="56">
        <f t="shared" si="321"/>
        <v>3.6446255855272003E-2</v>
      </c>
      <c r="BJ1363" s="57">
        <f t="shared" si="325"/>
        <v>7.8033078913035944E-2</v>
      </c>
      <c r="BK1363" s="57">
        <f t="shared" si="326"/>
        <v>2.2791792334162114E-3</v>
      </c>
      <c r="BL1363" s="58">
        <f t="shared" si="327"/>
        <v>137.68263439456123</v>
      </c>
      <c r="BM1363" s="58">
        <f t="shared" si="327"/>
        <v>4.0214150906930017</v>
      </c>
    </row>
    <row r="1364" spans="47:65" x14ac:dyDescent="0.2">
      <c r="AU1364" s="2">
        <v>-273</v>
      </c>
      <c r="AV1364" s="53">
        <v>1362</v>
      </c>
      <c r="AW1364" s="4" t="s">
        <v>2623</v>
      </c>
      <c r="AX1364" t="s">
        <v>913</v>
      </c>
      <c r="AY1364" s="4">
        <v>95428</v>
      </c>
      <c r="AZ1364" s="9">
        <v>26.530459760580413</v>
      </c>
      <c r="BA1364" s="7">
        <f t="shared" si="322"/>
        <v>6.7998693284693136E-4</v>
      </c>
      <c r="BB1364" s="54">
        <f t="shared" si="316"/>
        <v>2443.0392761150142</v>
      </c>
      <c r="BC1364" s="55">
        <f t="shared" si="317"/>
        <v>5087.2395283841852</v>
      </c>
      <c r="BD1364" s="55">
        <f t="shared" si="318"/>
        <v>71.32488715998214</v>
      </c>
      <c r="BE1364" s="55">
        <f t="shared" si="319"/>
        <v>69.897105017474146</v>
      </c>
      <c r="BF1364" s="56">
        <f t="shared" si="320"/>
        <v>1.2749471182583831</v>
      </c>
      <c r="BG1364" s="56">
        <f t="shared" si="323"/>
        <v>1.385497133733371E-3</v>
      </c>
      <c r="BH1364" s="56">
        <f t="shared" si="324"/>
        <v>3.7222266638846313E-2</v>
      </c>
      <c r="BI1364" s="56">
        <f t="shared" si="321"/>
        <v>3.6477151017542765E-2</v>
      </c>
      <c r="BJ1364" s="57">
        <f t="shared" si="325"/>
        <v>0.38712869689314411</v>
      </c>
      <c r="BK1364" s="57">
        <f t="shared" si="326"/>
        <v>1.1302278638026934E-2</v>
      </c>
      <c r="BL1364" s="58">
        <f t="shared" si="327"/>
        <v>683.05518096220351</v>
      </c>
      <c r="BM1364" s="58">
        <f t="shared" si="327"/>
        <v>19.94189540155336</v>
      </c>
    </row>
    <row r="1365" spans="47:65" x14ac:dyDescent="0.2">
      <c r="AU1365" s="2">
        <v>-272</v>
      </c>
      <c r="AV1365" s="53">
        <v>1363</v>
      </c>
      <c r="AW1365" s="4" t="s">
        <v>1772</v>
      </c>
      <c r="AX1365" t="s">
        <v>270</v>
      </c>
      <c r="AY1365" s="4">
        <v>40881</v>
      </c>
      <c r="AZ1365" s="9">
        <v>26.534680545731074</v>
      </c>
      <c r="BA1365" s="7">
        <f t="shared" si="322"/>
        <v>6.8009511335999839E-4</v>
      </c>
      <c r="BB1365" s="54">
        <f t="shared" si="316"/>
        <v>2449.7594455930853</v>
      </c>
      <c r="BC1365" s="55">
        <f t="shared" si="317"/>
        <v>5105.7292157863658</v>
      </c>
      <c r="BD1365" s="55">
        <f t="shared" si="318"/>
        <v>71.454385560204528</v>
      </c>
      <c r="BE1365" s="55">
        <f t="shared" si="319"/>
        <v>70.024011117719866</v>
      </c>
      <c r="BF1365" s="56">
        <f t="shared" si="320"/>
        <v>1.2784541681834656</v>
      </c>
      <c r="BG1365" s="56">
        <f t="shared" si="323"/>
        <v>1.3905327544776113E-3</v>
      </c>
      <c r="BH1365" s="56">
        <f t="shared" si="324"/>
        <v>3.7289847874154854E-2</v>
      </c>
      <c r="BI1365" s="56">
        <f t="shared" si="321"/>
        <v>3.6543379411160495E-2</v>
      </c>
      <c r="BJ1365" s="57">
        <f t="shared" si="325"/>
        <v>0.16630068811292303</v>
      </c>
      <c r="BK1365" s="57">
        <f t="shared" si="326"/>
        <v>4.8506450332197167E-3</v>
      </c>
      <c r="BL1365" s="58">
        <f t="shared" si="327"/>
        <v>293.42321435929517</v>
      </c>
      <c r="BM1365" s="58">
        <f t="shared" si="327"/>
        <v>8.5585446068438529</v>
      </c>
    </row>
    <row r="1366" spans="47:65" x14ac:dyDescent="0.2">
      <c r="AU1366" s="2">
        <v>-271</v>
      </c>
      <c r="AV1366" s="53">
        <v>1364</v>
      </c>
      <c r="AW1366" s="4" t="s">
        <v>2554</v>
      </c>
      <c r="AX1366" t="s">
        <v>859</v>
      </c>
      <c r="AY1366" s="4">
        <v>20451</v>
      </c>
      <c r="AZ1366" s="9">
        <v>26.543744111798731</v>
      </c>
      <c r="BA1366" s="7">
        <f t="shared" si="322"/>
        <v>6.803274164013561E-4</v>
      </c>
      <c r="BB1366" s="54">
        <f t="shared" si="316"/>
        <v>2464.252640178338</v>
      </c>
      <c r="BC1366" s="55">
        <f t="shared" si="317"/>
        <v>5145.6327071088253</v>
      </c>
      <c r="BD1366" s="55">
        <f t="shared" si="318"/>
        <v>71.73306564694434</v>
      </c>
      <c r="BE1366" s="55">
        <f t="shared" si="319"/>
        <v>70.297112584329128</v>
      </c>
      <c r="BF1366" s="56">
        <f t="shared" si="320"/>
        <v>1.2860177210299064</v>
      </c>
      <c r="BG1366" s="56">
        <f t="shared" si="323"/>
        <v>1.4014003718847805E-3</v>
      </c>
      <c r="BH1366" s="56">
        <f t="shared" si="324"/>
        <v>3.7435282446974812E-2</v>
      </c>
      <c r="BI1366" s="56">
        <f t="shared" si="321"/>
        <v>3.668590267357754E-2</v>
      </c>
      <c r="BJ1366" s="57">
        <f t="shared" si="325"/>
        <v>8.3685241541159541E-2</v>
      </c>
      <c r="BK1366" s="57">
        <f t="shared" si="326"/>
        <v>2.4360322587372528E-3</v>
      </c>
      <c r="BL1366" s="58">
        <f t="shared" si="327"/>
        <v>147.65538763596305</v>
      </c>
      <c r="BM1366" s="58">
        <f t="shared" si="327"/>
        <v>4.2981687192794809</v>
      </c>
    </row>
    <row r="1367" spans="47:65" x14ac:dyDescent="0.2">
      <c r="AU1367" s="2">
        <v>-270</v>
      </c>
      <c r="AV1367" s="53">
        <v>1365</v>
      </c>
      <c r="AW1367" s="4" t="s">
        <v>2187</v>
      </c>
      <c r="AX1367" t="s">
        <v>579</v>
      </c>
      <c r="AY1367" s="4">
        <v>40495</v>
      </c>
      <c r="AZ1367" s="9">
        <v>26.546577717075603</v>
      </c>
      <c r="BA1367" s="7">
        <f t="shared" si="322"/>
        <v>6.8040004290607968E-4</v>
      </c>
      <c r="BB1367" s="54">
        <f t="shared" si="316"/>
        <v>2468.8013191928103</v>
      </c>
      <c r="BC1367" s="55">
        <f t="shared" si="317"/>
        <v>5158.1640079298932</v>
      </c>
      <c r="BD1367" s="55">
        <f t="shared" si="318"/>
        <v>71.820359285719903</v>
      </c>
      <c r="BE1367" s="55">
        <f t="shared" si="319"/>
        <v>70.382658778368906</v>
      </c>
      <c r="BF1367" s="56">
        <f t="shared" si="320"/>
        <v>1.2883915368166947</v>
      </c>
      <c r="BG1367" s="56">
        <f t="shared" si="323"/>
        <v>1.4048132407446512E-3</v>
      </c>
      <c r="BH1367" s="56">
        <f t="shared" si="324"/>
        <v>3.7480838314326047E-2</v>
      </c>
      <c r="BI1367" s="56">
        <f t="shared" si="321"/>
        <v>3.6730546603223994E-2</v>
      </c>
      <c r="BJ1367" s="57">
        <f t="shared" si="325"/>
        <v>0.16601091329633622</v>
      </c>
      <c r="BK1367" s="57">
        <f t="shared" si="326"/>
        <v>4.8294544180623889E-3</v>
      </c>
      <c r="BL1367" s="58">
        <f t="shared" si="327"/>
        <v>292.91193169962537</v>
      </c>
      <c r="BM1367" s="58">
        <f t="shared" si="327"/>
        <v>8.5211555949024724</v>
      </c>
    </row>
    <row r="1368" spans="47:65" x14ac:dyDescent="0.2">
      <c r="AU1368" s="2">
        <v>-269</v>
      </c>
      <c r="AV1368" s="53">
        <v>1366</v>
      </c>
      <c r="AW1368" s="4" t="s">
        <v>2777</v>
      </c>
      <c r="AX1368" t="s">
        <v>2778</v>
      </c>
      <c r="AY1368" s="4">
        <v>119529</v>
      </c>
      <c r="AZ1368" s="9">
        <v>26.577356676358015</v>
      </c>
      <c r="BA1368" s="7">
        <f t="shared" si="322"/>
        <v>6.8118892068307784E-4</v>
      </c>
      <c r="BB1368" s="54">
        <f t="shared" si="316"/>
        <v>2518.7538746756318</v>
      </c>
      <c r="BC1368" s="55">
        <f t="shared" si="317"/>
        <v>5296.0128296765024</v>
      </c>
      <c r="BD1368" s="55">
        <f t="shared" si="318"/>
        <v>72.773709742437219</v>
      </c>
      <c r="BE1368" s="55">
        <f t="shared" si="319"/>
        <v>71.316925058274279</v>
      </c>
      <c r="BF1368" s="56">
        <f t="shared" si="320"/>
        <v>1.3144602403717762</v>
      </c>
      <c r="BG1368" s="56">
        <f t="shared" si="323"/>
        <v>1.4423560272310029E-3</v>
      </c>
      <c r="BH1368" s="56">
        <f t="shared" si="324"/>
        <v>3.7978362619141483E-2</v>
      </c>
      <c r="BI1368" s="56">
        <f t="shared" si="321"/>
        <v>3.7218111462659784E-2</v>
      </c>
      <c r="BJ1368" s="57">
        <f t="shared" si="325"/>
        <v>0.49992874940104937</v>
      </c>
      <c r="BK1368" s="57">
        <f t="shared" si="326"/>
        <v>1.4444313144927768E-2</v>
      </c>
      <c r="BL1368" s="58">
        <f t="shared" si="327"/>
        <v>882.08114027929423</v>
      </c>
      <c r="BM1368" s="58">
        <f t="shared" si="327"/>
        <v>25.485744167931507</v>
      </c>
    </row>
    <row r="1369" spans="47:65" x14ac:dyDescent="0.2">
      <c r="AU1369" s="2">
        <v>-268</v>
      </c>
      <c r="AV1369" s="53">
        <v>1367</v>
      </c>
      <c r="AW1369" s="4" t="s">
        <v>2137</v>
      </c>
      <c r="AX1369" t="s">
        <v>537</v>
      </c>
      <c r="AY1369" s="4">
        <v>32292</v>
      </c>
      <c r="AZ1369" s="9">
        <v>26.578244874281747</v>
      </c>
      <c r="BA1369" s="7">
        <f t="shared" si="322"/>
        <v>6.8121168557246808E-4</v>
      </c>
      <c r="BB1369" s="54">
        <f t="shared" si="316"/>
        <v>2520.2102790200884</v>
      </c>
      <c r="BC1369" s="55">
        <f t="shared" si="317"/>
        <v>5300.038178536639</v>
      </c>
      <c r="BD1369" s="55">
        <f t="shared" si="318"/>
        <v>72.801361103599149</v>
      </c>
      <c r="BE1369" s="55">
        <f t="shared" si="319"/>
        <v>71.34402289427473</v>
      </c>
      <c r="BF1369" s="56">
        <f t="shared" si="320"/>
        <v>1.3152202930406536</v>
      </c>
      <c r="BG1369" s="56">
        <f t="shared" si="323"/>
        <v>1.443452321061133E-3</v>
      </c>
      <c r="BH1369" s="56">
        <f t="shared" si="324"/>
        <v>3.7992793014743377E-2</v>
      </c>
      <c r="BI1369" s="56">
        <f t="shared" si="321"/>
        <v>3.7232252990490974E-2</v>
      </c>
      <c r="BJ1369" s="57">
        <f t="shared" si="325"/>
        <v>0.13513903615491135</v>
      </c>
      <c r="BK1369" s="57">
        <f t="shared" si="326"/>
        <v>3.9037638455041426E-3</v>
      </c>
      <c r="BL1369" s="58">
        <f t="shared" si="327"/>
        <v>238.44116836765934</v>
      </c>
      <c r="BM1369" s="58">
        <f t="shared" si="327"/>
        <v>6.8878544559576982</v>
      </c>
    </row>
    <row r="1370" spans="47:65" x14ac:dyDescent="0.2">
      <c r="AU1370" s="2">
        <v>-267</v>
      </c>
      <c r="AV1370" s="53">
        <v>1368</v>
      </c>
      <c r="AW1370" s="4" t="s">
        <v>2612</v>
      </c>
      <c r="AX1370" t="s">
        <v>906</v>
      </c>
      <c r="AY1370" s="4">
        <v>95665</v>
      </c>
      <c r="AZ1370" s="9">
        <v>26.581275032176599</v>
      </c>
      <c r="BA1370" s="7">
        <f t="shared" si="322"/>
        <v>6.8128934980413072E-4</v>
      </c>
      <c r="BB1370" s="54">
        <f t="shared" si="316"/>
        <v>2525.1852590092103</v>
      </c>
      <c r="BC1370" s="55">
        <f t="shared" si="317"/>
        <v>5313.7911167547545</v>
      </c>
      <c r="BD1370" s="55">
        <f t="shared" si="318"/>
        <v>72.895755135362677</v>
      </c>
      <c r="BE1370" s="55">
        <f t="shared" si="319"/>
        <v>71.436527345580757</v>
      </c>
      <c r="BF1370" s="56">
        <f t="shared" si="320"/>
        <v>1.317816582204949</v>
      </c>
      <c r="BG1370" s="56">
        <f t="shared" si="323"/>
        <v>1.4471978998520177E-3</v>
      </c>
      <c r="BH1370" s="56">
        <f t="shared" si="324"/>
        <v>3.8042054358985632E-2</v>
      </c>
      <c r="BI1370" s="56">
        <f t="shared" si="321"/>
        <v>3.7280528220763394E-2</v>
      </c>
      <c r="BJ1370" s="57">
        <f t="shared" si="325"/>
        <v>0.40113948814201772</v>
      </c>
      <c r="BK1370" s="57">
        <f t="shared" si="326"/>
        <v>1.1579889355999183E-2</v>
      </c>
      <c r="BL1370" s="58">
        <f t="shared" si="327"/>
        <v>707.77601315244681</v>
      </c>
      <c r="BM1370" s="58">
        <f t="shared" si="327"/>
        <v>20.431715558837954</v>
      </c>
    </row>
    <row r="1371" spans="47:65" x14ac:dyDescent="0.2">
      <c r="AU1371" s="2">
        <v>-266</v>
      </c>
      <c r="AV1371" s="53">
        <v>1369</v>
      </c>
      <c r="AW1371" s="4" t="s">
        <v>1989</v>
      </c>
      <c r="AX1371" t="s">
        <v>419</v>
      </c>
      <c r="AY1371" s="4">
        <v>60406</v>
      </c>
      <c r="AZ1371" s="9">
        <v>26.584929594332014</v>
      </c>
      <c r="BA1371" s="7">
        <f t="shared" si="322"/>
        <v>6.8138301778174529E-4</v>
      </c>
      <c r="BB1371" s="54">
        <f t="shared" si="316"/>
        <v>2531.1984673547477</v>
      </c>
      <c r="BC1371" s="55">
        <f t="shared" si="317"/>
        <v>5330.4195283642866</v>
      </c>
      <c r="BD1371" s="55">
        <f t="shared" si="318"/>
        <v>73.009722149617076</v>
      </c>
      <c r="BE1371" s="55">
        <f t="shared" si="319"/>
        <v>71.548212967262842</v>
      </c>
      <c r="BF1371" s="56">
        <f t="shared" si="320"/>
        <v>1.3209546908414267</v>
      </c>
      <c r="BG1371" s="56">
        <f t="shared" si="323"/>
        <v>1.4517266067263391E-3</v>
      </c>
      <c r="BH1371" s="56">
        <f t="shared" si="324"/>
        <v>3.8101530241269041E-2</v>
      </c>
      <c r="BI1371" s="56">
        <f t="shared" si="321"/>
        <v>3.7338813514375513E-2</v>
      </c>
      <c r="BJ1371" s="57">
        <f t="shared" si="325"/>
        <v>0.25389571532274852</v>
      </c>
      <c r="BK1371" s="57">
        <f t="shared" si="326"/>
        <v>7.3233513174749973E-3</v>
      </c>
      <c r="BL1371" s="58">
        <f t="shared" si="327"/>
        <v>447.97708143857153</v>
      </c>
      <c r="BM1371" s="58">
        <f t="shared" si="327"/>
        <v>12.921421479607867</v>
      </c>
    </row>
    <row r="1372" spans="47:65" x14ac:dyDescent="0.2">
      <c r="AU1372" s="2">
        <v>-265</v>
      </c>
      <c r="AV1372" s="53">
        <v>1370</v>
      </c>
      <c r="AW1372" s="4" t="s">
        <v>2300</v>
      </c>
      <c r="AX1372" t="s">
        <v>654</v>
      </c>
      <c r="AY1372" s="4">
        <v>116918</v>
      </c>
      <c r="AZ1372" s="9">
        <v>26.597861227980786</v>
      </c>
      <c r="BA1372" s="7">
        <f t="shared" si="322"/>
        <v>6.8171446103530676E-4</v>
      </c>
      <c r="BB1372" s="54">
        <f t="shared" si="316"/>
        <v>2552.5913687517777</v>
      </c>
      <c r="BC1372" s="55">
        <f t="shared" si="317"/>
        <v>5389.624674735468</v>
      </c>
      <c r="BD1372" s="55">
        <f t="shared" si="318"/>
        <v>73.414063194564221</v>
      </c>
      <c r="BE1372" s="55">
        <f t="shared" si="319"/>
        <v>71.944459910046689</v>
      </c>
      <c r="BF1372" s="56">
        <f t="shared" si="320"/>
        <v>1.3321189886298355</v>
      </c>
      <c r="BG1372" s="56">
        <f t="shared" si="323"/>
        <v>1.4678509822629159E-3</v>
      </c>
      <c r="BH1372" s="56">
        <f t="shared" si="324"/>
        <v>3.8312543406342991E-2</v>
      </c>
      <c r="BI1372" s="56">
        <f t="shared" si="321"/>
        <v>3.7545602616279886E-2</v>
      </c>
      <c r="BJ1372" s="57">
        <f t="shared" si="325"/>
        <v>0.49557771490782854</v>
      </c>
      <c r="BK1372" s="57">
        <f t="shared" si="326"/>
        <v>1.425311317959033E-2</v>
      </c>
      <c r="BL1372" s="58">
        <f t="shared" si="327"/>
        <v>874.40411535969736</v>
      </c>
      <c r="BM1372" s="58">
        <f t="shared" si="327"/>
        <v>25.1483883274277</v>
      </c>
    </row>
    <row r="1373" spans="47:65" x14ac:dyDescent="0.2">
      <c r="AU1373" s="2">
        <v>-264</v>
      </c>
      <c r="AV1373" s="53">
        <v>1371</v>
      </c>
      <c r="AW1373" s="4" t="s">
        <v>1887</v>
      </c>
      <c r="AX1373" t="s">
        <v>354</v>
      </c>
      <c r="AY1373" s="4">
        <v>28838</v>
      </c>
      <c r="AZ1373" s="9">
        <v>26.60331011927029</v>
      </c>
      <c r="BA1373" s="7">
        <f t="shared" si="322"/>
        <v>6.8185411842944178E-4</v>
      </c>
      <c r="BB1373" s="54">
        <f t="shared" si="316"/>
        <v>2561.6595712089998</v>
      </c>
      <c r="BC1373" s="55">
        <f t="shared" si="317"/>
        <v>5414.7428826992536</v>
      </c>
      <c r="BD1373" s="55">
        <f t="shared" si="318"/>
        <v>73.584936520318166</v>
      </c>
      <c r="BE1373" s="55">
        <f t="shared" si="319"/>
        <v>72.111912692244857</v>
      </c>
      <c r="BF1373" s="56">
        <f t="shared" si="320"/>
        <v>1.3368514048065427</v>
      </c>
      <c r="BG1373" s="56">
        <f t="shared" si="323"/>
        <v>1.4746918642272561E-3</v>
      </c>
      <c r="BH1373" s="56">
        <f t="shared" si="324"/>
        <v>3.8401716943741671E-2</v>
      </c>
      <c r="BI1373" s="56">
        <f t="shared" si="321"/>
        <v>3.7632991077117608E-2</v>
      </c>
      <c r="BJ1373" s="57">
        <f t="shared" si="325"/>
        <v>0.12266923203543344</v>
      </c>
      <c r="BK1373" s="57">
        <f t="shared" si="326"/>
        <v>3.5237342829531415E-3</v>
      </c>
      <c r="BL1373" s="58">
        <f t="shared" si="327"/>
        <v>216.43927499796101</v>
      </c>
      <c r="BM1373" s="58">
        <f t="shared" si="327"/>
        <v>6.2173250849694472</v>
      </c>
    </row>
    <row r="1374" spans="47:65" x14ac:dyDescent="0.2">
      <c r="AU1374" s="2">
        <v>-263</v>
      </c>
      <c r="AV1374" s="53">
        <v>1372</v>
      </c>
      <c r="AW1374" s="4" t="s">
        <v>2257</v>
      </c>
      <c r="AX1374" t="s">
        <v>620</v>
      </c>
      <c r="AY1374" s="4">
        <v>47730</v>
      </c>
      <c r="AZ1374" s="9">
        <v>26.604422884274157</v>
      </c>
      <c r="BA1374" s="7">
        <f t="shared" si="322"/>
        <v>6.8188263906831452E-4</v>
      </c>
      <c r="BB1374" s="54">
        <f t="shared" si="316"/>
        <v>2563.5154247529781</v>
      </c>
      <c r="BC1374" s="55">
        <f t="shared" si="317"/>
        <v>5419.8850321583923</v>
      </c>
      <c r="BD1374" s="55">
        <f t="shared" si="318"/>
        <v>73.619868460615933</v>
      </c>
      <c r="BE1374" s="55">
        <f t="shared" si="319"/>
        <v>72.146145364691719</v>
      </c>
      <c r="BF1374" s="56">
        <f t="shared" si="320"/>
        <v>1.3378199177367032</v>
      </c>
      <c r="BG1374" s="56">
        <f t="shared" si="323"/>
        <v>1.4760923159452008E-3</v>
      </c>
      <c r="BH1374" s="56">
        <f t="shared" si="324"/>
        <v>3.8419946849848723E-2</v>
      </c>
      <c r="BI1374" s="56">
        <f t="shared" si="321"/>
        <v>3.7650856056823293E-2</v>
      </c>
      <c r="BJ1374" s="57">
        <f t="shared" si="325"/>
        <v>0.20317789850323598</v>
      </c>
      <c r="BK1374" s="57">
        <f t="shared" si="326"/>
        <v>5.8349288705197792E-3</v>
      </c>
      <c r="BL1374" s="58">
        <f t="shared" si="327"/>
        <v>358.48987001848337</v>
      </c>
      <c r="BM1374" s="58">
        <f t="shared" si="327"/>
        <v>10.295228505508026</v>
      </c>
    </row>
    <row r="1375" spans="47:65" x14ac:dyDescent="0.2">
      <c r="AU1375" s="2">
        <v>-262</v>
      </c>
      <c r="AV1375" s="53">
        <v>1373</v>
      </c>
      <c r="AW1375" s="4" t="s">
        <v>2256</v>
      </c>
      <c r="AX1375" t="s">
        <v>619</v>
      </c>
      <c r="AY1375" s="4">
        <v>27725</v>
      </c>
      <c r="AZ1375" s="9">
        <v>26.605167391644311</v>
      </c>
      <c r="BA1375" s="7">
        <f t="shared" si="322"/>
        <v>6.8190172110789025E-4</v>
      </c>
      <c r="BB1375" s="54">
        <f t="shared" si="316"/>
        <v>2564.7578542015599</v>
      </c>
      <c r="BC1375" s="55">
        <f t="shared" si="317"/>
        <v>5423.3278211809011</v>
      </c>
      <c r="BD1375" s="55">
        <f t="shared" si="318"/>
        <v>73.643246948928734</v>
      </c>
      <c r="BE1375" s="55">
        <f t="shared" si="319"/>
        <v>72.169055862244747</v>
      </c>
      <c r="BF1375" s="56">
        <f t="shared" si="320"/>
        <v>1.3384683034833404</v>
      </c>
      <c r="BG1375" s="56">
        <f t="shared" si="323"/>
        <v>1.4770299510410234E-3</v>
      </c>
      <c r="BH1375" s="56">
        <f t="shared" si="324"/>
        <v>3.843214736442687E-2</v>
      </c>
      <c r="BI1375" s="56">
        <f t="shared" si="321"/>
        <v>3.7662812341406303E-2</v>
      </c>
      <c r="BJ1375" s="57">
        <f t="shared" si="325"/>
        <v>0.11807746425945109</v>
      </c>
      <c r="BK1375" s="57">
        <f t="shared" si="326"/>
        <v>3.3904205987000825E-3</v>
      </c>
      <c r="BL1375" s="58">
        <f t="shared" si="327"/>
        <v>208.33749697341494</v>
      </c>
      <c r="BM1375" s="58">
        <f t="shared" si="327"/>
        <v>5.9821045925259586</v>
      </c>
    </row>
    <row r="1376" spans="47:65" x14ac:dyDescent="0.2">
      <c r="AU1376" s="2">
        <v>-261</v>
      </c>
      <c r="AV1376" s="53">
        <v>1374</v>
      </c>
      <c r="AW1376" s="4" t="s">
        <v>2158</v>
      </c>
      <c r="AX1376" t="s">
        <v>556</v>
      </c>
      <c r="AY1376" s="4">
        <v>21155</v>
      </c>
      <c r="AZ1376" s="9">
        <v>26.60990344175266</v>
      </c>
      <c r="BA1376" s="7">
        <f t="shared" si="322"/>
        <v>6.8202310808030038E-4</v>
      </c>
      <c r="BB1376" s="54">
        <f t="shared" si="316"/>
        <v>2572.6754584410128</v>
      </c>
      <c r="BC1376" s="55">
        <f t="shared" si="317"/>
        <v>5445.2732122838615</v>
      </c>
      <c r="BD1376" s="55">
        <f t="shared" si="318"/>
        <v>73.792094510752719</v>
      </c>
      <c r="BE1376" s="55">
        <f t="shared" si="319"/>
        <v>72.31492379242556</v>
      </c>
      <c r="BF1376" s="56">
        <f t="shared" si="320"/>
        <v>1.3426002578105971</v>
      </c>
      <c r="BG1376" s="56">
        <f t="shared" si="323"/>
        <v>1.4830067241615797E-3</v>
      </c>
      <c r="BH1376" s="56">
        <f t="shared" si="324"/>
        <v>3.8509826332529466E-2</v>
      </c>
      <c r="BI1376" s="56">
        <f t="shared" si="321"/>
        <v>3.7738936331324968E-2</v>
      </c>
      <c r="BJ1376" s="57">
        <f t="shared" si="325"/>
        <v>9.0374753980045797E-2</v>
      </c>
      <c r="BK1376" s="57">
        <f t="shared" si="326"/>
        <v>2.5922206258861108E-3</v>
      </c>
      <c r="BL1376" s="58">
        <f t="shared" si="327"/>
        <v>159.45845510722725</v>
      </c>
      <c r="BM1376" s="58">
        <f t="shared" si="327"/>
        <v>4.5737496158734166</v>
      </c>
    </row>
    <row r="1377" spans="47:65" x14ac:dyDescent="0.2">
      <c r="AU1377" s="2">
        <v>-260</v>
      </c>
      <c r="AV1377" s="53">
        <v>1375</v>
      </c>
      <c r="AW1377" s="4" t="s">
        <v>2849</v>
      </c>
      <c r="AX1377" t="s">
        <v>2850</v>
      </c>
      <c r="AY1377" s="4">
        <v>37871</v>
      </c>
      <c r="AZ1377" s="9">
        <v>26.629425772819868</v>
      </c>
      <c r="BA1377" s="7">
        <f t="shared" si="322"/>
        <v>6.8252347370321867E-4</v>
      </c>
      <c r="BB1377" s="54">
        <f t="shared" si="316"/>
        <v>2605.5712620147569</v>
      </c>
      <c r="BC1377" s="55">
        <f t="shared" si="317"/>
        <v>5536.55308104921</v>
      </c>
      <c r="BD1377" s="55">
        <f t="shared" si="318"/>
        <v>74.408017585803279</v>
      </c>
      <c r="BE1377" s="55">
        <f t="shared" si="319"/>
        <v>72.918517314598688</v>
      </c>
      <c r="BF1377" s="56">
        <f t="shared" si="320"/>
        <v>1.3597675667356641</v>
      </c>
      <c r="BG1377" s="56">
        <f t="shared" si="323"/>
        <v>1.5078665712036947E-3</v>
      </c>
      <c r="BH1377" s="56">
        <f t="shared" si="324"/>
        <v>3.8831257656734411E-2</v>
      </c>
      <c r="BI1377" s="56">
        <f t="shared" si="321"/>
        <v>3.8053933240797318E-2</v>
      </c>
      <c r="BJ1377" s="57">
        <f t="shared" si="325"/>
        <v>0.16385466986052671</v>
      </c>
      <c r="BK1377" s="57">
        <f t="shared" si="326"/>
        <v>4.6792430259885434E-3</v>
      </c>
      <c r="BL1377" s="58">
        <f t="shared" si="327"/>
        <v>289.10742621587934</v>
      </c>
      <c r="BM1377" s="58">
        <f t="shared" si="327"/>
        <v>8.2561205550849373</v>
      </c>
    </row>
    <row r="1378" spans="47:65" x14ac:dyDescent="0.2">
      <c r="AU1378" s="2">
        <v>-259</v>
      </c>
      <c r="AV1378" s="53">
        <v>1376</v>
      </c>
      <c r="AW1378" s="4" t="s">
        <v>1500</v>
      </c>
      <c r="AX1378" t="s">
        <v>95</v>
      </c>
      <c r="AY1378" s="4">
        <v>26034</v>
      </c>
      <c r="AZ1378" s="9">
        <v>26.633163830210979</v>
      </c>
      <c r="BA1378" s="7">
        <f t="shared" si="322"/>
        <v>6.82619281699127E-4</v>
      </c>
      <c r="BB1378" s="54">
        <f t="shared" si="316"/>
        <v>2611.9178382585114</v>
      </c>
      <c r="BC1378" s="55">
        <f t="shared" si="317"/>
        <v>5554.1821986696496</v>
      </c>
      <c r="BD1378" s="55">
        <f t="shared" si="318"/>
        <v>74.526385922501632</v>
      </c>
      <c r="BE1378" s="55">
        <f t="shared" si="319"/>
        <v>73.034516153018032</v>
      </c>
      <c r="BF1378" s="56">
        <f t="shared" si="320"/>
        <v>1.3630796498330953</v>
      </c>
      <c r="BG1378" s="56">
        <f t="shared" si="323"/>
        <v>1.5126678178909311E-3</v>
      </c>
      <c r="BH1378" s="56">
        <f t="shared" si="324"/>
        <v>3.8893030453937771E-2</v>
      </c>
      <c r="BI1378" s="56">
        <f t="shared" si="321"/>
        <v>3.811446946966876E-2</v>
      </c>
      <c r="BJ1378" s="57">
        <f t="shared" si="325"/>
        <v>0.11291444564235702</v>
      </c>
      <c r="BK1378" s="57">
        <f t="shared" si="326"/>
        <v>3.2218109731118267E-3</v>
      </c>
      <c r="BL1378" s="58">
        <f t="shared" si="327"/>
        <v>199.2277961320334</v>
      </c>
      <c r="BM1378" s="58">
        <f t="shared" si="327"/>
        <v>5.6846074572258987</v>
      </c>
    </row>
    <row r="1379" spans="47:65" x14ac:dyDescent="0.2">
      <c r="AU1379" s="2">
        <v>-258</v>
      </c>
      <c r="AV1379" s="53">
        <v>1377</v>
      </c>
      <c r="AW1379" s="4" t="s">
        <v>2663</v>
      </c>
      <c r="AX1379" t="s">
        <v>933</v>
      </c>
      <c r="AY1379" s="4">
        <v>25531</v>
      </c>
      <c r="AZ1379" s="9">
        <v>27.924167074684188</v>
      </c>
      <c r="BA1379" s="7">
        <f t="shared" si="322"/>
        <v>7.1570824225340767E-4</v>
      </c>
      <c r="BB1379" s="54">
        <f t="shared" si="316"/>
        <v>0.41138368354876803</v>
      </c>
      <c r="BC1379" s="55">
        <f t="shared" si="317"/>
        <v>2614.404264383224</v>
      </c>
      <c r="BD1379" s="55">
        <f t="shared" si="318"/>
        <v>51.131245480461594</v>
      </c>
      <c r="BE1379" s="55">
        <f t="shared" si="319"/>
        <v>50.107699813190557</v>
      </c>
      <c r="BF1379" s="56">
        <f t="shared" si="320"/>
        <v>133.08828480444237</v>
      </c>
      <c r="BG1379" s="56">
        <f t="shared" si="323"/>
        <v>1.3643772392142641</v>
      </c>
      <c r="BH1379" s="56">
        <f t="shared" si="324"/>
        <v>1.168065597136678</v>
      </c>
      <c r="BI1379" s="56">
        <f t="shared" si="321"/>
        <v>1.1446832509840803</v>
      </c>
      <c r="BJ1379" s="57">
        <f t="shared" si="325"/>
        <v>10.811725873521198</v>
      </c>
      <c r="BK1379" s="57">
        <f t="shared" si="326"/>
        <v>9.489043349750248E-2</v>
      </c>
      <c r="BL1379" s="58">
        <f t="shared" si="327"/>
        <v>19076.357377583354</v>
      </c>
      <c r="BM1379" s="58">
        <f t="shared" si="327"/>
        <v>167.42598196513688</v>
      </c>
    </row>
    <row r="1380" spans="47:65" x14ac:dyDescent="0.2">
      <c r="AU1380" s="2">
        <v>-257</v>
      </c>
      <c r="AV1380" s="53">
        <v>1378</v>
      </c>
      <c r="AW1380" s="4" t="s">
        <v>1897</v>
      </c>
      <c r="AX1380" t="s">
        <v>360</v>
      </c>
      <c r="AY1380" s="4">
        <v>41033</v>
      </c>
      <c r="AZ1380" s="9">
        <v>26.637850455175194</v>
      </c>
      <c r="BA1380" s="7">
        <f t="shared" si="322"/>
        <v>6.8273940188413624E-4</v>
      </c>
      <c r="BB1380" s="54">
        <f t="shared" si="316"/>
        <v>2619.8967655821061</v>
      </c>
      <c r="BC1380" s="55">
        <f t="shared" si="317"/>
        <v>5576.3538885579446</v>
      </c>
      <c r="BD1380" s="55">
        <f t="shared" si="318"/>
        <v>74.674988373336518</v>
      </c>
      <c r="BE1380" s="55">
        <f t="shared" si="319"/>
        <v>73.18014387884341</v>
      </c>
      <c r="BF1380" s="56">
        <f t="shared" si="320"/>
        <v>1.3672436067933731</v>
      </c>
      <c r="BG1380" s="56">
        <f t="shared" si="323"/>
        <v>1.5187062229276977E-3</v>
      </c>
      <c r="BH1380" s="56">
        <f t="shared" si="324"/>
        <v>3.897058150615279E-2</v>
      </c>
      <c r="BI1380" s="56">
        <f t="shared" si="321"/>
        <v>3.8190468104321071E-2</v>
      </c>
      <c r="BJ1380" s="57">
        <f t="shared" si="325"/>
        <v>0.17851164154469876</v>
      </c>
      <c r="BK1380" s="57">
        <f t="shared" si="326"/>
        <v>5.0881221473988263E-3</v>
      </c>
      <c r="BL1380" s="58">
        <f t="shared" si="327"/>
        <v>314.9683880263479</v>
      </c>
      <c r="BM1380" s="58">
        <f t="shared" si="327"/>
        <v>8.9775524832988687</v>
      </c>
    </row>
    <row r="1381" spans="47:65" x14ac:dyDescent="0.2">
      <c r="AU1381" s="2">
        <v>-256</v>
      </c>
      <c r="AV1381" s="53">
        <v>1379</v>
      </c>
      <c r="AW1381" s="4" t="s">
        <v>3035</v>
      </c>
      <c r="AX1381" t="s">
        <v>1197</v>
      </c>
      <c r="AY1381" s="4">
        <v>12407</v>
      </c>
      <c r="AZ1381" s="9">
        <v>26.644315654245741</v>
      </c>
      <c r="BA1381" s="7">
        <f t="shared" si="322"/>
        <v>6.8290510767762412E-4</v>
      </c>
      <c r="BB1381" s="54">
        <f t="shared" si="316"/>
        <v>2630.9437187929157</v>
      </c>
      <c r="BC1381" s="55">
        <f t="shared" si="317"/>
        <v>5607.0661018144174</v>
      </c>
      <c r="BD1381" s="55">
        <f t="shared" si="318"/>
        <v>74.880345230336758</v>
      </c>
      <c r="BE1381" s="55">
        <f t="shared" si="319"/>
        <v>73.38138990069281</v>
      </c>
      <c r="BF1381" s="56">
        <f t="shared" si="320"/>
        <v>1.3730086721770343</v>
      </c>
      <c r="BG1381" s="56">
        <f t="shared" si="323"/>
        <v>1.5270706184313703E-3</v>
      </c>
      <c r="BH1381" s="56">
        <f t="shared" si="324"/>
        <v>3.907775093875504E-2</v>
      </c>
      <c r="BI1381" s="56">
        <f t="shared" si="321"/>
        <v>3.8295492218393075E-2</v>
      </c>
      <c r="BJ1381" s="57">
        <f t="shared" si="325"/>
        <v>5.4203513008303769E-2</v>
      </c>
      <c r="BK1381" s="57">
        <f t="shared" si="326"/>
        <v>1.5427079407921984E-3</v>
      </c>
      <c r="BL1381" s="58">
        <f t="shared" si="327"/>
        <v>95.637421570154245</v>
      </c>
      <c r="BM1381" s="58">
        <f t="shared" si="327"/>
        <v>2.7219750437682029</v>
      </c>
    </row>
    <row r="1382" spans="47:65" x14ac:dyDescent="0.2">
      <c r="AU1382" s="2">
        <v>-255</v>
      </c>
      <c r="AV1382" s="53">
        <v>1380</v>
      </c>
      <c r="AW1382" s="4" t="s">
        <v>2509</v>
      </c>
      <c r="AX1382" t="s">
        <v>820</v>
      </c>
      <c r="AY1382" s="4">
        <v>27409</v>
      </c>
      <c r="AZ1382" s="9">
        <v>26.645878205345053</v>
      </c>
      <c r="BA1382" s="7">
        <f t="shared" si="322"/>
        <v>6.8294515652483694E-4</v>
      </c>
      <c r="BB1382" s="54">
        <f t="shared" si="316"/>
        <v>2633.6206003110387</v>
      </c>
      <c r="BC1382" s="55">
        <f t="shared" si="317"/>
        <v>5614.5108639741984</v>
      </c>
      <c r="BD1382" s="55">
        <f t="shared" si="318"/>
        <v>74.930039796961267</v>
      </c>
      <c r="BE1382" s="55">
        <f t="shared" si="319"/>
        <v>73.430089681098494</v>
      </c>
      <c r="BF1382" s="56">
        <f t="shared" si="320"/>
        <v>1.3744056543749112</v>
      </c>
      <c r="BG1382" s="56">
        <f t="shared" si="323"/>
        <v>1.5290981810369678E-3</v>
      </c>
      <c r="BH1382" s="56">
        <f t="shared" si="324"/>
        <v>3.9103685005852935E-2</v>
      </c>
      <c r="BI1382" s="56">
        <f t="shared" si="321"/>
        <v>3.8320907137135332E-2</v>
      </c>
      <c r="BJ1382" s="57">
        <f t="shared" si="325"/>
        <v>0.11986585739397716</v>
      </c>
      <c r="BK1382" s="57">
        <f t="shared" si="326"/>
        <v>3.4103444754979111E-3</v>
      </c>
      <c r="BL1382" s="58">
        <f t="shared" si="327"/>
        <v>211.49296234175071</v>
      </c>
      <c r="BM1382" s="58">
        <f t="shared" si="327"/>
        <v>6.017258553936796</v>
      </c>
    </row>
    <row r="1383" spans="47:65" x14ac:dyDescent="0.2">
      <c r="AU1383" s="2">
        <v>-254</v>
      </c>
      <c r="AV1383" s="53">
        <v>1381</v>
      </c>
      <c r="AW1383" s="4" t="s">
        <v>2116</v>
      </c>
      <c r="AX1383" t="s">
        <v>520</v>
      </c>
      <c r="AY1383" s="4">
        <v>33905</v>
      </c>
      <c r="AZ1383" s="9">
        <v>26.647004391727737</v>
      </c>
      <c r="BA1383" s="7">
        <f t="shared" si="322"/>
        <v>6.8297402115933962E-4</v>
      </c>
      <c r="BB1383" s="54">
        <f t="shared" si="316"/>
        <v>2635.5516133151505</v>
      </c>
      <c r="BC1383" s="55">
        <f t="shared" si="317"/>
        <v>5619.8818981235299</v>
      </c>
      <c r="BD1383" s="55">
        <f t="shared" si="318"/>
        <v>74.96587155581885</v>
      </c>
      <c r="BE1383" s="55">
        <f t="shared" si="319"/>
        <v>73.465204159530288</v>
      </c>
      <c r="BF1383" s="56">
        <f t="shared" si="320"/>
        <v>1.3754133907175017</v>
      </c>
      <c r="BG1383" s="56">
        <f t="shared" si="323"/>
        <v>1.5305609689353617E-3</v>
      </c>
      <c r="BH1383" s="56">
        <f t="shared" si="324"/>
        <v>3.9122384499610474E-2</v>
      </c>
      <c r="BI1383" s="56">
        <f t="shared" si="321"/>
        <v>3.8339232304282288E-2</v>
      </c>
      <c r="BJ1383" s="57">
        <f t="shared" si="325"/>
        <v>0.14838307574849491</v>
      </c>
      <c r="BK1383" s="57">
        <f t="shared" si="326"/>
        <v>4.2206218013037819E-3</v>
      </c>
      <c r="BL1383" s="58">
        <f t="shared" si="327"/>
        <v>261.80913342389698</v>
      </c>
      <c r="BM1383" s="58">
        <f t="shared" si="327"/>
        <v>7.446922977808395</v>
      </c>
    </row>
    <row r="1384" spans="47:65" x14ac:dyDescent="0.2">
      <c r="AU1384" s="2">
        <v>-253</v>
      </c>
      <c r="AV1384" s="53">
        <v>1382</v>
      </c>
      <c r="AW1384" s="4" t="s">
        <v>1766</v>
      </c>
      <c r="AX1384" t="s">
        <v>264</v>
      </c>
      <c r="AY1384" s="4">
        <v>69784</v>
      </c>
      <c r="AZ1384" s="9">
        <v>26.655645796177637</v>
      </c>
      <c r="BA1384" s="7">
        <f t="shared" si="322"/>
        <v>6.8319550401943344E-4</v>
      </c>
      <c r="BB1384" s="54">
        <f t="shared" si="316"/>
        <v>2650.4157720185212</v>
      </c>
      <c r="BC1384" s="55">
        <f t="shared" si="317"/>
        <v>5661.2435093631402</v>
      </c>
      <c r="BD1384" s="55">
        <f t="shared" si="318"/>
        <v>75.24123543219595</v>
      </c>
      <c r="BE1384" s="55">
        <f t="shared" si="319"/>
        <v>73.735055799701513</v>
      </c>
      <c r="BF1384" s="56">
        <f t="shared" si="320"/>
        <v>1.3831705383366493</v>
      </c>
      <c r="BG1384" s="56">
        <f t="shared" si="323"/>
        <v>1.5418257017044276E-3</v>
      </c>
      <c r="BH1384" s="56">
        <f t="shared" si="324"/>
        <v>3.9266088444157861E-2</v>
      </c>
      <c r="BI1384" s="56">
        <f t="shared" si="321"/>
        <v>3.8480059582156896E-2</v>
      </c>
      <c r="BJ1384" s="57">
        <f t="shared" si="325"/>
        <v>0.30712768162866699</v>
      </c>
      <c r="BK1384" s="57">
        <f t="shared" si="326"/>
        <v>8.7188834465654202E-3</v>
      </c>
      <c r="BL1384" s="58">
        <f t="shared" si="327"/>
        <v>541.90029268555202</v>
      </c>
      <c r="BM1384" s="58">
        <f t="shared" si="327"/>
        <v>15.383717503189761</v>
      </c>
    </row>
    <row r="1385" spans="47:65" x14ac:dyDescent="0.2">
      <c r="AU1385" s="2">
        <v>-252</v>
      </c>
      <c r="AV1385" s="53">
        <v>1383</v>
      </c>
      <c r="AW1385" s="4" t="s">
        <v>2201</v>
      </c>
      <c r="AX1385" t="s">
        <v>589</v>
      </c>
      <c r="AY1385" s="4">
        <v>17519</v>
      </c>
      <c r="AZ1385" s="9">
        <v>26.658159135505105</v>
      </c>
      <c r="BA1385" s="7">
        <f t="shared" si="322"/>
        <v>6.8325992197207765E-4</v>
      </c>
      <c r="BB1385" s="54">
        <f t="shared" si="316"/>
        <v>2654.7547072882458</v>
      </c>
      <c r="BC1385" s="55">
        <f t="shared" si="317"/>
        <v>5673.3230129236372</v>
      </c>
      <c r="BD1385" s="55">
        <f t="shared" si="318"/>
        <v>75.321464490035225</v>
      </c>
      <c r="BE1385" s="55">
        <f t="shared" si="319"/>
        <v>73.8136788316408</v>
      </c>
      <c r="BF1385" s="56">
        <f t="shared" si="320"/>
        <v>1.3854348953089357</v>
      </c>
      <c r="BG1385" s="56">
        <f t="shared" si="323"/>
        <v>1.5451155246952316E-3</v>
      </c>
      <c r="BH1385" s="56">
        <f t="shared" si="324"/>
        <v>3.9307957523830102E-2</v>
      </c>
      <c r="BI1385" s="56">
        <f t="shared" si="321"/>
        <v>3.8521090526268613E-2</v>
      </c>
      <c r="BJ1385" s="57">
        <f t="shared" si="325"/>
        <v>7.7229425982505664E-2</v>
      </c>
      <c r="BK1385" s="57">
        <f t="shared" si="326"/>
        <v>2.1911754975921702E-3</v>
      </c>
      <c r="BL1385" s="58">
        <f t="shared" si="327"/>
        <v>136.26465814454514</v>
      </c>
      <c r="BM1385" s="58">
        <f t="shared" si="327"/>
        <v>3.8661400925307428</v>
      </c>
    </row>
    <row r="1386" spans="47:65" x14ac:dyDescent="0.2">
      <c r="AU1386" s="2">
        <v>-251</v>
      </c>
      <c r="AV1386" s="53">
        <v>1384</v>
      </c>
      <c r="AW1386" s="4" t="s">
        <v>2716</v>
      </c>
      <c r="AX1386" t="s">
        <v>977</v>
      </c>
      <c r="AY1386" s="4">
        <v>20405</v>
      </c>
      <c r="AZ1386" s="9">
        <v>26.659253092200213</v>
      </c>
      <c r="BA1386" s="7">
        <f t="shared" si="322"/>
        <v>6.8328796054602204E-4</v>
      </c>
      <c r="BB1386" s="54">
        <f t="shared" si="316"/>
        <v>2656.6454915401387</v>
      </c>
      <c r="BC1386" s="55">
        <f t="shared" si="317"/>
        <v>5678.5877293228596</v>
      </c>
      <c r="BD1386" s="55">
        <f t="shared" si="318"/>
        <v>75.356404700084113</v>
      </c>
      <c r="BE1386" s="55">
        <f t="shared" si="319"/>
        <v>73.847919608294845</v>
      </c>
      <c r="BF1386" s="56">
        <f t="shared" si="320"/>
        <v>1.3864216375020593</v>
      </c>
      <c r="BG1386" s="56">
        <f t="shared" si="323"/>
        <v>1.5465493572167611E-3</v>
      </c>
      <c r="BH1386" s="56">
        <f t="shared" si="324"/>
        <v>3.9326191745664381E-2</v>
      </c>
      <c r="BI1386" s="56">
        <f t="shared" si="321"/>
        <v>3.8538959735309262E-2</v>
      </c>
      <c r="BJ1386" s="57">
        <f t="shared" si="325"/>
        <v>9.0015914697438679E-2</v>
      </c>
      <c r="BK1386" s="57">
        <f t="shared" si="326"/>
        <v>2.5533236252219009E-3</v>
      </c>
      <c r="BL1386" s="58">
        <f t="shared" si="327"/>
        <v>158.82531415672514</v>
      </c>
      <c r="BM1386" s="58">
        <f t="shared" si="327"/>
        <v>4.5051192145603549</v>
      </c>
    </row>
    <row r="1387" spans="47:65" x14ac:dyDescent="0.2">
      <c r="AU1387" s="2">
        <v>-250</v>
      </c>
      <c r="AV1387" s="53">
        <v>1385</v>
      </c>
      <c r="AW1387" s="4" t="s">
        <v>2276</v>
      </c>
      <c r="AX1387" t="s">
        <v>634</v>
      </c>
      <c r="AY1387" s="4">
        <v>29761</v>
      </c>
      <c r="AZ1387" s="9">
        <v>26.668741535997967</v>
      </c>
      <c r="BA1387" s="7">
        <f t="shared" si="322"/>
        <v>6.8353115338375451E-4</v>
      </c>
      <c r="BB1387" s="54">
        <f t="shared" si="316"/>
        <v>2673.1018292540803</v>
      </c>
      <c r="BC1387" s="55">
        <f t="shared" si="317"/>
        <v>5724.4295391204942</v>
      </c>
      <c r="BD1387" s="55">
        <f t="shared" si="318"/>
        <v>75.65995994659589</v>
      </c>
      <c r="BE1387" s="55">
        <f t="shared" si="319"/>
        <v>74.145398283535471</v>
      </c>
      <c r="BF1387" s="56">
        <f t="shared" si="320"/>
        <v>1.3950096944156756</v>
      </c>
      <c r="BG1387" s="56">
        <f t="shared" si="323"/>
        <v>1.5590342610090856E-3</v>
      </c>
      <c r="BH1387" s="56">
        <f t="shared" si="324"/>
        <v>3.9484607899903039E-2</v>
      </c>
      <c r="BI1387" s="56">
        <f t="shared" si="321"/>
        <v>3.8694204713747821E-2</v>
      </c>
      <c r="BJ1387" s="57">
        <f t="shared" si="325"/>
        <v>0.13210282884855606</v>
      </c>
      <c r="BK1387" s="57">
        <f t="shared" si="326"/>
        <v>3.7390624742131709E-3</v>
      </c>
      <c r="BL1387" s="58">
        <f t="shared" si="327"/>
        <v>233.08404256498676</v>
      </c>
      <c r="BM1387" s="58">
        <f t="shared" si="327"/>
        <v>6.5972530981282871</v>
      </c>
    </row>
    <row r="1388" spans="47:65" x14ac:dyDescent="0.2">
      <c r="AU1388" s="2">
        <v>-249</v>
      </c>
      <c r="AV1388" s="53">
        <v>1386</v>
      </c>
      <c r="AW1388" s="4" t="s">
        <v>2729</v>
      </c>
      <c r="AX1388" t="s">
        <v>990</v>
      </c>
      <c r="AY1388" s="4">
        <v>54738</v>
      </c>
      <c r="AZ1388" s="9">
        <v>26.680915113530009</v>
      </c>
      <c r="BA1388" s="7">
        <f t="shared" si="322"/>
        <v>6.8384316733762082E-4</v>
      </c>
      <c r="BB1388" s="54">
        <f t="shared" si="316"/>
        <v>2694.3645335723672</v>
      </c>
      <c r="BC1388" s="55">
        <f t="shared" si="317"/>
        <v>5783.7141297042836</v>
      </c>
      <c r="BD1388" s="55">
        <f t="shared" si="318"/>
        <v>76.05073391956374</v>
      </c>
      <c r="BE1388" s="55">
        <f t="shared" si="319"/>
        <v>74.528349740091784</v>
      </c>
      <c r="BF1388" s="56">
        <f t="shared" si="320"/>
        <v>1.4061060463499311</v>
      </c>
      <c r="BG1388" s="56">
        <f t="shared" si="323"/>
        <v>1.5751802729808964E-3</v>
      </c>
      <c r="BH1388" s="56">
        <f t="shared" si="324"/>
        <v>3.9688540827056071E-2</v>
      </c>
      <c r="BI1388" s="56">
        <f t="shared" si="321"/>
        <v>3.8894055309988705E-2</v>
      </c>
      <c r="BJ1388" s="57">
        <f t="shared" si="325"/>
        <v>0.24490315111643388</v>
      </c>
      <c r="BK1388" s="57">
        <f t="shared" si="326"/>
        <v>6.9126000396561374E-3</v>
      </c>
      <c r="BL1388" s="58">
        <f t="shared" si="327"/>
        <v>432.11047785027199</v>
      </c>
      <c r="BM1388" s="58">
        <f t="shared" si="327"/>
        <v>12.196686292956333</v>
      </c>
    </row>
    <row r="1389" spans="47:65" x14ac:dyDescent="0.2">
      <c r="AU1389" s="2">
        <v>-248</v>
      </c>
      <c r="AV1389" s="53">
        <v>1387</v>
      </c>
      <c r="AW1389" s="4" t="s">
        <v>1788</v>
      </c>
      <c r="AX1389" t="s">
        <v>278</v>
      </c>
      <c r="AY1389" s="4">
        <v>32275</v>
      </c>
      <c r="AZ1389" s="9">
        <v>26.686754375731134</v>
      </c>
      <c r="BA1389" s="7">
        <f t="shared" si="322"/>
        <v>6.8399283010374184E-4</v>
      </c>
      <c r="BB1389" s="54">
        <f t="shared" si="316"/>
        <v>2704.6234913452899</v>
      </c>
      <c r="BC1389" s="55">
        <f t="shared" si="317"/>
        <v>5812.3393720768108</v>
      </c>
      <c r="BD1389" s="55">
        <f t="shared" si="318"/>
        <v>76.238699963186747</v>
      </c>
      <c r="BE1389" s="55">
        <f t="shared" si="319"/>
        <v>74.712553078000568</v>
      </c>
      <c r="BF1389" s="56">
        <f t="shared" si="320"/>
        <v>1.4114598811313841</v>
      </c>
      <c r="BG1389" s="56">
        <f t="shared" si="323"/>
        <v>1.5829762871134917E-3</v>
      </c>
      <c r="BH1389" s="56">
        <f t="shared" si="324"/>
        <v>3.9786634528613897E-2</v>
      </c>
      <c r="BI1389" s="56">
        <f t="shared" si="321"/>
        <v>3.8990185371070483E-2</v>
      </c>
      <c r="BJ1389" s="57">
        <f t="shared" si="325"/>
        <v>0.14495131562378807</v>
      </c>
      <c r="BK1389" s="57">
        <f t="shared" si="326"/>
        <v>4.0859291123050995E-3</v>
      </c>
      <c r="BL1389" s="58">
        <f t="shared" si="327"/>
        <v>255.75408880485256</v>
      </c>
      <c r="BM1389" s="58">
        <f t="shared" si="327"/>
        <v>7.2092693504833303</v>
      </c>
    </row>
    <row r="1390" spans="47:65" x14ac:dyDescent="0.2">
      <c r="AU1390" s="2">
        <v>-247</v>
      </c>
      <c r="AV1390" s="53">
        <v>1388</v>
      </c>
      <c r="AW1390" s="4" t="s">
        <v>1568</v>
      </c>
      <c r="AX1390" t="s">
        <v>145</v>
      </c>
      <c r="AY1390" s="4">
        <v>48179</v>
      </c>
      <c r="AZ1390" s="9">
        <v>26.688453977805285</v>
      </c>
      <c r="BA1390" s="7">
        <f t="shared" si="322"/>
        <v>6.8403639162555084E-4</v>
      </c>
      <c r="BB1390" s="54">
        <f t="shared" si="316"/>
        <v>2707.6168433662883</v>
      </c>
      <c r="BC1390" s="55">
        <f t="shared" si="317"/>
        <v>5820.6941936208286</v>
      </c>
      <c r="BD1390" s="55">
        <f t="shared" si="318"/>
        <v>76.293474122108435</v>
      </c>
      <c r="BE1390" s="55">
        <f t="shared" si="319"/>
        <v>74.766230767385565</v>
      </c>
      <c r="BF1390" s="56">
        <f t="shared" si="320"/>
        <v>1.4130220195588823</v>
      </c>
      <c r="BG1390" s="56">
        <f t="shared" si="323"/>
        <v>1.5852517021470532E-3</v>
      </c>
      <c r="BH1390" s="56">
        <f t="shared" si="324"/>
        <v>3.9815219478825596E-2</v>
      </c>
      <c r="BI1390" s="56">
        <f t="shared" si="321"/>
        <v>3.9018198107527886E-2</v>
      </c>
      <c r="BJ1390" s="57">
        <f t="shared" si="325"/>
        <v>0.21661777136885338</v>
      </c>
      <c r="BK1390" s="57">
        <f t="shared" si="326"/>
        <v>6.1037152929558853E-3</v>
      </c>
      <c r="BL1390" s="58">
        <f t="shared" si="327"/>
        <v>382.20336598509004</v>
      </c>
      <c r="BM1390" s="58">
        <f t="shared" si="327"/>
        <v>10.769478954753213</v>
      </c>
    </row>
    <row r="1391" spans="47:65" x14ac:dyDescent="0.2">
      <c r="AU1391" s="2">
        <v>-246</v>
      </c>
      <c r="AV1391" s="53">
        <v>1389</v>
      </c>
      <c r="AW1391" s="4" t="s">
        <v>1383</v>
      </c>
      <c r="AX1391" t="s">
        <v>6</v>
      </c>
      <c r="AY1391" s="4">
        <v>64064</v>
      </c>
      <c r="AZ1391" s="9">
        <v>26.693562957981904</v>
      </c>
      <c r="BA1391" s="7">
        <f t="shared" si="322"/>
        <v>6.8416733695373679E-4</v>
      </c>
      <c r="BB1391" s="54">
        <f t="shared" si="316"/>
        <v>2716.6347811779042</v>
      </c>
      <c r="BC1391" s="55">
        <f t="shared" si="317"/>
        <v>5845.8713293863011</v>
      </c>
      <c r="BD1391" s="55">
        <f t="shared" si="318"/>
        <v>76.4582979759967</v>
      </c>
      <c r="BE1391" s="55">
        <f t="shared" si="319"/>
        <v>74.927755176092603</v>
      </c>
      <c r="BF1391" s="56">
        <f t="shared" si="320"/>
        <v>1.41772820416179</v>
      </c>
      <c r="BG1391" s="56">
        <f t="shared" si="323"/>
        <v>1.5921086329528445E-3</v>
      </c>
      <c r="BH1391" s="56">
        <f t="shared" si="324"/>
        <v>3.9901235982771815E-2</v>
      </c>
      <c r="BI1391" s="56">
        <f t="shared" si="321"/>
        <v>3.9102492732433207E-2</v>
      </c>
      <c r="BJ1391" s="57">
        <f t="shared" si="325"/>
        <v>0.28899771094920451</v>
      </c>
      <c r="BK1391" s="57">
        <f t="shared" si="326"/>
        <v>8.1336929245072274E-3</v>
      </c>
      <c r="BL1391" s="58">
        <f t="shared" si="327"/>
        <v>509.91152382732946</v>
      </c>
      <c r="BM1391" s="58">
        <f t="shared" si="327"/>
        <v>14.351199322156655</v>
      </c>
    </row>
    <row r="1392" spans="47:65" x14ac:dyDescent="0.2">
      <c r="AU1392" s="2">
        <v>-245</v>
      </c>
      <c r="AV1392" s="53">
        <v>1390</v>
      </c>
      <c r="AW1392" s="4" t="s">
        <v>3022</v>
      </c>
      <c r="AX1392" t="s">
        <v>1184</v>
      </c>
      <c r="AY1392" s="4">
        <v>36347</v>
      </c>
      <c r="AZ1392" s="9">
        <v>26.694094565814812</v>
      </c>
      <c r="BA1392" s="7">
        <f t="shared" si="322"/>
        <v>6.8418096228790133E-4</v>
      </c>
      <c r="BB1392" s="54">
        <f t="shared" si="316"/>
        <v>2717.5748538149355</v>
      </c>
      <c r="BC1392" s="55">
        <f t="shared" si="317"/>
        <v>5848.4965096182359</v>
      </c>
      <c r="BD1392" s="55">
        <f t="shared" si="318"/>
        <v>76.475463448208245</v>
      </c>
      <c r="BE1392" s="55">
        <f t="shared" si="319"/>
        <v>74.944577029748729</v>
      </c>
      <c r="BF1392" s="56">
        <f t="shared" si="320"/>
        <v>1.418218799180567</v>
      </c>
      <c r="BG1392" s="56">
        <f t="shared" si="323"/>
        <v>1.5928235943117213E-3</v>
      </c>
      <c r="BH1392" s="56">
        <f t="shared" si="324"/>
        <v>3.991019411518467E-2</v>
      </c>
      <c r="BI1392" s="56">
        <f t="shared" si="321"/>
        <v>3.9111271540882175E-2</v>
      </c>
      <c r="BJ1392" s="57">
        <f t="shared" si="325"/>
        <v>0.16402089637560691</v>
      </c>
      <c r="BK1392" s="57">
        <f t="shared" si="326"/>
        <v>4.6157234815102843E-3</v>
      </c>
      <c r="BL1392" s="58">
        <f t="shared" si="327"/>
        <v>289.40071855832269</v>
      </c>
      <c r="BM1392" s="58">
        <f t="shared" si="327"/>
        <v>8.1440457998512539</v>
      </c>
    </row>
    <row r="1393" spans="47:65" x14ac:dyDescent="0.2">
      <c r="AU1393" s="2">
        <v>-244</v>
      </c>
      <c r="AV1393" s="53">
        <v>1391</v>
      </c>
      <c r="AW1393" s="4" t="s">
        <v>2917</v>
      </c>
      <c r="AX1393" t="s">
        <v>1129</v>
      </c>
      <c r="AY1393" s="4">
        <v>31705</v>
      </c>
      <c r="AZ1393" s="9">
        <v>26.699708774312082</v>
      </c>
      <c r="BA1393" s="7">
        <f t="shared" si="322"/>
        <v>6.8432485683216754E-4</v>
      </c>
      <c r="BB1393" s="54">
        <f t="shared" si="316"/>
        <v>2727.522662951194</v>
      </c>
      <c r="BC1393" s="55">
        <f t="shared" si="317"/>
        <v>5876.2828908010624</v>
      </c>
      <c r="BD1393" s="55">
        <f t="shared" si="318"/>
        <v>76.656916783817124</v>
      </c>
      <c r="BE1393" s="55">
        <f t="shared" si="319"/>
        <v>75.122398031082767</v>
      </c>
      <c r="BF1393" s="56">
        <f t="shared" si="320"/>
        <v>1.4234102550508245</v>
      </c>
      <c r="BG1393" s="56">
        <f t="shared" si="323"/>
        <v>1.6003911466692955E-3</v>
      </c>
      <c r="BH1393" s="56">
        <f t="shared" si="324"/>
        <v>4.0004889034582956E-2</v>
      </c>
      <c r="BI1393" s="56">
        <f t="shared" si="321"/>
        <v>3.9204070856651951E-2</v>
      </c>
      <c r="BJ1393" s="57">
        <f t="shared" si="325"/>
        <v>0.14359695148420903</v>
      </c>
      <c r="BK1393" s="57">
        <f t="shared" si="326"/>
        <v>4.0357866535288226E-3</v>
      </c>
      <c r="BL1393" s="58">
        <f t="shared" si="327"/>
        <v>253.36443014644465</v>
      </c>
      <c r="BM1393" s="58">
        <f t="shared" si="327"/>
        <v>7.1207973086838212</v>
      </c>
    </row>
    <row r="1394" spans="47:65" x14ac:dyDescent="0.2">
      <c r="AU1394" s="2">
        <v>-243</v>
      </c>
      <c r="AV1394" s="53">
        <v>1392</v>
      </c>
      <c r="AW1394" s="4" t="s">
        <v>1777</v>
      </c>
      <c r="AX1394" t="s">
        <v>273</v>
      </c>
      <c r="AY1394" s="4">
        <v>27153</v>
      </c>
      <c r="AZ1394" s="9">
        <v>26.700194017798434</v>
      </c>
      <c r="BA1394" s="7">
        <f t="shared" si="322"/>
        <v>6.8433729382847092E-4</v>
      </c>
      <c r="BB1394" s="54">
        <f t="shared" si="316"/>
        <v>2728.3841732145643</v>
      </c>
      <c r="BC1394" s="55">
        <f t="shared" si="317"/>
        <v>5878.6898596147612</v>
      </c>
      <c r="BD1394" s="55">
        <f t="shared" si="318"/>
        <v>76.672614795732386</v>
      </c>
      <c r="BE1394" s="55">
        <f t="shared" si="319"/>
        <v>75.137781800074151</v>
      </c>
      <c r="BF1394" s="56">
        <f t="shared" si="320"/>
        <v>1.423859850781181</v>
      </c>
      <c r="BG1394" s="56">
        <f t="shared" si="323"/>
        <v>1.6010466786869988E-3</v>
      </c>
      <c r="BH1394" s="56">
        <f t="shared" si="324"/>
        <v>4.001308134456779E-2</v>
      </c>
      <c r="BI1394" s="56">
        <f t="shared" si="321"/>
        <v>3.9212099172912185E-2</v>
      </c>
      <c r="BJ1394" s="57">
        <f t="shared" si="325"/>
        <v>0.12301906899170315</v>
      </c>
      <c r="BK1394" s="57">
        <f t="shared" si="326"/>
        <v>3.4570621622608605E-3</v>
      </c>
      <c r="BL1394" s="58">
        <f t="shared" si="327"/>
        <v>217.05653212043683</v>
      </c>
      <c r="BM1394" s="58">
        <f t="shared" si="327"/>
        <v>6.0996878810367967</v>
      </c>
    </row>
    <row r="1395" spans="47:65" x14ac:dyDescent="0.2">
      <c r="AU1395" s="2">
        <v>-242</v>
      </c>
      <c r="AV1395" s="53">
        <v>1393</v>
      </c>
      <c r="AW1395" s="4" t="s">
        <v>1986</v>
      </c>
      <c r="AX1395" t="s">
        <v>416</v>
      </c>
      <c r="AY1395" s="4">
        <v>38102</v>
      </c>
      <c r="AZ1395" s="9">
        <v>26.701296237304177</v>
      </c>
      <c r="BA1395" s="7">
        <f t="shared" si="322"/>
        <v>6.8436554418175536E-4</v>
      </c>
      <c r="BB1395" s="54">
        <f t="shared" si="316"/>
        <v>2730.3420853915018</v>
      </c>
      <c r="BC1395" s="55">
        <f t="shared" si="317"/>
        <v>5884.1604041404307</v>
      </c>
      <c r="BD1395" s="55">
        <f t="shared" si="318"/>
        <v>76.708281196624597</v>
      </c>
      <c r="BE1395" s="55">
        <f t="shared" si="319"/>
        <v>75.172734230677605</v>
      </c>
      <c r="BF1395" s="56">
        <f t="shared" si="320"/>
        <v>1.4248816249753964</v>
      </c>
      <c r="BG1395" s="56">
        <f t="shared" si="323"/>
        <v>1.6025365679907648E-3</v>
      </c>
      <c r="BH1395" s="56">
        <f t="shared" si="324"/>
        <v>4.0031694543083793E-2</v>
      </c>
      <c r="BI1395" s="56">
        <f t="shared" si="321"/>
        <v>3.9230339772276412E-2</v>
      </c>
      <c r="BJ1395" s="57">
        <f t="shared" si="325"/>
        <v>0.17274835908450856</v>
      </c>
      <c r="BK1395" s="57">
        <f t="shared" si="326"/>
        <v>4.8533221444338652E-3</v>
      </c>
      <c r="BL1395" s="58">
        <f t="shared" si="327"/>
        <v>304.7995734296141</v>
      </c>
      <c r="BM1395" s="58">
        <f t="shared" si="327"/>
        <v>8.5632681385776444</v>
      </c>
    </row>
    <row r="1396" spans="47:65" x14ac:dyDescent="0.2">
      <c r="AU1396" s="2">
        <v>-241</v>
      </c>
      <c r="AV1396" s="53">
        <v>1394</v>
      </c>
      <c r="AW1396" s="4" t="s">
        <v>2075</v>
      </c>
      <c r="AX1396" t="s">
        <v>492</v>
      </c>
      <c r="AY1396" s="4">
        <v>43148</v>
      </c>
      <c r="AZ1396" s="9">
        <v>26.701340308573624</v>
      </c>
      <c r="BA1396" s="7">
        <f t="shared" si="322"/>
        <v>6.8436667374707793E-4</v>
      </c>
      <c r="BB1396" s="54">
        <f t="shared" si="316"/>
        <v>2730.4203999814999</v>
      </c>
      <c r="BC1396" s="55">
        <f t="shared" si="317"/>
        <v>5884.379230556031</v>
      </c>
      <c r="BD1396" s="55">
        <f t="shared" si="318"/>
        <v>76.709707537938314</v>
      </c>
      <c r="BE1396" s="55">
        <f t="shared" si="319"/>
        <v>75.174132019479885</v>
      </c>
      <c r="BF1396" s="56">
        <f t="shared" si="320"/>
        <v>1.4249224949531367</v>
      </c>
      <c r="BG1396" s="56">
        <f t="shared" si="323"/>
        <v>1.6025961648253437E-3</v>
      </c>
      <c r="BH1396" s="56">
        <f t="shared" si="324"/>
        <v>4.0032438906783381E-2</v>
      </c>
      <c r="BI1396" s="56">
        <f t="shared" si="321"/>
        <v>3.9231069235297712E-2</v>
      </c>
      <c r="BJ1396" s="57">
        <f t="shared" si="325"/>
        <v>0.19563172521373406</v>
      </c>
      <c r="BK1396" s="57">
        <f t="shared" si="326"/>
        <v>5.4961691710151651E-3</v>
      </c>
      <c r="BL1396" s="58">
        <f t="shared" si="327"/>
        <v>345.17529839617964</v>
      </c>
      <c r="BM1396" s="58">
        <f t="shared" si="327"/>
        <v>9.6975162467557521</v>
      </c>
    </row>
    <row r="1397" spans="47:65" x14ac:dyDescent="0.2">
      <c r="AU1397" s="2">
        <v>-240</v>
      </c>
      <c r="AV1397" s="53">
        <v>1395</v>
      </c>
      <c r="AW1397" s="4" t="s">
        <v>1787</v>
      </c>
      <c r="AX1397" t="s">
        <v>277</v>
      </c>
      <c r="AY1397" s="4">
        <v>43277</v>
      </c>
      <c r="AZ1397" s="9">
        <v>26.705125410153492</v>
      </c>
      <c r="BA1397" s="7">
        <f t="shared" si="322"/>
        <v>6.8446368750549129E-4</v>
      </c>
      <c r="BB1397" s="54">
        <f t="shared" si="316"/>
        <v>2737.154909461472</v>
      </c>
      <c r="BC1397" s="55">
        <f t="shared" si="317"/>
        <v>5903.1996258373183</v>
      </c>
      <c r="BD1397" s="55">
        <f t="shared" si="318"/>
        <v>76.832282445839908</v>
      </c>
      <c r="BE1397" s="55">
        <f t="shared" si="319"/>
        <v>75.294253221927605</v>
      </c>
      <c r="BF1397" s="56">
        <f t="shared" si="320"/>
        <v>1.4284370284845131</v>
      </c>
      <c r="BG1397" s="56">
        <f t="shared" si="323"/>
        <v>1.6077218530441703E-3</v>
      </c>
      <c r="BH1397" s="56">
        <f t="shared" si="324"/>
        <v>4.0096406984219547E-2</v>
      </c>
      <c r="BI1397" s="56">
        <f t="shared" si="321"/>
        <v>3.9293756799265292E-2</v>
      </c>
      <c r="BJ1397" s="57">
        <f t="shared" si="325"/>
        <v>0.19670057036322378</v>
      </c>
      <c r="BK1397" s="57">
        <f t="shared" si="326"/>
        <v>5.521409740882703E-3</v>
      </c>
      <c r="BL1397" s="58">
        <f t="shared" si="327"/>
        <v>347.06118343354433</v>
      </c>
      <c r="BM1397" s="58">
        <f t="shared" si="327"/>
        <v>9.7420510543192922</v>
      </c>
    </row>
    <row r="1398" spans="47:65" x14ac:dyDescent="0.2">
      <c r="AU1398" s="2">
        <v>-239</v>
      </c>
      <c r="AV1398" s="53">
        <v>1396</v>
      </c>
      <c r="AW1398" s="4" t="s">
        <v>1452</v>
      </c>
      <c r="AX1398" t="s">
        <v>56</v>
      </c>
      <c r="AY1398" s="4">
        <v>21336</v>
      </c>
      <c r="AZ1398" s="9">
        <v>26.708988284840007</v>
      </c>
      <c r="BA1398" s="7">
        <f t="shared" si="322"/>
        <v>6.8456269462160459E-4</v>
      </c>
      <c r="BB1398" s="54">
        <f t="shared" si="316"/>
        <v>2744.0449216654411</v>
      </c>
      <c r="BC1398" s="55">
        <f t="shared" si="317"/>
        <v>5922.4603803217988</v>
      </c>
      <c r="BD1398" s="55">
        <f t="shared" si="318"/>
        <v>76.957523221071753</v>
      </c>
      <c r="BE1398" s="55">
        <f t="shared" si="319"/>
        <v>75.416986926352749</v>
      </c>
      <c r="BF1398" s="56">
        <f t="shared" si="320"/>
        <v>1.4320327141086042</v>
      </c>
      <c r="BG1398" s="56">
        <f t="shared" si="323"/>
        <v>1.6129674720058839E-3</v>
      </c>
      <c r="BH1398" s="56">
        <f t="shared" si="324"/>
        <v>4.0161766295892465E-2</v>
      </c>
      <c r="BI1398" s="56">
        <f t="shared" si="321"/>
        <v>3.9357807747731913E-2</v>
      </c>
      <c r="BJ1398" s="57">
        <f t="shared" si="325"/>
        <v>9.7219484553821525E-2</v>
      </c>
      <c r="BK1398" s="57">
        <f t="shared" si="326"/>
        <v>2.7265481993462288E-3</v>
      </c>
      <c r="BL1398" s="58">
        <f t="shared" si="327"/>
        <v>171.53539158398343</v>
      </c>
      <c r="BM1398" s="58">
        <f t="shared" si="327"/>
        <v>4.8107590283359087</v>
      </c>
    </row>
    <row r="1399" spans="47:65" x14ac:dyDescent="0.2">
      <c r="AU1399" s="2">
        <v>-238</v>
      </c>
      <c r="AV1399" s="53">
        <v>1397</v>
      </c>
      <c r="AW1399" s="4" t="s">
        <v>2387</v>
      </c>
      <c r="AX1399" t="s">
        <v>727</v>
      </c>
      <c r="AY1399" s="4">
        <v>17271</v>
      </c>
      <c r="AZ1399" s="9">
        <v>26.711528627108795</v>
      </c>
      <c r="BA1399" s="7">
        <f t="shared" si="322"/>
        <v>6.8462780467108447E-4</v>
      </c>
      <c r="BB1399" s="54">
        <f t="shared" si="316"/>
        <v>2748.5854516589388</v>
      </c>
      <c r="BC1399" s="55">
        <f t="shared" si="317"/>
        <v>5935.1564241166679</v>
      </c>
      <c r="BD1399" s="55">
        <f t="shared" si="318"/>
        <v>77.039966407811136</v>
      </c>
      <c r="BE1399" s="55">
        <f t="shared" si="319"/>
        <v>75.497779764742702</v>
      </c>
      <c r="BF1399" s="56">
        <f t="shared" si="320"/>
        <v>1.4344022771717833</v>
      </c>
      <c r="BG1399" s="56">
        <f t="shared" si="323"/>
        <v>1.6164252082081518E-3</v>
      </c>
      <c r="BH1399" s="56">
        <f t="shared" si="324"/>
        <v>4.0204790861390532E-2</v>
      </c>
      <c r="BI1399" s="56">
        <f t="shared" si="321"/>
        <v>3.9399971047145259E-2</v>
      </c>
      <c r="BJ1399" s="57">
        <f t="shared" si="325"/>
        <v>7.882714953393577E-2</v>
      </c>
      <c r="BK1399" s="57">
        <f t="shared" si="326"/>
        <v>2.2094422963830113E-3</v>
      </c>
      <c r="BL1399" s="58">
        <f t="shared" si="327"/>
        <v>139.08370348607633</v>
      </c>
      <c r="BM1399" s="58">
        <f t="shared" si="327"/>
        <v>3.8983702827848177</v>
      </c>
    </row>
    <row r="1400" spans="47:65" x14ac:dyDescent="0.2">
      <c r="AU1400" s="2">
        <v>-237</v>
      </c>
      <c r="AV1400" s="53">
        <v>1398</v>
      </c>
      <c r="AW1400" s="4" t="s">
        <v>2384</v>
      </c>
      <c r="AX1400" t="s">
        <v>724</v>
      </c>
      <c r="AY1400" s="4">
        <v>34280</v>
      </c>
      <c r="AZ1400" s="9">
        <v>26.725941110848353</v>
      </c>
      <c r="BA1400" s="7">
        <f t="shared" si="322"/>
        <v>6.8499720274036824E-4</v>
      </c>
      <c r="BB1400" s="54">
        <f t="shared" si="316"/>
        <v>2774.4884918999878</v>
      </c>
      <c r="BC1400" s="55">
        <f t="shared" si="317"/>
        <v>6007.6328200711059</v>
      </c>
      <c r="BD1400" s="55">
        <f t="shared" si="318"/>
        <v>77.508920906377654</v>
      </c>
      <c r="BE1400" s="55">
        <f t="shared" si="319"/>
        <v>75.957346728531903</v>
      </c>
      <c r="BF1400" s="56">
        <f t="shared" si="320"/>
        <v>1.4479202778164442</v>
      </c>
      <c r="BG1400" s="56">
        <f t="shared" si="323"/>
        <v>1.6361639758243464E-3</v>
      </c>
      <c r="BH1400" s="56">
        <f t="shared" si="324"/>
        <v>4.0449523802195082E-2</v>
      </c>
      <c r="BI1400" s="56">
        <f t="shared" si="321"/>
        <v>3.9639804922049007E-2</v>
      </c>
      <c r="BJ1400" s="57">
        <f t="shared" si="325"/>
        <v>0.15793298207562928</v>
      </c>
      <c r="BK1400" s="57">
        <f t="shared" si="326"/>
        <v>4.4120619177001929E-3</v>
      </c>
      <c r="BL1400" s="58">
        <f t="shared" si="327"/>
        <v>278.65911909223757</v>
      </c>
      <c r="BM1400" s="58">
        <f t="shared" si="327"/>
        <v>7.7847025441335163</v>
      </c>
    </row>
    <row r="1401" spans="47:65" x14ac:dyDescent="0.2">
      <c r="AU1401" s="2">
        <v>-236</v>
      </c>
      <c r="AV1401" s="53">
        <v>1399</v>
      </c>
      <c r="AW1401" s="4" t="s">
        <v>2493</v>
      </c>
      <c r="AX1401" t="s">
        <v>804</v>
      </c>
      <c r="AY1401" s="4">
        <v>50576</v>
      </c>
      <c r="AZ1401" s="9">
        <v>26.732252803642627</v>
      </c>
      <c r="BA1401" s="7">
        <f t="shared" si="322"/>
        <v>6.8515897410290701E-4</v>
      </c>
      <c r="BB1401" s="54">
        <f t="shared" si="316"/>
        <v>2785.9090034852375</v>
      </c>
      <c r="BC1401" s="55">
        <f t="shared" si="317"/>
        <v>6039.6123806071109</v>
      </c>
      <c r="BD1401" s="55">
        <f t="shared" si="318"/>
        <v>77.7149430972391</v>
      </c>
      <c r="BE1401" s="55">
        <f t="shared" si="319"/>
        <v>76.159244765584134</v>
      </c>
      <c r="BF1401" s="56">
        <f t="shared" si="320"/>
        <v>1.4538802918354592</v>
      </c>
      <c r="BG1401" s="56">
        <f t="shared" si="323"/>
        <v>1.6448735302324834E-3</v>
      </c>
      <c r="BH1401" s="56">
        <f t="shared" si="324"/>
        <v>4.0557040452090229E-2</v>
      </c>
      <c r="BI1401" s="56">
        <f t="shared" si="321"/>
        <v>3.974516930281545E-2</v>
      </c>
      <c r="BJ1401" s="57">
        <f t="shared" si="325"/>
        <v>0.23397017512488139</v>
      </c>
      <c r="BK1401" s="57">
        <f t="shared" si="326"/>
        <v>6.5267669631471764E-3</v>
      </c>
      <c r="BL1401" s="58">
        <f t="shared" si="327"/>
        <v>412.82018510189795</v>
      </c>
      <c r="BM1401" s="58">
        <f t="shared" si="327"/>
        <v>11.515917122365044</v>
      </c>
    </row>
    <row r="1402" spans="47:65" x14ac:dyDescent="0.2">
      <c r="AU1402" s="2">
        <v>-235</v>
      </c>
      <c r="AV1402" s="53">
        <v>1400</v>
      </c>
      <c r="AW1402" s="4" t="s">
        <v>2498</v>
      </c>
      <c r="AX1402" t="s">
        <v>809</v>
      </c>
      <c r="AY1402" s="4">
        <v>44340</v>
      </c>
      <c r="AZ1402" s="9">
        <v>26.732270058077241</v>
      </c>
      <c r="BA1402" s="7">
        <f t="shared" si="322"/>
        <v>6.8515941634138223E-4</v>
      </c>
      <c r="BB1402" s="54">
        <f t="shared" si="316"/>
        <v>2785.9402883761977</v>
      </c>
      <c r="BC1402" s="55">
        <f t="shared" si="317"/>
        <v>6039.7000048583423</v>
      </c>
      <c r="BD1402" s="55">
        <f t="shared" si="318"/>
        <v>77.715506849394885</v>
      </c>
      <c r="BE1402" s="55">
        <f t="shared" si="319"/>
        <v>76.159797232544918</v>
      </c>
      <c r="BF1402" s="56">
        <f t="shared" si="320"/>
        <v>1.4538966184585977</v>
      </c>
      <c r="BG1402" s="56">
        <f t="shared" si="323"/>
        <v>1.6448973944813278E-3</v>
      </c>
      <c r="BH1402" s="56">
        <f t="shared" si="324"/>
        <v>4.0557334657017684E-2</v>
      </c>
      <c r="BI1402" s="56">
        <f t="shared" si="321"/>
        <v>3.9745457618346393E-2</v>
      </c>
      <c r="BJ1402" s="57">
        <f t="shared" si="325"/>
        <v>0.20512405220847799</v>
      </c>
      <c r="BK1402" s="57">
        <f t="shared" si="326"/>
        <v>5.7220607889182712E-3</v>
      </c>
      <c r="BL1402" s="58">
        <f t="shared" si="327"/>
        <v>361.92369030094426</v>
      </c>
      <c r="BM1402" s="58">
        <f t="shared" si="327"/>
        <v>10.096082514725392</v>
      </c>
    </row>
    <row r="1403" spans="47:65" x14ac:dyDescent="0.2">
      <c r="AU1403" s="2">
        <v>-234</v>
      </c>
      <c r="AV1403" s="53">
        <v>1401</v>
      </c>
      <c r="AW1403" s="4" t="s">
        <v>1961</v>
      </c>
      <c r="AX1403" t="s">
        <v>404</v>
      </c>
      <c r="AY1403" s="4">
        <v>48583</v>
      </c>
      <c r="AZ1403" s="9">
        <v>26.746533353492669</v>
      </c>
      <c r="BA1403" s="7">
        <f t="shared" si="322"/>
        <v>6.8552499065066119E-4</v>
      </c>
      <c r="BB1403" s="54">
        <f t="shared" si="316"/>
        <v>2811.9223563296086</v>
      </c>
      <c r="BC1403" s="55">
        <f t="shared" si="317"/>
        <v>6112.5102538021783</v>
      </c>
      <c r="BD1403" s="55">
        <f t="shared" si="318"/>
        <v>78.182544431619633</v>
      </c>
      <c r="BE1403" s="55">
        <f t="shared" si="319"/>
        <v>76.617485652838496</v>
      </c>
      <c r="BF1403" s="56">
        <f t="shared" si="320"/>
        <v>1.4674558612376465</v>
      </c>
      <c r="BG1403" s="56">
        <f t="shared" si="323"/>
        <v>1.6647270861351393E-3</v>
      </c>
      <c r="BH1403" s="56">
        <f t="shared" si="324"/>
        <v>4.08010672180905E-2</v>
      </c>
      <c r="BI1403" s="56">
        <f t="shared" si="321"/>
        <v>3.9984311139127607E-2</v>
      </c>
      <c r="BJ1403" s="57">
        <f t="shared" si="325"/>
        <v>0.22684893690556238</v>
      </c>
      <c r="BK1403" s="57">
        <f t="shared" si="326"/>
        <v>6.3072961630546223E-3</v>
      </c>
      <c r="BL1403" s="58">
        <f t="shared" si="327"/>
        <v>400.25537474397566</v>
      </c>
      <c r="BM1403" s="58">
        <f t="shared" si="327"/>
        <v>11.128679833380195</v>
      </c>
    </row>
    <row r="1404" spans="47:65" x14ac:dyDescent="0.2">
      <c r="AU1404" s="2">
        <v>-233</v>
      </c>
      <c r="AV1404" s="53">
        <v>1402</v>
      </c>
      <c r="AW1404" s="4" t="s">
        <v>1827</v>
      </c>
      <c r="AX1404" t="s">
        <v>306</v>
      </c>
      <c r="AY1404" s="4">
        <v>7729</v>
      </c>
      <c r="AZ1404" s="9">
        <v>26.74831758894608</v>
      </c>
      <c r="BA1404" s="7">
        <f t="shared" si="322"/>
        <v>6.8557072136186589E-4</v>
      </c>
      <c r="BB1404" s="54">
        <f t="shared" si="316"/>
        <v>2815.1895326388399</v>
      </c>
      <c r="BC1404" s="55">
        <f t="shared" si="317"/>
        <v>6121.671302918694</v>
      </c>
      <c r="BD1404" s="55">
        <f t="shared" si="318"/>
        <v>78.241110056789793</v>
      </c>
      <c r="BE1404" s="55">
        <f t="shared" si="319"/>
        <v>76.674878910871286</v>
      </c>
      <c r="BF1404" s="56">
        <f t="shared" si="320"/>
        <v>1.4691609001459529</v>
      </c>
      <c r="BG1404" s="56">
        <f t="shared" si="323"/>
        <v>1.6672220752590699E-3</v>
      </c>
      <c r="BH1404" s="56">
        <f t="shared" si="324"/>
        <v>4.0831630818019868E-2</v>
      </c>
      <c r="BI1404" s="56">
        <f t="shared" si="321"/>
        <v>4.0014262916677333E-2</v>
      </c>
      <c r="BJ1404" s="57">
        <f t="shared" si="325"/>
        <v>3.6131004937256843E-2</v>
      </c>
      <c r="BK1404" s="57">
        <f t="shared" si="326"/>
        <v>1.004170376801862E-3</v>
      </c>
      <c r="BL1404" s="58">
        <f t="shared" si="327"/>
        <v>63.750040526125893</v>
      </c>
      <c r="BM1404" s="58">
        <f t="shared" si="327"/>
        <v>1.7717719816379416</v>
      </c>
    </row>
    <row r="1405" spans="47:65" x14ac:dyDescent="0.2">
      <c r="AU1405" s="2">
        <v>-232</v>
      </c>
      <c r="AV1405" s="53">
        <v>1403</v>
      </c>
      <c r="AW1405" s="4" t="s">
        <v>2247</v>
      </c>
      <c r="AX1405" t="s">
        <v>614</v>
      </c>
      <c r="AY1405" s="4">
        <v>38144</v>
      </c>
      <c r="AZ1405" s="9">
        <v>26.761164468501683</v>
      </c>
      <c r="BA1405" s="7">
        <f t="shared" si="322"/>
        <v>6.8589999233208295E-4</v>
      </c>
      <c r="BB1405" s="54">
        <f t="shared" si="316"/>
        <v>2838.826252832082</v>
      </c>
      <c r="BC1405" s="55">
        <f t="shared" si="317"/>
        <v>6187.9825527734401</v>
      </c>
      <c r="BD1405" s="55">
        <f t="shared" si="318"/>
        <v>78.663730859738919</v>
      </c>
      <c r="BE1405" s="55">
        <f t="shared" si="319"/>
        <v>77.089039687320138</v>
      </c>
      <c r="BF1405" s="56">
        <f t="shared" si="320"/>
        <v>1.4814961780066414</v>
      </c>
      <c r="BG1405" s="56">
        <f t="shared" si="323"/>
        <v>1.685281780546076E-3</v>
      </c>
      <c r="BH1405" s="56">
        <f t="shared" si="324"/>
        <v>4.1052183627013995E-2</v>
      </c>
      <c r="BI1405" s="56">
        <f t="shared" si="321"/>
        <v>4.0230400697836149E-2</v>
      </c>
      <c r="BJ1405" s="57">
        <f t="shared" si="325"/>
        <v>0.17981012431331214</v>
      </c>
      <c r="BK1405" s="57">
        <f t="shared" si="326"/>
        <v>4.9825293854205361E-3</v>
      </c>
      <c r="BL1405" s="58">
        <f t="shared" si="327"/>
        <v>317.2594488275995</v>
      </c>
      <c r="BM1405" s="58">
        <f t="shared" si="327"/>
        <v>8.791243166215903</v>
      </c>
    </row>
    <row r="1406" spans="47:65" x14ac:dyDescent="0.2">
      <c r="AU1406" s="2">
        <v>-231</v>
      </c>
      <c r="AV1406" s="53">
        <v>1404</v>
      </c>
      <c r="AW1406" s="4" t="s">
        <v>2326</v>
      </c>
      <c r="AX1406" t="s">
        <v>677</v>
      </c>
      <c r="AY1406" s="4">
        <v>50828</v>
      </c>
      <c r="AZ1406" s="9">
        <v>26.762221093840694</v>
      </c>
      <c r="BA1406" s="7">
        <f t="shared" si="322"/>
        <v>6.8592707408754157E-4</v>
      </c>
      <c r="BB1406" s="54">
        <f t="shared" si="316"/>
        <v>2840.7791276401981</v>
      </c>
      <c r="BC1406" s="55">
        <f t="shared" si="317"/>
        <v>6193.4639018959251</v>
      </c>
      <c r="BD1406" s="55">
        <f t="shared" si="318"/>
        <v>78.698563531337243</v>
      </c>
      <c r="BE1406" s="55">
        <f t="shared" si="319"/>
        <v>77.123175078229153</v>
      </c>
      <c r="BF1406" s="56">
        <f t="shared" si="320"/>
        <v>1.4825153233528792</v>
      </c>
      <c r="BG1406" s="56">
        <f t="shared" si="323"/>
        <v>1.6867746124553859E-3</v>
      </c>
      <c r="BH1406" s="56">
        <f t="shared" si="324"/>
        <v>4.1070361727837096E-2</v>
      </c>
      <c r="BI1406" s="56">
        <f t="shared" si="321"/>
        <v>4.0248214909296455E-2</v>
      </c>
      <c r="BJ1406" s="57">
        <f t="shared" si="325"/>
        <v>0.23976709661072024</v>
      </c>
      <c r="BK1406" s="57">
        <f t="shared" si="326"/>
        <v>6.6423066481125434E-3</v>
      </c>
      <c r="BL1406" s="58">
        <f t="shared" si="327"/>
        <v>423.04835285673192</v>
      </c>
      <c r="BM1406" s="58">
        <f t="shared" si="327"/>
        <v>11.719776926754898</v>
      </c>
    </row>
    <row r="1407" spans="47:65" x14ac:dyDescent="0.2">
      <c r="AU1407" s="2">
        <v>-230</v>
      </c>
      <c r="AV1407" s="53">
        <v>1405</v>
      </c>
      <c r="AW1407" s="4" t="s">
        <v>2770</v>
      </c>
      <c r="AX1407" t="s">
        <v>1018</v>
      </c>
      <c r="AY1407" s="4">
        <v>38654</v>
      </c>
      <c r="AZ1407" s="9">
        <v>26.773290150452635</v>
      </c>
      <c r="BA1407" s="7">
        <f t="shared" si="322"/>
        <v>6.8621077870189759E-4</v>
      </c>
      <c r="BB1407" s="54">
        <f t="shared" si="316"/>
        <v>2861.3181007763919</v>
      </c>
      <c r="BC1407" s="55">
        <f t="shared" si="317"/>
        <v>6251.13718597565</v>
      </c>
      <c r="BD1407" s="55">
        <f t="shared" si="318"/>
        <v>79.064133372697199</v>
      </c>
      <c r="BE1407" s="55">
        <f t="shared" si="319"/>
        <v>77.481426939678911</v>
      </c>
      <c r="BF1407" s="56">
        <f t="shared" si="320"/>
        <v>1.4932339822250438</v>
      </c>
      <c r="BG1407" s="56">
        <f t="shared" si="323"/>
        <v>1.7024817890763614E-3</v>
      </c>
      <c r="BH1407" s="56">
        <f t="shared" si="324"/>
        <v>4.1261141393281422E-2</v>
      </c>
      <c r="BI1407" s="56">
        <f t="shared" si="321"/>
        <v>4.0435175545923199E-2</v>
      </c>
      <c r="BJ1407" s="57">
        <f t="shared" si="325"/>
        <v>0.18365792753867644</v>
      </c>
      <c r="BK1407" s="57">
        <f t="shared" si="326"/>
        <v>5.0748481526509343E-3</v>
      </c>
      <c r="BL1407" s="58">
        <f t="shared" si="327"/>
        <v>324.04856559807138</v>
      </c>
      <c r="BM1407" s="58">
        <f t="shared" si="327"/>
        <v>8.9541316649576341</v>
      </c>
    </row>
    <row r="1408" spans="47:65" x14ac:dyDescent="0.2">
      <c r="AU1408" s="2">
        <v>-229</v>
      </c>
      <c r="AV1408" s="53">
        <v>1406</v>
      </c>
      <c r="AW1408" s="4" t="s">
        <v>2886</v>
      </c>
      <c r="AX1408" t="s">
        <v>1104</v>
      </c>
      <c r="AY1408" s="4">
        <v>44115</v>
      </c>
      <c r="AZ1408" s="9">
        <v>26.78685235570876</v>
      </c>
      <c r="BA1408" s="7">
        <f t="shared" si="322"/>
        <v>6.8655838377312426E-4</v>
      </c>
      <c r="BB1408" s="54">
        <f t="shared" si="316"/>
        <v>2886.6857491146961</v>
      </c>
      <c r="BC1408" s="55">
        <f t="shared" si="317"/>
        <v>6322.4290963816266</v>
      </c>
      <c r="BD1408" s="55">
        <f t="shared" si="318"/>
        <v>79.513703827589538</v>
      </c>
      <c r="BE1408" s="55">
        <f t="shared" si="319"/>
        <v>77.921997889730051</v>
      </c>
      <c r="BF1408" s="56">
        <f t="shared" si="320"/>
        <v>1.5064725782894253</v>
      </c>
      <c r="BG1408" s="56">
        <f t="shared" si="323"/>
        <v>1.7218979649759219E-3</v>
      </c>
      <c r="BH1408" s="56">
        <f t="shared" si="324"/>
        <v>4.1495758397406379E-2</v>
      </c>
      <c r="BI1408" s="56">
        <f t="shared" si="321"/>
        <v>4.0665095985046001E-2</v>
      </c>
      <c r="BJ1408" s="57">
        <f t="shared" si="325"/>
        <v>0.2114632421450435</v>
      </c>
      <c r="BK1408" s="57">
        <f t="shared" si="326"/>
        <v>5.824750966225113E-3</v>
      </c>
      <c r="BL1408" s="58">
        <f t="shared" si="327"/>
        <v>373.10864394562259</v>
      </c>
      <c r="BM1408" s="58">
        <f t="shared" si="327"/>
        <v>10.2772704716149</v>
      </c>
    </row>
    <row r="1409" spans="47:65" x14ac:dyDescent="0.2">
      <c r="AU1409" s="2">
        <v>-228</v>
      </c>
      <c r="AV1409" s="53">
        <v>1407</v>
      </c>
      <c r="AW1409" s="4" t="s">
        <v>1840</v>
      </c>
      <c r="AX1409" t="s">
        <v>319</v>
      </c>
      <c r="AY1409" s="4">
        <v>24528</v>
      </c>
      <c r="AZ1409" s="9">
        <v>26.787516752020597</v>
      </c>
      <c r="BA1409" s="7">
        <f t="shared" si="322"/>
        <v>6.8657541253230739E-4</v>
      </c>
      <c r="BB1409" s="54">
        <f t="shared" si="316"/>
        <v>2887.9342430784827</v>
      </c>
      <c r="BC1409" s="55">
        <f t="shared" si="317"/>
        <v>6325.9394621420142</v>
      </c>
      <c r="BD1409" s="55">
        <f t="shared" si="318"/>
        <v>79.5357747315132</v>
      </c>
      <c r="BE1409" s="55">
        <f t="shared" si="319"/>
        <v>77.943626978128364</v>
      </c>
      <c r="BF1409" s="56">
        <f t="shared" si="320"/>
        <v>1.5071241289201749</v>
      </c>
      <c r="BG1409" s="56">
        <f t="shared" si="323"/>
        <v>1.7228540044296504E-3</v>
      </c>
      <c r="BH1409" s="56">
        <f t="shared" si="324"/>
        <v>4.1507276523877722E-2</v>
      </c>
      <c r="BI1409" s="56">
        <f t="shared" si="321"/>
        <v>4.0676383541572603E-2</v>
      </c>
      <c r="BJ1409" s="57">
        <f t="shared" si="325"/>
        <v>0.1176247010269654</v>
      </c>
      <c r="BK1409" s="57">
        <f t="shared" si="326"/>
        <v>3.239468400696866E-3</v>
      </c>
      <c r="BL1409" s="58">
        <f t="shared" si="327"/>
        <v>207.53863531789705</v>
      </c>
      <c r="BM1409" s="58">
        <f t="shared" si="327"/>
        <v>5.7157624645689875</v>
      </c>
    </row>
    <row r="1410" spans="47:65" x14ac:dyDescent="0.2">
      <c r="AU1410" s="2">
        <v>-227</v>
      </c>
      <c r="AV1410" s="53">
        <v>1408</v>
      </c>
      <c r="AW1410" s="4" t="s">
        <v>2396</v>
      </c>
      <c r="AX1410" t="s">
        <v>733</v>
      </c>
      <c r="AY1410" s="4">
        <v>26315</v>
      </c>
      <c r="AZ1410" s="9">
        <v>26.794515817345097</v>
      </c>
      <c r="BA1410" s="7">
        <f t="shared" si="322"/>
        <v>6.8675480154424887E-4</v>
      </c>
      <c r="BB1410" s="54">
        <f t="shared" si="316"/>
        <v>2901.1193235302767</v>
      </c>
      <c r="BC1410" s="55">
        <f t="shared" si="317"/>
        <v>6363.0210235239065</v>
      </c>
      <c r="BD1410" s="55">
        <f t="shared" si="318"/>
        <v>79.768546580239928</v>
      </c>
      <c r="BE1410" s="55">
        <f t="shared" si="319"/>
        <v>78.171739198187964</v>
      </c>
      <c r="BF1410" s="56">
        <f t="shared" si="320"/>
        <v>1.5140050172015742</v>
      </c>
      <c r="BG1410" s="56">
        <f t="shared" si="323"/>
        <v>1.7329530761798814E-3</v>
      </c>
      <c r="BH1410" s="56">
        <f t="shared" si="324"/>
        <v>4.1628752998136773E-2</v>
      </c>
      <c r="BI1410" s="56">
        <f t="shared" si="321"/>
        <v>4.0795428298830927E-2</v>
      </c>
      <c r="BJ1410" s="57">
        <f t="shared" si="325"/>
        <v>0.12677045843680571</v>
      </c>
      <c r="BK1410" s="57">
        <f t="shared" si="326"/>
        <v>3.4856529811774935E-3</v>
      </c>
      <c r="BL1410" s="58">
        <f t="shared" si="327"/>
        <v>223.67553509502517</v>
      </c>
      <c r="BM1410" s="58">
        <f t="shared" si="327"/>
        <v>6.1501339139599231</v>
      </c>
    </row>
    <row r="1411" spans="47:65" x14ac:dyDescent="0.2">
      <c r="AU1411" s="2">
        <v>-226</v>
      </c>
      <c r="AV1411" s="53">
        <v>1409</v>
      </c>
      <c r="AW1411" s="4" t="s">
        <v>3089</v>
      </c>
      <c r="AX1411" t="s">
        <v>1236</v>
      </c>
      <c r="AY1411" s="4">
        <v>53893</v>
      </c>
      <c r="AZ1411" s="9">
        <v>26.797446154005105</v>
      </c>
      <c r="BA1411" s="7">
        <f t="shared" si="322"/>
        <v>6.8682990731533725E-4</v>
      </c>
      <c r="BB1411" s="54">
        <f t="shared" ref="BB1411:BB1474" si="328">IFERROR(IF(MATCH(AX1411,$S$4:$S$20,0),VLOOKUP(AX1411,$S$4:$AT$20,20,FALSE)),AVERAGE((2^(($AE$23*AZ1411)+$AE$24)),(2^(($AF$23*AZ1411)+$AF$24)),(2^(($AG$23*AZ1411)+$AG$24)),(2^(($AH$23*AZ1411)+$AH$24))))</f>
        <v>2906.6574559830369</v>
      </c>
      <c r="BC1411" s="55">
        <f t="shared" ref="BC1411:BC1474" si="329">IFERROR(IF(MATCH(AX1411,$S$4:$S$20,0),VLOOKUP(AX1411,$S$4:$AT$20,21,FALSE)),_xlfn.VAR.S((2^(($AE$23*AZ1411)+$AE$24)),(2^(($AF$23*AZ1411)+$AF$24)),(2^(($AG$23*AZ1411)+$AG$24)),(2^(($AH$23*AZ1411)+$AH$24))))</f>
        <v>6378.6014317455547</v>
      </c>
      <c r="BD1411" s="55">
        <f t="shared" ref="BD1411:BD1474" si="330">SQRT(BC1411)</f>
        <v>79.866146969448536</v>
      </c>
      <c r="BE1411" s="55">
        <f t="shared" ref="BE1411:BE1474" si="331">_xlfn.CONFIDENCE.NORM(0.05,BD1411,4)</f>
        <v>78.26738582205094</v>
      </c>
      <c r="BF1411" s="56">
        <f t="shared" ref="BF1411:BF1474" si="332">IFERROR(IF(MATCH(AX1411,$S$4:$S$20,0),VLOOKUP(AX1411,$S$4:$AT$20,24,FALSE)),AVERAGE((2^(($AI$23*AZ1411)+$AI$24)),(2^(($AJ$23*AZ1411)+$AJ$24)),(2^(($AK$23*AZ1411)+$AK$24)),(2^(($AL$23*AZ1411)+$AL$24))))</f>
        <v>1.516895198329733</v>
      </c>
      <c r="BG1411" s="56">
        <f t="shared" si="323"/>
        <v>1.7371963619174354E-3</v>
      </c>
      <c r="BH1411" s="56">
        <f t="shared" si="324"/>
        <v>4.1679687641793035E-2</v>
      </c>
      <c r="BI1411" s="56">
        <f t="shared" ref="BI1411:BI1474" si="333">_xlfn.CONFIDENCE.NORM(0.05,BH1411,4)</f>
        <v>4.0845343332396755E-2</v>
      </c>
      <c r="BJ1411" s="57">
        <f t="shared" si="325"/>
        <v>0.26012093618816362</v>
      </c>
      <c r="BK1411" s="57">
        <f t="shared" si="326"/>
        <v>7.1473358089282632E-3</v>
      </c>
      <c r="BL1411" s="58">
        <f t="shared" si="327"/>
        <v>458.96094649141071</v>
      </c>
      <c r="BM1411" s="58">
        <f t="shared" si="327"/>
        <v>12.610857302869169</v>
      </c>
    </row>
    <row r="1412" spans="47:65" x14ac:dyDescent="0.2">
      <c r="AU1412" s="2">
        <v>-225</v>
      </c>
      <c r="AV1412" s="53">
        <v>1410</v>
      </c>
      <c r="AW1412" s="4" t="s">
        <v>2358</v>
      </c>
      <c r="AX1412" t="s">
        <v>703</v>
      </c>
      <c r="AY1412" s="4">
        <v>48671</v>
      </c>
      <c r="AZ1412" s="9">
        <v>26.807061964912656</v>
      </c>
      <c r="BA1412" s="7">
        <f t="shared" ref="BA1412:BA1475" si="334">AZ1412/$AZ$1637</f>
        <v>6.8707636462609885E-4</v>
      </c>
      <c r="BB1412" s="54">
        <f t="shared" si="328"/>
        <v>2924.9050501595175</v>
      </c>
      <c r="BC1412" s="55">
        <f t="shared" si="329"/>
        <v>6429.9579729873358</v>
      </c>
      <c r="BD1412" s="55">
        <f t="shared" si="330"/>
        <v>80.187018731134629</v>
      </c>
      <c r="BE1412" s="55">
        <f t="shared" si="331"/>
        <v>78.581834370331265</v>
      </c>
      <c r="BF1412" s="56">
        <f t="shared" si="332"/>
        <v>1.5264180569419159</v>
      </c>
      <c r="BG1412" s="56">
        <f t="shared" ref="BG1412:BG1475" si="335">IFERROR(IF(MATCH(AX1412,$S$4:$S$20,0),VLOOKUP(AX1412,$S$4:$AT$20,25,FALSE)),_xlfn.VAR.S((2^(($AI$23*AZ1412)+$AI$24)),(2^(($AJ$23*AZ1412)+$AJ$24)),(2^(($AK$23*AZ1412)+$AK$24)),(2^(($AL$23*AZ1412)+$AL$24))))</f>
        <v>1.7511831892119201E-3</v>
      </c>
      <c r="BH1412" s="56">
        <f t="shared" ref="BH1412:BH1475" si="336">SQRT(BG1412)</f>
        <v>4.1847140753125775E-2</v>
      </c>
      <c r="BI1412" s="56">
        <f t="shared" si="333"/>
        <v>4.1009444366052424E-2</v>
      </c>
      <c r="BJ1412" s="57">
        <f t="shared" ref="BJ1412:BJ1475" si="337">(((BF1412*0.000001)*AY1412)*1000000000000000)*$S$24</f>
        <v>0.23639110811941458</v>
      </c>
      <c r="BK1412" s="57">
        <f t="shared" ref="BK1412:BK1475" si="338">((((BH1412*0.000001)*AY1412)*1000000000000000)*$S$24)</f>
        <v>6.4807225840076282E-3</v>
      </c>
      <c r="BL1412" s="58">
        <f t="shared" ref="BL1412:BM1475" si="339">((BJ1412/$S$26)*0.000000001)/0.45</f>
        <v>417.09171247238032</v>
      </c>
      <c r="BM1412" s="58">
        <f t="shared" si="339"/>
        <v>11.434675788467917</v>
      </c>
    </row>
    <row r="1413" spans="47:65" x14ac:dyDescent="0.2">
      <c r="AU1413" s="2">
        <v>-224</v>
      </c>
      <c r="AV1413" s="53">
        <v>1411</v>
      </c>
      <c r="AW1413" s="4" t="s">
        <v>2388</v>
      </c>
      <c r="AX1413" t="s">
        <v>728</v>
      </c>
      <c r="AY1413" s="4">
        <v>23847</v>
      </c>
      <c r="AZ1413" s="9">
        <v>26.865750856600435</v>
      </c>
      <c r="BA1413" s="7">
        <f t="shared" si="334"/>
        <v>6.8858058580474027E-4</v>
      </c>
      <c r="BB1413" s="54">
        <f t="shared" si="328"/>
        <v>3038.7871078103085</v>
      </c>
      <c r="BC1413" s="55">
        <f t="shared" si="329"/>
        <v>6751.1351285807041</v>
      </c>
      <c r="BD1413" s="55">
        <f t="shared" si="330"/>
        <v>82.165291507915342</v>
      </c>
      <c r="BE1413" s="55">
        <f t="shared" si="331"/>
        <v>80.520506067374384</v>
      </c>
      <c r="BF1413" s="56">
        <f t="shared" si="332"/>
        <v>1.5858496029848845</v>
      </c>
      <c r="BG1413" s="56">
        <f t="shared" si="335"/>
        <v>1.8386549950926223E-3</v>
      </c>
      <c r="BH1413" s="56">
        <f t="shared" si="336"/>
        <v>4.2879540518674202E-2</v>
      </c>
      <c r="BI1413" s="56">
        <f t="shared" si="333"/>
        <v>4.2021177545113683E-2</v>
      </c>
      <c r="BJ1413" s="57">
        <f t="shared" si="337"/>
        <v>0.12033255044444056</v>
      </c>
      <c r="BK1413" s="57">
        <f t="shared" si="338"/>
        <v>3.2536530972331916E-3</v>
      </c>
      <c r="BL1413" s="58">
        <f t="shared" si="339"/>
        <v>212.31640195910893</v>
      </c>
      <c r="BM1413" s="58">
        <f t="shared" si="339"/>
        <v>5.7407901376329358</v>
      </c>
    </row>
    <row r="1414" spans="47:65" x14ac:dyDescent="0.2">
      <c r="AU1414" s="2">
        <v>-223</v>
      </c>
      <c r="AV1414" s="53">
        <v>1412</v>
      </c>
      <c r="AW1414" s="4" t="s">
        <v>2624</v>
      </c>
      <c r="AX1414" t="s">
        <v>914</v>
      </c>
      <c r="AY1414" s="4">
        <v>16076</v>
      </c>
      <c r="AZ1414" s="9">
        <v>26.873496494032896</v>
      </c>
      <c r="BA1414" s="7">
        <f t="shared" si="334"/>
        <v>6.8877910977636285E-4</v>
      </c>
      <c r="BB1414" s="54">
        <f t="shared" si="328"/>
        <v>3054.1446001020222</v>
      </c>
      <c r="BC1414" s="55">
        <f t="shared" si="329"/>
        <v>6794.5277860956512</v>
      </c>
      <c r="BD1414" s="55">
        <f t="shared" si="330"/>
        <v>82.428925663844794</v>
      </c>
      <c r="BE1414" s="55">
        <f t="shared" si="331"/>
        <v>80.778862792732568</v>
      </c>
      <c r="BF1414" s="56">
        <f t="shared" si="332"/>
        <v>1.5938642062425672</v>
      </c>
      <c r="BG1414" s="56">
        <f t="shared" si="335"/>
        <v>1.8504728783032083E-3</v>
      </c>
      <c r="BH1414" s="56">
        <f t="shared" si="336"/>
        <v>4.3017123082595941E-2</v>
      </c>
      <c r="BI1414" s="56">
        <f t="shared" si="333"/>
        <v>4.2156005980207328E-2</v>
      </c>
      <c r="BJ1414" s="57">
        <f t="shared" si="337"/>
        <v>8.15298582710655E-2</v>
      </c>
      <c r="BK1414" s="57">
        <f t="shared" si="338"/>
        <v>2.2004258169652856E-3</v>
      </c>
      <c r="BL1414" s="58">
        <f t="shared" si="339"/>
        <v>143.85239984039967</v>
      </c>
      <c r="BM1414" s="58">
        <f t="shared" si="339"/>
        <v>3.882461482869588</v>
      </c>
    </row>
    <row r="1415" spans="47:65" x14ac:dyDescent="0.2">
      <c r="AU1415" s="2">
        <v>-222</v>
      </c>
      <c r="AV1415" s="53">
        <v>1413</v>
      </c>
      <c r="AW1415" s="4" t="s">
        <v>2016</v>
      </c>
      <c r="AX1415" t="s">
        <v>441</v>
      </c>
      <c r="AY1415" s="4">
        <v>30999</v>
      </c>
      <c r="AZ1415" s="9">
        <v>26.885377006327644</v>
      </c>
      <c r="BA1415" s="7">
        <f t="shared" si="334"/>
        <v>6.8908361234393462E-4</v>
      </c>
      <c r="BB1415" s="54">
        <f t="shared" si="328"/>
        <v>3077.8513952377534</v>
      </c>
      <c r="BC1415" s="55">
        <f t="shared" si="329"/>
        <v>6861.5456600385469</v>
      </c>
      <c r="BD1415" s="55">
        <f t="shared" si="330"/>
        <v>82.834447303272</v>
      </c>
      <c r="BE1415" s="55">
        <f t="shared" si="331"/>
        <v>81.176266696847037</v>
      </c>
      <c r="BF1415" s="56">
        <f t="shared" si="332"/>
        <v>1.6062360540621836</v>
      </c>
      <c r="BG1415" s="56">
        <f t="shared" si="335"/>
        <v>1.8687250309176104E-3</v>
      </c>
      <c r="BH1415" s="56">
        <f t="shared" si="336"/>
        <v>4.3228752363648093E-2</v>
      </c>
      <c r="BI1415" s="56">
        <f t="shared" si="333"/>
        <v>4.2363398864675487E-2</v>
      </c>
      <c r="BJ1415" s="57">
        <f t="shared" si="337"/>
        <v>0.15843255508236381</v>
      </c>
      <c r="BK1415" s="57">
        <f t="shared" si="338"/>
        <v>4.2639073333429209E-3</v>
      </c>
      <c r="BL1415" s="58">
        <f t="shared" si="339"/>
        <v>279.54057255527829</v>
      </c>
      <c r="BM1415" s="58">
        <f t="shared" si="339"/>
        <v>7.5232965640532816</v>
      </c>
    </row>
    <row r="1416" spans="47:65" x14ac:dyDescent="0.2">
      <c r="AU1416" s="2">
        <v>-221</v>
      </c>
      <c r="AV1416" s="53">
        <v>1414</v>
      </c>
      <c r="AW1416" s="4" t="s">
        <v>2808</v>
      </c>
      <c r="AX1416" t="s">
        <v>1047</v>
      </c>
      <c r="AY1416" s="4">
        <v>38082</v>
      </c>
      <c r="AZ1416" s="9">
        <v>26.912050924862434</v>
      </c>
      <c r="BA1416" s="7">
        <f t="shared" si="334"/>
        <v>6.8976727618599246E-4</v>
      </c>
      <c r="BB1416" s="54">
        <f t="shared" si="328"/>
        <v>3131.750067904135</v>
      </c>
      <c r="BC1416" s="55">
        <f t="shared" si="329"/>
        <v>7014.0601263778417</v>
      </c>
      <c r="BD1416" s="55">
        <f t="shared" si="330"/>
        <v>83.749985829120249</v>
      </c>
      <c r="BE1416" s="55">
        <f t="shared" si="331"/>
        <v>82.073477965407776</v>
      </c>
      <c r="BF1416" s="56">
        <f t="shared" si="332"/>
        <v>1.6343641149025445</v>
      </c>
      <c r="BG1416" s="56">
        <f t="shared" si="335"/>
        <v>1.9102619695237288E-3</v>
      </c>
      <c r="BH1416" s="56">
        <f t="shared" si="336"/>
        <v>4.3706543783782865E-2</v>
      </c>
      <c r="BI1416" s="56">
        <f t="shared" si="333"/>
        <v>4.2831625852468691E-2</v>
      </c>
      <c r="BJ1416" s="57">
        <f t="shared" si="337"/>
        <v>0.19804137772056937</v>
      </c>
      <c r="BK1416" s="57">
        <f t="shared" si="338"/>
        <v>5.2960684020285625E-3</v>
      </c>
      <c r="BL1416" s="58">
        <f t="shared" si="339"/>
        <v>349.42692231949405</v>
      </c>
      <c r="BM1416" s="58">
        <f t="shared" si="339"/>
        <v>9.3444557062488638</v>
      </c>
    </row>
    <row r="1417" spans="47:65" x14ac:dyDescent="0.2">
      <c r="AU1417" s="2">
        <v>-220</v>
      </c>
      <c r="AV1417" s="53">
        <v>1415</v>
      </c>
      <c r="AW1417" s="4" t="s">
        <v>2161</v>
      </c>
      <c r="AX1417" t="s">
        <v>557</v>
      </c>
      <c r="AY1417" s="4">
        <v>36738</v>
      </c>
      <c r="AZ1417" s="9">
        <v>26.931643707734175</v>
      </c>
      <c r="BA1417" s="7">
        <f t="shared" si="334"/>
        <v>6.9026944751853327E-4</v>
      </c>
      <c r="BB1417" s="54">
        <f t="shared" si="328"/>
        <v>3171.9406322656364</v>
      </c>
      <c r="BC1417" s="55">
        <f t="shared" si="329"/>
        <v>7127.9072350065035</v>
      </c>
      <c r="BD1417" s="55">
        <f t="shared" si="330"/>
        <v>84.426934298282461</v>
      </c>
      <c r="BE1417" s="55">
        <f t="shared" si="331"/>
        <v>82.736875274881498</v>
      </c>
      <c r="BF1417" s="56">
        <f t="shared" si="332"/>
        <v>1.6553383352987736</v>
      </c>
      <c r="BG1417" s="56">
        <f t="shared" si="335"/>
        <v>1.9412679486620732E-3</v>
      </c>
      <c r="BH1417" s="56">
        <f t="shared" si="336"/>
        <v>4.4059822385729988E-2</v>
      </c>
      <c r="BI1417" s="56">
        <f t="shared" si="333"/>
        <v>4.3177832520631197E-2</v>
      </c>
      <c r="BJ1417" s="57">
        <f t="shared" si="337"/>
        <v>0.19350386983342374</v>
      </c>
      <c r="BK1417" s="57">
        <f t="shared" si="338"/>
        <v>5.1504553202250617E-3</v>
      </c>
      <c r="BL1417" s="58">
        <f t="shared" si="339"/>
        <v>341.42088118680272</v>
      </c>
      <c r="BM1417" s="58">
        <f t="shared" si="339"/>
        <v>9.0875339881226367</v>
      </c>
    </row>
    <row r="1418" spans="47:65" x14ac:dyDescent="0.2">
      <c r="AU1418" s="2">
        <v>-219</v>
      </c>
      <c r="AV1418" s="53">
        <v>1416</v>
      </c>
      <c r="AW1418" s="4" t="s">
        <v>1969</v>
      </c>
      <c r="AX1418" t="s">
        <v>407</v>
      </c>
      <c r="AY1418" s="4">
        <v>7745</v>
      </c>
      <c r="AZ1418" s="9">
        <v>26.936324620449646</v>
      </c>
      <c r="BA1418" s="7">
        <f t="shared" si="334"/>
        <v>6.9038942129618513E-4</v>
      </c>
      <c r="BB1418" s="54">
        <f t="shared" si="328"/>
        <v>3181.6186529209572</v>
      </c>
      <c r="BC1418" s="55">
        <f t="shared" si="329"/>
        <v>7155.3364480711134</v>
      </c>
      <c r="BD1418" s="55">
        <f t="shared" si="330"/>
        <v>84.589221819751444</v>
      </c>
      <c r="BE1418" s="55">
        <f t="shared" si="331"/>
        <v>82.895914123491238</v>
      </c>
      <c r="BF1418" s="56">
        <f t="shared" si="332"/>
        <v>1.6603889968520191</v>
      </c>
      <c r="BG1418" s="56">
        <f t="shared" si="335"/>
        <v>1.948738227163685E-3</v>
      </c>
      <c r="BH1418" s="56">
        <f t="shared" si="336"/>
        <v>4.4144515255733471E-2</v>
      </c>
      <c r="BI1418" s="56">
        <f t="shared" si="333"/>
        <v>4.3260830008108278E-2</v>
      </c>
      <c r="BJ1418" s="57">
        <f t="shared" si="337"/>
        <v>4.0918399760551616E-2</v>
      </c>
      <c r="BK1418" s="57">
        <f t="shared" si="338"/>
        <v>1.0878914073114991E-3</v>
      </c>
      <c r="BL1418" s="58">
        <f t="shared" si="339"/>
        <v>72.196985595314942</v>
      </c>
      <c r="BM1418" s="58">
        <f t="shared" si="339"/>
        <v>1.9194905158206113</v>
      </c>
    </row>
    <row r="1419" spans="47:65" x14ac:dyDescent="0.2">
      <c r="AU1419" s="2">
        <v>-218</v>
      </c>
      <c r="AV1419" s="53">
        <v>1417</v>
      </c>
      <c r="AW1419" s="4" t="s">
        <v>2258</v>
      </c>
      <c r="AX1419" t="s">
        <v>621</v>
      </c>
      <c r="AY1419" s="4">
        <v>18454</v>
      </c>
      <c r="AZ1419" s="9">
        <v>26.94997277929529</v>
      </c>
      <c r="BA1419" s="7">
        <f t="shared" si="334"/>
        <v>6.9073922939435638E-4</v>
      </c>
      <c r="BB1419" s="54">
        <f t="shared" si="328"/>
        <v>3210.0058117563385</v>
      </c>
      <c r="BC1419" s="55">
        <f t="shared" si="329"/>
        <v>7235.8212023889018</v>
      </c>
      <c r="BD1419" s="55">
        <f t="shared" si="330"/>
        <v>85.063630315128819</v>
      </c>
      <c r="BE1419" s="55">
        <f t="shared" si="331"/>
        <v>83.360825905940985</v>
      </c>
      <c r="BF1419" s="56">
        <f t="shared" si="332"/>
        <v>1.6752033826486594</v>
      </c>
      <c r="BG1419" s="56">
        <f t="shared" si="335"/>
        <v>1.970658051420849E-3</v>
      </c>
      <c r="BH1419" s="56">
        <f t="shared" si="336"/>
        <v>4.4392094469858583E-2</v>
      </c>
      <c r="BI1419" s="56">
        <f t="shared" si="333"/>
        <v>4.3503453179611254E-2</v>
      </c>
      <c r="BJ1419" s="57">
        <f t="shared" si="337"/>
        <v>9.8366094745163488E-2</v>
      </c>
      <c r="BK1419" s="57">
        <f t="shared" si="338"/>
        <v>2.6066548192221393E-3</v>
      </c>
      <c r="BL1419" s="58">
        <f t="shared" si="339"/>
        <v>173.55848632747742</v>
      </c>
      <c r="BM1419" s="58">
        <f t="shared" si="339"/>
        <v>4.599217504511766</v>
      </c>
    </row>
    <row r="1420" spans="47:65" x14ac:dyDescent="0.2">
      <c r="AU1420" s="2">
        <v>-217</v>
      </c>
      <c r="AV1420" s="53">
        <v>1418</v>
      </c>
      <c r="AW1420" s="4" t="s">
        <v>2694</v>
      </c>
      <c r="AX1420" t="s">
        <v>958</v>
      </c>
      <c r="AY1420" s="4">
        <v>85112</v>
      </c>
      <c r="AZ1420" s="9">
        <v>26.951566938106797</v>
      </c>
      <c r="BA1420" s="7">
        <f t="shared" si="334"/>
        <v>6.9078008836063478E-4</v>
      </c>
      <c r="BB1420" s="54">
        <f t="shared" si="328"/>
        <v>3213.3380217077215</v>
      </c>
      <c r="BC1420" s="55">
        <f t="shared" si="329"/>
        <v>7245.2717541801403</v>
      </c>
      <c r="BD1420" s="55">
        <f t="shared" si="330"/>
        <v>85.119162085749764</v>
      </c>
      <c r="BE1420" s="55">
        <f t="shared" si="331"/>
        <v>83.415246041148379</v>
      </c>
      <c r="BF1420" s="56">
        <f t="shared" si="332"/>
        <v>1.6769423606161771</v>
      </c>
      <c r="BG1420" s="56">
        <f t="shared" si="335"/>
        <v>1.9732318858837442E-3</v>
      </c>
      <c r="BH1420" s="56">
        <f t="shared" si="336"/>
        <v>4.4421074794333201E-2</v>
      </c>
      <c r="BI1420" s="56">
        <f t="shared" si="333"/>
        <v>4.3531853375726522E-2</v>
      </c>
      <c r="BJ1420" s="57">
        <f t="shared" si="337"/>
        <v>0.45414684708731379</v>
      </c>
      <c r="BK1420" s="57">
        <f t="shared" si="338"/>
        <v>1.2030044404545621E-2</v>
      </c>
      <c r="BL1420" s="58">
        <f t="shared" si="339"/>
        <v>801.30292409261313</v>
      </c>
      <c r="BM1420" s="58">
        <f t="shared" si="339"/>
        <v>21.225975298851001</v>
      </c>
    </row>
    <row r="1421" spans="47:65" x14ac:dyDescent="0.2">
      <c r="AU1421" s="2">
        <v>-216</v>
      </c>
      <c r="AV1421" s="53">
        <v>1419</v>
      </c>
      <c r="AW1421" s="4" t="s">
        <v>2127</v>
      </c>
      <c r="AX1421" t="s">
        <v>529</v>
      </c>
      <c r="AY1421" s="4">
        <v>97115</v>
      </c>
      <c r="AZ1421" s="9">
        <v>26.968364925312752</v>
      </c>
      <c r="BA1421" s="7">
        <f t="shared" si="334"/>
        <v>6.9121062789523986E-4</v>
      </c>
      <c r="BB1421" s="54">
        <f t="shared" si="328"/>
        <v>3248.6611922203519</v>
      </c>
      <c r="BC1421" s="55">
        <f t="shared" si="329"/>
        <v>7345.4880605655853</v>
      </c>
      <c r="BD1421" s="55">
        <f t="shared" si="330"/>
        <v>85.705822792652697</v>
      </c>
      <c r="BE1421" s="55">
        <f t="shared" si="331"/>
        <v>83.990162969485667</v>
      </c>
      <c r="BF1421" s="56">
        <f t="shared" si="332"/>
        <v>1.6953764377483487</v>
      </c>
      <c r="BG1421" s="56">
        <f t="shared" si="335"/>
        <v>2.0005255496628759E-3</v>
      </c>
      <c r="BH1421" s="56">
        <f t="shared" si="336"/>
        <v>4.4727234987900558E-2</v>
      </c>
      <c r="BI1421" s="56">
        <f t="shared" si="333"/>
        <v>4.3831884852172438E-2</v>
      </c>
      <c r="BJ1421" s="57">
        <f t="shared" si="337"/>
        <v>0.52388966342746301</v>
      </c>
      <c r="BK1421" s="57">
        <f t="shared" si="338"/>
        <v>1.3821199564960803E-2</v>
      </c>
      <c r="BL1421" s="58">
        <f t="shared" si="339"/>
        <v>924.35810553059252</v>
      </c>
      <c r="BM1421" s="58">
        <f t="shared" si="339"/>
        <v>24.386314023537373</v>
      </c>
    </row>
    <row r="1422" spans="47:65" x14ac:dyDescent="0.2">
      <c r="AU1422" s="2">
        <v>-215</v>
      </c>
      <c r="AV1422" s="53">
        <v>1420</v>
      </c>
      <c r="AW1422" s="4" t="s">
        <v>2005</v>
      </c>
      <c r="AX1422" t="s">
        <v>432</v>
      </c>
      <c r="AY1422" s="4">
        <v>38453</v>
      </c>
      <c r="AZ1422" s="9">
        <v>26.987067935137912</v>
      </c>
      <c r="BA1422" s="7">
        <f t="shared" si="334"/>
        <v>6.9168999396732403E-4</v>
      </c>
      <c r="BB1422" s="54">
        <f t="shared" si="328"/>
        <v>3288.4473596957878</v>
      </c>
      <c r="BC1422" s="55">
        <f t="shared" si="329"/>
        <v>7458.4393672862525</v>
      </c>
      <c r="BD1422" s="55">
        <f t="shared" si="330"/>
        <v>86.362256612980261</v>
      </c>
      <c r="BE1422" s="55">
        <f t="shared" si="331"/>
        <v>84.63345629252369</v>
      </c>
      <c r="BF1422" s="56">
        <f t="shared" si="332"/>
        <v>1.7161396158377409</v>
      </c>
      <c r="BG1422" s="56">
        <f t="shared" si="335"/>
        <v>2.0312875593615771E-3</v>
      </c>
      <c r="BH1422" s="56">
        <f t="shared" si="336"/>
        <v>4.5069807625078423E-2</v>
      </c>
      <c r="BI1422" s="56">
        <f t="shared" si="333"/>
        <v>4.4167599867651196E-2</v>
      </c>
      <c r="BJ1422" s="57">
        <f t="shared" si="337"/>
        <v>0.20997627010378461</v>
      </c>
      <c r="BK1422" s="57">
        <f t="shared" si="338"/>
        <v>5.5144639818767811E-3</v>
      </c>
      <c r="BL1422" s="58">
        <f t="shared" si="339"/>
        <v>370.4850100872207</v>
      </c>
      <c r="BM1422" s="58">
        <f t="shared" si="339"/>
        <v>9.7297958618915938</v>
      </c>
    </row>
    <row r="1423" spans="47:65" x14ac:dyDescent="0.2">
      <c r="AU1423" s="2">
        <v>-214</v>
      </c>
      <c r="AV1423" s="53">
        <v>1421</v>
      </c>
      <c r="AW1423" s="4" t="s">
        <v>1639</v>
      </c>
      <c r="AX1423" t="s">
        <v>190</v>
      </c>
      <c r="AY1423" s="4">
        <v>29976</v>
      </c>
      <c r="AZ1423" s="9">
        <v>26.997370627719921</v>
      </c>
      <c r="BA1423" s="7">
        <f t="shared" si="334"/>
        <v>6.9195405634664669E-4</v>
      </c>
      <c r="BB1423" s="54">
        <f t="shared" si="328"/>
        <v>3310.5716373874716</v>
      </c>
      <c r="BC1423" s="55">
        <f t="shared" si="329"/>
        <v>7521.2800270106682</v>
      </c>
      <c r="BD1423" s="55">
        <f t="shared" si="330"/>
        <v>86.725313646078376</v>
      </c>
      <c r="BE1423" s="55">
        <f t="shared" si="331"/>
        <v>84.989245647126836</v>
      </c>
      <c r="BF1423" s="56">
        <f t="shared" si="332"/>
        <v>1.7276855964375344</v>
      </c>
      <c r="BG1423" s="56">
        <f t="shared" si="335"/>
        <v>2.0484020579901101E-3</v>
      </c>
      <c r="BH1423" s="56">
        <f t="shared" si="336"/>
        <v>4.5259275933117953E-2</v>
      </c>
      <c r="BI1423" s="56">
        <f t="shared" si="333"/>
        <v>4.4353275397635811E-2</v>
      </c>
      <c r="BJ1423" s="57">
        <f t="shared" si="337"/>
        <v>0.16478806905731394</v>
      </c>
      <c r="BK1423" s="57">
        <f t="shared" si="338"/>
        <v>4.3168668554795847E-3</v>
      </c>
      <c r="BL1423" s="58">
        <f t="shared" si="339"/>
        <v>290.75432855711153</v>
      </c>
      <c r="BM1423" s="58">
        <f t="shared" si="339"/>
        <v>7.6167390710723764</v>
      </c>
    </row>
    <row r="1424" spans="47:65" x14ac:dyDescent="0.2">
      <c r="AU1424" s="2">
        <v>-213</v>
      </c>
      <c r="AV1424" s="53">
        <v>1422</v>
      </c>
      <c r="AW1424" s="4" t="s">
        <v>2407</v>
      </c>
      <c r="AX1424" t="s">
        <v>740</v>
      </c>
      <c r="AY1424" s="4">
        <v>38293</v>
      </c>
      <c r="AZ1424" s="9">
        <v>26.999415197804677</v>
      </c>
      <c r="BA1424" s="7">
        <f t="shared" si="334"/>
        <v>6.9200645954483741E-4</v>
      </c>
      <c r="BB1424" s="54">
        <f t="shared" si="328"/>
        <v>3314.9798722495498</v>
      </c>
      <c r="BC1424" s="55">
        <f t="shared" si="329"/>
        <v>7533.8034214495028</v>
      </c>
      <c r="BD1424" s="55">
        <f t="shared" si="330"/>
        <v>86.797485110166079</v>
      </c>
      <c r="BE1424" s="55">
        <f t="shared" si="331"/>
        <v>85.059972382288535</v>
      </c>
      <c r="BF1424" s="56">
        <f t="shared" si="332"/>
        <v>1.7299861187373426</v>
      </c>
      <c r="BG1424" s="56">
        <f t="shared" si="335"/>
        <v>2.0518127735662962E-3</v>
      </c>
      <c r="BH1424" s="56">
        <f t="shared" si="336"/>
        <v>4.5296940002237412E-2</v>
      </c>
      <c r="BI1424" s="56">
        <f t="shared" si="333"/>
        <v>4.4390185507128491E-2</v>
      </c>
      <c r="BJ1424" s="57">
        <f t="shared" si="337"/>
        <v>0.21078969832132097</v>
      </c>
      <c r="BK1424" s="57">
        <f t="shared" si="338"/>
        <v>5.5191936019229164E-3</v>
      </c>
      <c r="BL1424" s="58">
        <f t="shared" si="339"/>
        <v>371.92023398766548</v>
      </c>
      <c r="BM1424" s="58">
        <f t="shared" si="339"/>
        <v>9.7381408683517758</v>
      </c>
    </row>
    <row r="1425" spans="47:65" x14ac:dyDescent="0.2">
      <c r="AU1425" s="2">
        <v>-212</v>
      </c>
      <c r="AV1425" s="53">
        <v>1423</v>
      </c>
      <c r="AW1425" s="4" t="s">
        <v>1846</v>
      </c>
      <c r="AX1425" t="s">
        <v>325</v>
      </c>
      <c r="AY1425" s="4">
        <v>46348</v>
      </c>
      <c r="AZ1425" s="9">
        <v>27.000884063864252</v>
      </c>
      <c r="BA1425" s="7">
        <f t="shared" si="334"/>
        <v>6.9204410720475837E-4</v>
      </c>
      <c r="BB1425" s="54">
        <f t="shared" si="328"/>
        <v>3318.1504724838428</v>
      </c>
      <c r="BC1425" s="55">
        <f t="shared" si="329"/>
        <v>7542.8113021140489</v>
      </c>
      <c r="BD1425" s="55">
        <f t="shared" si="330"/>
        <v>86.849359825585637</v>
      </c>
      <c r="BE1425" s="55">
        <f t="shared" si="331"/>
        <v>85.110808669253842</v>
      </c>
      <c r="BF1425" s="56">
        <f t="shared" si="332"/>
        <v>1.7316407575601349</v>
      </c>
      <c r="BG1425" s="56">
        <f t="shared" si="335"/>
        <v>2.0542660476398616E-3</v>
      </c>
      <c r="BH1425" s="56">
        <f t="shared" si="336"/>
        <v>4.5324011821989696E-2</v>
      </c>
      <c r="BI1425" s="56">
        <f t="shared" si="333"/>
        <v>4.4416715402983711E-2</v>
      </c>
      <c r="BJ1425" s="57">
        <f t="shared" si="337"/>
        <v>0.25537370049315544</v>
      </c>
      <c r="BK1425" s="57">
        <f t="shared" si="338"/>
        <v>6.684158113999048E-3</v>
      </c>
      <c r="BL1425" s="58">
        <f t="shared" si="339"/>
        <v>450.58485873881756</v>
      </c>
      <c r="BM1425" s="58">
        <f t="shared" si="339"/>
        <v>11.793620227016698</v>
      </c>
    </row>
    <row r="1426" spans="47:65" x14ac:dyDescent="0.2">
      <c r="AU1426" s="2">
        <v>-211</v>
      </c>
      <c r="AV1426" s="53">
        <v>1424</v>
      </c>
      <c r="AW1426" s="4" t="s">
        <v>2354</v>
      </c>
      <c r="AX1426" t="s">
        <v>701</v>
      </c>
      <c r="AY1426" s="4">
        <v>17677</v>
      </c>
      <c r="AZ1426" s="9">
        <v>27.00117049758553</v>
      </c>
      <c r="BA1426" s="7">
        <f t="shared" si="334"/>
        <v>6.9205144862248557E-4</v>
      </c>
      <c r="BB1426" s="54">
        <f t="shared" si="328"/>
        <v>3318.7691032467524</v>
      </c>
      <c r="BC1426" s="55">
        <f t="shared" si="329"/>
        <v>7544.568919972754</v>
      </c>
      <c r="BD1426" s="55">
        <f t="shared" si="330"/>
        <v>86.859478008866446</v>
      </c>
      <c r="BE1426" s="55">
        <f t="shared" si="331"/>
        <v>85.120724306663519</v>
      </c>
      <c r="BF1426" s="56">
        <f t="shared" si="332"/>
        <v>1.7319636019434186</v>
      </c>
      <c r="BG1426" s="56">
        <f t="shared" si="335"/>
        <v>2.0547447305270228E-3</v>
      </c>
      <c r="BH1426" s="56">
        <f t="shared" si="336"/>
        <v>4.532929219088936E-2</v>
      </c>
      <c r="BI1426" s="56">
        <f t="shared" si="333"/>
        <v>4.4421890069417921E-2</v>
      </c>
      <c r="BJ1426" s="57">
        <f t="shared" si="337"/>
        <v>9.7416987391083273E-2</v>
      </c>
      <c r="BK1426" s="57">
        <f t="shared" si="338"/>
        <v>2.5496165628721215E-3</v>
      </c>
      <c r="BL1426" s="58">
        <f t="shared" si="339"/>
        <v>171.88386829813314</v>
      </c>
      <c r="BM1426" s="58">
        <f t="shared" si="339"/>
        <v>4.4985784229205512</v>
      </c>
    </row>
    <row r="1427" spans="47:65" x14ac:dyDescent="0.2">
      <c r="AU1427" s="2">
        <v>-210</v>
      </c>
      <c r="AV1427" s="53">
        <v>1425</v>
      </c>
      <c r="AW1427" s="4" t="s">
        <v>1471</v>
      </c>
      <c r="AX1427" t="s">
        <v>70</v>
      </c>
      <c r="AY1427" s="4">
        <v>91237</v>
      </c>
      <c r="AZ1427" s="9">
        <v>27.012723529992371</v>
      </c>
      <c r="BA1427" s="7">
        <f t="shared" si="334"/>
        <v>6.9234755774167549E-4</v>
      </c>
      <c r="BB1427" s="54">
        <f t="shared" si="328"/>
        <v>3343.8173743987381</v>
      </c>
      <c r="BC1427" s="55">
        <f t="shared" si="329"/>
        <v>7615.7473617456044</v>
      </c>
      <c r="BD1427" s="55">
        <f t="shared" si="330"/>
        <v>87.268249448156141</v>
      </c>
      <c r="BE1427" s="55">
        <f t="shared" si="331"/>
        <v>85.521312956121719</v>
      </c>
      <c r="BF1427" s="56">
        <f t="shared" si="332"/>
        <v>1.7450355248694245</v>
      </c>
      <c r="BG1427" s="56">
        <f t="shared" si="335"/>
        <v>2.0741300035242772E-3</v>
      </c>
      <c r="BH1427" s="56">
        <f t="shared" si="336"/>
        <v>4.554261744261387E-2</v>
      </c>
      <c r="BI1427" s="56">
        <f t="shared" si="333"/>
        <v>4.463094497460441E-2</v>
      </c>
      <c r="BJ1427" s="57">
        <f t="shared" si="337"/>
        <v>0.50659703238426057</v>
      </c>
      <c r="BK1427" s="57">
        <f t="shared" si="338"/>
        <v>1.3221366851638296E-2</v>
      </c>
      <c r="BL1427" s="58">
        <f t="shared" si="339"/>
        <v>893.84675020787495</v>
      </c>
      <c r="BM1427" s="58">
        <f t="shared" si="339"/>
        <v>23.327960959469262</v>
      </c>
    </row>
    <row r="1428" spans="47:65" x14ac:dyDescent="0.2">
      <c r="AU1428" s="2">
        <v>-209</v>
      </c>
      <c r="AV1428" s="53">
        <v>1426</v>
      </c>
      <c r="AW1428" s="4" t="s">
        <v>2133</v>
      </c>
      <c r="AX1428" t="s">
        <v>533</v>
      </c>
      <c r="AY1428" s="4">
        <v>22486</v>
      </c>
      <c r="AZ1428" s="9">
        <v>27.024959722577186</v>
      </c>
      <c r="BA1428" s="7">
        <f t="shared" si="334"/>
        <v>6.926611765458937E-4</v>
      </c>
      <c r="BB1428" s="54">
        <f t="shared" si="328"/>
        <v>3370.5530111392927</v>
      </c>
      <c r="BC1428" s="55">
        <f t="shared" si="329"/>
        <v>7691.7467602549632</v>
      </c>
      <c r="BD1428" s="55">
        <f t="shared" si="330"/>
        <v>87.702604067695518</v>
      </c>
      <c r="BE1428" s="55">
        <f t="shared" si="331"/>
        <v>85.946972661529614</v>
      </c>
      <c r="BF1428" s="56">
        <f t="shared" si="332"/>
        <v>1.7589880320396645</v>
      </c>
      <c r="BG1428" s="56">
        <f t="shared" si="335"/>
        <v>2.0948282521937992E-3</v>
      </c>
      <c r="BH1428" s="56">
        <f t="shared" si="336"/>
        <v>4.5769293769882438E-2</v>
      </c>
      <c r="BI1428" s="56">
        <f t="shared" si="333"/>
        <v>4.4853083693401519E-2</v>
      </c>
      <c r="BJ1428" s="57">
        <f t="shared" si="337"/>
        <v>0.12585267851671306</v>
      </c>
      <c r="BK1428" s="57">
        <f t="shared" si="338"/>
        <v>3.2747171156580798E-3</v>
      </c>
      <c r="BL1428" s="58">
        <f t="shared" si="339"/>
        <v>222.05619161975861</v>
      </c>
      <c r="BM1428" s="58">
        <f t="shared" si="339"/>
        <v>5.7779557805637527</v>
      </c>
    </row>
    <row r="1429" spans="47:65" x14ac:dyDescent="0.2">
      <c r="AU1429" s="2">
        <v>-208</v>
      </c>
      <c r="AV1429" s="53">
        <v>1427</v>
      </c>
      <c r="AW1429" s="4" t="s">
        <v>2186</v>
      </c>
      <c r="AX1429" t="s">
        <v>578</v>
      </c>
      <c r="AY1429" s="4">
        <v>68483</v>
      </c>
      <c r="AZ1429" s="9">
        <v>27.030407774058556</v>
      </c>
      <c r="BA1429" s="7">
        <f t="shared" si="334"/>
        <v>6.928008124153901E-4</v>
      </c>
      <c r="BB1429" s="54">
        <f t="shared" si="328"/>
        <v>3382.5254872926353</v>
      </c>
      <c r="BC1429" s="55">
        <f t="shared" si="329"/>
        <v>7725.7881828504114</v>
      </c>
      <c r="BD1429" s="55">
        <f t="shared" si="330"/>
        <v>87.896462857446153</v>
      </c>
      <c r="BE1429" s="55">
        <f t="shared" si="331"/>
        <v>86.136950784528494</v>
      </c>
      <c r="BF1429" s="56">
        <f t="shared" si="332"/>
        <v>1.7652360994036898</v>
      </c>
      <c r="BG1429" s="56">
        <f t="shared" si="335"/>
        <v>2.104099349646827E-3</v>
      </c>
      <c r="BH1429" s="56">
        <f t="shared" si="336"/>
        <v>4.5870462714548969E-2</v>
      </c>
      <c r="BI1429" s="56">
        <f t="shared" si="333"/>
        <v>4.495222743735168E-2</v>
      </c>
      <c r="BJ1429" s="57">
        <f t="shared" si="337"/>
        <v>0.38465638821706355</v>
      </c>
      <c r="BK1429" s="57">
        <f t="shared" si="338"/>
        <v>9.9954711551527246E-3</v>
      </c>
      <c r="BL1429" s="58">
        <f t="shared" si="339"/>
        <v>678.69300563475485</v>
      </c>
      <c r="BM1429" s="58">
        <f t="shared" si="339"/>
        <v>17.63614636031453</v>
      </c>
    </row>
    <row r="1430" spans="47:65" x14ac:dyDescent="0.2">
      <c r="AU1430" s="2">
        <v>-207</v>
      </c>
      <c r="AV1430" s="53">
        <v>1428</v>
      </c>
      <c r="AW1430" s="4" t="s">
        <v>1445</v>
      </c>
      <c r="AX1430" t="s">
        <v>52</v>
      </c>
      <c r="AY1430" s="4">
        <v>27875</v>
      </c>
      <c r="AZ1430" s="9">
        <v>27.042565094086697</v>
      </c>
      <c r="BA1430" s="7">
        <f t="shared" si="334"/>
        <v>6.9311240968253807E-4</v>
      </c>
      <c r="BB1430" s="54">
        <f t="shared" si="328"/>
        <v>3409.3956227812587</v>
      </c>
      <c r="BC1430" s="55">
        <f t="shared" si="329"/>
        <v>7802.2053112214162</v>
      </c>
      <c r="BD1430" s="55">
        <f t="shared" si="330"/>
        <v>88.330092897162828</v>
      </c>
      <c r="BE1430" s="55">
        <f t="shared" si="331"/>
        <v>86.561900414758171</v>
      </c>
      <c r="BF1430" s="56">
        <f t="shared" si="332"/>
        <v>1.7792587973371039</v>
      </c>
      <c r="BG1430" s="56">
        <f t="shared" si="335"/>
        <v>2.1249113660134224E-3</v>
      </c>
      <c r="BH1430" s="56">
        <f t="shared" si="336"/>
        <v>4.6096760905875181E-2</v>
      </c>
      <c r="BI1430" s="56">
        <f t="shared" si="333"/>
        <v>4.5173995589734645E-2</v>
      </c>
      <c r="BJ1430" s="57">
        <f t="shared" si="337"/>
        <v>0.15781248918163385</v>
      </c>
      <c r="BK1430" s="57">
        <f t="shared" si="338"/>
        <v>4.0885814883446165E-3</v>
      </c>
      <c r="BL1430" s="58">
        <f t="shared" si="339"/>
        <v>278.44651977791852</v>
      </c>
      <c r="BM1430" s="58">
        <f t="shared" si="339"/>
        <v>7.2139492391358431</v>
      </c>
    </row>
    <row r="1431" spans="47:65" x14ac:dyDescent="0.2">
      <c r="AU1431" s="2">
        <v>-206</v>
      </c>
      <c r="AV1431" s="53">
        <v>1429</v>
      </c>
      <c r="AW1431" s="4" t="s">
        <v>2065</v>
      </c>
      <c r="AX1431" t="s">
        <v>484</v>
      </c>
      <c r="AY1431" s="4">
        <v>54110</v>
      </c>
      <c r="AZ1431" s="9">
        <v>27.04465086834589</v>
      </c>
      <c r="BA1431" s="7">
        <f t="shared" si="334"/>
        <v>6.9316586896119058E-4</v>
      </c>
      <c r="BB1431" s="54">
        <f t="shared" si="328"/>
        <v>3414.027012366786</v>
      </c>
      <c r="BC1431" s="55">
        <f t="shared" si="329"/>
        <v>7815.3789895782538</v>
      </c>
      <c r="BD1431" s="55">
        <f t="shared" si="330"/>
        <v>88.404632172631395</v>
      </c>
      <c r="BE1431" s="55">
        <f t="shared" si="331"/>
        <v>86.63494756243422</v>
      </c>
      <c r="BF1431" s="56">
        <f t="shared" si="332"/>
        <v>1.7816757772290479</v>
      </c>
      <c r="BG1431" s="56">
        <f t="shared" si="335"/>
        <v>2.1284991848105729E-3</v>
      </c>
      <c r="BH1431" s="56">
        <f t="shared" si="336"/>
        <v>4.6135660662990109E-2</v>
      </c>
      <c r="BI1431" s="56">
        <f t="shared" si="333"/>
        <v>4.521211665121095E-2</v>
      </c>
      <c r="BJ1431" s="57">
        <f t="shared" si="337"/>
        <v>0.30675636418060293</v>
      </c>
      <c r="BK1431" s="57">
        <f t="shared" si="338"/>
        <v>7.9433125290951923E-3</v>
      </c>
      <c r="BL1431" s="58">
        <f t="shared" si="339"/>
        <v>541.24513508882183</v>
      </c>
      <c r="BM1431" s="58">
        <f t="shared" si="339"/>
        <v>14.015289542066864</v>
      </c>
    </row>
    <row r="1432" spans="47:65" x14ac:dyDescent="0.2">
      <c r="AU1432" s="2">
        <v>-205</v>
      </c>
      <c r="AV1432" s="53">
        <v>1430</v>
      </c>
      <c r="AW1432" s="4" t="s">
        <v>1564</v>
      </c>
      <c r="AX1432" t="s">
        <v>142</v>
      </c>
      <c r="AY1432" s="4">
        <v>9546</v>
      </c>
      <c r="AZ1432" s="9">
        <v>27.085002377103979</v>
      </c>
      <c r="BA1432" s="7">
        <f t="shared" si="334"/>
        <v>6.9420009524010819E-4</v>
      </c>
      <c r="BB1432" s="54">
        <f t="shared" si="328"/>
        <v>3504.8747851978796</v>
      </c>
      <c r="BC1432" s="55">
        <f t="shared" si="329"/>
        <v>8073.9051739700226</v>
      </c>
      <c r="BD1432" s="55">
        <f t="shared" si="330"/>
        <v>89.854911796573603</v>
      </c>
      <c r="BE1432" s="55">
        <f t="shared" si="331"/>
        <v>88.056195477653731</v>
      </c>
      <c r="BF1432" s="56">
        <f t="shared" si="332"/>
        <v>1.8290864379186234</v>
      </c>
      <c r="BG1432" s="56">
        <f t="shared" si="335"/>
        <v>2.1989081532641911E-3</v>
      </c>
      <c r="BH1432" s="56">
        <f t="shared" si="336"/>
        <v>4.6892517028457655E-2</v>
      </c>
      <c r="BI1432" s="56">
        <f t="shared" si="333"/>
        <v>4.5953822260104089E-2</v>
      </c>
      <c r="BJ1432" s="57">
        <f t="shared" si="337"/>
        <v>5.5557543090820713E-2</v>
      </c>
      <c r="BK1432" s="57">
        <f t="shared" si="338"/>
        <v>1.424335658193474E-3</v>
      </c>
      <c r="BL1432" s="58">
        <f t="shared" si="339"/>
        <v>98.026490813701344</v>
      </c>
      <c r="BM1432" s="58">
        <f t="shared" si="339"/>
        <v>2.5131173652745353</v>
      </c>
    </row>
    <row r="1433" spans="47:65" x14ac:dyDescent="0.2">
      <c r="AU1433" s="2">
        <v>-204</v>
      </c>
      <c r="AV1433" s="53">
        <v>1431</v>
      </c>
      <c r="AW1433" s="4" t="s">
        <v>2845</v>
      </c>
      <c r="AX1433" t="s">
        <v>1073</v>
      </c>
      <c r="AY1433" s="4">
        <v>46767</v>
      </c>
      <c r="AZ1433" s="6">
        <v>27.100524769716184</v>
      </c>
      <c r="BA1433" s="7">
        <f t="shared" si="334"/>
        <v>6.9459794074441046E-4</v>
      </c>
      <c r="BB1433" s="54">
        <f t="shared" si="328"/>
        <v>3540.4624678886307</v>
      </c>
      <c r="BC1433" s="55">
        <f t="shared" si="329"/>
        <v>8175.2269095181082</v>
      </c>
      <c r="BD1433" s="55">
        <f t="shared" si="330"/>
        <v>90.416961403920823</v>
      </c>
      <c r="BE1433" s="55">
        <f t="shared" si="331"/>
        <v>88.606993971616447</v>
      </c>
      <c r="BF1433" s="56">
        <f t="shared" si="332"/>
        <v>1.8476585558275176</v>
      </c>
      <c r="BG1433" s="56">
        <f t="shared" si="335"/>
        <v>2.2265028779478381E-3</v>
      </c>
      <c r="BH1433" s="56">
        <f t="shared" si="336"/>
        <v>4.7185833445514538E-2</v>
      </c>
      <c r="BI1433" s="56">
        <f t="shared" si="333"/>
        <v>4.6241267066857002E-2</v>
      </c>
      <c r="BJ1433" s="57">
        <f t="shared" si="337"/>
        <v>0.27494675686717185</v>
      </c>
      <c r="BK1433" s="57">
        <f t="shared" si="338"/>
        <v>7.0216392714985273E-3</v>
      </c>
      <c r="BL1433" s="58">
        <f t="shared" si="339"/>
        <v>485.11982778356253</v>
      </c>
      <c r="BM1433" s="58">
        <f t="shared" si="339"/>
        <v>12.389076608724221</v>
      </c>
    </row>
    <row r="1434" spans="47:65" x14ac:dyDescent="0.2">
      <c r="AU1434" s="2">
        <v>-203</v>
      </c>
      <c r="AV1434" s="53">
        <v>1432</v>
      </c>
      <c r="AW1434" s="4" t="s">
        <v>2769</v>
      </c>
      <c r="AX1434" t="s">
        <v>1017</v>
      </c>
      <c r="AY1434" s="4">
        <v>49833</v>
      </c>
      <c r="AZ1434" s="9">
        <v>27.100758677817222</v>
      </c>
      <c r="BA1434" s="7">
        <f t="shared" si="334"/>
        <v>6.9460393590821943E-4</v>
      </c>
      <c r="BB1434" s="54">
        <f t="shared" si="328"/>
        <v>3541.0014960404719</v>
      </c>
      <c r="BC1434" s="55">
        <f t="shared" si="329"/>
        <v>8176.761748996546</v>
      </c>
      <c r="BD1434" s="55">
        <f t="shared" si="330"/>
        <v>90.425448569506941</v>
      </c>
      <c r="BE1434" s="55">
        <f t="shared" si="331"/>
        <v>88.615311241056261</v>
      </c>
      <c r="BF1434" s="56">
        <f t="shared" si="332"/>
        <v>1.8479398580544497</v>
      </c>
      <c r="BG1434" s="56">
        <f t="shared" si="335"/>
        <v>2.2269208876929667E-3</v>
      </c>
      <c r="BH1434" s="56">
        <f t="shared" si="336"/>
        <v>4.7190262636405897E-2</v>
      </c>
      <c r="BI1434" s="56">
        <f t="shared" si="333"/>
        <v>4.6245607594170859E-2</v>
      </c>
      <c r="BJ1434" s="57">
        <f t="shared" si="337"/>
        <v>0.29301660889792708</v>
      </c>
      <c r="BK1434" s="57">
        <f t="shared" si="338"/>
        <v>7.482673567785981E-3</v>
      </c>
      <c r="BL1434" s="58">
        <f t="shared" si="339"/>
        <v>517.00252247368155</v>
      </c>
      <c r="BM1434" s="58">
        <f t="shared" si="339"/>
        <v>13.202531842623689</v>
      </c>
    </row>
    <row r="1435" spans="47:65" x14ac:dyDescent="0.2">
      <c r="AU1435" s="2">
        <v>-202</v>
      </c>
      <c r="AV1435" s="53">
        <v>1433</v>
      </c>
      <c r="AW1435" s="4" t="s">
        <v>2144</v>
      </c>
      <c r="AX1435" t="s">
        <v>542</v>
      </c>
      <c r="AY1435" s="4">
        <v>11613</v>
      </c>
      <c r="AZ1435" s="9">
        <v>27.102728683502313</v>
      </c>
      <c r="BA1435" s="7">
        <f t="shared" si="334"/>
        <v>6.9465442798923071E-4</v>
      </c>
      <c r="BB1435" s="54">
        <f t="shared" si="328"/>
        <v>3545.5445217359074</v>
      </c>
      <c r="BC1435" s="55">
        <f t="shared" si="329"/>
        <v>8189.6978383788473</v>
      </c>
      <c r="BD1435" s="55">
        <f t="shared" si="330"/>
        <v>90.496949331891003</v>
      </c>
      <c r="BE1435" s="55">
        <f t="shared" si="331"/>
        <v>88.685380700626212</v>
      </c>
      <c r="BF1435" s="56">
        <f t="shared" si="332"/>
        <v>1.850310723547768</v>
      </c>
      <c r="BG1435" s="56">
        <f t="shared" si="335"/>
        <v>2.2304439997188038E-3</v>
      </c>
      <c r="BH1435" s="56">
        <f t="shared" si="336"/>
        <v>4.7227576686918883E-2</v>
      </c>
      <c r="BI1435" s="56">
        <f t="shared" si="333"/>
        <v>4.6282174691732236E-2</v>
      </c>
      <c r="BJ1435" s="57">
        <f t="shared" si="337"/>
        <v>6.8371713479231599E-2</v>
      </c>
      <c r="BK1435" s="57">
        <f t="shared" si="338"/>
        <v>1.7451286967440499E-3</v>
      </c>
      <c r="BL1435" s="58">
        <f t="shared" si="339"/>
        <v>120.63598875012651</v>
      </c>
      <c r="BM1435" s="58">
        <f t="shared" si="339"/>
        <v>3.0791290010873684</v>
      </c>
    </row>
    <row r="1436" spans="47:65" x14ac:dyDescent="0.2">
      <c r="AU1436" s="2">
        <v>-201</v>
      </c>
      <c r="AV1436" s="53">
        <v>1434</v>
      </c>
      <c r="AW1436" s="4" t="s">
        <v>1751</v>
      </c>
      <c r="AX1436" t="s">
        <v>256</v>
      </c>
      <c r="AY1436" s="4">
        <v>27146</v>
      </c>
      <c r="AZ1436" s="9">
        <v>27.105562106205735</v>
      </c>
      <c r="BA1436" s="7">
        <f t="shared" si="334"/>
        <v>6.9472704981451928E-4</v>
      </c>
      <c r="BB1436" s="54">
        <f t="shared" si="328"/>
        <v>3552.0888945038841</v>
      </c>
      <c r="BC1436" s="55">
        <f t="shared" si="329"/>
        <v>8208.3332614861665</v>
      </c>
      <c r="BD1436" s="55">
        <f t="shared" si="330"/>
        <v>90.599852436337699</v>
      </c>
      <c r="BE1436" s="55">
        <f t="shared" si="331"/>
        <v>88.786223889932657</v>
      </c>
      <c r="BF1436" s="56">
        <f t="shared" si="332"/>
        <v>1.8537260305724719</v>
      </c>
      <c r="BG1436" s="56">
        <f t="shared" si="335"/>
        <v>2.2355193112227425E-3</v>
      </c>
      <c r="BH1436" s="56">
        <f t="shared" si="336"/>
        <v>4.7281278654693157E-2</v>
      </c>
      <c r="BI1436" s="56">
        <f t="shared" si="333"/>
        <v>4.6334801653100492E-2</v>
      </c>
      <c r="BJ1436" s="57">
        <f t="shared" si="337"/>
        <v>0.16011748700761433</v>
      </c>
      <c r="BK1436" s="57">
        <f t="shared" si="338"/>
        <v>4.0839689338333703E-3</v>
      </c>
      <c r="BL1436" s="58">
        <f t="shared" si="339"/>
        <v>282.51348954734681</v>
      </c>
      <c r="BM1436" s="58">
        <f t="shared" si="339"/>
        <v>7.205810784710577</v>
      </c>
    </row>
    <row r="1437" spans="47:65" x14ac:dyDescent="0.2">
      <c r="AU1437" s="2">
        <v>-200</v>
      </c>
      <c r="AV1437" s="53">
        <v>1435</v>
      </c>
      <c r="AW1437" s="4" t="s">
        <v>2043</v>
      </c>
      <c r="AX1437" t="s">
        <v>464</v>
      </c>
      <c r="AY1437" s="4">
        <v>9421</v>
      </c>
      <c r="AZ1437" s="9">
        <v>27.106161411809332</v>
      </c>
      <c r="BA1437" s="7">
        <f t="shared" si="334"/>
        <v>6.9474241027125104E-4</v>
      </c>
      <c r="BB1437" s="54">
        <f t="shared" si="328"/>
        <v>3553.4746611971086</v>
      </c>
      <c r="BC1437" s="55">
        <f t="shared" si="329"/>
        <v>8212.2793851212828</v>
      </c>
      <c r="BD1437" s="55">
        <f t="shared" si="330"/>
        <v>90.621627579299656</v>
      </c>
      <c r="BE1437" s="55">
        <f t="shared" si="331"/>
        <v>88.807563137914485</v>
      </c>
      <c r="BF1437" s="56">
        <f t="shared" si="332"/>
        <v>1.8544492196220206</v>
      </c>
      <c r="BG1437" s="56">
        <f t="shared" si="335"/>
        <v>2.2365940282582804E-3</v>
      </c>
      <c r="BH1437" s="56">
        <f t="shared" si="336"/>
        <v>4.7292642432605524E-2</v>
      </c>
      <c r="BI1437" s="56">
        <f t="shared" si="333"/>
        <v>4.6345937950818768E-2</v>
      </c>
      <c r="BJ1437" s="57">
        <f t="shared" si="337"/>
        <v>5.5590338876065376E-2</v>
      </c>
      <c r="BK1437" s="57">
        <f t="shared" si="338"/>
        <v>1.4176791639023598E-3</v>
      </c>
      <c r="BL1437" s="58">
        <f t="shared" si="339"/>
        <v>98.084356146870562</v>
      </c>
      <c r="BM1437" s="58">
        <f t="shared" si="339"/>
        <v>2.5013725554759332</v>
      </c>
    </row>
    <row r="1438" spans="47:65" x14ac:dyDescent="0.2">
      <c r="AU1438" s="2">
        <v>-199</v>
      </c>
      <c r="AV1438" s="53">
        <v>1436</v>
      </c>
      <c r="AW1438" s="4" t="s">
        <v>2218</v>
      </c>
      <c r="AX1438" t="s">
        <v>601</v>
      </c>
      <c r="AY1438" s="4">
        <v>45990</v>
      </c>
      <c r="AZ1438" s="9">
        <v>27.116014179610868</v>
      </c>
      <c r="BA1438" s="7">
        <f t="shared" si="334"/>
        <v>6.9499494088767766E-4</v>
      </c>
      <c r="BB1438" s="54">
        <f t="shared" si="328"/>
        <v>3576.3347577557302</v>
      </c>
      <c r="BC1438" s="55">
        <f t="shared" si="329"/>
        <v>8277.3800281861386</v>
      </c>
      <c r="BD1438" s="55">
        <f t="shared" si="330"/>
        <v>90.980107870820518</v>
      </c>
      <c r="BE1438" s="55">
        <f t="shared" si="331"/>
        <v>89.158867368188638</v>
      </c>
      <c r="BF1438" s="56">
        <f t="shared" si="332"/>
        <v>1.8663792014751466</v>
      </c>
      <c r="BG1438" s="56">
        <f t="shared" si="335"/>
        <v>2.2543240277731426E-3</v>
      </c>
      <c r="BH1438" s="56">
        <f t="shared" si="336"/>
        <v>4.7479722279865355E-2</v>
      </c>
      <c r="BI1438" s="56">
        <f t="shared" si="333"/>
        <v>4.6529272832250029E-2</v>
      </c>
      <c r="BJ1438" s="57">
        <f t="shared" si="337"/>
        <v>0.27311821654715551</v>
      </c>
      <c r="BK1438" s="57">
        <f t="shared" si="338"/>
        <v>6.9479862725547814E-3</v>
      </c>
      <c r="BL1438" s="58">
        <f t="shared" si="339"/>
        <v>481.89352617066447</v>
      </c>
      <c r="BM1438" s="58">
        <f t="shared" si="339"/>
        <v>12.259122247485497</v>
      </c>
    </row>
    <row r="1439" spans="47:65" x14ac:dyDescent="0.2">
      <c r="AU1439" s="2">
        <v>-198</v>
      </c>
      <c r="AV1439" s="53">
        <v>1437</v>
      </c>
      <c r="AW1439" s="4" t="s">
        <v>2666</v>
      </c>
      <c r="AX1439" t="s">
        <v>936</v>
      </c>
      <c r="AY1439" s="4">
        <v>42021</v>
      </c>
      <c r="AZ1439" s="9">
        <v>27.132777661547603</v>
      </c>
      <c r="BA1439" s="7">
        <f t="shared" si="334"/>
        <v>6.9542459603760202E-4</v>
      </c>
      <c r="BB1439" s="54">
        <f t="shared" si="328"/>
        <v>3615.5673841051548</v>
      </c>
      <c r="BC1439" s="55">
        <f t="shared" si="329"/>
        <v>8389.1211131479631</v>
      </c>
      <c r="BD1439" s="55">
        <f t="shared" si="330"/>
        <v>91.592145477371389</v>
      </c>
      <c r="BE1439" s="55">
        <f t="shared" si="331"/>
        <v>89.758653201200545</v>
      </c>
      <c r="BF1439" s="56">
        <f t="shared" si="332"/>
        <v>1.8868535034624014</v>
      </c>
      <c r="BG1439" s="56">
        <f t="shared" si="335"/>
        <v>2.2847564365619825E-3</v>
      </c>
      <c r="BH1439" s="56">
        <f t="shared" si="336"/>
        <v>4.7799125897467862E-2</v>
      </c>
      <c r="BI1439" s="56">
        <f t="shared" si="333"/>
        <v>4.6842282625766389E-2</v>
      </c>
      <c r="BJ1439" s="57">
        <f t="shared" si="337"/>
        <v>0.25228529536785754</v>
      </c>
      <c r="BK1439" s="57">
        <f t="shared" si="338"/>
        <v>6.3910720006824231E-3</v>
      </c>
      <c r="BL1439" s="58">
        <f t="shared" si="339"/>
        <v>445.13563438868567</v>
      </c>
      <c r="BM1439" s="58">
        <f t="shared" si="339"/>
        <v>11.276495069993647</v>
      </c>
    </row>
    <row r="1440" spans="47:65" x14ac:dyDescent="0.2">
      <c r="AU1440" s="2">
        <v>-197</v>
      </c>
      <c r="AV1440" s="53">
        <v>1438</v>
      </c>
      <c r="AW1440" s="4" t="s">
        <v>2489</v>
      </c>
      <c r="AX1440" t="s">
        <v>800</v>
      </c>
      <c r="AY1440" s="4">
        <v>57837</v>
      </c>
      <c r="AZ1440" s="9">
        <v>27.139819187871467</v>
      </c>
      <c r="BA1440" s="7">
        <f t="shared" si="334"/>
        <v>6.9560507334296101E-4</v>
      </c>
      <c r="BB1440" s="54">
        <f t="shared" si="328"/>
        <v>3632.175209690849</v>
      </c>
      <c r="BC1440" s="55">
        <f t="shared" si="329"/>
        <v>8436.4274939039733</v>
      </c>
      <c r="BD1440" s="55">
        <f t="shared" si="330"/>
        <v>91.850027185101979</v>
      </c>
      <c r="BE1440" s="55">
        <f t="shared" si="331"/>
        <v>90.011372630912362</v>
      </c>
      <c r="BF1440" s="56">
        <f t="shared" si="332"/>
        <v>1.8955206172407335</v>
      </c>
      <c r="BG1440" s="56">
        <f t="shared" si="335"/>
        <v>2.2976402126412905E-3</v>
      </c>
      <c r="BH1440" s="56">
        <f t="shared" si="336"/>
        <v>4.7933706435464497E-2</v>
      </c>
      <c r="BI1440" s="56">
        <f t="shared" si="333"/>
        <v>4.6974169129513105E-2</v>
      </c>
      <c r="BJ1440" s="57">
        <f t="shared" si="337"/>
        <v>0.34883627696464636</v>
      </c>
      <c r="BK1440" s="57">
        <f t="shared" si="338"/>
        <v>8.8213314811653957E-3</v>
      </c>
      <c r="BL1440" s="58">
        <f t="shared" si="339"/>
        <v>615.49151018901796</v>
      </c>
      <c r="BM1440" s="58">
        <f t="shared" si="339"/>
        <v>15.564478220167098</v>
      </c>
    </row>
    <row r="1441" spans="47:65" x14ac:dyDescent="0.2">
      <c r="AU1441" s="2">
        <v>-196</v>
      </c>
      <c r="AV1441" s="53">
        <v>1439</v>
      </c>
      <c r="AW1441" s="4" t="s">
        <v>2542</v>
      </c>
      <c r="AX1441" t="s">
        <v>849</v>
      </c>
      <c r="AY1441" s="4">
        <v>21286</v>
      </c>
      <c r="AZ1441" s="9">
        <v>27.140079326270691</v>
      </c>
      <c r="BA1441" s="7">
        <f t="shared" si="334"/>
        <v>6.956117408004344E-4</v>
      </c>
      <c r="BB1441" s="54">
        <f t="shared" si="328"/>
        <v>3632.7902195344482</v>
      </c>
      <c r="BC1441" s="55">
        <f t="shared" si="329"/>
        <v>8438.1793539233004</v>
      </c>
      <c r="BD1441" s="55">
        <f t="shared" si="330"/>
        <v>91.859563214307201</v>
      </c>
      <c r="BE1441" s="55">
        <f t="shared" si="331"/>
        <v>90.020717767811234</v>
      </c>
      <c r="BF1441" s="56">
        <f t="shared" si="332"/>
        <v>1.8958415719775084</v>
      </c>
      <c r="BG1441" s="56">
        <f t="shared" si="335"/>
        <v>2.2981173273953028E-3</v>
      </c>
      <c r="BH1441" s="56">
        <f t="shared" si="336"/>
        <v>4.793868299604509E-2</v>
      </c>
      <c r="BI1441" s="56">
        <f t="shared" si="333"/>
        <v>4.6979046069265527E-2</v>
      </c>
      <c r="BJ1441" s="57">
        <f t="shared" si="337"/>
        <v>0.12840545444073684</v>
      </c>
      <c r="BK1441" s="57">
        <f t="shared" si="338"/>
        <v>3.2468896485779893E-3</v>
      </c>
      <c r="BL1441" s="58">
        <f t="shared" si="339"/>
        <v>226.5603444628151</v>
      </c>
      <c r="BM1441" s="58">
        <f t="shared" si="339"/>
        <v>5.7288566160878167</v>
      </c>
    </row>
    <row r="1442" spans="47:65" x14ac:dyDescent="0.2">
      <c r="AU1442" s="2">
        <v>-195</v>
      </c>
      <c r="AV1442" s="53">
        <v>1440</v>
      </c>
      <c r="AW1442" s="4" t="s">
        <v>2665</v>
      </c>
      <c r="AX1442" t="s">
        <v>935</v>
      </c>
      <c r="AY1442" s="4">
        <v>27274</v>
      </c>
      <c r="AZ1442" s="9">
        <v>27.1443324332263</v>
      </c>
      <c r="BA1442" s="7">
        <f t="shared" si="334"/>
        <v>6.9572074973506704E-4</v>
      </c>
      <c r="BB1442" s="54">
        <f t="shared" si="328"/>
        <v>3642.8600450834201</v>
      </c>
      <c r="BC1442" s="55">
        <f t="shared" si="329"/>
        <v>8466.863703972349</v>
      </c>
      <c r="BD1442" s="55">
        <f t="shared" si="330"/>
        <v>92.015562292322869</v>
      </c>
      <c r="BE1442" s="55">
        <f t="shared" si="331"/>
        <v>90.173594055077317</v>
      </c>
      <c r="BF1442" s="56">
        <f t="shared" si="332"/>
        <v>1.9010967044637301</v>
      </c>
      <c r="BG1442" s="56">
        <f t="shared" si="335"/>
        <v>2.3059294393576279E-3</v>
      </c>
      <c r="BH1442" s="56">
        <f t="shared" si="336"/>
        <v>4.8020094120666067E-2</v>
      </c>
      <c r="BI1442" s="56">
        <f t="shared" si="333"/>
        <v>4.7058827505364532E-2</v>
      </c>
      <c r="BJ1442" s="57">
        <f t="shared" si="337"/>
        <v>0.1649834638034455</v>
      </c>
      <c r="BK1442" s="57">
        <f t="shared" si="338"/>
        <v>4.1673426930850296E-3</v>
      </c>
      <c r="BL1442" s="58">
        <f t="shared" si="339"/>
        <v>291.09908572636573</v>
      </c>
      <c r="BM1442" s="58">
        <f t="shared" si="339"/>
        <v>7.3529165887240175</v>
      </c>
    </row>
    <row r="1443" spans="47:65" x14ac:dyDescent="0.2">
      <c r="AU1443" s="2">
        <v>-194</v>
      </c>
      <c r="AV1443" s="53">
        <v>1441</v>
      </c>
      <c r="AW1443" s="4" t="s">
        <v>1784</v>
      </c>
      <c r="AX1443" t="s">
        <v>276</v>
      </c>
      <c r="AY1443" s="4">
        <v>45535</v>
      </c>
      <c r="AZ1443" s="9">
        <v>27.147958761375079</v>
      </c>
      <c r="BA1443" s="7">
        <f t="shared" si="334"/>
        <v>6.9581369406312011E-4</v>
      </c>
      <c r="BB1443" s="54">
        <f t="shared" si="328"/>
        <v>3651.467928633333</v>
      </c>
      <c r="BC1443" s="55">
        <f t="shared" si="329"/>
        <v>8491.3841630455408</v>
      </c>
      <c r="BD1443" s="55">
        <f t="shared" si="330"/>
        <v>92.148706789870587</v>
      </c>
      <c r="BE1443" s="55">
        <f t="shared" si="331"/>
        <v>90.304073265043925</v>
      </c>
      <c r="BF1443" s="56">
        <f t="shared" si="332"/>
        <v>1.9055888943493198</v>
      </c>
      <c r="BG1443" s="56">
        <f t="shared" si="335"/>
        <v>2.3126075258866814E-3</v>
      </c>
      <c r="BH1443" s="56">
        <f t="shared" si="336"/>
        <v>4.8089578142116007E-2</v>
      </c>
      <c r="BI1443" s="56">
        <f t="shared" si="333"/>
        <v>4.7126920595135978E-2</v>
      </c>
      <c r="BJ1443" s="57">
        <f t="shared" si="337"/>
        <v>0.27609715158157505</v>
      </c>
      <c r="BK1443" s="57">
        <f t="shared" si="338"/>
        <v>6.9676075386299339E-3</v>
      </c>
      <c r="BL1443" s="58">
        <f t="shared" si="339"/>
        <v>487.14959999143764</v>
      </c>
      <c r="BM1443" s="58">
        <f t="shared" si="339"/>
        <v>12.293742278387958</v>
      </c>
    </row>
    <row r="1444" spans="47:65" x14ac:dyDescent="0.2">
      <c r="AU1444" s="2">
        <v>-193</v>
      </c>
      <c r="AV1444" s="53">
        <v>1442</v>
      </c>
      <c r="AW1444" s="4" t="s">
        <v>3051</v>
      </c>
      <c r="AX1444" t="s">
        <v>1211</v>
      </c>
      <c r="AY1444" s="4">
        <v>34928</v>
      </c>
      <c r="AZ1444" s="9">
        <v>27.163685655077455</v>
      </c>
      <c r="BA1444" s="7">
        <f t="shared" si="334"/>
        <v>6.9621678101707397E-4</v>
      </c>
      <c r="BB1444" s="54">
        <f t="shared" si="328"/>
        <v>3689.0351790051841</v>
      </c>
      <c r="BC1444" s="55">
        <f t="shared" si="329"/>
        <v>8598.4024493705001</v>
      </c>
      <c r="BD1444" s="55">
        <f t="shared" si="330"/>
        <v>92.727571139173591</v>
      </c>
      <c r="BE1444" s="55">
        <f t="shared" si="331"/>
        <v>90.871349903327967</v>
      </c>
      <c r="BF1444" s="56">
        <f t="shared" si="332"/>
        <v>1.9251940877945319</v>
      </c>
      <c r="BG1444" s="56">
        <f t="shared" si="335"/>
        <v>2.341753692119385E-3</v>
      </c>
      <c r="BH1444" s="56">
        <f t="shared" si="336"/>
        <v>4.8391669656247499E-2</v>
      </c>
      <c r="BI1444" s="56">
        <f t="shared" si="333"/>
        <v>4.7422964839002428E-2</v>
      </c>
      <c r="BJ1444" s="57">
        <f t="shared" si="337"/>
        <v>0.21396148813440749</v>
      </c>
      <c r="BK1444" s="57">
        <f t="shared" si="338"/>
        <v>5.3781349727811964E-3</v>
      </c>
      <c r="BL1444" s="58">
        <f t="shared" si="339"/>
        <v>377.51658342427123</v>
      </c>
      <c r="BM1444" s="58">
        <f t="shared" si="339"/>
        <v>9.4892550889509444</v>
      </c>
    </row>
    <row r="1445" spans="47:65" x14ac:dyDescent="0.2">
      <c r="AU1445" s="2">
        <v>-192</v>
      </c>
      <c r="AV1445" s="53">
        <v>1443</v>
      </c>
      <c r="AW1445" s="4" t="s">
        <v>1562</v>
      </c>
      <c r="AX1445" t="s">
        <v>140</v>
      </c>
      <c r="AY1445" s="4">
        <v>32347</v>
      </c>
      <c r="AZ1445" s="9">
        <v>27.19037012603577</v>
      </c>
      <c r="BA1445" s="7">
        <f t="shared" si="334"/>
        <v>6.9690071532222113E-4</v>
      </c>
      <c r="BB1445" s="54">
        <f t="shared" si="328"/>
        <v>3753.6635242712764</v>
      </c>
      <c r="BC1445" s="55">
        <f t="shared" si="329"/>
        <v>8782.5140404833983</v>
      </c>
      <c r="BD1445" s="55">
        <f t="shared" si="330"/>
        <v>93.715068374746423</v>
      </c>
      <c r="BE1445" s="55">
        <f t="shared" si="331"/>
        <v>91.83907941160578</v>
      </c>
      <c r="BF1445" s="56">
        <f t="shared" si="332"/>
        <v>1.9589216350183491</v>
      </c>
      <c r="BG1445" s="56">
        <f t="shared" si="335"/>
        <v>2.3918960296975896E-3</v>
      </c>
      <c r="BH1445" s="56">
        <f t="shared" si="336"/>
        <v>4.8907014115539597E-2</v>
      </c>
      <c r="BI1445" s="56">
        <f t="shared" si="333"/>
        <v>4.7927993128924817E-2</v>
      </c>
      <c r="BJ1445" s="57">
        <f t="shared" si="337"/>
        <v>0.20162224373698295</v>
      </c>
      <c r="BK1445" s="57">
        <f t="shared" si="338"/>
        <v>5.033760281257512E-3</v>
      </c>
      <c r="BL1445" s="58">
        <f t="shared" si="339"/>
        <v>355.74505141835004</v>
      </c>
      <c r="BM1445" s="58">
        <f t="shared" si="339"/>
        <v>8.8816356612895522</v>
      </c>
    </row>
    <row r="1446" spans="47:65" x14ac:dyDescent="0.2">
      <c r="AU1446" s="2">
        <v>-191</v>
      </c>
      <c r="AV1446" s="53">
        <v>1444</v>
      </c>
      <c r="AW1446" s="4" t="s">
        <v>2910</v>
      </c>
      <c r="AX1446" t="s">
        <v>1122</v>
      </c>
      <c r="AY1446" s="4">
        <v>18812</v>
      </c>
      <c r="AZ1446" s="9">
        <v>27.206792948621654</v>
      </c>
      <c r="BA1446" s="7">
        <f t="shared" si="334"/>
        <v>6.973216392285402E-4</v>
      </c>
      <c r="BB1446" s="54">
        <f t="shared" si="328"/>
        <v>3794.0003424308852</v>
      </c>
      <c r="BC1446" s="55">
        <f t="shared" si="329"/>
        <v>8897.4180051173262</v>
      </c>
      <c r="BD1446" s="55">
        <f t="shared" si="330"/>
        <v>94.32612578240095</v>
      </c>
      <c r="BE1446" s="55">
        <f t="shared" si="331"/>
        <v>92.437904667350423</v>
      </c>
      <c r="BF1446" s="56">
        <f t="shared" si="332"/>
        <v>1.9799721807771093</v>
      </c>
      <c r="BG1446" s="56">
        <f t="shared" si="335"/>
        <v>2.4231898409613718E-3</v>
      </c>
      <c r="BH1446" s="56">
        <f t="shared" si="336"/>
        <v>4.9225906197462449E-2</v>
      </c>
      <c r="BI1446" s="56">
        <f t="shared" si="333"/>
        <v>4.8240501626686708E-2</v>
      </c>
      <c r="BJ1446" s="57">
        <f t="shared" si="337"/>
        <v>0.1185172130844397</v>
      </c>
      <c r="BK1446" s="57">
        <f t="shared" si="338"/>
        <v>2.9465652450679863E-3</v>
      </c>
      <c r="BL1446" s="58">
        <f t="shared" si="339"/>
        <v>209.11339582989632</v>
      </c>
      <c r="BM1446" s="58">
        <f t="shared" si="339"/>
        <v>5.1989601205988416</v>
      </c>
    </row>
    <row r="1447" spans="47:65" x14ac:dyDescent="0.2">
      <c r="AU1447" s="2">
        <v>-190</v>
      </c>
      <c r="AV1447" s="53">
        <v>1445</v>
      </c>
      <c r="AW1447" s="4" t="s">
        <v>2217</v>
      </c>
      <c r="AX1447" t="s">
        <v>600</v>
      </c>
      <c r="AY1447" s="4">
        <v>23352</v>
      </c>
      <c r="AZ1447" s="9">
        <v>27.208592439443589</v>
      </c>
      <c r="BA1447" s="7">
        <f t="shared" si="334"/>
        <v>6.9736776094130872E-4</v>
      </c>
      <c r="BB1447" s="54">
        <f t="shared" si="328"/>
        <v>3798.4464193731401</v>
      </c>
      <c r="BC1447" s="55">
        <f t="shared" si="329"/>
        <v>8910.0825259104695</v>
      </c>
      <c r="BD1447" s="55">
        <f t="shared" si="330"/>
        <v>94.393233475236286</v>
      </c>
      <c r="BE1447" s="55">
        <f t="shared" si="331"/>
        <v>92.503668997871841</v>
      </c>
      <c r="BF1447" s="56">
        <f t="shared" si="332"/>
        <v>1.982292451695592</v>
      </c>
      <c r="BG1447" s="56">
        <f t="shared" si="335"/>
        <v>2.4266389919520722E-3</v>
      </c>
      <c r="BH1447" s="56">
        <f t="shared" si="336"/>
        <v>4.9260927639987379E-2</v>
      </c>
      <c r="BI1447" s="56">
        <f t="shared" si="333"/>
        <v>4.8274822009704461E-2</v>
      </c>
      <c r="BJ1447" s="57">
        <f t="shared" si="337"/>
        <v>0.14729200749541016</v>
      </c>
      <c r="BK1447" s="57">
        <f t="shared" si="338"/>
        <v>3.660277733980948E-3</v>
      </c>
      <c r="BL1447" s="58">
        <f t="shared" si="339"/>
        <v>259.88403763783435</v>
      </c>
      <c r="BM1447" s="58">
        <f t="shared" si="339"/>
        <v>6.4582442221956544</v>
      </c>
    </row>
    <row r="1448" spans="47:65" x14ac:dyDescent="0.2">
      <c r="AU1448" s="2">
        <v>-189</v>
      </c>
      <c r="AV1448" s="53">
        <v>1446</v>
      </c>
      <c r="AW1448" s="4" t="s">
        <v>2129</v>
      </c>
      <c r="AX1448" t="s">
        <v>531</v>
      </c>
      <c r="AY1448" s="4">
        <v>69856</v>
      </c>
      <c r="AZ1448" s="9">
        <v>27.213359534634044</v>
      </c>
      <c r="BA1448" s="7">
        <f t="shared" si="334"/>
        <v>6.9748994361233663E-4</v>
      </c>
      <c r="BB1448" s="54">
        <f t="shared" si="328"/>
        <v>3810.2498821448098</v>
      </c>
      <c r="BC1448" s="55">
        <f t="shared" si="329"/>
        <v>8943.7035821922163</v>
      </c>
      <c r="BD1448" s="55">
        <f t="shared" si="330"/>
        <v>94.571156185129809</v>
      </c>
      <c r="BE1448" s="55">
        <f t="shared" si="331"/>
        <v>92.678030049583384</v>
      </c>
      <c r="BF1448" s="56">
        <f t="shared" si="332"/>
        <v>1.9884523161698715</v>
      </c>
      <c r="BG1448" s="56">
        <f t="shared" si="335"/>
        <v>2.4357956036766839E-3</v>
      </c>
      <c r="BH1448" s="56">
        <f t="shared" si="336"/>
        <v>4.9353780034326486E-2</v>
      </c>
      <c r="BI1448" s="56">
        <f t="shared" si="333"/>
        <v>4.8365815684095939E-2</v>
      </c>
      <c r="BJ1448" s="57">
        <f t="shared" si="337"/>
        <v>0.44198371410895571</v>
      </c>
      <c r="BK1448" s="57">
        <f t="shared" si="338"/>
        <v>1.0970123259935658E-2</v>
      </c>
      <c r="BL1448" s="58">
        <f t="shared" si="339"/>
        <v>779.84212548926666</v>
      </c>
      <c r="BM1448" s="58">
        <f t="shared" si="339"/>
        <v>19.355835898058764</v>
      </c>
    </row>
    <row r="1449" spans="47:65" x14ac:dyDescent="0.2">
      <c r="AU1449" s="2">
        <v>-188</v>
      </c>
      <c r="AV1449" s="53">
        <v>1447</v>
      </c>
      <c r="AW1449" s="4" t="s">
        <v>1853</v>
      </c>
      <c r="AX1449" t="s">
        <v>329</v>
      </c>
      <c r="AY1449" s="4">
        <v>10304</v>
      </c>
      <c r="AZ1449" s="9">
        <v>27.214731023561178</v>
      </c>
      <c r="BA1449" s="7">
        <f t="shared" si="334"/>
        <v>6.9752509545506426E-4</v>
      </c>
      <c r="BB1449" s="54">
        <f t="shared" si="328"/>
        <v>3813.6525173053528</v>
      </c>
      <c r="BC1449" s="55">
        <f t="shared" si="329"/>
        <v>8953.3954485009162</v>
      </c>
      <c r="BD1449" s="55">
        <f t="shared" si="330"/>
        <v>94.622383443352959</v>
      </c>
      <c r="BE1449" s="55">
        <f t="shared" si="331"/>
        <v>92.728231840155431</v>
      </c>
      <c r="BF1449" s="56">
        <f t="shared" si="332"/>
        <v>1.9902280468897318</v>
      </c>
      <c r="BG1449" s="56">
        <f t="shared" si="335"/>
        <v>2.4384351595529911E-3</v>
      </c>
      <c r="BH1449" s="56">
        <f t="shared" si="336"/>
        <v>4.9380513966067539E-2</v>
      </c>
      <c r="BI1449" s="56">
        <f t="shared" si="333"/>
        <v>4.8392014455784747E-2</v>
      </c>
      <c r="BJ1449" s="57">
        <f t="shared" si="337"/>
        <v>6.5252336076755915E-2</v>
      </c>
      <c r="BK1449" s="57">
        <f t="shared" si="338"/>
        <v>1.6190073785726843E-3</v>
      </c>
      <c r="BL1449" s="58">
        <f t="shared" si="339"/>
        <v>115.13211648946185</v>
      </c>
      <c r="BM1449" s="58">
        <f t="shared" si="339"/>
        <v>2.8565988179774542</v>
      </c>
    </row>
    <row r="1450" spans="47:65" x14ac:dyDescent="0.2">
      <c r="AU1450" s="2">
        <v>-187</v>
      </c>
      <c r="AV1450" s="53">
        <v>1448</v>
      </c>
      <c r="AW1450" s="4" t="s">
        <v>1845</v>
      </c>
      <c r="AX1450" t="s">
        <v>324</v>
      </c>
      <c r="AY1450" s="4">
        <v>81996</v>
      </c>
      <c r="AZ1450" s="9">
        <v>27.215366902483833</v>
      </c>
      <c r="BA1450" s="7">
        <f t="shared" si="334"/>
        <v>6.9754139330147102E-4</v>
      </c>
      <c r="BB1450" s="54">
        <f t="shared" si="328"/>
        <v>3815.2311504616787</v>
      </c>
      <c r="BC1450" s="55">
        <f t="shared" si="329"/>
        <v>8957.8918991074443</v>
      </c>
      <c r="BD1450" s="55">
        <f t="shared" si="330"/>
        <v>94.64614043429053</v>
      </c>
      <c r="BE1450" s="55">
        <f t="shared" si="331"/>
        <v>92.751513263464773</v>
      </c>
      <c r="BF1450" s="56">
        <f t="shared" si="332"/>
        <v>1.9910518870191647</v>
      </c>
      <c r="BG1450" s="56">
        <f t="shared" si="335"/>
        <v>2.4396597567816251E-3</v>
      </c>
      <c r="BH1450" s="56">
        <f t="shared" si="336"/>
        <v>4.9392912009534579E-2</v>
      </c>
      <c r="BI1450" s="56">
        <f t="shared" si="333"/>
        <v>4.8404164315121831E-2</v>
      </c>
      <c r="BJ1450" s="57">
        <f t="shared" si="337"/>
        <v>0.51947256599057912</v>
      </c>
      <c r="BK1450" s="57">
        <f t="shared" si="338"/>
        <v>1.2886787587315571E-2</v>
      </c>
      <c r="BL1450" s="58">
        <f t="shared" si="339"/>
        <v>916.56451824736598</v>
      </c>
      <c r="BM1450" s="58">
        <f t="shared" si="339"/>
        <v>22.737624717872475</v>
      </c>
    </row>
    <row r="1451" spans="47:65" x14ac:dyDescent="0.2">
      <c r="AU1451" s="2">
        <v>-186</v>
      </c>
      <c r="AV1451" s="53">
        <v>1449</v>
      </c>
      <c r="AW1451" s="4" t="s">
        <v>1558</v>
      </c>
      <c r="AX1451" t="s">
        <v>136</v>
      </c>
      <c r="AY1451" s="4">
        <v>54454</v>
      </c>
      <c r="AZ1451" s="9">
        <v>27.223030925311445</v>
      </c>
      <c r="BA1451" s="7">
        <f t="shared" si="334"/>
        <v>6.9773782545616591E-4</v>
      </c>
      <c r="BB1451" s="54">
        <f t="shared" si="328"/>
        <v>3834.3093390661761</v>
      </c>
      <c r="BC1451" s="55">
        <f t="shared" si="329"/>
        <v>9012.2307527368848</v>
      </c>
      <c r="BD1451" s="55">
        <f t="shared" si="330"/>
        <v>94.932769646402321</v>
      </c>
      <c r="BE1451" s="55">
        <f t="shared" si="331"/>
        <v>93.032404729792873</v>
      </c>
      <c r="BF1451" s="56">
        <f t="shared" si="332"/>
        <v>2.0010082073373443</v>
      </c>
      <c r="BG1451" s="56">
        <f t="shared" si="335"/>
        <v>2.4544588094965107E-3</v>
      </c>
      <c r="BH1451" s="56">
        <f t="shared" si="336"/>
        <v>4.9542494986592175E-2</v>
      </c>
      <c r="BI1451" s="56">
        <f t="shared" si="333"/>
        <v>4.8550752938988417E-2</v>
      </c>
      <c r="BJ1451" s="57">
        <f t="shared" si="337"/>
        <v>0.34670972945287104</v>
      </c>
      <c r="BK1451" s="57">
        <f t="shared" si="338"/>
        <v>8.58410523766822E-3</v>
      </c>
      <c r="BL1451" s="58">
        <f t="shared" si="339"/>
        <v>611.73940060081725</v>
      </c>
      <c r="BM1451" s="58">
        <f t="shared" si="339"/>
        <v>15.145912983383132</v>
      </c>
    </row>
    <row r="1452" spans="47:65" x14ac:dyDescent="0.2">
      <c r="AU1452" s="2">
        <v>-185</v>
      </c>
      <c r="AV1452" s="53">
        <v>1450</v>
      </c>
      <c r="AW1452" s="4" t="s">
        <v>1713</v>
      </c>
      <c r="AX1452" t="s">
        <v>231</v>
      </c>
      <c r="AY1452" s="4">
        <v>34018</v>
      </c>
      <c r="AZ1452" s="9">
        <v>27.237387130098085</v>
      </c>
      <c r="BA1452" s="7">
        <f t="shared" si="334"/>
        <v>6.9810578107202355E-4</v>
      </c>
      <c r="BB1452" s="54">
        <f t="shared" si="328"/>
        <v>3870.3036173210971</v>
      </c>
      <c r="BC1452" s="55">
        <f t="shared" si="329"/>
        <v>9114.7391313402532</v>
      </c>
      <c r="BD1452" s="55">
        <f t="shared" si="330"/>
        <v>95.471142924656831</v>
      </c>
      <c r="BE1452" s="55">
        <f t="shared" si="331"/>
        <v>93.560000847601671</v>
      </c>
      <c r="BF1452" s="56">
        <f t="shared" si="332"/>
        <v>2.0197925149756033</v>
      </c>
      <c r="BG1452" s="56">
        <f t="shared" si="335"/>
        <v>2.4823767134887717E-3</v>
      </c>
      <c r="BH1452" s="56">
        <f t="shared" si="336"/>
        <v>4.9823455455124462E-2</v>
      </c>
      <c r="BI1452" s="56">
        <f t="shared" si="333"/>
        <v>4.8826089138689806E-2</v>
      </c>
      <c r="BJ1452" s="57">
        <f t="shared" si="337"/>
        <v>0.21862655295942091</v>
      </c>
      <c r="BK1452" s="57">
        <f t="shared" si="338"/>
        <v>5.392994697186849E-3</v>
      </c>
      <c r="BL1452" s="58">
        <f t="shared" si="339"/>
        <v>385.74768776714956</v>
      </c>
      <c r="BM1452" s="58">
        <f t="shared" si="339"/>
        <v>9.5154737904432629</v>
      </c>
    </row>
    <row r="1453" spans="47:65" x14ac:dyDescent="0.2">
      <c r="AU1453" s="2">
        <v>-184</v>
      </c>
      <c r="AV1453" s="53">
        <v>1451</v>
      </c>
      <c r="AW1453" s="4" t="s">
        <v>1571</v>
      </c>
      <c r="AX1453" t="s">
        <v>148</v>
      </c>
      <c r="AY1453" s="4">
        <v>15992</v>
      </c>
      <c r="AZ1453" s="9">
        <v>27.247623778214667</v>
      </c>
      <c r="BA1453" s="7">
        <f t="shared" si="334"/>
        <v>6.9836815070369387E-4</v>
      </c>
      <c r="BB1453" s="54">
        <f t="shared" si="328"/>
        <v>3896.1754257998905</v>
      </c>
      <c r="BC1453" s="55">
        <f t="shared" si="329"/>
        <v>9188.4088029030136</v>
      </c>
      <c r="BD1453" s="55">
        <f t="shared" si="330"/>
        <v>95.85618813046456</v>
      </c>
      <c r="BE1453" s="55">
        <f t="shared" si="331"/>
        <v>93.937338215503161</v>
      </c>
      <c r="BF1453" s="56">
        <f t="shared" si="332"/>
        <v>2.0332942167233652</v>
      </c>
      <c r="BG1453" s="56">
        <f t="shared" si="335"/>
        <v>2.5024404667722561E-3</v>
      </c>
      <c r="BH1453" s="56">
        <f t="shared" si="336"/>
        <v>5.002439871474975E-2</v>
      </c>
      <c r="BI1453" s="56">
        <f t="shared" si="333"/>
        <v>4.9023009914590632E-2</v>
      </c>
      <c r="BJ1453" s="57">
        <f t="shared" si="337"/>
        <v>0.10346426541437193</v>
      </c>
      <c r="BK1453" s="57">
        <f t="shared" si="338"/>
        <v>2.5454937230667421E-3</v>
      </c>
      <c r="BL1453" s="58">
        <f t="shared" si="339"/>
        <v>182.55376856043875</v>
      </c>
      <c r="BM1453" s="58">
        <f t="shared" si="339"/>
        <v>4.491304027837101</v>
      </c>
    </row>
    <row r="1454" spans="47:65" x14ac:dyDescent="0.2">
      <c r="AU1454" s="2">
        <v>-183</v>
      </c>
      <c r="AV1454" s="53">
        <v>1452</v>
      </c>
      <c r="AW1454" s="4" t="s">
        <v>1578</v>
      </c>
      <c r="AX1454" t="s">
        <v>152</v>
      </c>
      <c r="AY1454" s="4">
        <v>25035</v>
      </c>
      <c r="AZ1454" s="9">
        <v>27.248589175070254</v>
      </c>
      <c r="BA1454" s="7">
        <f t="shared" si="334"/>
        <v>6.9839289423444056E-4</v>
      </c>
      <c r="BB1454" s="54">
        <f t="shared" si="328"/>
        <v>3898.624248820835</v>
      </c>
      <c r="BC1454" s="55">
        <f t="shared" si="329"/>
        <v>9195.3812662992623</v>
      </c>
      <c r="BD1454" s="55">
        <f t="shared" si="330"/>
        <v>95.892550629854782</v>
      </c>
      <c r="BE1454" s="55">
        <f t="shared" si="331"/>
        <v>93.972972810099506</v>
      </c>
      <c r="BF1454" s="56">
        <f t="shared" si="332"/>
        <v>2.0345721822003053</v>
      </c>
      <c r="BG1454" s="56">
        <f t="shared" si="335"/>
        <v>2.5043393999751328E-3</v>
      </c>
      <c r="BH1454" s="56">
        <f t="shared" si="336"/>
        <v>5.0043375185683997E-2</v>
      </c>
      <c r="BI1454" s="56">
        <f t="shared" si="333"/>
        <v>4.9041606514383024E-2</v>
      </c>
      <c r="BJ1454" s="57">
        <f t="shared" si="337"/>
        <v>0.16207202938401846</v>
      </c>
      <c r="BK1454" s="57">
        <f t="shared" si="338"/>
        <v>3.9864063042473761E-3</v>
      </c>
      <c r="BL1454" s="58">
        <f t="shared" si="339"/>
        <v>285.9621109162286</v>
      </c>
      <c r="BM1454" s="58">
        <f t="shared" si="339"/>
        <v>7.0336699433267516</v>
      </c>
    </row>
    <row r="1455" spans="47:65" x14ac:dyDescent="0.2">
      <c r="AU1455" s="2">
        <v>-182</v>
      </c>
      <c r="AV1455" s="53">
        <v>1453</v>
      </c>
      <c r="AW1455" s="4" t="s">
        <v>2395</v>
      </c>
      <c r="AX1455" t="s">
        <v>732</v>
      </c>
      <c r="AY1455" s="4">
        <v>20670</v>
      </c>
      <c r="AZ1455" s="9">
        <v>27.259944306472516</v>
      </c>
      <c r="BA1455" s="7">
        <f t="shared" si="334"/>
        <v>6.986839310669711E-4</v>
      </c>
      <c r="BB1455" s="54">
        <f t="shared" si="328"/>
        <v>3927.5434342164563</v>
      </c>
      <c r="BC1455" s="55">
        <f t="shared" si="329"/>
        <v>9277.7143750545893</v>
      </c>
      <c r="BD1455" s="55">
        <f t="shared" si="330"/>
        <v>96.320892723513467</v>
      </c>
      <c r="BE1455" s="55">
        <f t="shared" si="331"/>
        <v>94.392740348416254</v>
      </c>
      <c r="BF1455" s="56">
        <f t="shared" si="332"/>
        <v>2.0496642163083916</v>
      </c>
      <c r="BG1455" s="56">
        <f t="shared" si="335"/>
        <v>2.5267626190027853E-3</v>
      </c>
      <c r="BH1455" s="56">
        <f t="shared" si="336"/>
        <v>5.0266913760472556E-2</v>
      </c>
      <c r="BI1455" s="56">
        <f t="shared" si="333"/>
        <v>4.9260670292253519E-2</v>
      </c>
      <c r="BJ1455" s="57">
        <f t="shared" si="337"/>
        <v>0.13480641765342669</v>
      </c>
      <c r="BK1455" s="57">
        <f t="shared" si="338"/>
        <v>3.3060549706759794E-3</v>
      </c>
      <c r="BL1455" s="58">
        <f t="shared" si="339"/>
        <v>237.85429172289929</v>
      </c>
      <c r="BM1455" s="58">
        <f t="shared" si="339"/>
        <v>5.8332487216502846</v>
      </c>
    </row>
    <row r="1456" spans="47:65" x14ac:dyDescent="0.2">
      <c r="AU1456" s="2">
        <v>-181</v>
      </c>
      <c r="AV1456" s="53">
        <v>1454</v>
      </c>
      <c r="AW1456" s="4" t="s">
        <v>2376</v>
      </c>
      <c r="AX1456" t="s">
        <v>717</v>
      </c>
      <c r="AY1456" s="4">
        <v>23324</v>
      </c>
      <c r="AZ1456" s="9">
        <v>27.261290173931407</v>
      </c>
      <c r="BA1456" s="7">
        <f t="shared" si="334"/>
        <v>6.9871842622060392E-4</v>
      </c>
      <c r="BB1456" s="54">
        <f t="shared" si="328"/>
        <v>3930.9852718269563</v>
      </c>
      <c r="BC1456" s="55">
        <f t="shared" si="329"/>
        <v>9287.5123168546761</v>
      </c>
      <c r="BD1456" s="55">
        <f t="shared" si="330"/>
        <v>96.371740239837294</v>
      </c>
      <c r="BE1456" s="55">
        <f t="shared" si="331"/>
        <v>94.442569998765265</v>
      </c>
      <c r="BF1456" s="56">
        <f t="shared" si="332"/>
        <v>2.051460405582108</v>
      </c>
      <c r="BG1456" s="56">
        <f t="shared" si="335"/>
        <v>2.5294310642775919E-3</v>
      </c>
      <c r="BH1456" s="56">
        <f t="shared" si="336"/>
        <v>5.0293449516588061E-2</v>
      </c>
      <c r="BI1456" s="56">
        <f t="shared" si="333"/>
        <v>4.9286674855397984E-2</v>
      </c>
      <c r="BJ1456" s="57">
        <f t="shared" si="337"/>
        <v>0.15224868286057339</v>
      </c>
      <c r="BK1456" s="57">
        <f t="shared" si="338"/>
        <v>3.7325172957664503E-3</v>
      </c>
      <c r="BL1456" s="58">
        <f t="shared" si="339"/>
        <v>268.62966361620761</v>
      </c>
      <c r="BM1456" s="58">
        <f t="shared" si="339"/>
        <v>6.5857046955318532</v>
      </c>
    </row>
    <row r="1457" spans="47:65" x14ac:dyDescent="0.2">
      <c r="AU1457" s="2">
        <v>-180</v>
      </c>
      <c r="AV1457" s="53">
        <v>1455</v>
      </c>
      <c r="AW1457" s="4" t="s">
        <v>1509</v>
      </c>
      <c r="AX1457" t="s">
        <v>104</v>
      </c>
      <c r="AY1457" s="4">
        <v>39941</v>
      </c>
      <c r="AZ1457" s="9">
        <v>27.262306219531126</v>
      </c>
      <c r="BA1457" s="7">
        <f t="shared" si="334"/>
        <v>6.9874446790013829E-4</v>
      </c>
      <c r="BB1457" s="54">
        <f t="shared" si="328"/>
        <v>3933.5856416114466</v>
      </c>
      <c r="BC1457" s="55">
        <f t="shared" si="329"/>
        <v>9294.9146895559043</v>
      </c>
      <c r="BD1457" s="55">
        <f t="shared" si="330"/>
        <v>96.410137898230928</v>
      </c>
      <c r="BE1457" s="55">
        <f t="shared" si="331"/>
        <v>94.48019901253636</v>
      </c>
      <c r="BF1457" s="56">
        <f t="shared" si="332"/>
        <v>2.0528174586575734</v>
      </c>
      <c r="BG1457" s="56">
        <f t="shared" si="335"/>
        <v>2.5314470822186664E-3</v>
      </c>
      <c r="BH1457" s="56">
        <f t="shared" si="336"/>
        <v>5.0313488074458387E-2</v>
      </c>
      <c r="BI1457" s="56">
        <f t="shared" si="333"/>
        <v>4.9306312281261963E-2</v>
      </c>
      <c r="BJ1457" s="57">
        <f t="shared" si="337"/>
        <v>0.26088952306064095</v>
      </c>
      <c r="BK1457" s="57">
        <f t="shared" si="338"/>
        <v>6.3942665003670256E-3</v>
      </c>
      <c r="BL1457" s="58">
        <f t="shared" si="339"/>
        <v>460.31705170778559</v>
      </c>
      <c r="BM1457" s="58">
        <f t="shared" si="339"/>
        <v>11.282131489038944</v>
      </c>
    </row>
    <row r="1458" spans="47:65" x14ac:dyDescent="0.2">
      <c r="AU1458" s="2">
        <v>-179</v>
      </c>
      <c r="AV1458" s="53">
        <v>1456</v>
      </c>
      <c r="AW1458" s="4" t="s">
        <v>2866</v>
      </c>
      <c r="AX1458" t="s">
        <v>1088</v>
      </c>
      <c r="AY1458" s="4">
        <v>20780</v>
      </c>
      <c r="AZ1458" s="9">
        <v>27.274413654509367</v>
      </c>
      <c r="BA1458" s="7">
        <f t="shared" si="334"/>
        <v>6.9905478659230546E-4</v>
      </c>
      <c r="BB1458" s="54">
        <f t="shared" si="328"/>
        <v>3964.7049584627607</v>
      </c>
      <c r="BC1458" s="55">
        <f t="shared" si="329"/>
        <v>9383.4904976077196</v>
      </c>
      <c r="BD1458" s="55">
        <f t="shared" si="330"/>
        <v>96.868418473761196</v>
      </c>
      <c r="BE1458" s="55">
        <f t="shared" si="331"/>
        <v>94.929305723963168</v>
      </c>
      <c r="BF1458" s="56">
        <f t="shared" si="332"/>
        <v>2.0690576737575341</v>
      </c>
      <c r="BG1458" s="56">
        <f t="shared" si="335"/>
        <v>2.5555704849972868E-3</v>
      </c>
      <c r="BH1458" s="56">
        <f t="shared" si="336"/>
        <v>5.0552650622863356E-2</v>
      </c>
      <c r="BI1458" s="56">
        <f t="shared" si="333"/>
        <v>4.954068727192424E-2</v>
      </c>
      <c r="BJ1458" s="57">
        <f t="shared" si="337"/>
        <v>0.13680611558742733</v>
      </c>
      <c r="BK1458" s="57">
        <f t="shared" si="338"/>
        <v>3.3425418015547922E-3</v>
      </c>
      <c r="BL1458" s="58">
        <f t="shared" si="339"/>
        <v>241.38258617676038</v>
      </c>
      <c r="BM1458" s="58">
        <f t="shared" si="339"/>
        <v>5.8976265863466448</v>
      </c>
    </row>
    <row r="1459" spans="47:65" x14ac:dyDescent="0.2">
      <c r="AU1459" s="2">
        <v>-178</v>
      </c>
      <c r="AV1459" s="53">
        <v>1457</v>
      </c>
      <c r="AW1459" s="4" t="s">
        <v>3121</v>
      </c>
      <c r="AX1459" t="s">
        <v>1262</v>
      </c>
      <c r="AY1459" s="4">
        <v>21327</v>
      </c>
      <c r="AZ1459" s="9">
        <v>27.274621004247141</v>
      </c>
      <c r="BA1459" s="7">
        <f t="shared" si="334"/>
        <v>6.9906010105400299E-4</v>
      </c>
      <c r="BB1459" s="54">
        <f t="shared" si="328"/>
        <v>3965.2400410970286</v>
      </c>
      <c r="BC1459" s="55">
        <f t="shared" si="329"/>
        <v>9385.0133439435231</v>
      </c>
      <c r="BD1459" s="55">
        <f t="shared" si="330"/>
        <v>96.876278540948931</v>
      </c>
      <c r="BE1459" s="55">
        <f t="shared" si="331"/>
        <v>94.937008448265175</v>
      </c>
      <c r="BF1459" s="56">
        <f t="shared" si="332"/>
        <v>2.0693369169400957</v>
      </c>
      <c r="BG1459" s="56">
        <f t="shared" si="335"/>
        <v>2.5559852284394915E-3</v>
      </c>
      <c r="BH1459" s="56">
        <f t="shared" si="336"/>
        <v>5.055675255037146E-2</v>
      </c>
      <c r="BI1459" s="56">
        <f t="shared" si="333"/>
        <v>4.9544707087015784E-2</v>
      </c>
      <c r="BJ1459" s="57">
        <f t="shared" si="337"/>
        <v>0.14042626561716443</v>
      </c>
      <c r="BK1459" s="57">
        <f t="shared" si="338"/>
        <v>3.430807184785385E-3</v>
      </c>
      <c r="BL1459" s="58">
        <f t="shared" si="339"/>
        <v>247.77002852737212</v>
      </c>
      <c r="BM1459" s="58">
        <f t="shared" si="339"/>
        <v>6.0533632387806335</v>
      </c>
    </row>
    <row r="1460" spans="47:65" x14ac:dyDescent="0.2">
      <c r="AU1460" s="2">
        <v>-177</v>
      </c>
      <c r="AV1460" s="53">
        <v>1458</v>
      </c>
      <c r="AW1460" s="4" t="s">
        <v>1761</v>
      </c>
      <c r="AX1460" t="s">
        <v>261</v>
      </c>
      <c r="AY1460" s="4">
        <v>50314</v>
      </c>
      <c r="AZ1460" s="9">
        <v>27.302837005152892</v>
      </c>
      <c r="BA1460" s="7">
        <f t="shared" si="334"/>
        <v>6.9978328912108714E-4</v>
      </c>
      <c r="BB1460" s="54">
        <f t="shared" si="328"/>
        <v>4038.7314053213922</v>
      </c>
      <c r="BC1460" s="55">
        <f t="shared" si="329"/>
        <v>9594.1063783231948</v>
      </c>
      <c r="BD1460" s="55">
        <f t="shared" si="330"/>
        <v>97.949509331712292</v>
      </c>
      <c r="BE1460" s="55">
        <f t="shared" si="331"/>
        <v>95.988755296762989</v>
      </c>
      <c r="BF1460" s="56">
        <f t="shared" si="332"/>
        <v>2.1076898013782581</v>
      </c>
      <c r="BG1460" s="56">
        <f t="shared" si="335"/>
        <v>2.6129312004544718E-3</v>
      </c>
      <c r="BH1460" s="56">
        <f t="shared" si="336"/>
        <v>5.1116838717339241E-2</v>
      </c>
      <c r="BI1460" s="56">
        <f t="shared" si="333"/>
        <v>5.0093581444763752E-2</v>
      </c>
      <c r="BJ1460" s="57">
        <f t="shared" si="337"/>
        <v>0.33742939375867886</v>
      </c>
      <c r="BK1460" s="57">
        <f t="shared" si="338"/>
        <v>8.1835210703078507E-3</v>
      </c>
      <c r="BL1460" s="58">
        <f t="shared" si="339"/>
        <v>595.36504905349159</v>
      </c>
      <c r="BM1460" s="58">
        <f t="shared" si="339"/>
        <v>14.439116785832178</v>
      </c>
    </row>
    <row r="1461" spans="47:65" x14ac:dyDescent="0.2">
      <c r="AU1461" s="2">
        <v>-176</v>
      </c>
      <c r="AV1461" s="53">
        <v>1459</v>
      </c>
      <c r="AW1461" s="4" t="s">
        <v>2880</v>
      </c>
      <c r="AX1461" t="s">
        <v>1098</v>
      </c>
      <c r="AY1461" s="4">
        <v>13530</v>
      </c>
      <c r="AZ1461" s="9">
        <v>27.333983786148572</v>
      </c>
      <c r="BA1461" s="7">
        <f t="shared" si="334"/>
        <v>7.0058159432455662E-4</v>
      </c>
      <c r="BB1461" s="54">
        <f t="shared" si="328"/>
        <v>4121.4390673301505</v>
      </c>
      <c r="BC1461" s="55">
        <f t="shared" si="329"/>
        <v>9829.2446522249556</v>
      </c>
      <c r="BD1461" s="55">
        <f t="shared" si="330"/>
        <v>99.14254713403804</v>
      </c>
      <c r="BE1461" s="55">
        <f t="shared" si="331"/>
        <v>97.157910859139633</v>
      </c>
      <c r="BF1461" s="56">
        <f t="shared" si="332"/>
        <v>2.1508523883930843</v>
      </c>
      <c r="BG1461" s="56">
        <f t="shared" si="335"/>
        <v>2.6769705291917606E-3</v>
      </c>
      <c r="BH1461" s="56">
        <f t="shared" si="336"/>
        <v>5.1739448481712295E-2</v>
      </c>
      <c r="BI1461" s="56">
        <f t="shared" si="333"/>
        <v>5.0703727802060831E-2</v>
      </c>
      <c r="BJ1461" s="57">
        <f t="shared" si="337"/>
        <v>9.2596756590242663E-2</v>
      </c>
      <c r="BK1461" s="57">
        <f t="shared" si="338"/>
        <v>2.2274448693124075E-3</v>
      </c>
      <c r="BL1461" s="58">
        <f t="shared" si="339"/>
        <v>163.37898697992756</v>
      </c>
      <c r="BM1461" s="58">
        <f t="shared" si="339"/>
        <v>3.9301342693059933</v>
      </c>
    </row>
    <row r="1462" spans="47:65" x14ac:dyDescent="0.2">
      <c r="AU1462" s="2">
        <v>-175</v>
      </c>
      <c r="AV1462" s="53">
        <v>1460</v>
      </c>
      <c r="AW1462" s="4" t="s">
        <v>2776</v>
      </c>
      <c r="AX1462" t="s">
        <v>1024</v>
      </c>
      <c r="AY1462" s="4">
        <v>17470</v>
      </c>
      <c r="AZ1462" s="9">
        <v>27.340818057837772</v>
      </c>
      <c r="BA1462" s="7">
        <f t="shared" si="334"/>
        <v>7.007567596057511E-4</v>
      </c>
      <c r="BB1462" s="54">
        <f t="shared" si="328"/>
        <v>4139.812318847753</v>
      </c>
      <c r="BC1462" s="55">
        <f t="shared" si="329"/>
        <v>9881.4505599076547</v>
      </c>
      <c r="BD1462" s="55">
        <f t="shared" si="330"/>
        <v>99.405485562456036</v>
      </c>
      <c r="BE1462" s="55">
        <f t="shared" si="331"/>
        <v>97.415585784065058</v>
      </c>
      <c r="BF1462" s="56">
        <f t="shared" si="332"/>
        <v>2.160440823709874</v>
      </c>
      <c r="BG1462" s="56">
        <f t="shared" si="335"/>
        <v>2.6911886793407475E-3</v>
      </c>
      <c r="BH1462" s="56">
        <f t="shared" si="336"/>
        <v>5.1876667966830207E-2</v>
      </c>
      <c r="BI1462" s="56">
        <f t="shared" si="333"/>
        <v>5.0838200426464947E-2</v>
      </c>
      <c r="BJ1462" s="57">
        <f t="shared" si="337"/>
        <v>0.12009437110847729</v>
      </c>
      <c r="BK1462" s="57">
        <f t="shared" si="338"/>
        <v>2.8837150947654952E-3</v>
      </c>
      <c r="BL1462" s="58">
        <f t="shared" si="339"/>
        <v>211.89615507290932</v>
      </c>
      <c r="BM1462" s="58">
        <f t="shared" si="339"/>
        <v>5.0880664536273663</v>
      </c>
    </row>
    <row r="1463" spans="47:65" x14ac:dyDescent="0.2">
      <c r="AU1463" s="2">
        <v>-174</v>
      </c>
      <c r="AV1463" s="53">
        <v>1461</v>
      </c>
      <c r="AW1463" s="4" t="s">
        <v>1870</v>
      </c>
      <c r="AX1463" t="s">
        <v>343</v>
      </c>
      <c r="AY1463" s="4">
        <v>30190</v>
      </c>
      <c r="AZ1463" s="9">
        <v>27.344519415130058</v>
      </c>
      <c r="BA1463" s="7">
        <f t="shared" si="334"/>
        <v>7.0085162696256536E-4</v>
      </c>
      <c r="BB1463" s="54">
        <f t="shared" si="328"/>
        <v>4149.7972173807675</v>
      </c>
      <c r="BC1463" s="55">
        <f t="shared" si="329"/>
        <v>9909.8168853729621</v>
      </c>
      <c r="BD1463" s="55">
        <f t="shared" si="330"/>
        <v>99.548063192474828</v>
      </c>
      <c r="BE1463" s="55">
        <f t="shared" si="331"/>
        <v>97.55530929398401</v>
      </c>
      <c r="BF1463" s="56">
        <f t="shared" si="332"/>
        <v>2.1656516353964594</v>
      </c>
      <c r="BG1463" s="56">
        <f t="shared" si="335"/>
        <v>2.6989141780920782E-3</v>
      </c>
      <c r="BH1463" s="56">
        <f t="shared" si="336"/>
        <v>5.1951074850209576E-2</v>
      </c>
      <c r="BI1463" s="56">
        <f t="shared" si="333"/>
        <v>5.0911117832277662E-2</v>
      </c>
      <c r="BJ1463" s="57">
        <f t="shared" si="337"/>
        <v>0.20803628170355185</v>
      </c>
      <c r="BK1463" s="57">
        <f t="shared" si="338"/>
        <v>4.9905110617488452E-3</v>
      </c>
      <c r="BL1463" s="58">
        <f t="shared" si="339"/>
        <v>367.06206795345446</v>
      </c>
      <c r="BM1463" s="58">
        <f t="shared" si="339"/>
        <v>8.8053261453713336</v>
      </c>
    </row>
    <row r="1464" spans="47:65" x14ac:dyDescent="0.2">
      <c r="AU1464" s="2">
        <v>-173</v>
      </c>
      <c r="AV1464" s="53">
        <v>1462</v>
      </c>
      <c r="AW1464" s="4" t="s">
        <v>2011</v>
      </c>
      <c r="AX1464" t="s">
        <v>438</v>
      </c>
      <c r="AY1464" s="4">
        <v>66458</v>
      </c>
      <c r="AZ1464" s="9">
        <v>27.350348835284095</v>
      </c>
      <c r="BA1464" s="7">
        <f t="shared" si="334"/>
        <v>7.0100103747284636E-4</v>
      </c>
      <c r="BB1464" s="54">
        <f t="shared" si="328"/>
        <v>4165.5717046589634</v>
      </c>
      <c r="BC1464" s="55">
        <f t="shared" si="329"/>
        <v>9954.6238195219939</v>
      </c>
      <c r="BD1464" s="55">
        <f t="shared" si="330"/>
        <v>99.772861137295209</v>
      </c>
      <c r="BE1464" s="55">
        <f t="shared" si="331"/>
        <v>97.775607231807285</v>
      </c>
      <c r="BF1464" s="56">
        <f t="shared" si="332"/>
        <v>2.1738838555224183</v>
      </c>
      <c r="BG1464" s="56">
        <f t="shared" si="335"/>
        <v>2.71111723605486E-3</v>
      </c>
      <c r="BH1464" s="56">
        <f t="shared" si="336"/>
        <v>5.206838998907936E-2</v>
      </c>
      <c r="BI1464" s="56">
        <f t="shared" si="333"/>
        <v>5.1026084555790711E-2</v>
      </c>
      <c r="BJ1464" s="57">
        <f t="shared" si="337"/>
        <v>0.45969626672997321</v>
      </c>
      <c r="BK1464" s="57">
        <f t="shared" si="338"/>
        <v>1.1010544299234414E-2</v>
      </c>
      <c r="BL1464" s="58">
        <f t="shared" si="339"/>
        <v>811.09439620168848</v>
      </c>
      <c r="BM1464" s="58">
        <f t="shared" si="339"/>
        <v>19.427155334035664</v>
      </c>
    </row>
    <row r="1465" spans="47:65" x14ac:dyDescent="0.2">
      <c r="AU1465" s="2">
        <v>-172</v>
      </c>
      <c r="AV1465" s="53">
        <v>1463</v>
      </c>
      <c r="AW1465" s="4" t="s">
        <v>2243</v>
      </c>
      <c r="AX1465" t="s">
        <v>612</v>
      </c>
      <c r="AY1465" s="4">
        <v>54252</v>
      </c>
      <c r="AZ1465" s="9">
        <v>27.359928742028469</v>
      </c>
      <c r="BA1465" s="7">
        <f t="shared" si="334"/>
        <v>7.01246574544682E-4</v>
      </c>
      <c r="BB1465" s="54">
        <f t="shared" si="328"/>
        <v>4191.6254157685835</v>
      </c>
      <c r="BC1465" s="55">
        <f t="shared" si="329"/>
        <v>10028.608693660333</v>
      </c>
      <c r="BD1465" s="55">
        <f t="shared" si="330"/>
        <v>100.14294130721512</v>
      </c>
      <c r="BE1465" s="55">
        <f t="shared" si="331"/>
        <v>98.138279134025041</v>
      </c>
      <c r="BF1465" s="56">
        <f t="shared" si="332"/>
        <v>2.1874804866629423</v>
      </c>
      <c r="BG1465" s="56">
        <f t="shared" si="335"/>
        <v>2.7312668339824729E-3</v>
      </c>
      <c r="BH1465" s="56">
        <f t="shared" si="336"/>
        <v>5.2261523456386849E-2</v>
      </c>
      <c r="BI1465" s="56">
        <f t="shared" si="333"/>
        <v>5.121535187585672E-2</v>
      </c>
      <c r="BJ1465" s="57">
        <f t="shared" si="337"/>
        <v>0.37761332657030749</v>
      </c>
      <c r="BK1465" s="57">
        <f t="shared" si="338"/>
        <v>9.021633721681379E-3</v>
      </c>
      <c r="BL1465" s="58">
        <f t="shared" si="339"/>
        <v>666.26613109339053</v>
      </c>
      <c r="BM1465" s="58">
        <f t="shared" si="339"/>
        <v>15.917894239802928</v>
      </c>
    </row>
    <row r="1466" spans="47:65" x14ac:dyDescent="0.2">
      <c r="AU1466" s="2">
        <v>-171</v>
      </c>
      <c r="AV1466" s="53">
        <v>1464</v>
      </c>
      <c r="AW1466" s="4" t="s">
        <v>2017</v>
      </c>
      <c r="AX1466" t="s">
        <v>442</v>
      </c>
      <c r="AY1466" s="4">
        <v>18490</v>
      </c>
      <c r="AZ1466" s="9">
        <v>27.361658659315673</v>
      </c>
      <c r="BA1466" s="7">
        <f t="shared" si="334"/>
        <v>7.0129091305825544E-4</v>
      </c>
      <c r="BB1466" s="54">
        <f t="shared" si="328"/>
        <v>4196.3474759287583</v>
      </c>
      <c r="BC1466" s="55">
        <f t="shared" si="329"/>
        <v>10042.015227674772</v>
      </c>
      <c r="BD1466" s="55">
        <f t="shared" si="330"/>
        <v>100.20985594079443</v>
      </c>
      <c r="BE1466" s="55">
        <f t="shared" si="331"/>
        <v>98.203854269952103</v>
      </c>
      <c r="BF1466" s="56">
        <f t="shared" si="332"/>
        <v>2.1899447847412876</v>
      </c>
      <c r="BG1466" s="56">
        <f t="shared" si="335"/>
        <v>2.7349180704430748E-3</v>
      </c>
      <c r="BH1466" s="56">
        <f t="shared" si="336"/>
        <v>5.229644414721784E-2</v>
      </c>
      <c r="BI1466" s="56">
        <f t="shared" si="333"/>
        <v>5.1249573524028723E-2</v>
      </c>
      <c r="BJ1466" s="57">
        <f t="shared" si="337"/>
        <v>0.12884199723447631</v>
      </c>
      <c r="BK1466" s="57">
        <f t="shared" si="338"/>
        <v>3.0767799988093247E-3</v>
      </c>
      <c r="BL1466" s="58">
        <f t="shared" si="339"/>
        <v>227.33058655380063</v>
      </c>
      <c r="BM1466" s="58">
        <f t="shared" si="339"/>
        <v>5.4287128175560744</v>
      </c>
    </row>
    <row r="1467" spans="47:65" x14ac:dyDescent="0.2">
      <c r="AU1467" s="2">
        <v>-170</v>
      </c>
      <c r="AV1467" s="53">
        <v>1465</v>
      </c>
      <c r="AW1467" s="4" t="s">
        <v>1511</v>
      </c>
      <c r="AX1467" t="s">
        <v>106</v>
      </c>
      <c r="AY1467" s="4">
        <v>62610</v>
      </c>
      <c r="AZ1467" s="9">
        <v>27.389578651822543</v>
      </c>
      <c r="BA1467" s="7">
        <f t="shared" si="334"/>
        <v>7.0200651430456576E-4</v>
      </c>
      <c r="BB1467" s="54">
        <f t="shared" si="328"/>
        <v>4273.2991708071695</v>
      </c>
      <c r="BC1467" s="55">
        <f t="shared" si="329"/>
        <v>10260.365367367418</v>
      </c>
      <c r="BD1467" s="55">
        <f t="shared" si="330"/>
        <v>101.29346162199917</v>
      </c>
      <c r="BE1467" s="55">
        <f t="shared" si="331"/>
        <v>99.265768324254253</v>
      </c>
      <c r="BF1467" s="56">
        <f t="shared" si="332"/>
        <v>2.2301035094042581</v>
      </c>
      <c r="BG1467" s="56">
        <f t="shared" si="335"/>
        <v>2.7943851922500981E-3</v>
      </c>
      <c r="BH1467" s="56">
        <f t="shared" si="336"/>
        <v>5.2861944650666209E-2</v>
      </c>
      <c r="BI1467" s="56">
        <f t="shared" si="333"/>
        <v>5.1803753834027758E-2</v>
      </c>
      <c r="BJ1467" s="57">
        <f t="shared" si="337"/>
        <v>0.44427931855103181</v>
      </c>
      <c r="BK1467" s="57">
        <f t="shared" si="338"/>
        <v>1.0531111514619416E-2</v>
      </c>
      <c r="BL1467" s="58">
        <f t="shared" si="339"/>
        <v>783.89252144333557</v>
      </c>
      <c r="BM1467" s="58">
        <f t="shared" si="339"/>
        <v>18.581237555057882</v>
      </c>
    </row>
    <row r="1468" spans="47:65" x14ac:dyDescent="0.2">
      <c r="AU1468" s="2">
        <v>-169</v>
      </c>
      <c r="AV1468" s="53">
        <v>1466</v>
      </c>
      <c r="AW1468" s="4" t="s">
        <v>1501</v>
      </c>
      <c r="AX1468" t="s">
        <v>96</v>
      </c>
      <c r="AY1468" s="4">
        <v>66886</v>
      </c>
      <c r="AZ1468" s="9">
        <v>27.390508276253275</v>
      </c>
      <c r="BA1468" s="7">
        <f t="shared" si="334"/>
        <v>7.0203034097289561E-4</v>
      </c>
      <c r="BB1468" s="54">
        <f t="shared" si="328"/>
        <v>4275.8854898687114</v>
      </c>
      <c r="BC1468" s="55">
        <f t="shared" si="329"/>
        <v>10267.699735305685</v>
      </c>
      <c r="BD1468" s="55">
        <f t="shared" si="330"/>
        <v>101.32965871503608</v>
      </c>
      <c r="BE1468" s="55">
        <f t="shared" si="331"/>
        <v>99.301240823602939</v>
      </c>
      <c r="BF1468" s="56">
        <f t="shared" si="332"/>
        <v>2.2314532298392331</v>
      </c>
      <c r="BG1468" s="56">
        <f t="shared" si="335"/>
        <v>2.7963826892616621E-3</v>
      </c>
      <c r="BH1468" s="56">
        <f t="shared" si="336"/>
        <v>5.2880834801104094E-2</v>
      </c>
      <c r="BI1468" s="56">
        <f t="shared" si="333"/>
        <v>5.1822265841288156E-2</v>
      </c>
      <c r="BJ1468" s="57">
        <f t="shared" si="337"/>
        <v>0.47490898398682213</v>
      </c>
      <c r="BK1468" s="57">
        <f t="shared" si="338"/>
        <v>1.1254362489854498E-2</v>
      </c>
      <c r="BL1468" s="58">
        <f t="shared" si="339"/>
        <v>837.93592312076373</v>
      </c>
      <c r="BM1468" s="58">
        <f t="shared" si="339"/>
        <v>19.857351492709608</v>
      </c>
    </row>
    <row r="1469" spans="47:65" x14ac:dyDescent="0.2">
      <c r="AU1469" s="2">
        <v>-168</v>
      </c>
      <c r="AV1469" s="53">
        <v>1467</v>
      </c>
      <c r="AW1469" s="4" t="s">
        <v>1510</v>
      </c>
      <c r="AX1469" t="s">
        <v>105</v>
      </c>
      <c r="AY1469" s="4">
        <v>50847</v>
      </c>
      <c r="AZ1469" s="9">
        <v>27.39083623602756</v>
      </c>
      <c r="BA1469" s="7">
        <f t="shared" si="334"/>
        <v>7.0203874672096879E-4</v>
      </c>
      <c r="BB1469" s="54">
        <f t="shared" si="328"/>
        <v>4276.7982841154944</v>
      </c>
      <c r="BC1469" s="55">
        <f t="shared" si="329"/>
        <v>10270.288197384903</v>
      </c>
      <c r="BD1469" s="55">
        <f t="shared" si="330"/>
        <v>101.34243039016236</v>
      </c>
      <c r="BE1469" s="55">
        <f t="shared" si="331"/>
        <v>99.313756835237825</v>
      </c>
      <c r="BF1469" s="56">
        <f t="shared" si="332"/>
        <v>2.231929589104459</v>
      </c>
      <c r="BG1469" s="56">
        <f t="shared" si="335"/>
        <v>2.7970876505222348E-3</v>
      </c>
      <c r="BH1469" s="56">
        <f t="shared" si="336"/>
        <v>5.2887499945849535E-2</v>
      </c>
      <c r="BI1469" s="56">
        <f t="shared" si="333"/>
        <v>5.1828797563114565E-2</v>
      </c>
      <c r="BJ1469" s="57">
        <f t="shared" si="337"/>
        <v>0.36110474592759484</v>
      </c>
      <c r="BK1469" s="57">
        <f t="shared" si="338"/>
        <v>8.5566889403328114E-3</v>
      </c>
      <c r="BL1469" s="58">
        <f t="shared" si="339"/>
        <v>637.13816504790339</v>
      </c>
      <c r="BM1469" s="58">
        <f t="shared" si="339"/>
        <v>15.097539292442519</v>
      </c>
    </row>
    <row r="1470" spans="47:65" x14ac:dyDescent="0.2">
      <c r="AU1470" s="2">
        <v>-167</v>
      </c>
      <c r="AV1470" s="53">
        <v>1468</v>
      </c>
      <c r="AW1470" s="4" t="s">
        <v>2664</v>
      </c>
      <c r="AX1470" t="s">
        <v>934</v>
      </c>
      <c r="AY1470" s="4">
        <v>32318</v>
      </c>
      <c r="AZ1470" s="9">
        <v>27.392338431808028</v>
      </c>
      <c r="BA1470" s="7">
        <f t="shared" si="334"/>
        <v>7.0207724863576839E-4</v>
      </c>
      <c r="BB1470" s="54">
        <f t="shared" si="328"/>
        <v>4280.9817626664972</v>
      </c>
      <c r="BC1470" s="55">
        <f t="shared" si="329"/>
        <v>10282.15105679467</v>
      </c>
      <c r="BD1470" s="55">
        <f t="shared" si="330"/>
        <v>101.40094209027187</v>
      </c>
      <c r="BE1470" s="55">
        <f t="shared" si="331"/>
        <v>99.371097247682243</v>
      </c>
      <c r="BF1470" s="56">
        <f t="shared" si="332"/>
        <v>2.2341128179927745</v>
      </c>
      <c r="BG1470" s="56">
        <f t="shared" si="335"/>
        <v>2.8003184710136166E-3</v>
      </c>
      <c r="BH1470" s="56">
        <f t="shared" si="336"/>
        <v>5.2918035403949161E-2</v>
      </c>
      <c r="BI1470" s="56">
        <f t="shared" si="333"/>
        <v>5.1858721762177915E-2</v>
      </c>
      <c r="BJ1470" s="57">
        <f t="shared" si="337"/>
        <v>0.22974017579571679</v>
      </c>
      <c r="BK1470" s="57">
        <f t="shared" si="338"/>
        <v>5.4417121009090255E-3</v>
      </c>
      <c r="BL1470" s="58">
        <f t="shared" si="339"/>
        <v>405.35671628535073</v>
      </c>
      <c r="BM1470" s="58">
        <f t="shared" si="339"/>
        <v>9.6014314455654937</v>
      </c>
    </row>
    <row r="1471" spans="47:65" x14ac:dyDescent="0.2">
      <c r="AU1471" s="2">
        <v>-166</v>
      </c>
      <c r="AV1471" s="53">
        <v>1469</v>
      </c>
      <c r="AW1471" s="4" t="s">
        <v>1629</v>
      </c>
      <c r="AX1471" t="s">
        <v>183</v>
      </c>
      <c r="AY1471" s="4">
        <v>26640</v>
      </c>
      <c r="AZ1471" s="9">
        <v>27.393920872913231</v>
      </c>
      <c r="BA1471" s="7">
        <f t="shared" si="334"/>
        <v>7.0211780727226579E-4</v>
      </c>
      <c r="BB1471" s="54">
        <f t="shared" si="328"/>
        <v>4285.393143520846</v>
      </c>
      <c r="BC1471" s="55">
        <f t="shared" si="329"/>
        <v>10294.659332801142</v>
      </c>
      <c r="BD1471" s="55">
        <f t="shared" si="330"/>
        <v>101.46260066054458</v>
      </c>
      <c r="BE1471" s="55">
        <f t="shared" si="331"/>
        <v>99.431521536218611</v>
      </c>
      <c r="BF1471" s="56">
        <f t="shared" si="332"/>
        <v>2.2364149820892676</v>
      </c>
      <c r="BG1471" s="56">
        <f t="shared" si="335"/>
        <v>2.8037250691219169E-3</v>
      </c>
      <c r="BH1471" s="56">
        <f t="shared" si="336"/>
        <v>5.295021311686967E-2</v>
      </c>
      <c r="BI1471" s="56">
        <f t="shared" si="333"/>
        <v>5.1890255341392445E-2</v>
      </c>
      <c r="BJ1471" s="57">
        <f t="shared" si="337"/>
        <v>0.18957190994836151</v>
      </c>
      <c r="BK1471" s="57">
        <f t="shared" si="338"/>
        <v>4.4883767606315834E-3</v>
      </c>
      <c r="BL1471" s="58">
        <f t="shared" si="339"/>
        <v>334.48327725203518</v>
      </c>
      <c r="BM1471" s="58">
        <f t="shared" si="339"/>
        <v>7.919353499402253</v>
      </c>
    </row>
    <row r="1472" spans="47:65" x14ac:dyDescent="0.2">
      <c r="AU1472" s="2">
        <v>-165</v>
      </c>
      <c r="AV1472" s="53">
        <v>1470</v>
      </c>
      <c r="AW1472" s="4" t="s">
        <v>1498</v>
      </c>
      <c r="AX1472" t="s">
        <v>93</v>
      </c>
      <c r="AY1472" s="4">
        <v>49270</v>
      </c>
      <c r="AZ1472" s="9">
        <v>27.399146949753202</v>
      </c>
      <c r="BA1472" s="7">
        <f t="shared" si="334"/>
        <v>7.022517538375837E-4</v>
      </c>
      <c r="BB1472" s="54">
        <f t="shared" si="328"/>
        <v>4299.9942344911724</v>
      </c>
      <c r="BC1472" s="55">
        <f t="shared" si="329"/>
        <v>10336.053911773246</v>
      </c>
      <c r="BD1472" s="55">
        <f t="shared" si="330"/>
        <v>101.66638535805848</v>
      </c>
      <c r="BE1472" s="55">
        <f t="shared" si="331"/>
        <v>99.631226870082429</v>
      </c>
      <c r="BF1472" s="56">
        <f t="shared" si="332"/>
        <v>2.244034842743186</v>
      </c>
      <c r="BG1472" s="56">
        <f t="shared" si="335"/>
        <v>2.8149987805713181E-3</v>
      </c>
      <c r="BH1472" s="56">
        <f t="shared" si="336"/>
        <v>5.3056562087750447E-2</v>
      </c>
      <c r="BI1472" s="56">
        <f t="shared" si="333"/>
        <v>5.1994475417752054E-2</v>
      </c>
      <c r="BJ1472" s="57">
        <f t="shared" si="337"/>
        <v>0.35180299327006792</v>
      </c>
      <c r="BK1472" s="57">
        <f t="shared" si="338"/>
        <v>8.3178108465876179E-3</v>
      </c>
      <c r="BL1472" s="58">
        <f t="shared" si="339"/>
        <v>620.7260251168085</v>
      </c>
      <c r="BM1472" s="58">
        <f t="shared" si="339"/>
        <v>14.676059508431401</v>
      </c>
    </row>
    <row r="1473" spans="47:65" x14ac:dyDescent="0.2">
      <c r="AU1473" s="2">
        <v>-164</v>
      </c>
      <c r="AV1473" s="53">
        <v>1471</v>
      </c>
      <c r="AW1473" s="4" t="s">
        <v>2315</v>
      </c>
      <c r="AX1473" t="s">
        <v>667</v>
      </c>
      <c r="AY1473" s="4">
        <v>23082</v>
      </c>
      <c r="AZ1473" s="9">
        <v>27.402078319911453</v>
      </c>
      <c r="BA1473" s="7">
        <f t="shared" si="334"/>
        <v>7.0232688609767025E-4</v>
      </c>
      <c r="BB1473" s="54">
        <f t="shared" si="328"/>
        <v>4308.2059334921705</v>
      </c>
      <c r="BC1473" s="55">
        <f t="shared" si="329"/>
        <v>10359.330132975792</v>
      </c>
      <c r="BD1473" s="55">
        <f t="shared" si="330"/>
        <v>101.78079451927948</v>
      </c>
      <c r="BE1473" s="55">
        <f t="shared" si="331"/>
        <v>99.743345787829725</v>
      </c>
      <c r="BF1473" s="56">
        <f t="shared" si="332"/>
        <v>2.2483202760883176</v>
      </c>
      <c r="BG1473" s="56">
        <f t="shared" si="335"/>
        <v>2.8213380019862619E-3</v>
      </c>
      <c r="BH1473" s="56">
        <f t="shared" si="336"/>
        <v>5.3116268712949534E-2</v>
      </c>
      <c r="BI1473" s="56">
        <f t="shared" si="333"/>
        <v>5.2052986835266379E-2</v>
      </c>
      <c r="BJ1473" s="57">
        <f t="shared" si="337"/>
        <v>0.16512734035854218</v>
      </c>
      <c r="BK1473" s="57">
        <f t="shared" si="338"/>
        <v>3.9011115434136063E-3</v>
      </c>
      <c r="BL1473" s="58">
        <f t="shared" si="339"/>
        <v>291.35294349295987</v>
      </c>
      <c r="BM1473" s="58">
        <f t="shared" si="339"/>
        <v>6.8831746977817811</v>
      </c>
    </row>
    <row r="1474" spans="47:65" x14ac:dyDescent="0.2">
      <c r="AU1474" s="2">
        <v>-163</v>
      </c>
      <c r="AV1474" s="53">
        <v>1472</v>
      </c>
      <c r="AW1474" s="4" t="s">
        <v>1513</v>
      </c>
      <c r="AX1474" t="s">
        <v>108</v>
      </c>
      <c r="AY1474" s="4">
        <v>48917</v>
      </c>
      <c r="AZ1474" s="9">
        <v>27.411052450988969</v>
      </c>
      <c r="BA1474" s="7">
        <f t="shared" si="334"/>
        <v>7.0255689688230932E-4</v>
      </c>
      <c r="BB1474" s="54">
        <f t="shared" si="328"/>
        <v>4333.4429530260459</v>
      </c>
      <c r="BC1474" s="55">
        <f t="shared" si="329"/>
        <v>10430.845516932883</v>
      </c>
      <c r="BD1474" s="55">
        <f t="shared" si="330"/>
        <v>102.13151089126647</v>
      </c>
      <c r="BE1474" s="55">
        <f t="shared" si="331"/>
        <v>100.08704151677127</v>
      </c>
      <c r="BF1474" s="56">
        <f t="shared" si="332"/>
        <v>2.2614907009941758</v>
      </c>
      <c r="BG1474" s="56">
        <f t="shared" si="335"/>
        <v>2.8408150403560675E-3</v>
      </c>
      <c r="BH1474" s="56">
        <f t="shared" si="336"/>
        <v>5.3299296809208162E-2</v>
      </c>
      <c r="BI1474" s="56">
        <f t="shared" si="333"/>
        <v>5.2232351073679295E-2</v>
      </c>
      <c r="BJ1474" s="57">
        <f t="shared" si="337"/>
        <v>0.3519994566270766</v>
      </c>
      <c r="BK1474" s="57">
        <f t="shared" si="338"/>
        <v>8.2959985230975607E-3</v>
      </c>
      <c r="BL1474" s="58">
        <f t="shared" si="339"/>
        <v>621.07266775774667</v>
      </c>
      <c r="BM1474" s="58">
        <f t="shared" si="339"/>
        <v>14.637573545783118</v>
      </c>
    </row>
    <row r="1475" spans="47:65" x14ac:dyDescent="0.2">
      <c r="AU1475" s="2">
        <v>-162</v>
      </c>
      <c r="AV1475" s="53">
        <v>1473</v>
      </c>
      <c r="AW1475" s="4" t="s">
        <v>2251</v>
      </c>
      <c r="AX1475" t="s">
        <v>616</v>
      </c>
      <c r="AY1475" s="4">
        <v>40253</v>
      </c>
      <c r="AZ1475" s="9">
        <v>27.418122061948701</v>
      </c>
      <c r="BA1475" s="7">
        <f t="shared" si="334"/>
        <v>7.0273809400879376E-4</v>
      </c>
      <c r="BB1475" s="54">
        <f t="shared" ref="BB1475:BB1538" si="340">IFERROR(IF(MATCH(AX1475,$S$4:$S$20,0),VLOOKUP(AX1475,$S$4:$AT$20,20,FALSE)),AVERAGE((2^(($AE$23*AZ1475)+$AE$24)),(2^(($AF$23*AZ1475)+$AF$24)),(2^(($AG$23*AZ1475)+$AG$24)),(2^(($AH$23*AZ1475)+$AH$24))))</f>
        <v>4353.4281570954499</v>
      </c>
      <c r="BC1475" s="55">
        <f t="shared" ref="BC1475:BC1538" si="341">IFERROR(IF(MATCH(AX1475,$S$4:$S$20,0),VLOOKUP(AX1475,$S$4:$AT$20,21,FALSE)),_xlfn.VAR.S((2^(($AE$23*AZ1475)+$AE$24)),(2^(($AF$23*AZ1475)+$AF$24)),(2^(($AG$23*AZ1475)+$AG$24)),(2^(($AH$23*AZ1475)+$AH$24))))</f>
        <v>10487.457252026985</v>
      </c>
      <c r="BD1475" s="55">
        <f t="shared" ref="BD1475:BD1538" si="342">SQRT(BC1475)</f>
        <v>102.40828702808668</v>
      </c>
      <c r="BE1475" s="55">
        <f t="shared" ref="BE1475:BE1538" si="343">_xlfn.CONFIDENCE.NORM(0.05,BD1475,4)</f>
        <v>100.35827714674512</v>
      </c>
      <c r="BF1475" s="56">
        <f t="shared" ref="BF1475:BF1538" si="344">IFERROR(IF(MATCH(AX1475,$S$4:$S$20,0),VLOOKUP(AX1475,$S$4:$AT$20,24,FALSE)),AVERAGE((2^(($AI$23*AZ1475)+$AI$24)),(2^(($AJ$23*AZ1475)+$AJ$24)),(2^(($AK$23*AZ1475)+$AK$24)),(2^(($AL$23*AZ1475)+$AL$24))))</f>
        <v>2.271920364808921</v>
      </c>
      <c r="BG1475" s="56">
        <f t="shared" si="335"/>
        <v>2.8562331067297289E-3</v>
      </c>
      <c r="BH1475" s="56">
        <f t="shared" si="336"/>
        <v>5.3443737769075704E-2</v>
      </c>
      <c r="BI1475" s="56">
        <f t="shared" ref="BI1475:BI1538" si="345">_xlfn.CONFIDENCE.NORM(0.05,BH1475,4)</f>
        <v>5.2373900613295686E-2</v>
      </c>
      <c r="BJ1475" s="57">
        <f t="shared" si="337"/>
        <v>0.29099044580220235</v>
      </c>
      <c r="BK1475" s="57">
        <f t="shared" si="338"/>
        <v>6.8451418102708451E-3</v>
      </c>
      <c r="BL1475" s="58">
        <f t="shared" si="339"/>
        <v>513.42753252559407</v>
      </c>
      <c r="BM1475" s="58">
        <f t="shared" si="339"/>
        <v>12.077662068066907</v>
      </c>
    </row>
    <row r="1476" spans="47:65" x14ac:dyDescent="0.2">
      <c r="AU1476" s="2">
        <v>-161</v>
      </c>
      <c r="AV1476" s="53">
        <v>1474</v>
      </c>
      <c r="AW1476" s="4" t="s">
        <v>2458</v>
      </c>
      <c r="AX1476" t="s">
        <v>777</v>
      </c>
      <c r="AY1476" s="4">
        <v>32748</v>
      </c>
      <c r="AZ1476" s="9">
        <v>27.430670333391493</v>
      </c>
      <c r="BA1476" s="7">
        <f t="shared" ref="BA1476:BA1539" si="346">AZ1476/$AZ$1637</f>
        <v>7.0305971152646656E-4</v>
      </c>
      <c r="BB1476" s="54">
        <f t="shared" si="340"/>
        <v>4389.1283553940384</v>
      </c>
      <c r="BC1476" s="55">
        <f t="shared" si="341"/>
        <v>10588.536009563866</v>
      </c>
      <c r="BD1476" s="55">
        <f t="shared" si="342"/>
        <v>102.90061228954795</v>
      </c>
      <c r="BE1476" s="55">
        <f t="shared" si="343"/>
        <v>100.8407470373168</v>
      </c>
      <c r="BF1476" s="56">
        <f t="shared" si="344"/>
        <v>2.290551201155695</v>
      </c>
      <c r="BG1476" s="56">
        <f t="shared" ref="BG1476:BG1539" si="347">IFERROR(IF(MATCH(AX1476,$S$4:$S$20,0),VLOOKUP(AX1476,$S$4:$AT$20,25,FALSE)),_xlfn.VAR.S((2^(($AI$23*AZ1476)+$AI$24)),(2^(($AJ$23*AZ1476)+$AJ$24)),(2^(($AK$23*AZ1476)+$AK$24)),(2^(($AL$23*AZ1476)+$AL$24))))</f>
        <v>2.8837616569519272E-3</v>
      </c>
      <c r="BH1476" s="56">
        <f t="shared" ref="BH1476:BH1539" si="348">SQRT(BG1476)</f>
        <v>5.3700667192800568E-2</v>
      </c>
      <c r="BI1476" s="56">
        <f t="shared" si="345"/>
        <v>5.2625686821830366E-2</v>
      </c>
      <c r="BJ1476" s="57">
        <f t="shared" ref="BJ1476:BJ1539" si="349">(((BF1476*0.000001)*AY1476)*1000000000000000)*$S$24</f>
        <v>0.23867787246429711</v>
      </c>
      <c r="BK1476" s="57">
        <f t="shared" ref="BK1476:BK1539" si="350">((((BH1476*0.000001)*AY1476)*1000000000000000)*$S$24)</f>
        <v>5.5956666626897624E-3</v>
      </c>
      <c r="BL1476" s="58">
        <f t="shared" ref="BL1476:BM1539" si="351">((BJ1476/$S$26)*0.000000001)/0.45</f>
        <v>421.1265108377487</v>
      </c>
      <c r="BM1476" s="58">
        <f t="shared" si="351"/>
        <v>9.8730709853388134</v>
      </c>
    </row>
    <row r="1477" spans="47:65" x14ac:dyDescent="0.2">
      <c r="AU1477" s="2">
        <v>-160</v>
      </c>
      <c r="AV1477" s="53">
        <v>1475</v>
      </c>
      <c r="AW1477" s="4" t="s">
        <v>2549</v>
      </c>
      <c r="AX1477" t="s">
        <v>854</v>
      </c>
      <c r="AY1477" s="4">
        <v>36586</v>
      </c>
      <c r="AZ1477" s="9">
        <v>27.432901552001606</v>
      </c>
      <c r="BA1477" s="7">
        <f t="shared" si="346"/>
        <v>7.0311689860550299E-4</v>
      </c>
      <c r="BB1477" s="54">
        <f t="shared" si="340"/>
        <v>4395.5068271903256</v>
      </c>
      <c r="BC1477" s="55">
        <f t="shared" si="341"/>
        <v>10606.5887902381</v>
      </c>
      <c r="BD1477" s="55">
        <f t="shared" si="342"/>
        <v>102.98829443309613</v>
      </c>
      <c r="BE1477" s="55">
        <f t="shared" si="343"/>
        <v>100.92667395903766</v>
      </c>
      <c r="BF1477" s="56">
        <f t="shared" si="344"/>
        <v>2.2938799295617742</v>
      </c>
      <c r="BG1477" s="56">
        <f t="shared" si="347"/>
        <v>2.888678287226467E-3</v>
      </c>
      <c r="BH1477" s="56">
        <f t="shared" si="348"/>
        <v>5.3746425808852319E-2</v>
      </c>
      <c r="BI1477" s="56">
        <f t="shared" si="345"/>
        <v>5.2670529441552282E-2</v>
      </c>
      <c r="BJ1477" s="57">
        <f t="shared" si="349"/>
        <v>0.26703794899578792</v>
      </c>
      <c r="BK1477" s="57">
        <f t="shared" si="350"/>
        <v>6.2567944942925136E-3</v>
      </c>
      <c r="BL1477" s="58">
        <f t="shared" si="351"/>
        <v>471.16541873267636</v>
      </c>
      <c r="BM1477" s="58">
        <f t="shared" si="351"/>
        <v>11.039573996556332</v>
      </c>
    </row>
    <row r="1478" spans="47:65" x14ac:dyDescent="0.2">
      <c r="AU1478" s="2">
        <v>-159</v>
      </c>
      <c r="AV1478" s="53">
        <v>1476</v>
      </c>
      <c r="AW1478" s="4" t="s">
        <v>2724</v>
      </c>
      <c r="AX1478" t="s">
        <v>985</v>
      </c>
      <c r="AY1478" s="4">
        <v>46339</v>
      </c>
      <c r="AZ1478" s="9">
        <v>27.437247820520863</v>
      </c>
      <c r="BA1478" s="7">
        <f t="shared" si="346"/>
        <v>7.0322829531051332E-4</v>
      </c>
      <c r="BB1478" s="54">
        <f t="shared" si="340"/>
        <v>4407.9583036438626</v>
      </c>
      <c r="BC1478" s="55">
        <f t="shared" si="341"/>
        <v>10641.823792288875</v>
      </c>
      <c r="BD1478" s="55">
        <f t="shared" si="342"/>
        <v>103.15921574095489</v>
      </c>
      <c r="BE1478" s="55">
        <f t="shared" si="343"/>
        <v>101.09417376283449</v>
      </c>
      <c r="BF1478" s="56">
        <f t="shared" si="344"/>
        <v>2.3003779724617397</v>
      </c>
      <c r="BG1478" s="56">
        <f t="shared" si="347"/>
        <v>2.8982744530991413E-3</v>
      </c>
      <c r="BH1478" s="56">
        <f t="shared" si="348"/>
        <v>5.3835624386637713E-2</v>
      </c>
      <c r="BI1478" s="56">
        <f t="shared" si="345"/>
        <v>5.2757942441518067E-2</v>
      </c>
      <c r="BJ1478" s="57">
        <f t="shared" si="349"/>
        <v>0.33918233833482098</v>
      </c>
      <c r="BK1478" s="57">
        <f t="shared" si="350"/>
        <v>7.9378663783821295E-3</v>
      </c>
      <c r="BL1478" s="58">
        <f t="shared" si="351"/>
        <v>598.45796849935732</v>
      </c>
      <c r="BM1478" s="58">
        <f t="shared" si="351"/>
        <v>14.005680279073152</v>
      </c>
    </row>
    <row r="1479" spans="47:65" x14ac:dyDescent="0.2">
      <c r="AU1479" s="2">
        <v>-158</v>
      </c>
      <c r="AV1479" s="53">
        <v>1477</v>
      </c>
      <c r="AW1479" s="4" t="s">
        <v>1645</v>
      </c>
      <c r="AX1479" t="s">
        <v>193</v>
      </c>
      <c r="AY1479" s="4">
        <v>49903</v>
      </c>
      <c r="AZ1479" s="9">
        <v>27.455182795993714</v>
      </c>
      <c r="BA1479" s="7">
        <f t="shared" si="346"/>
        <v>7.0368797633649346E-4</v>
      </c>
      <c r="BB1479" s="54">
        <f t="shared" si="340"/>
        <v>4459.7138242721985</v>
      </c>
      <c r="BC1479" s="55">
        <f t="shared" si="341"/>
        <v>10788.19333922172</v>
      </c>
      <c r="BD1479" s="55">
        <f t="shared" si="342"/>
        <v>103.86622809759541</v>
      </c>
      <c r="BE1479" s="55">
        <f t="shared" si="343"/>
        <v>101.78703314065459</v>
      </c>
      <c r="BF1479" s="56">
        <f t="shared" si="344"/>
        <v>2.3273875881171997</v>
      </c>
      <c r="BG1479" s="56">
        <f t="shared" si="347"/>
        <v>2.9381378380665423E-3</v>
      </c>
      <c r="BH1479" s="56">
        <f t="shared" si="348"/>
        <v>5.4204592407530769E-2</v>
      </c>
      <c r="BI1479" s="56">
        <f t="shared" si="345"/>
        <v>5.3119524457716769E-2</v>
      </c>
      <c r="BJ1479" s="57">
        <f t="shared" si="349"/>
        <v>0.36955811291003948</v>
      </c>
      <c r="BK1479" s="57">
        <f t="shared" si="350"/>
        <v>8.6069664474708856E-3</v>
      </c>
      <c r="BL1479" s="58">
        <f t="shared" si="351"/>
        <v>652.05340166113604</v>
      </c>
      <c r="BM1479" s="58">
        <f t="shared" si="351"/>
        <v>15.186249615423318</v>
      </c>
    </row>
    <row r="1480" spans="47:65" x14ac:dyDescent="0.2">
      <c r="AU1480" s="2">
        <v>-157</v>
      </c>
      <c r="AV1480" s="53">
        <v>1478</v>
      </c>
      <c r="AW1480" s="4" t="s">
        <v>2066</v>
      </c>
      <c r="AX1480" t="s">
        <v>485</v>
      </c>
      <c r="AY1480" s="4">
        <v>52343</v>
      </c>
      <c r="AZ1480" s="9">
        <v>27.4602961508586</v>
      </c>
      <c r="BA1480" s="7">
        <f t="shared" si="346"/>
        <v>7.038190337897947E-4</v>
      </c>
      <c r="BB1480" s="54">
        <f t="shared" si="340"/>
        <v>4474.5806161466198</v>
      </c>
      <c r="BC1480" s="55">
        <f t="shared" si="341"/>
        <v>10830.211209390109</v>
      </c>
      <c r="BD1480" s="55">
        <f t="shared" si="342"/>
        <v>104.06830069425612</v>
      </c>
      <c r="BE1480" s="55">
        <f t="shared" si="343"/>
        <v>101.98506064651333</v>
      </c>
      <c r="BF1480" s="56">
        <f t="shared" si="344"/>
        <v>2.3351461099073942</v>
      </c>
      <c r="BG1480" s="56">
        <f t="shared" si="347"/>
        <v>2.9495813013359017E-3</v>
      </c>
      <c r="BH1480" s="56">
        <f t="shared" si="348"/>
        <v>5.4310047885597575E-2</v>
      </c>
      <c r="BI1480" s="56">
        <f t="shared" si="345"/>
        <v>5.3222868927208469E-2</v>
      </c>
      <c r="BJ1480" s="57">
        <f t="shared" si="349"/>
        <v>0.38891978943926808</v>
      </c>
      <c r="BK1480" s="57">
        <f t="shared" si="350"/>
        <v>9.0453664969772814E-3</v>
      </c>
      <c r="BL1480" s="58">
        <f t="shared" si="351"/>
        <v>686.21540920937605</v>
      </c>
      <c r="BM1480" s="58">
        <f t="shared" si="351"/>
        <v>15.959768673949958</v>
      </c>
    </row>
    <row r="1481" spans="47:65" x14ac:dyDescent="0.2">
      <c r="AU1481" s="2">
        <v>-156</v>
      </c>
      <c r="AV1481" s="53">
        <v>1479</v>
      </c>
      <c r="AW1481" s="4" t="s">
        <v>2897</v>
      </c>
      <c r="AX1481" t="s">
        <v>1111</v>
      </c>
      <c r="AY1481" s="4">
        <v>10169</v>
      </c>
      <c r="AZ1481" s="9">
        <v>27.462586060859184</v>
      </c>
      <c r="BA1481" s="7">
        <f t="shared" si="346"/>
        <v>7.0387772515405464E-4</v>
      </c>
      <c r="BB1481" s="54">
        <f t="shared" si="340"/>
        <v>4481.2544589784156</v>
      </c>
      <c r="BC1481" s="55">
        <f t="shared" si="341"/>
        <v>10849.06942985014</v>
      </c>
      <c r="BD1481" s="55">
        <f t="shared" si="342"/>
        <v>104.15886630455489</v>
      </c>
      <c r="BE1481" s="55">
        <f t="shared" si="343"/>
        <v>102.07381331372507</v>
      </c>
      <c r="BF1481" s="56">
        <f t="shared" si="344"/>
        <v>2.3386289833795062</v>
      </c>
      <c r="BG1481" s="56">
        <f t="shared" si="347"/>
        <v>2.9547172911491091E-3</v>
      </c>
      <c r="BH1481" s="56">
        <f t="shared" si="348"/>
        <v>5.4357311294333799E-2</v>
      </c>
      <c r="BI1481" s="56">
        <f t="shared" si="345"/>
        <v>5.3269186216663267E-2</v>
      </c>
      <c r="BJ1481" s="57">
        <f t="shared" si="349"/>
        <v>7.5670559866935563E-2</v>
      </c>
      <c r="BK1481" s="57">
        <f t="shared" si="350"/>
        <v>1.7588288727011176E-3</v>
      </c>
      <c r="BL1481" s="58">
        <f t="shared" si="351"/>
        <v>133.51417339564392</v>
      </c>
      <c r="BM1481" s="58">
        <f t="shared" si="351"/>
        <v>3.1033017793977087</v>
      </c>
    </row>
    <row r="1482" spans="47:65" x14ac:dyDescent="0.2">
      <c r="AU1482" s="2">
        <v>-155</v>
      </c>
      <c r="AV1482" s="53">
        <v>1480</v>
      </c>
      <c r="AW1482" s="4" t="s">
        <v>3050</v>
      </c>
      <c r="AX1482" t="s">
        <v>1210</v>
      </c>
      <c r="AY1482" s="4">
        <v>39467</v>
      </c>
      <c r="AZ1482" s="9">
        <v>27.469641072062029</v>
      </c>
      <c r="BA1482" s="7">
        <f t="shared" si="346"/>
        <v>7.0405854808257967E-4</v>
      </c>
      <c r="BB1482" s="54">
        <f t="shared" si="340"/>
        <v>4501.8786271721638</v>
      </c>
      <c r="BC1482" s="55">
        <f t="shared" si="341"/>
        <v>10907.331084741194</v>
      </c>
      <c r="BD1482" s="55">
        <f t="shared" si="342"/>
        <v>104.43816871594979</v>
      </c>
      <c r="BE1482" s="55">
        <f t="shared" si="343"/>
        <v>102.34752464728966</v>
      </c>
      <c r="BF1482" s="56">
        <f t="shared" si="344"/>
        <v>2.3493921029339764</v>
      </c>
      <c r="BG1482" s="56">
        <f t="shared" si="347"/>
        <v>2.970584709108911E-3</v>
      </c>
      <c r="BH1482" s="56">
        <f t="shared" si="348"/>
        <v>5.4503070639266842E-2</v>
      </c>
      <c r="BI1482" s="56">
        <f t="shared" si="345"/>
        <v>5.3412027749902724E-2</v>
      </c>
      <c r="BJ1482" s="57">
        <f t="shared" si="349"/>
        <v>0.29503734581995117</v>
      </c>
      <c r="BK1482" s="57">
        <f t="shared" si="350"/>
        <v>6.8445115144317387E-3</v>
      </c>
      <c r="BL1482" s="58">
        <f t="shared" si="351"/>
        <v>520.56793840648993</v>
      </c>
      <c r="BM1482" s="58">
        <f t="shared" si="351"/>
        <v>12.076549965446006</v>
      </c>
    </row>
    <row r="1483" spans="47:65" x14ac:dyDescent="0.2">
      <c r="AU1483" s="2">
        <v>-154</v>
      </c>
      <c r="AV1483" s="53">
        <v>1481</v>
      </c>
      <c r="AW1483" s="4" t="s">
        <v>2156</v>
      </c>
      <c r="AX1483" t="s">
        <v>554</v>
      </c>
      <c r="AY1483" s="4">
        <v>42750</v>
      </c>
      <c r="AZ1483" s="9">
        <v>27.470908352330017</v>
      </c>
      <c r="BA1483" s="7">
        <f t="shared" si="346"/>
        <v>7.0409102901318791E-4</v>
      </c>
      <c r="BB1483" s="54">
        <f t="shared" si="340"/>
        <v>4505.5933578179574</v>
      </c>
      <c r="BC1483" s="55">
        <f t="shared" si="341"/>
        <v>10917.822330136292</v>
      </c>
      <c r="BD1483" s="55">
        <f t="shared" si="342"/>
        <v>104.48838370908172</v>
      </c>
      <c r="BE1483" s="55">
        <f t="shared" si="343"/>
        <v>102.39673443630092</v>
      </c>
      <c r="BF1483" s="56">
        <f t="shared" si="344"/>
        <v>2.3513307066962108</v>
      </c>
      <c r="BG1483" s="56">
        <f t="shared" si="347"/>
        <v>2.973441973906647E-3</v>
      </c>
      <c r="BH1483" s="56">
        <f t="shared" si="348"/>
        <v>5.4529276300961917E-2</v>
      </c>
      <c r="BI1483" s="56">
        <f t="shared" si="345"/>
        <v>5.3437708826459415E-2</v>
      </c>
      <c r="BJ1483" s="57">
        <f t="shared" si="349"/>
        <v>0.31984326246028272</v>
      </c>
      <c r="BK1483" s="57">
        <f t="shared" si="350"/>
        <v>7.4174260481646367E-3</v>
      </c>
      <c r="BL1483" s="58">
        <f t="shared" si="351"/>
        <v>564.33583785614474</v>
      </c>
      <c r="BM1483" s="58">
        <f t="shared" si="351"/>
        <v>13.087408224354197</v>
      </c>
    </row>
    <row r="1484" spans="47:65" x14ac:dyDescent="0.2">
      <c r="AU1484" s="2">
        <v>-153</v>
      </c>
      <c r="AV1484" s="53">
        <v>1482</v>
      </c>
      <c r="AW1484" s="4" t="s">
        <v>2853</v>
      </c>
      <c r="AX1484" t="s">
        <v>1079</v>
      </c>
      <c r="AY1484" s="4">
        <v>90595</v>
      </c>
      <c r="AZ1484" s="9">
        <v>27.477922881836413</v>
      </c>
      <c r="BA1484" s="7">
        <f t="shared" si="346"/>
        <v>7.0427081437866824E-4</v>
      </c>
      <c r="BB1484" s="54">
        <f t="shared" si="340"/>
        <v>4526.21029448429</v>
      </c>
      <c r="BC1484" s="55">
        <f t="shared" si="341"/>
        <v>10976.034745143303</v>
      </c>
      <c r="BD1484" s="55">
        <f t="shared" si="342"/>
        <v>104.76657265150608</v>
      </c>
      <c r="BE1484" s="55">
        <f t="shared" si="343"/>
        <v>102.66935459032544</v>
      </c>
      <c r="BF1484" s="56">
        <f t="shared" si="344"/>
        <v>2.3620900523387629</v>
      </c>
      <c r="BG1484" s="56">
        <f t="shared" si="347"/>
        <v>2.9892959815052884E-3</v>
      </c>
      <c r="BH1484" s="56">
        <f t="shared" si="348"/>
        <v>5.4674454560656463E-2</v>
      </c>
      <c r="BI1484" s="56">
        <f t="shared" si="345"/>
        <v>5.3579980906629174E-2</v>
      </c>
      <c r="BJ1484" s="57">
        <f t="shared" si="349"/>
        <v>0.6809073969655508</v>
      </c>
      <c r="BK1484" s="57">
        <f t="shared" si="350"/>
        <v>1.5760720256430227E-2</v>
      </c>
      <c r="BL1484" s="58">
        <f t="shared" si="351"/>
        <v>1201.4023475536462</v>
      </c>
      <c r="BM1484" s="58">
        <f t="shared" si="351"/>
        <v>27.808430925548539</v>
      </c>
    </row>
    <row r="1485" spans="47:65" x14ac:dyDescent="0.2">
      <c r="AU1485" s="2">
        <v>-152</v>
      </c>
      <c r="AV1485" s="53">
        <v>1483</v>
      </c>
      <c r="AW1485" s="4" t="s">
        <v>3030</v>
      </c>
      <c r="AX1485" t="s">
        <v>1192</v>
      </c>
      <c r="AY1485" s="4">
        <v>50404</v>
      </c>
      <c r="AZ1485" s="9">
        <v>27.479388525901875</v>
      </c>
      <c r="BA1485" s="7">
        <f t="shared" si="346"/>
        <v>7.0430837945751397E-4</v>
      </c>
      <c r="BB1485" s="54">
        <f t="shared" si="340"/>
        <v>4530.5299821912795</v>
      </c>
      <c r="BC1485" s="55">
        <f t="shared" si="341"/>
        <v>10988.228342415883</v>
      </c>
      <c r="BD1485" s="55">
        <f t="shared" si="342"/>
        <v>104.82475061938322</v>
      </c>
      <c r="BE1485" s="55">
        <f t="shared" si="343"/>
        <v>102.7263679511919</v>
      </c>
      <c r="BF1485" s="56">
        <f t="shared" si="344"/>
        <v>2.3643443645995808</v>
      </c>
      <c r="BG1485" s="56">
        <f t="shared" si="347"/>
        <v>2.9926168776370225E-3</v>
      </c>
      <c r="BH1485" s="56">
        <f t="shared" si="348"/>
        <v>5.4704815854155132E-2</v>
      </c>
      <c r="BI1485" s="56">
        <f t="shared" si="345"/>
        <v>5.3609734427519894E-2</v>
      </c>
      <c r="BJ1485" s="57">
        <f t="shared" si="349"/>
        <v>0.37919544030317126</v>
      </c>
      <c r="BK1485" s="57">
        <f t="shared" si="350"/>
        <v>8.7736021220552532E-3</v>
      </c>
      <c r="BL1485" s="58">
        <f t="shared" si="351"/>
        <v>669.05763425700741</v>
      </c>
      <c r="BM1485" s="58">
        <f t="shared" si="351"/>
        <v>15.480263884506037</v>
      </c>
    </row>
    <row r="1486" spans="47:65" x14ac:dyDescent="0.2">
      <c r="AU1486" s="2">
        <v>-151</v>
      </c>
      <c r="AV1486" s="53">
        <v>1484</v>
      </c>
      <c r="AW1486" s="4" t="s">
        <v>3114</v>
      </c>
      <c r="AX1486" t="s">
        <v>1255</v>
      </c>
      <c r="AY1486" s="4">
        <v>13933</v>
      </c>
      <c r="AZ1486" s="9">
        <v>27.484826663073594</v>
      </c>
      <c r="BA1486" s="7">
        <f t="shared" si="346"/>
        <v>7.0444776121905033E-4</v>
      </c>
      <c r="BB1486" s="54">
        <f t="shared" si="340"/>
        <v>4546.5938455519408</v>
      </c>
      <c r="BC1486" s="55">
        <f t="shared" si="341"/>
        <v>11033.563668679084</v>
      </c>
      <c r="BD1486" s="55">
        <f t="shared" si="342"/>
        <v>105.04077145889154</v>
      </c>
      <c r="BE1486" s="55">
        <f t="shared" si="343"/>
        <v>102.93806448386511</v>
      </c>
      <c r="BF1486" s="56">
        <f t="shared" si="344"/>
        <v>2.372727601209816</v>
      </c>
      <c r="BG1486" s="56">
        <f t="shared" si="347"/>
        <v>3.0049638418883262E-3</v>
      </c>
      <c r="BH1486" s="56">
        <f t="shared" si="348"/>
        <v>5.4817550491501589E-2</v>
      </c>
      <c r="BI1486" s="56">
        <f t="shared" si="345"/>
        <v>5.3720212342024516E-2</v>
      </c>
      <c r="BJ1486" s="57">
        <f t="shared" si="349"/>
        <v>0.10519131676575075</v>
      </c>
      <c r="BK1486" s="57">
        <f t="shared" si="350"/>
        <v>2.4302538205961438E-3</v>
      </c>
      <c r="BL1486" s="58">
        <f t="shared" si="351"/>
        <v>185.60100164549391</v>
      </c>
      <c r="BM1486" s="58">
        <f t="shared" si="351"/>
        <v>4.2879731637915253</v>
      </c>
    </row>
    <row r="1487" spans="47:65" x14ac:dyDescent="0.2">
      <c r="AU1487" s="2">
        <v>-150</v>
      </c>
      <c r="AV1487" s="53">
        <v>1485</v>
      </c>
      <c r="AW1487" s="4" t="s">
        <v>1971</v>
      </c>
      <c r="AX1487" t="s">
        <v>409</v>
      </c>
      <c r="AY1487" s="4">
        <v>22852</v>
      </c>
      <c r="AZ1487" s="9">
        <v>27.493352922406014</v>
      </c>
      <c r="BA1487" s="7">
        <f t="shared" si="346"/>
        <v>7.0466629286096037E-4</v>
      </c>
      <c r="BB1487" s="54">
        <f t="shared" si="340"/>
        <v>4571.8945417882314</v>
      </c>
      <c r="BC1487" s="55">
        <f t="shared" si="341"/>
        <v>11104.935732935577</v>
      </c>
      <c r="BD1487" s="55">
        <f t="shared" si="342"/>
        <v>105.3799588770824</v>
      </c>
      <c r="BE1487" s="55">
        <f t="shared" si="343"/>
        <v>103.2704620456967</v>
      </c>
      <c r="BF1487" s="56">
        <f t="shared" si="344"/>
        <v>2.3859312570297448</v>
      </c>
      <c r="BG1487" s="56">
        <f t="shared" si="347"/>
        <v>3.024401847491471E-3</v>
      </c>
      <c r="BH1487" s="56">
        <f t="shared" si="348"/>
        <v>5.4994561981085648E-2</v>
      </c>
      <c r="BI1487" s="56">
        <f t="shared" si="345"/>
        <v>5.3893680414241786E-2</v>
      </c>
      <c r="BJ1487" s="57">
        <f t="shared" si="349"/>
        <v>0.17348802948769423</v>
      </c>
      <c r="BK1487" s="57">
        <f t="shared" si="350"/>
        <v>3.9988152058139824E-3</v>
      </c>
      <c r="BL1487" s="58">
        <f t="shared" si="351"/>
        <v>306.10465803107894</v>
      </c>
      <c r="BM1487" s="58">
        <f t="shared" si="351"/>
        <v>7.055564379397091</v>
      </c>
    </row>
    <row r="1488" spans="47:65" x14ac:dyDescent="0.2">
      <c r="AU1488" s="2">
        <v>-149</v>
      </c>
      <c r="AV1488" s="53">
        <v>1486</v>
      </c>
      <c r="AW1488" s="4" t="s">
        <v>2922</v>
      </c>
      <c r="AX1488" t="s">
        <v>1132</v>
      </c>
      <c r="AY1488" s="4">
        <v>42560</v>
      </c>
      <c r="AZ1488" s="9">
        <v>27.521781330732534</v>
      </c>
      <c r="BA1488" s="7">
        <f t="shared" si="346"/>
        <v>7.0539492502030171E-4</v>
      </c>
      <c r="BB1488" s="54">
        <f t="shared" si="340"/>
        <v>4657.2743906213427</v>
      </c>
      <c r="BC1488" s="55">
        <f t="shared" si="341"/>
        <v>11345.494012735471</v>
      </c>
      <c r="BD1488" s="55">
        <f t="shared" si="342"/>
        <v>106.51522901789899</v>
      </c>
      <c r="BE1488" s="55">
        <f t="shared" si="343"/>
        <v>104.38300634005883</v>
      </c>
      <c r="BF1488" s="56">
        <f t="shared" si="344"/>
        <v>2.4304883762260494</v>
      </c>
      <c r="BG1488" s="56">
        <f t="shared" si="347"/>
        <v>3.089917301462197E-3</v>
      </c>
      <c r="BH1488" s="56">
        <f t="shared" si="348"/>
        <v>5.5587024578243049E-2</v>
      </c>
      <c r="BI1488" s="56">
        <f t="shared" si="345"/>
        <v>5.4474283090549573E-2</v>
      </c>
      <c r="BJ1488" s="57">
        <f t="shared" si="349"/>
        <v>0.32914142104555949</v>
      </c>
      <c r="BK1488" s="57">
        <f t="shared" si="350"/>
        <v>7.527702020853331E-3</v>
      </c>
      <c r="BL1488" s="58">
        <f t="shared" si="351"/>
        <v>580.7416363568808</v>
      </c>
      <c r="BM1488" s="58">
        <f t="shared" si="351"/>
        <v>13.281980662629035</v>
      </c>
    </row>
    <row r="1489" spans="47:65" x14ac:dyDescent="0.2">
      <c r="AU1489" s="2">
        <v>-148</v>
      </c>
      <c r="AV1489" s="53">
        <v>1487</v>
      </c>
      <c r="AW1489" s="4" t="s">
        <v>1638</v>
      </c>
      <c r="AX1489" t="s">
        <v>189</v>
      </c>
      <c r="AY1489" s="4">
        <v>20925</v>
      </c>
      <c r="AZ1489" s="9">
        <v>27.544142232906353</v>
      </c>
      <c r="BA1489" s="7">
        <f t="shared" si="346"/>
        <v>7.0596804442426533E-4</v>
      </c>
      <c r="BB1489" s="54">
        <f t="shared" si="340"/>
        <v>4725.5504566163563</v>
      </c>
      <c r="BC1489" s="55">
        <f t="shared" si="341"/>
        <v>11537.519200580207</v>
      </c>
      <c r="BD1489" s="55">
        <f t="shared" si="342"/>
        <v>107.41284467222813</v>
      </c>
      <c r="BE1489" s="55">
        <f t="shared" si="343"/>
        <v>105.26265351728107</v>
      </c>
      <c r="BF1489" s="56">
        <f t="shared" si="344"/>
        <v>2.4661195567958503</v>
      </c>
      <c r="BG1489" s="56">
        <f t="shared" si="347"/>
        <v>3.1422148875848142E-3</v>
      </c>
      <c r="BH1489" s="56">
        <f t="shared" si="348"/>
        <v>5.6055462602540476E-2</v>
      </c>
      <c r="BI1489" s="56">
        <f t="shared" si="345"/>
        <v>5.4933343918855598E-2</v>
      </c>
      <c r="BJ1489" s="57">
        <f t="shared" si="349"/>
        <v>0.16419766091270627</v>
      </c>
      <c r="BK1489" s="57">
        <f t="shared" si="350"/>
        <v>3.7322504561277297E-3</v>
      </c>
      <c r="BL1489" s="58">
        <f t="shared" si="351"/>
        <v>289.71260433131005</v>
      </c>
      <c r="BM1489" s="58">
        <f t="shared" si="351"/>
        <v>6.5852338800144903</v>
      </c>
    </row>
    <row r="1490" spans="47:65" x14ac:dyDescent="0.2">
      <c r="AU1490" s="2">
        <v>-147</v>
      </c>
      <c r="AV1490" s="53">
        <v>1488</v>
      </c>
      <c r="AW1490" s="4" t="s">
        <v>2699</v>
      </c>
      <c r="AX1490" t="s">
        <v>963</v>
      </c>
      <c r="AY1490" s="4">
        <v>33610</v>
      </c>
      <c r="AZ1490" s="9">
        <v>27.550076432385268</v>
      </c>
      <c r="BA1490" s="7">
        <f t="shared" si="346"/>
        <v>7.0612014047307054E-4</v>
      </c>
      <c r="BB1490" s="54">
        <f t="shared" si="340"/>
        <v>4743.837228741103</v>
      </c>
      <c r="BC1490" s="55">
        <f t="shared" si="341"/>
        <v>11588.896335927711</v>
      </c>
      <c r="BD1490" s="55">
        <f t="shared" si="342"/>
        <v>107.65173633494126</v>
      </c>
      <c r="BE1490" s="55">
        <f t="shared" si="343"/>
        <v>105.49676304484338</v>
      </c>
      <c r="BF1490" s="56">
        <f t="shared" si="344"/>
        <v>2.4756628611752065</v>
      </c>
      <c r="BG1490" s="56">
        <f t="shared" si="347"/>
        <v>3.1562073236330829E-3</v>
      </c>
      <c r="BH1490" s="56">
        <f t="shared" si="348"/>
        <v>5.618013281964615E-2</v>
      </c>
      <c r="BI1490" s="56">
        <f t="shared" si="345"/>
        <v>5.505551848659155E-2</v>
      </c>
      <c r="BJ1490" s="57">
        <f t="shared" si="349"/>
        <v>0.26475696027895673</v>
      </c>
      <c r="BK1490" s="57">
        <f t="shared" si="350"/>
        <v>6.0081206640296668E-3</v>
      </c>
      <c r="BL1490" s="58">
        <f t="shared" si="351"/>
        <v>467.14081096463502</v>
      </c>
      <c r="BM1490" s="58">
        <f t="shared" si="351"/>
        <v>10.600810480717987</v>
      </c>
    </row>
    <row r="1491" spans="47:65" x14ac:dyDescent="0.2">
      <c r="AU1491" s="2">
        <v>-146</v>
      </c>
      <c r="AV1491" s="53">
        <v>1489</v>
      </c>
      <c r="AW1491" s="4" t="s">
        <v>1857</v>
      </c>
      <c r="AX1491" t="s">
        <v>332</v>
      </c>
      <c r="AY1491" s="4">
        <v>106621</v>
      </c>
      <c r="AZ1491" s="9">
        <v>27.55769129083415</v>
      </c>
      <c r="BA1491" s="7">
        <f t="shared" si="346"/>
        <v>7.063153125238924E-4</v>
      </c>
      <c r="BB1491" s="54">
        <f t="shared" si="340"/>
        <v>4767.4068163421625</v>
      </c>
      <c r="BC1491" s="55">
        <f t="shared" si="341"/>
        <v>11655.081073056013</v>
      </c>
      <c r="BD1491" s="55">
        <f t="shared" si="342"/>
        <v>107.95870077513906</v>
      </c>
      <c r="BE1491" s="55">
        <f t="shared" si="343"/>
        <v>105.79758266850446</v>
      </c>
      <c r="BF1491" s="56">
        <f t="shared" si="344"/>
        <v>2.4879631045991681</v>
      </c>
      <c r="BG1491" s="56">
        <f t="shared" si="347"/>
        <v>3.1742325734912921E-3</v>
      </c>
      <c r="BH1491" s="56">
        <f t="shared" si="348"/>
        <v>5.6340328127295211E-2</v>
      </c>
      <c r="BI1491" s="56">
        <f t="shared" si="345"/>
        <v>5.5212507003333793E-2</v>
      </c>
      <c r="BJ1491" s="57">
        <f t="shared" si="349"/>
        <v>0.84406143769540887</v>
      </c>
      <c r="BK1491" s="57">
        <f t="shared" si="350"/>
        <v>1.9113908189172021E-2</v>
      </c>
      <c r="BL1491" s="58">
        <f t="shared" si="351"/>
        <v>1489.2735741246092</v>
      </c>
      <c r="BM1491" s="58">
        <f t="shared" si="351"/>
        <v>33.724841691737296</v>
      </c>
    </row>
    <row r="1492" spans="47:65" x14ac:dyDescent="0.2">
      <c r="AU1492" s="2">
        <v>-145</v>
      </c>
      <c r="AV1492" s="53">
        <v>1490</v>
      </c>
      <c r="AW1492" s="4" t="s">
        <v>2547</v>
      </c>
      <c r="AX1492" t="s">
        <v>852</v>
      </c>
      <c r="AY1492" s="4">
        <v>31601</v>
      </c>
      <c r="AZ1492" s="9">
        <v>27.571596542610418</v>
      </c>
      <c r="BA1492" s="7">
        <f t="shared" si="346"/>
        <v>7.0667171002288562E-4</v>
      </c>
      <c r="BB1492" s="54">
        <f t="shared" si="340"/>
        <v>4810.7490968754937</v>
      </c>
      <c r="BC1492" s="55">
        <f t="shared" si="341"/>
        <v>11776.684954285081</v>
      </c>
      <c r="BD1492" s="55">
        <f t="shared" si="342"/>
        <v>108.52043565285334</v>
      </c>
      <c r="BE1492" s="55">
        <f t="shared" si="343"/>
        <v>106.34807273309445</v>
      </c>
      <c r="BF1492" s="56">
        <f t="shared" si="344"/>
        <v>2.5105821088063318</v>
      </c>
      <c r="BG1492" s="56">
        <f t="shared" si="347"/>
        <v>3.2073510905090753E-3</v>
      </c>
      <c r="BH1492" s="56">
        <f t="shared" si="348"/>
        <v>5.6633480296632621E-2</v>
      </c>
      <c r="BI1492" s="56">
        <f t="shared" si="345"/>
        <v>5.5499790850279347E-2</v>
      </c>
      <c r="BJ1492" s="57">
        <f t="shared" si="349"/>
        <v>0.25244259020041915</v>
      </c>
      <c r="BK1492" s="57">
        <f t="shared" si="350"/>
        <v>5.6945767310290349E-3</v>
      </c>
      <c r="BL1492" s="58">
        <f t="shared" si="351"/>
        <v>445.41316754802523</v>
      </c>
      <c r="BM1492" s="58">
        <f t="shared" si="351"/>
        <v>10.0475892661345</v>
      </c>
    </row>
    <row r="1493" spans="47:65" x14ac:dyDescent="0.2">
      <c r="AU1493" s="2">
        <v>-144</v>
      </c>
      <c r="AV1493" s="53">
        <v>1491</v>
      </c>
      <c r="AW1493" s="4" t="s">
        <v>1390</v>
      </c>
      <c r="AX1493" t="s">
        <v>13</v>
      </c>
      <c r="AY1493" s="4">
        <v>21257</v>
      </c>
      <c r="AZ1493" s="9">
        <v>27.574895673912359</v>
      </c>
      <c r="BA1493" s="7">
        <f t="shared" si="346"/>
        <v>7.0675626815701928E-4</v>
      </c>
      <c r="BB1493" s="54">
        <f t="shared" si="340"/>
        <v>4821.0901036361065</v>
      </c>
      <c r="BC1493" s="55">
        <f t="shared" si="341"/>
        <v>11805.678155628804</v>
      </c>
      <c r="BD1493" s="55">
        <f t="shared" si="342"/>
        <v>108.65393759836228</v>
      </c>
      <c r="BE1493" s="55">
        <f t="shared" si="343"/>
        <v>106.47890223562624</v>
      </c>
      <c r="BF1493" s="56">
        <f t="shared" si="344"/>
        <v>2.5159787624329173</v>
      </c>
      <c r="BG1493" s="56">
        <f t="shared" si="347"/>
        <v>3.2152473173594543E-3</v>
      </c>
      <c r="BH1493" s="56">
        <f t="shared" si="348"/>
        <v>5.6703150859184662E-2</v>
      </c>
      <c r="BI1493" s="56">
        <f t="shared" si="345"/>
        <v>5.5568066746971664E-2</v>
      </c>
      <c r="BJ1493" s="57">
        <f t="shared" si="349"/>
        <v>0.17017521797728932</v>
      </c>
      <c r="BK1493" s="57">
        <f t="shared" si="350"/>
        <v>3.83527524220036E-3</v>
      </c>
      <c r="BL1493" s="58">
        <f t="shared" si="351"/>
        <v>300.25948797808775</v>
      </c>
      <c r="BM1493" s="58">
        <f t="shared" si="351"/>
        <v>6.7670122251983837</v>
      </c>
    </row>
    <row r="1494" spans="47:65" x14ac:dyDescent="0.2">
      <c r="AU1494" s="2">
        <v>-143</v>
      </c>
      <c r="AV1494" s="53">
        <v>1492</v>
      </c>
      <c r="AW1494" s="4" t="s">
        <v>1670</v>
      </c>
      <c r="AX1494" t="s">
        <v>213</v>
      </c>
      <c r="AY1494" s="4">
        <v>50115</v>
      </c>
      <c r="AZ1494" s="9">
        <v>27.134867625076975</v>
      </c>
      <c r="BA1494" s="7">
        <f t="shared" si="346"/>
        <v>6.9547816268902547E-4</v>
      </c>
      <c r="BB1494" s="54">
        <f t="shared" si="340"/>
        <v>1.343599597471794</v>
      </c>
      <c r="BC1494" s="55">
        <f t="shared" si="341"/>
        <v>4843.4618166246919</v>
      </c>
      <c r="BD1494" s="55">
        <f t="shared" si="342"/>
        <v>69.594984134093252</v>
      </c>
      <c r="BE1494" s="55">
        <f t="shared" si="343"/>
        <v>68.201831203729611</v>
      </c>
      <c r="BF1494" s="56">
        <f t="shared" si="344"/>
        <v>190.54987491323956</v>
      </c>
      <c r="BG1494" s="56">
        <f t="shared" si="347"/>
        <v>2.5276538719099357</v>
      </c>
      <c r="BH1494" s="56">
        <f t="shared" si="348"/>
        <v>1.5898597019579859</v>
      </c>
      <c r="BI1494" s="56">
        <f t="shared" si="345"/>
        <v>1.5580338781546181</v>
      </c>
      <c r="BJ1494" s="57">
        <f t="shared" si="349"/>
        <v>30.385317230801292</v>
      </c>
      <c r="BK1494" s="57">
        <f t="shared" si="350"/>
        <v>0.25352098193953787</v>
      </c>
      <c r="BL1494" s="58">
        <f t="shared" si="351"/>
        <v>53612.270354134256</v>
      </c>
      <c r="BM1494" s="58">
        <f t="shared" si="351"/>
        <v>447.31589671903066</v>
      </c>
    </row>
    <row r="1495" spans="47:65" x14ac:dyDescent="0.2">
      <c r="AU1495" s="2">
        <v>-142</v>
      </c>
      <c r="AV1495" s="53">
        <v>1493</v>
      </c>
      <c r="AW1495" s="4" t="s">
        <v>1647</v>
      </c>
      <c r="AX1495" t="s">
        <v>195</v>
      </c>
      <c r="AY1495" s="4">
        <v>43683</v>
      </c>
      <c r="AZ1495" s="9">
        <v>27.588207943797187</v>
      </c>
      <c r="BA1495" s="7">
        <f t="shared" si="346"/>
        <v>7.0709746727870451E-4</v>
      </c>
      <c r="BB1495" s="54">
        <f t="shared" si="340"/>
        <v>4863.0432480285544</v>
      </c>
      <c r="BC1495" s="55">
        <f t="shared" si="341"/>
        <v>11923.221248902641</v>
      </c>
      <c r="BD1495" s="55">
        <f t="shared" si="342"/>
        <v>109.19350369368428</v>
      </c>
      <c r="BE1495" s="55">
        <f t="shared" si="343"/>
        <v>107.00766729268125</v>
      </c>
      <c r="BF1495" s="56">
        <f t="shared" si="344"/>
        <v>2.537872819179352</v>
      </c>
      <c r="BG1495" s="56">
        <f t="shared" si="347"/>
        <v>3.2472598887968922E-3</v>
      </c>
      <c r="BH1495" s="56">
        <f t="shared" si="348"/>
        <v>5.6984733822286929E-2</v>
      </c>
      <c r="BI1495" s="56">
        <f t="shared" si="345"/>
        <v>5.5844012980141924E-2</v>
      </c>
      <c r="BJ1495" s="57">
        <f t="shared" si="349"/>
        <v>0.352752161164401</v>
      </c>
      <c r="BK1495" s="57">
        <f t="shared" si="350"/>
        <v>7.9206049480800515E-3</v>
      </c>
      <c r="BL1495" s="58">
        <f t="shared" si="351"/>
        <v>622.40074996420503</v>
      </c>
      <c r="BM1495" s="58">
        <f t="shared" si="351"/>
        <v>13.975223974765889</v>
      </c>
    </row>
    <row r="1496" spans="47:65" x14ac:dyDescent="0.2">
      <c r="AU1496" s="2">
        <v>-141</v>
      </c>
      <c r="AV1496" s="53">
        <v>1494</v>
      </c>
      <c r="AW1496" s="4" t="s">
        <v>2448</v>
      </c>
      <c r="AX1496" t="s">
        <v>771</v>
      </c>
      <c r="AY1496" s="4">
        <v>55399</v>
      </c>
      <c r="AZ1496" s="9">
        <v>28.248393131110074</v>
      </c>
      <c r="BA1496" s="7">
        <f t="shared" si="346"/>
        <v>7.240182935547301E-4</v>
      </c>
      <c r="BB1496" s="54">
        <f t="shared" si="340"/>
        <v>1.2922968459462436</v>
      </c>
      <c r="BC1496" s="55">
        <f t="shared" si="341"/>
        <v>4884.8573250397858</v>
      </c>
      <c r="BD1496" s="55">
        <f t="shared" si="342"/>
        <v>69.891754342266907</v>
      </c>
      <c r="BE1496" s="55">
        <f t="shared" si="343"/>
        <v>68.492660663582015</v>
      </c>
      <c r="BF1496" s="56">
        <f t="shared" si="344"/>
        <v>142.3766049429542</v>
      </c>
      <c r="BG1496" s="56">
        <f t="shared" si="347"/>
        <v>2.5492569155771632</v>
      </c>
      <c r="BH1496" s="56">
        <f t="shared" si="348"/>
        <v>1.5966392565564593</v>
      </c>
      <c r="BI1496" s="56">
        <f t="shared" si="345"/>
        <v>1.5646777195767334</v>
      </c>
      <c r="BJ1496" s="57">
        <f t="shared" si="349"/>
        <v>25.097353641283924</v>
      </c>
      <c r="BK1496" s="57">
        <f t="shared" si="350"/>
        <v>0.2814466609553547</v>
      </c>
      <c r="BL1496" s="58">
        <f t="shared" si="351"/>
        <v>44282.114890210301</v>
      </c>
      <c r="BM1496" s="58">
        <f t="shared" si="351"/>
        <v>496.58834768100678</v>
      </c>
    </row>
    <row r="1497" spans="47:65" x14ac:dyDescent="0.2">
      <c r="AU1497" s="2">
        <v>-140</v>
      </c>
      <c r="AV1497" s="53">
        <v>1495</v>
      </c>
      <c r="AW1497" s="4" t="s">
        <v>1712</v>
      </c>
      <c r="AX1497" t="s">
        <v>230</v>
      </c>
      <c r="AY1497" s="4">
        <v>42860</v>
      </c>
      <c r="AZ1497" s="9">
        <v>27.619002577640501</v>
      </c>
      <c r="BA1497" s="7">
        <f t="shared" si="346"/>
        <v>7.0788674680134485E-4</v>
      </c>
      <c r="BB1497" s="54">
        <f t="shared" si="340"/>
        <v>4961.4959340926516</v>
      </c>
      <c r="BC1497" s="55">
        <f t="shared" si="341"/>
        <v>12198.534279066458</v>
      </c>
      <c r="BD1497" s="55">
        <f t="shared" si="342"/>
        <v>110.44697496566603</v>
      </c>
      <c r="BE1497" s="55">
        <f t="shared" si="343"/>
        <v>108.23604656705118</v>
      </c>
      <c r="BF1497" s="56">
        <f t="shared" si="344"/>
        <v>2.5892522503695963</v>
      </c>
      <c r="BG1497" s="56">
        <f t="shared" si="347"/>
        <v>3.3222407132778701E-3</v>
      </c>
      <c r="BH1497" s="56">
        <f t="shared" si="348"/>
        <v>5.7638881957215914E-2</v>
      </c>
      <c r="BI1497" s="56">
        <f t="shared" si="345"/>
        <v>5.6485066372649356E-2</v>
      </c>
      <c r="BJ1497" s="57">
        <f t="shared" si="349"/>
        <v>0.3531131582562983</v>
      </c>
      <c r="BK1497" s="57">
        <f t="shared" si="350"/>
        <v>7.8605889570509142E-3</v>
      </c>
      <c r="BL1497" s="58">
        <f t="shared" si="351"/>
        <v>623.03769818300577</v>
      </c>
      <c r="BM1497" s="58">
        <f t="shared" si="351"/>
        <v>13.869330937277249</v>
      </c>
    </row>
    <row r="1498" spans="47:65" x14ac:dyDescent="0.2">
      <c r="AU1498" s="2">
        <v>-139</v>
      </c>
      <c r="AV1498" s="53">
        <v>1496</v>
      </c>
      <c r="AW1498" s="4" t="s">
        <v>2610</v>
      </c>
      <c r="AX1498" t="s">
        <v>904</v>
      </c>
      <c r="AY1498" s="4">
        <v>105023</v>
      </c>
      <c r="AZ1498" s="9">
        <v>27.619562376538127</v>
      </c>
      <c r="BA1498" s="7">
        <f t="shared" si="346"/>
        <v>7.079010946844514E-4</v>
      </c>
      <c r="BB1498" s="54">
        <f t="shared" si="340"/>
        <v>4963.3039782559163</v>
      </c>
      <c r="BC1498" s="55">
        <f t="shared" si="341"/>
        <v>12203.583167137424</v>
      </c>
      <c r="BD1498" s="55">
        <f t="shared" si="342"/>
        <v>110.46982921656675</v>
      </c>
      <c r="BE1498" s="55">
        <f t="shared" si="343"/>
        <v>108.2584433213807</v>
      </c>
      <c r="BF1498" s="56">
        <f t="shared" si="344"/>
        <v>2.5901958130532483</v>
      </c>
      <c r="BG1498" s="56">
        <f t="shared" si="347"/>
        <v>3.32361576548698E-3</v>
      </c>
      <c r="BH1498" s="56">
        <f t="shared" si="348"/>
        <v>5.7650808888401385E-2</v>
      </c>
      <c r="BI1498" s="56">
        <f t="shared" si="345"/>
        <v>5.649675455043416E-2</v>
      </c>
      <c r="BJ1498" s="57">
        <f t="shared" si="349"/>
        <v>0.86557437134045612</v>
      </c>
      <c r="BK1498" s="57">
        <f t="shared" si="350"/>
        <v>1.9265363031385985E-2</v>
      </c>
      <c r="BL1498" s="58">
        <f t="shared" si="351"/>
        <v>1527.2312892252326</v>
      </c>
      <c r="BM1498" s="58">
        <f t="shared" si="351"/>
        <v>33.992070692031781</v>
      </c>
    </row>
    <row r="1499" spans="47:65" x14ac:dyDescent="0.2">
      <c r="AU1499" s="2">
        <v>-138</v>
      </c>
      <c r="AV1499" s="53">
        <v>1497</v>
      </c>
      <c r="AW1499" s="4" t="s">
        <v>3107</v>
      </c>
      <c r="AX1499" t="s">
        <v>1252</v>
      </c>
      <c r="AY1499" s="4">
        <v>46571</v>
      </c>
      <c r="AZ1499" s="9">
        <v>27.626332710557456</v>
      </c>
      <c r="BA1499" s="7">
        <f t="shared" si="346"/>
        <v>7.0807462121605695E-4</v>
      </c>
      <c r="BB1499" s="54">
        <f t="shared" si="340"/>
        <v>4985.2231180122271</v>
      </c>
      <c r="BC1499" s="55">
        <f t="shared" si="341"/>
        <v>12264.770551496966</v>
      </c>
      <c r="BD1499" s="55">
        <f t="shared" si="342"/>
        <v>110.74642455400972</v>
      </c>
      <c r="BE1499" s="55">
        <f t="shared" si="343"/>
        <v>108.52950177122067</v>
      </c>
      <c r="BF1499" s="56">
        <f t="shared" si="344"/>
        <v>2.6016347384689098</v>
      </c>
      <c r="BG1499" s="56">
        <f t="shared" si="347"/>
        <v>3.3402799986487317E-3</v>
      </c>
      <c r="BH1499" s="56">
        <f t="shared" si="348"/>
        <v>5.779515549463235E-2</v>
      </c>
      <c r="BI1499" s="56">
        <f t="shared" si="345"/>
        <v>5.66382116251858E-2</v>
      </c>
      <c r="BJ1499" s="57">
        <f t="shared" si="349"/>
        <v>0.38552208183001546</v>
      </c>
      <c r="BK1499" s="57">
        <f t="shared" si="350"/>
        <v>8.5643493056573004E-3</v>
      </c>
      <c r="BL1499" s="58">
        <f t="shared" si="351"/>
        <v>680.22044731551432</v>
      </c>
      <c r="BM1499" s="58">
        <f t="shared" si="351"/>
        <v>15.111055346057116</v>
      </c>
    </row>
    <row r="1500" spans="47:65" x14ac:dyDescent="0.2">
      <c r="AU1500" s="2">
        <v>-137</v>
      </c>
      <c r="AV1500" s="53">
        <v>1498</v>
      </c>
      <c r="AW1500" s="4" t="s">
        <v>2297</v>
      </c>
      <c r="AX1500" t="s">
        <v>651</v>
      </c>
      <c r="AY1500" s="4">
        <v>22428</v>
      </c>
      <c r="AZ1500" s="9">
        <v>27.657605031889283</v>
      </c>
      <c r="BA1500" s="7">
        <f t="shared" si="346"/>
        <v>7.0887614407157216E-4</v>
      </c>
      <c r="BB1500" s="54">
        <f t="shared" si="340"/>
        <v>5087.7311175184168</v>
      </c>
      <c r="BC1500" s="55">
        <f t="shared" si="341"/>
        <v>12550.398323577216</v>
      </c>
      <c r="BD1500" s="55">
        <f t="shared" si="342"/>
        <v>112.02856030306386</v>
      </c>
      <c r="BE1500" s="55">
        <f t="shared" si="343"/>
        <v>109.78597171693936</v>
      </c>
      <c r="BF1500" s="56">
        <f t="shared" si="344"/>
        <v>2.6551305131159202</v>
      </c>
      <c r="BG1500" s="56">
        <f t="shared" si="347"/>
        <v>3.4180700176411221E-3</v>
      </c>
      <c r="BH1500" s="56">
        <f t="shared" si="348"/>
        <v>5.8464262739224906E-2</v>
      </c>
      <c r="BI1500" s="56">
        <f t="shared" si="345"/>
        <v>5.7293924675783918E-2</v>
      </c>
      <c r="BJ1500" s="57">
        <f t="shared" si="349"/>
        <v>0.18948018203709718</v>
      </c>
      <c r="BK1500" s="57">
        <f t="shared" si="350"/>
        <v>4.1722314936197512E-3</v>
      </c>
      <c r="BL1500" s="58">
        <f t="shared" si="351"/>
        <v>334.32143126766164</v>
      </c>
      <c r="BM1500" s="58">
        <f t="shared" si="351"/>
        <v>7.361542455420885</v>
      </c>
    </row>
    <row r="1501" spans="47:65" x14ac:dyDescent="0.2">
      <c r="AU1501" s="2">
        <v>-136</v>
      </c>
      <c r="AV1501" s="53">
        <v>1499</v>
      </c>
      <c r="AW1501" s="4" t="s">
        <v>2809</v>
      </c>
      <c r="AX1501" t="s">
        <v>1048</v>
      </c>
      <c r="AY1501" s="4">
        <v>45451</v>
      </c>
      <c r="AZ1501" s="9">
        <v>27.675909093418028</v>
      </c>
      <c r="BA1501" s="7">
        <f t="shared" si="346"/>
        <v>7.0934528492966114E-4</v>
      </c>
      <c r="BB1501" s="54">
        <f t="shared" si="340"/>
        <v>5148.7055100017851</v>
      </c>
      <c r="BC1501" s="55">
        <f t="shared" si="341"/>
        <v>12719.875194014801</v>
      </c>
      <c r="BD1501" s="55">
        <f t="shared" si="342"/>
        <v>112.78242413609844</v>
      </c>
      <c r="BE1501" s="55">
        <f t="shared" si="343"/>
        <v>110.52474469793691</v>
      </c>
      <c r="BF1501" s="56">
        <f t="shared" si="344"/>
        <v>2.6869511746764063</v>
      </c>
      <c r="BG1501" s="56">
        <f t="shared" si="347"/>
        <v>3.4642266251519497E-3</v>
      </c>
      <c r="BH1501" s="56">
        <f t="shared" si="348"/>
        <v>5.8857681105799177E-2</v>
      </c>
      <c r="BI1501" s="56">
        <f t="shared" si="345"/>
        <v>5.7679467590454989E-2</v>
      </c>
      <c r="BJ1501" s="57">
        <f t="shared" si="349"/>
        <v>0.38858907804860887</v>
      </c>
      <c r="BK1501" s="57">
        <f t="shared" si="350"/>
        <v>8.5120460142845637E-3</v>
      </c>
      <c r="BL1501" s="58">
        <f t="shared" si="351"/>
        <v>685.6318974971058</v>
      </c>
      <c r="BM1501" s="58">
        <f t="shared" si="351"/>
        <v>15.018770701595884</v>
      </c>
    </row>
    <row r="1502" spans="47:65" x14ac:dyDescent="0.2">
      <c r="AU1502" s="2">
        <v>-135</v>
      </c>
      <c r="AV1502" s="53">
        <v>1500</v>
      </c>
      <c r="AW1502" s="4" t="s">
        <v>2361</v>
      </c>
      <c r="AX1502" t="s">
        <v>704</v>
      </c>
      <c r="AY1502" s="4">
        <v>53389</v>
      </c>
      <c r="AZ1502" s="9">
        <v>27.687880252295191</v>
      </c>
      <c r="BA1502" s="7">
        <f t="shared" si="346"/>
        <v>7.0965211080757521E-4</v>
      </c>
      <c r="BB1502" s="54">
        <f t="shared" si="340"/>
        <v>5188.9785073869407</v>
      </c>
      <c r="BC1502" s="55">
        <f t="shared" si="341"/>
        <v>12831.635037963102</v>
      </c>
      <c r="BD1502" s="55">
        <f t="shared" si="342"/>
        <v>113.27680714940328</v>
      </c>
      <c r="BE1502" s="55">
        <f t="shared" si="343"/>
        <v>111.00923114825984</v>
      </c>
      <c r="BF1502" s="56">
        <f t="shared" si="344"/>
        <v>2.7079684143343301</v>
      </c>
      <c r="BG1502" s="56">
        <f t="shared" si="347"/>
        <v>3.4946641429046284E-3</v>
      </c>
      <c r="BH1502" s="56">
        <f t="shared" si="348"/>
        <v>5.9115684406971292E-2</v>
      </c>
      <c r="BI1502" s="56">
        <f t="shared" si="345"/>
        <v>5.7932306179549885E-2</v>
      </c>
      <c r="BJ1502" s="57">
        <f t="shared" si="349"/>
        <v>0.46002639714249349</v>
      </c>
      <c r="BK1502" s="57">
        <f t="shared" si="350"/>
        <v>1.0042500927410811E-2</v>
      </c>
      <c r="BL1502" s="58">
        <f t="shared" si="351"/>
        <v>811.67688282816403</v>
      </c>
      <c r="BM1502" s="58">
        <f t="shared" si="351"/>
        <v>17.71912633534135</v>
      </c>
    </row>
    <row r="1503" spans="47:65" x14ac:dyDescent="0.2">
      <c r="AU1503" s="2">
        <v>-134</v>
      </c>
      <c r="AV1503" s="53">
        <v>1501</v>
      </c>
      <c r="AW1503" s="4" t="s">
        <v>2304</v>
      </c>
      <c r="AX1503" t="s">
        <v>658</v>
      </c>
      <c r="AY1503" s="4">
        <v>16679</v>
      </c>
      <c r="AZ1503" s="9">
        <v>27.71338724916653</v>
      </c>
      <c r="BA1503" s="7">
        <f t="shared" si="346"/>
        <v>7.1030586595261229E-4</v>
      </c>
      <c r="BB1503" s="54">
        <f t="shared" si="340"/>
        <v>5275.842199966407</v>
      </c>
      <c r="BC1503" s="55">
        <f t="shared" si="341"/>
        <v>13072.191660091194</v>
      </c>
      <c r="BD1503" s="55">
        <f t="shared" si="342"/>
        <v>114.33368558780563</v>
      </c>
      <c r="BE1503" s="55">
        <f t="shared" si="343"/>
        <v>112.04495298591262</v>
      </c>
      <c r="BF1503" s="56">
        <f t="shared" si="344"/>
        <v>2.753299905980092</v>
      </c>
      <c r="BG1503" s="56">
        <f t="shared" si="347"/>
        <v>3.5601791454121377E-3</v>
      </c>
      <c r="BH1503" s="56">
        <f t="shared" si="348"/>
        <v>5.9667236783783925E-2</v>
      </c>
      <c r="BI1503" s="56">
        <f t="shared" si="345"/>
        <v>5.8472817576619998E-2</v>
      </c>
      <c r="BJ1503" s="57">
        <f t="shared" si="349"/>
        <v>0.14612041626997455</v>
      </c>
      <c r="BK1503" s="57">
        <f t="shared" si="350"/>
        <v>3.1666007243123353E-3</v>
      </c>
      <c r="BL1503" s="58">
        <f t="shared" si="351"/>
        <v>257.81686601525496</v>
      </c>
      <c r="BM1503" s="58">
        <f t="shared" si="351"/>
        <v>5.5871937372217886</v>
      </c>
    </row>
    <row r="1504" spans="47:65" x14ac:dyDescent="0.2">
      <c r="AU1504" s="2">
        <v>-133</v>
      </c>
      <c r="AV1504" s="53">
        <v>1502</v>
      </c>
      <c r="AW1504" s="4" t="s">
        <v>2925</v>
      </c>
      <c r="AX1504" t="s">
        <v>1135</v>
      </c>
      <c r="AY1504" s="4">
        <v>96328</v>
      </c>
      <c r="AZ1504" s="9">
        <v>27.713518355586185</v>
      </c>
      <c r="BA1504" s="7">
        <f t="shared" si="346"/>
        <v>7.1030922626573846E-4</v>
      </c>
      <c r="BB1504" s="54">
        <f t="shared" si="340"/>
        <v>5276.2924167910987</v>
      </c>
      <c r="BC1504" s="55">
        <f t="shared" si="341"/>
        <v>13073.436678973289</v>
      </c>
      <c r="BD1504" s="55">
        <f t="shared" si="342"/>
        <v>114.33913013038575</v>
      </c>
      <c r="BE1504" s="55">
        <f t="shared" si="343"/>
        <v>112.05028853959728</v>
      </c>
      <c r="BF1504" s="56">
        <f t="shared" si="344"/>
        <v>2.7535348603047489</v>
      </c>
      <c r="BG1504" s="56">
        <f t="shared" si="347"/>
        <v>3.5605182232331524E-3</v>
      </c>
      <c r="BH1504" s="56">
        <f t="shared" si="348"/>
        <v>5.967007812323654E-2</v>
      </c>
      <c r="BI1504" s="56">
        <f t="shared" si="345"/>
        <v>5.847560203811749E-2</v>
      </c>
      <c r="BJ1504" s="57">
        <f t="shared" si="349"/>
        <v>0.84397677305162488</v>
      </c>
      <c r="BK1504" s="57">
        <f t="shared" si="350"/>
        <v>1.8289276343722734E-2</v>
      </c>
      <c r="BL1504" s="58">
        <f t="shared" si="351"/>
        <v>1489.1241906662269</v>
      </c>
      <c r="BM1504" s="58">
        <f t="shared" si="351"/>
        <v>32.269849956583052</v>
      </c>
    </row>
    <row r="1505" spans="47:65" x14ac:dyDescent="0.2">
      <c r="AU1505" s="2">
        <v>-132</v>
      </c>
      <c r="AV1505" s="53">
        <v>1503</v>
      </c>
      <c r="AW1505" s="4" t="s">
        <v>2657</v>
      </c>
      <c r="AX1505" t="s">
        <v>929</v>
      </c>
      <c r="AY1505" s="4">
        <v>66098</v>
      </c>
      <c r="AZ1505" s="9">
        <v>27.715963490995563</v>
      </c>
      <c r="BA1505" s="7">
        <f t="shared" si="346"/>
        <v>7.1037189612304296E-4</v>
      </c>
      <c r="BB1505" s="54">
        <f t="shared" si="340"/>
        <v>5284.6960068827866</v>
      </c>
      <c r="BC1505" s="55">
        <f t="shared" si="341"/>
        <v>13096.672331950505</v>
      </c>
      <c r="BD1505" s="55">
        <f t="shared" si="342"/>
        <v>114.44069351393544</v>
      </c>
      <c r="BE1505" s="55">
        <f t="shared" si="343"/>
        <v>112.14981882654999</v>
      </c>
      <c r="BF1505" s="56">
        <f t="shared" si="344"/>
        <v>2.7579204357128781</v>
      </c>
      <c r="BG1505" s="56">
        <f t="shared" si="347"/>
        <v>3.566846395991639E-3</v>
      </c>
      <c r="BH1505" s="56">
        <f t="shared" si="348"/>
        <v>5.9723080931844426E-2</v>
      </c>
      <c r="BI1505" s="56">
        <f t="shared" si="345"/>
        <v>5.8527543836092946E-2</v>
      </c>
      <c r="BJ1505" s="57">
        <f t="shared" si="349"/>
        <v>0.58003930539607884</v>
      </c>
      <c r="BK1505" s="57">
        <f t="shared" si="350"/>
        <v>1.2560817176318033E-2</v>
      </c>
      <c r="BL1505" s="58">
        <f t="shared" si="351"/>
        <v>1023.4293037229138</v>
      </c>
      <c r="BM1505" s="58">
        <f t="shared" si="351"/>
        <v>22.16247805512403</v>
      </c>
    </row>
    <row r="1506" spans="47:65" x14ac:dyDescent="0.2">
      <c r="AU1506" s="2">
        <v>-131</v>
      </c>
      <c r="AV1506" s="53">
        <v>1504</v>
      </c>
      <c r="AW1506" s="4" t="s">
        <v>1977</v>
      </c>
      <c r="AX1506" t="s">
        <v>411</v>
      </c>
      <c r="AY1506" s="4">
        <v>44182</v>
      </c>
      <c r="AZ1506" s="9">
        <v>27.738021525087387</v>
      </c>
      <c r="BA1506" s="7">
        <f t="shared" si="346"/>
        <v>7.1093725288964599E-4</v>
      </c>
      <c r="BB1506" s="54">
        <f t="shared" si="340"/>
        <v>5361.1140326062905</v>
      </c>
      <c r="BC1506" s="55">
        <f t="shared" si="341"/>
        <v>13307.663257643131</v>
      </c>
      <c r="BD1506" s="55">
        <f t="shared" si="342"/>
        <v>115.35884559773963</v>
      </c>
      <c r="BE1506" s="55">
        <f t="shared" si="343"/>
        <v>113.0495913348433</v>
      </c>
      <c r="BF1506" s="56">
        <f t="shared" si="344"/>
        <v>2.7978006548447247</v>
      </c>
      <c r="BG1506" s="56">
        <f t="shared" si="347"/>
        <v>3.6243092540229303E-3</v>
      </c>
      <c r="BH1506" s="56">
        <f t="shared" si="348"/>
        <v>6.0202236287557713E-2</v>
      </c>
      <c r="BI1506" s="56">
        <f t="shared" si="345"/>
        <v>5.8997107456191709E-2</v>
      </c>
      <c r="BJ1506" s="57">
        <f t="shared" si="349"/>
        <v>0.39332315210665814</v>
      </c>
      <c r="BK1506" s="57">
        <f t="shared" si="350"/>
        <v>8.4634097499009259E-3</v>
      </c>
      <c r="BL1506" s="58">
        <f t="shared" si="351"/>
        <v>693.9847626769814</v>
      </c>
      <c r="BM1506" s="58">
        <f t="shared" si="351"/>
        <v>14.932956209835121</v>
      </c>
    </row>
    <row r="1507" spans="47:65" x14ac:dyDescent="0.2">
      <c r="AU1507" s="2">
        <v>-130</v>
      </c>
      <c r="AV1507" s="53">
        <v>1505</v>
      </c>
      <c r="AW1507" s="4" t="s">
        <v>2671</v>
      </c>
      <c r="AX1507" t="s">
        <v>939</v>
      </c>
      <c r="AY1507" s="4">
        <v>31254</v>
      </c>
      <c r="AZ1507" s="9">
        <v>27.753618842119032</v>
      </c>
      <c r="BA1507" s="7">
        <f t="shared" si="346"/>
        <v>7.1133701873858722E-4</v>
      </c>
      <c r="BB1507" s="54">
        <f t="shared" si="340"/>
        <v>5415.815554844311</v>
      </c>
      <c r="BC1507" s="55">
        <f t="shared" si="341"/>
        <v>13458.354413917497</v>
      </c>
      <c r="BD1507" s="55">
        <f t="shared" si="342"/>
        <v>116.01014789197322</v>
      </c>
      <c r="BE1507" s="55">
        <f t="shared" si="343"/>
        <v>113.68785585471636</v>
      </c>
      <c r="BF1507" s="56">
        <f t="shared" si="344"/>
        <v>2.8263476982032012</v>
      </c>
      <c r="BG1507" s="56">
        <f t="shared" si="347"/>
        <v>3.6653496186317739E-3</v>
      </c>
      <c r="BH1507" s="56">
        <f t="shared" si="348"/>
        <v>6.0542130938973183E-2</v>
      </c>
      <c r="BI1507" s="56">
        <f t="shared" si="345"/>
        <v>5.933019809384777E-2</v>
      </c>
      <c r="BJ1507" s="57">
        <f t="shared" si="349"/>
        <v>0.2810726367458965</v>
      </c>
      <c r="BK1507" s="57">
        <f t="shared" si="350"/>
        <v>6.0207512288918269E-3</v>
      </c>
      <c r="BL1507" s="58">
        <f t="shared" si="351"/>
        <v>495.92841423735865</v>
      </c>
      <c r="BM1507" s="58">
        <f t="shared" si="351"/>
        <v>10.623096022546363</v>
      </c>
    </row>
    <row r="1508" spans="47:65" x14ac:dyDescent="0.2">
      <c r="AU1508" s="2">
        <v>-129</v>
      </c>
      <c r="AV1508" s="53">
        <v>1506</v>
      </c>
      <c r="AW1508" s="4" t="s">
        <v>2281</v>
      </c>
      <c r="AX1508" t="s">
        <v>637</v>
      </c>
      <c r="AY1508" s="4">
        <v>8439</v>
      </c>
      <c r="AZ1508" s="9">
        <v>27.758583050231035</v>
      </c>
      <c r="BA1508" s="7">
        <f t="shared" si="346"/>
        <v>7.1146425349737227E-4</v>
      </c>
      <c r="BB1508" s="54">
        <f t="shared" si="340"/>
        <v>5433.3424129953746</v>
      </c>
      <c r="BC1508" s="55">
        <f t="shared" si="341"/>
        <v>13506.576115953132</v>
      </c>
      <c r="BD1508" s="55">
        <f t="shared" si="342"/>
        <v>116.2177960380988</v>
      </c>
      <c r="BE1508" s="55">
        <f t="shared" si="343"/>
        <v>113.89134729864769</v>
      </c>
      <c r="BF1508" s="56">
        <f t="shared" si="344"/>
        <v>2.8354944268335096</v>
      </c>
      <c r="BG1508" s="56">
        <f t="shared" si="347"/>
        <v>3.6784826802029858E-3</v>
      </c>
      <c r="BH1508" s="56">
        <f t="shared" si="348"/>
        <v>6.0650496124953386E-2</v>
      </c>
      <c r="BI1508" s="56">
        <f t="shared" si="345"/>
        <v>5.9436394024697359E-2</v>
      </c>
      <c r="BJ1508" s="57">
        <f t="shared" si="349"/>
        <v>7.6138997984351212E-2</v>
      </c>
      <c r="BK1508" s="57">
        <f t="shared" si="350"/>
        <v>1.6285935738426587E-3</v>
      </c>
      <c r="BL1508" s="58">
        <f t="shared" si="351"/>
        <v>134.34069203306041</v>
      </c>
      <c r="BM1508" s="58">
        <f t="shared" si="351"/>
        <v>2.8735128323541224</v>
      </c>
    </row>
    <row r="1509" spans="47:65" x14ac:dyDescent="0.2">
      <c r="AU1509" s="2">
        <v>-128</v>
      </c>
      <c r="AV1509" s="53">
        <v>1507</v>
      </c>
      <c r="AW1509" s="4" t="s">
        <v>2992</v>
      </c>
      <c r="AX1509" t="s">
        <v>1166</v>
      </c>
      <c r="AY1509" s="4">
        <v>10927</v>
      </c>
      <c r="AZ1509" s="9">
        <v>27.759895495738991</v>
      </c>
      <c r="BA1509" s="7">
        <f t="shared" si="346"/>
        <v>7.1149789203223135E-4</v>
      </c>
      <c r="BB1509" s="54">
        <f t="shared" si="340"/>
        <v>5437.9856661979638</v>
      </c>
      <c r="BC1509" s="55">
        <f t="shared" si="341"/>
        <v>13519.346103145259</v>
      </c>
      <c r="BD1509" s="55">
        <f t="shared" si="342"/>
        <v>116.27272295403277</v>
      </c>
      <c r="BE1509" s="55">
        <f t="shared" si="343"/>
        <v>113.94517468715391</v>
      </c>
      <c r="BF1509" s="56">
        <f t="shared" si="344"/>
        <v>2.8379175979826048</v>
      </c>
      <c r="BG1509" s="56">
        <f t="shared" si="347"/>
        <v>3.6819605547073896E-3</v>
      </c>
      <c r="BH1509" s="56">
        <f t="shared" si="348"/>
        <v>6.0679160794356653E-2</v>
      </c>
      <c r="BI1509" s="56">
        <f t="shared" si="345"/>
        <v>5.9464484884526936E-2</v>
      </c>
      <c r="BJ1509" s="57">
        <f t="shared" si="349"/>
        <v>9.8670674346480122E-2</v>
      </c>
      <c r="BK1509" s="57">
        <f t="shared" si="350"/>
        <v>2.1097348698967998E-3</v>
      </c>
      <c r="BL1509" s="58">
        <f t="shared" si="351"/>
        <v>174.09589075232211</v>
      </c>
      <c r="BM1509" s="58">
        <f t="shared" si="351"/>
        <v>3.7224451323415959</v>
      </c>
    </row>
    <row r="1510" spans="47:65" x14ac:dyDescent="0.2">
      <c r="AU1510" s="2">
        <v>-127</v>
      </c>
      <c r="AV1510" s="53">
        <v>1508</v>
      </c>
      <c r="AW1510" s="4" t="s">
        <v>2842</v>
      </c>
      <c r="AX1510" t="s">
        <v>1070</v>
      </c>
      <c r="AY1510" s="4">
        <v>41925</v>
      </c>
      <c r="AZ1510" s="9">
        <v>27.762474568811925</v>
      </c>
      <c r="BA1510" s="7">
        <f t="shared" si="346"/>
        <v>7.1156399476864378E-4</v>
      </c>
      <c r="BB1510" s="54">
        <f t="shared" si="340"/>
        <v>5447.1216393722761</v>
      </c>
      <c r="BC1510" s="55">
        <f t="shared" si="341"/>
        <v>13544.465929244709</v>
      </c>
      <c r="BD1510" s="55">
        <f t="shared" si="342"/>
        <v>116.38069397131429</v>
      </c>
      <c r="BE1510" s="55">
        <f t="shared" si="343"/>
        <v>114.05098433977687</v>
      </c>
      <c r="BF1510" s="56">
        <f t="shared" si="344"/>
        <v>2.8426853816138209</v>
      </c>
      <c r="BG1510" s="56">
        <f t="shared" si="347"/>
        <v>3.6888018773667901E-3</v>
      </c>
      <c r="BH1510" s="56">
        <f t="shared" si="348"/>
        <v>6.0735507550087948E-2</v>
      </c>
      <c r="BI1510" s="56">
        <f t="shared" si="345"/>
        <v>5.9519703690466441E-2</v>
      </c>
      <c r="BJ1510" s="57">
        <f t="shared" si="349"/>
        <v>0.37921825861441616</v>
      </c>
      <c r="BK1510" s="57">
        <f t="shared" si="350"/>
        <v>8.1022027826841581E-3</v>
      </c>
      <c r="BL1510" s="58">
        <f t="shared" si="351"/>
        <v>669.09789519824392</v>
      </c>
      <c r="BM1510" s="58">
        <f t="shared" si="351"/>
        <v>14.29563768414298</v>
      </c>
    </row>
    <row r="1511" spans="47:65" x14ac:dyDescent="0.2">
      <c r="AU1511" s="2">
        <v>-126</v>
      </c>
      <c r="AV1511" s="53">
        <v>1509</v>
      </c>
      <c r="AW1511" s="4" t="s">
        <v>2288</v>
      </c>
      <c r="AX1511" t="s">
        <v>643</v>
      </c>
      <c r="AY1511" s="4">
        <v>23811</v>
      </c>
      <c r="AZ1511" s="9">
        <v>27.766081756554762</v>
      </c>
      <c r="BA1511" s="7">
        <f t="shared" si="346"/>
        <v>7.1165644851997677E-4</v>
      </c>
      <c r="BB1511" s="54">
        <f t="shared" si="340"/>
        <v>5459.9253059940884</v>
      </c>
      <c r="BC1511" s="55">
        <f t="shared" si="341"/>
        <v>13579.656507889084</v>
      </c>
      <c r="BD1511" s="55">
        <f t="shared" si="342"/>
        <v>116.53178325199131</v>
      </c>
      <c r="BE1511" s="55">
        <f t="shared" si="343"/>
        <v>114.19904911406539</v>
      </c>
      <c r="BF1511" s="56">
        <f t="shared" si="344"/>
        <v>2.8493672217390369</v>
      </c>
      <c r="BG1511" s="56">
        <f t="shared" si="347"/>
        <v>3.6983859446343692E-3</v>
      </c>
      <c r="BH1511" s="56">
        <f t="shared" si="348"/>
        <v>6.0814356402369082E-2</v>
      </c>
      <c r="BI1511" s="56">
        <f t="shared" si="345"/>
        <v>5.9596974145813116E-2</v>
      </c>
      <c r="BJ1511" s="57">
        <f t="shared" si="349"/>
        <v>0.21588050791011945</v>
      </c>
      <c r="BK1511" s="57">
        <f t="shared" si="350"/>
        <v>4.6075613028066431E-3</v>
      </c>
      <c r="BL1511" s="58">
        <f t="shared" si="351"/>
        <v>380.90252822941909</v>
      </c>
      <c r="BM1511" s="58">
        <f t="shared" si="351"/>
        <v>8.1296443398298059</v>
      </c>
    </row>
    <row r="1512" spans="47:65" x14ac:dyDescent="0.2">
      <c r="AU1512" s="2">
        <v>-125</v>
      </c>
      <c r="AV1512" s="53">
        <v>1510</v>
      </c>
      <c r="AW1512" s="4" t="s">
        <v>2019</v>
      </c>
      <c r="AX1512" t="s">
        <v>444</v>
      </c>
      <c r="AY1512" s="4">
        <v>19946</v>
      </c>
      <c r="AZ1512" s="9">
        <v>27.771381226827238</v>
      </c>
      <c r="BA1512" s="7">
        <f t="shared" si="346"/>
        <v>7.1179227619008929E-4</v>
      </c>
      <c r="BB1512" s="54">
        <f t="shared" si="340"/>
        <v>5478.7903183492363</v>
      </c>
      <c r="BC1512" s="55">
        <f t="shared" si="341"/>
        <v>13631.477165509445</v>
      </c>
      <c r="BD1512" s="55">
        <f t="shared" si="342"/>
        <v>116.75391713132989</v>
      </c>
      <c r="BE1512" s="55">
        <f t="shared" si="343"/>
        <v>114.41673631569027</v>
      </c>
      <c r="BF1512" s="56">
        <f t="shared" si="344"/>
        <v>2.8592122919240532</v>
      </c>
      <c r="BG1512" s="56">
        <f t="shared" si="347"/>
        <v>3.7124991728793963E-3</v>
      </c>
      <c r="BH1512" s="56">
        <f t="shared" si="348"/>
        <v>6.0930281247335433E-2</v>
      </c>
      <c r="BI1512" s="56">
        <f t="shared" si="345"/>
        <v>5.9710578406336833E-2</v>
      </c>
      <c r="BJ1512" s="57">
        <f t="shared" si="349"/>
        <v>0.18146362783446365</v>
      </c>
      <c r="BK1512" s="57">
        <f t="shared" si="350"/>
        <v>3.8670195673631926E-3</v>
      </c>
      <c r="BL1512" s="58">
        <f t="shared" si="351"/>
        <v>320.17691311254123</v>
      </c>
      <c r="BM1512" s="58">
        <f t="shared" si="351"/>
        <v>6.8230223477820031</v>
      </c>
    </row>
    <row r="1513" spans="47:65" x14ac:dyDescent="0.2">
      <c r="AU1513" s="2">
        <v>-124</v>
      </c>
      <c r="AV1513" s="53">
        <v>1511</v>
      </c>
      <c r="AW1513" s="4" t="s">
        <v>2032</v>
      </c>
      <c r="AX1513" t="s">
        <v>456</v>
      </c>
      <c r="AY1513" s="4">
        <v>9556</v>
      </c>
      <c r="AZ1513" s="9">
        <v>27.801933288907581</v>
      </c>
      <c r="BA1513" s="7">
        <f t="shared" si="346"/>
        <v>7.1257533849559181E-4</v>
      </c>
      <c r="BB1513" s="54">
        <f t="shared" si="340"/>
        <v>5588.8275163848502</v>
      </c>
      <c r="BC1513" s="55">
        <f t="shared" si="341"/>
        <v>13933.032470161461</v>
      </c>
      <c r="BD1513" s="55">
        <f t="shared" si="342"/>
        <v>118.03826697372959</v>
      </c>
      <c r="BE1513" s="55">
        <f t="shared" si="343"/>
        <v>115.67537603301683</v>
      </c>
      <c r="BF1513" s="56">
        <f t="shared" si="344"/>
        <v>2.9166373238948142</v>
      </c>
      <c r="BG1513" s="56">
        <f t="shared" si="347"/>
        <v>3.7946270160700278E-3</v>
      </c>
      <c r="BH1513" s="56">
        <f t="shared" si="348"/>
        <v>6.1600543959205653E-2</v>
      </c>
      <c r="BI1513" s="56">
        <f t="shared" si="345"/>
        <v>6.0367423794059717E-2</v>
      </c>
      <c r="BJ1513" s="57">
        <f t="shared" si="349"/>
        <v>8.8684136622268331E-2</v>
      </c>
      <c r="BK1513" s="57">
        <f t="shared" si="350"/>
        <v>1.8730443486161931E-3</v>
      </c>
      <c r="BL1513" s="58">
        <f t="shared" si="351"/>
        <v>156.47550666005159</v>
      </c>
      <c r="BM1513" s="58">
        <f t="shared" si="351"/>
        <v>3.304825131182167</v>
      </c>
    </row>
    <row r="1514" spans="47:65" x14ac:dyDescent="0.2">
      <c r="AU1514" s="2">
        <v>-123</v>
      </c>
      <c r="AV1514" s="53">
        <v>1512</v>
      </c>
      <c r="AW1514" s="4" t="s">
        <v>1978</v>
      </c>
      <c r="AX1514" t="s">
        <v>412</v>
      </c>
      <c r="AY1514" s="4">
        <v>37728</v>
      </c>
      <c r="AZ1514" s="9">
        <v>27.81695990089462</v>
      </c>
      <c r="BA1514" s="7">
        <f t="shared" si="346"/>
        <v>7.1296047693225509E-4</v>
      </c>
      <c r="BB1514" s="54">
        <f t="shared" si="340"/>
        <v>5643.7559162219495</v>
      </c>
      <c r="BC1514" s="55">
        <f t="shared" si="341"/>
        <v>14083.102471163409</v>
      </c>
      <c r="BD1514" s="55">
        <f t="shared" si="342"/>
        <v>118.67224810866021</v>
      </c>
      <c r="BE1514" s="55">
        <f t="shared" si="343"/>
        <v>116.29666612868776</v>
      </c>
      <c r="BF1514" s="56">
        <f t="shared" si="344"/>
        <v>2.9453027676998023</v>
      </c>
      <c r="BG1514" s="56">
        <f t="shared" si="347"/>
        <v>3.8354982105724389E-3</v>
      </c>
      <c r="BH1514" s="56">
        <f t="shared" si="348"/>
        <v>6.1931399229893387E-2</v>
      </c>
      <c r="BI1514" s="56">
        <f t="shared" si="345"/>
        <v>6.0691656001381322E-2</v>
      </c>
      <c r="BJ1514" s="57">
        <f t="shared" si="349"/>
        <v>0.35357463446756626</v>
      </c>
      <c r="BK1514" s="57">
        <f t="shared" si="350"/>
        <v>7.4346760152864321E-3</v>
      </c>
      <c r="BL1514" s="58">
        <f t="shared" si="351"/>
        <v>623.8519331377563</v>
      </c>
      <c r="BM1514" s="58">
        <f t="shared" si="351"/>
        <v>13.117844302868994</v>
      </c>
    </row>
    <row r="1515" spans="47:65" x14ac:dyDescent="0.2">
      <c r="AU1515" s="2">
        <v>-122</v>
      </c>
      <c r="AV1515" s="53">
        <v>1513</v>
      </c>
      <c r="AW1515" s="4" t="s">
        <v>1487</v>
      </c>
      <c r="AX1515" t="s">
        <v>84</v>
      </c>
      <c r="AY1515" s="4">
        <v>26976</v>
      </c>
      <c r="AZ1515" s="9">
        <v>27.835410255975578</v>
      </c>
      <c r="BA1515" s="7">
        <f t="shared" si="346"/>
        <v>7.1343336735611718E-4</v>
      </c>
      <c r="BB1515" s="54">
        <f t="shared" si="340"/>
        <v>5711.9384726748058</v>
      </c>
      <c r="BC1515" s="55">
        <f t="shared" si="341"/>
        <v>14268.948392215911</v>
      </c>
      <c r="BD1515" s="55">
        <f t="shared" si="342"/>
        <v>119.45270357851224</v>
      </c>
      <c r="BE1515" s="55">
        <f t="shared" si="343"/>
        <v>117.06149843491139</v>
      </c>
      <c r="BF1515" s="56">
        <f t="shared" si="344"/>
        <v>2.9808851485133001</v>
      </c>
      <c r="BG1515" s="56">
        <f t="shared" si="347"/>
        <v>3.8861128886308431E-3</v>
      </c>
      <c r="BH1515" s="56">
        <f t="shared" si="348"/>
        <v>6.2338694954505128E-2</v>
      </c>
      <c r="BI1515" s="56">
        <f t="shared" si="345"/>
        <v>6.1090798477029404E-2</v>
      </c>
      <c r="BJ1515" s="57">
        <f t="shared" si="349"/>
        <v>0.25586457931849671</v>
      </c>
      <c r="BK1515" s="57">
        <f t="shared" si="350"/>
        <v>5.3508482095506599E-3</v>
      </c>
      <c r="BL1515" s="58">
        <f t="shared" si="351"/>
        <v>451.45097206899663</v>
      </c>
      <c r="BM1515" s="58">
        <f t="shared" si="351"/>
        <v>9.441109949761092</v>
      </c>
    </row>
    <row r="1516" spans="47:65" x14ac:dyDescent="0.2">
      <c r="AU1516" s="2">
        <v>-121</v>
      </c>
      <c r="AV1516" s="53">
        <v>1514</v>
      </c>
      <c r="AW1516" s="4" t="s">
        <v>1734</v>
      </c>
      <c r="AX1516" t="s">
        <v>245</v>
      </c>
      <c r="AY1516" s="4">
        <v>29028</v>
      </c>
      <c r="AZ1516" s="9">
        <v>27.841901493051331</v>
      </c>
      <c r="BA1516" s="7">
        <f t="shared" si="346"/>
        <v>7.1359974051471886E-4</v>
      </c>
      <c r="BB1516" s="54">
        <f t="shared" si="340"/>
        <v>5736.1219698956556</v>
      </c>
      <c r="BC1516" s="55">
        <f t="shared" si="341"/>
        <v>14334.748153521716</v>
      </c>
      <c r="BD1516" s="55">
        <f t="shared" si="342"/>
        <v>119.72780860569409</v>
      </c>
      <c r="BE1516" s="55">
        <f t="shared" si="343"/>
        <v>117.33109640753256</v>
      </c>
      <c r="BF1516" s="56">
        <f t="shared" si="344"/>
        <v>2.9935057725010417</v>
      </c>
      <c r="BG1516" s="56">
        <f t="shared" si="347"/>
        <v>3.9040332912733872E-3</v>
      </c>
      <c r="BH1516" s="56">
        <f t="shared" si="348"/>
        <v>6.2482263813608635E-2</v>
      </c>
      <c r="BI1516" s="56">
        <f t="shared" si="345"/>
        <v>6.1231493373601592E-2</v>
      </c>
      <c r="BJ1516" s="57">
        <f t="shared" si="349"/>
        <v>0.27649328382048294</v>
      </c>
      <c r="BK1516" s="57">
        <f t="shared" si="350"/>
        <v>5.7711351222578516E-3</v>
      </c>
      <c r="BL1516" s="58">
        <f t="shared" si="351"/>
        <v>487.84854114538393</v>
      </c>
      <c r="BM1516" s="58">
        <f t="shared" si="351"/>
        <v>10.182669941358657</v>
      </c>
    </row>
    <row r="1517" spans="47:65" x14ac:dyDescent="0.2">
      <c r="AU1517" s="2">
        <v>-120</v>
      </c>
      <c r="AV1517" s="53">
        <v>1515</v>
      </c>
      <c r="AW1517" s="4" t="s">
        <v>2843</v>
      </c>
      <c r="AX1517" t="s">
        <v>1071</v>
      </c>
      <c r="AY1517" s="4">
        <v>56313</v>
      </c>
      <c r="AZ1517" s="9">
        <v>27.84876160624912</v>
      </c>
      <c r="BA1517" s="7">
        <f t="shared" si="346"/>
        <v>7.1377556812473556E-4</v>
      </c>
      <c r="BB1517" s="54">
        <f t="shared" si="340"/>
        <v>5761.7910379639934</v>
      </c>
      <c r="BC1517" s="55">
        <f t="shared" si="341"/>
        <v>14404.521985378138</v>
      </c>
      <c r="BD1517" s="55">
        <f t="shared" si="342"/>
        <v>120.01884012678234</v>
      </c>
      <c r="BE1517" s="55">
        <f t="shared" si="343"/>
        <v>117.61630205738199</v>
      </c>
      <c r="BF1517" s="56">
        <f t="shared" si="344"/>
        <v>3.0069016702592415</v>
      </c>
      <c r="BG1517" s="56">
        <f t="shared" si="347"/>
        <v>3.9230360222255395E-3</v>
      </c>
      <c r="BH1517" s="56">
        <f t="shared" si="348"/>
        <v>6.2634144220429316E-2</v>
      </c>
      <c r="BI1517" s="56">
        <f t="shared" si="345"/>
        <v>6.1380333437264505E-2</v>
      </c>
      <c r="BJ1517" s="57">
        <f t="shared" si="349"/>
        <v>0.53878471044859355</v>
      </c>
      <c r="BK1517" s="57">
        <f t="shared" si="350"/>
        <v>1.1222954043286024E-2</v>
      </c>
      <c r="BL1517" s="58">
        <f t="shared" si="351"/>
        <v>950.6391307299906</v>
      </c>
      <c r="BM1517" s="58">
        <f t="shared" si="351"/>
        <v>19.801933998923317</v>
      </c>
    </row>
    <row r="1518" spans="47:65" x14ac:dyDescent="0.2">
      <c r="AU1518" s="2">
        <v>-119</v>
      </c>
      <c r="AV1518" s="53">
        <v>1516</v>
      </c>
      <c r="AW1518" s="4" t="s">
        <v>2805</v>
      </c>
      <c r="AX1518" t="s">
        <v>1044</v>
      </c>
      <c r="AY1518" s="4">
        <v>38453</v>
      </c>
      <c r="AZ1518" s="9">
        <v>27.851822164699939</v>
      </c>
      <c r="BA1518" s="7">
        <f t="shared" si="346"/>
        <v>7.1385401153553781E-4</v>
      </c>
      <c r="BB1518" s="54">
        <f t="shared" si="340"/>
        <v>5773.280017270301</v>
      </c>
      <c r="BC1518" s="55">
        <f t="shared" si="341"/>
        <v>14435.728624253527</v>
      </c>
      <c r="BD1518" s="55">
        <f t="shared" si="342"/>
        <v>120.14877704019099</v>
      </c>
      <c r="BE1518" s="55">
        <f t="shared" si="343"/>
        <v>117.74363789265362</v>
      </c>
      <c r="BF1518" s="56">
        <f t="shared" si="344"/>
        <v>3.0128974154777177</v>
      </c>
      <c r="BG1518" s="56">
        <f t="shared" si="347"/>
        <v>3.9315350733268436E-3</v>
      </c>
      <c r="BH1518" s="56">
        <f t="shared" si="348"/>
        <v>6.2701954302293028E-2</v>
      </c>
      <c r="BI1518" s="56">
        <f t="shared" si="345"/>
        <v>6.1446786096385299E-2</v>
      </c>
      <c r="BJ1518" s="57">
        <f t="shared" si="349"/>
        <v>0.3686395650266015</v>
      </c>
      <c r="BK1518" s="57">
        <f t="shared" si="350"/>
        <v>7.6718248160633712E-3</v>
      </c>
      <c r="BL1518" s="58">
        <f t="shared" si="351"/>
        <v>650.43270318081284</v>
      </c>
      <c r="BM1518" s="58">
        <f t="shared" si="351"/>
        <v>13.536272898655508</v>
      </c>
    </row>
    <row r="1519" spans="47:65" x14ac:dyDescent="0.2">
      <c r="AU1519" s="2">
        <v>-118</v>
      </c>
      <c r="AV1519" s="53">
        <v>1517</v>
      </c>
      <c r="AW1519" s="4" t="s">
        <v>2877</v>
      </c>
      <c r="AX1519" t="s">
        <v>1095</v>
      </c>
      <c r="AY1519" s="4">
        <v>25898</v>
      </c>
      <c r="AZ1519" s="9">
        <v>27.860826977961146</v>
      </c>
      <c r="BA1519" s="7">
        <f t="shared" si="346"/>
        <v>7.1408480871755443E-4</v>
      </c>
      <c r="BB1519" s="54">
        <f t="shared" si="340"/>
        <v>5807.2160767126779</v>
      </c>
      <c r="BC1519" s="55">
        <f t="shared" si="341"/>
        <v>14527.82383158867</v>
      </c>
      <c r="BD1519" s="55">
        <f t="shared" si="342"/>
        <v>120.53142259008092</v>
      </c>
      <c r="BE1519" s="55">
        <f t="shared" si="343"/>
        <v>118.11862364096801</v>
      </c>
      <c r="BF1519" s="56">
        <f t="shared" si="344"/>
        <v>3.0306076019712833</v>
      </c>
      <c r="BG1519" s="56">
        <f t="shared" si="347"/>
        <v>3.9566169758164793E-3</v>
      </c>
      <c r="BH1519" s="56">
        <f t="shared" si="348"/>
        <v>6.290164525524336E-2</v>
      </c>
      <c r="BI1519" s="56">
        <f t="shared" si="345"/>
        <v>6.1642479634295866E-2</v>
      </c>
      <c r="BJ1519" s="57">
        <f t="shared" si="349"/>
        <v>0.24973723954561972</v>
      </c>
      <c r="BK1519" s="57">
        <f t="shared" si="350"/>
        <v>5.1834104945504443E-3</v>
      </c>
      <c r="BL1519" s="58">
        <f t="shared" si="351"/>
        <v>440.6398097579405</v>
      </c>
      <c r="BM1519" s="58">
        <f t="shared" si="351"/>
        <v>9.1456805495713684</v>
      </c>
    </row>
    <row r="1520" spans="47:65" x14ac:dyDescent="0.2">
      <c r="AU1520" s="2">
        <v>-117</v>
      </c>
      <c r="AV1520" s="53">
        <v>1518</v>
      </c>
      <c r="AW1520" s="4" t="s">
        <v>1540</v>
      </c>
      <c r="AX1520" t="s">
        <v>129</v>
      </c>
      <c r="AY1520" s="4">
        <v>12662</v>
      </c>
      <c r="AZ1520" s="9">
        <v>27.879156807887288</v>
      </c>
      <c r="BA1520" s="7">
        <f t="shared" si="346"/>
        <v>7.1455461003059467E-4</v>
      </c>
      <c r="BB1520" s="54">
        <f t="shared" si="340"/>
        <v>5876.9125354496928</v>
      </c>
      <c r="BC1520" s="55">
        <f t="shared" si="341"/>
        <v>14716.574089527583</v>
      </c>
      <c r="BD1520" s="55">
        <f t="shared" si="342"/>
        <v>121.31188766781095</v>
      </c>
      <c r="BE1520" s="55">
        <f t="shared" si="343"/>
        <v>118.88346536273907</v>
      </c>
      <c r="BF1520" s="56">
        <f t="shared" si="344"/>
        <v>3.0669800418613535</v>
      </c>
      <c r="BG1520" s="56">
        <f t="shared" si="347"/>
        <v>4.0080226428599814E-3</v>
      </c>
      <c r="BH1520" s="56">
        <f t="shared" si="348"/>
        <v>6.3308945993911334E-2</v>
      </c>
      <c r="BI1520" s="56">
        <f t="shared" si="345"/>
        <v>6.2041627023628761E-2</v>
      </c>
      <c r="BJ1520" s="57">
        <f t="shared" si="349"/>
        <v>0.1235664674659617</v>
      </c>
      <c r="BK1520" s="57">
        <f t="shared" si="350"/>
        <v>2.550672879733925E-3</v>
      </c>
      <c r="BL1520" s="58">
        <f t="shared" si="351"/>
        <v>218.02236949414183</v>
      </c>
      <c r="BM1520" s="58">
        <f t="shared" si="351"/>
        <v>4.5004422028753392</v>
      </c>
    </row>
    <row r="1521" spans="47:65" x14ac:dyDescent="0.2">
      <c r="AU1521" s="2">
        <v>-116</v>
      </c>
      <c r="AV1521" s="53">
        <v>1519</v>
      </c>
      <c r="AW1521" s="4" t="s">
        <v>2309</v>
      </c>
      <c r="AX1521" t="s">
        <v>661</v>
      </c>
      <c r="AY1521" s="4">
        <v>29611</v>
      </c>
      <c r="AZ1521" s="9">
        <v>27.8812980273925</v>
      </c>
      <c r="BA1521" s="7">
        <f t="shared" si="346"/>
        <v>7.1460949039441209E-4</v>
      </c>
      <c r="BB1521" s="54">
        <f t="shared" si="340"/>
        <v>5885.108581952898</v>
      </c>
      <c r="BC1521" s="55">
        <f t="shared" si="341"/>
        <v>14738.735574106753</v>
      </c>
      <c r="BD1521" s="55">
        <f t="shared" si="342"/>
        <v>121.40319425001449</v>
      </c>
      <c r="BE1521" s="55">
        <f t="shared" si="343"/>
        <v>118.97294416907427</v>
      </c>
      <c r="BF1521" s="56">
        <f t="shared" si="344"/>
        <v>3.0712573066489188</v>
      </c>
      <c r="BG1521" s="56">
        <f t="shared" si="347"/>
        <v>4.0140582685062433E-3</v>
      </c>
      <c r="BH1521" s="56">
        <f t="shared" si="348"/>
        <v>6.3356596093116016E-2</v>
      </c>
      <c r="BI1521" s="56">
        <f t="shared" si="345"/>
        <v>6.208832326277923E-2</v>
      </c>
      <c r="BJ1521" s="57">
        <f t="shared" si="349"/>
        <v>0.2893720954186379</v>
      </c>
      <c r="BK1521" s="57">
        <f t="shared" si="350"/>
        <v>5.9694220117497369E-3</v>
      </c>
      <c r="BL1521" s="58">
        <f t="shared" si="351"/>
        <v>510.57209291861761</v>
      </c>
      <c r="BM1521" s="58">
        <f t="shared" si="351"/>
        <v>10.532530048013827</v>
      </c>
    </row>
    <row r="1522" spans="47:65" x14ac:dyDescent="0.2">
      <c r="AU1522" s="2">
        <v>-115</v>
      </c>
      <c r="AV1522" s="53">
        <v>1520</v>
      </c>
      <c r="AW1522" s="4" t="s">
        <v>2601</v>
      </c>
      <c r="AX1522" t="s">
        <v>898</v>
      </c>
      <c r="AY1522" s="4">
        <v>15226</v>
      </c>
      <c r="AZ1522" s="9">
        <v>27.895042693299061</v>
      </c>
      <c r="BA1522" s="7">
        <f t="shared" si="346"/>
        <v>7.1496177200947454E-4</v>
      </c>
      <c r="BB1522" s="54">
        <f t="shared" si="340"/>
        <v>5937.9925727475993</v>
      </c>
      <c r="BC1522" s="55">
        <f t="shared" si="341"/>
        <v>14881.551869712761</v>
      </c>
      <c r="BD1522" s="55">
        <f t="shared" si="342"/>
        <v>121.9899662665449</v>
      </c>
      <c r="BE1522" s="55">
        <f t="shared" si="343"/>
        <v>119.54797017884204</v>
      </c>
      <c r="BF1522" s="56">
        <f t="shared" si="344"/>
        <v>3.0988558362038434</v>
      </c>
      <c r="BG1522" s="56">
        <f t="shared" si="347"/>
        <v>4.0529539342418564E-3</v>
      </c>
      <c r="BH1522" s="56">
        <f t="shared" si="348"/>
        <v>6.3662814375755147E-2</v>
      </c>
      <c r="BI1522" s="56">
        <f t="shared" si="345"/>
        <v>6.2388411665469434E-2</v>
      </c>
      <c r="BJ1522" s="57">
        <f t="shared" si="349"/>
        <v>0.15013244943169521</v>
      </c>
      <c r="BK1522" s="57">
        <f t="shared" si="350"/>
        <v>3.084317169028428E-3</v>
      </c>
      <c r="BL1522" s="58">
        <f t="shared" si="351"/>
        <v>264.8957523372934</v>
      </c>
      <c r="BM1522" s="58">
        <f t="shared" si="351"/>
        <v>5.4420115040375192</v>
      </c>
    </row>
    <row r="1523" spans="47:65" x14ac:dyDescent="0.2">
      <c r="AU1523" s="2">
        <v>-114</v>
      </c>
      <c r="AV1523" s="53">
        <v>1521</v>
      </c>
      <c r="AW1523" s="4" t="s">
        <v>2024</v>
      </c>
      <c r="AX1523" t="s">
        <v>449</v>
      </c>
      <c r="AY1523" s="4">
        <v>156540</v>
      </c>
      <c r="AZ1523" s="9">
        <v>27.92654421102888</v>
      </c>
      <c r="BA1523" s="7">
        <f t="shared" si="346"/>
        <v>7.1576916926585187E-4</v>
      </c>
      <c r="BB1523" s="54">
        <f t="shared" si="340"/>
        <v>6060.9976440119099</v>
      </c>
      <c r="BC1523" s="55">
        <f t="shared" si="341"/>
        <v>15212.52722334178</v>
      </c>
      <c r="BD1523" s="55">
        <f t="shared" si="342"/>
        <v>123.3390741952516</v>
      </c>
      <c r="BE1523" s="55">
        <f t="shared" si="343"/>
        <v>120.87007165460331</v>
      </c>
      <c r="BF1523" s="56">
        <f t="shared" si="344"/>
        <v>3.1630484026815298</v>
      </c>
      <c r="BG1523" s="56">
        <f t="shared" si="347"/>
        <v>4.1430942551817012E-3</v>
      </c>
      <c r="BH1523" s="56">
        <f t="shared" si="348"/>
        <v>6.4366872342702039E-2</v>
      </c>
      <c r="BI1523" s="56">
        <f t="shared" si="345"/>
        <v>6.3078375794591635E-2</v>
      </c>
      <c r="BJ1523" s="57">
        <f t="shared" si="349"/>
        <v>1.5755004784903484</v>
      </c>
      <c r="BK1523" s="57">
        <f t="shared" si="350"/>
        <v>3.206085562550421E-2</v>
      </c>
      <c r="BL1523" s="58">
        <f t="shared" si="351"/>
        <v>2779.8346469218345</v>
      </c>
      <c r="BM1523" s="58">
        <f t="shared" si="351"/>
        <v>56.568613272104059</v>
      </c>
    </row>
    <row r="1524" spans="47:65" x14ac:dyDescent="0.2">
      <c r="AU1524" s="2">
        <v>-113</v>
      </c>
      <c r="AV1524" s="53">
        <v>1522</v>
      </c>
      <c r="AW1524" s="4" t="s">
        <v>2362</v>
      </c>
      <c r="AX1524" t="s">
        <v>705</v>
      </c>
      <c r="AY1524" s="4">
        <v>167473</v>
      </c>
      <c r="AZ1524" s="9">
        <v>27.927768981758387</v>
      </c>
      <c r="BA1524" s="7">
        <f t="shared" si="346"/>
        <v>7.158005606589644E-4</v>
      </c>
      <c r="BB1524" s="54">
        <f t="shared" si="340"/>
        <v>6065.8311744590974</v>
      </c>
      <c r="BC1524" s="55">
        <f t="shared" si="341"/>
        <v>15225.498147963064</v>
      </c>
      <c r="BD1524" s="55">
        <f t="shared" si="342"/>
        <v>123.39164537343306</v>
      </c>
      <c r="BE1524" s="55">
        <f t="shared" si="343"/>
        <v>120.92159046253357</v>
      </c>
      <c r="BF1524" s="56">
        <f t="shared" si="344"/>
        <v>3.1655708736769426</v>
      </c>
      <c r="BG1524" s="56">
        <f t="shared" si="347"/>
        <v>4.1466268544990952E-3</v>
      </c>
      <c r="BH1524" s="56">
        <f t="shared" si="348"/>
        <v>6.4394307624968644E-2</v>
      </c>
      <c r="BI1524" s="56">
        <f t="shared" si="345"/>
        <v>6.3105261877165753E-2</v>
      </c>
      <c r="BJ1524" s="57">
        <f t="shared" si="349"/>
        <v>1.6868800946669809</v>
      </c>
      <c r="BK1524" s="57">
        <f t="shared" si="350"/>
        <v>3.4314656053253602E-2</v>
      </c>
      <c r="BL1524" s="58">
        <f t="shared" si="351"/>
        <v>2976.3543688995355</v>
      </c>
      <c r="BM1524" s="58">
        <f t="shared" si="351"/>
        <v>60.545249650093815</v>
      </c>
    </row>
    <row r="1525" spans="47:65" x14ac:dyDescent="0.2">
      <c r="AU1525" s="2">
        <v>-112</v>
      </c>
      <c r="AV1525" s="53">
        <v>1523</v>
      </c>
      <c r="AW1525" s="4" t="s">
        <v>2772</v>
      </c>
      <c r="AX1525" t="s">
        <v>1020</v>
      </c>
      <c r="AY1525" s="4">
        <v>22841</v>
      </c>
      <c r="AZ1525" s="9">
        <v>27.947411023592494</v>
      </c>
      <c r="BA1525" s="7">
        <f t="shared" si="346"/>
        <v>7.1630399451959694E-4</v>
      </c>
      <c r="BB1525" s="54">
        <f t="shared" si="340"/>
        <v>6143.8768194172726</v>
      </c>
      <c r="BC1525" s="55">
        <f t="shared" si="341"/>
        <v>15434.566312191715</v>
      </c>
      <c r="BD1525" s="55">
        <f t="shared" si="342"/>
        <v>124.23593003713424</v>
      </c>
      <c r="BE1525" s="55">
        <f t="shared" si="343"/>
        <v>121.74897422931048</v>
      </c>
      <c r="BF1525" s="56">
        <f t="shared" si="344"/>
        <v>3.2063004972670619</v>
      </c>
      <c r="BG1525" s="56">
        <f t="shared" si="347"/>
        <v>4.2035660531898437E-3</v>
      </c>
      <c r="BH1525" s="56">
        <f t="shared" si="348"/>
        <v>6.4834913844238617E-2</v>
      </c>
      <c r="BI1525" s="56">
        <f t="shared" si="345"/>
        <v>6.3537048037732496E-2</v>
      </c>
      <c r="BJ1525" s="57">
        <f t="shared" si="349"/>
        <v>0.23302724910103392</v>
      </c>
      <c r="BK1525" s="57">
        <f t="shared" si="350"/>
        <v>4.7120666424445403E-3</v>
      </c>
      <c r="BL1525" s="58">
        <f t="shared" si="351"/>
        <v>411.15647349637243</v>
      </c>
      <c r="BM1525" s="58">
        <f t="shared" si="351"/>
        <v>8.3140349940250537</v>
      </c>
    </row>
    <row r="1526" spans="47:65" x14ac:dyDescent="0.2">
      <c r="AU1526" s="2">
        <v>-111</v>
      </c>
      <c r="AV1526" s="53">
        <v>1524</v>
      </c>
      <c r="AW1526" s="4" t="s">
        <v>2760</v>
      </c>
      <c r="AX1526" t="s">
        <v>1009</v>
      </c>
      <c r="AY1526" s="4">
        <v>72439</v>
      </c>
      <c r="AZ1526" s="9">
        <v>28.022069184963208</v>
      </c>
      <c r="BA1526" s="7">
        <f t="shared" si="346"/>
        <v>7.1821751485134379E-4</v>
      </c>
      <c r="BB1526" s="54">
        <f t="shared" si="340"/>
        <v>6449.7969579008877</v>
      </c>
      <c r="BC1526" s="55">
        <f t="shared" si="341"/>
        <v>16247.207095262171</v>
      </c>
      <c r="BD1526" s="55">
        <f t="shared" si="342"/>
        <v>127.46453269542148</v>
      </c>
      <c r="BE1526" s="55">
        <f t="shared" si="343"/>
        <v>124.91294669462711</v>
      </c>
      <c r="BF1526" s="56">
        <f t="shared" si="344"/>
        <v>3.3659508159459834</v>
      </c>
      <c r="BG1526" s="56">
        <f t="shared" si="347"/>
        <v>4.4248867654187746E-3</v>
      </c>
      <c r="BH1526" s="56">
        <f t="shared" si="348"/>
        <v>6.6519822349573168E-2</v>
      </c>
      <c r="BI1526" s="56">
        <f t="shared" si="345"/>
        <v>6.5188228031582973E-2</v>
      </c>
      <c r="BJ1526" s="57">
        <f t="shared" si="349"/>
        <v>0.77583181355271902</v>
      </c>
      <c r="BK1526" s="57">
        <f t="shared" si="350"/>
        <v>1.5332426774088146E-2</v>
      </c>
      <c r="BL1526" s="58">
        <f t="shared" si="351"/>
        <v>1368.8882897481526</v>
      </c>
      <c r="BM1526" s="58">
        <f t="shared" si="351"/>
        <v>27.052744032704084</v>
      </c>
    </row>
    <row r="1527" spans="47:65" x14ac:dyDescent="0.2">
      <c r="AU1527" s="2">
        <v>-110</v>
      </c>
      <c r="AV1527" s="53">
        <v>1525</v>
      </c>
      <c r="AW1527" s="4" t="s">
        <v>2519</v>
      </c>
      <c r="AX1527" t="s">
        <v>828</v>
      </c>
      <c r="AY1527" s="4">
        <v>52536</v>
      </c>
      <c r="AZ1527" s="9">
        <v>28.070727646341034</v>
      </c>
      <c r="BA1527" s="7">
        <f t="shared" si="346"/>
        <v>7.1946465184813716E-4</v>
      </c>
      <c r="BB1527" s="54">
        <f t="shared" si="340"/>
        <v>6657.333667138786</v>
      </c>
      <c r="BC1527" s="55">
        <f t="shared" si="341"/>
        <v>16792.108705767288</v>
      </c>
      <c r="BD1527" s="55">
        <f t="shared" si="342"/>
        <v>129.58436906420189</v>
      </c>
      <c r="BE1527" s="55">
        <f t="shared" si="343"/>
        <v>126.990348162591</v>
      </c>
      <c r="BF1527" s="56">
        <f t="shared" si="344"/>
        <v>3.4742578464397642</v>
      </c>
      <c r="BG1527" s="56">
        <f t="shared" si="347"/>
        <v>4.5732893745953698E-3</v>
      </c>
      <c r="BH1527" s="56">
        <f t="shared" si="348"/>
        <v>6.7626099803222206E-2</v>
      </c>
      <c r="BI1527" s="56">
        <f t="shared" si="345"/>
        <v>6.6272360014613368E-2</v>
      </c>
      <c r="BJ1527" s="57">
        <f t="shared" si="349"/>
        <v>0.58077300606588833</v>
      </c>
      <c r="BK1527" s="57">
        <f t="shared" si="350"/>
        <v>1.1304691536201469E-2</v>
      </c>
      <c r="BL1527" s="58">
        <f t="shared" si="351"/>
        <v>1024.7238552449551</v>
      </c>
      <c r="BM1527" s="58">
        <f t="shared" si="351"/>
        <v>19.946152752177266</v>
      </c>
    </row>
    <row r="1528" spans="47:65" x14ac:dyDescent="0.2">
      <c r="AU1528" s="2">
        <v>-109</v>
      </c>
      <c r="AV1528" s="53">
        <v>1526</v>
      </c>
      <c r="AW1528" s="4" t="s">
        <v>2397</v>
      </c>
      <c r="AX1528" t="s">
        <v>734</v>
      </c>
      <c r="AY1528" s="4">
        <v>32142</v>
      </c>
      <c r="AZ1528" s="9">
        <v>28.08820788001626</v>
      </c>
      <c r="BA1528" s="7">
        <f t="shared" si="346"/>
        <v>7.1991267764902908E-4</v>
      </c>
      <c r="BB1528" s="54">
        <f t="shared" si="340"/>
        <v>6733.5093694494226</v>
      </c>
      <c r="BC1528" s="55">
        <f t="shared" si="341"/>
        <v>16990.785308564857</v>
      </c>
      <c r="BD1528" s="55">
        <f t="shared" si="342"/>
        <v>130.3487065856998</v>
      </c>
      <c r="BE1528" s="55">
        <f t="shared" si="343"/>
        <v>127.73938516967526</v>
      </c>
      <c r="BF1528" s="56">
        <f t="shared" si="344"/>
        <v>3.5140116044295615</v>
      </c>
      <c r="BG1528" s="56">
        <f t="shared" si="347"/>
        <v>4.6273984571692447E-3</v>
      </c>
      <c r="BH1528" s="56">
        <f t="shared" si="348"/>
        <v>6.8024984065924221E-2</v>
      </c>
      <c r="BI1528" s="56">
        <f t="shared" si="345"/>
        <v>6.6663259409061246E-2</v>
      </c>
      <c r="BJ1528" s="57">
        <f t="shared" si="349"/>
        <v>0.35938790762388545</v>
      </c>
      <c r="BK1528" s="57">
        <f t="shared" si="350"/>
        <v>6.9571075572954057E-3</v>
      </c>
      <c r="BL1528" s="58">
        <f t="shared" si="351"/>
        <v>634.10895200419361</v>
      </c>
      <c r="BM1528" s="58">
        <f t="shared" si="351"/>
        <v>12.275215967349498</v>
      </c>
    </row>
    <row r="1529" spans="47:65" x14ac:dyDescent="0.2">
      <c r="AU1529" s="2">
        <v>-108</v>
      </c>
      <c r="AV1529" s="53">
        <v>1527</v>
      </c>
      <c r="AW1529" s="4" t="s">
        <v>2120</v>
      </c>
      <c r="AX1529" t="s">
        <v>524</v>
      </c>
      <c r="AY1529" s="4">
        <v>49355</v>
      </c>
      <c r="AZ1529" s="9">
        <v>28.095067301607056</v>
      </c>
      <c r="BA1529" s="7">
        <f t="shared" si="346"/>
        <v>7.2008848753286534E-4</v>
      </c>
      <c r="BB1529" s="54">
        <f t="shared" si="340"/>
        <v>6763.6390885358251</v>
      </c>
      <c r="BC1529" s="55">
        <f t="shared" si="341"/>
        <v>17069.168820241091</v>
      </c>
      <c r="BD1529" s="55">
        <f t="shared" si="342"/>
        <v>130.64902915919848</v>
      </c>
      <c r="BE1529" s="55">
        <f t="shared" si="343"/>
        <v>128.03369588357614</v>
      </c>
      <c r="BF1529" s="56">
        <f t="shared" si="344"/>
        <v>3.5297353788685184</v>
      </c>
      <c r="BG1529" s="56">
        <f t="shared" si="347"/>
        <v>4.6487460131778482E-3</v>
      </c>
      <c r="BH1529" s="56">
        <f t="shared" si="348"/>
        <v>6.8181713187465798E-2</v>
      </c>
      <c r="BI1529" s="56">
        <f t="shared" si="345"/>
        <v>6.6816851125836296E-2</v>
      </c>
      <c r="BJ1529" s="57">
        <f t="shared" si="349"/>
        <v>0.55432016337891921</v>
      </c>
      <c r="BK1529" s="57">
        <f t="shared" si="350"/>
        <v>1.0707459437269754E-2</v>
      </c>
      <c r="BL1529" s="58">
        <f t="shared" si="351"/>
        <v>978.05009689657879</v>
      </c>
      <c r="BM1529" s="58">
        <f t="shared" si="351"/>
        <v>18.89238824779892</v>
      </c>
    </row>
    <row r="1530" spans="47:65" x14ac:dyDescent="0.2">
      <c r="AU1530" s="2">
        <v>-107</v>
      </c>
      <c r="AV1530" s="53">
        <v>1528</v>
      </c>
      <c r="AW1530" s="4" t="s">
        <v>1837</v>
      </c>
      <c r="AX1530" t="s">
        <v>316</v>
      </c>
      <c r="AY1530" s="4">
        <v>6548</v>
      </c>
      <c r="AZ1530" s="9">
        <v>28.124584605131229</v>
      </c>
      <c r="BA1530" s="7">
        <f t="shared" si="346"/>
        <v>7.2084502853782511E-4</v>
      </c>
      <c r="BB1530" s="54">
        <f t="shared" si="340"/>
        <v>6894.8386339914041</v>
      </c>
      <c r="BC1530" s="55">
        <f t="shared" si="341"/>
        <v>17409.165138619734</v>
      </c>
      <c r="BD1530" s="55">
        <f t="shared" si="342"/>
        <v>131.94379537750055</v>
      </c>
      <c r="BE1530" s="55">
        <f t="shared" si="343"/>
        <v>129.30254346171174</v>
      </c>
      <c r="BF1530" s="56">
        <f t="shared" si="344"/>
        <v>3.5982043895924911</v>
      </c>
      <c r="BG1530" s="56">
        <f t="shared" si="347"/>
        <v>4.741343171610353E-3</v>
      </c>
      <c r="BH1530" s="56">
        <f t="shared" si="348"/>
        <v>6.8857411885797401E-2</v>
      </c>
      <c r="BI1530" s="56">
        <f t="shared" si="345"/>
        <v>6.7479023682401565E-2</v>
      </c>
      <c r="BJ1530" s="57">
        <f t="shared" si="349"/>
        <v>7.4969026588311782E-2</v>
      </c>
      <c r="BK1530" s="57">
        <f t="shared" si="350"/>
        <v>1.4346525609828726E-3</v>
      </c>
      <c r="BL1530" s="58">
        <f t="shared" si="351"/>
        <v>132.27637845967814</v>
      </c>
      <c r="BM1530" s="58">
        <f t="shared" si="351"/>
        <v>2.5313206500176642</v>
      </c>
    </row>
    <row r="1531" spans="47:65" x14ac:dyDescent="0.2">
      <c r="AU1531" s="2">
        <v>-106</v>
      </c>
      <c r="AV1531" s="53">
        <v>1529</v>
      </c>
      <c r="AW1531" s="4" t="s">
        <v>2298</v>
      </c>
      <c r="AX1531" t="s">
        <v>652</v>
      </c>
      <c r="AY1531" s="4">
        <v>45703</v>
      </c>
      <c r="AZ1531" s="9">
        <v>28.127769037571031</v>
      </c>
      <c r="BA1531" s="7">
        <f t="shared" si="346"/>
        <v>7.2092664689148882E-4</v>
      </c>
      <c r="BB1531" s="54">
        <f t="shared" si="340"/>
        <v>6909.1441452663848</v>
      </c>
      <c r="BC1531" s="55">
        <f t="shared" si="341"/>
        <v>17446.106238761491</v>
      </c>
      <c r="BD1531" s="55">
        <f t="shared" si="342"/>
        <v>132.08370921033938</v>
      </c>
      <c r="BE1531" s="55">
        <f t="shared" si="343"/>
        <v>129.43965649836326</v>
      </c>
      <c r="BF1531" s="56">
        <f t="shared" si="344"/>
        <v>3.6056699962872156</v>
      </c>
      <c r="BG1531" s="56">
        <f t="shared" si="347"/>
        <v>4.7514039890889396E-3</v>
      </c>
      <c r="BH1531" s="56">
        <f t="shared" si="348"/>
        <v>6.8930428615299785E-2</v>
      </c>
      <c r="BI1531" s="56">
        <f t="shared" si="345"/>
        <v>6.7550578762448354E-2</v>
      </c>
      <c r="BJ1531" s="57">
        <f t="shared" si="349"/>
        <v>0.5243461176980605</v>
      </c>
      <c r="BK1531" s="57">
        <f t="shared" si="350"/>
        <v>1.0024046203039342E-2</v>
      </c>
      <c r="BL1531" s="58">
        <f t="shared" si="351"/>
        <v>925.16347970436482</v>
      </c>
      <c r="BM1531" s="58">
        <f t="shared" si="351"/>
        <v>17.686564566616049</v>
      </c>
    </row>
    <row r="1532" spans="47:65" x14ac:dyDescent="0.2">
      <c r="AU1532" s="2">
        <v>-105</v>
      </c>
      <c r="AV1532" s="53">
        <v>1530</v>
      </c>
      <c r="AW1532" s="4" t="s">
        <v>3126</v>
      </c>
      <c r="AX1532" t="s">
        <v>1265</v>
      </c>
      <c r="AY1532" s="4">
        <v>15705</v>
      </c>
      <c r="AZ1532" s="9">
        <v>28.142515845265596</v>
      </c>
      <c r="BA1532" s="7">
        <f t="shared" si="346"/>
        <v>7.2130461382549605E-4</v>
      </c>
      <c r="BB1532" s="54">
        <f t="shared" si="340"/>
        <v>6975.7796180210444</v>
      </c>
      <c r="BC1532" s="55">
        <f t="shared" si="341"/>
        <v>17617.838007960618</v>
      </c>
      <c r="BD1532" s="55">
        <f t="shared" si="342"/>
        <v>132.73220411023323</v>
      </c>
      <c r="BE1532" s="55">
        <f t="shared" si="343"/>
        <v>130.07516982233821</v>
      </c>
      <c r="BF1532" s="56">
        <f t="shared" si="344"/>
        <v>3.6404450016639003</v>
      </c>
      <c r="BG1532" s="56">
        <f t="shared" si="347"/>
        <v>4.7981747127135337E-3</v>
      </c>
      <c r="BH1532" s="56">
        <f t="shared" si="348"/>
        <v>6.9268858173883119E-2</v>
      </c>
      <c r="BI1532" s="56">
        <f t="shared" si="345"/>
        <v>6.7882233635511907E-2</v>
      </c>
      <c r="BJ1532" s="57">
        <f t="shared" si="349"/>
        <v>0.18191972346614771</v>
      </c>
      <c r="BK1532" s="57">
        <f t="shared" si="350"/>
        <v>3.4614920752954774E-3</v>
      </c>
      <c r="BL1532" s="58">
        <f t="shared" si="351"/>
        <v>320.9816544988974</v>
      </c>
      <c r="BM1532" s="58">
        <f t="shared" si="351"/>
        <v>6.1075040803363851</v>
      </c>
    </row>
    <row r="1533" spans="47:65" x14ac:dyDescent="0.2">
      <c r="AU1533" s="2">
        <v>-104</v>
      </c>
      <c r="AV1533" s="53">
        <v>1531</v>
      </c>
      <c r="AW1533" s="4" t="s">
        <v>2499</v>
      </c>
      <c r="AX1533" t="s">
        <v>810</v>
      </c>
      <c r="AY1533" s="4">
        <v>8606</v>
      </c>
      <c r="AZ1533" s="9">
        <v>28.166258287343993</v>
      </c>
      <c r="BA1533" s="7">
        <f t="shared" si="346"/>
        <v>7.2191314268300096E-4</v>
      </c>
      <c r="BB1533" s="54">
        <f t="shared" si="340"/>
        <v>7084.4161425619895</v>
      </c>
      <c r="BC1533" s="55">
        <f t="shared" si="341"/>
        <v>17896.605150002055</v>
      </c>
      <c r="BD1533" s="55">
        <f t="shared" si="342"/>
        <v>133.77819385087412</v>
      </c>
      <c r="BE1533" s="55">
        <f t="shared" si="343"/>
        <v>131.10022093226547</v>
      </c>
      <c r="BF1533" s="56">
        <f t="shared" si="344"/>
        <v>3.6971390651835527</v>
      </c>
      <c r="BG1533" s="56">
        <f t="shared" si="347"/>
        <v>4.87409625604222E-3</v>
      </c>
      <c r="BH1533" s="56">
        <f t="shared" si="348"/>
        <v>6.9814728073968893E-2</v>
      </c>
      <c r="BI1533" s="56">
        <f t="shared" si="345"/>
        <v>6.8417176307718208E-2</v>
      </c>
      <c r="BJ1533" s="57">
        <f t="shared" si="349"/>
        <v>0.10124055107261593</v>
      </c>
      <c r="BK1533" s="57">
        <f t="shared" si="350"/>
        <v>1.9117705389430706E-3</v>
      </c>
      <c r="BL1533" s="58">
        <f t="shared" si="351"/>
        <v>178.63021648510485</v>
      </c>
      <c r="BM1533" s="58">
        <f t="shared" si="351"/>
        <v>3.3731541523939517</v>
      </c>
    </row>
    <row r="1534" spans="47:65" x14ac:dyDescent="0.2">
      <c r="AU1534" s="2">
        <v>-103</v>
      </c>
      <c r="AV1534" s="53">
        <v>1532</v>
      </c>
      <c r="AW1534" s="4" t="s">
        <v>2457</v>
      </c>
      <c r="AX1534" t="s">
        <v>776</v>
      </c>
      <c r="AY1534" s="4">
        <v>25695</v>
      </c>
      <c r="AZ1534" s="9">
        <v>28.188877831715555</v>
      </c>
      <c r="BA1534" s="7">
        <f t="shared" si="346"/>
        <v>7.2249289119615966E-4</v>
      </c>
      <c r="BB1534" s="54">
        <f t="shared" si="340"/>
        <v>7189.4881628705953</v>
      </c>
      <c r="BC1534" s="55">
        <f t="shared" si="341"/>
        <v>18164.791065739584</v>
      </c>
      <c r="BD1534" s="55">
        <f t="shared" si="342"/>
        <v>134.77681946736828</v>
      </c>
      <c r="BE1534" s="55">
        <f t="shared" si="343"/>
        <v>132.0788560534493</v>
      </c>
      <c r="BF1534" s="56">
        <f t="shared" si="344"/>
        <v>3.7519729234893768</v>
      </c>
      <c r="BG1534" s="56">
        <f t="shared" si="347"/>
        <v>4.9471360284940435E-3</v>
      </c>
      <c r="BH1534" s="56">
        <f t="shared" si="348"/>
        <v>7.0335880093264233E-2</v>
      </c>
      <c r="BI1534" s="56">
        <f t="shared" si="345"/>
        <v>6.8927895901862796E-2</v>
      </c>
      <c r="BJ1534" s="57">
        <f t="shared" si="349"/>
        <v>0.3067578531955944</v>
      </c>
      <c r="BK1534" s="57">
        <f t="shared" si="350"/>
        <v>5.750596824661113E-3</v>
      </c>
      <c r="BL1534" s="58">
        <f t="shared" si="351"/>
        <v>541.24776232728959</v>
      </c>
      <c r="BM1534" s="58">
        <f t="shared" si="351"/>
        <v>10.146431887465516</v>
      </c>
    </row>
    <row r="1535" spans="47:65" x14ac:dyDescent="0.2">
      <c r="AU1535" s="2">
        <v>-102</v>
      </c>
      <c r="AV1535" s="53">
        <v>1533</v>
      </c>
      <c r="AW1535" s="4" t="s">
        <v>1914</v>
      </c>
      <c r="AX1535" t="s">
        <v>374</v>
      </c>
      <c r="AY1535" s="4">
        <v>42052</v>
      </c>
      <c r="AZ1535" s="9">
        <v>28.235881859774636</v>
      </c>
      <c r="BA1535" s="7">
        <f t="shared" si="346"/>
        <v>7.2369762436549727E-4</v>
      </c>
      <c r="BB1535" s="54">
        <f t="shared" si="340"/>
        <v>7412.8415084302769</v>
      </c>
      <c r="BC1535" s="55">
        <f t="shared" si="341"/>
        <v>18730.15405582749</v>
      </c>
      <c r="BD1535" s="55">
        <f t="shared" si="342"/>
        <v>136.85815304843001</v>
      </c>
      <c r="BE1535" s="55">
        <f t="shared" si="343"/>
        <v>134.11852548279668</v>
      </c>
      <c r="BF1535" s="56">
        <f t="shared" si="344"/>
        <v>3.8685341703996263</v>
      </c>
      <c r="BG1535" s="56">
        <f t="shared" si="347"/>
        <v>5.1011112439160898E-3</v>
      </c>
      <c r="BH1535" s="56">
        <f t="shared" si="348"/>
        <v>7.1422064125283374E-2</v>
      </c>
      <c r="BI1535" s="56">
        <f t="shared" si="345"/>
        <v>6.9992336693532817E-2</v>
      </c>
      <c r="BJ1535" s="57">
        <f t="shared" si="349"/>
        <v>0.51763122362152325</v>
      </c>
      <c r="BK1535" s="57">
        <f t="shared" si="350"/>
        <v>9.5566663801566545E-3</v>
      </c>
      <c r="BL1535" s="58">
        <f t="shared" si="351"/>
        <v>913.31562852360582</v>
      </c>
      <c r="BM1535" s="58">
        <f t="shared" si="351"/>
        <v>16.86191319858446</v>
      </c>
    </row>
    <row r="1536" spans="47:65" x14ac:dyDescent="0.2">
      <c r="AU1536" s="2">
        <v>-101</v>
      </c>
      <c r="AV1536" s="53">
        <v>1534</v>
      </c>
      <c r="AW1536" s="4" t="s">
        <v>2025</v>
      </c>
      <c r="AX1536" t="s">
        <v>450</v>
      </c>
      <c r="AY1536" s="4">
        <v>154075</v>
      </c>
      <c r="AZ1536" s="9">
        <v>28.240999447427573</v>
      </c>
      <c r="BA1536" s="7">
        <f t="shared" si="346"/>
        <v>7.2382879030695089E-4</v>
      </c>
      <c r="BB1536" s="54">
        <f t="shared" si="340"/>
        <v>7437.5743047565138</v>
      </c>
      <c r="BC1536" s="55">
        <f t="shared" si="341"/>
        <v>18792.361579551773</v>
      </c>
      <c r="BD1536" s="55">
        <f t="shared" si="342"/>
        <v>137.08523472479365</v>
      </c>
      <c r="BE1536" s="55">
        <f t="shared" si="343"/>
        <v>134.34106143640753</v>
      </c>
      <c r="BF1536" s="56">
        <f t="shared" si="344"/>
        <v>3.8814414567093096</v>
      </c>
      <c r="BG1536" s="56">
        <f t="shared" si="347"/>
        <v>5.1180533095170708E-3</v>
      </c>
      <c r="BH1536" s="56">
        <f t="shared" si="348"/>
        <v>7.1540571073462025E-2</v>
      </c>
      <c r="BI1536" s="56">
        <f t="shared" si="345"/>
        <v>7.0108471368706765E-2</v>
      </c>
      <c r="BJ1536" s="57">
        <f t="shared" si="349"/>
        <v>1.9028852015638038</v>
      </c>
      <c r="BK1536" s="57">
        <f t="shared" si="350"/>
        <v>3.5072922141283186E-2</v>
      </c>
      <c r="BL1536" s="58">
        <f t="shared" si="351"/>
        <v>3357.476741289549</v>
      </c>
      <c r="BM1536" s="58">
        <f t="shared" si="351"/>
        <v>61.883144732874293</v>
      </c>
    </row>
    <row r="1537" spans="47:65" x14ac:dyDescent="0.2">
      <c r="AU1537" s="2">
        <v>-100</v>
      </c>
      <c r="AV1537" s="53">
        <v>1535</v>
      </c>
      <c r="AW1537" s="4" t="s">
        <v>2881</v>
      </c>
      <c r="AX1537" t="s">
        <v>1099</v>
      </c>
      <c r="AY1537" s="4">
        <v>13511</v>
      </c>
      <c r="AZ1537" s="9">
        <v>28.24970461047835</v>
      </c>
      <c r="BA1537" s="7">
        <f t="shared" si="346"/>
        <v>7.2405190732701948E-4</v>
      </c>
      <c r="BB1537" s="54">
        <f t="shared" si="340"/>
        <v>7479.8352339304711</v>
      </c>
      <c r="BC1537" s="55">
        <f t="shared" si="341"/>
        <v>18898.47152529169</v>
      </c>
      <c r="BD1537" s="55">
        <f t="shared" si="342"/>
        <v>137.4717117275103</v>
      </c>
      <c r="BE1537" s="55">
        <f t="shared" si="343"/>
        <v>134.71980193949634</v>
      </c>
      <c r="BF1537" s="56">
        <f t="shared" si="344"/>
        <v>3.903496136874312</v>
      </c>
      <c r="BG1537" s="56">
        <f t="shared" si="347"/>
        <v>5.1469520914321611E-3</v>
      </c>
      <c r="BH1537" s="56">
        <f t="shared" si="348"/>
        <v>7.1742261543891697E-2</v>
      </c>
      <c r="BI1537" s="56">
        <f t="shared" si="345"/>
        <v>7.0306124397740311E-2</v>
      </c>
      <c r="BJ1537" s="57">
        <f t="shared" si="349"/>
        <v>0.16781416642672092</v>
      </c>
      <c r="BK1537" s="57">
        <f t="shared" si="350"/>
        <v>3.0842525255312257E-3</v>
      </c>
      <c r="BL1537" s="58">
        <f t="shared" si="351"/>
        <v>296.09361624840881</v>
      </c>
      <c r="BM1537" s="58">
        <f t="shared" si="351"/>
        <v>5.4418974461646874</v>
      </c>
    </row>
    <row r="1538" spans="47:65" x14ac:dyDescent="0.2">
      <c r="AU1538" s="2">
        <v>-99</v>
      </c>
      <c r="AV1538" s="53">
        <v>1536</v>
      </c>
      <c r="AW1538" s="4" t="s">
        <v>1859</v>
      </c>
      <c r="AX1538" t="s">
        <v>334</v>
      </c>
      <c r="AY1538" s="4">
        <v>59963</v>
      </c>
      <c r="AZ1538" s="9">
        <v>28.256784064007213</v>
      </c>
      <c r="BA1538" s="7">
        <f t="shared" si="346"/>
        <v>7.2423335672272418E-4</v>
      </c>
      <c r="BB1538" s="54">
        <f t="shared" si="340"/>
        <v>7514.3808384557042</v>
      </c>
      <c r="BC1538" s="55">
        <f t="shared" si="341"/>
        <v>18985.036928326172</v>
      </c>
      <c r="BD1538" s="55">
        <f t="shared" si="342"/>
        <v>137.78620006490553</v>
      </c>
      <c r="BE1538" s="55">
        <f t="shared" si="343"/>
        <v>135.02799484692261</v>
      </c>
      <c r="BF1538" s="56">
        <f t="shared" si="344"/>
        <v>3.921524426213963</v>
      </c>
      <c r="BG1538" s="56">
        <f t="shared" si="347"/>
        <v>5.1705279653645447E-3</v>
      </c>
      <c r="BH1538" s="56">
        <f t="shared" si="348"/>
        <v>7.1906383342263458E-2</v>
      </c>
      <c r="BI1538" s="56">
        <f t="shared" si="345"/>
        <v>7.0466960804683607E-2</v>
      </c>
      <c r="BJ1538" s="57">
        <f t="shared" si="349"/>
        <v>0.74821368875387184</v>
      </c>
      <c r="BK1538" s="57">
        <f t="shared" si="350"/>
        <v>1.3719496419765368E-2</v>
      </c>
      <c r="BL1538" s="58">
        <f t="shared" si="351"/>
        <v>1320.1584916636664</v>
      </c>
      <c r="BM1538" s="58">
        <f t="shared" si="351"/>
        <v>24.20686759963905</v>
      </c>
    </row>
    <row r="1539" spans="47:65" x14ac:dyDescent="0.2">
      <c r="AU1539" s="2">
        <v>-98</v>
      </c>
      <c r="AV1539" s="53">
        <v>1537</v>
      </c>
      <c r="AW1539" s="4" t="s">
        <v>1835</v>
      </c>
      <c r="AX1539" t="s">
        <v>314</v>
      </c>
      <c r="AY1539" s="4">
        <v>12896</v>
      </c>
      <c r="AZ1539" s="9">
        <v>28.259959267455201</v>
      </c>
      <c r="BA1539" s="7">
        <f t="shared" si="346"/>
        <v>7.2431473853341443E-4</v>
      </c>
      <c r="BB1539" s="54">
        <f t="shared" ref="BB1539:BB1602" si="352">IFERROR(IF(MATCH(AX1539,$S$4:$S$20,0),VLOOKUP(AX1539,$S$4:$AT$20,20,FALSE)),AVERAGE((2^(($AE$23*AZ1539)+$AE$24)),(2^(($AF$23*AZ1539)+$AF$24)),(2^(($AG$23*AZ1539)+$AG$24)),(2^(($AH$23*AZ1539)+$AH$24))))</f>
        <v>7529.9266640047808</v>
      </c>
      <c r="BC1539" s="55">
        <f t="shared" ref="BC1539:BC1602" si="353">IFERROR(IF(MATCH(AX1539,$S$4:$S$20,0),VLOOKUP(AX1539,$S$4:$AT$20,21,FALSE)),_xlfn.VAR.S((2^(($AE$23*AZ1539)+$AE$24)),(2^(($AF$23*AZ1539)+$AF$24)),(2^(($AG$23*AZ1539)+$AG$24)),(2^(($AH$23*AZ1539)+$AH$24))))</f>
        <v>19023.941389283544</v>
      </c>
      <c r="BD1539" s="55">
        <f t="shared" ref="BD1539:BD1602" si="354">SQRT(BC1539)</f>
        <v>137.92730472710451</v>
      </c>
      <c r="BE1539" s="55">
        <f t="shared" ref="BE1539:BE1602" si="355">_xlfn.CONFIDENCE.NORM(0.05,BD1539,4)</f>
        <v>135.16627487490297</v>
      </c>
      <c r="BF1539" s="56">
        <f t="shared" ref="BF1539:BF1602" si="356">IFERROR(IF(MATCH(AX1539,$S$4:$S$20,0),VLOOKUP(AX1539,$S$4:$AT$20,24,FALSE)),AVERAGE((2^(($AI$23*AZ1539)+$AI$24)),(2^(($AJ$23*AZ1539)+$AJ$24)),(2^(($AK$23*AZ1539)+$AK$24)),(2^(($AL$23*AZ1539)+$AL$24))))</f>
        <v>3.9296373148107717</v>
      </c>
      <c r="BG1539" s="56">
        <f t="shared" si="347"/>
        <v>5.1811234993171026E-3</v>
      </c>
      <c r="BH1539" s="56">
        <f t="shared" si="348"/>
        <v>7.1980021529012492E-2</v>
      </c>
      <c r="BI1539" s="56">
        <f t="shared" ref="BI1539:BI1602" si="357">_xlfn.CONFIDENCE.NORM(0.05,BH1539,4)</f>
        <v>7.0539124901641076E-2</v>
      </c>
      <c r="BJ1539" s="57">
        <f t="shared" si="349"/>
        <v>0.16124819642045846</v>
      </c>
      <c r="BK1539" s="57">
        <f t="shared" si="350"/>
        <v>2.9536182909587279E-3</v>
      </c>
      <c r="BL1539" s="58">
        <f t="shared" si="351"/>
        <v>284.50852873923367</v>
      </c>
      <c r="BM1539" s="58">
        <f t="shared" si="351"/>
        <v>5.2114046114771941</v>
      </c>
    </row>
    <row r="1540" spans="47:65" x14ac:dyDescent="0.2">
      <c r="AU1540" s="2">
        <v>-97</v>
      </c>
      <c r="AV1540" s="53">
        <v>1538</v>
      </c>
      <c r="AW1540" s="4" t="s">
        <v>2157</v>
      </c>
      <c r="AX1540" t="s">
        <v>555</v>
      </c>
      <c r="AY1540" s="4">
        <v>36504</v>
      </c>
      <c r="AZ1540" s="9">
        <v>28.307433403237372</v>
      </c>
      <c r="BA1540" s="7">
        <f t="shared" ref="BA1540:BA1603" si="358">AZ1540/$AZ$1637</f>
        <v>7.2553152076302522E-4</v>
      </c>
      <c r="BB1540" s="54">
        <f t="shared" si="352"/>
        <v>7766.2331844888031</v>
      </c>
      <c r="BC1540" s="55">
        <f t="shared" si="353"/>
        <v>19611.426962856054</v>
      </c>
      <c r="BD1540" s="55">
        <f t="shared" si="354"/>
        <v>140.04080463513503</v>
      </c>
      <c r="BE1540" s="55">
        <f t="shared" si="355"/>
        <v>137.23746672543723</v>
      </c>
      <c r="BF1540" s="56">
        <f t="shared" si="356"/>
        <v>4.0529584256346096</v>
      </c>
      <c r="BG1540" s="56">
        <f t="shared" ref="BG1540:BG1603" si="359">IFERROR(IF(MATCH(AX1540,$S$4:$S$20,0),VLOOKUP(AX1540,$S$4:$AT$20,25,FALSE)),_xlfn.VAR.S((2^(($AI$23*AZ1540)+$AI$24)),(2^(($AJ$23*AZ1540)+$AJ$24)),(2^(($AK$23*AZ1540)+$AK$24)),(2^(($AL$23*AZ1540)+$AL$24))))</f>
        <v>5.3411237457676201E-3</v>
      </c>
      <c r="BH1540" s="56">
        <f t="shared" ref="BH1540:BH1603" si="360">SQRT(BG1540)</f>
        <v>7.3082992178533715E-2</v>
      </c>
      <c r="BI1540" s="56">
        <f t="shared" si="357"/>
        <v>7.1620016276174259E-2</v>
      </c>
      <c r="BJ1540" s="57">
        <f t="shared" ref="BJ1540:BJ1603" si="361">(((BF1540*0.000001)*AY1540)*1000000000000000)*$S$24</f>
        <v>0.47076045808590078</v>
      </c>
      <c r="BK1540" s="57">
        <f t="shared" ref="BK1540:BK1603" si="362">((((BH1540*0.000001)*AY1540)*1000000000000000)*$S$24)</f>
        <v>8.4887579054965991E-3</v>
      </c>
      <c r="BL1540" s="58">
        <f t="shared" ref="BL1540:BM1603" si="363">((BJ1540/$S$26)*0.000000001)/0.45</f>
        <v>830.61620713814193</v>
      </c>
      <c r="BM1540" s="58">
        <f t="shared" si="363"/>
        <v>14.977680843132559</v>
      </c>
    </row>
    <row r="1541" spans="47:65" x14ac:dyDescent="0.2">
      <c r="AU1541" s="2">
        <v>-96</v>
      </c>
      <c r="AV1541" s="53">
        <v>1539</v>
      </c>
      <c r="AW1541" s="4" t="s">
        <v>2696</v>
      </c>
      <c r="AX1541" t="s">
        <v>960</v>
      </c>
      <c r="AY1541" s="4">
        <v>13968</v>
      </c>
      <c r="AZ1541" s="9">
        <v>28.327245503464304</v>
      </c>
      <c r="BA1541" s="7">
        <f t="shared" si="358"/>
        <v>7.2603931329237234E-4</v>
      </c>
      <c r="BB1541" s="54">
        <f t="shared" si="352"/>
        <v>7867.0297410923558</v>
      </c>
      <c r="BC1541" s="55">
        <f t="shared" si="353"/>
        <v>19859.794140120943</v>
      </c>
      <c r="BD1541" s="55">
        <f t="shared" si="354"/>
        <v>140.92478185230922</v>
      </c>
      <c r="BE1541" s="55">
        <f t="shared" si="355"/>
        <v>138.10374847984491</v>
      </c>
      <c r="BF1541" s="56">
        <f t="shared" si="356"/>
        <v>4.1055610508271183</v>
      </c>
      <c r="BG1541" s="56">
        <f t="shared" si="359"/>
        <v>5.4087659336962057E-3</v>
      </c>
      <c r="BH1541" s="56">
        <f t="shared" si="360"/>
        <v>7.3544312721625218E-2</v>
      </c>
      <c r="BI1541" s="56">
        <f t="shared" si="357"/>
        <v>7.2072102101068153E-2</v>
      </c>
      <c r="BJ1541" s="57">
        <f t="shared" si="361"/>
        <v>0.18247110964854546</v>
      </c>
      <c r="BK1541" s="57">
        <f t="shared" si="362"/>
        <v>3.268667104085814E-3</v>
      </c>
      <c r="BL1541" s="58">
        <f t="shared" si="363"/>
        <v>321.95452783952106</v>
      </c>
      <c r="BM1541" s="58">
        <f t="shared" si="363"/>
        <v>5.7672810571901501</v>
      </c>
    </row>
    <row r="1542" spans="47:65" x14ac:dyDescent="0.2">
      <c r="AU1542" s="2">
        <v>-95</v>
      </c>
      <c r="AV1542" s="53">
        <v>1540</v>
      </c>
      <c r="AW1542" s="4" t="s">
        <v>2018</v>
      </c>
      <c r="AX1542" t="s">
        <v>443</v>
      </c>
      <c r="AY1542" s="4">
        <v>76515</v>
      </c>
      <c r="AZ1542" s="9">
        <v>28.358378425555191</v>
      </c>
      <c r="BA1542" s="7">
        <f t="shared" si="358"/>
        <v>7.2683726328623562E-4</v>
      </c>
      <c r="BB1542" s="54">
        <f t="shared" si="352"/>
        <v>8028.07224157977</v>
      </c>
      <c r="BC1542" s="55">
        <f t="shared" si="353"/>
        <v>20253.84283610111</v>
      </c>
      <c r="BD1542" s="55">
        <f t="shared" si="354"/>
        <v>142.31599641678059</v>
      </c>
      <c r="BE1542" s="55">
        <f t="shared" si="355"/>
        <v>139.46711370041064</v>
      </c>
      <c r="BF1542" s="56">
        <f t="shared" si="356"/>
        <v>4.1896041826428583</v>
      </c>
      <c r="BG1542" s="56">
        <f t="shared" si="359"/>
        <v>5.5160841238036376E-3</v>
      </c>
      <c r="BH1542" s="56">
        <f t="shared" si="360"/>
        <v>7.4270344847749553E-2</v>
      </c>
      <c r="BI1542" s="56">
        <f t="shared" si="357"/>
        <v>7.2783600510479524E-2</v>
      </c>
      <c r="BJ1542" s="57">
        <f t="shared" si="361"/>
        <v>1.0200159178684034</v>
      </c>
      <c r="BK1542" s="57">
        <f t="shared" si="362"/>
        <v>1.8082122001914655E-2</v>
      </c>
      <c r="BL1542" s="58">
        <f t="shared" si="363"/>
        <v>1799.7300715638814</v>
      </c>
      <c r="BM1542" s="58">
        <f t="shared" si="363"/>
        <v>31.904343995473997</v>
      </c>
    </row>
    <row r="1543" spans="47:65" x14ac:dyDescent="0.2">
      <c r="AU1543" s="2">
        <v>-94</v>
      </c>
      <c r="AV1543" s="53">
        <v>1541</v>
      </c>
      <c r="AW1543" s="4" t="s">
        <v>3115</v>
      </c>
      <c r="AX1543" t="s">
        <v>1256</v>
      </c>
      <c r="AY1543" s="4">
        <v>10229</v>
      </c>
      <c r="AZ1543" s="9">
        <v>28.37965733555329</v>
      </c>
      <c r="BA1543" s="7">
        <f t="shared" si="358"/>
        <v>7.2738265077195992E-4</v>
      </c>
      <c r="BB1543" s="54">
        <f t="shared" si="352"/>
        <v>8140.0352084233537</v>
      </c>
      <c r="BC1543" s="55">
        <f t="shared" si="353"/>
        <v>20525.793584769082</v>
      </c>
      <c r="BD1543" s="55">
        <f t="shared" si="354"/>
        <v>143.26825742211386</v>
      </c>
      <c r="BE1543" s="55">
        <f t="shared" si="355"/>
        <v>140.40031233757819</v>
      </c>
      <c r="BF1543" s="56">
        <f t="shared" si="356"/>
        <v>4.2480342141714047</v>
      </c>
      <c r="BG1543" s="56">
        <f t="shared" si="359"/>
        <v>5.590149239214858E-3</v>
      </c>
      <c r="BH1543" s="56">
        <f t="shared" si="360"/>
        <v>7.4767300601364883E-2</v>
      </c>
      <c r="BI1543" s="56">
        <f t="shared" si="357"/>
        <v>7.3270608199977535E-2</v>
      </c>
      <c r="BJ1543" s="57">
        <f t="shared" si="361"/>
        <v>0.13826382164123829</v>
      </c>
      <c r="BK1543" s="57">
        <f t="shared" si="362"/>
        <v>2.4335050505143725E-3</v>
      </c>
      <c r="BL1543" s="58">
        <f t="shared" si="363"/>
        <v>243.95458272562482</v>
      </c>
      <c r="BM1543" s="58">
        <f t="shared" si="363"/>
        <v>4.2937096784388968</v>
      </c>
    </row>
    <row r="1544" spans="47:65" x14ac:dyDescent="0.2">
      <c r="AU1544" s="2">
        <v>-93</v>
      </c>
      <c r="AV1544" s="53">
        <v>1542</v>
      </c>
      <c r="AW1544" s="4" t="s">
        <v>2355</v>
      </c>
      <c r="AX1544" t="s">
        <v>702</v>
      </c>
      <c r="AY1544" s="4">
        <v>46260</v>
      </c>
      <c r="AZ1544" s="9">
        <v>28.403839703645453</v>
      </c>
      <c r="BA1544" s="7">
        <f t="shared" si="358"/>
        <v>7.2800245511973069E-4</v>
      </c>
      <c r="BB1544" s="54">
        <f t="shared" si="352"/>
        <v>8269.1722328068063</v>
      </c>
      <c r="BC1544" s="55">
        <f t="shared" si="353"/>
        <v>20837.414987243097</v>
      </c>
      <c r="BD1544" s="55">
        <f t="shared" si="354"/>
        <v>144.35170586883655</v>
      </c>
      <c r="BE1544" s="55">
        <f t="shared" si="355"/>
        <v>141.46207230491936</v>
      </c>
      <c r="BF1544" s="56">
        <f t="shared" si="356"/>
        <v>4.3154268585336224</v>
      </c>
      <c r="BG1544" s="56">
        <f t="shared" si="359"/>
        <v>5.6750185593116261E-3</v>
      </c>
      <c r="BH1544" s="56">
        <f t="shared" si="360"/>
        <v>7.5332719048973845E-2</v>
      </c>
      <c r="BI1544" s="56">
        <f t="shared" si="357"/>
        <v>7.3824708096731584E-2</v>
      </c>
      <c r="BJ1544" s="57">
        <f t="shared" si="361"/>
        <v>0.63520917260792498</v>
      </c>
      <c r="BK1544" s="57">
        <f t="shared" si="362"/>
        <v>1.1088598116957548E-2</v>
      </c>
      <c r="BL1544" s="58">
        <f t="shared" si="363"/>
        <v>1120.7717739000857</v>
      </c>
      <c r="BM1544" s="58">
        <f t="shared" si="363"/>
        <v>19.564874560271125</v>
      </c>
    </row>
    <row r="1545" spans="47:65" x14ac:dyDescent="0.2">
      <c r="AU1545" s="2">
        <v>-92</v>
      </c>
      <c r="AV1545" s="53">
        <v>1543</v>
      </c>
      <c r="AW1545" s="4" t="s">
        <v>2891</v>
      </c>
      <c r="AX1545" t="s">
        <v>1107</v>
      </c>
      <c r="AY1545" s="4">
        <v>19876</v>
      </c>
      <c r="AZ1545" s="9">
        <v>28.407302000290574</v>
      </c>
      <c r="BA1545" s="7">
        <f t="shared" si="358"/>
        <v>7.2809119525079399E-4</v>
      </c>
      <c r="BB1545" s="54">
        <f t="shared" si="352"/>
        <v>8287.8282694074514</v>
      </c>
      <c r="BC1545" s="55">
        <f t="shared" si="353"/>
        <v>20882.253087443616</v>
      </c>
      <c r="BD1545" s="55">
        <f t="shared" si="354"/>
        <v>144.50693093219999</v>
      </c>
      <c r="BE1545" s="55">
        <f t="shared" si="355"/>
        <v>141.61419007176451</v>
      </c>
      <c r="BF1545" s="56">
        <f t="shared" si="356"/>
        <v>4.3251628706946477</v>
      </c>
      <c r="BG1545" s="56">
        <f t="shared" si="359"/>
        <v>5.6872301052704223E-3</v>
      </c>
      <c r="BH1545" s="56">
        <f t="shared" si="360"/>
        <v>7.5413726239129855E-2</v>
      </c>
      <c r="BI1545" s="56">
        <f t="shared" si="357"/>
        <v>7.3904093684328875E-2</v>
      </c>
      <c r="BJ1545" s="57">
        <f t="shared" si="361"/>
        <v>0.2735387300853917</v>
      </c>
      <c r="BK1545" s="57">
        <f t="shared" si="362"/>
        <v>4.7694330879951095E-3</v>
      </c>
      <c r="BL1545" s="58">
        <f t="shared" si="363"/>
        <v>482.63548602345287</v>
      </c>
      <c r="BM1545" s="58">
        <f t="shared" si="363"/>
        <v>8.415253137141729</v>
      </c>
    </row>
    <row r="1546" spans="47:65" x14ac:dyDescent="0.2">
      <c r="AU1546" s="2">
        <v>-91</v>
      </c>
      <c r="AV1546" s="53">
        <v>1544</v>
      </c>
      <c r="AW1546" s="4" t="s">
        <v>1673</v>
      </c>
      <c r="AX1546" t="s">
        <v>216</v>
      </c>
      <c r="AY1546" s="4">
        <v>34897</v>
      </c>
      <c r="AZ1546" s="9">
        <v>29.156189327608768</v>
      </c>
      <c r="BA1546" s="7">
        <f t="shared" si="358"/>
        <v>7.4728549498575994E-4</v>
      </c>
      <c r="BB1546" s="54">
        <f t="shared" si="352"/>
        <v>2.2174447922833904</v>
      </c>
      <c r="BC1546" s="55">
        <f t="shared" si="353"/>
        <v>8588.3531909479516</v>
      </c>
      <c r="BD1546" s="55">
        <f t="shared" si="354"/>
        <v>92.67336829396001</v>
      </c>
      <c r="BE1546" s="55">
        <f t="shared" si="355"/>
        <v>90.818232091088859</v>
      </c>
      <c r="BF1546" s="56">
        <f t="shared" si="356"/>
        <v>481.48295553662115</v>
      </c>
      <c r="BG1546" s="56">
        <f t="shared" si="359"/>
        <v>4.4819975914577901</v>
      </c>
      <c r="BH1546" s="56">
        <f t="shared" si="360"/>
        <v>2.1170728828875474</v>
      </c>
      <c r="BI1546" s="56">
        <f t="shared" si="357"/>
        <v>2.0746933015529878</v>
      </c>
      <c r="BJ1546" s="57">
        <f t="shared" si="361"/>
        <v>53.463376501973336</v>
      </c>
      <c r="BK1546" s="57">
        <f t="shared" si="362"/>
        <v>0.23507761452072054</v>
      </c>
      <c r="BL1546" s="58">
        <f t="shared" si="363"/>
        <v>94331.514569909792</v>
      </c>
      <c r="BM1546" s="58">
        <f t="shared" si="363"/>
        <v>414.77416635671148</v>
      </c>
    </row>
    <row r="1547" spans="47:65" x14ac:dyDescent="0.2">
      <c r="AU1547" s="2">
        <v>-90</v>
      </c>
      <c r="AV1547" s="53">
        <v>1545</v>
      </c>
      <c r="AW1547" s="4" t="s">
        <v>2531</v>
      </c>
      <c r="AX1547" t="s">
        <v>838</v>
      </c>
      <c r="AY1547" s="4">
        <v>51629</v>
      </c>
      <c r="AZ1547" s="9">
        <v>28.46935642750795</v>
      </c>
      <c r="BA1547" s="7">
        <f t="shared" si="358"/>
        <v>7.2968167653208007E-4</v>
      </c>
      <c r="BB1547" s="54">
        <f t="shared" si="352"/>
        <v>8629.4284362763647</v>
      </c>
      <c r="BC1547" s="55">
        <f t="shared" si="353"/>
        <v>21695.202521969975</v>
      </c>
      <c r="BD1547" s="55">
        <f t="shared" si="354"/>
        <v>147.29291402497941</v>
      </c>
      <c r="BE1547" s="55">
        <f t="shared" si="355"/>
        <v>144.34440333345711</v>
      </c>
      <c r="BF1547" s="56">
        <f t="shared" si="356"/>
        <v>4.5034334996624619</v>
      </c>
      <c r="BG1547" s="56">
        <f t="shared" si="359"/>
        <v>5.9086348779613758E-3</v>
      </c>
      <c r="BH1547" s="56">
        <f t="shared" si="360"/>
        <v>7.6867645195890941E-2</v>
      </c>
      <c r="BI1547" s="56">
        <f t="shared" si="357"/>
        <v>7.5328908080174756E-2</v>
      </c>
      <c r="BJ1547" s="57">
        <f t="shared" si="361"/>
        <v>0.73981790783854151</v>
      </c>
      <c r="BK1547" s="57">
        <f t="shared" si="362"/>
        <v>1.2627711823336947E-2</v>
      </c>
      <c r="BL1547" s="58">
        <f t="shared" si="363"/>
        <v>1305.3448606968486</v>
      </c>
      <c r="BM1547" s="58">
        <f t="shared" si="363"/>
        <v>22.280507887558585</v>
      </c>
    </row>
    <row r="1548" spans="47:65" x14ac:dyDescent="0.2">
      <c r="AU1548" s="2">
        <v>-89</v>
      </c>
      <c r="AV1548" s="53">
        <v>1546</v>
      </c>
      <c r="AW1548" s="4" t="s">
        <v>1533</v>
      </c>
      <c r="AX1548" t="s">
        <v>126</v>
      </c>
      <c r="AY1548" s="4">
        <v>11047</v>
      </c>
      <c r="AZ1548" s="9">
        <v>28.485313043875376</v>
      </c>
      <c r="BA1548" s="7">
        <f t="shared" si="358"/>
        <v>7.3009065137534382E-4</v>
      </c>
      <c r="BB1548" s="54">
        <f t="shared" si="352"/>
        <v>8719.52025944036</v>
      </c>
      <c r="BC1548" s="55">
        <f t="shared" si="353"/>
        <v>21907.067569570892</v>
      </c>
      <c r="BD1548" s="55">
        <f t="shared" si="354"/>
        <v>148.01036304789909</v>
      </c>
      <c r="BE1548" s="55">
        <f t="shared" si="355"/>
        <v>145.04749045629012</v>
      </c>
      <c r="BF1548" s="56">
        <f t="shared" si="356"/>
        <v>4.5504496534527714</v>
      </c>
      <c r="BG1548" s="56">
        <f t="shared" si="359"/>
        <v>5.9663358009388419E-3</v>
      </c>
      <c r="BH1548" s="56">
        <f t="shared" si="360"/>
        <v>7.724205979218085E-2</v>
      </c>
      <c r="BI1548" s="56">
        <f t="shared" si="357"/>
        <v>7.5695827642181926E-2</v>
      </c>
      <c r="BJ1548" s="57">
        <f t="shared" si="361"/>
        <v>0.15995066124332014</v>
      </c>
      <c r="BK1548" s="57">
        <f t="shared" si="362"/>
        <v>2.7150983925689153E-3</v>
      </c>
      <c r="BL1548" s="58">
        <f t="shared" si="363"/>
        <v>282.21913988137368</v>
      </c>
      <c r="BM1548" s="58">
        <f t="shared" si="363"/>
        <v>4.7905568322625474</v>
      </c>
    </row>
    <row r="1549" spans="47:65" x14ac:dyDescent="0.2">
      <c r="AU1549" s="2">
        <v>-88</v>
      </c>
      <c r="AV1549" s="53">
        <v>1547</v>
      </c>
      <c r="AW1549" s="4" t="s">
        <v>1852</v>
      </c>
      <c r="AX1549" t="s">
        <v>328</v>
      </c>
      <c r="AY1549" s="4">
        <v>81949</v>
      </c>
      <c r="AZ1549" s="9">
        <v>28.510456978366197</v>
      </c>
      <c r="BA1549" s="7">
        <f t="shared" si="358"/>
        <v>7.3073510107762613E-4</v>
      </c>
      <c r="BB1549" s="54">
        <f t="shared" si="352"/>
        <v>8863.3968929554449</v>
      </c>
      <c r="BC1549" s="55">
        <f t="shared" si="353"/>
        <v>22243.23081642442</v>
      </c>
      <c r="BD1549" s="55">
        <f t="shared" si="354"/>
        <v>149.141646820814</v>
      </c>
      <c r="BE1549" s="55">
        <f t="shared" si="355"/>
        <v>146.15612818189402</v>
      </c>
      <c r="BF1549" s="56">
        <f t="shared" si="356"/>
        <v>4.625534446840323</v>
      </c>
      <c r="BG1549" s="56">
        <f t="shared" si="359"/>
        <v>6.0578890317979049E-3</v>
      </c>
      <c r="BH1549" s="56">
        <f t="shared" si="360"/>
        <v>7.7832442026432039E-2</v>
      </c>
      <c r="BI1549" s="56">
        <f t="shared" si="357"/>
        <v>7.6274391600304234E-2</v>
      </c>
      <c r="BJ1549" s="57">
        <f t="shared" si="361"/>
        <v>1.2061267514383018</v>
      </c>
      <c r="BK1549" s="57">
        <f t="shared" si="362"/>
        <v>2.0295122982378063E-2</v>
      </c>
      <c r="BL1549" s="58">
        <f t="shared" si="363"/>
        <v>2128.1065781967709</v>
      </c>
      <c r="BM1549" s="58">
        <f t="shared" si="363"/>
        <v>35.808993269245612</v>
      </c>
    </row>
    <row r="1550" spans="47:65" x14ac:dyDescent="0.2">
      <c r="AU1550" s="2">
        <v>-87</v>
      </c>
      <c r="AV1550" s="53">
        <v>1548</v>
      </c>
      <c r="AW1550" s="4" t="s">
        <v>1754</v>
      </c>
      <c r="AX1550" t="s">
        <v>259</v>
      </c>
      <c r="AY1550" s="4">
        <v>59286</v>
      </c>
      <c r="AZ1550" s="9">
        <v>28.512467773549918</v>
      </c>
      <c r="BA1550" s="7">
        <f t="shared" si="358"/>
        <v>7.307866386107824E-4</v>
      </c>
      <c r="BB1550" s="54">
        <f t="shared" si="352"/>
        <v>8875.0049190395202</v>
      </c>
      <c r="BC1550" s="55">
        <f t="shared" si="353"/>
        <v>22270.235763577231</v>
      </c>
      <c r="BD1550" s="55">
        <f t="shared" si="354"/>
        <v>149.23215391991511</v>
      </c>
      <c r="BE1550" s="55">
        <f t="shared" si="355"/>
        <v>146.24482350918569</v>
      </c>
      <c r="BF1550" s="56">
        <f t="shared" si="356"/>
        <v>4.6315923189135466</v>
      </c>
      <c r="BG1550" s="56">
        <f t="shared" si="359"/>
        <v>6.0652437625258052E-3</v>
      </c>
      <c r="BH1550" s="56">
        <f t="shared" si="360"/>
        <v>7.7879674899975063E-2</v>
      </c>
      <c r="BI1550" s="56">
        <f t="shared" si="357"/>
        <v>7.6320678965819566E-2</v>
      </c>
      <c r="BJ1550" s="57">
        <f t="shared" si="361"/>
        <v>0.87371511079610953</v>
      </c>
      <c r="BK1550" s="57">
        <f t="shared" si="362"/>
        <v>1.4691415845503052E-2</v>
      </c>
      <c r="BL1550" s="58">
        <f t="shared" si="363"/>
        <v>1541.5949215435628</v>
      </c>
      <c r="BM1550" s="58">
        <f t="shared" si="363"/>
        <v>25.921735561006372</v>
      </c>
    </row>
    <row r="1551" spans="47:65" x14ac:dyDescent="0.2">
      <c r="AU1551" s="2">
        <v>-86</v>
      </c>
      <c r="AV1551" s="53">
        <v>1549</v>
      </c>
      <c r="AW1551" s="4" t="s">
        <v>2261</v>
      </c>
      <c r="AX1551" t="s">
        <v>624</v>
      </c>
      <c r="AY1551" s="4">
        <v>17571</v>
      </c>
      <c r="AZ1551" s="9">
        <v>28.558688980044078</v>
      </c>
      <c r="BA1551" s="7">
        <f t="shared" si="358"/>
        <v>7.3197130773148677E-4</v>
      </c>
      <c r="BB1551" s="54">
        <f t="shared" si="352"/>
        <v>9146.0651319892477</v>
      </c>
      <c r="BC1551" s="55">
        <f t="shared" si="353"/>
        <v>22895.898190671123</v>
      </c>
      <c r="BD1551" s="55">
        <f t="shared" si="354"/>
        <v>151.31390613777415</v>
      </c>
      <c r="BE1551" s="55">
        <f t="shared" si="355"/>
        <v>148.28490319505576</v>
      </c>
      <c r="BF1551" s="56">
        <f t="shared" si="356"/>
        <v>4.7730503137781737</v>
      </c>
      <c r="BG1551" s="56">
        <f t="shared" si="359"/>
        <v>6.2356413808381909E-3</v>
      </c>
      <c r="BH1551" s="56">
        <f t="shared" si="360"/>
        <v>7.8966077405669521E-2</v>
      </c>
      <c r="BI1551" s="56">
        <f t="shared" si="357"/>
        <v>7.7385333857757171E-2</v>
      </c>
      <c r="BJ1551" s="57">
        <f t="shared" si="361"/>
        <v>0.26685777661356425</v>
      </c>
      <c r="BK1551" s="57">
        <f t="shared" si="362"/>
        <v>4.4149360386044603E-3</v>
      </c>
      <c r="BL1551" s="58">
        <f t="shared" si="363"/>
        <v>470.84752011102461</v>
      </c>
      <c r="BM1551" s="58">
        <f t="shared" si="363"/>
        <v>7.7897736824658761</v>
      </c>
    </row>
    <row r="1552" spans="47:65" x14ac:dyDescent="0.2">
      <c r="AU1552" s="2">
        <v>-85</v>
      </c>
      <c r="AV1552" s="53">
        <v>1550</v>
      </c>
      <c r="AW1552" s="4" t="s">
        <v>2379</v>
      </c>
      <c r="AX1552" t="s">
        <v>720</v>
      </c>
      <c r="AY1552" s="4">
        <v>32080</v>
      </c>
      <c r="AZ1552" s="9">
        <v>28.600760728675834</v>
      </c>
      <c r="BA1552" s="7">
        <f t="shared" si="358"/>
        <v>7.3304962448776558E-4</v>
      </c>
      <c r="BB1552" s="54">
        <f t="shared" si="352"/>
        <v>9399.9825593801088</v>
      </c>
      <c r="BC1552" s="55">
        <f t="shared" si="353"/>
        <v>23473.479064027488</v>
      </c>
      <c r="BD1552" s="55">
        <f t="shared" si="354"/>
        <v>153.21057099308615</v>
      </c>
      <c r="BE1552" s="55">
        <f t="shared" si="355"/>
        <v>150.14360059863296</v>
      </c>
      <c r="BF1552" s="56">
        <f t="shared" si="356"/>
        <v>4.9055620156949615</v>
      </c>
      <c r="BG1552" s="56">
        <f t="shared" si="359"/>
        <v>6.3929441066226953E-3</v>
      </c>
      <c r="BH1552" s="56">
        <f t="shared" si="360"/>
        <v>7.9955888504991898E-2</v>
      </c>
      <c r="BI1552" s="56">
        <f t="shared" si="357"/>
        <v>7.8355330910842097E-2</v>
      </c>
      <c r="BJ1552" s="57">
        <f t="shared" si="361"/>
        <v>0.50073794439497987</v>
      </c>
      <c r="BK1552" s="57">
        <f t="shared" si="362"/>
        <v>8.1615413532983103E-3</v>
      </c>
      <c r="BL1552" s="58">
        <f t="shared" si="363"/>
        <v>883.50889502196458</v>
      </c>
      <c r="BM1552" s="58">
        <f t="shared" si="363"/>
        <v>14.400335471762883</v>
      </c>
    </row>
    <row r="1553" spans="47:65" x14ac:dyDescent="0.2">
      <c r="AU1553" s="2">
        <v>-84</v>
      </c>
      <c r="AV1553" s="53">
        <v>1551</v>
      </c>
      <c r="AW1553" s="4" t="s">
        <v>2926</v>
      </c>
      <c r="AX1553" t="s">
        <v>1136</v>
      </c>
      <c r="AY1553" s="4">
        <v>14269</v>
      </c>
      <c r="AZ1553" s="9">
        <v>28.605725520145509</v>
      </c>
      <c r="BA1553" s="7">
        <f t="shared" si="358"/>
        <v>7.3317687419825511E-4</v>
      </c>
      <c r="BB1553" s="54">
        <f t="shared" si="352"/>
        <v>9430.4080946535287</v>
      </c>
      <c r="BC1553" s="55">
        <f t="shared" si="353"/>
        <v>23542.140148765437</v>
      </c>
      <c r="BD1553" s="55">
        <f t="shared" si="354"/>
        <v>153.43448161598303</v>
      </c>
      <c r="BE1553" s="55">
        <f t="shared" si="355"/>
        <v>150.36302897694986</v>
      </c>
      <c r="BF1553" s="56">
        <f t="shared" si="356"/>
        <v>4.921440167510843</v>
      </c>
      <c r="BG1553" s="56">
        <f t="shared" si="359"/>
        <v>6.4116437836427885E-3</v>
      </c>
      <c r="BH1553" s="56">
        <f t="shared" si="360"/>
        <v>8.0072740577819546E-2</v>
      </c>
      <c r="BI1553" s="56">
        <f t="shared" si="357"/>
        <v>7.8469843837972619E-2</v>
      </c>
      <c r="BJ1553" s="57">
        <f t="shared" si="361"/>
        <v>0.22344627528903213</v>
      </c>
      <c r="BK1553" s="57">
        <f t="shared" si="362"/>
        <v>3.6355121723135931E-3</v>
      </c>
      <c r="BL1553" s="58">
        <f t="shared" si="363"/>
        <v>394.25167193174593</v>
      </c>
      <c r="BM1553" s="58">
        <f t="shared" si="363"/>
        <v>6.414547525613651</v>
      </c>
    </row>
    <row r="1554" spans="47:65" x14ac:dyDescent="0.2">
      <c r="AU1554" s="2">
        <v>-83</v>
      </c>
      <c r="AV1554" s="53">
        <v>1552</v>
      </c>
      <c r="AW1554" s="4" t="s">
        <v>1832</v>
      </c>
      <c r="AX1554" t="s">
        <v>311</v>
      </c>
      <c r="AY1554" s="4">
        <v>11539</v>
      </c>
      <c r="AZ1554" s="9">
        <v>28.606443469192527</v>
      </c>
      <c r="BA1554" s="7">
        <f t="shared" si="358"/>
        <v>7.3319527553674789E-4</v>
      </c>
      <c r="BB1554" s="54">
        <f t="shared" si="352"/>
        <v>9434.8160167894366</v>
      </c>
      <c r="BC1554" s="55">
        <f t="shared" si="353"/>
        <v>23552.077814250373</v>
      </c>
      <c r="BD1554" s="55">
        <f t="shared" si="354"/>
        <v>153.46686226756046</v>
      </c>
      <c r="BE1554" s="55">
        <f t="shared" si="355"/>
        <v>150.39476143239369</v>
      </c>
      <c r="BF1554" s="56">
        <f t="shared" si="356"/>
        <v>4.9237405266084702</v>
      </c>
      <c r="BG1554" s="56">
        <f t="shared" si="359"/>
        <v>6.4143502823181915E-3</v>
      </c>
      <c r="BH1554" s="56">
        <f t="shared" si="360"/>
        <v>8.0089639044749056E-2</v>
      </c>
      <c r="BI1554" s="56">
        <f t="shared" si="357"/>
        <v>7.8486404031260504E-2</v>
      </c>
      <c r="BJ1554" s="57">
        <f t="shared" si="361"/>
        <v>0.18078013389812014</v>
      </c>
      <c r="BK1554" s="57">
        <f t="shared" si="362"/>
        <v>2.9405724351471629E-3</v>
      </c>
      <c r="BL1554" s="58">
        <f t="shared" si="363"/>
        <v>318.97094703944344</v>
      </c>
      <c r="BM1554" s="58">
        <f t="shared" si="363"/>
        <v>5.1883863246033721</v>
      </c>
    </row>
    <row r="1555" spans="47:65" x14ac:dyDescent="0.2">
      <c r="AU1555" s="2">
        <v>-82</v>
      </c>
      <c r="AV1555" s="53">
        <v>1553</v>
      </c>
      <c r="AW1555" s="4" t="s">
        <v>2851</v>
      </c>
      <c r="AX1555" t="s">
        <v>1077</v>
      </c>
      <c r="AY1555" s="4">
        <v>28970</v>
      </c>
      <c r="AZ1555" s="9">
        <v>28.612443772200304</v>
      </c>
      <c r="BA1555" s="7">
        <f t="shared" si="358"/>
        <v>7.3334906584702629E-4</v>
      </c>
      <c r="BB1555" s="54">
        <f t="shared" si="352"/>
        <v>9471.7361599631149</v>
      </c>
      <c r="BC1555" s="55">
        <f t="shared" si="353"/>
        <v>23635.218454500446</v>
      </c>
      <c r="BD1555" s="55">
        <f t="shared" si="354"/>
        <v>153.73749853077629</v>
      </c>
      <c r="BE1555" s="55">
        <f t="shared" si="355"/>
        <v>150.65998009680047</v>
      </c>
      <c r="BF1555" s="56">
        <f t="shared" si="356"/>
        <v>4.9430080146939801</v>
      </c>
      <c r="BG1555" s="56">
        <f t="shared" si="359"/>
        <v>6.4369934305557553E-3</v>
      </c>
      <c r="BH1555" s="56">
        <f t="shared" si="360"/>
        <v>8.0230875793273967E-2</v>
      </c>
      <c r="BI1555" s="56">
        <f t="shared" si="357"/>
        <v>7.8624813501461693E-2</v>
      </c>
      <c r="BJ1555" s="57">
        <f t="shared" si="361"/>
        <v>0.45564560123557962</v>
      </c>
      <c r="BK1555" s="57">
        <f t="shared" si="362"/>
        <v>7.3956678868032644E-3</v>
      </c>
      <c r="BL1555" s="58">
        <f t="shared" si="363"/>
        <v>803.94734646216978</v>
      </c>
      <c r="BM1555" s="58">
        <f t="shared" si="363"/>
        <v>13.04901782610842</v>
      </c>
    </row>
    <row r="1556" spans="47:65" x14ac:dyDescent="0.2">
      <c r="AU1556" s="2">
        <v>-81</v>
      </c>
      <c r="AV1556" s="53">
        <v>1554</v>
      </c>
      <c r="AW1556" s="4" t="s">
        <v>2558</v>
      </c>
      <c r="AX1556" t="s">
        <v>863</v>
      </c>
      <c r="AY1556" s="4">
        <v>9515</v>
      </c>
      <c r="AZ1556" s="9">
        <v>28.640951116941352</v>
      </c>
      <c r="BA1556" s="7">
        <f t="shared" si="358"/>
        <v>7.3407972118014187E-4</v>
      </c>
      <c r="BB1556" s="54">
        <f t="shared" si="352"/>
        <v>9649.1267624184948</v>
      </c>
      <c r="BC1556" s="55">
        <f t="shared" si="353"/>
        <v>24032.307357027163</v>
      </c>
      <c r="BD1556" s="55">
        <f t="shared" si="354"/>
        <v>155.02357032731237</v>
      </c>
      <c r="BE1556" s="55">
        <f t="shared" si="355"/>
        <v>151.92030729817219</v>
      </c>
      <c r="BF1556" s="56">
        <f t="shared" si="356"/>
        <v>5.0355827185138304</v>
      </c>
      <c r="BG1556" s="56">
        <f t="shared" si="359"/>
        <v>6.5451396134159024E-3</v>
      </c>
      <c r="BH1556" s="56">
        <f t="shared" si="360"/>
        <v>8.09020371400863E-2</v>
      </c>
      <c r="BI1556" s="56">
        <f t="shared" si="357"/>
        <v>7.9282539535245472E-2</v>
      </c>
      <c r="BJ1556" s="57">
        <f t="shared" si="361"/>
        <v>0.15245648382118868</v>
      </c>
      <c r="BK1556" s="57">
        <f t="shared" si="362"/>
        <v>2.4493769253360535E-3</v>
      </c>
      <c r="BL1556" s="58">
        <f t="shared" si="363"/>
        <v>268.99631048040629</v>
      </c>
      <c r="BM1556" s="58">
        <f t="shared" si="363"/>
        <v>4.3217142320034831</v>
      </c>
    </row>
    <row r="1557" spans="47:65" x14ac:dyDescent="0.2">
      <c r="AU1557" s="2">
        <v>-80</v>
      </c>
      <c r="AV1557" s="53">
        <v>1555</v>
      </c>
      <c r="AW1557" s="4" t="s">
        <v>2596</v>
      </c>
      <c r="AX1557" t="s">
        <v>893</v>
      </c>
      <c r="AY1557" s="4">
        <v>37128</v>
      </c>
      <c r="AZ1557" s="9">
        <v>28.657605031889283</v>
      </c>
      <c r="BA1557" s="7">
        <f t="shared" si="358"/>
        <v>7.3450656808168565E-4</v>
      </c>
      <c r="BB1557" s="54">
        <f t="shared" si="352"/>
        <v>9754.2913868450742</v>
      </c>
      <c r="BC1557" s="55">
        <f t="shared" si="353"/>
        <v>24265.872548893563</v>
      </c>
      <c r="BD1557" s="55">
        <f t="shared" si="354"/>
        <v>155.77507037036949</v>
      </c>
      <c r="BE1557" s="55">
        <f t="shared" si="355"/>
        <v>152.65676380755832</v>
      </c>
      <c r="BF1557" s="56">
        <f t="shared" si="356"/>
        <v>5.0904649040628902</v>
      </c>
      <c r="BG1557" s="56">
        <f t="shared" si="359"/>
        <v>6.6087505171421165E-3</v>
      </c>
      <c r="BH1557" s="56">
        <f t="shared" si="360"/>
        <v>8.1294221917317819E-2</v>
      </c>
      <c r="BI1557" s="56">
        <f t="shared" si="357"/>
        <v>7.9666873554574788E-2</v>
      </c>
      <c r="BJ1557" s="57">
        <f t="shared" si="361"/>
        <v>0.60137639194816539</v>
      </c>
      <c r="BK1557" s="57">
        <f t="shared" si="362"/>
        <v>9.6039216032803559E-3</v>
      </c>
      <c r="BL1557" s="58">
        <f t="shared" si="363"/>
        <v>1061.076751801568</v>
      </c>
      <c r="BM1557" s="58">
        <f t="shared" si="363"/>
        <v>16.945290962209871</v>
      </c>
    </row>
    <row r="1558" spans="47:65" x14ac:dyDescent="0.2">
      <c r="AU1558" s="2">
        <v>-79</v>
      </c>
      <c r="AV1558" s="53">
        <v>1556</v>
      </c>
      <c r="AW1558" s="4" t="s">
        <v>2440</v>
      </c>
      <c r="AX1558" t="s">
        <v>766</v>
      </c>
      <c r="AY1558" s="4">
        <v>45813</v>
      </c>
      <c r="AZ1558" s="9">
        <v>28.691301436761297</v>
      </c>
      <c r="BA1558" s="7">
        <f t="shared" si="358"/>
        <v>7.3537022122617188E-4</v>
      </c>
      <c r="BB1558" s="54">
        <f t="shared" si="352"/>
        <v>9970.5934024191247</v>
      </c>
      <c r="BC1558" s="55">
        <f t="shared" si="353"/>
        <v>24741.998247658816</v>
      </c>
      <c r="BD1558" s="55">
        <f t="shared" si="354"/>
        <v>157.29589393133827</v>
      </c>
      <c r="BE1558" s="55">
        <f t="shared" si="355"/>
        <v>154.14714351072769</v>
      </c>
      <c r="BF1558" s="56">
        <f t="shared" si="356"/>
        <v>5.2033462785564524</v>
      </c>
      <c r="BG1558" s="56">
        <f t="shared" si="359"/>
        <v>6.7384221764484149E-3</v>
      </c>
      <c r="BH1558" s="56">
        <f t="shared" si="360"/>
        <v>8.2087892995547251E-2</v>
      </c>
      <c r="BI1558" s="56">
        <f t="shared" si="357"/>
        <v>8.0444656919025179E-2</v>
      </c>
      <c r="BJ1558" s="57">
        <f t="shared" si="361"/>
        <v>0.7585056721772887</v>
      </c>
      <c r="BK1558" s="57">
        <f t="shared" si="362"/>
        <v>1.1966171213859449E-2</v>
      </c>
      <c r="BL1558" s="58">
        <f t="shared" si="363"/>
        <v>1338.3178083357714</v>
      </c>
      <c r="BM1558" s="58">
        <f t="shared" si="363"/>
        <v>21.113276565399008</v>
      </c>
    </row>
    <row r="1559" spans="47:65" x14ac:dyDescent="0.2">
      <c r="AU1559" s="2">
        <v>-78</v>
      </c>
      <c r="AV1559" s="53">
        <v>1557</v>
      </c>
      <c r="AW1559" s="4" t="s">
        <v>2875</v>
      </c>
      <c r="AX1559" t="s">
        <v>1093</v>
      </c>
      <c r="AY1559" s="4">
        <v>17430</v>
      </c>
      <c r="AZ1559" s="9">
        <v>28.719938895158467</v>
      </c>
      <c r="BA1559" s="7">
        <f t="shared" si="358"/>
        <v>7.3610421142746333E-4</v>
      </c>
      <c r="BB1559" s="54">
        <f t="shared" si="352"/>
        <v>10158.187876368111</v>
      </c>
      <c r="BC1559" s="55">
        <f t="shared" si="353"/>
        <v>25150.338994150661</v>
      </c>
      <c r="BD1559" s="55">
        <f t="shared" si="354"/>
        <v>158.58858405998416</v>
      </c>
      <c r="BE1559" s="55">
        <f t="shared" si="355"/>
        <v>155.41395655838588</v>
      </c>
      <c r="BF1559" s="56">
        <f t="shared" si="356"/>
        <v>5.3012460693214987</v>
      </c>
      <c r="BG1559" s="56">
        <f t="shared" si="359"/>
        <v>6.8496327712498778E-3</v>
      </c>
      <c r="BH1559" s="56">
        <f t="shared" si="360"/>
        <v>8.2762508246487301E-2</v>
      </c>
      <c r="BI1559" s="56">
        <f t="shared" si="357"/>
        <v>8.1105767716657146E-2</v>
      </c>
      <c r="BJ1559" s="57">
        <f t="shared" si="361"/>
        <v>0.29401042015672585</v>
      </c>
      <c r="BK1559" s="57">
        <f t="shared" si="362"/>
        <v>4.5900604319407835E-3</v>
      </c>
      <c r="BL1559" s="58">
        <f t="shared" si="363"/>
        <v>518.75601668547449</v>
      </c>
      <c r="BM1559" s="58">
        <f t="shared" si="363"/>
        <v>8.0987655633086852</v>
      </c>
    </row>
    <row r="1560" spans="47:65" x14ac:dyDescent="0.2">
      <c r="AU1560" s="2">
        <v>-77</v>
      </c>
      <c r="AV1560" s="53">
        <v>1558</v>
      </c>
      <c r="AW1560" s="4" t="s">
        <v>1566</v>
      </c>
      <c r="AX1560" t="s">
        <v>143</v>
      </c>
      <c r="AY1560" s="4">
        <v>9651</v>
      </c>
      <c r="AZ1560" s="9">
        <v>28.729186867712624</v>
      </c>
      <c r="BA1560" s="7">
        <f t="shared" si="358"/>
        <v>7.3634124088526026E-4</v>
      </c>
      <c r="BB1560" s="54">
        <f t="shared" si="352"/>
        <v>10219.519101662292</v>
      </c>
      <c r="BC1560" s="55">
        <f t="shared" si="353"/>
        <v>25282.925806023817</v>
      </c>
      <c r="BD1560" s="55">
        <f t="shared" si="354"/>
        <v>159.00605587845959</v>
      </c>
      <c r="BE1560" s="55">
        <f t="shared" si="355"/>
        <v>155.82307142277205</v>
      </c>
      <c r="BF1560" s="56">
        <f t="shared" si="356"/>
        <v>5.333252950959694</v>
      </c>
      <c r="BG1560" s="56">
        <f t="shared" si="359"/>
        <v>6.8857424623309958E-3</v>
      </c>
      <c r="BH1560" s="56">
        <f t="shared" si="360"/>
        <v>8.2980373958731923E-2</v>
      </c>
      <c r="BI1560" s="56">
        <f t="shared" si="357"/>
        <v>8.1319272191389957E-2</v>
      </c>
      <c r="BJ1560" s="57">
        <f t="shared" si="361"/>
        <v>0.16377660723266843</v>
      </c>
      <c r="BK1560" s="57">
        <f t="shared" si="362"/>
        <v>2.5482091771802584E-3</v>
      </c>
      <c r="BL1560" s="58">
        <f t="shared" si="363"/>
        <v>288.96969144492061</v>
      </c>
      <c r="BM1560" s="58">
        <f t="shared" si="363"/>
        <v>4.4960952123082816</v>
      </c>
    </row>
    <row r="1561" spans="47:65" x14ac:dyDescent="0.2">
      <c r="AU1561" s="2">
        <v>-76</v>
      </c>
      <c r="AV1561" s="53">
        <v>1559</v>
      </c>
      <c r="AW1561" s="4" t="s">
        <v>2286</v>
      </c>
      <c r="AX1561" t="s">
        <v>641</v>
      </c>
      <c r="AY1561" s="4">
        <v>38951</v>
      </c>
      <c r="AZ1561" s="9">
        <v>28.78398363650814</v>
      </c>
      <c r="BA1561" s="7">
        <f t="shared" si="358"/>
        <v>7.3774570530387351E-4</v>
      </c>
      <c r="BB1561" s="54">
        <f t="shared" si="352"/>
        <v>10590.597162399928</v>
      </c>
      <c r="BC1561" s="55">
        <f t="shared" si="353"/>
        <v>26075.692772256312</v>
      </c>
      <c r="BD1561" s="55">
        <f t="shared" si="354"/>
        <v>161.47969770920525</v>
      </c>
      <c r="BE1561" s="55">
        <f t="shared" si="355"/>
        <v>158.24719587222864</v>
      </c>
      <c r="BF1561" s="56">
        <f t="shared" si="356"/>
        <v>5.5269071868173727</v>
      </c>
      <c r="BG1561" s="56">
        <f t="shared" si="359"/>
        <v>7.1016505895776585E-3</v>
      </c>
      <c r="BH1561" s="56">
        <f t="shared" si="360"/>
        <v>8.4271291609762683E-2</v>
      </c>
      <c r="BI1561" s="56">
        <f t="shared" si="357"/>
        <v>8.258434824290363E-2</v>
      </c>
      <c r="BJ1561" s="57">
        <f t="shared" si="361"/>
        <v>0.68499618951559427</v>
      </c>
      <c r="BK1561" s="57">
        <f t="shared" si="362"/>
        <v>1.0444451424103923E-2</v>
      </c>
      <c r="BL1561" s="58">
        <f t="shared" si="363"/>
        <v>1208.6166691929373</v>
      </c>
      <c r="BM1561" s="58">
        <f t="shared" si="363"/>
        <v>18.428333303101592</v>
      </c>
    </row>
    <row r="1562" spans="47:65" x14ac:dyDescent="0.2">
      <c r="AU1562" s="2">
        <v>-75</v>
      </c>
      <c r="AV1562" s="53">
        <v>1560</v>
      </c>
      <c r="AW1562" s="4" t="s">
        <v>1593</v>
      </c>
      <c r="AX1562" t="s">
        <v>158</v>
      </c>
      <c r="AY1562" s="4">
        <v>42687</v>
      </c>
      <c r="AZ1562" s="9">
        <v>28.788388308103624</v>
      </c>
      <c r="BA1562" s="7">
        <f t="shared" si="358"/>
        <v>7.3785859890449109E-4</v>
      </c>
      <c r="BB1562" s="54">
        <f t="shared" si="352"/>
        <v>10621.003858834185</v>
      </c>
      <c r="BC1562" s="55">
        <f t="shared" si="353"/>
        <v>26139.945689496551</v>
      </c>
      <c r="BD1562" s="55">
        <f t="shared" si="354"/>
        <v>161.67852575248375</v>
      </c>
      <c r="BE1562" s="55">
        <f t="shared" si="355"/>
        <v>158.44204377419987</v>
      </c>
      <c r="BF1562" s="56">
        <f t="shared" si="356"/>
        <v>5.5427755072220597</v>
      </c>
      <c r="BG1562" s="56">
        <f t="shared" si="359"/>
        <v>7.1191497130570847E-3</v>
      </c>
      <c r="BH1562" s="56">
        <f t="shared" si="360"/>
        <v>8.4375053855135912E-2</v>
      </c>
      <c r="BI1562" s="56">
        <f t="shared" si="357"/>
        <v>8.2686033374846896E-2</v>
      </c>
      <c r="BJ1562" s="57">
        <f t="shared" si="361"/>
        <v>0.75285319088197844</v>
      </c>
      <c r="BK1562" s="57">
        <f t="shared" si="362"/>
        <v>1.1460328574179246E-2</v>
      </c>
      <c r="BL1562" s="58">
        <f t="shared" si="363"/>
        <v>1328.344492833616</v>
      </c>
      <c r="BM1562" s="58">
        <f t="shared" si="363"/>
        <v>20.220760876022126</v>
      </c>
    </row>
    <row r="1563" spans="47:65" x14ac:dyDescent="0.2">
      <c r="AU1563" s="2">
        <v>-74</v>
      </c>
      <c r="AV1563" s="53">
        <v>1561</v>
      </c>
      <c r="AW1563" s="4" t="s">
        <v>2879</v>
      </c>
      <c r="AX1563" t="s">
        <v>1097</v>
      </c>
      <c r="AY1563" s="4">
        <v>32609</v>
      </c>
      <c r="AZ1563" s="9">
        <v>28.796084906814109</v>
      </c>
      <c r="BA1563" s="7">
        <f t="shared" si="358"/>
        <v>7.3805586599287652E-4</v>
      </c>
      <c r="BB1563" s="54">
        <f t="shared" si="352"/>
        <v>10674.345379997385</v>
      </c>
      <c r="BC1563" s="55">
        <f t="shared" si="353"/>
        <v>26252.407465064844</v>
      </c>
      <c r="BD1563" s="55">
        <f t="shared" si="354"/>
        <v>162.02594688834515</v>
      </c>
      <c r="BE1563" s="55">
        <f t="shared" si="355"/>
        <v>158.78251023107802</v>
      </c>
      <c r="BF1563" s="56">
        <f t="shared" si="356"/>
        <v>5.5706128078153991</v>
      </c>
      <c r="BG1563" s="56">
        <f t="shared" si="359"/>
        <v>7.1497784001540608E-3</v>
      </c>
      <c r="BH1563" s="56">
        <f t="shared" si="360"/>
        <v>8.4556362268927238E-2</v>
      </c>
      <c r="BI1563" s="56">
        <f t="shared" si="357"/>
        <v>8.2863712355409444E-2</v>
      </c>
      <c r="BJ1563" s="57">
        <f t="shared" si="361"/>
        <v>0.57799998382026374</v>
      </c>
      <c r="BK1563" s="57">
        <f t="shared" si="362"/>
        <v>8.7734649148065325E-3</v>
      </c>
      <c r="BL1563" s="58">
        <f t="shared" si="363"/>
        <v>1019.8310967721309</v>
      </c>
      <c r="BM1563" s="58">
        <f t="shared" si="363"/>
        <v>15.480021794155059</v>
      </c>
    </row>
    <row r="1564" spans="47:65" x14ac:dyDescent="0.2">
      <c r="AU1564" s="2">
        <v>-73</v>
      </c>
      <c r="AV1564" s="53">
        <v>1562</v>
      </c>
      <c r="AW1564" s="4" t="s">
        <v>1831</v>
      </c>
      <c r="AX1564" t="s">
        <v>310</v>
      </c>
      <c r="AY1564" s="4">
        <v>21740</v>
      </c>
      <c r="AZ1564" s="9">
        <v>28.841781549997524</v>
      </c>
      <c r="BA1564" s="7">
        <f t="shared" si="358"/>
        <v>7.3922709033350626E-4</v>
      </c>
      <c r="BB1564" s="54">
        <f t="shared" si="352"/>
        <v>10996.610776891839</v>
      </c>
      <c r="BC1564" s="55">
        <f t="shared" si="353"/>
        <v>26925.034975248662</v>
      </c>
      <c r="BD1564" s="55">
        <f t="shared" si="354"/>
        <v>164.08849738860022</v>
      </c>
      <c r="BE1564" s="55">
        <f t="shared" si="355"/>
        <v>160.80377257947552</v>
      </c>
      <c r="BF1564" s="56">
        <f t="shared" si="356"/>
        <v>5.7387932145333567</v>
      </c>
      <c r="BG1564" s="56">
        <f t="shared" si="359"/>
        <v>7.3329668429687441E-3</v>
      </c>
      <c r="BH1564" s="56">
        <f t="shared" si="360"/>
        <v>8.5632743988317606E-2</v>
      </c>
      <c r="BI1564" s="56">
        <f t="shared" si="357"/>
        <v>8.3918547057220641E-2</v>
      </c>
      <c r="BJ1564" s="57">
        <f t="shared" si="361"/>
        <v>0.39697895852854953</v>
      </c>
      <c r="BK1564" s="57">
        <f t="shared" si="362"/>
        <v>5.9236142954818853E-3</v>
      </c>
      <c r="BL1564" s="58">
        <f t="shared" si="363"/>
        <v>700.43511765481719</v>
      </c>
      <c r="BM1564" s="58">
        <f t="shared" si="363"/>
        <v>10.451706285332552</v>
      </c>
    </row>
    <row r="1565" spans="47:65" x14ac:dyDescent="0.2">
      <c r="AU1565" s="2">
        <v>-72</v>
      </c>
      <c r="AV1565" s="53">
        <v>1563</v>
      </c>
      <c r="AW1565" s="4" t="s">
        <v>2460</v>
      </c>
      <c r="AX1565" t="s">
        <v>779</v>
      </c>
      <c r="AY1565" s="4">
        <v>8506</v>
      </c>
      <c r="AZ1565" s="9">
        <v>28.847885967110049</v>
      </c>
      <c r="BA1565" s="7">
        <f t="shared" si="358"/>
        <v>7.3938354913243487E-4</v>
      </c>
      <c r="BB1565" s="54">
        <f t="shared" si="352"/>
        <v>11040.391211508006</v>
      </c>
      <c r="BC1565" s="55">
        <f t="shared" si="353"/>
        <v>27015.524064233698</v>
      </c>
      <c r="BD1565" s="55">
        <f t="shared" si="354"/>
        <v>164.36399868655454</v>
      </c>
      <c r="BE1565" s="55">
        <f t="shared" si="355"/>
        <v>161.07375889031778</v>
      </c>
      <c r="BF1565" s="56">
        <f t="shared" si="356"/>
        <v>5.7616408778909207</v>
      </c>
      <c r="BG1565" s="56">
        <f t="shared" si="359"/>
        <v>7.3576113230886296E-3</v>
      </c>
      <c r="BH1565" s="56">
        <f t="shared" si="360"/>
        <v>8.5776519648961214E-2</v>
      </c>
      <c r="BI1565" s="56">
        <f t="shared" si="357"/>
        <v>8.4059444615578113E-2</v>
      </c>
      <c r="BJ1565" s="57">
        <f t="shared" si="361"/>
        <v>0.15594050482029101</v>
      </c>
      <c r="BK1565" s="57">
        <f t="shared" si="362"/>
        <v>2.3215667306017498E-3</v>
      </c>
      <c r="BL1565" s="58">
        <f t="shared" si="363"/>
        <v>275.14356490281568</v>
      </c>
      <c r="BM1565" s="58">
        <f t="shared" si="363"/>
        <v>4.0962041719286777</v>
      </c>
    </row>
    <row r="1566" spans="47:65" x14ac:dyDescent="0.2">
      <c r="AU1566" s="2">
        <v>-71</v>
      </c>
      <c r="AV1566" s="53">
        <v>1564</v>
      </c>
      <c r="AW1566" s="4" t="s">
        <v>2022</v>
      </c>
      <c r="AX1566" t="s">
        <v>447</v>
      </c>
      <c r="AY1566" s="4">
        <v>17489</v>
      </c>
      <c r="AZ1566" s="9">
        <v>28.897670211987158</v>
      </c>
      <c r="BA1566" s="7">
        <f t="shared" si="358"/>
        <v>7.4065954043765856E-4</v>
      </c>
      <c r="BB1566" s="54">
        <f t="shared" si="352"/>
        <v>11404.010183056651</v>
      </c>
      <c r="BC1566" s="55">
        <f t="shared" si="353"/>
        <v>27759.094262289294</v>
      </c>
      <c r="BD1566" s="55">
        <f t="shared" si="354"/>
        <v>166.61060669203894</v>
      </c>
      <c r="BE1566" s="55">
        <f t="shared" si="355"/>
        <v>163.27539427938217</v>
      </c>
      <c r="BF1566" s="56">
        <f t="shared" si="356"/>
        <v>5.9514024443350104</v>
      </c>
      <c r="BG1566" s="56">
        <f t="shared" si="359"/>
        <v>7.5601208319070875E-3</v>
      </c>
      <c r="BH1566" s="56">
        <f t="shared" si="360"/>
        <v>8.6948955323839783E-2</v>
      </c>
      <c r="BI1566" s="56">
        <f t="shared" si="357"/>
        <v>8.5208410464054057E-2</v>
      </c>
      <c r="BJ1566" s="57">
        <f t="shared" si="361"/>
        <v>0.33118577050121079</v>
      </c>
      <c r="BK1566" s="57">
        <f t="shared" si="362"/>
        <v>4.8385665450353908E-3</v>
      </c>
      <c r="BL1566" s="58">
        <f t="shared" si="363"/>
        <v>584.3487145677874</v>
      </c>
      <c r="BM1566" s="58">
        <f t="shared" si="363"/>
        <v>8.5372331566757147</v>
      </c>
    </row>
    <row r="1567" spans="47:65" x14ac:dyDescent="0.2">
      <c r="AU1567" s="2">
        <v>-70</v>
      </c>
      <c r="AV1567" s="53">
        <v>1565</v>
      </c>
      <c r="AW1567" s="4" t="s">
        <v>1737</v>
      </c>
      <c r="AX1567" t="s">
        <v>248</v>
      </c>
      <c r="AY1567" s="4">
        <v>15412</v>
      </c>
      <c r="AZ1567" s="9">
        <v>28.983330369405554</v>
      </c>
      <c r="BA1567" s="7">
        <f t="shared" si="358"/>
        <v>7.4285504659306507E-4</v>
      </c>
      <c r="BB1567" s="54">
        <f t="shared" si="352"/>
        <v>12057.917570078615</v>
      </c>
      <c r="BC1567" s="55">
        <f t="shared" si="353"/>
        <v>29061.983246644464</v>
      </c>
      <c r="BD1567" s="55">
        <f t="shared" si="354"/>
        <v>170.47575559781063</v>
      </c>
      <c r="BE1567" s="55">
        <f t="shared" si="355"/>
        <v>167.06317060448063</v>
      </c>
      <c r="BF1567" s="56">
        <f t="shared" si="356"/>
        <v>6.2926566136160282</v>
      </c>
      <c r="BG1567" s="56">
        <f t="shared" si="359"/>
        <v>7.9149594321590872E-3</v>
      </c>
      <c r="BH1567" s="56">
        <f t="shared" si="360"/>
        <v>8.8966057753275138E-2</v>
      </c>
      <c r="BI1567" s="56">
        <f t="shared" si="357"/>
        <v>8.7185134521464841E-2</v>
      </c>
      <c r="BJ1567" s="57">
        <f t="shared" si="361"/>
        <v>0.30858897485434361</v>
      </c>
      <c r="BK1567" s="57">
        <f t="shared" si="362"/>
        <v>4.3628543943603658E-3</v>
      </c>
      <c r="BL1567" s="58">
        <f t="shared" si="363"/>
        <v>544.47861848964226</v>
      </c>
      <c r="BM1567" s="58">
        <f t="shared" si="363"/>
        <v>7.6978801152375649</v>
      </c>
    </row>
    <row r="1568" spans="47:65" x14ac:dyDescent="0.2">
      <c r="AU1568" s="2">
        <v>-69</v>
      </c>
      <c r="AV1568" s="53">
        <v>1566</v>
      </c>
      <c r="AW1568" s="4" t="s">
        <v>1499</v>
      </c>
      <c r="AX1568" t="s">
        <v>94</v>
      </c>
      <c r="AY1568" s="4">
        <v>19034</v>
      </c>
      <c r="AZ1568" s="9">
        <v>29.041033607494491</v>
      </c>
      <c r="BA1568" s="7">
        <f t="shared" si="358"/>
        <v>7.4433400505204107E-4</v>
      </c>
      <c r="BB1568" s="54">
        <f t="shared" si="352"/>
        <v>12519.417650905893</v>
      </c>
      <c r="BC1568" s="55">
        <f t="shared" si="353"/>
        <v>29956.780658149772</v>
      </c>
      <c r="BD1568" s="55">
        <f t="shared" si="354"/>
        <v>173.08027229626654</v>
      </c>
      <c r="BE1568" s="55">
        <f t="shared" si="355"/>
        <v>169.615550067534</v>
      </c>
      <c r="BF1568" s="56">
        <f t="shared" si="356"/>
        <v>6.5334993228918385</v>
      </c>
      <c r="BG1568" s="56">
        <f t="shared" si="359"/>
        <v>8.1586552994354807E-3</v>
      </c>
      <c r="BH1568" s="56">
        <f t="shared" si="360"/>
        <v>9.0325274975698144E-2</v>
      </c>
      <c r="BI1568" s="56">
        <f t="shared" si="357"/>
        <v>8.8517142923022665E-2</v>
      </c>
      <c r="BJ1568" s="57">
        <f t="shared" si="361"/>
        <v>0.39569748280768019</v>
      </c>
      <c r="BK1568" s="57">
        <f t="shared" si="362"/>
        <v>5.4704963106930434E-3</v>
      </c>
      <c r="BL1568" s="58">
        <f t="shared" si="363"/>
        <v>698.17406432179951</v>
      </c>
      <c r="BM1568" s="58">
        <f t="shared" si="363"/>
        <v>9.6522186999867383</v>
      </c>
    </row>
    <row r="1569" spans="47:65" x14ac:dyDescent="0.2">
      <c r="AU1569" s="2">
        <v>-68</v>
      </c>
      <c r="AV1569" s="53">
        <v>1567</v>
      </c>
      <c r="AW1569" s="4" t="s">
        <v>2165</v>
      </c>
      <c r="AX1569" t="s">
        <v>561</v>
      </c>
      <c r="AY1569" s="4">
        <v>17615</v>
      </c>
      <c r="AZ1569" s="9">
        <v>29.149873473581348</v>
      </c>
      <c r="BA1569" s="7">
        <f t="shared" si="358"/>
        <v>7.4712361696905119E-4</v>
      </c>
      <c r="BB1569" s="54">
        <f t="shared" si="352"/>
        <v>13438.525543989326</v>
      </c>
      <c r="BC1569" s="55">
        <f t="shared" si="353"/>
        <v>31684.471300729911</v>
      </c>
      <c r="BD1569" s="55">
        <f t="shared" si="354"/>
        <v>178.00132387353165</v>
      </c>
      <c r="BE1569" s="55">
        <f t="shared" si="355"/>
        <v>174.43809199628583</v>
      </c>
      <c r="BF1569" s="56">
        <f t="shared" si="356"/>
        <v>7.0131534860941072</v>
      </c>
      <c r="BG1569" s="56">
        <f t="shared" si="359"/>
        <v>8.6291875831835917E-3</v>
      </c>
      <c r="BH1569" s="56">
        <f t="shared" si="360"/>
        <v>9.2893420559174114E-2</v>
      </c>
      <c r="BI1569" s="56">
        <f t="shared" si="357"/>
        <v>9.1033879348356911E-2</v>
      </c>
      <c r="BJ1569" s="57">
        <f t="shared" si="361"/>
        <v>0.39308218674889123</v>
      </c>
      <c r="BK1569" s="57">
        <f t="shared" si="362"/>
        <v>5.2066091181929945E-3</v>
      </c>
      <c r="BL1569" s="58">
        <f t="shared" si="363"/>
        <v>693.55960009571049</v>
      </c>
      <c r="BM1569" s="58">
        <f t="shared" si="363"/>
        <v>9.1866125192171388</v>
      </c>
    </row>
    <row r="1570" spans="47:65" x14ac:dyDescent="0.2">
      <c r="AU1570" s="2">
        <v>-67</v>
      </c>
      <c r="AV1570" s="53">
        <v>1568</v>
      </c>
      <c r="AW1570" s="4" t="s">
        <v>1822</v>
      </c>
      <c r="AX1570" t="s">
        <v>301</v>
      </c>
      <c r="AY1570" s="4">
        <v>11102</v>
      </c>
      <c r="AZ1570" s="9">
        <v>29.16505243783314</v>
      </c>
      <c r="BA1570" s="7">
        <f t="shared" si="358"/>
        <v>7.4751266025885896E-4</v>
      </c>
      <c r="BB1570" s="54">
        <f t="shared" si="352"/>
        <v>13571.958231383614</v>
      </c>
      <c r="BC1570" s="55">
        <f t="shared" si="353"/>
        <v>31929.847858299316</v>
      </c>
      <c r="BD1570" s="55">
        <f t="shared" si="354"/>
        <v>178.68924942004574</v>
      </c>
      <c r="BE1570" s="55">
        <f t="shared" si="355"/>
        <v>175.11224664389215</v>
      </c>
      <c r="BF1570" s="56">
        <f t="shared" si="356"/>
        <v>7.0827879049665583</v>
      </c>
      <c r="BG1570" s="56">
        <f t="shared" si="359"/>
        <v>8.6960152832185177E-3</v>
      </c>
      <c r="BH1570" s="56">
        <f t="shared" si="360"/>
        <v>9.325242776045306E-2</v>
      </c>
      <c r="BI1570" s="56">
        <f t="shared" si="357"/>
        <v>9.1385699940705542E-2</v>
      </c>
      <c r="BJ1570" s="57">
        <f t="shared" si="361"/>
        <v>0.25020318403186603</v>
      </c>
      <c r="BK1570" s="57">
        <f t="shared" si="362"/>
        <v>3.2941907420390411E-3</v>
      </c>
      <c r="BL1570" s="58">
        <f t="shared" si="363"/>
        <v>441.46192859833008</v>
      </c>
      <c r="BM1570" s="58">
        <f t="shared" si="363"/>
        <v>5.8123153139654038</v>
      </c>
    </row>
    <row r="1571" spans="47:65" x14ac:dyDescent="0.2">
      <c r="AU1571" s="2">
        <v>-66</v>
      </c>
      <c r="AV1571" s="53">
        <v>1569</v>
      </c>
      <c r="AW1571" s="4" t="s">
        <v>1843</v>
      </c>
      <c r="AX1571" t="s">
        <v>322</v>
      </c>
      <c r="AY1571" s="4">
        <v>38300</v>
      </c>
      <c r="AZ1571" s="9">
        <v>29.173805846050683</v>
      </c>
      <c r="BA1571" s="7">
        <f t="shared" si="358"/>
        <v>7.4773701382300822E-4</v>
      </c>
      <c r="BB1571" s="54">
        <f t="shared" si="352"/>
        <v>13649.507742309959</v>
      </c>
      <c r="BC1571" s="55">
        <f t="shared" si="353"/>
        <v>32071.875194485474</v>
      </c>
      <c r="BD1571" s="55">
        <f t="shared" si="354"/>
        <v>179.08622279361825</v>
      </c>
      <c r="BE1571" s="55">
        <f t="shared" si="355"/>
        <v>175.50127340140389</v>
      </c>
      <c r="BF1571" s="56">
        <f t="shared" si="356"/>
        <v>7.123258611452755</v>
      </c>
      <c r="BG1571" s="56">
        <f t="shared" si="359"/>
        <v>8.7346960778023671E-3</v>
      </c>
      <c r="BH1571" s="56">
        <f t="shared" si="360"/>
        <v>9.3459595964258096E-2</v>
      </c>
      <c r="BI1571" s="56">
        <f t="shared" si="357"/>
        <v>9.1588721049805408E-2</v>
      </c>
      <c r="BJ1571" s="57">
        <f t="shared" si="361"/>
        <v>0.8680902089344571</v>
      </c>
      <c r="BK1571" s="57">
        <f t="shared" si="362"/>
        <v>1.1389641260124962E-2</v>
      </c>
      <c r="BL1571" s="58">
        <f t="shared" si="363"/>
        <v>1531.6702675723125</v>
      </c>
      <c r="BM1571" s="58">
        <f t="shared" si="363"/>
        <v>20.096039209866728</v>
      </c>
    </row>
    <row r="1572" spans="47:65" x14ac:dyDescent="0.2">
      <c r="AU1572" s="2">
        <v>-65</v>
      </c>
      <c r="AV1572" s="53">
        <v>1570</v>
      </c>
      <c r="AW1572" s="4" t="s">
        <v>2383</v>
      </c>
      <c r="AX1572" t="s">
        <v>723</v>
      </c>
      <c r="AY1572" s="4">
        <v>36575</v>
      </c>
      <c r="AZ1572" s="9">
        <v>29.235942709233861</v>
      </c>
      <c r="BA1572" s="7">
        <f t="shared" si="358"/>
        <v>7.4932960797305143E-4</v>
      </c>
      <c r="BB1572" s="54">
        <f t="shared" si="352"/>
        <v>14212.887123714861</v>
      </c>
      <c r="BC1572" s="55">
        <f t="shared" si="353"/>
        <v>33091.614979547368</v>
      </c>
      <c r="BD1572" s="55">
        <f t="shared" si="354"/>
        <v>181.91100840671345</v>
      </c>
      <c r="BE1572" s="55">
        <f t="shared" si="355"/>
        <v>178.26951243426063</v>
      </c>
      <c r="BF1572" s="56">
        <f t="shared" si="356"/>
        <v>7.4172689967260474</v>
      </c>
      <c r="BG1572" s="56">
        <f t="shared" si="359"/>
        <v>9.0124196922451404E-3</v>
      </c>
      <c r="BH1572" s="56">
        <f t="shared" si="360"/>
        <v>9.4933764763887568E-2</v>
      </c>
      <c r="BI1572" s="56">
        <f t="shared" si="357"/>
        <v>9.3033379927008608E-2</v>
      </c>
      <c r="BJ1572" s="57">
        <f t="shared" si="361"/>
        <v>0.86320855624941739</v>
      </c>
      <c r="BK1572" s="57">
        <f t="shared" si="362"/>
        <v>1.1048222473437131E-2</v>
      </c>
      <c r="BL1572" s="58">
        <f t="shared" si="363"/>
        <v>1523.0570126394321</v>
      </c>
      <c r="BM1572" s="58">
        <f t="shared" si="363"/>
        <v>19.493635221227979</v>
      </c>
    </row>
    <row r="1573" spans="47:65" x14ac:dyDescent="0.2">
      <c r="AU1573" s="2">
        <v>-64</v>
      </c>
      <c r="AV1573" s="53">
        <v>1571</v>
      </c>
      <c r="AW1573" s="4" t="s">
        <v>1992</v>
      </c>
      <c r="AX1573" t="s">
        <v>420</v>
      </c>
      <c r="AY1573" s="4">
        <v>47190</v>
      </c>
      <c r="AZ1573" s="9">
        <v>29.244791742754405</v>
      </c>
      <c r="BA1573" s="7">
        <f t="shared" si="358"/>
        <v>7.4955641245426276E-4</v>
      </c>
      <c r="BB1573" s="54">
        <f t="shared" si="352"/>
        <v>14294.988930261417</v>
      </c>
      <c r="BC1573" s="55">
        <f t="shared" si="353"/>
        <v>33238.564562828615</v>
      </c>
      <c r="BD1573" s="55">
        <f t="shared" si="354"/>
        <v>182.31446613702551</v>
      </c>
      <c r="BE1573" s="55">
        <f t="shared" si="355"/>
        <v>178.66489374460861</v>
      </c>
      <c r="BF1573" s="56">
        <f t="shared" si="356"/>
        <v>7.4601154063944133</v>
      </c>
      <c r="BG1573" s="56">
        <f t="shared" si="359"/>
        <v>9.0524410486797127E-3</v>
      </c>
      <c r="BH1573" s="56">
        <f t="shared" si="360"/>
        <v>9.5144316954191815E-2</v>
      </c>
      <c r="BI1573" s="56">
        <f t="shared" si="357"/>
        <v>9.3239717281939777E-2</v>
      </c>
      <c r="BJ1573" s="57">
        <f t="shared" si="361"/>
        <v>1.1201673126258291</v>
      </c>
      <c r="BK1573" s="57">
        <f t="shared" si="362"/>
        <v>1.4286314356858953E-2</v>
      </c>
      <c r="BL1573" s="58">
        <f t="shared" si="363"/>
        <v>1976.4385657123607</v>
      </c>
      <c r="BM1573" s="58">
        <f t="shared" si="363"/>
        <v>25.206968939842586</v>
      </c>
    </row>
    <row r="1574" spans="47:65" x14ac:dyDescent="0.2">
      <c r="AU1574" s="2">
        <v>-63</v>
      </c>
      <c r="AV1574" s="53">
        <v>1572</v>
      </c>
      <c r="AW1574" s="4" t="s">
        <v>1561</v>
      </c>
      <c r="AX1574" t="s">
        <v>139</v>
      </c>
      <c r="AY1574" s="4">
        <v>55278</v>
      </c>
      <c r="AZ1574" s="9">
        <v>29.257128881773912</v>
      </c>
      <c r="BA1574" s="7">
        <f t="shared" si="358"/>
        <v>7.4987261855840443E-4</v>
      </c>
      <c r="BB1574" s="54">
        <f t="shared" si="352"/>
        <v>14410.245764706458</v>
      </c>
      <c r="BC1574" s="55">
        <f t="shared" si="353"/>
        <v>33444.195768942787</v>
      </c>
      <c r="BD1574" s="55">
        <f t="shared" si="354"/>
        <v>182.87754309631018</v>
      </c>
      <c r="BE1574" s="55">
        <f t="shared" si="355"/>
        <v>179.21669902496973</v>
      </c>
      <c r="BF1574" s="56">
        <f t="shared" si="356"/>
        <v>7.5202644061964019</v>
      </c>
      <c r="BG1574" s="56">
        <f t="shared" si="359"/>
        <v>9.1084442003086449E-3</v>
      </c>
      <c r="BH1574" s="56">
        <f t="shared" si="360"/>
        <v>9.5438169514658264E-2</v>
      </c>
      <c r="BI1574" s="56">
        <f t="shared" si="357"/>
        <v>9.3527687499579348E-2</v>
      </c>
      <c r="BJ1574" s="57">
        <f t="shared" si="361"/>
        <v>1.3227348742517668</v>
      </c>
      <c r="BK1574" s="57">
        <f t="shared" si="362"/>
        <v>1.6786563388352948E-2</v>
      </c>
      <c r="BL1574" s="58">
        <f t="shared" si="363"/>
        <v>2333.8515489758279</v>
      </c>
      <c r="BM1574" s="58">
        <f t="shared" si="363"/>
        <v>29.618442613490437</v>
      </c>
    </row>
    <row r="1575" spans="47:65" x14ac:dyDescent="0.2">
      <c r="AU1575" s="2">
        <v>-62</v>
      </c>
      <c r="AV1575" s="53">
        <v>1573</v>
      </c>
      <c r="AW1575" s="4" t="s">
        <v>1820</v>
      </c>
      <c r="AX1575" t="s">
        <v>299</v>
      </c>
      <c r="AY1575" s="4">
        <v>25650</v>
      </c>
      <c r="AZ1575" s="9">
        <v>29.26649730686934</v>
      </c>
      <c r="BA1575" s="7">
        <f t="shared" si="358"/>
        <v>7.5011273526590723E-4</v>
      </c>
      <c r="BB1575" s="54">
        <f t="shared" si="352"/>
        <v>14498.388501964735</v>
      </c>
      <c r="BC1575" s="55">
        <f t="shared" si="353"/>
        <v>33600.946805812135</v>
      </c>
      <c r="BD1575" s="55">
        <f t="shared" si="354"/>
        <v>183.30561040462493</v>
      </c>
      <c r="BE1575" s="55">
        <f t="shared" si="355"/>
        <v>179.63619727859768</v>
      </c>
      <c r="BF1575" s="56">
        <f t="shared" si="356"/>
        <v>7.5662633919521936</v>
      </c>
      <c r="BG1575" s="56">
        <f t="shared" si="359"/>
        <v>9.1511349584461679E-3</v>
      </c>
      <c r="BH1575" s="56">
        <f t="shared" si="360"/>
        <v>9.5661564687423803E-2</v>
      </c>
      <c r="BI1575" s="56">
        <f t="shared" si="357"/>
        <v>9.3746610746049619E-2</v>
      </c>
      <c r="BJ1575" s="57">
        <f t="shared" si="361"/>
        <v>0.61752735019977545</v>
      </c>
      <c r="BK1575" s="57">
        <f t="shared" si="362"/>
        <v>7.8075041136186881E-3</v>
      </c>
      <c r="BL1575" s="58">
        <f t="shared" si="363"/>
        <v>1089.5737239966093</v>
      </c>
      <c r="BM1575" s="58">
        <f t="shared" si="363"/>
        <v>13.775667311645906</v>
      </c>
    </row>
    <row r="1576" spans="47:65" x14ac:dyDescent="0.2">
      <c r="AU1576" s="2">
        <v>-61</v>
      </c>
      <c r="AV1576" s="53">
        <v>1574</v>
      </c>
      <c r="AW1576" s="4" t="s">
        <v>1842</v>
      </c>
      <c r="AX1576" t="s">
        <v>321</v>
      </c>
      <c r="AY1576" s="4">
        <v>13904</v>
      </c>
      <c r="AZ1576" s="9">
        <v>29.280562225817924</v>
      </c>
      <c r="BA1576" s="7">
        <f t="shared" si="358"/>
        <v>7.5047322510222731E-4</v>
      </c>
      <c r="BB1576" s="54">
        <f t="shared" si="352"/>
        <v>14631.73157698803</v>
      </c>
      <c r="BC1576" s="55">
        <f t="shared" si="353"/>
        <v>33837.278025645857</v>
      </c>
      <c r="BD1576" s="55">
        <f t="shared" si="354"/>
        <v>183.94911803443324</v>
      </c>
      <c r="BE1576" s="55">
        <f t="shared" si="355"/>
        <v>180.26682316769819</v>
      </c>
      <c r="BF1576" s="56">
        <f t="shared" si="356"/>
        <v>7.6358510448821946</v>
      </c>
      <c r="BG1576" s="56">
        <f t="shared" si="359"/>
        <v>9.2154991830657243E-3</v>
      </c>
      <c r="BH1576" s="56">
        <f t="shared" si="360"/>
        <v>9.5997391543029567E-2</v>
      </c>
      <c r="BI1576" s="56">
        <f t="shared" si="357"/>
        <v>9.4075715017063938E-2</v>
      </c>
      <c r="BJ1576" s="57">
        <f t="shared" si="361"/>
        <v>0.33781939446922526</v>
      </c>
      <c r="BK1576" s="57">
        <f t="shared" si="362"/>
        <v>4.2470420770487531E-3</v>
      </c>
      <c r="BL1576" s="58">
        <f t="shared" si="363"/>
        <v>596.05317165472354</v>
      </c>
      <c r="BM1576" s="58">
        <f t="shared" si="363"/>
        <v>7.4935392745977634</v>
      </c>
    </row>
    <row r="1577" spans="47:65" x14ac:dyDescent="0.2">
      <c r="AU1577" s="2">
        <v>-60</v>
      </c>
      <c r="AV1577" s="53">
        <v>1575</v>
      </c>
      <c r="AW1577" s="4" t="s">
        <v>2702</v>
      </c>
      <c r="AX1577" t="s">
        <v>966</v>
      </c>
      <c r="AY1577" s="4">
        <v>107898</v>
      </c>
      <c r="AZ1577" s="9">
        <v>29.300467844380652</v>
      </c>
      <c r="BA1577" s="7">
        <f t="shared" si="358"/>
        <v>7.5098341454617364E-4</v>
      </c>
      <c r="BB1577" s="54">
        <f t="shared" si="352"/>
        <v>14822.546516829541</v>
      </c>
      <c r="BC1577" s="55">
        <f t="shared" si="353"/>
        <v>34173.864630213648</v>
      </c>
      <c r="BD1577" s="55">
        <f t="shared" si="354"/>
        <v>184.86174463694118</v>
      </c>
      <c r="BE1577" s="55">
        <f t="shared" si="355"/>
        <v>181.16118080382256</v>
      </c>
      <c r="BF1577" s="56">
        <f t="shared" si="356"/>
        <v>7.7354314978245826</v>
      </c>
      <c r="BG1577" s="56">
        <f t="shared" si="359"/>
        <v>9.3071677143528059E-3</v>
      </c>
      <c r="BH1577" s="56">
        <f t="shared" si="360"/>
        <v>9.6473663319855366E-2</v>
      </c>
      <c r="BI1577" s="56">
        <f t="shared" si="357"/>
        <v>9.4542452781779668E-2</v>
      </c>
      <c r="BJ1577" s="57">
        <f t="shared" si="361"/>
        <v>2.6557385109177014</v>
      </c>
      <c r="BK1577" s="57">
        <f t="shared" si="362"/>
        <v>3.312146491632708E-2</v>
      </c>
      <c r="BL1577" s="58">
        <f t="shared" si="363"/>
        <v>4685.8214431566439</v>
      </c>
      <c r="BM1577" s="58">
        <f t="shared" si="363"/>
        <v>58.439966847509943</v>
      </c>
    </row>
    <row r="1578" spans="47:65" x14ac:dyDescent="0.2">
      <c r="AU1578" s="2">
        <v>-59</v>
      </c>
      <c r="AV1578" s="53">
        <v>1576</v>
      </c>
      <c r="AW1578" s="4" t="s">
        <v>1793</v>
      </c>
      <c r="AX1578" t="s">
        <v>283</v>
      </c>
      <c r="AY1578" s="4">
        <v>12255</v>
      </c>
      <c r="AZ1578" s="9">
        <v>29.301522092629938</v>
      </c>
      <c r="BA1578" s="7">
        <f t="shared" si="358"/>
        <v>7.510104353758147E-4</v>
      </c>
      <c r="BB1578" s="54">
        <f t="shared" si="352"/>
        <v>14832.72163268453</v>
      </c>
      <c r="BC1578" s="55">
        <f t="shared" si="353"/>
        <v>34191.761948134452</v>
      </c>
      <c r="BD1578" s="55">
        <f t="shared" si="354"/>
        <v>184.9101456062767</v>
      </c>
      <c r="BE1578" s="55">
        <f t="shared" si="355"/>
        <v>181.20861288217978</v>
      </c>
      <c r="BF1578" s="56">
        <f t="shared" si="356"/>
        <v>7.7407415780857169</v>
      </c>
      <c r="BG1578" s="56">
        <f t="shared" si="359"/>
        <v>9.3120420047305315E-3</v>
      </c>
      <c r="BH1578" s="56">
        <f t="shared" si="360"/>
        <v>9.6498922298285439E-2</v>
      </c>
      <c r="BI1578" s="56">
        <f t="shared" si="357"/>
        <v>9.4567206125784273E-2</v>
      </c>
      <c r="BJ1578" s="57">
        <f t="shared" si="361"/>
        <v>0.30184449292276422</v>
      </c>
      <c r="BK1578" s="57">
        <f t="shared" si="362"/>
        <v>3.7629041061363606E-3</v>
      </c>
      <c r="BL1578" s="58">
        <f t="shared" si="363"/>
        <v>532.57856209174906</v>
      </c>
      <c r="BM1578" s="58">
        <f t="shared" si="363"/>
        <v>6.6393196004011061</v>
      </c>
    </row>
    <row r="1579" spans="47:65" x14ac:dyDescent="0.2">
      <c r="AU1579" s="2">
        <v>-58</v>
      </c>
      <c r="AV1579" s="53">
        <v>1577</v>
      </c>
      <c r="AW1579" s="4" t="s">
        <v>2268</v>
      </c>
      <c r="AX1579" t="s">
        <v>627</v>
      </c>
      <c r="AY1579" s="4">
        <v>84929</v>
      </c>
      <c r="AZ1579" s="9">
        <v>29.309805615110502</v>
      </c>
      <c r="BA1579" s="7">
        <f t="shared" si="358"/>
        <v>7.5122274556928888E-4</v>
      </c>
      <c r="BB1579" s="54">
        <f t="shared" si="352"/>
        <v>14912.913808982306</v>
      </c>
      <c r="BC1579" s="55">
        <f t="shared" si="353"/>
        <v>34332.639850650718</v>
      </c>
      <c r="BD1579" s="55">
        <f t="shared" si="354"/>
        <v>185.29069013485463</v>
      </c>
      <c r="BE1579" s="55">
        <f t="shared" si="355"/>
        <v>181.58153966744305</v>
      </c>
      <c r="BF1579" s="56">
        <f t="shared" si="356"/>
        <v>7.7825914104143568</v>
      </c>
      <c r="BG1579" s="56">
        <f t="shared" si="359"/>
        <v>9.3504097538924646E-3</v>
      </c>
      <c r="BH1579" s="56">
        <f t="shared" si="360"/>
        <v>9.6697516792792898E-2</v>
      </c>
      <c r="BI1579" s="56">
        <f t="shared" si="357"/>
        <v>9.4761825154165563E-2</v>
      </c>
      <c r="BJ1579" s="57">
        <f t="shared" si="361"/>
        <v>2.1031372379786553</v>
      </c>
      <c r="BK1579" s="57">
        <f t="shared" si="362"/>
        <v>2.6131160902890246E-2</v>
      </c>
      <c r="BL1579" s="58">
        <f t="shared" si="363"/>
        <v>3710.8041801209597</v>
      </c>
      <c r="BM1579" s="58">
        <f t="shared" si="363"/>
        <v>46.106178597767112</v>
      </c>
    </row>
    <row r="1580" spans="47:65" x14ac:dyDescent="0.2">
      <c r="AU1580" s="2">
        <v>-57</v>
      </c>
      <c r="AV1580" s="53">
        <v>1578</v>
      </c>
      <c r="AW1580" s="4" t="s">
        <v>1672</v>
      </c>
      <c r="AX1580" t="s">
        <v>215</v>
      </c>
      <c r="AY1580" s="4">
        <v>65392</v>
      </c>
      <c r="AZ1580" s="9">
        <v>29.385634764373524</v>
      </c>
      <c r="BA1580" s="7">
        <f t="shared" si="358"/>
        <v>7.5316627881722635E-4</v>
      </c>
      <c r="BB1580" s="54">
        <f t="shared" si="352"/>
        <v>2.9584501461665798</v>
      </c>
      <c r="BC1580" s="55">
        <f t="shared" si="353"/>
        <v>14969.289101267465</v>
      </c>
      <c r="BD1580" s="55">
        <f t="shared" si="354"/>
        <v>122.34904618045645</v>
      </c>
      <c r="BE1580" s="55">
        <f t="shared" si="355"/>
        <v>119.89986202826123</v>
      </c>
      <c r="BF1580" s="56">
        <f t="shared" si="356"/>
        <v>433.35885047656927</v>
      </c>
      <c r="BG1580" s="56">
        <f t="shared" si="359"/>
        <v>7.8120119429218198</v>
      </c>
      <c r="BH1580" s="56">
        <f t="shared" si="360"/>
        <v>2.7949976642068628</v>
      </c>
      <c r="BI1580" s="56">
        <f t="shared" si="357"/>
        <v>2.7390473793595129</v>
      </c>
      <c r="BJ1580" s="57">
        <f t="shared" si="361"/>
        <v>90.169500336571687</v>
      </c>
      <c r="BK1580" s="57">
        <f t="shared" si="362"/>
        <v>0.58155854564009679</v>
      </c>
      <c r="BL1580" s="58">
        <f t="shared" si="363"/>
        <v>159096.30276432031</v>
      </c>
      <c r="BM1580" s="58">
        <f t="shared" si="363"/>
        <v>1026.1098720407133</v>
      </c>
    </row>
    <row r="1581" spans="47:65" x14ac:dyDescent="0.2">
      <c r="AU1581" s="2">
        <v>-56</v>
      </c>
      <c r="AV1581" s="53">
        <v>1579</v>
      </c>
      <c r="AW1581" s="4" t="s">
        <v>2697</v>
      </c>
      <c r="AX1581" t="s">
        <v>961</v>
      </c>
      <c r="AY1581" s="4">
        <v>7700</v>
      </c>
      <c r="AZ1581" s="9">
        <v>29.330276638722808</v>
      </c>
      <c r="BA1581" s="7">
        <f t="shared" si="358"/>
        <v>7.5174742658439334E-4</v>
      </c>
      <c r="BB1581" s="54">
        <f t="shared" si="352"/>
        <v>15112.957025460606</v>
      </c>
      <c r="BC1581" s="55">
        <f t="shared" si="353"/>
        <v>34682.766100908957</v>
      </c>
      <c r="BD1581" s="55">
        <f t="shared" si="354"/>
        <v>186.23309614810401</v>
      </c>
      <c r="BE1581" s="55">
        <f t="shared" si="355"/>
        <v>182.50508058983442</v>
      </c>
      <c r="BF1581" s="56">
        <f t="shared" si="356"/>
        <v>7.8869878173283441</v>
      </c>
      <c r="BG1581" s="56">
        <f t="shared" si="359"/>
        <v>9.4457657742759906E-3</v>
      </c>
      <c r="BH1581" s="56">
        <f t="shared" si="360"/>
        <v>9.7189329528894225E-2</v>
      </c>
      <c r="BI1581" s="56">
        <f t="shared" si="357"/>
        <v>9.5243792779113906E-2</v>
      </c>
      <c r="BJ1581" s="57">
        <f t="shared" si="361"/>
        <v>0.19323654653847785</v>
      </c>
      <c r="BK1581" s="57">
        <f t="shared" si="362"/>
        <v>2.3812044386947446E-3</v>
      </c>
      <c r="BL1581" s="58">
        <f t="shared" si="363"/>
        <v>340.94921229976313</v>
      </c>
      <c r="BM1581" s="58">
        <f t="shared" si="363"/>
        <v>4.2014297618179119</v>
      </c>
    </row>
    <row r="1582" spans="47:65" x14ac:dyDescent="0.2">
      <c r="AU1582" s="2">
        <v>-55</v>
      </c>
      <c r="AV1582" s="53">
        <v>1580</v>
      </c>
      <c r="AW1582" s="4" t="s">
        <v>1671</v>
      </c>
      <c r="AX1582" t="s">
        <v>214</v>
      </c>
      <c r="AY1582" s="4">
        <v>53859</v>
      </c>
      <c r="AZ1582" s="9">
        <v>29.503264338051959</v>
      </c>
      <c r="BA1582" s="7">
        <f t="shared" si="358"/>
        <v>7.5618117466673353E-4</v>
      </c>
      <c r="BB1582" s="54">
        <f t="shared" si="352"/>
        <v>3.0854117871367697</v>
      </c>
      <c r="BC1582" s="55">
        <f t="shared" si="353"/>
        <v>15848.382398832258</v>
      </c>
      <c r="BD1582" s="55">
        <f t="shared" si="354"/>
        <v>125.89035864128857</v>
      </c>
      <c r="BE1582" s="55">
        <f t="shared" si="355"/>
        <v>123.37028446887815</v>
      </c>
      <c r="BF1582" s="56">
        <f t="shared" si="356"/>
        <v>786.26052994219742</v>
      </c>
      <c r="BG1582" s="56">
        <f t="shared" si="359"/>
        <v>8.2707837184590574</v>
      </c>
      <c r="BH1582" s="56">
        <f t="shared" si="360"/>
        <v>2.875897028486774</v>
      </c>
      <c r="BI1582" s="56">
        <f t="shared" si="357"/>
        <v>2.8183272995399187</v>
      </c>
      <c r="BJ1582" s="57">
        <f t="shared" si="361"/>
        <v>134.74483673072234</v>
      </c>
      <c r="BK1582" s="57">
        <f t="shared" si="362"/>
        <v>0.49285479914184183</v>
      </c>
      <c r="BL1582" s="58">
        <f t="shared" si="363"/>
        <v>237745.63749850512</v>
      </c>
      <c r="BM1582" s="58">
        <f t="shared" si="363"/>
        <v>869.59976544658764</v>
      </c>
    </row>
    <row r="1583" spans="47:65" x14ac:dyDescent="0.2">
      <c r="AU1583" s="2">
        <v>-54</v>
      </c>
      <c r="AV1583" s="53">
        <v>1581</v>
      </c>
      <c r="AW1583" s="4" t="s">
        <v>1609</v>
      </c>
      <c r="AX1583" t="s">
        <v>169</v>
      </c>
      <c r="AY1583" s="4">
        <v>10416</v>
      </c>
      <c r="AZ1583" s="9">
        <v>29.419817107969351</v>
      </c>
      <c r="BA1583" s="7">
        <f t="shared" si="358"/>
        <v>7.5404238677724675E-4</v>
      </c>
      <c r="BB1583" s="54">
        <f t="shared" si="352"/>
        <v>16019.968451271616</v>
      </c>
      <c r="BC1583" s="55">
        <f t="shared" si="353"/>
        <v>36250.658039561211</v>
      </c>
      <c r="BD1583" s="55">
        <f t="shared" si="354"/>
        <v>190.3960557353046</v>
      </c>
      <c r="BE1583" s="55">
        <f t="shared" si="355"/>
        <v>186.58470601983888</v>
      </c>
      <c r="BF1583" s="56">
        <f t="shared" si="356"/>
        <v>8.3603292060120715</v>
      </c>
      <c r="BG1583" s="56">
        <f t="shared" si="359"/>
        <v>9.8727772752870459E-3</v>
      </c>
      <c r="BH1583" s="56">
        <f t="shared" si="360"/>
        <v>9.9361850200602883E-2</v>
      </c>
      <c r="BI1583" s="56">
        <f t="shared" si="357"/>
        <v>9.737282391522277E-2</v>
      </c>
      <c r="BJ1583" s="57">
        <f t="shared" si="361"/>
        <v>0.27708417476463698</v>
      </c>
      <c r="BK1583" s="57">
        <f t="shared" si="362"/>
        <v>3.2931234629041918E-3</v>
      </c>
      <c r="BL1583" s="58">
        <f t="shared" si="363"/>
        <v>488.891117229325</v>
      </c>
      <c r="BM1583" s="58">
        <f t="shared" si="363"/>
        <v>5.8104321920257433</v>
      </c>
    </row>
    <row r="1584" spans="47:65" x14ac:dyDescent="0.2">
      <c r="AU1584" s="2">
        <v>-53</v>
      </c>
      <c r="AV1584" s="53">
        <v>1582</v>
      </c>
      <c r="AW1584" s="4" t="s">
        <v>2874</v>
      </c>
      <c r="AX1584" t="s">
        <v>1092</v>
      </c>
      <c r="AY1584" s="4">
        <v>8315</v>
      </c>
      <c r="AZ1584" s="9">
        <v>29.442978624689559</v>
      </c>
      <c r="BA1584" s="7">
        <f t="shared" si="358"/>
        <v>7.5463602627150303E-4</v>
      </c>
      <c r="BB1584" s="54">
        <f t="shared" si="352"/>
        <v>16263.320068754136</v>
      </c>
      <c r="BC1584" s="55">
        <f t="shared" si="353"/>
        <v>36667.041082548298</v>
      </c>
      <c r="BD1584" s="55">
        <f t="shared" si="354"/>
        <v>191.48639921035723</v>
      </c>
      <c r="BE1584" s="55">
        <f t="shared" si="355"/>
        <v>187.65322299077957</v>
      </c>
      <c r="BF1584" s="56">
        <f t="shared" si="356"/>
        <v>8.4873269364481683</v>
      </c>
      <c r="BG1584" s="56">
        <f t="shared" si="359"/>
        <v>9.9861781696961392E-3</v>
      </c>
      <c r="BH1584" s="56">
        <f t="shared" si="360"/>
        <v>9.9930866951588787E-2</v>
      </c>
      <c r="BI1584" s="56">
        <f t="shared" si="357"/>
        <v>9.793045008448896E-2</v>
      </c>
      <c r="BJ1584" s="57">
        <f t="shared" si="361"/>
        <v>0.22455387687330483</v>
      </c>
      <c r="BK1584" s="57">
        <f t="shared" si="362"/>
        <v>2.643925909926177E-3</v>
      </c>
      <c r="BL1584" s="58">
        <f t="shared" si="363"/>
        <v>396.20593935405554</v>
      </c>
      <c r="BM1584" s="58">
        <f t="shared" si="363"/>
        <v>4.6649791279972304</v>
      </c>
    </row>
    <row r="1585" spans="47:65" x14ac:dyDescent="0.2">
      <c r="AU1585" s="2">
        <v>-52</v>
      </c>
      <c r="AV1585" s="53">
        <v>1583</v>
      </c>
      <c r="AW1585" s="4" t="s">
        <v>2215</v>
      </c>
      <c r="AX1585" t="s">
        <v>598</v>
      </c>
      <c r="AY1585" s="4">
        <v>55189</v>
      </c>
      <c r="AZ1585" s="9">
        <v>29.454771113644405</v>
      </c>
      <c r="BA1585" s="7">
        <f t="shared" si="358"/>
        <v>7.5493827276355027E-4</v>
      </c>
      <c r="BB1585" s="54">
        <f t="shared" si="352"/>
        <v>16388.63726710268</v>
      </c>
      <c r="BC1585" s="55">
        <f t="shared" si="353"/>
        <v>36880.942936799554</v>
      </c>
      <c r="BD1585" s="55">
        <f t="shared" si="354"/>
        <v>192.04411716269664</v>
      </c>
      <c r="BE1585" s="55">
        <f t="shared" si="355"/>
        <v>188.19977654083789</v>
      </c>
      <c r="BF1585" s="56">
        <f t="shared" si="356"/>
        <v>8.5527261309943814</v>
      </c>
      <c r="BG1585" s="56">
        <f t="shared" si="359"/>
        <v>1.0044433811937443E-2</v>
      </c>
      <c r="BH1585" s="56">
        <f t="shared" si="360"/>
        <v>0.10022192281101697</v>
      </c>
      <c r="BI1585" s="56">
        <f t="shared" si="357"/>
        <v>9.8215679585473253E-2</v>
      </c>
      <c r="BJ1585" s="57">
        <f t="shared" si="361"/>
        <v>1.5019119150022675</v>
      </c>
      <c r="BK1585" s="57">
        <f t="shared" si="362"/>
        <v>1.7599593124912008E-2</v>
      </c>
      <c r="BL1585" s="58">
        <f t="shared" si="363"/>
        <v>2649.9939764845976</v>
      </c>
      <c r="BM1585" s="58">
        <f t="shared" si="363"/>
        <v>31.052963428634989</v>
      </c>
    </row>
    <row r="1586" spans="47:65" x14ac:dyDescent="0.2">
      <c r="AU1586" s="2">
        <v>-51</v>
      </c>
      <c r="AV1586" s="53">
        <v>1584</v>
      </c>
      <c r="AW1586" s="4" t="s">
        <v>3048</v>
      </c>
      <c r="AX1586" t="s">
        <v>1208</v>
      </c>
      <c r="AY1586" s="4">
        <v>23377</v>
      </c>
      <c r="AZ1586" s="9">
        <v>29.478578748771856</v>
      </c>
      <c r="BA1586" s="7">
        <f t="shared" si="358"/>
        <v>7.5554847254654495E-4</v>
      </c>
      <c r="BB1586" s="54">
        <f t="shared" si="352"/>
        <v>16644.588414266651</v>
      </c>
      <c r="BC1586" s="55">
        <f t="shared" si="353"/>
        <v>37316.918047290645</v>
      </c>
      <c r="BD1586" s="55">
        <f t="shared" si="354"/>
        <v>193.17587335713185</v>
      </c>
      <c r="BE1586" s="55">
        <f t="shared" si="355"/>
        <v>189.30887723102447</v>
      </c>
      <c r="BF1586" s="56">
        <f t="shared" si="356"/>
        <v>8.6862991687601063</v>
      </c>
      <c r="BG1586" s="56">
        <f t="shared" si="359"/>
        <v>1.0163170557592083E-2</v>
      </c>
      <c r="BH1586" s="56">
        <f t="shared" si="360"/>
        <v>0.10081255158754827</v>
      </c>
      <c r="BI1586" s="56">
        <f t="shared" si="357"/>
        <v>9.8794485150590416E-2</v>
      </c>
      <c r="BJ1586" s="57">
        <f t="shared" si="361"/>
        <v>0.64611664901676102</v>
      </c>
      <c r="BK1586" s="57">
        <f t="shared" si="362"/>
        <v>7.4987824786000006E-3</v>
      </c>
      <c r="BL1586" s="58">
        <f t="shared" si="363"/>
        <v>1140.017074835074</v>
      </c>
      <c r="BM1586" s="58">
        <f t="shared" si="363"/>
        <v>13.23095462574331</v>
      </c>
    </row>
    <row r="1587" spans="47:65" x14ac:dyDescent="0.2">
      <c r="AU1587" s="2">
        <v>-50</v>
      </c>
      <c r="AV1587" s="53">
        <v>1585</v>
      </c>
      <c r="AW1587" s="4" t="s">
        <v>2940</v>
      </c>
      <c r="AX1587" t="s">
        <v>1145</v>
      </c>
      <c r="AY1587" s="4">
        <v>61709</v>
      </c>
      <c r="AZ1587" s="9">
        <v>29.516925503046647</v>
      </c>
      <c r="BA1587" s="7">
        <f t="shared" si="358"/>
        <v>7.5653131611801952E-4</v>
      </c>
      <c r="BB1587" s="54">
        <f t="shared" si="352"/>
        <v>17065.278581682094</v>
      </c>
      <c r="BC1587" s="55">
        <f t="shared" si="353"/>
        <v>38031.601328894751</v>
      </c>
      <c r="BD1587" s="55">
        <f t="shared" si="354"/>
        <v>195.01692574977884</v>
      </c>
      <c r="BE1587" s="55">
        <f t="shared" si="355"/>
        <v>191.11307542264416</v>
      </c>
      <c r="BF1587" s="56">
        <f t="shared" si="356"/>
        <v>8.9058444384042659</v>
      </c>
      <c r="BG1587" s="56">
        <f t="shared" si="359"/>
        <v>1.0357812785988492E-2</v>
      </c>
      <c r="BH1587" s="56">
        <f t="shared" si="360"/>
        <v>0.10177334025170094</v>
      </c>
      <c r="BI1587" s="56">
        <f t="shared" si="357"/>
        <v>9.9736040739837203E-2</v>
      </c>
      <c r="BJ1587" s="57">
        <f t="shared" si="361"/>
        <v>1.7486825880873131</v>
      </c>
      <c r="BK1587" s="57">
        <f t="shared" si="362"/>
        <v>1.9983424285089278E-2</v>
      </c>
      <c r="BL1587" s="58">
        <f t="shared" si="363"/>
        <v>3085.3995357030512</v>
      </c>
      <c r="BM1587" s="58">
        <f t="shared" si="363"/>
        <v>35.259027813853294</v>
      </c>
    </row>
    <row r="1588" spans="47:65" x14ac:dyDescent="0.2">
      <c r="AU1588" s="2">
        <v>-49</v>
      </c>
      <c r="AV1588" s="53">
        <v>1586</v>
      </c>
      <c r="AW1588" s="4" t="s">
        <v>2264</v>
      </c>
      <c r="AX1588" t="s">
        <v>625</v>
      </c>
      <c r="AY1588" s="4">
        <v>21505</v>
      </c>
      <c r="AZ1588" s="9">
        <v>30.614972619032741</v>
      </c>
      <c r="BA1588" s="7">
        <f t="shared" si="358"/>
        <v>7.8467472928382546E-4</v>
      </c>
      <c r="BB1588" s="54">
        <f t="shared" si="352"/>
        <v>3.0967913563695308</v>
      </c>
      <c r="BC1588" s="55">
        <f t="shared" si="353"/>
        <v>17117.177132901594</v>
      </c>
      <c r="BD1588" s="55">
        <f t="shared" si="354"/>
        <v>130.83263023000643</v>
      </c>
      <c r="BE1588" s="55">
        <f t="shared" si="355"/>
        <v>128.21362162672943</v>
      </c>
      <c r="BF1588" s="56">
        <f t="shared" si="356"/>
        <v>1734.3950730774129</v>
      </c>
      <c r="BG1588" s="56">
        <f t="shared" si="359"/>
        <v>8.9329286973296114</v>
      </c>
      <c r="BH1588" s="56">
        <f t="shared" si="360"/>
        <v>2.9888005449225967</v>
      </c>
      <c r="BI1588" s="56">
        <f t="shared" si="357"/>
        <v>2.9289707125109881</v>
      </c>
      <c r="BJ1588" s="57">
        <f t="shared" si="361"/>
        <v>118.67926559973203</v>
      </c>
      <c r="BK1588" s="57">
        <f t="shared" si="362"/>
        <v>0.20451433424918447</v>
      </c>
      <c r="BL1588" s="58">
        <f t="shared" si="363"/>
        <v>209399.32350988159</v>
      </c>
      <c r="BM1588" s="58">
        <f t="shared" si="363"/>
        <v>360.8478955733421</v>
      </c>
    </row>
    <row r="1589" spans="47:65" x14ac:dyDescent="0.2">
      <c r="AU1589" s="2">
        <v>-48</v>
      </c>
      <c r="AV1589" s="53">
        <v>1587</v>
      </c>
      <c r="AW1589" s="4" t="s">
        <v>1844</v>
      </c>
      <c r="AX1589" t="s">
        <v>323</v>
      </c>
      <c r="AY1589" s="4">
        <v>15803</v>
      </c>
      <c r="AZ1589" s="9">
        <v>29.531729275963574</v>
      </c>
      <c r="BA1589" s="7">
        <f t="shared" si="358"/>
        <v>7.5691074309482977E-4</v>
      </c>
      <c r="BB1589" s="54">
        <f t="shared" si="352"/>
        <v>17230.516537913736</v>
      </c>
      <c r="BC1589" s="55">
        <f t="shared" si="353"/>
        <v>38311.93102424853</v>
      </c>
      <c r="BD1589" s="55">
        <f t="shared" si="354"/>
        <v>195.73433787725784</v>
      </c>
      <c r="BE1589" s="55">
        <f t="shared" si="355"/>
        <v>191.81612638860972</v>
      </c>
      <c r="BF1589" s="56">
        <f t="shared" si="356"/>
        <v>8.9920770496373805</v>
      </c>
      <c r="BG1589" s="56">
        <f t="shared" si="359"/>
        <v>1.0434159886855905E-2</v>
      </c>
      <c r="BH1589" s="56">
        <f t="shared" si="360"/>
        <v>0.10214773559338408</v>
      </c>
      <c r="BI1589" s="56">
        <f t="shared" si="357"/>
        <v>0.10010294143267646</v>
      </c>
      <c r="BJ1589" s="57">
        <f t="shared" si="361"/>
        <v>0.45215457740319009</v>
      </c>
      <c r="BK1589" s="57">
        <f t="shared" si="362"/>
        <v>5.1363623737834775E-3</v>
      </c>
      <c r="BL1589" s="58">
        <f t="shared" si="363"/>
        <v>797.78773614468832</v>
      </c>
      <c r="BM1589" s="58">
        <f t="shared" si="363"/>
        <v>9.062668200183893</v>
      </c>
    </row>
    <row r="1590" spans="47:65" x14ac:dyDescent="0.2">
      <c r="AU1590" s="2">
        <v>-47</v>
      </c>
      <c r="AV1590" s="53">
        <v>1588</v>
      </c>
      <c r="AW1590" s="4" t="s">
        <v>1563</v>
      </c>
      <c r="AX1590" t="s">
        <v>141</v>
      </c>
      <c r="AY1590" s="4">
        <v>52161</v>
      </c>
      <c r="AZ1590" s="9">
        <v>29.538646081025625</v>
      </c>
      <c r="BA1590" s="7">
        <f t="shared" si="358"/>
        <v>7.5708802374136548E-4</v>
      </c>
      <c r="BB1590" s="54">
        <f t="shared" si="352"/>
        <v>17308.268615083733</v>
      </c>
      <c r="BC1590" s="55">
        <f t="shared" si="353"/>
        <v>38443.805268254444</v>
      </c>
      <c r="BD1590" s="55">
        <f t="shared" si="354"/>
        <v>196.07091897641129</v>
      </c>
      <c r="BE1590" s="55">
        <f t="shared" si="355"/>
        <v>192.14596980471853</v>
      </c>
      <c r="BF1590" s="56">
        <f t="shared" si="356"/>
        <v>9.0326534692208291</v>
      </c>
      <c r="BG1590" s="56">
        <f t="shared" si="359"/>
        <v>1.0470075511835672E-2</v>
      </c>
      <c r="BH1590" s="56">
        <f t="shared" si="360"/>
        <v>0.10232338692515837</v>
      </c>
      <c r="BI1590" s="56">
        <f t="shared" si="357"/>
        <v>0.10027507657473352</v>
      </c>
      <c r="BJ1590" s="57">
        <f t="shared" si="361"/>
        <v>1.4991622235590758</v>
      </c>
      <c r="BK1590" s="57">
        <f t="shared" si="362"/>
        <v>1.6982756704608588E-2</v>
      </c>
      <c r="BL1590" s="58">
        <f t="shared" si="363"/>
        <v>2645.1423831994894</v>
      </c>
      <c r="BM1590" s="58">
        <f t="shared" si="363"/>
        <v>29.964608790821284</v>
      </c>
    </row>
    <row r="1591" spans="47:65" x14ac:dyDescent="0.2">
      <c r="AU1591" s="2">
        <v>-46</v>
      </c>
      <c r="AV1591" s="53">
        <v>1589</v>
      </c>
      <c r="AW1591" s="4" t="s">
        <v>1841</v>
      </c>
      <c r="AX1591" t="s">
        <v>320</v>
      </c>
      <c r="AY1591" s="4">
        <v>13678</v>
      </c>
      <c r="AZ1591" s="9">
        <v>29.542033644902173</v>
      </c>
      <c r="BA1591" s="7">
        <f t="shared" si="358"/>
        <v>7.5717484843988269E-4</v>
      </c>
      <c r="BB1591" s="54">
        <f t="shared" si="352"/>
        <v>17346.476261329324</v>
      </c>
      <c r="BC1591" s="55">
        <f t="shared" si="353"/>
        <v>38508.604880884035</v>
      </c>
      <c r="BD1591" s="55">
        <f t="shared" si="354"/>
        <v>196.23609474529408</v>
      </c>
      <c r="BE1591" s="55">
        <f t="shared" si="355"/>
        <v>192.30783908378302</v>
      </c>
      <c r="BF1591" s="56">
        <f t="shared" si="356"/>
        <v>9.0525928655917802</v>
      </c>
      <c r="BG1591" s="56">
        <f t="shared" si="359"/>
        <v>1.0487723526453952E-2</v>
      </c>
      <c r="BH1591" s="56">
        <f t="shared" si="360"/>
        <v>0.10240958708272362</v>
      </c>
      <c r="BI1591" s="56">
        <f t="shared" si="357"/>
        <v>0.10035955117687829</v>
      </c>
      <c r="BJ1591" s="57">
        <f t="shared" si="361"/>
        <v>0.39398796903330902</v>
      </c>
      <c r="BK1591" s="57">
        <f t="shared" si="362"/>
        <v>4.457081614442456E-3</v>
      </c>
      <c r="BL1591" s="58">
        <f t="shared" si="363"/>
        <v>695.15777477808535</v>
      </c>
      <c r="BM1591" s="58">
        <f t="shared" si="363"/>
        <v>7.8641359143588137</v>
      </c>
    </row>
    <row r="1592" spans="47:65" x14ac:dyDescent="0.2">
      <c r="AU1592" s="2">
        <v>-45</v>
      </c>
      <c r="AV1592" s="53">
        <v>1590</v>
      </c>
      <c r="AW1592" s="4" t="s">
        <v>2459</v>
      </c>
      <c r="AX1592" t="s">
        <v>778</v>
      </c>
      <c r="AY1592" s="4">
        <v>14351</v>
      </c>
      <c r="AZ1592" s="9">
        <v>29.558342300430475</v>
      </c>
      <c r="BA1592" s="7">
        <f t="shared" si="358"/>
        <v>7.5759284619610794E-4</v>
      </c>
      <c r="BB1592" s="54">
        <f t="shared" si="352"/>
        <v>17531.602135912261</v>
      </c>
      <c r="BC1592" s="55">
        <f t="shared" si="353"/>
        <v>38822.580410832496</v>
      </c>
      <c r="BD1592" s="55">
        <f t="shared" si="354"/>
        <v>197.03446503297968</v>
      </c>
      <c r="BE1592" s="55">
        <f t="shared" si="355"/>
        <v>193.09022758887835</v>
      </c>
      <c r="BF1592" s="56">
        <f t="shared" si="356"/>
        <v>9.1492043702131483</v>
      </c>
      <c r="BG1592" s="56">
        <f t="shared" si="359"/>
        <v>1.0573233987358996E-2</v>
      </c>
      <c r="BH1592" s="56">
        <f t="shared" si="360"/>
        <v>0.1028262320002002</v>
      </c>
      <c r="BI1592" s="56">
        <f t="shared" si="357"/>
        <v>0.10076785569317617</v>
      </c>
      <c r="BJ1592" s="57">
        <f t="shared" si="361"/>
        <v>0.41778502132078504</v>
      </c>
      <c r="BK1592" s="57">
        <f t="shared" si="362"/>
        <v>4.6954093263454795E-3</v>
      </c>
      <c r="BL1592" s="58">
        <f t="shared" si="363"/>
        <v>737.14562013039097</v>
      </c>
      <c r="BM1592" s="58">
        <f t="shared" si="363"/>
        <v>8.2846445971009821</v>
      </c>
    </row>
    <row r="1593" spans="47:65" x14ac:dyDescent="0.2">
      <c r="AU1593" s="2">
        <v>-44</v>
      </c>
      <c r="AV1593" s="53">
        <v>1591</v>
      </c>
      <c r="AW1593" s="4" t="s">
        <v>1823</v>
      </c>
      <c r="AX1593" t="s">
        <v>302</v>
      </c>
      <c r="AY1593" s="4">
        <v>30543</v>
      </c>
      <c r="AZ1593" s="9">
        <v>29.559333461055846</v>
      </c>
      <c r="BA1593" s="7">
        <f t="shared" si="358"/>
        <v>7.5761825006319839E-4</v>
      </c>
      <c r="BB1593" s="54">
        <f t="shared" si="352"/>
        <v>17542.916663960856</v>
      </c>
      <c r="BC1593" s="55">
        <f t="shared" si="353"/>
        <v>38841.771939429564</v>
      </c>
      <c r="BD1593" s="55">
        <f t="shared" si="354"/>
        <v>197.08315995901214</v>
      </c>
      <c r="BE1593" s="55">
        <f t="shared" si="355"/>
        <v>193.13794773950508</v>
      </c>
      <c r="BF1593" s="56">
        <f t="shared" si="356"/>
        <v>9.1551090746814854</v>
      </c>
      <c r="BG1593" s="56">
        <f t="shared" si="359"/>
        <v>1.0578460752820533E-2</v>
      </c>
      <c r="BH1593" s="56">
        <f t="shared" si="360"/>
        <v>0.10285164438559324</v>
      </c>
      <c r="BI1593" s="56">
        <f t="shared" si="357"/>
        <v>0.10079275937324199</v>
      </c>
      <c r="BJ1593" s="57">
        <f t="shared" si="361"/>
        <v>0.88973891754134404</v>
      </c>
      <c r="BK1593" s="57">
        <f t="shared" si="362"/>
        <v>9.9956330390491548E-3</v>
      </c>
      <c r="BL1593" s="58">
        <f t="shared" si="363"/>
        <v>1569.8675458773014</v>
      </c>
      <c r="BM1593" s="58">
        <f t="shared" si="363"/>
        <v>17.636431990481078</v>
      </c>
    </row>
    <row r="1594" spans="47:65" x14ac:dyDescent="0.2">
      <c r="AU1594" s="2">
        <v>-43</v>
      </c>
      <c r="AV1594" s="53">
        <v>1592</v>
      </c>
      <c r="AW1594" s="4" t="s">
        <v>2398</v>
      </c>
      <c r="AX1594" t="s">
        <v>735</v>
      </c>
      <c r="AY1594" s="4">
        <v>27380</v>
      </c>
      <c r="AZ1594" s="9">
        <v>29.57635619890107</v>
      </c>
      <c r="BA1594" s="7">
        <f t="shared" si="358"/>
        <v>7.5805455005198451E-4</v>
      </c>
      <c r="BB1594" s="54">
        <f t="shared" si="352"/>
        <v>17738.38231108859</v>
      </c>
      <c r="BC1594" s="55">
        <f t="shared" si="353"/>
        <v>39173.405487709002</v>
      </c>
      <c r="BD1594" s="55">
        <f t="shared" si="354"/>
        <v>197.92272605163109</v>
      </c>
      <c r="BE1594" s="55">
        <f t="shared" si="355"/>
        <v>193.96070739159217</v>
      </c>
      <c r="BF1594" s="56">
        <f t="shared" si="356"/>
        <v>9.2571165888301365</v>
      </c>
      <c r="BG1594" s="56">
        <f t="shared" si="359"/>
        <v>1.0668780331450384E-2</v>
      </c>
      <c r="BH1594" s="56">
        <f t="shared" si="360"/>
        <v>0.1032897881276285</v>
      </c>
      <c r="BI1594" s="56">
        <f t="shared" si="357"/>
        <v>0.10122213235046233</v>
      </c>
      <c r="BJ1594" s="57">
        <f t="shared" si="361"/>
        <v>0.80648547386604685</v>
      </c>
      <c r="BK1594" s="57">
        <f t="shared" si="362"/>
        <v>8.998667449446187E-3</v>
      </c>
      <c r="BL1594" s="58">
        <f t="shared" si="363"/>
        <v>1422.9740283165168</v>
      </c>
      <c r="BM1594" s="58">
        <f t="shared" si="363"/>
        <v>15.877372234166215</v>
      </c>
    </row>
    <row r="1595" spans="47:65" x14ac:dyDescent="0.2">
      <c r="AU1595" s="2">
        <v>-42</v>
      </c>
      <c r="AV1595" s="53">
        <v>1593</v>
      </c>
      <c r="AW1595" s="4" t="s">
        <v>1959</v>
      </c>
      <c r="AX1595" t="s">
        <v>402</v>
      </c>
      <c r="AY1595" s="4">
        <v>68493</v>
      </c>
      <c r="AZ1595" s="9">
        <v>29.59553576456014</v>
      </c>
      <c r="BA1595" s="7">
        <f t="shared" si="358"/>
        <v>7.5854613045215626E-4</v>
      </c>
      <c r="BB1595" s="54">
        <f t="shared" si="352"/>
        <v>17961.224746601991</v>
      </c>
      <c r="BC1595" s="55">
        <f t="shared" si="353"/>
        <v>39551.821534477021</v>
      </c>
      <c r="BD1595" s="55">
        <f t="shared" si="354"/>
        <v>198.87639763048057</v>
      </c>
      <c r="BE1595" s="55">
        <f t="shared" si="355"/>
        <v>194.89528836540438</v>
      </c>
      <c r="BF1595" s="56">
        <f t="shared" si="356"/>
        <v>9.373411207488612</v>
      </c>
      <c r="BG1595" s="56">
        <f t="shared" si="359"/>
        <v>1.0771841008116316E-2</v>
      </c>
      <c r="BH1595" s="56">
        <f t="shared" si="360"/>
        <v>0.10378748001621542</v>
      </c>
      <c r="BI1595" s="56">
        <f t="shared" si="357"/>
        <v>0.10170986143897638</v>
      </c>
      <c r="BJ1595" s="57">
        <f t="shared" si="361"/>
        <v>2.0428253131660576</v>
      </c>
      <c r="BK1595" s="57">
        <f t="shared" si="362"/>
        <v>2.2619267060155674E-2</v>
      </c>
      <c r="BL1595" s="58">
        <f t="shared" si="363"/>
        <v>3604.3889930070509</v>
      </c>
      <c r="BM1595" s="58">
        <f t="shared" si="363"/>
        <v>39.909744947870998</v>
      </c>
    </row>
    <row r="1596" spans="47:65" x14ac:dyDescent="0.2">
      <c r="AU1596" s="2">
        <v>-41</v>
      </c>
      <c r="AV1596" s="53">
        <v>1594</v>
      </c>
      <c r="AW1596" s="4" t="s">
        <v>3066</v>
      </c>
      <c r="AX1596" t="s">
        <v>1222</v>
      </c>
      <c r="AY1596" s="4">
        <v>10264</v>
      </c>
      <c r="AZ1596" s="9">
        <v>29.603416246175218</v>
      </c>
      <c r="BA1596" s="7">
        <f t="shared" si="358"/>
        <v>7.5874811053735461E-4</v>
      </c>
      <c r="BB1596" s="54">
        <f t="shared" si="352"/>
        <v>18053.595547986741</v>
      </c>
      <c r="BC1596" s="55">
        <f t="shared" si="353"/>
        <v>39708.832822733355</v>
      </c>
      <c r="BD1596" s="55">
        <f t="shared" si="354"/>
        <v>199.2707525522332</v>
      </c>
      <c r="BE1596" s="55">
        <f t="shared" si="355"/>
        <v>195.28174908728502</v>
      </c>
      <c r="BF1596" s="56">
        <f t="shared" si="356"/>
        <v>9.4216166899743463</v>
      </c>
      <c r="BG1596" s="56">
        <f t="shared" si="359"/>
        <v>1.0814602645075706E-2</v>
      </c>
      <c r="BH1596" s="56">
        <f t="shared" si="360"/>
        <v>0.10399328173048346</v>
      </c>
      <c r="BI1596" s="56">
        <f t="shared" si="357"/>
        <v>0.10191154341293736</v>
      </c>
      <c r="BJ1596" s="57">
        <f t="shared" si="361"/>
        <v>0.30770138204761988</v>
      </c>
      <c r="BK1596" s="57">
        <f t="shared" si="362"/>
        <v>3.39632544658579E-3</v>
      </c>
      <c r="BL1596" s="58">
        <f t="shared" si="363"/>
        <v>542.91253757111804</v>
      </c>
      <c r="BM1596" s="58">
        <f t="shared" si="363"/>
        <v>5.9925231871005673</v>
      </c>
    </row>
    <row r="1597" spans="47:65" x14ac:dyDescent="0.2">
      <c r="AU1597" s="2">
        <v>-40</v>
      </c>
      <c r="AV1597" s="53">
        <v>1595</v>
      </c>
      <c r="AW1597" s="4" t="s">
        <v>2674</v>
      </c>
      <c r="AX1597" t="s">
        <v>942</v>
      </c>
      <c r="AY1597" s="4">
        <v>28644</v>
      </c>
      <c r="AZ1597" s="9">
        <v>29.620430801106345</v>
      </c>
      <c r="BA1597" s="7">
        <f t="shared" si="358"/>
        <v>7.5918420079458277E-4</v>
      </c>
      <c r="BB1597" s="54">
        <f t="shared" si="352"/>
        <v>18254.654500653469</v>
      </c>
      <c r="BC1597" s="55">
        <f t="shared" si="353"/>
        <v>40051.003056317844</v>
      </c>
      <c r="BD1597" s="55">
        <f t="shared" si="354"/>
        <v>200.12746702119088</v>
      </c>
      <c r="BE1597" s="55">
        <f t="shared" si="355"/>
        <v>196.12131383938072</v>
      </c>
      <c r="BF1597" s="56">
        <f t="shared" si="356"/>
        <v>9.5265431783892733</v>
      </c>
      <c r="BG1597" s="56">
        <f t="shared" si="359"/>
        <v>1.0907791863950191E-2</v>
      </c>
      <c r="BH1597" s="56">
        <f t="shared" si="360"/>
        <v>0.10444037468311855</v>
      </c>
      <c r="BI1597" s="56">
        <f t="shared" si="357"/>
        <v>0.10234968645539058</v>
      </c>
      <c r="BJ1597" s="57">
        <f t="shared" si="361"/>
        <v>0.86827316212320693</v>
      </c>
      <c r="BK1597" s="57">
        <f t="shared" si="362"/>
        <v>9.5189590475121648E-3</v>
      </c>
      <c r="BL1597" s="58">
        <f t="shared" si="363"/>
        <v>1531.9930726871282</v>
      </c>
      <c r="BM1597" s="58">
        <f t="shared" si="363"/>
        <v>16.795381863837676</v>
      </c>
    </row>
    <row r="1598" spans="47:65" x14ac:dyDescent="0.2">
      <c r="AU1598" s="2">
        <v>-39</v>
      </c>
      <c r="AV1598" s="53">
        <v>1596</v>
      </c>
      <c r="AW1598" s="4" t="s">
        <v>1833</v>
      </c>
      <c r="AX1598" t="s">
        <v>312</v>
      </c>
      <c r="AY1598" s="4">
        <v>14410</v>
      </c>
      <c r="AZ1598" s="9">
        <v>29.656355246771881</v>
      </c>
      <c r="BA1598" s="7">
        <f t="shared" si="358"/>
        <v>7.601049595693187E-4</v>
      </c>
      <c r="BB1598" s="54">
        <f t="shared" si="352"/>
        <v>18686.555258788496</v>
      </c>
      <c r="BC1598" s="55">
        <f t="shared" si="353"/>
        <v>40788.593759435142</v>
      </c>
      <c r="BD1598" s="55">
        <f t="shared" si="354"/>
        <v>201.96186214093774</v>
      </c>
      <c r="BE1598" s="55">
        <f t="shared" si="355"/>
        <v>197.91898802344068</v>
      </c>
      <c r="BF1598" s="56">
        <f t="shared" si="356"/>
        <v>9.7519389108039718</v>
      </c>
      <c r="BG1598" s="56">
        <f t="shared" si="359"/>
        <v>1.1108672872077245E-2</v>
      </c>
      <c r="BH1598" s="56">
        <f t="shared" si="360"/>
        <v>0.10539768912114367</v>
      </c>
      <c r="BI1598" s="56">
        <f t="shared" si="357"/>
        <v>0.1032878373655953</v>
      </c>
      <c r="BJ1598" s="57">
        <f t="shared" si="361"/>
        <v>0.4471387671293599</v>
      </c>
      <c r="BK1598" s="57">
        <f t="shared" si="362"/>
        <v>4.832617718687743E-3</v>
      </c>
      <c r="BL1598" s="58">
        <f t="shared" si="363"/>
        <v>788.9377717226273</v>
      </c>
      <c r="BM1598" s="58">
        <f t="shared" si="363"/>
        <v>8.5267369658998415</v>
      </c>
    </row>
    <row r="1599" spans="47:65" x14ac:dyDescent="0.2">
      <c r="AU1599" s="2">
        <v>-38</v>
      </c>
      <c r="AV1599" s="53">
        <v>1597</v>
      </c>
      <c r="AW1599" s="4" t="s">
        <v>1825</v>
      </c>
      <c r="AX1599" t="s">
        <v>304</v>
      </c>
      <c r="AY1599" s="4">
        <v>25785</v>
      </c>
      <c r="AZ1599" s="9">
        <v>29.670223831894596</v>
      </c>
      <c r="BA1599" s="7">
        <f t="shared" si="358"/>
        <v>7.6046041728643427E-4</v>
      </c>
      <c r="BB1599" s="54">
        <f t="shared" si="352"/>
        <v>18856.011010904393</v>
      </c>
      <c r="BC1599" s="55">
        <f t="shared" si="353"/>
        <v>41079.214489576734</v>
      </c>
      <c r="BD1599" s="55">
        <f t="shared" si="354"/>
        <v>202.68007916314008</v>
      </c>
      <c r="BE1599" s="55">
        <f t="shared" si="355"/>
        <v>198.62282777174076</v>
      </c>
      <c r="BF1599" s="56">
        <f t="shared" si="356"/>
        <v>9.8403726600869899</v>
      </c>
      <c r="BG1599" s="56">
        <f t="shared" si="359"/>
        <v>1.1187822710878903E-2</v>
      </c>
      <c r="BH1599" s="56">
        <f t="shared" si="360"/>
        <v>0.10577250451265159</v>
      </c>
      <c r="BI1599" s="56">
        <f t="shared" si="357"/>
        <v>0.1036551496996987</v>
      </c>
      <c r="BJ1599" s="57">
        <f t="shared" si="361"/>
        <v>0.80735781520779093</v>
      </c>
      <c r="BK1599" s="57">
        <f t="shared" si="362"/>
        <v>8.6781528608933494E-3</v>
      </c>
      <c r="BL1599" s="58">
        <f t="shared" si="363"/>
        <v>1424.5131993411082</v>
      </c>
      <c r="BM1599" s="58">
        <f t="shared" si="363"/>
        <v>15.311851899347394</v>
      </c>
    </row>
    <row r="1600" spans="47:65" x14ac:dyDescent="0.2">
      <c r="AU1600" s="2">
        <v>-37</v>
      </c>
      <c r="AV1600" s="53">
        <v>1598</v>
      </c>
      <c r="AW1600" s="4" t="s">
        <v>1836</v>
      </c>
      <c r="AX1600" t="s">
        <v>315</v>
      </c>
      <c r="AY1600" s="4">
        <v>24623</v>
      </c>
      <c r="AZ1600" s="9">
        <v>29.676060468878834</v>
      </c>
      <c r="BA1600" s="7">
        <f t="shared" si="358"/>
        <v>7.6061001276713338E-4</v>
      </c>
      <c r="BB1600" s="54">
        <f t="shared" si="352"/>
        <v>18927.785670250651</v>
      </c>
      <c r="BC1600" s="55">
        <f t="shared" si="353"/>
        <v>41202.55725298632</v>
      </c>
      <c r="BD1600" s="55">
        <f t="shared" si="354"/>
        <v>202.98413054469631</v>
      </c>
      <c r="BE1600" s="55">
        <f t="shared" si="355"/>
        <v>198.92079265039069</v>
      </c>
      <c r="BF1600" s="56">
        <f t="shared" si="356"/>
        <v>9.8778296490073583</v>
      </c>
      <c r="BG1600" s="56">
        <f t="shared" si="359"/>
        <v>1.1221414808170313E-2</v>
      </c>
      <c r="BH1600" s="56">
        <f t="shared" si="360"/>
        <v>0.10593117958453173</v>
      </c>
      <c r="BI1600" s="56">
        <f t="shared" si="357"/>
        <v>0.1038106484127634</v>
      </c>
      <c r="BJ1600" s="57">
        <f t="shared" si="361"/>
        <v>0.77390895038286289</v>
      </c>
      <c r="BK1600" s="57">
        <f t="shared" si="362"/>
        <v>8.2995041338176888E-3</v>
      </c>
      <c r="BL1600" s="58">
        <f t="shared" si="363"/>
        <v>1365.4955636056777</v>
      </c>
      <c r="BM1600" s="58">
        <f t="shared" si="363"/>
        <v>14.643758893405337</v>
      </c>
    </row>
    <row r="1601" spans="47:65" x14ac:dyDescent="0.2">
      <c r="AU1601" s="2">
        <v>-36</v>
      </c>
      <c r="AV1601" s="53">
        <v>1599</v>
      </c>
      <c r="AW1601" s="4" t="s">
        <v>2020</v>
      </c>
      <c r="AX1601" t="s">
        <v>445</v>
      </c>
      <c r="AY1601" s="4">
        <v>15186</v>
      </c>
      <c r="AZ1601" s="9">
        <v>29.683938064567958</v>
      </c>
      <c r="BA1601" s="7">
        <f t="shared" si="358"/>
        <v>7.6081191888482589E-4</v>
      </c>
      <c r="BB1601" s="54">
        <f t="shared" si="352"/>
        <v>19025.091977458178</v>
      </c>
      <c r="BC1601" s="55">
        <f t="shared" si="353"/>
        <v>41370.029213399503</v>
      </c>
      <c r="BD1601" s="55">
        <f t="shared" si="354"/>
        <v>203.39623696961431</v>
      </c>
      <c r="BE1601" s="55">
        <f t="shared" si="355"/>
        <v>199.32464952570911</v>
      </c>
      <c r="BF1601" s="56">
        <f t="shared" si="356"/>
        <v>9.9286108203030921</v>
      </c>
      <c r="BG1601" s="56">
        <f t="shared" si="359"/>
        <v>1.1267025383382348E-2</v>
      </c>
      <c r="BH1601" s="56">
        <f t="shared" si="360"/>
        <v>0.10614624526276165</v>
      </c>
      <c r="BI1601" s="56">
        <f t="shared" si="357"/>
        <v>0.10402140890458406</v>
      </c>
      <c r="BJ1601" s="57">
        <f t="shared" si="361"/>
        <v>0.47975471906880646</v>
      </c>
      <c r="BK1601" s="57">
        <f t="shared" si="362"/>
        <v>5.129031945950548E-3</v>
      </c>
      <c r="BL1601" s="58">
        <f t="shared" si="363"/>
        <v>846.48580454232422</v>
      </c>
      <c r="BM1601" s="58">
        <f t="shared" si="363"/>
        <v>9.0497342928033877</v>
      </c>
    </row>
    <row r="1602" spans="47:65" x14ac:dyDescent="0.2">
      <c r="AU1602" s="2">
        <v>-35</v>
      </c>
      <c r="AV1602" s="53">
        <v>1600</v>
      </c>
      <c r="AW1602" s="4" t="s">
        <v>2461</v>
      </c>
      <c r="AX1602" t="s">
        <v>780</v>
      </c>
      <c r="AY1602" s="4">
        <v>22802</v>
      </c>
      <c r="AZ1602" s="9">
        <v>29.696694405747628</v>
      </c>
      <c r="BA1602" s="7">
        <f t="shared" si="358"/>
        <v>7.6113886931807853E-4</v>
      </c>
      <c r="BB1602" s="54">
        <f t="shared" si="352"/>
        <v>19183.724050398687</v>
      </c>
      <c r="BC1602" s="55">
        <f t="shared" si="353"/>
        <v>41643.718445925457</v>
      </c>
      <c r="BD1602" s="55">
        <f t="shared" si="354"/>
        <v>204.0679260587647</v>
      </c>
      <c r="BE1602" s="55">
        <f t="shared" si="355"/>
        <v>199.98289273748074</v>
      </c>
      <c r="BF1602" s="56">
        <f t="shared" si="356"/>
        <v>10.011396024059815</v>
      </c>
      <c r="BG1602" s="56">
        <f t="shared" si="359"/>
        <v>1.1341563970578804E-2</v>
      </c>
      <c r="BH1602" s="56">
        <f t="shared" si="360"/>
        <v>0.10649677915589187</v>
      </c>
      <c r="BI1602" s="56">
        <f t="shared" si="357"/>
        <v>0.10436492580753198</v>
      </c>
      <c r="BJ1602" s="57">
        <f t="shared" si="361"/>
        <v>0.72636507568403341</v>
      </c>
      <c r="BK1602" s="57">
        <f t="shared" si="362"/>
        <v>7.7267486837770717E-3</v>
      </c>
      <c r="BL1602" s="58">
        <f t="shared" si="363"/>
        <v>1281.6084991832304</v>
      </c>
      <c r="BM1602" s="58">
        <f t="shared" si="363"/>
        <v>13.633181323945099</v>
      </c>
    </row>
    <row r="1603" spans="47:65" x14ac:dyDescent="0.2">
      <c r="AU1603" s="2">
        <v>-34</v>
      </c>
      <c r="AV1603" s="53">
        <v>1601</v>
      </c>
      <c r="AW1603" s="4" t="s">
        <v>1828</v>
      </c>
      <c r="AX1603" t="s">
        <v>307</v>
      </c>
      <c r="AY1603" s="4">
        <v>9426</v>
      </c>
      <c r="AZ1603" s="9">
        <v>29.773090985254367</v>
      </c>
      <c r="BA1603" s="7">
        <f t="shared" si="358"/>
        <v>7.6309694604375852E-4</v>
      </c>
      <c r="BB1603" s="54">
        <f t="shared" ref="BB1603:BB1636" si="364">IFERROR(IF(MATCH(AX1603,$S$4:$S$20,0),VLOOKUP(AX1603,$S$4:$AT$20,20,FALSE)),AVERAGE((2^(($AE$23*AZ1603)+$AE$24)),(2^(($AF$23*AZ1603)+$AF$24)),(2^(($AG$23*AZ1603)+$AG$24)),(2^(($AH$23*AZ1603)+$AH$24))))</f>
        <v>20161.82775757906</v>
      </c>
      <c r="BC1603" s="55">
        <f t="shared" ref="BC1603:BC1636" si="365">IFERROR(IF(MATCH(AX1603,$S$4:$S$20,0),VLOOKUP(AX1603,$S$4:$AT$20,21,FALSE)),_xlfn.VAR.S((2^(($AE$23*AZ1603)+$AE$24)),(2^(($AF$23*AZ1603)+$AF$24)),(2^(($AG$23*AZ1603)+$AG$24)),(2^(($AH$23*AZ1603)+$AH$24))))</f>
        <v>43354.216543400107</v>
      </c>
      <c r="BD1603" s="55">
        <f t="shared" ref="BD1603:BD1636" si="366">SQRT(BC1603)</f>
        <v>208.21675375291036</v>
      </c>
      <c r="BE1603" s="55">
        <f t="shared" ref="BE1603:BE1636" si="367">_xlfn.CONFIDENCE.NORM(0.05,BD1603,4)</f>
        <v>204.04866916677469</v>
      </c>
      <c r="BF1603" s="56">
        <f t="shared" ref="BF1603:BF1636" si="368">IFERROR(IF(MATCH(AX1603,$S$4:$S$20,0),VLOOKUP(AX1603,$S$4:$AT$20,24,FALSE)),AVERAGE((2^(($AI$23*AZ1603)+$AI$24)),(2^(($AJ$23*AZ1603)+$AJ$24)),(2^(($AK$23*AZ1603)+$AK$24)),(2^(($AL$23*AZ1603)+$AL$24))))</f>
        <v>10.521838289568752</v>
      </c>
      <c r="BG1603" s="56">
        <f t="shared" si="359"/>
        <v>1.1807413907093682E-2</v>
      </c>
      <c r="BH1603" s="56">
        <f t="shared" si="360"/>
        <v>0.10866192482693136</v>
      </c>
      <c r="BI1603" s="56">
        <f t="shared" ref="BI1603:BI1636" si="369">_xlfn.CONFIDENCE.NORM(0.05,BH1603,4)</f>
        <v>0.10648672957579208</v>
      </c>
      <c r="BJ1603" s="57">
        <f t="shared" si="361"/>
        <v>0.31557778994961416</v>
      </c>
      <c r="BK1603" s="57">
        <f t="shared" si="362"/>
        <v>3.2590588397989504E-3</v>
      </c>
      <c r="BL1603" s="58">
        <f t="shared" si="363"/>
        <v>556.80977967175693</v>
      </c>
      <c r="BM1603" s="58">
        <f t="shared" si="363"/>
        <v>5.7503281039374805</v>
      </c>
    </row>
    <row r="1604" spans="47:65" x14ac:dyDescent="0.2">
      <c r="AU1604" s="2">
        <v>-33</v>
      </c>
      <c r="AV1604" s="53">
        <v>1602</v>
      </c>
      <c r="AW1604" s="4" t="s">
        <v>1818</v>
      </c>
      <c r="AX1604" t="s">
        <v>297</v>
      </c>
      <c r="AY1604" s="4">
        <v>76553</v>
      </c>
      <c r="AZ1604" s="9">
        <v>29.799058394578193</v>
      </c>
      <c r="BA1604" s="7">
        <f t="shared" ref="BA1604:BA1636" si="370">AZ1604/$AZ$1637</f>
        <v>7.6376250175517243E-4</v>
      </c>
      <c r="BB1604" s="54">
        <f t="shared" si="364"/>
        <v>20505.520354632405</v>
      </c>
      <c r="BC1604" s="55">
        <f t="shared" si="365"/>
        <v>43966.90805146713</v>
      </c>
      <c r="BD1604" s="55">
        <f t="shared" si="366"/>
        <v>209.68287495994309</v>
      </c>
      <c r="BE1604" s="55">
        <f t="shared" si="367"/>
        <v>205.48544154815195</v>
      </c>
      <c r="BF1604" s="56">
        <f t="shared" si="368"/>
        <v>10.701200893544868</v>
      </c>
      <c r="BG1604" s="56">
        <f t="shared" ref="BG1604:BG1636" si="371">IFERROR(IF(MATCH(AX1604,$S$4:$S$20,0),VLOOKUP(AX1604,$S$4:$AT$20,25,FALSE)),_xlfn.VAR.S((2^(($AI$23*AZ1604)+$AI$24)),(2^(($AJ$23*AZ1604)+$AJ$24)),(2^(($AK$23*AZ1604)+$AK$24)),(2^(($AL$23*AZ1604)+$AL$24))))</f>
        <v>1.1974278927609848E-2</v>
      </c>
      <c r="BH1604" s="56">
        <f t="shared" ref="BH1604:BH1636" si="372">SQRT(BG1604)</f>
        <v>0.10942704842775322</v>
      </c>
      <c r="BI1604" s="56">
        <f t="shared" si="369"/>
        <v>0.10723653692645831</v>
      </c>
      <c r="BJ1604" s="57">
        <f t="shared" ref="BJ1604:BJ1636" si="373">(((BF1604*0.000001)*AY1604)*1000000000000000)*$S$24</f>
        <v>2.6066462938033181</v>
      </c>
      <c r="BK1604" s="57">
        <f t="shared" ref="BK1604:BK1636" si="374">((((BH1604*0.000001)*AY1604)*1000000000000000)*$S$24)</f>
        <v>2.6654729040560193E-2</v>
      </c>
      <c r="BL1604" s="58">
        <f t="shared" ref="BL1604:BM1635" si="375">((BJ1604/$S$26)*0.000000001)/0.45</f>
        <v>4599.2024621459013</v>
      </c>
      <c r="BM1604" s="58">
        <f t="shared" si="375"/>
        <v>47.029969398842503</v>
      </c>
    </row>
    <row r="1605" spans="47:65" x14ac:dyDescent="0.2">
      <c r="AU1605" s="2">
        <v>-32</v>
      </c>
      <c r="AV1605" s="53">
        <v>1603</v>
      </c>
      <c r="AW1605" s="4" t="s">
        <v>2673</v>
      </c>
      <c r="AX1605" t="s">
        <v>941</v>
      </c>
      <c r="AY1605" s="4">
        <v>21900</v>
      </c>
      <c r="AZ1605" s="9">
        <v>29.814807524271139</v>
      </c>
      <c r="BA1605" s="7">
        <f t="shared" si="370"/>
        <v>7.6416615862699288E-4</v>
      </c>
      <c r="BB1605" s="54">
        <f t="shared" si="364"/>
        <v>20716.816656973646</v>
      </c>
      <c r="BC1605" s="55">
        <f t="shared" si="365"/>
        <v>44347.192073955732</v>
      </c>
      <c r="BD1605" s="55">
        <f t="shared" si="366"/>
        <v>210.58773011254888</v>
      </c>
      <c r="BE1605" s="55">
        <f t="shared" si="367"/>
        <v>206.37218330331837</v>
      </c>
      <c r="BF1605" s="56">
        <f t="shared" si="368"/>
        <v>10.811469940138755</v>
      </c>
      <c r="BG1605" s="56">
        <f t="shared" si="371"/>
        <v>1.2077848342855267E-2</v>
      </c>
      <c r="BH1605" s="56">
        <f t="shared" si="372"/>
        <v>0.10989926452372312</v>
      </c>
      <c r="BI1605" s="56">
        <f t="shared" si="369"/>
        <v>0.10769930019696886</v>
      </c>
      <c r="BJ1605" s="57">
        <f t="shared" si="373"/>
        <v>0.75338372159568734</v>
      </c>
      <c r="BK1605" s="57">
        <f t="shared" si="374"/>
        <v>7.6581923980680094E-3</v>
      </c>
      <c r="BL1605" s="58">
        <f t="shared" si="375"/>
        <v>1329.2805684993227</v>
      </c>
      <c r="BM1605" s="58">
        <f t="shared" si="375"/>
        <v>13.512219673421873</v>
      </c>
    </row>
    <row r="1606" spans="47:65" x14ac:dyDescent="0.2">
      <c r="AU1606" s="2">
        <v>-31</v>
      </c>
      <c r="AV1606" s="53">
        <v>1604</v>
      </c>
      <c r="AW1606" s="4" t="s">
        <v>2876</v>
      </c>
      <c r="AX1606" t="s">
        <v>1094</v>
      </c>
      <c r="AY1606" s="4">
        <v>25862</v>
      </c>
      <c r="AZ1606" s="9">
        <v>29.846979917337027</v>
      </c>
      <c r="BA1606" s="7">
        <f t="shared" si="370"/>
        <v>7.6499075070269164E-4</v>
      </c>
      <c r="BB1606" s="54">
        <f t="shared" si="364"/>
        <v>21155.245318423436</v>
      </c>
      <c r="BC1606" s="55">
        <f t="shared" si="365"/>
        <v>45145.990441783644</v>
      </c>
      <c r="BD1606" s="55">
        <f t="shared" si="366"/>
        <v>212.47585849169698</v>
      </c>
      <c r="BE1606" s="55">
        <f t="shared" si="367"/>
        <v>208.22251511397749</v>
      </c>
      <c r="BF1606" s="56">
        <f t="shared" si="368"/>
        <v>11.04027238467668</v>
      </c>
      <c r="BG1606" s="56">
        <f t="shared" si="371"/>
        <v>1.2295399107445648E-2</v>
      </c>
      <c r="BH1606" s="56">
        <f t="shared" si="372"/>
        <v>0.1108846206984794</v>
      </c>
      <c r="BI1606" s="56">
        <f t="shared" si="369"/>
        <v>0.10866493150420209</v>
      </c>
      <c r="BJ1606" s="57">
        <f t="shared" si="373"/>
        <v>0.90850907110153711</v>
      </c>
      <c r="BK1606" s="57">
        <f t="shared" si="374"/>
        <v>9.1247462236568738E-3</v>
      </c>
      <c r="BL1606" s="58">
        <f t="shared" si="375"/>
        <v>1602.9858621882331</v>
      </c>
      <c r="BM1606" s="58">
        <f t="shared" si="375"/>
        <v>16.09982735212856</v>
      </c>
    </row>
    <row r="1607" spans="47:65" x14ac:dyDescent="0.2">
      <c r="AU1607" s="2">
        <v>-30</v>
      </c>
      <c r="AV1607" s="53">
        <v>1605</v>
      </c>
      <c r="AW1607" s="4" t="s">
        <v>2021</v>
      </c>
      <c r="AX1607" t="s">
        <v>446</v>
      </c>
      <c r="AY1607" s="4">
        <v>24173</v>
      </c>
      <c r="AZ1607" s="9">
        <v>29.855178325848296</v>
      </c>
      <c r="BA1607" s="7">
        <f t="shared" si="370"/>
        <v>7.6520087938904352E-4</v>
      </c>
      <c r="BB1607" s="54">
        <f t="shared" si="364"/>
        <v>21268.444825703969</v>
      </c>
      <c r="BC1607" s="55">
        <f t="shared" si="365"/>
        <v>45354.528853861899</v>
      </c>
      <c r="BD1607" s="55">
        <f t="shared" si="366"/>
        <v>212.96602746415189</v>
      </c>
      <c r="BE1607" s="55">
        <f t="shared" si="367"/>
        <v>208.70287188015283</v>
      </c>
      <c r="BF1607" s="56">
        <f t="shared" si="368"/>
        <v>11.099347728657687</v>
      </c>
      <c r="BG1607" s="56">
        <f t="shared" si="371"/>
        <v>1.2352194029442745E-2</v>
      </c>
      <c r="BH1607" s="56">
        <f t="shared" si="372"/>
        <v>0.11114042482122671</v>
      </c>
      <c r="BI1607" s="56">
        <f t="shared" si="369"/>
        <v>0.10891561493804289</v>
      </c>
      <c r="BJ1607" s="57">
        <f t="shared" si="373"/>
        <v>0.8537198545270519</v>
      </c>
      <c r="BK1607" s="57">
        <f t="shared" si="374"/>
        <v>8.5485011939460311E-3</v>
      </c>
      <c r="BL1607" s="58">
        <f t="shared" si="375"/>
        <v>1506.3150172149603</v>
      </c>
      <c r="BM1607" s="58">
        <f t="shared" si="375"/>
        <v>15.083092720450367</v>
      </c>
    </row>
    <row r="1608" spans="47:65" x14ac:dyDescent="0.2">
      <c r="AU1608" s="2">
        <v>-29</v>
      </c>
      <c r="AV1608" s="53">
        <v>1606</v>
      </c>
      <c r="AW1608" s="4" t="s">
        <v>1507</v>
      </c>
      <c r="AX1608" t="s">
        <v>102</v>
      </c>
      <c r="AY1608" s="4">
        <v>41388</v>
      </c>
      <c r="AZ1608" s="9">
        <v>29.680756423456479</v>
      </c>
      <c r="BA1608" s="7">
        <f t="shared" si="370"/>
        <v>7.6073037207409066E-4</v>
      </c>
      <c r="BB1608" s="54">
        <f t="shared" si="364"/>
        <v>3.4370518625189908</v>
      </c>
      <c r="BC1608" s="55">
        <f t="shared" si="365"/>
        <v>21317.323681485123</v>
      </c>
      <c r="BD1608" s="55">
        <f t="shared" si="366"/>
        <v>146.00453308539815</v>
      </c>
      <c r="BE1608" s="55">
        <f t="shared" si="367"/>
        <v>143.08181321348351</v>
      </c>
      <c r="BF1608" s="56">
        <f t="shared" si="368"/>
        <v>424.79424841753899</v>
      </c>
      <c r="BG1608" s="56">
        <f t="shared" si="371"/>
        <v>11.124856101335602</v>
      </c>
      <c r="BH1608" s="56">
        <f t="shared" si="372"/>
        <v>3.3353944446400341</v>
      </c>
      <c r="BI1608" s="56">
        <f t="shared" si="369"/>
        <v>3.2686264928647204</v>
      </c>
      <c r="BJ1608" s="57">
        <f t="shared" si="373"/>
        <v>55.942315788331868</v>
      </c>
      <c r="BK1608" s="57">
        <f t="shared" si="374"/>
        <v>0.43924721202274314</v>
      </c>
      <c r="BL1608" s="58">
        <f t="shared" si="375"/>
        <v>98705.389037049375</v>
      </c>
      <c r="BM1608" s="58">
        <f t="shared" si="375"/>
        <v>775.01380368645982</v>
      </c>
    </row>
    <row r="1609" spans="47:65" x14ac:dyDescent="0.2">
      <c r="AU1609" s="2">
        <v>-28</v>
      </c>
      <c r="AV1609" s="53">
        <v>1607</v>
      </c>
      <c r="AW1609" s="4" t="s">
        <v>1817</v>
      </c>
      <c r="AX1609" t="s">
        <v>296</v>
      </c>
      <c r="AY1609" s="4">
        <v>17791</v>
      </c>
      <c r="AZ1609" s="9">
        <v>29.930060277556155</v>
      </c>
      <c r="BA1609" s="7">
        <f t="shared" si="370"/>
        <v>7.6712013556202085E-4</v>
      </c>
      <c r="BB1609" s="54">
        <f t="shared" si="364"/>
        <v>22330.822459197971</v>
      </c>
      <c r="BC1609" s="55">
        <f t="shared" si="365"/>
        <v>47364.355716556158</v>
      </c>
      <c r="BD1609" s="55">
        <f t="shared" si="366"/>
        <v>217.63353536749835</v>
      </c>
      <c r="BE1609" s="55">
        <f t="shared" si="367"/>
        <v>213.27694557421037</v>
      </c>
      <c r="BF1609" s="56">
        <f t="shared" si="368"/>
        <v>11.653769966387424</v>
      </c>
      <c r="BG1609" s="56">
        <f t="shared" si="371"/>
        <v>1.2899565416623385E-2</v>
      </c>
      <c r="BH1609" s="56">
        <f t="shared" si="372"/>
        <v>0.11357625375325331</v>
      </c>
      <c r="BI1609" s="56">
        <f t="shared" si="369"/>
        <v>0.11130268342767928</v>
      </c>
      <c r="BJ1609" s="57">
        <f t="shared" si="373"/>
        <v>0.65971167989229196</v>
      </c>
      <c r="BK1609" s="57">
        <f t="shared" si="374"/>
        <v>6.4294714393319128E-3</v>
      </c>
      <c r="BL1609" s="58">
        <f t="shared" si="375"/>
        <v>1164.004333721841</v>
      </c>
      <c r="BM1609" s="58">
        <f t="shared" si="375"/>
        <v>11.344247566065551</v>
      </c>
    </row>
    <row r="1610" spans="47:65" x14ac:dyDescent="0.2">
      <c r="AU1610" s="2">
        <v>-27</v>
      </c>
      <c r="AV1610" s="53">
        <v>1608</v>
      </c>
      <c r="AW1610" s="4" t="s">
        <v>1599</v>
      </c>
      <c r="AX1610" t="s">
        <v>163</v>
      </c>
      <c r="AY1610" s="4">
        <v>26513</v>
      </c>
      <c r="AZ1610" s="9">
        <v>29.953686663523108</v>
      </c>
      <c r="BA1610" s="7">
        <f t="shared" si="370"/>
        <v>7.677256898521804E-4</v>
      </c>
      <c r="BB1610" s="54">
        <f t="shared" si="364"/>
        <v>22676.909687215586</v>
      </c>
      <c r="BC1610" s="55">
        <f t="shared" si="365"/>
        <v>48042.166582086706</v>
      </c>
      <c r="BD1610" s="55">
        <f t="shared" si="366"/>
        <v>219.18523349461</v>
      </c>
      <c r="BE1610" s="55">
        <f t="shared" si="367"/>
        <v>214.79758179621891</v>
      </c>
      <c r="BF1610" s="56">
        <f t="shared" si="368"/>
        <v>11.834382254671539</v>
      </c>
      <c r="BG1610" s="56">
        <f t="shared" si="371"/>
        <v>1.3084165533478824E-2</v>
      </c>
      <c r="BH1610" s="56">
        <f t="shared" si="372"/>
        <v>0.11438603731871659</v>
      </c>
      <c r="BI1610" s="56">
        <f t="shared" si="369"/>
        <v>0.11209625673946952</v>
      </c>
      <c r="BJ1610" s="57">
        <f t="shared" si="373"/>
        <v>0.99837072314408037</v>
      </c>
      <c r="BK1610" s="57">
        <f t="shared" si="374"/>
        <v>9.6498210331505321E-3</v>
      </c>
      <c r="BL1610" s="58">
        <f t="shared" si="375"/>
        <v>1761.5389932014691</v>
      </c>
      <c r="BM1610" s="58">
        <f t="shared" si="375"/>
        <v>17.02627654562863</v>
      </c>
    </row>
    <row r="1611" spans="47:65" x14ac:dyDescent="0.2">
      <c r="AU1611" s="2">
        <v>-26</v>
      </c>
      <c r="AV1611" s="53">
        <v>1609</v>
      </c>
      <c r="AW1611" s="4" t="s">
        <v>1824</v>
      </c>
      <c r="AX1611" t="s">
        <v>303</v>
      </c>
      <c r="AY1611" s="4">
        <v>13728</v>
      </c>
      <c r="AZ1611" s="9">
        <v>29.96005484373601</v>
      </c>
      <c r="BA1611" s="7">
        <f t="shared" si="370"/>
        <v>7.6788890901120994E-4</v>
      </c>
      <c r="BB1611" s="54">
        <f t="shared" si="364"/>
        <v>22771.107262117192</v>
      </c>
      <c r="BC1611" s="55">
        <f t="shared" si="365"/>
        <v>48228.826541909461</v>
      </c>
      <c r="BD1611" s="55">
        <f t="shared" si="366"/>
        <v>219.61062483839314</v>
      </c>
      <c r="BE1611" s="55">
        <f t="shared" si="367"/>
        <v>215.21445765279393</v>
      </c>
      <c r="BF1611" s="56">
        <f t="shared" si="368"/>
        <v>11.883541074114959</v>
      </c>
      <c r="BG1611" s="56">
        <f t="shared" si="371"/>
        <v>1.3135001912986022E-2</v>
      </c>
      <c r="BH1611" s="56">
        <f t="shared" si="372"/>
        <v>0.11460803598782252</v>
      </c>
      <c r="BI1611" s="56">
        <f t="shared" si="369"/>
        <v>0.11231381143750124</v>
      </c>
      <c r="BJ1611" s="57">
        <f t="shared" si="373"/>
        <v>0.51908743232032173</v>
      </c>
      <c r="BK1611" s="57">
        <f t="shared" si="374"/>
        <v>5.0062174862827687E-3</v>
      </c>
      <c r="BL1611" s="58">
        <f t="shared" si="375"/>
        <v>915.88498311875503</v>
      </c>
      <c r="BM1611" s="58">
        <f t="shared" si="375"/>
        <v>8.8330387761796079</v>
      </c>
    </row>
    <row r="1612" spans="47:65" x14ac:dyDescent="0.2">
      <c r="AU1612" s="2">
        <v>-25</v>
      </c>
      <c r="AV1612" s="53">
        <v>1610</v>
      </c>
      <c r="AW1612" s="4" t="s">
        <v>1532</v>
      </c>
      <c r="AX1612" t="s">
        <v>125</v>
      </c>
      <c r="AY1612" s="4">
        <v>9381</v>
      </c>
      <c r="AZ1612" s="9">
        <v>29.967467356647589</v>
      </c>
      <c r="BA1612" s="7">
        <f t="shared" si="370"/>
        <v>7.6807889486011412E-4</v>
      </c>
      <c r="BB1612" s="54">
        <f t="shared" si="364"/>
        <v>22881.245470477515</v>
      </c>
      <c r="BC1612" s="55">
        <f t="shared" si="365"/>
        <v>48448.295875129792</v>
      </c>
      <c r="BD1612" s="55">
        <f t="shared" si="366"/>
        <v>220.10973598441709</v>
      </c>
      <c r="BE1612" s="55">
        <f t="shared" si="367"/>
        <v>215.70357758803866</v>
      </c>
      <c r="BF1612" s="56">
        <f t="shared" si="368"/>
        <v>11.941018820269923</v>
      </c>
      <c r="BG1612" s="56">
        <f t="shared" si="371"/>
        <v>1.3194773844389185E-2</v>
      </c>
      <c r="BH1612" s="56">
        <f t="shared" si="372"/>
        <v>0.11486850675615656</v>
      </c>
      <c r="BI1612" s="56">
        <f t="shared" si="369"/>
        <v>0.11256906809998134</v>
      </c>
      <c r="BJ1612" s="57">
        <f t="shared" si="373"/>
        <v>0.35643298768197124</v>
      </c>
      <c r="BK1612" s="57">
        <f t="shared" si="374"/>
        <v>3.4287631290022607E-3</v>
      </c>
      <c r="BL1612" s="58">
        <f t="shared" si="375"/>
        <v>628.89525074192295</v>
      </c>
      <c r="BM1612" s="58">
        <f t="shared" si="375"/>
        <v>6.0497566787295609</v>
      </c>
    </row>
    <row r="1613" spans="47:65" x14ac:dyDescent="0.2">
      <c r="AU1613" s="2">
        <v>-24</v>
      </c>
      <c r="AV1613" s="53">
        <v>1611</v>
      </c>
      <c r="AW1613" s="4" t="s">
        <v>1834</v>
      </c>
      <c r="AX1613" t="s">
        <v>313</v>
      </c>
      <c r="AY1613" s="4">
        <v>19363</v>
      </c>
      <c r="AZ1613" s="9">
        <v>29.969495250309549</v>
      </c>
      <c r="BA1613" s="7">
        <f t="shared" si="370"/>
        <v>7.6813087063451761E-4</v>
      </c>
      <c r="BB1613" s="54">
        <f t="shared" si="364"/>
        <v>22911.46946357844</v>
      </c>
      <c r="BC1613" s="55">
        <f t="shared" si="365"/>
        <v>48508.756051305849</v>
      </c>
      <c r="BD1613" s="55">
        <f t="shared" si="366"/>
        <v>220.24703414871641</v>
      </c>
      <c r="BE1613" s="55">
        <f t="shared" si="367"/>
        <v>215.83812731662374</v>
      </c>
      <c r="BF1613" s="56">
        <f t="shared" si="368"/>
        <v>11.956791793419812</v>
      </c>
      <c r="BG1613" s="56">
        <f t="shared" si="371"/>
        <v>1.3211240024196949E-2</v>
      </c>
      <c r="BH1613" s="56">
        <f t="shared" si="372"/>
        <v>0.11494015844863338</v>
      </c>
      <c r="BI1613" s="56">
        <f t="shared" si="369"/>
        <v>0.11263928546832429</v>
      </c>
      <c r="BJ1613" s="57">
        <f t="shared" si="373"/>
        <v>0.73667288420634325</v>
      </c>
      <c r="BK1613" s="57">
        <f t="shared" si="374"/>
        <v>7.0816067970747099E-3</v>
      </c>
      <c r="BL1613" s="58">
        <f t="shared" si="375"/>
        <v>1299.7957378768099</v>
      </c>
      <c r="BM1613" s="58">
        <f t="shared" si="375"/>
        <v>12.494884133103128</v>
      </c>
    </row>
    <row r="1614" spans="47:65" x14ac:dyDescent="0.2">
      <c r="AU1614" s="2">
        <v>-23</v>
      </c>
      <c r="AV1614" s="53">
        <v>1612</v>
      </c>
      <c r="AW1614" s="4" t="s">
        <v>1838</v>
      </c>
      <c r="AX1614" t="s">
        <v>317</v>
      </c>
      <c r="AY1614" s="4">
        <v>17063</v>
      </c>
      <c r="AZ1614" s="9">
        <v>29.972223598965098</v>
      </c>
      <c r="BA1614" s="7">
        <f t="shared" si="370"/>
        <v>7.6820079936740671E-4</v>
      </c>
      <c r="BB1614" s="54">
        <f t="shared" si="364"/>
        <v>22952.196134008984</v>
      </c>
      <c r="BC1614" s="55">
        <f t="shared" si="365"/>
        <v>48590.386747806966</v>
      </c>
      <c r="BD1614" s="55">
        <f t="shared" si="366"/>
        <v>220.4322724734447</v>
      </c>
      <c r="BE1614" s="55">
        <f t="shared" si="367"/>
        <v>216.01965753913572</v>
      </c>
      <c r="BF1614" s="56">
        <f t="shared" si="368"/>
        <v>11.978045791097756</v>
      </c>
      <c r="BG1614" s="56">
        <f t="shared" si="371"/>
        <v>1.3233471942980066E-2</v>
      </c>
      <c r="BH1614" s="56">
        <f t="shared" si="372"/>
        <v>0.11503682863752836</v>
      </c>
      <c r="BI1614" s="56">
        <f t="shared" si="369"/>
        <v>0.11273402051263071</v>
      </c>
      <c r="BJ1614" s="57">
        <f t="shared" si="373"/>
        <v>0.65032242792230199</v>
      </c>
      <c r="BK1614" s="57">
        <f t="shared" si="374"/>
        <v>6.2456790535597891E-3</v>
      </c>
      <c r="BL1614" s="58">
        <f t="shared" si="375"/>
        <v>1147.4378088040783</v>
      </c>
      <c r="BM1614" s="58">
        <f t="shared" si="375"/>
        <v>11.019961760516745</v>
      </c>
    </row>
    <row r="1615" spans="47:65" x14ac:dyDescent="0.2">
      <c r="AU1615" s="2">
        <v>-22</v>
      </c>
      <c r="AV1615" s="53">
        <v>1613</v>
      </c>
      <c r="AW1615" s="4" t="s">
        <v>1829</v>
      </c>
      <c r="AX1615" t="s">
        <v>308</v>
      </c>
      <c r="AY1615" s="4">
        <v>13289</v>
      </c>
      <c r="AZ1615" s="9">
        <v>29.989424948489191</v>
      </c>
      <c r="BA1615" s="7">
        <f t="shared" si="370"/>
        <v>7.686416772492554E-4</v>
      </c>
      <c r="BB1615" s="54">
        <f t="shared" si="364"/>
        <v>23210.636925264465</v>
      </c>
      <c r="BC1615" s="55">
        <f t="shared" si="365"/>
        <v>49112.785917961795</v>
      </c>
      <c r="BD1615" s="55">
        <f t="shared" si="366"/>
        <v>221.61404720360528</v>
      </c>
      <c r="BE1615" s="55">
        <f t="shared" si="367"/>
        <v>217.17777549361287</v>
      </c>
      <c r="BF1615" s="56">
        <f t="shared" si="368"/>
        <v>12.112918097602613</v>
      </c>
      <c r="BG1615" s="56">
        <f t="shared" si="371"/>
        <v>1.3375746068046928E-2</v>
      </c>
      <c r="BH1615" s="56">
        <f t="shared" si="372"/>
        <v>0.11565356055066757</v>
      </c>
      <c r="BI1615" s="56">
        <f t="shared" si="369"/>
        <v>0.11333840668156538</v>
      </c>
      <c r="BJ1615" s="57">
        <f t="shared" si="373"/>
        <v>0.51218688560028269</v>
      </c>
      <c r="BK1615" s="57">
        <f t="shared" si="374"/>
        <v>4.8903357976765463E-3</v>
      </c>
      <c r="BL1615" s="58">
        <f t="shared" si="375"/>
        <v>903.7095638682016</v>
      </c>
      <c r="BM1615" s="58">
        <f t="shared" si="375"/>
        <v>8.6285755358764042</v>
      </c>
    </row>
    <row r="1616" spans="47:65" x14ac:dyDescent="0.2">
      <c r="AU1616" s="2">
        <v>-21</v>
      </c>
      <c r="AV1616" s="53">
        <v>1614</v>
      </c>
      <c r="AW1616" s="4" t="s">
        <v>2471</v>
      </c>
      <c r="AX1616" t="s">
        <v>790</v>
      </c>
      <c r="AY1616" s="4">
        <v>25938</v>
      </c>
      <c r="AZ1616" s="9">
        <v>30.530396503549536</v>
      </c>
      <c r="BA1616" s="7">
        <f t="shared" si="370"/>
        <v>7.825070075828625E-4</v>
      </c>
      <c r="BB1616" s="54">
        <f t="shared" si="364"/>
        <v>3.6151335799838304</v>
      </c>
      <c r="BC1616" s="55">
        <f t="shared" si="365"/>
        <v>23295.586447442725</v>
      </c>
      <c r="BD1616" s="55">
        <f t="shared" si="366"/>
        <v>152.62891746796453</v>
      </c>
      <c r="BE1616" s="55">
        <f t="shared" si="367"/>
        <v>149.57359061827339</v>
      </c>
      <c r="BF1616" s="56">
        <f t="shared" si="368"/>
        <v>330.81056687261054</v>
      </c>
      <c r="BG1616" s="56">
        <f t="shared" si="371"/>
        <v>12.15725064254263</v>
      </c>
      <c r="BH1616" s="56">
        <f t="shared" si="372"/>
        <v>3.4867249163853793</v>
      </c>
      <c r="BI1616" s="56">
        <f t="shared" si="369"/>
        <v>3.4169276300568865</v>
      </c>
      <c r="BJ1616" s="57">
        <f t="shared" si="373"/>
        <v>27.302551285430503</v>
      </c>
      <c r="BK1616" s="57">
        <f t="shared" si="374"/>
        <v>0.28776736713026074</v>
      </c>
      <c r="BL1616" s="58">
        <f t="shared" si="375"/>
        <v>48172.99585038807</v>
      </c>
      <c r="BM1616" s="58">
        <f t="shared" si="375"/>
        <v>507.74068832317073</v>
      </c>
    </row>
    <row r="1617" spans="47:66" x14ac:dyDescent="0.2">
      <c r="AU1617" s="2">
        <v>-20</v>
      </c>
      <c r="AV1617" s="53">
        <v>1615</v>
      </c>
      <c r="AW1617" s="4" t="s">
        <v>1794</v>
      </c>
      <c r="AX1617" t="s">
        <v>284</v>
      </c>
      <c r="AY1617" s="4">
        <v>52172</v>
      </c>
      <c r="AZ1617" s="9">
        <v>30.034156719603718</v>
      </c>
      <c r="BA1617" s="7">
        <f t="shared" si="370"/>
        <v>7.6978817150964403E-4</v>
      </c>
      <c r="BB1617" s="54">
        <f t="shared" si="364"/>
        <v>23896.413549638681</v>
      </c>
      <c r="BC1617" s="55">
        <f t="shared" si="365"/>
        <v>50537.91919048765</v>
      </c>
      <c r="BD1617" s="55">
        <f t="shared" si="366"/>
        <v>224.80640380222189</v>
      </c>
      <c r="BE1617" s="55">
        <f t="shared" si="367"/>
        <v>220.30622747316153</v>
      </c>
      <c r="BF1617" s="56">
        <f t="shared" si="368"/>
        <v>12.470803842446337</v>
      </c>
      <c r="BG1617" s="56">
        <f t="shared" si="371"/>
        <v>1.3763877598568472E-2</v>
      </c>
      <c r="BH1617" s="56">
        <f t="shared" si="372"/>
        <v>0.117319553351385</v>
      </c>
      <c r="BI1617" s="56">
        <f t="shared" si="369"/>
        <v>0.11497104962551997</v>
      </c>
      <c r="BJ1617" s="57">
        <f t="shared" si="373"/>
        <v>2.0702333756655946</v>
      </c>
      <c r="BK1617" s="57">
        <f t="shared" si="374"/>
        <v>1.9475797874355241E-2</v>
      </c>
      <c r="BL1617" s="58">
        <f t="shared" si="375"/>
        <v>3652.7481542903388</v>
      </c>
      <c r="BM1617" s="58">
        <f t="shared" si="375"/>
        <v>34.36336481437062</v>
      </c>
    </row>
    <row r="1618" spans="47:66" x14ac:dyDescent="0.2">
      <c r="AU1618" s="2">
        <v>-19</v>
      </c>
      <c r="AV1618" s="53">
        <v>1616</v>
      </c>
      <c r="AW1618" s="4" t="s">
        <v>2327</v>
      </c>
      <c r="AX1618" t="s">
        <v>678</v>
      </c>
      <c r="AY1618" s="4">
        <v>15516</v>
      </c>
      <c r="AZ1618" s="9">
        <v>30.04400807610573</v>
      </c>
      <c r="BA1618" s="7">
        <f t="shared" si="370"/>
        <v>7.7004066595386545E-4</v>
      </c>
      <c r="BB1618" s="54">
        <f t="shared" si="364"/>
        <v>24050.14544738776</v>
      </c>
      <c r="BC1618" s="55">
        <f t="shared" si="365"/>
        <v>50865.633708044537</v>
      </c>
      <c r="BD1618" s="55">
        <f t="shared" si="366"/>
        <v>225.53410763794582</v>
      </c>
      <c r="BE1618" s="55">
        <f t="shared" si="367"/>
        <v>221.01936412787683</v>
      </c>
      <c r="BF1618" s="56">
        <f t="shared" si="368"/>
        <v>12.551031795363759</v>
      </c>
      <c r="BG1618" s="56">
        <f t="shared" si="371"/>
        <v>1.3853129838849837E-2</v>
      </c>
      <c r="BH1618" s="56">
        <f t="shared" si="372"/>
        <v>0.11769931961931572</v>
      </c>
      <c r="BI1618" s="56">
        <f t="shared" si="369"/>
        <v>0.11534321372936367</v>
      </c>
      <c r="BJ1618" s="57">
        <f t="shared" si="373"/>
        <v>0.61965016952388208</v>
      </c>
      <c r="BK1618" s="57">
        <f t="shared" si="374"/>
        <v>5.810869141602777E-3</v>
      </c>
      <c r="BL1618" s="58">
        <f t="shared" si="375"/>
        <v>1093.3192555193677</v>
      </c>
      <c r="BM1618" s="58">
        <f t="shared" si="375"/>
        <v>10.25277718990886</v>
      </c>
    </row>
    <row r="1619" spans="47:66" x14ac:dyDescent="0.2">
      <c r="AU1619" s="2">
        <v>-18</v>
      </c>
      <c r="AV1619" s="53">
        <v>1617</v>
      </c>
      <c r="AW1619" s="4" t="s">
        <v>2386</v>
      </c>
      <c r="AX1619" t="s">
        <v>726</v>
      </c>
      <c r="AY1619" s="4">
        <v>8526</v>
      </c>
      <c r="AZ1619" s="9">
        <v>30.057111192042562</v>
      </c>
      <c r="BA1619" s="7">
        <f t="shared" si="370"/>
        <v>7.7037650437118015E-4</v>
      </c>
      <c r="BB1619" s="54">
        <f t="shared" si="364"/>
        <v>24256.155303397412</v>
      </c>
      <c r="BC1619" s="55">
        <f t="shared" si="365"/>
        <v>51309.7834863842</v>
      </c>
      <c r="BD1619" s="55">
        <f t="shared" si="366"/>
        <v>226.51662960229697</v>
      </c>
      <c r="BE1619" s="55">
        <f t="shared" si="367"/>
        <v>221.98221795995073</v>
      </c>
      <c r="BF1619" s="56">
        <f t="shared" si="368"/>
        <v>12.658542008081252</v>
      </c>
      <c r="BG1619" s="56">
        <f t="shared" si="371"/>
        <v>1.3974092935122388E-2</v>
      </c>
      <c r="BH1619" s="56">
        <f t="shared" si="372"/>
        <v>0.11821206763745565</v>
      </c>
      <c r="BI1619" s="56">
        <f t="shared" si="369"/>
        <v>0.11584569755371295</v>
      </c>
      <c r="BJ1619" s="57">
        <f t="shared" si="373"/>
        <v>0.3434127281062016</v>
      </c>
      <c r="BK1619" s="57">
        <f t="shared" si="374"/>
        <v>3.2069671701952063E-3</v>
      </c>
      <c r="BL1619" s="58">
        <f t="shared" si="375"/>
        <v>605.922126217504</v>
      </c>
      <c r="BM1619" s="58">
        <f t="shared" si="375"/>
        <v>5.6584168478271391</v>
      </c>
    </row>
    <row r="1620" spans="47:66" x14ac:dyDescent="0.2">
      <c r="AU1620" s="2">
        <v>-17</v>
      </c>
      <c r="AV1620" s="53">
        <v>1618</v>
      </c>
      <c r="AW1620" s="4" t="s">
        <v>2761</v>
      </c>
      <c r="AX1620" t="s">
        <v>1010</v>
      </c>
      <c r="AY1620" s="4">
        <v>40145</v>
      </c>
      <c r="AZ1620" s="9">
        <v>30.116319964035217</v>
      </c>
      <c r="BA1620" s="7">
        <f t="shared" si="370"/>
        <v>7.7189405030246995E-4</v>
      </c>
      <c r="BB1620" s="54">
        <f t="shared" si="364"/>
        <v>3.7017326529622974</v>
      </c>
      <c r="BC1620" s="55">
        <f t="shared" si="365"/>
        <v>24648.600787633521</v>
      </c>
      <c r="BD1620" s="55">
        <f t="shared" si="366"/>
        <v>156.99872861788887</v>
      </c>
      <c r="BE1620" s="55">
        <f t="shared" si="367"/>
        <v>153.85592685482001</v>
      </c>
      <c r="BF1620" s="56">
        <f t="shared" si="368"/>
        <v>875.99483751330592</v>
      </c>
      <c r="BG1620" s="56">
        <f t="shared" si="371"/>
        <v>12.863347245595078</v>
      </c>
      <c r="BH1620" s="56">
        <f t="shared" si="372"/>
        <v>3.5865508842891214</v>
      </c>
      <c r="BI1620" s="56">
        <f t="shared" si="369"/>
        <v>3.5147552809634797</v>
      </c>
      <c r="BJ1620" s="57">
        <f t="shared" si="373"/>
        <v>111.89749934837882</v>
      </c>
      <c r="BK1620" s="57">
        <f t="shared" si="374"/>
        <v>0.45813748900269463</v>
      </c>
      <c r="BL1620" s="58">
        <f t="shared" si="375"/>
        <v>197433.4821469509</v>
      </c>
      <c r="BM1620" s="58">
        <f t="shared" si="375"/>
        <v>808.34406740630084</v>
      </c>
    </row>
    <row r="1621" spans="47:66" x14ac:dyDescent="0.2">
      <c r="AU1621" s="2">
        <v>-16</v>
      </c>
      <c r="AV1621" s="53">
        <v>1619</v>
      </c>
      <c r="AW1621" s="4" t="s">
        <v>3113</v>
      </c>
      <c r="AX1621" t="s">
        <v>1254</v>
      </c>
      <c r="AY1621" s="4">
        <v>13991</v>
      </c>
      <c r="AZ1621" s="9">
        <v>30.101702278910199</v>
      </c>
      <c r="BA1621" s="7">
        <f t="shared" si="370"/>
        <v>7.7151939283466944E-4</v>
      </c>
      <c r="BB1621" s="54">
        <f t="shared" si="364"/>
        <v>24970.53841902862</v>
      </c>
      <c r="BC1621" s="55">
        <f t="shared" si="365"/>
        <v>52896.64448467418</v>
      </c>
      <c r="BD1621" s="55">
        <f t="shared" si="366"/>
        <v>229.99270528578549</v>
      </c>
      <c r="BE1621" s="55">
        <f t="shared" si="367"/>
        <v>225.3887095335372</v>
      </c>
      <c r="BF1621" s="56">
        <f t="shared" si="368"/>
        <v>13.031356601571884</v>
      </c>
      <c r="BG1621" s="56">
        <f t="shared" si="371"/>
        <v>1.4406270612720873E-2</v>
      </c>
      <c r="BH1621" s="56">
        <f t="shared" si="372"/>
        <v>0.12002612470925184</v>
      </c>
      <c r="BI1621" s="56">
        <f t="shared" si="369"/>
        <v>0.11762344081702331</v>
      </c>
      <c r="BJ1621" s="57">
        <f t="shared" si="373"/>
        <v>0.58013057917979871</v>
      </c>
      <c r="BK1621" s="57">
        <f t="shared" si="374"/>
        <v>5.3433289697471641E-3</v>
      </c>
      <c r="BL1621" s="58">
        <f t="shared" si="375"/>
        <v>1023.5903484384213</v>
      </c>
      <c r="BM1621" s="58">
        <f t="shared" si="375"/>
        <v>9.4278428999508002</v>
      </c>
    </row>
    <row r="1622" spans="47:66" x14ac:dyDescent="0.2">
      <c r="AU1622" s="2">
        <v>-15</v>
      </c>
      <c r="AV1622" s="53">
        <v>1620</v>
      </c>
      <c r="AW1622" s="4" t="s">
        <v>2555</v>
      </c>
      <c r="AX1622" t="s">
        <v>860</v>
      </c>
      <c r="AY1622" s="4">
        <v>38606</v>
      </c>
      <c r="AZ1622" s="9">
        <v>30.112803665903861</v>
      </c>
      <c r="BA1622" s="7">
        <f t="shared" si="370"/>
        <v>7.718039260904174E-4</v>
      </c>
      <c r="BB1622" s="54">
        <f t="shared" si="364"/>
        <v>25151.638598455418</v>
      </c>
      <c r="BC1622" s="55">
        <f t="shared" si="365"/>
        <v>53311.036504280804</v>
      </c>
      <c r="BD1622" s="55">
        <f t="shared" si="366"/>
        <v>230.89182857840768</v>
      </c>
      <c r="BE1622" s="55">
        <f t="shared" si="367"/>
        <v>226.26983416913748</v>
      </c>
      <c r="BF1622" s="56">
        <f t="shared" si="368"/>
        <v>13.125867219609693</v>
      </c>
      <c r="BG1622" s="56">
        <f t="shared" si="371"/>
        <v>1.45191292568257E-2</v>
      </c>
      <c r="BH1622" s="56">
        <f t="shared" si="372"/>
        <v>0.12049534952364635</v>
      </c>
      <c r="BI1622" s="56">
        <f t="shared" si="369"/>
        <v>0.11808327268545618</v>
      </c>
      <c r="BJ1622" s="57">
        <f t="shared" si="373"/>
        <v>1.6123903309135024</v>
      </c>
      <c r="BK1622" s="57">
        <f t="shared" si="374"/>
        <v>1.4801729534617938E-2</v>
      </c>
      <c r="BL1622" s="58">
        <f t="shared" si="375"/>
        <v>2844.92360835711</v>
      </c>
      <c r="BM1622" s="58">
        <f t="shared" si="375"/>
        <v>26.116374546660733</v>
      </c>
    </row>
    <row r="1623" spans="47:66" x14ac:dyDescent="0.2">
      <c r="AU1623" s="2">
        <v>-14</v>
      </c>
      <c r="AV1623" s="53">
        <v>1621</v>
      </c>
      <c r="AW1623" s="4" t="s">
        <v>1830</v>
      </c>
      <c r="AX1623" t="s">
        <v>309</v>
      </c>
      <c r="AY1623" s="4">
        <v>11221</v>
      </c>
      <c r="AZ1623" s="9">
        <v>30.138460828920316</v>
      </c>
      <c r="BA1623" s="7">
        <f t="shared" si="370"/>
        <v>7.7246153005742569E-4</v>
      </c>
      <c r="BB1623" s="54">
        <f t="shared" si="364"/>
        <v>25575.233434454807</v>
      </c>
      <c r="BC1623" s="55">
        <f t="shared" si="365"/>
        <v>54300.571350760954</v>
      </c>
      <c r="BD1623" s="55">
        <f t="shared" si="366"/>
        <v>233.02482990179598</v>
      </c>
      <c r="BE1623" s="55">
        <f t="shared" si="367"/>
        <v>228.36013705554615</v>
      </c>
      <c r="BF1623" s="56">
        <f t="shared" si="368"/>
        <v>13.346928346520993</v>
      </c>
      <c r="BG1623" s="56">
        <f t="shared" si="371"/>
        <v>1.4788626630769823E-2</v>
      </c>
      <c r="BH1623" s="56">
        <f t="shared" si="372"/>
        <v>0.12160849736251914</v>
      </c>
      <c r="BI1623" s="56">
        <f t="shared" si="369"/>
        <v>0.1191741375222858</v>
      </c>
      <c r="BJ1623" s="57">
        <f t="shared" si="373"/>
        <v>0.4765409908184437</v>
      </c>
      <c r="BK1623" s="57">
        <f t="shared" si="374"/>
        <v>4.3419303918105301E-3</v>
      </c>
      <c r="BL1623" s="58">
        <f t="shared" si="375"/>
        <v>840.81545835194424</v>
      </c>
      <c r="BM1623" s="58">
        <f t="shared" si="375"/>
        <v>7.6609615182365358</v>
      </c>
      <c r="BN1623" s="2">
        <f>_xlfn.XLOOKUP(AX1623,[1]RBA_proteins!$A:$A,[1]RBA_proteins!$I:$I)</f>
        <v>2.2117486314935196E-5</v>
      </c>
    </row>
    <row r="1624" spans="47:66" x14ac:dyDescent="0.2">
      <c r="AU1624" s="2">
        <v>-13</v>
      </c>
      <c r="AV1624" s="53">
        <v>1622</v>
      </c>
      <c r="AW1624" s="4" t="s">
        <v>2562</v>
      </c>
      <c r="AX1624" t="s">
        <v>867</v>
      </c>
      <c r="AY1624" s="4">
        <v>23367</v>
      </c>
      <c r="AZ1624" s="9">
        <v>30.316028566929152</v>
      </c>
      <c r="BA1624" s="7">
        <f t="shared" si="370"/>
        <v>7.770126664731089E-4</v>
      </c>
      <c r="BB1624" s="54">
        <f t="shared" si="364"/>
        <v>28709.033725687685</v>
      </c>
      <c r="BC1624" s="55">
        <f t="shared" si="365"/>
        <v>62642.627589140931</v>
      </c>
      <c r="BD1624" s="55">
        <f t="shared" si="366"/>
        <v>250.28509262267485</v>
      </c>
      <c r="BE1624" s="55">
        <f t="shared" si="367"/>
        <v>245.27488370385709</v>
      </c>
      <c r="BF1624" s="56">
        <f t="shared" si="368"/>
        <v>14.982362409970943</v>
      </c>
      <c r="BG1624" s="56">
        <f t="shared" si="371"/>
        <v>1.7060565064814511E-2</v>
      </c>
      <c r="BH1624" s="56">
        <f t="shared" si="372"/>
        <v>0.13061609803088786</v>
      </c>
      <c r="BI1624" s="56">
        <f t="shared" si="369"/>
        <v>0.1280014239708466</v>
      </c>
      <c r="BJ1624" s="57">
        <f t="shared" si="373"/>
        <v>1.1139626477483617</v>
      </c>
      <c r="BK1624" s="57">
        <f t="shared" si="374"/>
        <v>9.7115161427555937E-3</v>
      </c>
      <c r="BL1624" s="58">
        <f t="shared" si="375"/>
        <v>1965.490969926512</v>
      </c>
      <c r="BM1624" s="58">
        <f t="shared" si="375"/>
        <v>17.135132242956075</v>
      </c>
      <c r="BN1624" s="2">
        <f>_xlfn.XLOOKUP(AX1624,[1]RBA_proteins!$A:$A,[1]RBA_proteins!$I:$I)</f>
        <v>2.3380251308578886E-5</v>
      </c>
    </row>
    <row r="1625" spans="47:66" x14ac:dyDescent="0.2">
      <c r="AU1625" s="2">
        <v>-12</v>
      </c>
      <c r="AV1625" s="53">
        <v>1623</v>
      </c>
      <c r="AW1625" s="4" t="s">
        <v>2164</v>
      </c>
      <c r="AX1625" t="s">
        <v>560</v>
      </c>
      <c r="AY1625" s="4">
        <v>19626</v>
      </c>
      <c r="AZ1625" s="9">
        <v>30.35909094000673</v>
      </c>
      <c r="BA1625" s="7">
        <f t="shared" si="370"/>
        <v>7.7811637335396897E-4</v>
      </c>
      <c r="BB1625" s="54">
        <f t="shared" si="364"/>
        <v>29525.177646769873</v>
      </c>
      <c r="BC1625" s="55">
        <f t="shared" si="365"/>
        <v>65157.303894385812</v>
      </c>
      <c r="BD1625" s="55">
        <f t="shared" si="366"/>
        <v>255.25928757713365</v>
      </c>
      <c r="BE1625" s="55">
        <f t="shared" si="367"/>
        <v>250.14950518526715</v>
      </c>
      <c r="BF1625" s="56">
        <f t="shared" si="368"/>
        <v>15.408282840494078</v>
      </c>
      <c r="BG1625" s="56">
        <f t="shared" si="371"/>
        <v>1.7745430952050997E-2</v>
      </c>
      <c r="BH1625" s="56">
        <f t="shared" si="372"/>
        <v>0.13321197750972319</v>
      </c>
      <c r="BI1625" s="56">
        <f t="shared" si="369"/>
        <v>0.13054533911420854</v>
      </c>
      <c r="BJ1625" s="57">
        <f t="shared" si="373"/>
        <v>0.96221784866854188</v>
      </c>
      <c r="BK1625" s="57">
        <f t="shared" si="374"/>
        <v>8.318833691151134E-3</v>
      </c>
      <c r="BL1625" s="58">
        <f t="shared" si="375"/>
        <v>1697.7503657621321</v>
      </c>
      <c r="BM1625" s="58">
        <f t="shared" si="375"/>
        <v>14.677864229404127</v>
      </c>
      <c r="BN1625" s="2">
        <f>_xlfn.XLOOKUP(AX1625,[1]RBA_proteins!$A:$A,[1]RBA_proteins!$I:$I)</f>
        <v>2.6287121726523227E-5</v>
      </c>
    </row>
    <row r="1626" spans="47:66" x14ac:dyDescent="0.2">
      <c r="AU1626" s="2">
        <v>-11</v>
      </c>
      <c r="AV1626" s="53">
        <v>1624</v>
      </c>
      <c r="AW1626" s="4" t="s">
        <v>3067</v>
      </c>
      <c r="AX1626" t="s">
        <v>1223</v>
      </c>
      <c r="AY1626" s="4">
        <v>58122</v>
      </c>
      <c r="AZ1626" s="9">
        <v>30.438438108471047</v>
      </c>
      <c r="BA1626" s="7">
        <f t="shared" si="370"/>
        <v>7.8015007492571132E-4</v>
      </c>
      <c r="BB1626" s="54">
        <f t="shared" si="364"/>
        <v>31090.26524421278</v>
      </c>
      <c r="BC1626" s="55">
        <f t="shared" si="365"/>
        <v>70442.646132056921</v>
      </c>
      <c r="BD1626" s="55">
        <f t="shared" si="366"/>
        <v>265.4103353904232</v>
      </c>
      <c r="BE1626" s="55">
        <f t="shared" si="367"/>
        <v>260.09734924496291</v>
      </c>
      <c r="BF1626" s="56">
        <f t="shared" si="368"/>
        <v>16.225053959030888</v>
      </c>
      <c r="BG1626" s="56">
        <f t="shared" si="371"/>
        <v>1.9184880869874094E-2</v>
      </c>
      <c r="BH1626" s="56">
        <f t="shared" si="372"/>
        <v>0.1385094973995433</v>
      </c>
      <c r="BI1626" s="56">
        <f t="shared" si="369"/>
        <v>0.13573681320992453</v>
      </c>
      <c r="BJ1626" s="57">
        <f t="shared" si="373"/>
        <v>3.0006412279901129</v>
      </c>
      <c r="BK1626" s="57">
        <f t="shared" si="374"/>
        <v>2.5615773569364668E-2</v>
      </c>
      <c r="BL1626" s="58">
        <f t="shared" si="375"/>
        <v>5294.3725263363003</v>
      </c>
      <c r="BM1626" s="58">
        <f t="shared" si="375"/>
        <v>45.196822119696172</v>
      </c>
    </row>
    <row r="1627" spans="47:66" x14ac:dyDescent="0.2">
      <c r="AU1627" s="2">
        <v>-10</v>
      </c>
      <c r="AV1627" s="53">
        <v>1625</v>
      </c>
      <c r="AW1627" s="4" t="s">
        <v>1821</v>
      </c>
      <c r="AX1627" t="s">
        <v>300</v>
      </c>
      <c r="AY1627" s="4">
        <v>22281</v>
      </c>
      <c r="AZ1627" s="9">
        <v>30.469951529356297</v>
      </c>
      <c r="BA1627" s="7">
        <f t="shared" si="370"/>
        <v>7.809577772650095E-4</v>
      </c>
      <c r="BB1627" s="54">
        <f t="shared" si="364"/>
        <v>31734.633139369042</v>
      </c>
      <c r="BC1627" s="55">
        <f t="shared" si="365"/>
        <v>72809.571492447605</v>
      </c>
      <c r="BD1627" s="55">
        <f t="shared" si="366"/>
        <v>269.83248783726469</v>
      </c>
      <c r="BE1627" s="55">
        <f t="shared" si="367"/>
        <v>264.43097900994042</v>
      </c>
      <c r="BF1627" s="56">
        <f t="shared" si="368"/>
        <v>16.561329760676657</v>
      </c>
      <c r="BG1627" s="56">
        <f t="shared" si="371"/>
        <v>1.9829507151823505E-2</v>
      </c>
      <c r="BH1627" s="56">
        <f t="shared" si="372"/>
        <v>0.14081728285911324</v>
      </c>
      <c r="BI1627" s="56">
        <f t="shared" si="369"/>
        <v>0.13799840140232569</v>
      </c>
      <c r="BJ1627" s="57">
        <f t="shared" si="373"/>
        <v>1.1741328946979814</v>
      </c>
      <c r="BK1627" s="57">
        <f t="shared" si="374"/>
        <v>9.9833893978402213E-3</v>
      </c>
      <c r="BL1627" s="58">
        <f t="shared" si="375"/>
        <v>2071.6561786763491</v>
      </c>
      <c r="BM1627" s="58">
        <f t="shared" si="375"/>
        <v>17.614829142051807</v>
      </c>
      <c r="BN1627" s="2">
        <f>_xlfn.XLOOKUP(AX1627,[1]RBA_proteins!$A:$A,[1]RBA_proteins!$I:$I)</f>
        <v>2.5405660234500004E-5</v>
      </c>
    </row>
    <row r="1628" spans="47:66" x14ac:dyDescent="0.2">
      <c r="AU1628" s="2">
        <v>-9</v>
      </c>
      <c r="AV1628" s="53">
        <v>1626</v>
      </c>
      <c r="AW1628" s="4" t="s">
        <v>1826</v>
      </c>
      <c r="AX1628" t="s">
        <v>305</v>
      </c>
      <c r="AY1628" s="4">
        <v>15888</v>
      </c>
      <c r="AZ1628" s="9">
        <v>30.532100992813884</v>
      </c>
      <c r="BA1628" s="7">
        <f t="shared" si="370"/>
        <v>7.8255069436542846E-4</v>
      </c>
      <c r="BB1628" s="54">
        <f t="shared" si="364"/>
        <v>33044.835625824679</v>
      </c>
      <c r="BC1628" s="55">
        <f t="shared" si="365"/>
        <v>77994.632924714344</v>
      </c>
      <c r="BD1628" s="55">
        <f t="shared" si="366"/>
        <v>279.27519210397895</v>
      </c>
      <c r="BE1628" s="55">
        <f t="shared" si="367"/>
        <v>273.68465914965174</v>
      </c>
      <c r="BF1628" s="56">
        <f t="shared" si="368"/>
        <v>17.245084172966735</v>
      </c>
      <c r="BG1628" s="56">
        <f t="shared" si="371"/>
        <v>2.1241645839725501E-2</v>
      </c>
      <c r="BH1628" s="56">
        <f t="shared" si="372"/>
        <v>0.14574514002094718</v>
      </c>
      <c r="BI1628" s="56">
        <f t="shared" si="369"/>
        <v>0.14282761268140184</v>
      </c>
      <c r="BJ1628" s="57">
        <f t="shared" si="373"/>
        <v>0.87181015167081921</v>
      </c>
      <c r="BK1628" s="57">
        <f t="shared" si="374"/>
        <v>7.3680181176574546E-3</v>
      </c>
      <c r="BL1628" s="58">
        <f t="shared" si="375"/>
        <v>1538.2337855428136</v>
      </c>
      <c r="BM1628" s="58">
        <f t="shared" si="375"/>
        <v>13.000232194304257</v>
      </c>
      <c r="BN1628" s="2">
        <f>_xlfn.XLOOKUP(AX1628,[1]RBA_proteins!$A:$A,[1]RBA_proteins!$I:$I)</f>
        <v>2.7315249033170654E-5</v>
      </c>
    </row>
    <row r="1629" spans="47:66" x14ac:dyDescent="0.2">
      <c r="AU1629" s="2">
        <v>-8</v>
      </c>
      <c r="AV1629" s="53">
        <v>1627</v>
      </c>
      <c r="AW1629" s="4" t="s">
        <v>2330</v>
      </c>
      <c r="AX1629" t="s">
        <v>681</v>
      </c>
      <c r="AY1629" s="4">
        <v>14122</v>
      </c>
      <c r="AZ1629" s="9">
        <v>30.62670984401958</v>
      </c>
      <c r="BA1629" s="7">
        <f t="shared" si="370"/>
        <v>7.8497555933694019E-4</v>
      </c>
      <c r="BB1629" s="54">
        <f t="shared" si="364"/>
        <v>35143.930626986898</v>
      </c>
      <c r="BC1629" s="55">
        <f t="shared" si="365"/>
        <v>87434.555597076658</v>
      </c>
      <c r="BD1629" s="55">
        <f t="shared" si="366"/>
        <v>295.69334723168299</v>
      </c>
      <c r="BE1629" s="55">
        <f t="shared" si="367"/>
        <v>289.7741555210975</v>
      </c>
      <c r="BF1629" s="56">
        <f t="shared" si="368"/>
        <v>18.340537344287881</v>
      </c>
      <c r="BG1629" s="56">
        <f t="shared" si="371"/>
        <v>2.3812585488276028E-2</v>
      </c>
      <c r="BH1629" s="56">
        <f t="shared" si="372"/>
        <v>0.15431327061622416</v>
      </c>
      <c r="BI1629" s="56">
        <f t="shared" si="369"/>
        <v>0.15122422637219113</v>
      </c>
      <c r="BJ1629" s="57">
        <f t="shared" si="373"/>
        <v>0.82412983156140884</v>
      </c>
      <c r="BK1629" s="57">
        <f t="shared" si="374"/>
        <v>6.9340481869931163E-3</v>
      </c>
      <c r="BL1629" s="58">
        <f t="shared" si="375"/>
        <v>1454.1059749670487</v>
      </c>
      <c r="BM1629" s="58">
        <f t="shared" si="375"/>
        <v>12.234529698206675</v>
      </c>
      <c r="BN1629" s="2">
        <f>_xlfn.XLOOKUP(AX1629,[1]RBA_proteins!$A:$A,[1]RBA_proteins!$I:$I)</f>
        <v>2.7284570397577473E-5</v>
      </c>
    </row>
    <row r="1630" spans="47:66" x14ac:dyDescent="0.2">
      <c r="AU1630" s="2">
        <v>-7</v>
      </c>
      <c r="AV1630" s="53">
        <v>1628</v>
      </c>
      <c r="AW1630" s="4" t="s">
        <v>1819</v>
      </c>
      <c r="AX1630" t="s">
        <v>298</v>
      </c>
      <c r="AY1630" s="4">
        <v>43095</v>
      </c>
      <c r="AZ1630" s="9">
        <v>30.641513949556671</v>
      </c>
      <c r="BA1630" s="7">
        <f t="shared" si="370"/>
        <v>7.8535499483894629E-4</v>
      </c>
      <c r="BB1630" s="54">
        <f t="shared" si="364"/>
        <v>35484.246992910732</v>
      </c>
      <c r="BC1630" s="55">
        <f t="shared" si="365"/>
        <v>89106.230992985176</v>
      </c>
      <c r="BD1630" s="55">
        <f t="shared" si="366"/>
        <v>298.5066682554766</v>
      </c>
      <c r="BE1630" s="55">
        <f t="shared" si="367"/>
        <v>292.53115946288995</v>
      </c>
      <c r="BF1630" s="56">
        <f t="shared" si="368"/>
        <v>18.518137996996487</v>
      </c>
      <c r="BG1630" s="56">
        <f t="shared" si="371"/>
        <v>2.4267862157808035E-2</v>
      </c>
      <c r="BH1630" s="56">
        <f t="shared" si="372"/>
        <v>0.15578145639904653</v>
      </c>
      <c r="BI1630" s="56">
        <f t="shared" si="369"/>
        <v>0.15266302200066392</v>
      </c>
      <c r="BJ1630" s="57">
        <f t="shared" si="373"/>
        <v>2.5392857373236581</v>
      </c>
      <c r="BK1630" s="57">
        <f t="shared" si="374"/>
        <v>2.1361414977994306E-2</v>
      </c>
      <c r="BL1630" s="58">
        <f t="shared" si="375"/>
        <v>4480.3505726704252</v>
      </c>
      <c r="BM1630" s="58">
        <f t="shared" si="375"/>
        <v>37.690373486908065</v>
      </c>
    </row>
    <row r="1631" spans="47:66" x14ac:dyDescent="0.2">
      <c r="AU1631" s="2">
        <v>-6</v>
      </c>
      <c r="AV1631" s="53">
        <v>1629</v>
      </c>
      <c r="AW1631" s="4" t="s">
        <v>2771</v>
      </c>
      <c r="AX1631" t="s">
        <v>1019</v>
      </c>
      <c r="AY1631" s="4">
        <v>45743</v>
      </c>
      <c r="AZ1631" s="9">
        <v>30.661642385045777</v>
      </c>
      <c r="BA1631" s="7">
        <f t="shared" si="370"/>
        <v>7.8587089517519226E-4</v>
      </c>
      <c r="BB1631" s="54">
        <f t="shared" si="364"/>
        <v>4.382203821224901</v>
      </c>
      <c r="BC1631" s="55">
        <f t="shared" si="365"/>
        <v>38160.143804970641</v>
      </c>
      <c r="BD1631" s="55">
        <f t="shared" si="366"/>
        <v>195.34621523072988</v>
      </c>
      <c r="BE1631" s="55">
        <f t="shared" si="367"/>
        <v>191.43577318422012</v>
      </c>
      <c r="BF1631" s="56">
        <f t="shared" si="368"/>
        <v>1420.5744168806284</v>
      </c>
      <c r="BG1631" s="56">
        <f t="shared" si="371"/>
        <v>19.914606307042579</v>
      </c>
      <c r="BH1631" s="56">
        <f t="shared" si="372"/>
        <v>4.4625784370745327</v>
      </c>
      <c r="BI1631" s="56">
        <f t="shared" si="369"/>
        <v>4.3732465074255629</v>
      </c>
      <c r="BJ1631" s="57">
        <f t="shared" si="373"/>
        <v>206.76451414007099</v>
      </c>
      <c r="BK1631" s="57">
        <f t="shared" si="374"/>
        <v>0.64952800176409797</v>
      </c>
      <c r="BL1631" s="58">
        <f t="shared" si="375"/>
        <v>364818.1438264476</v>
      </c>
      <c r="BM1631" s="58">
        <f t="shared" si="375"/>
        <v>1146.0361123976691</v>
      </c>
      <c r="BN1631" s="2">
        <f>_xlfn.XLOOKUP(AX1631,[1]RBA_proteins!$A:$A,[1]RBA_proteins!$I:$I)</f>
        <v>4.0257467594208285E-5</v>
      </c>
    </row>
    <row r="1632" spans="47:66" x14ac:dyDescent="0.2">
      <c r="AU1632" s="2">
        <v>-5</v>
      </c>
      <c r="AV1632" s="53">
        <v>1630</v>
      </c>
      <c r="AW1632" s="4" t="s">
        <v>2023</v>
      </c>
      <c r="AX1632" t="s">
        <v>448</v>
      </c>
      <c r="AY1632" s="4">
        <v>12506</v>
      </c>
      <c r="AZ1632" s="9">
        <v>30.774966241307308</v>
      </c>
      <c r="BA1632" s="7">
        <f t="shared" si="370"/>
        <v>7.8877543366163646E-4</v>
      </c>
      <c r="BB1632" s="54">
        <f t="shared" si="364"/>
        <v>38704.7235551544</v>
      </c>
      <c r="BC1632" s="55">
        <f t="shared" si="365"/>
        <v>107077.79796711837</v>
      </c>
      <c r="BD1632" s="55">
        <f t="shared" si="366"/>
        <v>327.22744073063063</v>
      </c>
      <c r="BE1632" s="55">
        <f t="shared" si="367"/>
        <v>320.67699929262551</v>
      </c>
      <c r="BF1632" s="56">
        <f t="shared" si="368"/>
        <v>20.198805742535399</v>
      </c>
      <c r="BG1632" s="56">
        <f t="shared" si="371"/>
        <v>2.9162374081695797E-2</v>
      </c>
      <c r="BH1632" s="56">
        <f t="shared" si="372"/>
        <v>0.17076994490160088</v>
      </c>
      <c r="BI1632" s="56">
        <f t="shared" si="369"/>
        <v>0.16735147082451354</v>
      </c>
      <c r="BJ1632" s="57">
        <f t="shared" si="373"/>
        <v>0.80376943823824443</v>
      </c>
      <c r="BK1632" s="57">
        <f t="shared" si="374"/>
        <v>6.795434563365752E-3</v>
      </c>
      <c r="BL1632" s="58">
        <f t="shared" si="375"/>
        <v>1418.181817813557</v>
      </c>
      <c r="BM1632" s="58">
        <f t="shared" si="375"/>
        <v>11.989957920060377</v>
      </c>
      <c r="BN1632" s="2">
        <f>_xlfn.XLOOKUP(AX1632,[1]RBA_proteins!$A:$A,[1]RBA_proteins!$I:$I)</f>
        <v>3.493891849176133E-5</v>
      </c>
    </row>
    <row r="1633" spans="47:66" x14ac:dyDescent="0.2">
      <c r="AU1633" s="2">
        <v>-4</v>
      </c>
      <c r="AV1633" s="53">
        <v>1631</v>
      </c>
      <c r="AW1633" s="4" t="s">
        <v>1569</v>
      </c>
      <c r="AX1633" t="s">
        <v>146</v>
      </c>
      <c r="AY1633" s="4">
        <v>6470</v>
      </c>
      <c r="AZ1633" s="9">
        <v>30.956315790739861</v>
      </c>
      <c r="BA1633" s="7">
        <f t="shared" si="370"/>
        <v>7.9342349950763591E-4</v>
      </c>
      <c r="BB1633" s="54">
        <f t="shared" si="364"/>
        <v>43554.581685153193</v>
      </c>
      <c r="BC1633" s="55">
        <f t="shared" si="365"/>
        <v>142485.1211703041</v>
      </c>
      <c r="BD1633" s="55">
        <f t="shared" si="366"/>
        <v>377.47201375771436</v>
      </c>
      <c r="BE1633" s="55">
        <f t="shared" si="367"/>
        <v>369.91577606846391</v>
      </c>
      <c r="BF1633" s="56">
        <f t="shared" si="368"/>
        <v>22.729797653822565</v>
      </c>
      <c r="BG1633" s="56">
        <f t="shared" si="371"/>
        <v>3.8805471195063758E-2</v>
      </c>
      <c r="BH1633" s="56">
        <f t="shared" si="372"/>
        <v>0.19699104343868976</v>
      </c>
      <c r="BI1633" s="56">
        <f t="shared" si="369"/>
        <v>0.19304767520839858</v>
      </c>
      <c r="BJ1633" s="57">
        <f t="shared" si="373"/>
        <v>0.46793682323558644</v>
      </c>
      <c r="BK1633" s="57">
        <f t="shared" si="374"/>
        <v>4.0554414287564807E-3</v>
      </c>
      <c r="BL1633" s="58">
        <f t="shared" si="375"/>
        <v>825.63414709162214</v>
      </c>
      <c r="BM1633" s="58">
        <f t="shared" si="375"/>
        <v>7.1554764635944306</v>
      </c>
      <c r="BN1633" s="2">
        <f>_xlfn.XLOOKUP(AX1633,[1]RBA_proteins!$A:$A,[1]RBA_proteins!$I:$I)</f>
        <v>3.1678453563397707E-5</v>
      </c>
    </row>
    <row r="1634" spans="47:66" x14ac:dyDescent="0.2">
      <c r="AU1634" s="2">
        <v>-3</v>
      </c>
      <c r="AV1634" s="53">
        <v>1632</v>
      </c>
      <c r="AW1634" s="4" t="s">
        <v>1486</v>
      </c>
      <c r="AX1634" t="s">
        <v>83</v>
      </c>
      <c r="AY1634" s="4">
        <v>51445</v>
      </c>
      <c r="AZ1634" s="9">
        <v>30.70396562773977</v>
      </c>
      <c r="BA1634" s="7">
        <f t="shared" si="370"/>
        <v>7.8695565783092232E-4</v>
      </c>
      <c r="BB1634" s="54">
        <f t="shared" si="364"/>
        <v>4.7792730707301327</v>
      </c>
      <c r="BC1634" s="55">
        <f t="shared" si="365"/>
        <v>50776.622312599335</v>
      </c>
      <c r="BD1634" s="55">
        <f t="shared" si="366"/>
        <v>225.3366865661234</v>
      </c>
      <c r="BE1634" s="55">
        <f t="shared" si="367"/>
        <v>220.82589503259621</v>
      </c>
      <c r="BF1634" s="56">
        <f t="shared" si="368"/>
        <v>1668.4565899748827</v>
      </c>
      <c r="BG1634" s="56">
        <f t="shared" si="371"/>
        <v>26.498758708165397</v>
      </c>
      <c r="BH1634" s="56">
        <f t="shared" si="372"/>
        <v>5.147694504160615</v>
      </c>
      <c r="BI1634" s="56">
        <f t="shared" si="369"/>
        <v>5.044647915784787</v>
      </c>
      <c r="BJ1634" s="57">
        <f t="shared" si="373"/>
        <v>273.11493853280723</v>
      </c>
      <c r="BK1634" s="57">
        <f t="shared" si="374"/>
        <v>0.84264240168853366</v>
      </c>
      <c r="BL1634" s="58">
        <f t="shared" si="375"/>
        <v>481887.74239720148</v>
      </c>
      <c r="BM1634" s="58">
        <f t="shared" si="375"/>
        <v>1486.7698075367871</v>
      </c>
      <c r="BN1634" s="2">
        <f>_xlfn.XLOOKUP(AX1634,[1]RBA_proteins!$A:$A,[1]RBA_proteins!$I:$I)</f>
        <v>5.3567361741088538E-5</v>
      </c>
    </row>
    <row r="1635" spans="47:66" x14ac:dyDescent="0.2">
      <c r="AU1635" s="2">
        <v>-2</v>
      </c>
      <c r="AV1635" s="53">
        <v>1633</v>
      </c>
      <c r="AW1635" s="4" t="s">
        <v>2559</v>
      </c>
      <c r="AX1635" t="s">
        <v>864</v>
      </c>
      <c r="AY1635" s="4">
        <v>60926</v>
      </c>
      <c r="AZ1635" s="9">
        <v>30.085331691096442</v>
      </c>
      <c r="BA1635" s="7">
        <f t="shared" si="370"/>
        <v>7.7109980772770809E-4</v>
      </c>
      <c r="BB1635" s="54">
        <f t="shared" si="364"/>
        <v>5.1087125328393492</v>
      </c>
      <c r="BC1635" s="55">
        <f t="shared" si="365"/>
        <v>65850.86210894151</v>
      </c>
      <c r="BD1635" s="55">
        <f t="shared" si="366"/>
        <v>256.61422818881556</v>
      </c>
      <c r="BE1635" s="55">
        <f t="shared" si="367"/>
        <v>251.47732258531073</v>
      </c>
      <c r="BF1635" s="56">
        <f t="shared" si="368"/>
        <v>1118.8992589236989</v>
      </c>
      <c r="BG1635" s="56">
        <f t="shared" si="371"/>
        <v>34.365541193482052</v>
      </c>
      <c r="BH1635" s="56">
        <f t="shared" si="372"/>
        <v>5.8622129945509531</v>
      </c>
      <c r="BI1635" s="56">
        <f t="shared" si="369"/>
        <v>5.7448631695112828</v>
      </c>
      <c r="BJ1635" s="57">
        <f t="shared" si="373"/>
        <v>216.91072428207136</v>
      </c>
      <c r="BK1635" s="57">
        <f t="shared" si="374"/>
        <v>1.1364533995374915</v>
      </c>
      <c r="BL1635" s="58">
        <f t="shared" si="375"/>
        <v>382720.25612203276</v>
      </c>
      <c r="BM1635" s="58">
        <f t="shared" si="375"/>
        <v>2005.1739607680317</v>
      </c>
      <c r="BN1635" s="2">
        <f>_xlfn.XLOOKUP(AX1635,[1]RBA_proteins!$A:$A,[1]RBA_proteins!$I:$I)</f>
        <v>6.9470098460584952E-5</v>
      </c>
    </row>
    <row r="1636" spans="47:66" ht="16" thickBot="1" x14ac:dyDescent="0.25">
      <c r="AU1636" s="2">
        <v>-1</v>
      </c>
      <c r="AV1636" s="129">
        <v>1634</v>
      </c>
      <c r="AW1636" s="130" t="s">
        <v>1506</v>
      </c>
      <c r="AX1636" s="131" t="s">
        <v>101</v>
      </c>
      <c r="AY1636" s="130">
        <v>36102</v>
      </c>
      <c r="AZ1636" s="86">
        <v>30.593138856548002</v>
      </c>
      <c r="BA1636" s="7">
        <f t="shared" si="370"/>
        <v>7.8411512069360544E-4</v>
      </c>
      <c r="BB1636" s="97">
        <f t="shared" si="364"/>
        <v>5.3407926939023822</v>
      </c>
      <c r="BC1636" s="132">
        <f t="shared" si="365"/>
        <v>75032.216621009269</v>
      </c>
      <c r="BD1636" s="132">
        <f t="shared" si="366"/>
        <v>273.92009167092738</v>
      </c>
      <c r="BE1636" s="132">
        <f t="shared" si="367"/>
        <v>268.43675715846376</v>
      </c>
      <c r="BF1636" s="133">
        <f t="shared" si="368"/>
        <v>2696.7172329804075</v>
      </c>
      <c r="BG1636" s="133">
        <f t="shared" si="371"/>
        <v>39.157007950203294</v>
      </c>
      <c r="BH1636" s="133">
        <f t="shared" si="372"/>
        <v>6.2575560684825904</v>
      </c>
      <c r="BI1636" s="133">
        <f t="shared" si="369"/>
        <v>6.1322922627329648</v>
      </c>
      <c r="BJ1636" s="57">
        <f t="shared" si="373"/>
        <v>309.78047722643305</v>
      </c>
      <c r="BK1636" s="57">
        <f t="shared" si="374"/>
        <v>0.71882534863446046</v>
      </c>
      <c r="BL1636" s="58">
        <f>((BJ1636/$S$26)*0.000000001)/0.45</f>
        <v>546580.92161239183</v>
      </c>
      <c r="BM1636" s="58">
        <f t="shared" ref="BM1636" si="376">((BK1636/$S$26)*0.000000001)/0.45</f>
        <v>1268.3053013950457</v>
      </c>
      <c r="BN1636" s="2">
        <f>_xlfn.XLOOKUP(AX1636,[1]RBA_proteins!$A:$A,[1]RBA_proteins!$I:$I)</f>
        <v>7.9156070390605819E-5</v>
      </c>
    </row>
    <row r="1637" spans="47:66" x14ac:dyDescent="0.2">
      <c r="AW1637" s="4"/>
      <c r="AX1637" s="134"/>
      <c r="AY1637" s="4"/>
      <c r="AZ1637" s="9">
        <f>SUM(AZ3:AZ1636)</f>
        <v>39016.131750509034</v>
      </c>
      <c r="BA1637" s="9"/>
      <c r="BB1637" s="8"/>
      <c r="BJ1637" s="9"/>
    </row>
    <row r="1638" spans="47:66" x14ac:dyDescent="0.2">
      <c r="BN1638" s="2">
        <f>MEDIAN(BN1631:BN1636,BN1627:BN1629,BN1623:BN1625)</f>
        <v>2.9496851298284182E-5</v>
      </c>
    </row>
    <row r="1639" spans="47:66" x14ac:dyDescent="0.2">
      <c r="BK1639" s="2" t="s">
        <v>3542</v>
      </c>
    </row>
    <row r="1640" spans="47:66" x14ac:dyDescent="0.2">
      <c r="BH1640" s="2" t="s">
        <v>3540</v>
      </c>
      <c r="BK1640" s="7">
        <f>MEDIAN(BL1622:BL1636)</f>
        <v>2071.6561786763491</v>
      </c>
    </row>
    <row r="1641" spans="47:66" x14ac:dyDescent="0.2">
      <c r="BH1641" s="2" t="s">
        <v>3541</v>
      </c>
      <c r="BK1641" s="7">
        <f>AVERAGE(BL1622:BL1636)</f>
        <v>120029.23862423794</v>
      </c>
    </row>
  </sheetData>
  <mergeCells count="25">
    <mergeCell ref="BN3:BN16"/>
    <mergeCell ref="CM54:CM56"/>
    <mergeCell ref="CR17:CR20"/>
    <mergeCell ref="BN20:BN23"/>
    <mergeCell ref="CR21:CR22"/>
    <mergeCell ref="CM28:CM37"/>
    <mergeCell ref="CM38:CM40"/>
    <mergeCell ref="CM42:CM53"/>
    <mergeCell ref="CR52:CR53"/>
    <mergeCell ref="E1:H1"/>
    <mergeCell ref="I1:L1"/>
    <mergeCell ref="M1:P1"/>
    <mergeCell ref="CM3:CM13"/>
    <mergeCell ref="CM14:CM26"/>
    <mergeCell ref="BN17:BN19"/>
    <mergeCell ref="AM1:AP1"/>
    <mergeCell ref="AQ1:AT1"/>
    <mergeCell ref="BB1:BE1"/>
    <mergeCell ref="BF1:BI1"/>
    <mergeCell ref="BJ1:BK1"/>
    <mergeCell ref="BL1:BM1"/>
    <mergeCell ref="W2:Z2"/>
    <mergeCell ref="AA2:AD2"/>
    <mergeCell ref="AE2:AH2"/>
    <mergeCell ref="AI2:AL2"/>
  </mergeCells>
  <conditionalFormatting sqref="AX3:AX1636">
    <cfRule type="expression" dxfId="0" priority="1">
      <formula>NOT(ISERROR(MATCH(AX3,$S$4:$S$20,0)))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MEP_OE</vt:lpstr>
      <vt:lpstr>Simulations</vt:lpstr>
      <vt:lpstr>Quant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Kirsten Fisher</dc:creator>
  <cp:lastModifiedBy>Kirsten Fisher</cp:lastModifiedBy>
  <dcterms:created xsi:type="dcterms:W3CDTF">2026-03-06T18:39:08Z</dcterms:created>
  <dcterms:modified xsi:type="dcterms:W3CDTF">2026-04-22T21:45:39Z</dcterms:modified>
</cp:coreProperties>
</file>