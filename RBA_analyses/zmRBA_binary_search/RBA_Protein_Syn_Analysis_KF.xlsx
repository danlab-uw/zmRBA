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irstenfisher/Desktop/zmRBA_binary_search/"/>
    </mc:Choice>
  </mc:AlternateContent>
  <xr:revisionPtr revIDLastSave="0" documentId="13_ncr:1_{FCCA666D-425B-7243-ACD8-2C2B7369B296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1" sheetId="1" r:id="rId1"/>
    <sheet name="ProteinComp_Anal" sheetId="2" r:id="rId2"/>
  </sheets>
  <definedNames>
    <definedName name="_xlchart.v1.0" hidden="1">Sheet1!$H$2:$H$343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A38" i="2" s="1"/>
  <c r="G28" i="2"/>
  <c r="G29" i="2"/>
  <c r="G30" i="2"/>
  <c r="G8" i="2"/>
  <c r="Z2" i="1"/>
  <c r="Y2" i="1"/>
  <c r="N9" i="1"/>
  <c r="M46" i="2"/>
  <c r="M45" i="2"/>
  <c r="M42" i="2"/>
  <c r="L45" i="2"/>
  <c r="L44" i="2"/>
  <c r="J43" i="2"/>
  <c r="O22" i="2"/>
  <c r="P22" i="2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37" i="1"/>
  <c r="G49" i="2"/>
  <c r="F49" i="2"/>
  <c r="A36" i="2" s="1"/>
  <c r="O9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N37" i="1"/>
  <c r="M37" i="1"/>
  <c r="H2" i="1"/>
  <c r="O8" i="2"/>
  <c r="O30" i="2"/>
  <c r="O29" i="2"/>
  <c r="O28" i="2"/>
  <c r="O27" i="2"/>
  <c r="O26" i="2"/>
  <c r="O25" i="2"/>
  <c r="O24" i="2"/>
  <c r="O21" i="2"/>
  <c r="O20" i="2"/>
  <c r="O18" i="2"/>
  <c r="O17" i="2"/>
  <c r="O16" i="2"/>
  <c r="O15" i="2"/>
  <c r="O14" i="2"/>
  <c r="O13" i="2"/>
  <c r="O12" i="2"/>
  <c r="O11" i="2"/>
  <c r="O10" i="2"/>
  <c r="O9" i="2"/>
  <c r="Y7" i="1"/>
  <c r="H344" i="1"/>
  <c r="H34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Y3" i="1"/>
  <c r="Z3" i="1"/>
  <c r="Y4" i="1"/>
  <c r="Z4" i="1"/>
  <c r="Y5" i="1"/>
  <c r="Z5" i="1"/>
  <c r="Y6" i="1"/>
  <c r="Z6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Y25" i="1"/>
  <c r="Z25" i="1"/>
  <c r="Y26" i="1"/>
  <c r="Z26" i="1"/>
  <c r="Y27" i="1"/>
  <c r="Z27" i="1"/>
  <c r="Y28" i="1"/>
  <c r="Z28" i="1"/>
  <c r="Y29" i="1"/>
  <c r="Z29" i="1"/>
  <c r="Y30" i="1"/>
  <c r="Z30" i="1"/>
  <c r="Y31" i="1"/>
  <c r="Z31" i="1"/>
  <c r="Y32" i="1"/>
  <c r="Z32" i="1"/>
  <c r="Y33" i="1"/>
  <c r="Z33" i="1"/>
  <c r="Y34" i="1"/>
  <c r="Z34" i="1"/>
  <c r="Y35" i="1"/>
  <c r="Z35" i="1"/>
  <c r="Y36" i="1"/>
  <c r="Z36" i="1"/>
  <c r="Y37" i="1"/>
  <c r="Z37" i="1"/>
  <c r="Y38" i="1"/>
  <c r="Z38" i="1"/>
  <c r="Y39" i="1"/>
  <c r="Z39" i="1"/>
  <c r="Y40" i="1"/>
  <c r="Z40" i="1"/>
  <c r="Y41" i="1"/>
  <c r="Z41" i="1"/>
  <c r="Y42" i="1"/>
  <c r="Z42" i="1"/>
  <c r="Y43" i="1"/>
  <c r="Z43" i="1"/>
  <c r="Y44" i="1"/>
  <c r="Z44" i="1"/>
  <c r="Y45" i="1"/>
  <c r="Z45" i="1"/>
  <c r="Y46" i="1"/>
  <c r="Z46" i="1"/>
  <c r="Y47" i="1"/>
  <c r="Z47" i="1"/>
  <c r="Y48" i="1"/>
  <c r="Z48" i="1"/>
  <c r="Y49" i="1"/>
  <c r="Z49" i="1"/>
  <c r="Y50" i="1"/>
  <c r="Z50" i="1"/>
  <c r="Y51" i="1"/>
  <c r="Z51" i="1"/>
  <c r="Y52" i="1"/>
  <c r="Z52" i="1"/>
  <c r="Y53" i="1"/>
  <c r="Z53" i="1"/>
  <c r="Y54" i="1"/>
  <c r="Z54" i="1"/>
  <c r="Y55" i="1"/>
  <c r="Z55" i="1"/>
  <c r="Y56" i="1"/>
  <c r="Z56" i="1"/>
  <c r="Y57" i="1"/>
  <c r="Z57" i="1"/>
  <c r="Y58" i="1"/>
  <c r="Z58" i="1"/>
  <c r="Y59" i="1"/>
  <c r="Z59" i="1"/>
  <c r="Y60" i="1"/>
  <c r="Z60" i="1"/>
  <c r="Y61" i="1"/>
  <c r="Z61" i="1"/>
  <c r="Y62" i="1"/>
  <c r="Z62" i="1"/>
  <c r="Y63" i="1"/>
  <c r="Z63" i="1"/>
  <c r="Y64" i="1"/>
  <c r="Z64" i="1"/>
  <c r="Y65" i="1"/>
  <c r="Z65" i="1"/>
  <c r="Y66" i="1"/>
  <c r="Z66" i="1"/>
  <c r="Y67" i="1"/>
  <c r="Z67" i="1"/>
  <c r="Y68" i="1"/>
  <c r="Z68" i="1"/>
  <c r="Y69" i="1"/>
  <c r="Z69" i="1"/>
  <c r="Y70" i="1"/>
  <c r="Z70" i="1"/>
  <c r="Y71" i="1"/>
  <c r="Z71" i="1"/>
  <c r="Y72" i="1"/>
  <c r="Z72" i="1"/>
  <c r="Y73" i="1"/>
  <c r="Z73" i="1"/>
  <c r="Y74" i="1"/>
  <c r="Z74" i="1"/>
  <c r="Y75" i="1"/>
  <c r="Z75" i="1"/>
  <c r="Y76" i="1"/>
  <c r="Z76" i="1"/>
  <c r="Y77" i="1"/>
  <c r="Z77" i="1"/>
  <c r="Y78" i="1"/>
  <c r="Z78" i="1"/>
  <c r="Y79" i="1"/>
  <c r="Z79" i="1"/>
  <c r="Y80" i="1"/>
  <c r="Z80" i="1"/>
  <c r="Y81" i="1"/>
  <c r="Z81" i="1"/>
  <c r="Y82" i="1"/>
  <c r="Z82" i="1"/>
  <c r="Y83" i="1"/>
  <c r="Z83" i="1"/>
  <c r="Y84" i="1"/>
  <c r="Z84" i="1"/>
  <c r="Y85" i="1"/>
  <c r="Z85" i="1"/>
  <c r="Y86" i="1"/>
  <c r="Z86" i="1"/>
  <c r="Y87" i="1"/>
  <c r="Z87" i="1"/>
  <c r="Y88" i="1"/>
  <c r="Z88" i="1"/>
  <c r="Y89" i="1"/>
  <c r="Z89" i="1"/>
  <c r="Y90" i="1"/>
  <c r="Z90" i="1"/>
  <c r="Y91" i="1"/>
  <c r="Z91" i="1"/>
  <c r="Y92" i="1"/>
  <c r="Z92" i="1"/>
  <c r="Y93" i="1"/>
  <c r="Z93" i="1"/>
  <c r="Y94" i="1"/>
  <c r="Z94" i="1"/>
  <c r="Y95" i="1"/>
  <c r="Z95" i="1"/>
  <c r="Y96" i="1"/>
  <c r="Z96" i="1"/>
  <c r="Y97" i="1"/>
  <c r="Z97" i="1"/>
  <c r="Y98" i="1"/>
  <c r="Z98" i="1"/>
  <c r="Y99" i="1"/>
  <c r="Z99" i="1"/>
  <c r="Y100" i="1"/>
  <c r="Z100" i="1"/>
  <c r="Y101" i="1"/>
  <c r="Z101" i="1"/>
  <c r="Y102" i="1"/>
  <c r="Z102" i="1"/>
  <c r="Y103" i="1"/>
  <c r="Z103" i="1"/>
  <c r="Y104" i="1"/>
  <c r="Z104" i="1"/>
  <c r="Y105" i="1"/>
  <c r="Z105" i="1"/>
  <c r="Y106" i="1"/>
  <c r="Z106" i="1"/>
  <c r="Y107" i="1"/>
  <c r="Z107" i="1"/>
  <c r="Y108" i="1"/>
  <c r="Z108" i="1"/>
  <c r="Y109" i="1"/>
  <c r="Z109" i="1"/>
  <c r="Y110" i="1"/>
  <c r="Z110" i="1"/>
  <c r="Y111" i="1"/>
  <c r="Z111" i="1"/>
  <c r="Y112" i="1"/>
  <c r="Z112" i="1"/>
  <c r="Y113" i="1"/>
  <c r="Z113" i="1"/>
  <c r="Y114" i="1"/>
  <c r="Z114" i="1"/>
  <c r="Y115" i="1"/>
  <c r="Z115" i="1"/>
  <c r="Y116" i="1"/>
  <c r="Z116" i="1"/>
  <c r="Y117" i="1"/>
  <c r="Z117" i="1"/>
  <c r="Y118" i="1"/>
  <c r="Z118" i="1"/>
  <c r="Y119" i="1"/>
  <c r="Z119" i="1"/>
  <c r="Y120" i="1"/>
  <c r="Z120" i="1"/>
  <c r="Y121" i="1"/>
  <c r="Z121" i="1"/>
  <c r="Y122" i="1"/>
  <c r="Z122" i="1"/>
  <c r="Y123" i="1"/>
  <c r="Z123" i="1"/>
  <c r="Y124" i="1"/>
  <c r="Z124" i="1"/>
  <c r="Y125" i="1"/>
  <c r="Z125" i="1"/>
  <c r="Y126" i="1"/>
  <c r="Z126" i="1"/>
  <c r="Y127" i="1"/>
  <c r="Z127" i="1"/>
  <c r="Y128" i="1"/>
  <c r="Z128" i="1"/>
  <c r="Y129" i="1"/>
  <c r="Z129" i="1"/>
  <c r="Y130" i="1"/>
  <c r="Z130" i="1"/>
  <c r="Y131" i="1"/>
  <c r="Z131" i="1"/>
  <c r="Y132" i="1"/>
  <c r="Z132" i="1"/>
  <c r="Y133" i="1"/>
  <c r="Z133" i="1"/>
  <c r="Y134" i="1"/>
  <c r="Z134" i="1"/>
  <c r="Y135" i="1"/>
  <c r="Z135" i="1"/>
  <c r="Y136" i="1"/>
  <c r="Z136" i="1"/>
  <c r="Y137" i="1"/>
  <c r="Z137" i="1"/>
  <c r="Y138" i="1"/>
  <c r="Z138" i="1"/>
  <c r="Y139" i="1"/>
  <c r="Z139" i="1"/>
  <c r="Y140" i="1"/>
  <c r="Z140" i="1"/>
  <c r="Y141" i="1"/>
  <c r="Z141" i="1"/>
  <c r="Y142" i="1"/>
  <c r="Z142" i="1"/>
  <c r="Y143" i="1"/>
  <c r="Z143" i="1"/>
  <c r="Y144" i="1"/>
  <c r="Z144" i="1"/>
  <c r="Y145" i="1"/>
  <c r="Z145" i="1"/>
  <c r="Y146" i="1"/>
  <c r="Z146" i="1"/>
  <c r="Y147" i="1"/>
  <c r="Z147" i="1"/>
  <c r="Y148" i="1"/>
  <c r="Z148" i="1"/>
  <c r="Y149" i="1"/>
  <c r="Z149" i="1"/>
  <c r="Y150" i="1"/>
  <c r="Z150" i="1"/>
  <c r="Y151" i="1"/>
  <c r="Z151" i="1"/>
  <c r="Y152" i="1"/>
  <c r="Z152" i="1"/>
  <c r="Y153" i="1"/>
  <c r="Z153" i="1"/>
  <c r="Y154" i="1"/>
  <c r="Z154" i="1"/>
  <c r="Y155" i="1"/>
  <c r="Z155" i="1"/>
  <c r="Y156" i="1"/>
  <c r="Z156" i="1"/>
  <c r="Y157" i="1"/>
  <c r="Z157" i="1"/>
  <c r="Y158" i="1"/>
  <c r="Z158" i="1"/>
  <c r="Y159" i="1"/>
  <c r="Z159" i="1"/>
  <c r="Y160" i="1"/>
  <c r="Z160" i="1"/>
  <c r="Y161" i="1"/>
  <c r="Z161" i="1"/>
  <c r="Y162" i="1"/>
  <c r="Z162" i="1"/>
  <c r="Y163" i="1"/>
  <c r="Z163" i="1"/>
  <c r="Y164" i="1"/>
  <c r="Z164" i="1"/>
  <c r="Y165" i="1"/>
  <c r="Z165" i="1"/>
  <c r="Y166" i="1"/>
  <c r="Z166" i="1"/>
  <c r="Y167" i="1"/>
  <c r="Z167" i="1"/>
  <c r="Y168" i="1"/>
  <c r="Z168" i="1"/>
  <c r="Y169" i="1"/>
  <c r="Z169" i="1"/>
  <c r="Y170" i="1"/>
  <c r="Z170" i="1"/>
  <c r="Y171" i="1"/>
  <c r="Z171" i="1"/>
  <c r="Y172" i="1"/>
  <c r="Z172" i="1"/>
  <c r="Y173" i="1"/>
  <c r="Z173" i="1"/>
  <c r="Y174" i="1"/>
  <c r="Z174" i="1"/>
  <c r="Y175" i="1"/>
  <c r="Z175" i="1"/>
  <c r="Y176" i="1"/>
  <c r="Z176" i="1"/>
  <c r="Y177" i="1"/>
  <c r="Z177" i="1"/>
  <c r="Y178" i="1"/>
  <c r="Z178" i="1"/>
  <c r="Y179" i="1"/>
  <c r="Z179" i="1"/>
  <c r="Y180" i="1"/>
  <c r="Z180" i="1"/>
  <c r="Y181" i="1"/>
  <c r="Z181" i="1"/>
  <c r="Y182" i="1"/>
  <c r="Z182" i="1"/>
  <c r="Y183" i="1"/>
  <c r="Z183" i="1"/>
  <c r="Y184" i="1"/>
  <c r="Z184" i="1"/>
  <c r="Y185" i="1"/>
  <c r="Z185" i="1"/>
  <c r="Y186" i="1"/>
  <c r="Z186" i="1"/>
  <c r="Y187" i="1"/>
  <c r="Z187" i="1"/>
  <c r="Y188" i="1"/>
  <c r="Z188" i="1"/>
  <c r="Y189" i="1"/>
  <c r="Z189" i="1"/>
  <c r="Y190" i="1"/>
  <c r="Z190" i="1"/>
  <c r="Y191" i="1"/>
  <c r="Z191" i="1"/>
  <c r="Y192" i="1"/>
  <c r="Z192" i="1"/>
  <c r="Y193" i="1"/>
  <c r="Z193" i="1"/>
  <c r="Y194" i="1"/>
  <c r="Z194" i="1"/>
  <c r="Y195" i="1"/>
  <c r="Z195" i="1"/>
  <c r="Y196" i="1"/>
  <c r="Z196" i="1"/>
  <c r="Y197" i="1"/>
  <c r="Z197" i="1"/>
  <c r="Y198" i="1"/>
  <c r="Z198" i="1"/>
  <c r="Y199" i="1"/>
  <c r="Z199" i="1"/>
  <c r="Y200" i="1"/>
  <c r="Z200" i="1"/>
  <c r="Y201" i="1"/>
  <c r="Z201" i="1"/>
  <c r="Y202" i="1"/>
  <c r="Z202" i="1"/>
  <c r="Y203" i="1"/>
  <c r="Z203" i="1"/>
  <c r="Y204" i="1"/>
  <c r="Z204" i="1"/>
  <c r="Y205" i="1"/>
  <c r="Z205" i="1"/>
  <c r="Y206" i="1"/>
  <c r="Z206" i="1"/>
  <c r="Y207" i="1"/>
  <c r="Z207" i="1"/>
  <c r="Y208" i="1"/>
  <c r="Z208" i="1"/>
  <c r="Y209" i="1"/>
  <c r="Z209" i="1"/>
  <c r="Y210" i="1"/>
  <c r="Z210" i="1"/>
  <c r="Y211" i="1"/>
  <c r="Z211" i="1"/>
  <c r="Y212" i="1"/>
  <c r="Z212" i="1"/>
  <c r="Y213" i="1"/>
  <c r="Z213" i="1"/>
  <c r="Y214" i="1"/>
  <c r="Z214" i="1"/>
  <c r="Y215" i="1"/>
  <c r="Z215" i="1"/>
  <c r="Y216" i="1"/>
  <c r="Z216" i="1"/>
  <c r="Y217" i="1"/>
  <c r="Z217" i="1"/>
  <c r="Y218" i="1"/>
  <c r="Z218" i="1"/>
  <c r="Y219" i="1"/>
  <c r="Z219" i="1"/>
  <c r="Y220" i="1"/>
  <c r="Z220" i="1"/>
  <c r="Y221" i="1"/>
  <c r="Z221" i="1"/>
  <c r="Y222" i="1"/>
  <c r="Z222" i="1"/>
  <c r="Y223" i="1"/>
  <c r="Z223" i="1"/>
  <c r="Y224" i="1"/>
  <c r="Z224" i="1"/>
  <c r="Y225" i="1"/>
  <c r="Z225" i="1"/>
  <c r="Y226" i="1"/>
  <c r="Z226" i="1"/>
  <c r="Y227" i="1"/>
  <c r="Z227" i="1"/>
  <c r="Y228" i="1"/>
  <c r="Z228" i="1"/>
  <c r="Y229" i="1"/>
  <c r="Z229" i="1"/>
  <c r="Y230" i="1"/>
  <c r="Z230" i="1"/>
  <c r="Y231" i="1"/>
  <c r="Z231" i="1"/>
  <c r="Y232" i="1"/>
  <c r="Z232" i="1"/>
  <c r="Y233" i="1"/>
  <c r="Z233" i="1"/>
  <c r="Y234" i="1"/>
  <c r="Z234" i="1"/>
  <c r="Y235" i="1"/>
  <c r="Z235" i="1"/>
  <c r="Y236" i="1"/>
  <c r="Z236" i="1"/>
  <c r="Y237" i="1"/>
  <c r="Z237" i="1"/>
  <c r="Y238" i="1"/>
  <c r="Z238" i="1"/>
  <c r="Y239" i="1"/>
  <c r="Z239" i="1"/>
  <c r="Y240" i="1"/>
  <c r="Z240" i="1"/>
  <c r="Y241" i="1"/>
  <c r="Z241" i="1"/>
  <c r="Y242" i="1"/>
  <c r="Z242" i="1"/>
  <c r="Y243" i="1"/>
  <c r="Z243" i="1"/>
  <c r="Y244" i="1"/>
  <c r="Z244" i="1"/>
  <c r="Y245" i="1"/>
  <c r="Z245" i="1"/>
  <c r="Y246" i="1"/>
  <c r="Z246" i="1"/>
  <c r="Y247" i="1"/>
  <c r="Z247" i="1"/>
  <c r="Y248" i="1"/>
  <c r="Z248" i="1"/>
  <c r="Y249" i="1"/>
  <c r="Z249" i="1"/>
  <c r="Y250" i="1"/>
  <c r="Z250" i="1"/>
  <c r="Y251" i="1"/>
  <c r="Z251" i="1"/>
  <c r="Y252" i="1"/>
  <c r="Z252" i="1"/>
  <c r="Y253" i="1"/>
  <c r="Z253" i="1"/>
  <c r="Y254" i="1"/>
  <c r="Z254" i="1"/>
  <c r="Y255" i="1"/>
  <c r="Z255" i="1"/>
  <c r="Y256" i="1"/>
  <c r="Z256" i="1"/>
  <c r="Y257" i="1"/>
  <c r="Z257" i="1"/>
  <c r="Y258" i="1"/>
  <c r="Z258" i="1"/>
  <c r="Y259" i="1"/>
  <c r="Z259" i="1"/>
  <c r="Y260" i="1"/>
  <c r="Z260" i="1"/>
  <c r="Y261" i="1"/>
  <c r="Z261" i="1"/>
  <c r="Y262" i="1"/>
  <c r="Z262" i="1"/>
  <c r="Y263" i="1"/>
  <c r="Z263" i="1"/>
  <c r="Y264" i="1"/>
  <c r="Z264" i="1"/>
  <c r="Y265" i="1"/>
  <c r="Z265" i="1"/>
  <c r="Y266" i="1"/>
  <c r="Z266" i="1"/>
  <c r="Y267" i="1"/>
  <c r="Z267" i="1"/>
  <c r="Y268" i="1"/>
  <c r="Z268" i="1"/>
  <c r="Y269" i="1"/>
  <c r="Z269" i="1"/>
  <c r="Y270" i="1"/>
  <c r="Z270" i="1"/>
  <c r="Y271" i="1"/>
  <c r="Z271" i="1"/>
  <c r="Y272" i="1"/>
  <c r="Z272" i="1"/>
  <c r="Y273" i="1"/>
  <c r="Z273" i="1"/>
  <c r="Y274" i="1"/>
  <c r="Z274" i="1"/>
  <c r="Y275" i="1"/>
  <c r="Z275" i="1"/>
  <c r="Y276" i="1"/>
  <c r="Z276" i="1"/>
  <c r="Y277" i="1"/>
  <c r="Z277" i="1"/>
  <c r="Y278" i="1"/>
  <c r="Z278" i="1"/>
  <c r="Y279" i="1"/>
  <c r="Z279" i="1"/>
  <c r="Y280" i="1"/>
  <c r="Z280" i="1"/>
  <c r="Y281" i="1"/>
  <c r="Z281" i="1"/>
  <c r="Y282" i="1"/>
  <c r="Z282" i="1"/>
  <c r="Y283" i="1"/>
  <c r="Z283" i="1"/>
  <c r="Y284" i="1"/>
  <c r="Z284" i="1"/>
  <c r="Y285" i="1"/>
  <c r="Z285" i="1"/>
  <c r="Y286" i="1"/>
  <c r="Z286" i="1"/>
  <c r="Y287" i="1"/>
  <c r="Z287" i="1"/>
  <c r="Y288" i="1"/>
  <c r="Z288" i="1"/>
  <c r="Y289" i="1"/>
  <c r="Z289" i="1"/>
  <c r="Y290" i="1"/>
  <c r="Z290" i="1"/>
  <c r="Y291" i="1"/>
  <c r="Z291" i="1"/>
  <c r="Y292" i="1"/>
  <c r="Z292" i="1"/>
  <c r="Y293" i="1"/>
  <c r="Z293" i="1"/>
  <c r="Y294" i="1"/>
  <c r="Z294" i="1"/>
  <c r="Y295" i="1"/>
  <c r="Z295" i="1"/>
  <c r="Y296" i="1"/>
  <c r="Z296" i="1"/>
  <c r="Y297" i="1"/>
  <c r="Z297" i="1"/>
  <c r="Y298" i="1"/>
  <c r="Z298" i="1"/>
  <c r="Y299" i="1"/>
  <c r="Z299" i="1"/>
  <c r="Y300" i="1"/>
  <c r="Z300" i="1"/>
  <c r="Y301" i="1"/>
  <c r="Z301" i="1"/>
  <c r="Y302" i="1"/>
  <c r="Z302" i="1"/>
  <c r="Y303" i="1"/>
  <c r="Z303" i="1"/>
  <c r="Y304" i="1"/>
  <c r="Z304" i="1"/>
  <c r="Y305" i="1"/>
  <c r="Z305" i="1"/>
  <c r="Y306" i="1"/>
  <c r="Z306" i="1"/>
  <c r="Y307" i="1"/>
  <c r="Z307" i="1"/>
  <c r="Y308" i="1"/>
  <c r="Z308" i="1"/>
  <c r="Y309" i="1"/>
  <c r="Z309" i="1"/>
  <c r="Y310" i="1"/>
  <c r="Z310" i="1"/>
  <c r="Y311" i="1"/>
  <c r="Z311" i="1"/>
  <c r="Y312" i="1"/>
  <c r="Z312" i="1"/>
  <c r="Y313" i="1"/>
  <c r="Z313" i="1"/>
  <c r="Y314" i="1"/>
  <c r="Z314" i="1"/>
  <c r="Y315" i="1"/>
  <c r="Z315" i="1"/>
  <c r="Y316" i="1"/>
  <c r="Z316" i="1"/>
  <c r="Y317" i="1"/>
  <c r="Z317" i="1"/>
  <c r="Y318" i="1"/>
  <c r="Z318" i="1"/>
  <c r="Y319" i="1"/>
  <c r="Z319" i="1"/>
  <c r="Y320" i="1"/>
  <c r="Z320" i="1"/>
  <c r="Y321" i="1"/>
  <c r="Z321" i="1"/>
  <c r="Y322" i="1"/>
  <c r="Z322" i="1"/>
  <c r="Y323" i="1"/>
  <c r="Z323" i="1"/>
  <c r="Y324" i="1"/>
  <c r="Z324" i="1"/>
  <c r="Y325" i="1"/>
  <c r="Z325" i="1"/>
  <c r="Y326" i="1"/>
  <c r="Z326" i="1"/>
  <c r="Y327" i="1"/>
  <c r="Z327" i="1"/>
  <c r="Y328" i="1"/>
  <c r="Z328" i="1"/>
  <c r="Y329" i="1"/>
  <c r="Z329" i="1"/>
  <c r="Y330" i="1"/>
  <c r="Z330" i="1"/>
  <c r="Y331" i="1"/>
  <c r="Z331" i="1"/>
  <c r="Y332" i="1"/>
  <c r="Z332" i="1"/>
  <c r="Y333" i="1"/>
  <c r="Z333" i="1"/>
  <c r="Y334" i="1"/>
  <c r="Z334" i="1"/>
  <c r="Y335" i="1"/>
  <c r="Z335" i="1"/>
  <c r="Y336" i="1"/>
  <c r="Z336" i="1"/>
  <c r="Y337" i="1"/>
  <c r="Z337" i="1"/>
  <c r="Y338" i="1"/>
  <c r="Z338" i="1"/>
  <c r="Y339" i="1"/>
  <c r="Z339" i="1"/>
  <c r="Y340" i="1"/>
  <c r="Z340" i="1"/>
  <c r="Y341" i="1"/>
  <c r="Z341" i="1"/>
  <c r="Y342" i="1"/>
  <c r="Z342" i="1"/>
  <c r="Y343" i="1"/>
  <c r="Z343" i="1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4" i="2"/>
  <c r="P25" i="2"/>
  <c r="P26" i="2"/>
  <c r="P27" i="2"/>
  <c r="P28" i="2"/>
  <c r="P29" i="2"/>
  <c r="P30" i="2"/>
  <c r="O23" i="1"/>
  <c r="O26" i="1"/>
  <c r="O14" i="1"/>
  <c r="O10" i="1"/>
  <c r="O11" i="1"/>
  <c r="O12" i="1"/>
  <c r="O13" i="1"/>
  <c r="O15" i="1"/>
  <c r="O16" i="1"/>
  <c r="O17" i="1"/>
  <c r="O18" i="1"/>
  <c r="O19" i="1"/>
  <c r="O20" i="1"/>
  <c r="O21" i="1"/>
  <c r="O22" i="1"/>
  <c r="O25" i="1"/>
  <c r="O27" i="1"/>
  <c r="O28" i="1"/>
  <c r="O29" i="1"/>
  <c r="O30" i="1"/>
  <c r="O31" i="1"/>
  <c r="N90" i="1" l="1"/>
  <c r="A39" i="2"/>
  <c r="M90" i="1"/>
  <c r="O19" i="2"/>
  <c r="P8" i="2"/>
</calcChain>
</file>

<file path=xl/sharedStrings.xml><?xml version="1.0" encoding="utf-8"?>
<sst xmlns="http://schemas.openxmlformats.org/spreadsheetml/2006/main" count="584" uniqueCount="427">
  <si>
    <t>Gene</t>
  </si>
  <si>
    <t>Exp_PROSYN</t>
  </si>
  <si>
    <t>Model_PROSYN</t>
  </si>
  <si>
    <t>Model_PROWASTE</t>
  </si>
  <si>
    <t>Active_Protein</t>
  </si>
  <si>
    <t>Utilization_%</t>
  </si>
  <si>
    <t>Model Use vs Exp</t>
  </si>
  <si>
    <t>ZMO1873</t>
  </si>
  <si>
    <t>ZMO0177</t>
  </si>
  <si>
    <t>ZMO0342</t>
  </si>
  <si>
    <t>ZMO1360</t>
  </si>
  <si>
    <t>ZMO0152</t>
  </si>
  <si>
    <t>ZMO0519</t>
  </si>
  <si>
    <t>ZMO1227</t>
  </si>
  <si>
    <t>ZMO1910</t>
  </si>
  <si>
    <t>ZMO1145</t>
  </si>
  <si>
    <t>ZMO1076</t>
  </si>
  <si>
    <t>ZMO2002</t>
  </si>
  <si>
    <t>ZMO0518</t>
  </si>
  <si>
    <t>ZMO0540</t>
  </si>
  <si>
    <t>ZMO0520</t>
  </si>
  <si>
    <t>ZMO0521</t>
  </si>
  <si>
    <t>ZMO0523</t>
  </si>
  <si>
    <t>ZMO1225</t>
  </si>
  <si>
    <t>ZMO0209</t>
  </si>
  <si>
    <t>ZMO1516</t>
  </si>
  <si>
    <t>ZMO1079</t>
  </si>
  <si>
    <t>ZMO1515</t>
  </si>
  <si>
    <t>ZMO0517</t>
  </si>
  <si>
    <t>ZMO1226</t>
  </si>
  <si>
    <t>ZMO1713</t>
  </si>
  <si>
    <t>ZMO1798</t>
  </si>
  <si>
    <t>ZMO2004</t>
  </si>
  <si>
    <t>ZMO2003</t>
  </si>
  <si>
    <t>ZMO0533</t>
  </si>
  <si>
    <t>ZMO2031</t>
  </si>
  <si>
    <t>ZMO0294</t>
  </si>
  <si>
    <t>ZMO0524</t>
  </si>
  <si>
    <t>ZMO0530</t>
  </si>
  <si>
    <t>ZMO0884</t>
  </si>
  <si>
    <t>ZMO0526</t>
  </si>
  <si>
    <t>ZMO0726</t>
  </si>
  <si>
    <t>ZMO0725</t>
  </si>
  <si>
    <t>ZMO0550</t>
  </si>
  <si>
    <t>ZMO0542</t>
  </si>
  <si>
    <t>ZMO0539</t>
  </si>
  <si>
    <t>ZMO0536</t>
  </si>
  <si>
    <t>ZMO1246</t>
  </si>
  <si>
    <t>inf</t>
  </si>
  <si>
    <t>ZMO0727</t>
  </si>
  <si>
    <t>ZMO1358</t>
  </si>
  <si>
    <t>ZMO1366</t>
  </si>
  <si>
    <t>ZMO1156</t>
  </si>
  <si>
    <t>ZMO0514</t>
  </si>
  <si>
    <t>ZMO0534</t>
  </si>
  <si>
    <t>ZMO0522</t>
  </si>
  <si>
    <t>ZMO0532</t>
  </si>
  <si>
    <t>ZMO0531</t>
  </si>
  <si>
    <t>ZMO0525</t>
  </si>
  <si>
    <t>ZMO0528</t>
  </si>
  <si>
    <t>ZMO0728</t>
  </si>
  <si>
    <t>ZMO0529</t>
  </si>
  <si>
    <t>ZMO0527</t>
  </si>
  <si>
    <t>ZMO0211</t>
  </si>
  <si>
    <t>ZMO0249</t>
  </si>
  <si>
    <t>ZMO1608</t>
  </si>
  <si>
    <t>ZMO1240</t>
  </si>
  <si>
    <t>ZMO0493</t>
  </si>
  <si>
    <t>ZMO1000</t>
  </si>
  <si>
    <t>ZMO0178</t>
  </si>
  <si>
    <t>ZMO1201</t>
  </si>
  <si>
    <t>ZMO0997</t>
  </si>
  <si>
    <t>ZMO0367</t>
  </si>
  <si>
    <t>ZMO0368</t>
  </si>
  <si>
    <t>ZMO1236</t>
  </si>
  <si>
    <t>ZMO1036</t>
  </si>
  <si>
    <t>ZMO1141</t>
  </si>
  <si>
    <t>ZMO0784</t>
  </si>
  <si>
    <t>ZMO1137</t>
  </si>
  <si>
    <t>ZMO1551</t>
  </si>
  <si>
    <t>ZMO0273</t>
  </si>
  <si>
    <t>ZMO0018</t>
  </si>
  <si>
    <t>ZMO1321</t>
  </si>
  <si>
    <t>ZMO0369</t>
  </si>
  <si>
    <t>ZMO1278</t>
  </si>
  <si>
    <t>ZMO0454</t>
  </si>
  <si>
    <t>ZMO1407</t>
  </si>
  <si>
    <t>ZMO0687</t>
  </si>
  <si>
    <t>ZMO1140</t>
  </si>
  <si>
    <t>ZMO1279</t>
  </si>
  <si>
    <t>ZMO0460</t>
  </si>
  <si>
    <t>ZMO1223</t>
  </si>
  <si>
    <t>ZMO0676</t>
  </si>
  <si>
    <t>ZMO0409</t>
  </si>
  <si>
    <t>ZMO1685</t>
  </si>
  <si>
    <t>ZMO1692</t>
  </si>
  <si>
    <t>ZMO0748</t>
  </si>
  <si>
    <t>ZMO1222</t>
  </si>
  <si>
    <t>ZMO0875</t>
  </si>
  <si>
    <t>ZMO1519</t>
  </si>
  <si>
    <t>ZMO1052</t>
  </si>
  <si>
    <t>ZMO1684</t>
  </si>
  <si>
    <t>ZMO1117</t>
  </si>
  <si>
    <t>ZMO1116</t>
  </si>
  <si>
    <t>ZMO0913</t>
  </si>
  <si>
    <t>ZMO1267</t>
  </si>
  <si>
    <t>ZMO1212</t>
  </si>
  <si>
    <t>ZMO0366</t>
  </si>
  <si>
    <t>ZMO1891</t>
  </si>
  <si>
    <t>ZMO1687</t>
  </si>
  <si>
    <t>ZMO0973</t>
  </si>
  <si>
    <t>ZMO0187</t>
  </si>
  <si>
    <t>ZMO0475</t>
  </si>
  <si>
    <t>ZMO0182</t>
  </si>
  <si>
    <t>ZMO0180</t>
  </si>
  <si>
    <t>ZMO0408</t>
  </si>
  <si>
    <t>ZMO0008</t>
  </si>
  <si>
    <t>ZMO0009</t>
  </si>
  <si>
    <t>ZMO1653</t>
  </si>
  <si>
    <t>ZMO1133</t>
  </si>
  <si>
    <t>ZMO1682</t>
  </si>
  <si>
    <t>ZMO0186</t>
  </si>
  <si>
    <t>ZMO1797</t>
  </si>
  <si>
    <t>ZMO1557</t>
  </si>
  <si>
    <t>ZMO0339</t>
  </si>
  <si>
    <t>ZMO1146</t>
  </si>
  <si>
    <t>ZMO0792</t>
  </si>
  <si>
    <t>ZMO0587</t>
  </si>
  <si>
    <t>ZMO0563</t>
  </si>
  <si>
    <t>ZMO0715</t>
  </si>
  <si>
    <t>ZMO0483</t>
  </si>
  <si>
    <t>ZMO0543</t>
  </si>
  <si>
    <t>ZMO0677</t>
  </si>
  <si>
    <t>ZMO0914</t>
  </si>
  <si>
    <t>ZMO0662</t>
  </si>
  <si>
    <t>ZMO0855</t>
  </si>
  <si>
    <t>ZMO0734</t>
  </si>
  <si>
    <t>ZMO0593</t>
  </si>
  <si>
    <t>ZMO0843</t>
  </si>
  <si>
    <t>ZMO0120</t>
  </si>
  <si>
    <t>ZMO0431</t>
  </si>
  <si>
    <t>ZMO1513</t>
  </si>
  <si>
    <t>ZMO1514</t>
  </si>
  <si>
    <t>ZMO1955</t>
  </si>
  <si>
    <t>ZMO0765</t>
  </si>
  <si>
    <t>ZMO1059</t>
  </si>
  <si>
    <t>ZMO1767</t>
  </si>
  <si>
    <t>ZMO1770</t>
  </si>
  <si>
    <t>ZMO1707</t>
  </si>
  <si>
    <t>ZMO0327</t>
  </si>
  <si>
    <t>ZMO1617</t>
  </si>
  <si>
    <t>ZMO1618</t>
  </si>
  <si>
    <t>ZMO0709</t>
  </si>
  <si>
    <t>ZMO1275</t>
  </si>
  <si>
    <t>ZMO1092</t>
  </si>
  <si>
    <t>ZMO1508</t>
  </si>
  <si>
    <t>ZMO0005</t>
  </si>
  <si>
    <t>ZMO0004</t>
  </si>
  <si>
    <t>ZMO1478</t>
  </si>
  <si>
    <t>ZMO1640</t>
  </si>
  <si>
    <t>ZMO1128</t>
  </si>
  <si>
    <t>ZMO0144</t>
  </si>
  <si>
    <t>ZMO1796</t>
  </si>
  <si>
    <t>ZMO0544</t>
  </si>
  <si>
    <t>ZMO1191</t>
  </si>
  <si>
    <t>ZMO0027</t>
  </si>
  <si>
    <t>ZMO0206</t>
  </si>
  <si>
    <t>ZMO0056</t>
  </si>
  <si>
    <t>ZMO0986</t>
  </si>
  <si>
    <t>ZMO1420</t>
  </si>
  <si>
    <t>ZMO1435</t>
  </si>
  <si>
    <t>ZMO1518</t>
  </si>
  <si>
    <t>ZMO0512</t>
  </si>
  <si>
    <t>ZMO0510</t>
  </si>
  <si>
    <t>ZMO1606</t>
  </si>
  <si>
    <t>ZMO1605</t>
  </si>
  <si>
    <t>ZMO0462</t>
  </si>
  <si>
    <t>ZMO0845</t>
  </si>
  <si>
    <t>ZMO1150</t>
  </si>
  <si>
    <t>ZMO1724</t>
  </si>
  <si>
    <t>ZMO0442</t>
  </si>
  <si>
    <t>ZMO1693</t>
  </si>
  <si>
    <t>ZMO1421</t>
  </si>
  <si>
    <t>ZMO0538</t>
  </si>
  <si>
    <t>ZMO1698</t>
  </si>
  <si>
    <t>ZMO1550</t>
  </si>
  <si>
    <t>ZMO0323</t>
  </si>
  <si>
    <t>ZMO0833</t>
  </si>
  <si>
    <t>ZMO0870</t>
  </si>
  <si>
    <t>ZMO1501</t>
  </si>
  <si>
    <t>ZMO0200</t>
  </si>
  <si>
    <t>ZMO1661</t>
  </si>
  <si>
    <t>ZMO1496</t>
  </si>
  <si>
    <t>ZMO0567</t>
  </si>
  <si>
    <t>ZMO1481</t>
  </si>
  <si>
    <t>ZMO0832</t>
  </si>
  <si>
    <t>ZMO0834</t>
  </si>
  <si>
    <t>ZMO0468</t>
  </si>
  <si>
    <t>ZMO0201</t>
  </si>
  <si>
    <t>ZMO0105</t>
  </si>
  <si>
    <t>ZMO0106</t>
  </si>
  <si>
    <t>ZMO1200</t>
  </si>
  <si>
    <t>ZMO1643</t>
  </si>
  <si>
    <t>ZMO0473</t>
  </si>
  <si>
    <t>ZMO1444</t>
  </si>
  <si>
    <t>ZMO1446</t>
  </si>
  <si>
    <t>ZMO1792</t>
  </si>
  <si>
    <t>ZMO0433</t>
  </si>
  <si>
    <t>ZMO0176</t>
  </si>
  <si>
    <t>ZMO1531</t>
  </si>
  <si>
    <t>ZMO1532</t>
  </si>
  <si>
    <t>ZMO0820</t>
  </si>
  <si>
    <t>ZMO0903</t>
  </si>
  <si>
    <t>ZMO1502</t>
  </si>
  <si>
    <t>ZMO1500</t>
  </si>
  <si>
    <t>ZMO0299</t>
  </si>
  <si>
    <t>ZMO0890</t>
  </si>
  <si>
    <t>ZMO1963</t>
  </si>
  <si>
    <t>ZMO1600</t>
  </si>
  <si>
    <t>ZMO1871</t>
  </si>
  <si>
    <t>ZMO1878</t>
  </si>
  <si>
    <t>ZMO0974</t>
  </si>
  <si>
    <t>ZMO0498</t>
  </si>
  <si>
    <t>ZMO0421</t>
  </si>
  <si>
    <t>ZMO0582</t>
  </si>
  <si>
    <t>ZMO0707</t>
  </si>
  <si>
    <t>ZMO0712</t>
  </si>
  <si>
    <t>ZMO0007</t>
  </si>
  <si>
    <t>ZMO1708</t>
  </si>
  <si>
    <t>ZMO1313</t>
  </si>
  <si>
    <t>ZMO1598</t>
  </si>
  <si>
    <t>ZMO0420</t>
  </si>
  <si>
    <t>ZMO1178</t>
  </si>
  <si>
    <t>ZMO1229</t>
  </si>
  <si>
    <t>ZMO0708</t>
  </si>
  <si>
    <t>ZMO1503</t>
  </si>
  <si>
    <t>ZMO0831</t>
  </si>
  <si>
    <t>ZMO0586</t>
  </si>
  <si>
    <t>ZMO0736</t>
  </si>
  <si>
    <t>ZMO0735</t>
  </si>
  <si>
    <t>ZMO0599</t>
  </si>
  <si>
    <t>ZMO0583</t>
  </si>
  <si>
    <t>ZMO0426</t>
  </si>
  <si>
    <t>ZMO0425</t>
  </si>
  <si>
    <t>ZMO0423</t>
  </si>
  <si>
    <t>ZMO1730</t>
  </si>
  <si>
    <t>ZMO0041</t>
  </si>
  <si>
    <t>ZMO1678</t>
  </si>
  <si>
    <t>ZMO1211</t>
  </si>
  <si>
    <t>ZMO1008</t>
  </si>
  <si>
    <t>ZMO1002</t>
  </si>
  <si>
    <t>ZMO0827</t>
  </si>
  <si>
    <t>ZMO1747</t>
  </si>
  <si>
    <t>ZMO0465</t>
  </si>
  <si>
    <t>ZMO1190</t>
  </si>
  <si>
    <t>ZMO1753</t>
  </si>
  <si>
    <t>ZMO1033</t>
  </si>
  <si>
    <t>ZMO1870</t>
  </si>
  <si>
    <t>ZMO0826</t>
  </si>
  <si>
    <t>ZMO0003</t>
  </si>
  <si>
    <t>ZMO1755</t>
  </si>
  <si>
    <t>ZMO1899</t>
  </si>
  <si>
    <t>ZMO1768</t>
  </si>
  <si>
    <t>ZMO1025</t>
  </si>
  <si>
    <t>ZMO0938</t>
  </si>
  <si>
    <t>ZMO1209</t>
  </si>
  <si>
    <t>ZMO1160</t>
  </si>
  <si>
    <t>ZMO1182</t>
  </si>
  <si>
    <t>ZMO0427</t>
  </si>
  <si>
    <t>ZMO1067</t>
  </si>
  <si>
    <t>ZMO1329</t>
  </si>
  <si>
    <t>ZMO1233</t>
  </si>
  <si>
    <t>ZMO0114</t>
  </si>
  <si>
    <t>ZMO0113</t>
  </si>
  <si>
    <t>ZMO0872</t>
  </si>
  <si>
    <t>ZMO0584</t>
  </si>
  <si>
    <t>ZMO0585</t>
  </si>
  <si>
    <t>ZMO0791</t>
  </si>
  <si>
    <t>ZMO0225</t>
  </si>
  <si>
    <t>ZMO0322</t>
  </si>
  <si>
    <t>ZMO1072</t>
  </si>
  <si>
    <t>ZMO0829</t>
  </si>
  <si>
    <t>ZMO1499</t>
  </si>
  <si>
    <t>ZMO0429</t>
  </si>
  <si>
    <t>ZMO0899</t>
  </si>
  <si>
    <t>ZMO1853</t>
  </si>
  <si>
    <t>ZMO0874</t>
  </si>
  <si>
    <t>ZMO0866</t>
  </si>
  <si>
    <t>ZMO1592</t>
  </si>
  <si>
    <t>ZMO1307</t>
  </si>
  <si>
    <t>ZMO0547</t>
  </si>
  <si>
    <t>ZMO0737</t>
  </si>
  <si>
    <t>ZMO1905</t>
  </si>
  <si>
    <t>ZMO1006</t>
  </si>
  <si>
    <t>ZMO0594</t>
  </si>
  <si>
    <t>ZMO1632</t>
  </si>
  <si>
    <t>ZMO1090</t>
  </si>
  <si>
    <t>ZMO1195</t>
  </si>
  <si>
    <t>ZMO1277</t>
  </si>
  <si>
    <t>ZMO0545</t>
  </si>
  <si>
    <t>ZMO0419</t>
  </si>
  <si>
    <t>ZMO0238</t>
  </si>
  <si>
    <t>ZMO0242</t>
  </si>
  <si>
    <t>ZMO0667</t>
  </si>
  <si>
    <t>ZMO0668</t>
  </si>
  <si>
    <t>ZMO0669</t>
  </si>
  <si>
    <t>ZMO0241</t>
  </si>
  <si>
    <t>ZMO0240</t>
  </si>
  <si>
    <t>ZMO0671</t>
  </si>
  <si>
    <t>ZMO0239</t>
  </si>
  <si>
    <t>ZMO1867</t>
  </si>
  <si>
    <t>ZMO0972</t>
  </si>
  <si>
    <t>ZMO1553</t>
  </si>
  <si>
    <t>ZMO1541</t>
  </si>
  <si>
    <t>ZMO1197</t>
  </si>
  <si>
    <t>ZMO1569</t>
  </si>
  <si>
    <t>ZMO1570</t>
  </si>
  <si>
    <t>ZMO0854</t>
  </si>
  <si>
    <t>ZMO1975</t>
  </si>
  <si>
    <t>ZMO1020</t>
  </si>
  <si>
    <t>ZMO0314</t>
  </si>
  <si>
    <t>ZMO0873</t>
  </si>
  <si>
    <t>ZMO0546</t>
  </si>
  <si>
    <t>ZMO0040</t>
  </si>
  <si>
    <t>ZMO1152</t>
  </si>
  <si>
    <t>ZMO0321</t>
  </si>
  <si>
    <t>ZMO0476</t>
  </si>
  <si>
    <t>ZMO1662</t>
  </si>
  <si>
    <t>ZMO0969</t>
  </si>
  <si>
    <t>ZMO1159</t>
  </si>
  <si>
    <t>ZMO0474</t>
  </si>
  <si>
    <t>ZMO1050</t>
  </si>
  <si>
    <t>ZMO1047</t>
  </si>
  <si>
    <t>ZMO1048</t>
  </si>
  <si>
    <t>ZMO1049</t>
  </si>
  <si>
    <t>ZMO1647</t>
  </si>
  <si>
    <t>ZMO0828</t>
  </si>
  <si>
    <t>ZMO1151</t>
  </si>
  <si>
    <t>ZMO1089</t>
  </si>
  <si>
    <t>ZMO1639</t>
  </si>
  <si>
    <t>ZMO0825</t>
  </si>
  <si>
    <t>ZMO0719</t>
  </si>
  <si>
    <t>ZMO0359</t>
  </si>
  <si>
    <t>ZMO0197</t>
  </si>
  <si>
    <t>ZMO0422</t>
  </si>
  <si>
    <t>ZMO1851</t>
  </si>
  <si>
    <t>ZMO0860</t>
  </si>
  <si>
    <t>Glucokinase</t>
  </si>
  <si>
    <t>GLK</t>
  </si>
  <si>
    <t>Glucose 6-phospahte dehydrogenase</t>
  </si>
  <si>
    <t>G6PDH</t>
  </si>
  <si>
    <t xml:space="preserve">6-phosphogluconolactonase </t>
  </si>
  <si>
    <t>PGL</t>
  </si>
  <si>
    <t xml:space="preserve">6-phosphogluconate dehydratase </t>
  </si>
  <si>
    <t>EDD</t>
  </si>
  <si>
    <t xml:space="preserve">2-dehydro-3-deoxyphosphogluconate aldolase </t>
  </si>
  <si>
    <t>EDA</t>
  </si>
  <si>
    <t xml:space="preserve">Phosphoglucose isomerase </t>
  </si>
  <si>
    <t>PGI</t>
  </si>
  <si>
    <t xml:space="preserve">Triose phosphate isomerase </t>
  </si>
  <si>
    <t>TPI</t>
  </si>
  <si>
    <t xml:space="preserve">Glyceraldehyde 3-phosphate dehydrogenase </t>
  </si>
  <si>
    <t>GAPDH</t>
  </si>
  <si>
    <t xml:space="preserve">Phosphoglycerate kinase </t>
  </si>
  <si>
    <t>PGK</t>
  </si>
  <si>
    <t xml:space="preserve">Phosphoglycerate mutase </t>
  </si>
  <si>
    <t>PGM</t>
  </si>
  <si>
    <t xml:space="preserve">Enolase </t>
  </si>
  <si>
    <t>ENO</t>
  </si>
  <si>
    <t xml:space="preserve">Pyruvate kinase </t>
  </si>
  <si>
    <t>PYK</t>
  </si>
  <si>
    <t>Pyruvate decarboxylase</t>
  </si>
  <si>
    <t>PDC</t>
  </si>
  <si>
    <t>Alcohol dehydrogenase I/II</t>
  </si>
  <si>
    <t>ADHA/B</t>
  </si>
  <si>
    <t>ZMO1234                (DXS1)</t>
  </si>
  <si>
    <t>ZMO1598                 (DXS2)</t>
  </si>
  <si>
    <t>ZM01150 (DXR)</t>
  </si>
  <si>
    <t>ZMO1128 (IspDF)</t>
  </si>
  <si>
    <t>ZMO1182                   (IspE)</t>
  </si>
  <si>
    <t>ZMO0180                 (IspG)</t>
  </si>
  <si>
    <t>ZMO0875                  (IspH)</t>
  </si>
  <si>
    <t>ZMO0855      (FPPS/IspA?)</t>
  </si>
  <si>
    <t>ZMO0870 (HpnD)</t>
  </si>
  <si>
    <t>ZMO0869                (HpnC)</t>
  </si>
  <si>
    <t>ZMO0871 (HpnE)</t>
  </si>
  <si>
    <t>ZMO0872 (HpnF/Shc?)</t>
  </si>
  <si>
    <t>ZMO1548 (HpnF/Shc?)</t>
  </si>
  <si>
    <t>ZMO0874 (HpnH)</t>
  </si>
  <si>
    <t>ZMO0873                (HpnG)</t>
  </si>
  <si>
    <t>ZMO0972                 (HpnI)</t>
  </si>
  <si>
    <t>ZMO0974 (HpnK)</t>
  </si>
  <si>
    <t>ZMO0973 (HpnJ)</t>
  </si>
  <si>
    <t>ZMO1234</t>
  </si>
  <si>
    <t>DXS1</t>
  </si>
  <si>
    <t>DXS2</t>
  </si>
  <si>
    <t>DXR</t>
  </si>
  <si>
    <t>ISPDF</t>
  </si>
  <si>
    <t>ISPE</t>
  </si>
  <si>
    <t>ISPG</t>
  </si>
  <si>
    <t>ISPH</t>
  </si>
  <si>
    <t>Model/Exp</t>
  </si>
  <si>
    <t>Model Prosyn</t>
  </si>
  <si>
    <t>mmol/gDW/h</t>
  </si>
  <si>
    <t>Model Pro Con</t>
  </si>
  <si>
    <t>mmol/gDW</t>
  </si>
  <si>
    <t>Exp</t>
  </si>
  <si>
    <t>St Dev</t>
  </si>
  <si>
    <t>g/gDCW</t>
  </si>
  <si>
    <t>MW (g/mmol)</t>
  </si>
  <si>
    <t>mmol/gDCW</t>
  </si>
  <si>
    <t xml:space="preserve">**Note about ADH is actually much hihger the (3 different isozymes) model just choose one because 'cheaper' </t>
  </si>
  <si>
    <t>ZMO1596</t>
  </si>
  <si>
    <t>ADH</t>
  </si>
  <si>
    <t>exp vglc 51</t>
  </si>
  <si>
    <t>u 0.36</t>
  </si>
  <si>
    <t>ZMO0883</t>
  </si>
  <si>
    <t>Model</t>
  </si>
  <si>
    <t>ZMO0573</t>
  </si>
  <si>
    <t>u was 0.36010522842407233</t>
  </si>
  <si>
    <t>vglc was 55.1</t>
  </si>
  <si>
    <t>ZMO1139</t>
  </si>
  <si>
    <t>ZMO0900</t>
  </si>
  <si>
    <t>ZMO1303</t>
  </si>
  <si>
    <t>ZMO0443</t>
  </si>
  <si>
    <t>ZMO0753</t>
  </si>
  <si>
    <t>ZMO1039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</si>
</sst>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0" borderId="0" xfId="0" applyFont="1"/>
    <xf numFmtId="0" fontId="0" fillId="3" borderId="0" xfId="0" applyFill="1"/>
    <xf numFmtId="11" fontId="0" fillId="0" borderId="0" xfId="0" applyNumberFormat="1"/>
    <xf numFmtId="11" fontId="0" fillId="4" borderId="0" xfId="0" applyNumberFormat="1" applyFill="1"/>
    <xf numFmtId="11" fontId="0" fillId="3" borderId="0" xfId="0" applyNumberFormat="1" applyFill="1"/>
    <xf numFmtId="0" fontId="4" fillId="5" borderId="0" xfId="0" applyFont="1" applyFill="1"/>
    <xf numFmtId="0" fontId="4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517030106262407"/>
                  <c:y val="7.85027902043075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Sheet1!$Y$5:$Y$343</c:f>
              <c:numCache>
                <c:formatCode>General</c:formatCode>
                <c:ptCount val="339"/>
                <c:pt idx="0">
                  <c:v>-4.1582865153413788</c:v>
                </c:pt>
                <c:pt idx="1">
                  <c:v>-4.2711841723871355</c:v>
                </c:pt>
                <c:pt idx="2">
                  <c:v>-4.3952379777337409</c:v>
                </c:pt>
                <c:pt idx="3">
                  <c:v>-5.9265436828222064</c:v>
                </c:pt>
                <c:pt idx="4">
                  <c:v>-4.8032854725826146</c:v>
                </c:pt>
                <c:pt idx="5">
                  <c:v>-4.5985152548595893</c:v>
                </c:pt>
                <c:pt idx="6">
                  <c:v>-4.6095743324579788</c:v>
                </c:pt>
                <c:pt idx="7">
                  <c:v>-4.6481153008293843</c:v>
                </c:pt>
                <c:pt idx="8">
                  <c:v>-5.3191618206680547</c:v>
                </c:pt>
                <c:pt idx="9">
                  <c:v>-4.7555749199556709</c:v>
                </c:pt>
                <c:pt idx="10">
                  <c:v>-5.1000572338804977</c:v>
                </c:pt>
                <c:pt idx="11">
                  <c:v>-4.5188294049143911</c:v>
                </c:pt>
                <c:pt idx="12">
                  <c:v>-4.6491122454619855</c:v>
                </c:pt>
                <c:pt idx="13">
                  <c:v>-4.7447345980890736</c:v>
                </c:pt>
                <c:pt idx="14">
                  <c:v>-5.0662216970254672</c:v>
                </c:pt>
                <c:pt idx="15">
                  <c:v>-4.7376367142711215</c:v>
                </c:pt>
                <c:pt idx="16">
                  <c:v>-4.6997481708342956</c:v>
                </c:pt>
                <c:pt idx="17">
                  <c:v>-6.8836735008594792</c:v>
                </c:pt>
                <c:pt idx="18">
                  <c:v>-4.7721863239136608</c:v>
                </c:pt>
                <c:pt idx="19">
                  <c:v>-4.6173683201366034</c:v>
                </c:pt>
                <c:pt idx="20">
                  <c:v>-5.0363553893119173</c:v>
                </c:pt>
                <c:pt idx="21">
                  <c:v>-4.3378141334249776</c:v>
                </c:pt>
                <c:pt idx="22">
                  <c:v>-4.6975212153309913</c:v>
                </c:pt>
                <c:pt idx="23">
                  <c:v>-4.8155282473688841</c:v>
                </c:pt>
                <c:pt idx="24">
                  <c:v>-5.3955068608180685</c:v>
                </c:pt>
                <c:pt idx="25">
                  <c:v>-4.9923599685410363</c:v>
                </c:pt>
                <c:pt idx="26">
                  <c:v>-4.4753144982686281</c:v>
                </c:pt>
                <c:pt idx="27">
                  <c:v>-4.8442054659856186</c:v>
                </c:pt>
                <c:pt idx="28">
                  <c:v>-4.7327461800854635</c:v>
                </c:pt>
                <c:pt idx="29">
                  <c:v>-4.6194638313676979</c:v>
                </c:pt>
                <c:pt idx="30">
                  <c:v>-4.6167950361393677</c:v>
                </c:pt>
                <c:pt idx="31">
                  <c:v>-4.9355891268408989</c:v>
                </c:pt>
                <c:pt idx="32">
                  <c:v>-4.7405496834295224</c:v>
                </c:pt>
                <c:pt idx="33">
                  <c:v>0</c:v>
                </c:pt>
                <c:pt idx="34">
                  <c:v>-4.4577443844795654</c:v>
                </c:pt>
                <c:pt idx="35">
                  <c:v>-5.527340341342005</c:v>
                </c:pt>
                <c:pt idx="36">
                  <c:v>-4.6111609222551708</c:v>
                </c:pt>
                <c:pt idx="37">
                  <c:v>-4.9197903839552311</c:v>
                </c:pt>
                <c:pt idx="38">
                  <c:v>-4.7656387712137924</c:v>
                </c:pt>
                <c:pt idx="39">
                  <c:v>-4.848496359234681</c:v>
                </c:pt>
                <c:pt idx="40">
                  <c:v>-5.0810371883794776</c:v>
                </c:pt>
                <c:pt idx="41">
                  <c:v>-4.4309976474157402</c:v>
                </c:pt>
                <c:pt idx="42">
                  <c:v>-4.7279339694831215</c:v>
                </c:pt>
                <c:pt idx="43">
                  <c:v>-4.627943261666581</c:v>
                </c:pt>
                <c:pt idx="44">
                  <c:v>-4.7013981572690628</c:v>
                </c:pt>
                <c:pt idx="45">
                  <c:v>-4.6723180801440183</c:v>
                </c:pt>
                <c:pt idx="46">
                  <c:v>-4.5066554610384504</c:v>
                </c:pt>
                <c:pt idx="47">
                  <c:v>-5.0021145447469371</c:v>
                </c:pt>
                <c:pt idx="48">
                  <c:v>-4.5920260157987141</c:v>
                </c:pt>
                <c:pt idx="49">
                  <c:v>-4.6160237339482828</c:v>
                </c:pt>
                <c:pt idx="50">
                  <c:v>-4.7053187309098812</c:v>
                </c:pt>
                <c:pt idx="51">
                  <c:v>-4.6939150617294256</c:v>
                </c:pt>
                <c:pt idx="52">
                  <c:v>-5.1383238739373942</c:v>
                </c:pt>
                <c:pt idx="53">
                  <c:v>-4.8115522550966858</c:v>
                </c:pt>
                <c:pt idx="54">
                  <c:v>-4.5690283740242741</c:v>
                </c:pt>
                <c:pt idx="55">
                  <c:v>-4.5957302732019016</c:v>
                </c:pt>
                <c:pt idx="56">
                  <c:v>-4.3890840104938995</c:v>
                </c:pt>
                <c:pt idx="57">
                  <c:v>-4.9338635176864356</c:v>
                </c:pt>
                <c:pt idx="58">
                  <c:v>-4.7330263742227139</c:v>
                </c:pt>
                <c:pt idx="59">
                  <c:v>-4.7974985329806401</c:v>
                </c:pt>
                <c:pt idx="60">
                  <c:v>-4.579420073605859</c:v>
                </c:pt>
                <c:pt idx="61">
                  <c:v>-4.7434158355097784</c:v>
                </c:pt>
                <c:pt idx="62">
                  <c:v>-4.978126974162091</c:v>
                </c:pt>
                <c:pt idx="63">
                  <c:v>-6.4642654315011265</c:v>
                </c:pt>
                <c:pt idx="64">
                  <c:v>-4.7768630388277185</c:v>
                </c:pt>
                <c:pt idx="65">
                  <c:v>-4.8016468044110665</c:v>
                </c:pt>
                <c:pt idx="66">
                  <c:v>-4.8241656734312004</c:v>
                </c:pt>
                <c:pt idx="67">
                  <c:v>-5.0037209325747671</c:v>
                </c:pt>
                <c:pt idx="68">
                  <c:v>-4.9506824137626051</c:v>
                </c:pt>
                <c:pt idx="69">
                  <c:v>-5.137423726939093</c:v>
                </c:pt>
                <c:pt idx="70">
                  <c:v>-5.0286793779519652</c:v>
                </c:pt>
                <c:pt idx="71">
                  <c:v>-5.000418388336958</c:v>
                </c:pt>
                <c:pt idx="72">
                  <c:v>-4.9876522553999143</c:v>
                </c:pt>
                <c:pt idx="73">
                  <c:v>-5.2475929354844384</c:v>
                </c:pt>
                <c:pt idx="74">
                  <c:v>-5.0408659488918737</c:v>
                </c:pt>
                <c:pt idx="75">
                  <c:v>-5.0429380841549118</c:v>
                </c:pt>
                <c:pt idx="76">
                  <c:v>-5.6362077567421789</c:v>
                </c:pt>
                <c:pt idx="77">
                  <c:v>-5.0866375541059616</c:v>
                </c:pt>
                <c:pt idx="78">
                  <c:v>-5.1201500073860977</c:v>
                </c:pt>
                <c:pt idx="79">
                  <c:v>-5.3326105026642292</c:v>
                </c:pt>
                <c:pt idx="80">
                  <c:v>-5.2162904766549056</c:v>
                </c:pt>
                <c:pt idx="81">
                  <c:v>-5.2406809068027185</c:v>
                </c:pt>
                <c:pt idx="82">
                  <c:v>-5.2070935002782255</c:v>
                </c:pt>
                <c:pt idx="83">
                  <c:v>-5.5735217815386431</c:v>
                </c:pt>
                <c:pt idx="84">
                  <c:v>-5.3891029445302188</c:v>
                </c:pt>
                <c:pt idx="85">
                  <c:v>-5.3706030088903294</c:v>
                </c:pt>
                <c:pt idx="86">
                  <c:v>-5.1939576616264356</c:v>
                </c:pt>
                <c:pt idx="87">
                  <c:v>-5.2617661085279259</c:v>
                </c:pt>
                <c:pt idx="88">
                  <c:v>-5.2879960968498123</c:v>
                </c:pt>
                <c:pt idx="89">
                  <c:v>-5.3007182013561609</c:v>
                </c:pt>
                <c:pt idx="90">
                  <c:v>-5.2916921000594055</c:v>
                </c:pt>
                <c:pt idx="91">
                  <c:v>-5.2651499281510006</c:v>
                </c:pt>
                <c:pt idx="92">
                  <c:v>-5.7035074517503093</c:v>
                </c:pt>
                <c:pt idx="93">
                  <c:v>-5.225279757471287</c:v>
                </c:pt>
                <c:pt idx="94">
                  <c:v>-5.3571733657303069</c:v>
                </c:pt>
                <c:pt idx="95">
                  <c:v>-5.3400148966586887</c:v>
                </c:pt>
                <c:pt idx="96">
                  <c:v>-5.3275409890607959</c:v>
                </c:pt>
                <c:pt idx="97">
                  <c:v>-5.1265439164223983</c:v>
                </c:pt>
                <c:pt idx="98">
                  <c:v>-5.3344696988789675</c:v>
                </c:pt>
                <c:pt idx="99">
                  <c:v>-5.3206989715610238</c:v>
                </c:pt>
                <c:pt idx="100">
                  <c:v>-5.6226157363732883</c:v>
                </c:pt>
                <c:pt idx="101">
                  <c:v>-5.3457292132200145</c:v>
                </c:pt>
                <c:pt idx="102">
                  <c:v>-5.3544655153681253</c:v>
                </c:pt>
                <c:pt idx="103">
                  <c:v>-5.395327125038003</c:v>
                </c:pt>
                <c:pt idx="104">
                  <c:v>-5.3823465637327423</c:v>
                </c:pt>
                <c:pt idx="105">
                  <c:v>-5.3786371064362459</c:v>
                </c:pt>
                <c:pt idx="106">
                  <c:v>-5.3820593703685029</c:v>
                </c:pt>
                <c:pt idx="107">
                  <c:v>-5.9515407071869522</c:v>
                </c:pt>
                <c:pt idx="108">
                  <c:v>-5.6080091962828824</c:v>
                </c:pt>
                <c:pt idx="109">
                  <c:v>-5.4698915675554947</c:v>
                </c:pt>
                <c:pt idx="110">
                  <c:v>-5.4277879855582576</c:v>
                </c:pt>
                <c:pt idx="111">
                  <c:v>-5.5428167237096835</c:v>
                </c:pt>
                <c:pt idx="112">
                  <c:v>-5.6532622050902477</c:v>
                </c:pt>
                <c:pt idx="113">
                  <c:v>-6.8768900910252144</c:v>
                </c:pt>
                <c:pt idx="114">
                  <c:v>-5.4143804898667298</c:v>
                </c:pt>
                <c:pt idx="115">
                  <c:v>-5.2182296030217037</c:v>
                </c:pt>
                <c:pt idx="116">
                  <c:v>-5.4166811904402277</c:v>
                </c:pt>
                <c:pt idx="117">
                  <c:v>-5.5406184603326736</c:v>
                </c:pt>
                <c:pt idx="118">
                  <c:v>-5.934814233151541</c:v>
                </c:pt>
                <c:pt idx="119">
                  <c:v>-5.4559519037387441</c:v>
                </c:pt>
                <c:pt idx="120">
                  <c:v>-5.5985820476695531</c:v>
                </c:pt>
                <c:pt idx="121">
                  <c:v>-5.4598570861720139</c:v>
                </c:pt>
                <c:pt idx="122">
                  <c:v>-5.6303558740735511</c:v>
                </c:pt>
                <c:pt idx="123">
                  <c:v>-5.2812353405995252</c:v>
                </c:pt>
                <c:pt idx="124">
                  <c:v>-5.5680120454423667</c:v>
                </c:pt>
                <c:pt idx="125">
                  <c:v>-5.709253179986951</c:v>
                </c:pt>
                <c:pt idx="126">
                  <c:v>-5.5278446557505134</c:v>
                </c:pt>
                <c:pt idx="127">
                  <c:v>-5.719470522132136</c:v>
                </c:pt>
                <c:pt idx="128">
                  <c:v>-5.5162606800636906</c:v>
                </c:pt>
                <c:pt idx="129">
                  <c:v>-5.6513685230088972</c:v>
                </c:pt>
                <c:pt idx="130">
                  <c:v>-5.5318761765243147</c:v>
                </c:pt>
                <c:pt idx="131">
                  <c:v>-5.769885508570515</c:v>
                </c:pt>
                <c:pt idx="132">
                  <c:v>-5.5377387369574587</c:v>
                </c:pt>
                <c:pt idx="133">
                  <c:v>-5.9496445701572132</c:v>
                </c:pt>
                <c:pt idx="134">
                  <c:v>-5.746883705913854</c:v>
                </c:pt>
                <c:pt idx="135">
                  <c:v>-5.5410796125675006</c:v>
                </c:pt>
                <c:pt idx="136">
                  <c:v>-5.5585638016740315</c:v>
                </c:pt>
                <c:pt idx="137">
                  <c:v>-5.5463916272330618</c:v>
                </c:pt>
                <c:pt idx="138">
                  <c:v>-5.913718461120804</c:v>
                </c:pt>
                <c:pt idx="139">
                  <c:v>-5.8175238470184629</c:v>
                </c:pt>
                <c:pt idx="140">
                  <c:v>-5.555976454751594</c:v>
                </c:pt>
                <c:pt idx="141">
                  <c:v>-5.5594752371548593</c:v>
                </c:pt>
                <c:pt idx="142">
                  <c:v>-5.5929223982686125</c:v>
                </c:pt>
                <c:pt idx="143">
                  <c:v>-5.5754112018276683</c:v>
                </c:pt>
                <c:pt idx="144">
                  <c:v>-5.6583160952896945</c:v>
                </c:pt>
                <c:pt idx="145">
                  <c:v>-5.7943857041116251</c:v>
                </c:pt>
                <c:pt idx="146">
                  <c:v>-5.5843618396077845</c:v>
                </c:pt>
                <c:pt idx="147">
                  <c:v>-5.8046466766805773</c:v>
                </c:pt>
                <c:pt idx="148">
                  <c:v>-5.6662137557677594</c:v>
                </c:pt>
                <c:pt idx="149">
                  <c:v>-5.3588211052502288</c:v>
                </c:pt>
                <c:pt idx="150">
                  <c:v>-5.4186715204054394</c:v>
                </c:pt>
                <c:pt idx="151">
                  <c:v>-5.6197109461308097</c:v>
                </c:pt>
                <c:pt idx="152">
                  <c:v>-5.6206587226023528</c:v>
                </c:pt>
                <c:pt idx="153">
                  <c:v>-5.6230043048629721</c:v>
                </c:pt>
                <c:pt idx="154">
                  <c:v>-5.6883318386965929</c:v>
                </c:pt>
                <c:pt idx="155">
                  <c:v>-5.6487213380522263</c:v>
                </c:pt>
                <c:pt idx="156">
                  <c:v>-5.714815520849176</c:v>
                </c:pt>
                <c:pt idx="157">
                  <c:v>-5.7254453552321536</c:v>
                </c:pt>
                <c:pt idx="158">
                  <c:v>-5.7228158410984538</c:v>
                </c:pt>
                <c:pt idx="159">
                  <c:v>-5.5756622488161121</c:v>
                </c:pt>
                <c:pt idx="160">
                  <c:v>-5.7594870800595999</c:v>
                </c:pt>
                <c:pt idx="161">
                  <c:v>-5.9326584458593707</c:v>
                </c:pt>
                <c:pt idx="162">
                  <c:v>-5.9232710624027911</c:v>
                </c:pt>
                <c:pt idx="163">
                  <c:v>-5.5889175313198001</c:v>
                </c:pt>
                <c:pt idx="164">
                  <c:v>-5.6499654109081767</c:v>
                </c:pt>
                <c:pt idx="165">
                  <c:v>-5.6849141408767929</c:v>
                </c:pt>
                <c:pt idx="166">
                  <c:v>-5.6871953685500936</c:v>
                </c:pt>
                <c:pt idx="167">
                  <c:v>-5.6981237217779723</c:v>
                </c:pt>
                <c:pt idx="168">
                  <c:v>-5.7194145158852008</c:v>
                </c:pt>
                <c:pt idx="169">
                  <c:v>-5.6856174335168923</c:v>
                </c:pt>
                <c:pt idx="170">
                  <c:v>-6.2185467413230064</c:v>
                </c:pt>
                <c:pt idx="171">
                  <c:v>-5.7237633247072335</c:v>
                </c:pt>
                <c:pt idx="172">
                  <c:v>-5.4651435599106355</c:v>
                </c:pt>
                <c:pt idx="173">
                  <c:v>-5.7268510555068657</c:v>
                </c:pt>
                <c:pt idx="174">
                  <c:v>-5.7625258416518603</c:v>
                </c:pt>
                <c:pt idx="175">
                  <c:v>-5.7377248256140421</c:v>
                </c:pt>
                <c:pt idx="176">
                  <c:v>-5.7395690293325714</c:v>
                </c:pt>
                <c:pt idx="177">
                  <c:v>-5.9840326518278877</c:v>
                </c:pt>
                <c:pt idx="178">
                  <c:v>-5.7046922327508609</c:v>
                </c:pt>
                <c:pt idx="179">
                  <c:v>-5.749740193567674</c:v>
                </c:pt>
                <c:pt idx="180">
                  <c:v>-5.7531807562865502</c:v>
                </c:pt>
                <c:pt idx="181">
                  <c:v>-5.7962326574394663</c:v>
                </c:pt>
                <c:pt idx="182">
                  <c:v>-5.7760159146125751</c:v>
                </c:pt>
                <c:pt idx="183">
                  <c:v>-5.7988076564982656</c:v>
                </c:pt>
                <c:pt idx="184">
                  <c:v>-5.7508108205479784</c:v>
                </c:pt>
                <c:pt idx="185">
                  <c:v>-5.8136635623466004</c:v>
                </c:pt>
                <c:pt idx="186">
                  <c:v>-5.8093865523672639</c:v>
                </c:pt>
                <c:pt idx="187">
                  <c:v>-5.9472099178354529</c:v>
                </c:pt>
                <c:pt idx="188">
                  <c:v>-6.1053643306211773</c:v>
                </c:pt>
                <c:pt idx="189">
                  <c:v>-5.6637028402080558</c:v>
                </c:pt>
                <c:pt idx="190">
                  <c:v>-5.7919052820724284</c:v>
                </c:pt>
                <c:pt idx="191">
                  <c:v>-5.8194986326190881</c:v>
                </c:pt>
                <c:pt idx="192">
                  <c:v>-5.8541724395742518</c:v>
                </c:pt>
                <c:pt idx="193">
                  <c:v>-5.7695709115278468</c:v>
                </c:pt>
                <c:pt idx="194">
                  <c:v>-5.5384567636354785</c:v>
                </c:pt>
                <c:pt idx="195">
                  <c:v>-5.866024976954014</c:v>
                </c:pt>
                <c:pt idx="196">
                  <c:v>-5.8903111129218146</c:v>
                </c:pt>
                <c:pt idx="197">
                  <c:v>-6.8844999897430705</c:v>
                </c:pt>
                <c:pt idx="198">
                  <c:v>-5.8356381046392372</c:v>
                </c:pt>
                <c:pt idx="199">
                  <c:v>-5.993921517236446</c:v>
                </c:pt>
                <c:pt idx="200">
                  <c:v>-5.7922283625435407</c:v>
                </c:pt>
                <c:pt idx="201">
                  <c:v>-6.0892411629195182</c:v>
                </c:pt>
                <c:pt idx="202">
                  <c:v>-6.250055625548705</c:v>
                </c:pt>
                <c:pt idx="203">
                  <c:v>-5.8922537498382814</c:v>
                </c:pt>
                <c:pt idx="204">
                  <c:v>-5.8936664908782221</c:v>
                </c:pt>
                <c:pt idx="205">
                  <c:v>-5.930779814573194</c:v>
                </c:pt>
                <c:pt idx="206">
                  <c:v>-6.1085311877209136</c:v>
                </c:pt>
                <c:pt idx="207">
                  <c:v>-6.2133716777155827</c:v>
                </c:pt>
                <c:pt idx="208">
                  <c:v>-5.913028652632268</c:v>
                </c:pt>
                <c:pt idx="209">
                  <c:v>-5.9305626080655989</c:v>
                </c:pt>
                <c:pt idx="210">
                  <c:v>-5.9612223277739815</c:v>
                </c:pt>
                <c:pt idx="211">
                  <c:v>-5.9320497057803614</c:v>
                </c:pt>
                <c:pt idx="212">
                  <c:v>-5.94708502215145</c:v>
                </c:pt>
                <c:pt idx="213">
                  <c:v>-5.7622790740646881</c:v>
                </c:pt>
                <c:pt idx="214">
                  <c:v>-5.952312576977894</c:v>
                </c:pt>
                <c:pt idx="215">
                  <c:v>-5.6006550099294632</c:v>
                </c:pt>
                <c:pt idx="216">
                  <c:v>-5.7854854968908453</c:v>
                </c:pt>
                <c:pt idx="217">
                  <c:v>-6.0102073104142963</c:v>
                </c:pt>
                <c:pt idx="218">
                  <c:v>-5.9735163716464648</c:v>
                </c:pt>
                <c:pt idx="219">
                  <c:v>-6.1962906629568382</c:v>
                </c:pt>
                <c:pt idx="220">
                  <c:v>-5.994258595821548</c:v>
                </c:pt>
                <c:pt idx="221">
                  <c:v>-6.0133597201638072</c:v>
                </c:pt>
                <c:pt idx="222">
                  <c:v>-6.2951038019452819</c:v>
                </c:pt>
                <c:pt idx="223">
                  <c:v>-6.2373014621223568</c:v>
                </c:pt>
                <c:pt idx="224">
                  <c:v>-6.0420703925708734</c:v>
                </c:pt>
                <c:pt idx="225">
                  <c:v>-5.6020631365892566</c:v>
                </c:pt>
                <c:pt idx="226">
                  <c:v>-5.8135030007601465</c:v>
                </c:pt>
                <c:pt idx="227">
                  <c:v>-6.0188683491948662</c:v>
                </c:pt>
                <c:pt idx="228">
                  <c:v>-6.0269982119062648</c:v>
                </c:pt>
                <c:pt idx="229">
                  <c:v>-6.0306024969286396</c:v>
                </c:pt>
                <c:pt idx="230">
                  <c:v>-6.2386239206329241</c:v>
                </c:pt>
                <c:pt idx="231">
                  <c:v>-5.6482815360722602</c:v>
                </c:pt>
                <c:pt idx="232">
                  <c:v>-6.0326788620299503</c:v>
                </c:pt>
                <c:pt idx="233">
                  <c:v>-6.0530334079525341</c:v>
                </c:pt>
                <c:pt idx="234">
                  <c:v>-6.0579646905682587</c:v>
                </c:pt>
                <c:pt idx="235">
                  <c:v>-6.0678555160129566</c:v>
                </c:pt>
                <c:pt idx="236">
                  <c:v>-6.057951401799941</c:v>
                </c:pt>
                <c:pt idx="237">
                  <c:v>-5.4277218701466472</c:v>
                </c:pt>
                <c:pt idx="238">
                  <c:v>-5.6320108285285455</c:v>
                </c:pt>
                <c:pt idx="239">
                  <c:v>-6.0835196590491485</c:v>
                </c:pt>
                <c:pt idx="240">
                  <c:v>-5.5202818381625907</c:v>
                </c:pt>
                <c:pt idx="241">
                  <c:v>-6.0804281783765575</c:v>
                </c:pt>
                <c:pt idx="242">
                  <c:v>-6.102612128164167</c:v>
                </c:pt>
                <c:pt idx="243">
                  <c:v>-6.098726343430938</c:v>
                </c:pt>
                <c:pt idx="244">
                  <c:v>-6.100818581522538</c:v>
                </c:pt>
                <c:pt idx="245">
                  <c:v>-6.1170642523807706</c:v>
                </c:pt>
                <c:pt idx="246">
                  <c:v>-6.1188861047703433</c:v>
                </c:pt>
                <c:pt idx="247">
                  <c:v>-6.120561165158338</c:v>
                </c:pt>
                <c:pt idx="248">
                  <c:v>-6.1234220550268654</c:v>
                </c:pt>
                <c:pt idx="249">
                  <c:v>-6.3382513159269642</c:v>
                </c:pt>
                <c:pt idx="250">
                  <c:v>-6.3425539510870861</c:v>
                </c:pt>
                <c:pt idx="251">
                  <c:v>-6.1465441035928432</c:v>
                </c:pt>
                <c:pt idx="252">
                  <c:v>-6.1541221402097328</c:v>
                </c:pt>
                <c:pt idx="253">
                  <c:v>-6.5956400695739843</c:v>
                </c:pt>
                <c:pt idx="254">
                  <c:v>-5.961358620616604</c:v>
                </c:pt>
                <c:pt idx="255">
                  <c:v>-5.8794342659040062</c:v>
                </c:pt>
                <c:pt idx="256">
                  <c:v>-5.7128839093491157</c:v>
                </c:pt>
                <c:pt idx="257">
                  <c:v>-5.5683265662106267</c:v>
                </c:pt>
                <c:pt idx="258">
                  <c:v>-5.9907124323387153</c:v>
                </c:pt>
                <c:pt idx="259">
                  <c:v>-6.1930018533490783</c:v>
                </c:pt>
                <c:pt idx="260">
                  <c:v>-6.1952410614619771</c:v>
                </c:pt>
                <c:pt idx="261">
                  <c:v>-6.0155933743394572</c:v>
                </c:pt>
                <c:pt idx="262">
                  <c:v>-6.0020893186614455</c:v>
                </c:pt>
                <c:pt idx="263">
                  <c:v>-6.2527464481660742</c:v>
                </c:pt>
                <c:pt idx="264">
                  <c:v>-6.2283373019533217</c:v>
                </c:pt>
                <c:pt idx="265">
                  <c:v>-7.2047753318233658</c:v>
                </c:pt>
                <c:pt idx="266">
                  <c:v>-6.6161393579586054</c:v>
                </c:pt>
                <c:pt idx="267">
                  <c:v>-6.1734719992408325</c:v>
                </c:pt>
                <c:pt idx="268">
                  <c:v>-6.1458950966373633</c:v>
                </c:pt>
                <c:pt idx="269">
                  <c:v>-4.8181765926820024</c:v>
                </c:pt>
                <c:pt idx="270">
                  <c:v>-5.402392640208654</c:v>
                </c:pt>
                <c:pt idx="271">
                  <c:v>-4.7385943537928403</c:v>
                </c:pt>
                <c:pt idx="272">
                  <c:v>-5.4321754733711254</c:v>
                </c:pt>
                <c:pt idx="273">
                  <c:v>-5.7086474898764239</c:v>
                </c:pt>
                <c:pt idx="274">
                  <c:v>-5.3167517762626932</c:v>
                </c:pt>
                <c:pt idx="275">
                  <c:v>-5.4741998562603831</c:v>
                </c:pt>
                <c:pt idx="276">
                  <c:v>-6.2751710991799889</c:v>
                </c:pt>
                <c:pt idx="277">
                  <c:v>-6.2893052775338525</c:v>
                </c:pt>
                <c:pt idx="278">
                  <c:v>-6.5098622969519724</c:v>
                </c:pt>
                <c:pt idx="279">
                  <c:v>-6.2980143302581792</c:v>
                </c:pt>
                <c:pt idx="280">
                  <c:v>-6.5123468008889747</c:v>
                </c:pt>
                <c:pt idx="281">
                  <c:v>-6.3124072126206334</c:v>
                </c:pt>
                <c:pt idx="282">
                  <c:v>-6.5408681175257772</c:v>
                </c:pt>
                <c:pt idx="283">
                  <c:v>-6.3375736306943908</c:v>
                </c:pt>
                <c:pt idx="284">
                  <c:v>-6.4165212313332614</c:v>
                </c:pt>
                <c:pt idx="285">
                  <c:v>-6.6313282578020525</c:v>
                </c:pt>
                <c:pt idx="286">
                  <c:v>-6.5855842121434298</c:v>
                </c:pt>
                <c:pt idx="287">
                  <c:v>-6.3989234030121906</c:v>
                </c:pt>
                <c:pt idx="288">
                  <c:v>-6.423192439327063</c:v>
                </c:pt>
                <c:pt idx="289">
                  <c:v>-6.4246269644305132</c:v>
                </c:pt>
                <c:pt idx="290">
                  <c:v>-6.1414677153752617</c:v>
                </c:pt>
                <c:pt idx="291">
                  <c:v>-6.4402273215427757</c:v>
                </c:pt>
                <c:pt idx="292">
                  <c:v>-5.3230959875041641</c:v>
                </c:pt>
                <c:pt idx="293">
                  <c:v>-6.474260313251861</c:v>
                </c:pt>
                <c:pt idx="294">
                  <c:v>-6.4972232970473796</c:v>
                </c:pt>
                <c:pt idx="295">
                  <c:v>-6.5366809114517075</c:v>
                </c:pt>
                <c:pt idx="296">
                  <c:v>-6.5688642991830326</c:v>
                </c:pt>
                <c:pt idx="297">
                  <c:v>-6.5705144911507549</c:v>
                </c:pt>
                <c:pt idx="298">
                  <c:v>-6.5959929433006224</c:v>
                </c:pt>
                <c:pt idx="299">
                  <c:v>-6.5980483206225218</c:v>
                </c:pt>
                <c:pt idx="300">
                  <c:v>-6.8865363906026857</c:v>
                </c:pt>
                <c:pt idx="301">
                  <c:v>-6.65315411293391</c:v>
                </c:pt>
                <c:pt idx="302">
                  <c:v>-6.6534669543486427</c:v>
                </c:pt>
                <c:pt idx="303">
                  <c:v>-6.8056421477817484</c:v>
                </c:pt>
                <c:pt idx="304">
                  <c:v>-6.7062757888310065</c:v>
                </c:pt>
                <c:pt idx="305">
                  <c:v>-6.7106237197831309</c:v>
                </c:pt>
                <c:pt idx="306">
                  <c:v>-6.7926633163317103</c:v>
                </c:pt>
                <c:pt idx="307">
                  <c:v>-6.8198046459427584</c:v>
                </c:pt>
                <c:pt idx="308">
                  <c:v>-6.8648720466937334</c:v>
                </c:pt>
                <c:pt idx="309">
                  <c:v>-5.9163109910974745</c:v>
                </c:pt>
                <c:pt idx="310">
                  <c:v>-6.898116809704721</c:v>
                </c:pt>
                <c:pt idx="311">
                  <c:v>-6.9747810073304075</c:v>
                </c:pt>
                <c:pt idx="312">
                  <c:v>-6.980631065022683</c:v>
                </c:pt>
                <c:pt idx="313">
                  <c:v>-7.0432975523191077</c:v>
                </c:pt>
                <c:pt idx="314">
                  <c:v>-7.0548896928715275</c:v>
                </c:pt>
                <c:pt idx="315">
                  <c:v>-7.0747932912644815</c:v>
                </c:pt>
                <c:pt idx="316">
                  <c:v>-7.0822635032614114</c:v>
                </c:pt>
                <c:pt idx="317">
                  <c:v>-7.0854767281561415</c:v>
                </c:pt>
                <c:pt idx="318">
                  <c:v>-6.5417580426069595</c:v>
                </c:pt>
                <c:pt idx="319">
                  <c:v>-5.8403049898961932</c:v>
                </c:pt>
                <c:pt idx="320">
                  <c:v>-7.0903453908946243</c:v>
                </c:pt>
                <c:pt idx="321">
                  <c:v>-6.152125092526278</c:v>
                </c:pt>
                <c:pt idx="322">
                  <c:v>-7.1295512002313828</c:v>
                </c:pt>
                <c:pt idx="323">
                  <c:v>-7.4280068058907274</c:v>
                </c:pt>
                <c:pt idx="324">
                  <c:v>-5.8968049848855619</c:v>
                </c:pt>
                <c:pt idx="325">
                  <c:v>-5.4261947574294114</c:v>
                </c:pt>
                <c:pt idx="326">
                  <c:v>-5.6897227786578695</c:v>
                </c:pt>
                <c:pt idx="327">
                  <c:v>-5.7287098421961993</c:v>
                </c:pt>
                <c:pt idx="328">
                  <c:v>-7.2680486979776351</c:v>
                </c:pt>
                <c:pt idx="329">
                  <c:v>-5.6164349701326541</c:v>
                </c:pt>
                <c:pt idx="330">
                  <c:v>-5.7910779793007352</c:v>
                </c:pt>
                <c:pt idx="331">
                  <c:v>-7.3167754144760719</c:v>
                </c:pt>
                <c:pt idx="332">
                  <c:v>-7.375798209946395</c:v>
                </c:pt>
                <c:pt idx="333">
                  <c:v>-5.587724539527982</c:v>
                </c:pt>
                <c:pt idx="334">
                  <c:v>-7.4192624229044162</c:v>
                </c:pt>
                <c:pt idx="335">
                  <c:v>-7.8706360128920396</c:v>
                </c:pt>
                <c:pt idx="336">
                  <c:v>-7.4135345088582945</c:v>
                </c:pt>
                <c:pt idx="337">
                  <c:v>-8.0843761924563804</c:v>
                </c:pt>
                <c:pt idx="338">
                  <c:v>-5.6594314391956111</c:v>
                </c:pt>
              </c:numCache>
            </c:numRef>
          </c:xVal>
          <c:yVal>
            <c:numRef>
              <c:f>Sheet1!$Z$5:$Z$343</c:f>
              <c:numCache>
                <c:formatCode>General</c:formatCode>
                <c:ptCount val="339"/>
                <c:pt idx="0">
                  <c:v>-4.1560712145979775</c:v>
                </c:pt>
                <c:pt idx="1">
                  <c:v>-4.2724254543308975</c:v>
                </c:pt>
                <c:pt idx="2">
                  <c:v>-4.3940322970021404</c:v>
                </c:pt>
                <c:pt idx="3">
                  <c:v>-4.563587738818816</c:v>
                </c:pt>
                <c:pt idx="4">
                  <c:v>-4.5869234264533274</c:v>
                </c:pt>
                <c:pt idx="5">
                  <c:v>-4.5979223817489672</c:v>
                </c:pt>
                <c:pt idx="6">
                  <c:v>-4.6083686517239517</c:v>
                </c:pt>
                <c:pt idx="7">
                  <c:v>-4.6465045212666549</c:v>
                </c:pt>
                <c:pt idx="8">
                  <c:v>-4.7259675151098275</c:v>
                </c:pt>
                <c:pt idx="9">
                  <c:v>-4.7259675151098275</c:v>
                </c:pt>
                <c:pt idx="10">
                  <c:v>-4.7259675151098275</c:v>
                </c:pt>
                <c:pt idx="11">
                  <c:v>-4.7259675151098275</c:v>
                </c:pt>
                <c:pt idx="12">
                  <c:v>-4.7259675151098275</c:v>
                </c:pt>
                <c:pt idx="13">
                  <c:v>-4.7259675151098275</c:v>
                </c:pt>
                <c:pt idx="14">
                  <c:v>-4.7259675151098275</c:v>
                </c:pt>
                <c:pt idx="15">
                  <c:v>-4.7259675151098275</c:v>
                </c:pt>
                <c:pt idx="16">
                  <c:v>-4.7259675151098275</c:v>
                </c:pt>
                <c:pt idx="17">
                  <c:v>-4.7259675151098275</c:v>
                </c:pt>
                <c:pt idx="18">
                  <c:v>-4.7259675151098275</c:v>
                </c:pt>
                <c:pt idx="19">
                  <c:v>-4.7259675151098275</c:v>
                </c:pt>
                <c:pt idx="20">
                  <c:v>-4.7259675151098275</c:v>
                </c:pt>
                <c:pt idx="21">
                  <c:v>-4.7259675151098275</c:v>
                </c:pt>
                <c:pt idx="22">
                  <c:v>-4.7259675151098275</c:v>
                </c:pt>
                <c:pt idx="23">
                  <c:v>-4.7259675151098275</c:v>
                </c:pt>
                <c:pt idx="24">
                  <c:v>-4.7259675151098275</c:v>
                </c:pt>
                <c:pt idx="25">
                  <c:v>-4.7259675151098275</c:v>
                </c:pt>
                <c:pt idx="26">
                  <c:v>-4.7259675151098275</c:v>
                </c:pt>
                <c:pt idx="27">
                  <c:v>-4.7259675151098275</c:v>
                </c:pt>
                <c:pt idx="28">
                  <c:v>-4.7259675151098275</c:v>
                </c:pt>
                <c:pt idx="29">
                  <c:v>-4.7259675151098275</c:v>
                </c:pt>
                <c:pt idx="30">
                  <c:v>-4.7259675151098275</c:v>
                </c:pt>
                <c:pt idx="31">
                  <c:v>-4.7259675151098275</c:v>
                </c:pt>
                <c:pt idx="32">
                  <c:v>-4.7259675151098275</c:v>
                </c:pt>
                <c:pt idx="33">
                  <c:v>-4.7259675151098275</c:v>
                </c:pt>
                <c:pt idx="34">
                  <c:v>-4.7259675151098275</c:v>
                </c:pt>
                <c:pt idx="35">
                  <c:v>-4.7259675151098275</c:v>
                </c:pt>
                <c:pt idx="36">
                  <c:v>-4.7259675151098275</c:v>
                </c:pt>
                <c:pt idx="37">
                  <c:v>-4.7259675151098275</c:v>
                </c:pt>
                <c:pt idx="38">
                  <c:v>-4.7259675151098275</c:v>
                </c:pt>
                <c:pt idx="39">
                  <c:v>-4.7259675151098275</c:v>
                </c:pt>
                <c:pt idx="40">
                  <c:v>-4.7259675151098275</c:v>
                </c:pt>
                <c:pt idx="41">
                  <c:v>-4.7259675151098275</c:v>
                </c:pt>
                <c:pt idx="42">
                  <c:v>-4.7259675151098275</c:v>
                </c:pt>
                <c:pt idx="43">
                  <c:v>-4.7259675151098275</c:v>
                </c:pt>
                <c:pt idx="44">
                  <c:v>-4.7259675151098275</c:v>
                </c:pt>
                <c:pt idx="45">
                  <c:v>-4.7259675151098275</c:v>
                </c:pt>
                <c:pt idx="46">
                  <c:v>-4.7259675151098275</c:v>
                </c:pt>
                <c:pt idx="47">
                  <c:v>-4.7259675151098275</c:v>
                </c:pt>
                <c:pt idx="48">
                  <c:v>-4.7259675151098275</c:v>
                </c:pt>
                <c:pt idx="49">
                  <c:v>-4.7259675151098275</c:v>
                </c:pt>
                <c:pt idx="50">
                  <c:v>-4.7259675151098275</c:v>
                </c:pt>
                <c:pt idx="51">
                  <c:v>-4.7259675151098275</c:v>
                </c:pt>
                <c:pt idx="52">
                  <c:v>-4.7259675151098275</c:v>
                </c:pt>
                <c:pt idx="53">
                  <c:v>-4.7259675151098275</c:v>
                </c:pt>
                <c:pt idx="54">
                  <c:v>-4.7259675151098275</c:v>
                </c:pt>
                <c:pt idx="55">
                  <c:v>-4.7259675151098275</c:v>
                </c:pt>
                <c:pt idx="56">
                  <c:v>-4.7259675151098275</c:v>
                </c:pt>
                <c:pt idx="57">
                  <c:v>-4.7259675151098275</c:v>
                </c:pt>
                <c:pt idx="58">
                  <c:v>-4.7259675151098275</c:v>
                </c:pt>
                <c:pt idx="59">
                  <c:v>-4.7259675151098275</c:v>
                </c:pt>
                <c:pt idx="60">
                  <c:v>-4.7259675151098275</c:v>
                </c:pt>
                <c:pt idx="61">
                  <c:v>-4.7417372207455566</c:v>
                </c:pt>
                <c:pt idx="62">
                  <c:v>-4.7440422237224009</c:v>
                </c:pt>
                <c:pt idx="63">
                  <c:v>-4.7558205700910774</c:v>
                </c:pt>
                <c:pt idx="64">
                  <c:v>-4.7751844240684731</c:v>
                </c:pt>
                <c:pt idx="65">
                  <c:v>-4.799968189638828</c:v>
                </c:pt>
                <c:pt idx="66">
                  <c:v>-4.851217643252121</c:v>
                </c:pt>
                <c:pt idx="67">
                  <c:v>-4.9351453375049967</c:v>
                </c:pt>
                <c:pt idx="68">
                  <c:v>-4.9504984358666224</c:v>
                </c:pt>
                <c:pt idx="69">
                  <c:v>-4.9767663668432354</c:v>
                </c:pt>
                <c:pt idx="70">
                  <c:v>-4.989931669237972</c:v>
                </c:pt>
                <c:pt idx="71">
                  <c:v>-5.0297477843829457</c:v>
                </c:pt>
                <c:pt idx="72">
                  <c:v>-5.0335652967659934</c:v>
                </c:pt>
                <c:pt idx="73">
                  <c:v>-5.0367076752653537</c:v>
                </c:pt>
                <c:pt idx="74">
                  <c:v>-5.0406934730047404</c:v>
                </c:pt>
                <c:pt idx="75">
                  <c:v>-5.0411843373892076</c:v>
                </c:pt>
                <c:pt idx="76">
                  <c:v>-5.0791915163475974</c:v>
                </c:pt>
                <c:pt idx="77">
                  <c:v>-5.0864535761654563</c:v>
                </c:pt>
                <c:pt idx="78">
                  <c:v>-5.1199660294213896</c:v>
                </c:pt>
                <c:pt idx="79">
                  <c:v>-5.1254910311626274</c:v>
                </c:pt>
                <c:pt idx="80">
                  <c:v>-5.147714881597671</c:v>
                </c:pt>
                <c:pt idx="81">
                  <c:v>-5.1721541669700839</c:v>
                </c:pt>
                <c:pt idx="82">
                  <c:v>-5.2065452521212103</c:v>
                </c:pt>
                <c:pt idx="83">
                  <c:v>-5.2223816468997075</c:v>
                </c:pt>
                <c:pt idx="84">
                  <c:v>-5.2284455844435405</c:v>
                </c:pt>
                <c:pt idx="85">
                  <c:v>-5.2425761213718625</c:v>
                </c:pt>
                <c:pt idx="86">
                  <c:v>-5.2717802599910959</c:v>
                </c:pt>
                <c:pt idx="87">
                  <c:v>-5.2717802599910959</c:v>
                </c:pt>
                <c:pt idx="88">
                  <c:v>-5.2763391919803642</c:v>
                </c:pt>
                <c:pt idx="89">
                  <c:v>-5.2875718428683447</c:v>
                </c:pt>
                <c:pt idx="90">
                  <c:v>-5.2899383532801663</c:v>
                </c:pt>
                <c:pt idx="91">
                  <c:v>-5.3110629695776002</c:v>
                </c:pt>
                <c:pt idx="92">
                  <c:v>-5.3137149913498405</c:v>
                </c:pt>
                <c:pt idx="93">
                  <c:v>-5.3139545853195216</c:v>
                </c:pt>
                <c:pt idx="94">
                  <c:v>-5.3194274535138257</c:v>
                </c:pt>
                <c:pt idx="95">
                  <c:v>-5.3268929503908291</c:v>
                </c:pt>
                <c:pt idx="96">
                  <c:v>-5.3273570110197603</c:v>
                </c:pt>
                <c:pt idx="97">
                  <c:v>-5.3342857209173449</c:v>
                </c:pt>
                <c:pt idx="98">
                  <c:v>-5.3342857209173449</c:v>
                </c:pt>
                <c:pt idx="99">
                  <c:v>-5.3349060703967002</c:v>
                </c:pt>
                <c:pt idx="100">
                  <c:v>-5.3432335334994487</c:v>
                </c:pt>
                <c:pt idx="101">
                  <c:v>-5.3455452371033045</c:v>
                </c:pt>
                <c:pt idx="102">
                  <c:v>-5.3542815378039634</c:v>
                </c:pt>
                <c:pt idx="103">
                  <c:v>-5.3636648776008409</c:v>
                </c:pt>
                <c:pt idx="104">
                  <c:v>-5.3661718791005111</c:v>
                </c:pt>
                <c:pt idx="105">
                  <c:v>-5.3789705736521434</c:v>
                </c:pt>
                <c:pt idx="106">
                  <c:v>-5.3818753923633329</c:v>
                </c:pt>
                <c:pt idx="107">
                  <c:v>-5.3850314520022664</c:v>
                </c:pt>
                <c:pt idx="108">
                  <c:v>-5.3852798414365708</c:v>
                </c:pt>
                <c:pt idx="109">
                  <c:v>-5.3852798414365708</c:v>
                </c:pt>
                <c:pt idx="110">
                  <c:v>-5.3879366166115421</c:v>
                </c:pt>
                <c:pt idx="111">
                  <c:v>-5.3944278033327233</c:v>
                </c:pt>
                <c:pt idx="112">
                  <c:v>-5.3944278033327233</c:v>
                </c:pt>
                <c:pt idx="113">
                  <c:v>-5.4033913585608309</c:v>
                </c:pt>
                <c:pt idx="114">
                  <c:v>-5.40804937740314</c:v>
                </c:pt>
                <c:pt idx="115">
                  <c:v>-5.4085306103063466</c:v>
                </c:pt>
                <c:pt idx="116">
                  <c:v>-5.4165087145155058</c:v>
                </c:pt>
                <c:pt idx="117">
                  <c:v>-5.4213623374522788</c:v>
                </c:pt>
                <c:pt idx="118">
                  <c:v>-5.4230925183153991</c:v>
                </c:pt>
                <c:pt idx="119">
                  <c:v>-5.4242896563383312</c:v>
                </c:pt>
                <c:pt idx="120">
                  <c:v>-5.4379246875559843</c:v>
                </c:pt>
                <c:pt idx="121">
                  <c:v>-5.4593088380934711</c:v>
                </c:pt>
                <c:pt idx="122">
                  <c:v>-5.4696985139465708</c:v>
                </c:pt>
                <c:pt idx="123">
                  <c:v>-5.4715363478194474</c:v>
                </c:pt>
                <c:pt idx="124">
                  <c:v>-5.4832733130759435</c:v>
                </c:pt>
                <c:pt idx="125">
                  <c:v>-5.5021337084490352</c:v>
                </c:pt>
                <c:pt idx="126">
                  <c:v>-5.512249033415161</c:v>
                </c:pt>
                <c:pt idx="127">
                  <c:v>-5.5123510505864095</c:v>
                </c:pt>
                <c:pt idx="128">
                  <c:v>-5.5221178876413282</c:v>
                </c:pt>
                <c:pt idx="129">
                  <c:v>-5.5260887245656001</c:v>
                </c:pt>
                <c:pt idx="130">
                  <c:v>-5.5316921985365051</c:v>
                </c:pt>
                <c:pt idx="131">
                  <c:v>-5.5358998834406181</c:v>
                </c:pt>
                <c:pt idx="132">
                  <c:v>-5.5375547589720897</c:v>
                </c:pt>
                <c:pt idx="133">
                  <c:v>-5.5375964624856229</c:v>
                </c:pt>
                <c:pt idx="134">
                  <c:v>-5.5397642343076265</c:v>
                </c:pt>
                <c:pt idx="135">
                  <c:v>-5.5408956346083498</c:v>
                </c:pt>
                <c:pt idx="136">
                  <c:v>-5.5454418554093889</c:v>
                </c:pt>
                <c:pt idx="137">
                  <c:v>-5.5458433790754462</c:v>
                </c:pt>
                <c:pt idx="138">
                  <c:v>-5.54992921880062</c:v>
                </c:pt>
                <c:pt idx="139">
                  <c:v>-5.5540802327040533</c:v>
                </c:pt>
                <c:pt idx="140">
                  <c:v>-5.5557924767786675</c:v>
                </c:pt>
                <c:pt idx="141">
                  <c:v>-5.5577966223467588</c:v>
                </c:pt>
                <c:pt idx="142">
                  <c:v>-5.5707489839961877</c:v>
                </c:pt>
                <c:pt idx="143">
                  <c:v>-5.5752272237801357</c:v>
                </c:pt>
                <c:pt idx="144">
                  <c:v>-5.5820310322859257</c:v>
                </c:pt>
                <c:pt idx="145">
                  <c:v>-5.5821235523169745</c:v>
                </c:pt>
                <c:pt idx="146">
                  <c:v>-5.586403867361974</c:v>
                </c:pt>
                <c:pt idx="147">
                  <c:v>-5.5937614164325211</c:v>
                </c:pt>
                <c:pt idx="148">
                  <c:v>-5.6064347592968868</c:v>
                </c:pt>
                <c:pt idx="149">
                  <c:v>-5.6089725277534335</c:v>
                </c:pt>
                <c:pt idx="150">
                  <c:v>-5.6089725277534335</c:v>
                </c:pt>
                <c:pt idx="151">
                  <c:v>-5.6195269681298967</c:v>
                </c:pt>
                <c:pt idx="152">
                  <c:v>-5.6204747445845928</c:v>
                </c:pt>
                <c:pt idx="153">
                  <c:v>-5.6233377719369519</c:v>
                </c:pt>
                <c:pt idx="154">
                  <c:v>-5.6306924676901113</c:v>
                </c:pt>
                <c:pt idx="155">
                  <c:v>-5.6485373609560661</c:v>
                </c:pt>
                <c:pt idx="156">
                  <c:v>-5.6488422597391654</c:v>
                </c:pt>
                <c:pt idx="157">
                  <c:v>-5.6594720940410541</c:v>
                </c:pt>
                <c:pt idx="158">
                  <c:v>-5.6687430746798322</c:v>
                </c:pt>
                <c:pt idx="159">
                  <c:v>-5.6687430746798322</c:v>
                </c:pt>
                <c:pt idx="160">
                  <c:v>-5.6692148315519129</c:v>
                </c:pt>
                <c:pt idx="161">
                  <c:v>-5.6692148315519129</c:v>
                </c:pt>
                <c:pt idx="162">
                  <c:v>-5.6700111031853506</c:v>
                </c:pt>
                <c:pt idx="163">
                  <c:v>-5.677592359093742</c:v>
                </c:pt>
                <c:pt idx="164">
                  <c:v>-5.6804121792402773</c:v>
                </c:pt>
                <c:pt idx="165">
                  <c:v>-5.6847301627970177</c:v>
                </c:pt>
                <c:pt idx="166">
                  <c:v>-5.6870113906318824</c:v>
                </c:pt>
                <c:pt idx="167">
                  <c:v>-5.6979397438404238</c:v>
                </c:pt>
                <c:pt idx="168">
                  <c:v>-5.706300686032078</c:v>
                </c:pt>
                <c:pt idx="169">
                  <c:v>-5.7126694032734617</c:v>
                </c:pt>
                <c:pt idx="170">
                  <c:v>-5.7218566350848983</c:v>
                </c:pt>
                <c:pt idx="171">
                  <c:v>-5.7235793468337812</c:v>
                </c:pt>
                <c:pt idx="172">
                  <c:v>-5.7266153815606486</c:v>
                </c:pt>
                <c:pt idx="173">
                  <c:v>-5.7269054447834344</c:v>
                </c:pt>
                <c:pt idx="174">
                  <c:v>-5.7371460467459494</c:v>
                </c:pt>
                <c:pt idx="175">
                  <c:v>-5.7371765774423009</c:v>
                </c:pt>
                <c:pt idx="176">
                  <c:v>-5.7393850512130484</c:v>
                </c:pt>
                <c:pt idx="177">
                  <c:v>-5.7500470267178194</c:v>
                </c:pt>
                <c:pt idx="178">
                  <c:v>-5.7526325082057008</c:v>
                </c:pt>
                <c:pt idx="179">
                  <c:v>-5.7526325082057008</c:v>
                </c:pt>
                <c:pt idx="180">
                  <c:v>-5.7526325082057008</c:v>
                </c:pt>
                <c:pt idx="181">
                  <c:v>-5.770852862656044</c:v>
                </c:pt>
                <c:pt idx="182">
                  <c:v>-5.7758319366827937</c:v>
                </c:pt>
                <c:pt idx="183">
                  <c:v>-5.7986236788834722</c:v>
                </c:pt>
                <c:pt idx="184">
                  <c:v>-5.8045041558305472</c:v>
                </c:pt>
                <c:pt idx="185">
                  <c:v>-5.813115314350604</c:v>
                </c:pt>
                <c:pt idx="186">
                  <c:v>-5.8141474760318204</c:v>
                </c:pt>
                <c:pt idx="187">
                  <c:v>-5.8300141183663223</c:v>
                </c:pt>
                <c:pt idx="188">
                  <c:v>-5.8419207161958946</c:v>
                </c:pt>
                <c:pt idx="189">
                  <c:v>-5.8443631119247783</c:v>
                </c:pt>
                <c:pt idx="190">
                  <c:v>-5.8443631119247783</c:v>
                </c:pt>
                <c:pt idx="191">
                  <c:v>-5.8448199362736846</c:v>
                </c:pt>
                <c:pt idx="192">
                  <c:v>-5.85450590670506</c:v>
                </c:pt>
                <c:pt idx="193">
                  <c:v>-5.8582457392825971</c:v>
                </c:pt>
                <c:pt idx="194">
                  <c:v>-5.8582457392825971</c:v>
                </c:pt>
                <c:pt idx="195">
                  <c:v>-5.8658409989266405</c:v>
                </c:pt>
                <c:pt idx="196">
                  <c:v>-5.8686858789872627</c:v>
                </c:pt>
                <c:pt idx="197">
                  <c:v>-5.8706712797256593</c:v>
                </c:pt>
                <c:pt idx="198">
                  <c:v>-5.8706712797256593</c:v>
                </c:pt>
                <c:pt idx="199">
                  <c:v>-5.8767257178784078</c:v>
                </c:pt>
                <c:pt idx="200">
                  <c:v>-5.8809031903071443</c:v>
                </c:pt>
                <c:pt idx="201">
                  <c:v>-5.8821216913380701</c:v>
                </c:pt>
                <c:pt idx="202">
                  <c:v>-5.8862663830545916</c:v>
                </c:pt>
                <c:pt idx="203">
                  <c:v>-5.8920697717100197</c:v>
                </c:pt>
                <c:pt idx="204">
                  <c:v>-5.8934825130023745</c:v>
                </c:pt>
                <c:pt idx="205">
                  <c:v>-5.9074031416208301</c:v>
                </c:pt>
                <c:pt idx="206">
                  <c:v>-5.9074031416208301</c:v>
                </c:pt>
                <c:pt idx="207">
                  <c:v>-5.9074031416208301</c:v>
                </c:pt>
                <c:pt idx="208">
                  <c:v>-5.9124804044200561</c:v>
                </c:pt>
                <c:pt idx="209">
                  <c:v>-5.930014359797009</c:v>
                </c:pt>
                <c:pt idx="210">
                  <c:v>-5.935842533067297</c:v>
                </c:pt>
                <c:pt idx="211">
                  <c:v>-5.9417528293229056</c:v>
                </c:pt>
                <c:pt idx="212">
                  <c:v>-5.9417528293229056</c:v>
                </c:pt>
                <c:pt idx="213">
                  <c:v>-5.9521285967465625</c:v>
                </c:pt>
                <c:pt idx="214">
                  <c:v>-5.9521285967465625</c:v>
                </c:pt>
                <c:pt idx="215">
                  <c:v>-5.9526515393746617</c:v>
                </c:pt>
                <c:pt idx="216">
                  <c:v>-5.9757865042923717</c:v>
                </c:pt>
                <c:pt idx="217">
                  <c:v>-5.9785450630364272</c:v>
                </c:pt>
                <c:pt idx="218">
                  <c:v>-5.9877234705684081</c:v>
                </c:pt>
                <c:pt idx="219">
                  <c:v>-5.9891711912351946</c:v>
                </c:pt>
                <c:pt idx="220">
                  <c:v>-5.9940746176709121</c:v>
                </c:pt>
                <c:pt idx="221">
                  <c:v>-6.0002133617826123</c:v>
                </c:pt>
                <c:pt idx="222">
                  <c:v>-6.0065148530623391</c:v>
                </c:pt>
                <c:pt idx="223">
                  <c:v>-6.0145721071641258</c:v>
                </c:pt>
                <c:pt idx="224">
                  <c:v>-6.016690597799724</c:v>
                </c:pt>
                <c:pt idx="225">
                  <c:v>-6.016690597799724</c:v>
                </c:pt>
                <c:pt idx="226">
                  <c:v>-6.0179959153342404</c:v>
                </c:pt>
                <c:pt idx="227">
                  <c:v>-6.0186843719178045</c:v>
                </c:pt>
                <c:pt idx="228">
                  <c:v>-6.02681423385848</c:v>
                </c:pt>
                <c:pt idx="229">
                  <c:v>-6.0304185188102659</c:v>
                </c:pt>
                <c:pt idx="230">
                  <c:v>-6.031504449150221</c:v>
                </c:pt>
                <c:pt idx="231">
                  <c:v>-6.031504449150221</c:v>
                </c:pt>
                <c:pt idx="232">
                  <c:v>-6.0324948839286971</c:v>
                </c:pt>
                <c:pt idx="233">
                  <c:v>-6.0528609321518925</c:v>
                </c:pt>
                <c:pt idx="234">
                  <c:v>-6.0534176007529874</c:v>
                </c:pt>
                <c:pt idx="235">
                  <c:v>-6.0547416859578611</c:v>
                </c:pt>
                <c:pt idx="236">
                  <c:v>-6.0577674236553696</c:v>
                </c:pt>
                <c:pt idx="237">
                  <c:v>-6.0735646952933227</c:v>
                </c:pt>
                <c:pt idx="238">
                  <c:v>-6.0735646952933227</c:v>
                </c:pt>
                <c:pt idx="239">
                  <c:v>-6.0735646952933227</c:v>
                </c:pt>
                <c:pt idx="240">
                  <c:v>-6.0735646952933227</c:v>
                </c:pt>
                <c:pt idx="241">
                  <c:v>-6.0802442015948515</c:v>
                </c:pt>
                <c:pt idx="242">
                  <c:v>-6.089490181805469</c:v>
                </c:pt>
                <c:pt idx="243">
                  <c:v>-6.0985423651929462</c:v>
                </c:pt>
                <c:pt idx="244">
                  <c:v>-6.1006346036259069</c:v>
                </c:pt>
                <c:pt idx="245">
                  <c:v>-6.1168802741830683</c:v>
                </c:pt>
                <c:pt idx="246">
                  <c:v>-6.1187021263339663</c:v>
                </c:pt>
                <c:pt idx="247">
                  <c:v>-6.1203771872885468</c:v>
                </c:pt>
                <c:pt idx="248">
                  <c:v>-6.123238077001127</c:v>
                </c:pt>
                <c:pt idx="249">
                  <c:v>-6.1328799446463051</c:v>
                </c:pt>
                <c:pt idx="250">
                  <c:v>-6.1354344795060447</c:v>
                </c:pt>
                <c:pt idx="251">
                  <c:v>-6.1463601256763871</c:v>
                </c:pt>
                <c:pt idx="252">
                  <c:v>-6.1539381625118539</c:v>
                </c:pt>
                <c:pt idx="253">
                  <c:v>-6.1608319697595935</c:v>
                </c:pt>
                <c:pt idx="254">
                  <c:v>-6.1658515348396508</c:v>
                </c:pt>
                <c:pt idx="255">
                  <c:v>-6.17741072325415</c:v>
                </c:pt>
                <c:pt idx="256">
                  <c:v>-6.1808804168610507</c:v>
                </c:pt>
                <c:pt idx="257">
                  <c:v>-6.1808804168610507</c:v>
                </c:pt>
                <c:pt idx="258">
                  <c:v>-6.1810134395219309</c:v>
                </c:pt>
                <c:pt idx="259">
                  <c:v>-6.1928178753652396</c:v>
                </c:pt>
                <c:pt idx="260">
                  <c:v>-6.1950570832251479</c:v>
                </c:pt>
                <c:pt idx="261">
                  <c:v>-6.2058943816774974</c:v>
                </c:pt>
                <c:pt idx="262">
                  <c:v>-6.2131876999960012</c:v>
                </c:pt>
                <c:pt idx="263">
                  <c:v>-6.2273666535718997</c:v>
                </c:pt>
                <c:pt idx="264">
                  <c:v>-6.2281533241443077</c:v>
                </c:pt>
                <c:pt idx="265">
                  <c:v>-6.2487889069293674</c:v>
                </c:pt>
                <c:pt idx="266">
                  <c:v>-6.251128955670338</c:v>
                </c:pt>
                <c:pt idx="267">
                  <c:v>-6.2725641567572064</c:v>
                </c:pt>
                <c:pt idx="268">
                  <c:v>-6.2725641567572064</c:v>
                </c:pt>
                <c:pt idx="269">
                  <c:v>-6.2725641567572064</c:v>
                </c:pt>
                <c:pt idx="270">
                  <c:v>-6.2725641567572064</c:v>
                </c:pt>
                <c:pt idx="271">
                  <c:v>-6.2725641567572064</c:v>
                </c:pt>
                <c:pt idx="272">
                  <c:v>-6.2725641567572064</c:v>
                </c:pt>
                <c:pt idx="273">
                  <c:v>-6.2725641567572064</c:v>
                </c:pt>
                <c:pt idx="274">
                  <c:v>-6.2725641567572064</c:v>
                </c:pt>
                <c:pt idx="275">
                  <c:v>-6.2725641567572064</c:v>
                </c:pt>
                <c:pt idx="276">
                  <c:v>-6.2749871208683965</c:v>
                </c:pt>
                <c:pt idx="277">
                  <c:v>-6.2891212994954939</c:v>
                </c:pt>
                <c:pt idx="278">
                  <c:v>-6.2964835591484674</c:v>
                </c:pt>
                <c:pt idx="279">
                  <c:v>-6.2978303521076189</c:v>
                </c:pt>
                <c:pt idx="280">
                  <c:v>-6.3014615408559944</c:v>
                </c:pt>
                <c:pt idx="281">
                  <c:v>-6.312223234360121</c:v>
                </c:pt>
                <c:pt idx="282">
                  <c:v>-6.3240790462420904</c:v>
                </c:pt>
                <c:pt idx="283">
                  <c:v>-6.3373896523846085</c:v>
                </c:pt>
                <c:pt idx="284">
                  <c:v>-6.3402361680366948</c:v>
                </c:pt>
                <c:pt idx="285">
                  <c:v>-6.3678846432819363</c:v>
                </c:pt>
                <c:pt idx="286">
                  <c:v>-6.3784647404160966</c:v>
                </c:pt>
                <c:pt idx="287">
                  <c:v>-6.3992568698551828</c:v>
                </c:pt>
                <c:pt idx="288">
                  <c:v>-6.4230084610811229</c:v>
                </c:pt>
                <c:pt idx="289">
                  <c:v>-6.4244429861460413</c:v>
                </c:pt>
                <c:pt idx="290">
                  <c:v>-6.4400433430538175</c:v>
                </c:pt>
                <c:pt idx="291">
                  <c:v>-6.4400433430538175</c:v>
                </c:pt>
                <c:pt idx="292">
                  <c:v>-6.4707210513696971</c:v>
                </c:pt>
                <c:pt idx="293">
                  <c:v>-6.4740763357192241</c:v>
                </c:pt>
                <c:pt idx="294">
                  <c:v>-6.4970393193219014</c:v>
                </c:pt>
                <c:pt idx="295">
                  <c:v>-6.5364969332139156</c:v>
                </c:pt>
                <c:pt idx="296">
                  <c:v>-6.5686803205768438</c:v>
                </c:pt>
                <c:pt idx="297">
                  <c:v>-6.5703305134582468</c:v>
                </c:pt>
                <c:pt idx="298">
                  <c:v>-6.5958089656567811</c:v>
                </c:pt>
                <c:pt idx="299">
                  <c:v>-6.5978643420644376</c:v>
                </c:pt>
                <c:pt idx="300">
                  <c:v>-6.6525507662298642</c:v>
                </c:pt>
                <c:pt idx="301">
                  <c:v>-6.6529701341407907</c:v>
                </c:pt>
                <c:pt idx="302">
                  <c:v>-6.6532829772565911</c:v>
                </c:pt>
                <c:pt idx="303">
                  <c:v>-6.6954651876493028</c:v>
                </c:pt>
                <c:pt idx="304">
                  <c:v>-6.7060918104085152</c:v>
                </c:pt>
                <c:pt idx="305">
                  <c:v>-6.7104397412696661</c:v>
                </c:pt>
                <c:pt idx="306">
                  <c:v>-6.7924793394900895</c:v>
                </c:pt>
                <c:pt idx="307">
                  <c:v>-6.8196206672152142</c:v>
                </c:pt>
                <c:pt idx="308">
                  <c:v>-6.8257941362307815</c:v>
                </c:pt>
                <c:pt idx="309">
                  <c:v>-6.8257941362307815</c:v>
                </c:pt>
                <c:pt idx="310">
                  <c:v>-6.8979328308898067</c:v>
                </c:pt>
                <c:pt idx="311">
                  <c:v>-6.9616590603383806</c:v>
                </c:pt>
                <c:pt idx="312">
                  <c:v>-6.9804470870422062</c:v>
                </c:pt>
                <c:pt idx="313">
                  <c:v>-7.0431135741405901</c:v>
                </c:pt>
                <c:pt idx="314">
                  <c:v>-7.0547057141939069</c:v>
                </c:pt>
                <c:pt idx="315">
                  <c:v>-7.0746093145005782</c:v>
                </c:pt>
                <c:pt idx="316">
                  <c:v>-7.0820795252900437</c:v>
                </c:pt>
                <c:pt idx="317">
                  <c:v>-7.0852927489001116</c:v>
                </c:pt>
                <c:pt idx="318">
                  <c:v>-7.0901917681141091</c:v>
                </c:pt>
                <c:pt idx="319">
                  <c:v>-7.0901917681141091</c:v>
                </c:pt>
                <c:pt idx="320">
                  <c:v>-7.0901917681141091</c:v>
                </c:pt>
                <c:pt idx="321">
                  <c:v>-7.0901917681141091</c:v>
                </c:pt>
                <c:pt idx="322">
                  <c:v>-7.1293672198065305</c:v>
                </c:pt>
                <c:pt idx="323">
                  <c:v>-7.1864373842782401</c:v>
                </c:pt>
                <c:pt idx="324">
                  <c:v>-7.2286940714002368</c:v>
                </c:pt>
                <c:pt idx="325">
                  <c:v>-7.2286940714002368</c:v>
                </c:pt>
                <c:pt idx="326">
                  <c:v>-7.2286940714002368</c:v>
                </c:pt>
                <c:pt idx="327">
                  <c:v>-7.2678647222998238</c:v>
                </c:pt>
                <c:pt idx="328">
                  <c:v>-7.2678647222998238</c:v>
                </c:pt>
                <c:pt idx="329">
                  <c:v>-7.2678647222998238</c:v>
                </c:pt>
                <c:pt idx="330">
                  <c:v>-7.2678647222998238</c:v>
                </c:pt>
                <c:pt idx="331">
                  <c:v>-7.3165914404794465</c:v>
                </c:pt>
                <c:pt idx="332">
                  <c:v>-7.3756142326000349</c:v>
                </c:pt>
                <c:pt idx="333">
                  <c:v>-7.412566061798187</c:v>
                </c:pt>
                <c:pt idx="334">
                  <c:v>-7.4190784439794335</c:v>
                </c:pt>
                <c:pt idx="335">
                  <c:v>-7.8704520499251309</c:v>
                </c:pt>
                <c:pt idx="336">
                  <c:v>-8.0841922357101783</c:v>
                </c:pt>
                <c:pt idx="337">
                  <c:v>-8.0841922357101783</c:v>
                </c:pt>
                <c:pt idx="338">
                  <c:v>-8.0841922357101783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7-E246-B933-B6E32612D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173408"/>
        <c:axId val="830247888"/>
      </c:scatterChart>
      <c:valAx>
        <c:axId val="83017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247888"/>
        <c:crosses val="autoZero"/>
        <c:crossBetween val="midCat"/>
      </c:valAx>
      <c:valAx>
        <c:axId val="83024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7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ProteinComp_Anal!$D$36:$D$49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ProteinComp_Anal!$E$36:$E$49</c:f>
              <c:numCache>
                <c:formatCode>General</c:formatCode>
                <c:ptCount val="14"/>
                <c:pt idx="0">
                  <c:v>2.5257260039804542E-5</c:v>
                </c:pt>
                <c:pt idx="1">
                  <c:v>4.6600024918933508E-5</c:v>
                </c:pt>
                <c:pt idx="2">
                  <c:v>7.6873021369743354E-6</c:v>
                </c:pt>
                <c:pt idx="3">
                  <c:v>4.4015169977855465E-5</c:v>
                </c:pt>
                <c:pt idx="4">
                  <c:v>5.0330744228062526E-5</c:v>
                </c:pt>
                <c:pt idx="5">
                  <c:v>1.4697090925787324E-5</c:v>
                </c:pt>
                <c:pt idx="6">
                  <c:v>2.2026016963739783E-6</c:v>
                </c:pt>
                <c:pt idx="7">
                  <c:v>2.2058762394989434E-4</c:v>
                </c:pt>
                <c:pt idx="8">
                  <c:v>6.267091734481294E-5</c:v>
                </c:pt>
                <c:pt idx="9">
                  <c:v>6.8422969971387732E-5</c:v>
                </c:pt>
                <c:pt idx="10">
                  <c:v>1.1208262043745974E-4</c:v>
                </c:pt>
                <c:pt idx="11">
                  <c:v>1.4830135484761569E-4</c:v>
                </c:pt>
                <c:pt idx="12">
                  <c:v>1.9386497718879909E-4</c:v>
                </c:pt>
                <c:pt idx="13">
                  <c:v>7.5854759225634234E-5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3-C845-A99B-53B18B13F6A4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plus>
            <c:minus>
              <c:numRef>
                <c:f>ProteinComp_Anal!$G$36:$G$49</c:f>
                <c:numCache>
                  <c:formatCode>General</c:formatCode>
                  <c:ptCount val="14"/>
                  <c:pt idx="0">
                    <c:v>1.4395022274275469E-6</c:v>
                  </c:pt>
                  <c:pt idx="1">
                    <c:v>2.3507037397174724E-6</c:v>
                  </c:pt>
                  <c:pt idx="2">
                    <c:v>3.9789753763346777E-7</c:v>
                  </c:pt>
                  <c:pt idx="3">
                    <c:v>1.2956243276383541E-6</c:v>
                  </c:pt>
                  <c:pt idx="4">
                    <c:v>5.1853664646378207E-6</c:v>
                  </c:pt>
                  <c:pt idx="5">
                    <c:v>4.2566707209922493E-7</c:v>
                  </c:pt>
                  <c:pt idx="6">
                    <c:v>9.5219307494572958E-8</c:v>
                  </c:pt>
                  <c:pt idx="7">
                    <c:v>8.0624462797256548E-6</c:v>
                  </c:pt>
                  <c:pt idx="8">
                    <c:v>1.2700185121069086E-6</c:v>
                  </c:pt>
                  <c:pt idx="9">
                    <c:v>9.8903303303634984E-7</c:v>
                  </c:pt>
                  <c:pt idx="10">
                    <c:v>4.2471286134047097E-6</c:v>
                  </c:pt>
                  <c:pt idx="11">
                    <c:v>4.9882284513233268E-6</c:v>
                  </c:pt>
                  <c:pt idx="12">
                    <c:v>3.3452024769860749E-6</c:v>
                  </c:pt>
                  <c:pt idx="13">
                    <c:v>2.8129494821783982E-6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ProteinComp_Anal!$D$36:$D$49</c:f>
              <c:strCache>
                <c:ptCount val="14"/>
                <c:pt idx="0">
                  <c:v>GLK</c:v>
                </c:pt>
                <c:pt idx="1">
                  <c:v>G6PDH</c:v>
                </c:pt>
                <c:pt idx="2">
                  <c:v>PGL</c:v>
                </c:pt>
                <c:pt idx="3">
                  <c:v>EDD</c:v>
                </c:pt>
                <c:pt idx="4">
                  <c:v>EDA</c:v>
                </c:pt>
                <c:pt idx="5">
                  <c:v>PGI</c:v>
                </c:pt>
                <c:pt idx="6">
                  <c:v>TPI</c:v>
                </c:pt>
                <c:pt idx="7">
                  <c:v>GAPDH</c:v>
                </c:pt>
                <c:pt idx="8">
                  <c:v>PGK</c:v>
                </c:pt>
                <c:pt idx="9">
                  <c:v>PGM</c:v>
                </c:pt>
                <c:pt idx="10">
                  <c:v>ENO</c:v>
                </c:pt>
                <c:pt idx="11">
                  <c:v>PYK</c:v>
                </c:pt>
                <c:pt idx="12">
                  <c:v>PDC</c:v>
                </c:pt>
                <c:pt idx="13">
                  <c:v>ADHA/B</c:v>
                </c:pt>
              </c:strCache>
            </c:strRef>
          </c:cat>
          <c:val>
            <c:numRef>
              <c:f>ProteinComp_Anal!$F$36:$F$49</c:f>
              <c:numCache>
                <c:formatCode>General</c:formatCode>
                <c:ptCount val="14"/>
                <c:pt idx="0">
                  <c:v>2.5162826034217326E-5</c:v>
                </c:pt>
                <c:pt idx="1">
                  <c:v>4.6433825013844236E-5</c:v>
                </c:pt>
                <c:pt idx="2">
                  <c:v>7.6598852218989575E-6</c:v>
                </c:pt>
                <c:pt idx="3">
                  <c:v>4.3858189007422885E-5</c:v>
                </c:pt>
                <c:pt idx="4">
                  <c:v>5.0151238638631813E-5</c:v>
                </c:pt>
                <c:pt idx="5">
                  <c:v>1.4312035420422808E-5</c:v>
                </c:pt>
                <c:pt idx="6">
                  <c:v>2.2023123677521908E-6</c:v>
                </c:pt>
                <c:pt idx="7">
                  <c:v>2.1983523171661431E-4</c:v>
                </c:pt>
                <c:pt idx="8">
                  <c:v>6.2457155101361755E-5</c:v>
                </c:pt>
                <c:pt idx="9">
                  <c:v>6.8253223418885916E-5</c:v>
                </c:pt>
                <c:pt idx="10">
                  <c:v>1.1180456120706036E-4</c:v>
                </c:pt>
                <c:pt idx="11">
                  <c:v>1.4876930250187686E-4</c:v>
                </c:pt>
                <c:pt idx="12">
                  <c:v>1.9293498422922166E-4</c:v>
                </c:pt>
                <c:pt idx="13" formatCode="0.00E+00">
                  <c:v>7.5507071431189882E-5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3-C845-A99B-53B18B13F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ProteinComp_Anal!$C$24:$C$30</c:f>
              <c:strCache>
                <c:ptCount val="7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</c:strCache>
            </c:strRef>
          </c:cat>
          <c:val>
            <c:numRef>
              <c:f>ProteinComp_Anal!$G$24:$G$30</c:f>
              <c:numCache>
                <c:formatCode>0.00E+00</c:formatCode>
                <c:ptCount val="7"/>
                <c:pt idx="0">
                  <c:v>#N/A</c:v>
                </c:pt>
                <c:pt idx="1">
                  <c:v>3.7573763200311046E-6</c:v>
                </c:pt>
                <c:pt idx="2">
                  <c:v>5.5671231594536559E-6</c:v>
                </c:pt>
                <c:pt idx="3">
                  <c:v>5.7390553090393542E-6</c:v>
                </c:pt>
                <c:pt idx="4">
                  <c:v>1.3987503908352843E-6</c:v>
                </c:pt>
                <c:pt idx="5">
                  <c:v>1.152643964700218E-5</c:v>
                </c:pt>
                <c:pt idx="6">
                  <c:v>2.2757104135542707E-5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7-1E4E-BC85-8FFF37B60FA1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ProteinComp_Anal!$P$24:$P$30</c:f>
                <c:numCache>
                  <c:formatCode>General</c:formatCode>
                  <c:ptCount val="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</c:numCache>
              </c:numRef>
            </c:plus>
            <c:minus>
              <c:numRef>
                <c:f>ProteinComp_Anal!$P$24:$P$30</c:f>
                <c:numCache>
                  <c:formatCode>General</c:formatCode>
                  <c:ptCount val="7"/>
                  <c:pt idx="0">
                    <c:v>1.1978034383614539E-8</c:v>
                  </c:pt>
                  <c:pt idx="1">
                    <c:v>1.2916281996437508E-7</c:v>
                  </c:pt>
                  <c:pt idx="2">
                    <c:v>1.7642530523221079E-7</c:v>
                  </c:pt>
                  <c:pt idx="3">
                    <c:v>1.8013494312526211E-7</c:v>
                  </c:pt>
                  <c:pt idx="4">
                    <c:v>6.3728941493019642E-8</c:v>
                  </c:pt>
                  <c:pt idx="5">
                    <c:v>2.8246993037327416E-7</c:v>
                  </c:pt>
                  <c:pt idx="6">
                    <c:v>4.1030245570711589E-7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ProteinComp_Anal!$C$24:$C$30</c:f>
              <c:strCache>
                <c:ptCount val="7"/>
                <c:pt idx="0">
                  <c:v>DXS1</c:v>
                </c:pt>
                <c:pt idx="1">
                  <c:v>DXS2</c:v>
                </c:pt>
                <c:pt idx="2">
                  <c:v>DXR</c:v>
                </c:pt>
                <c:pt idx="3">
                  <c:v>ISPDF</c:v>
                </c:pt>
                <c:pt idx="4">
                  <c:v>ISPE</c:v>
                </c:pt>
                <c:pt idx="5">
                  <c:v>ISPG</c:v>
                </c:pt>
                <c:pt idx="6">
                  <c:v>ISPH</c:v>
                </c:pt>
              </c:strCache>
            </c:strRef>
          </c:cat>
          <c:val>
            <c:numRef>
              <c:f>ProteinComp_Anal!$O$24:$O$30</c:f>
              <c:numCache>
                <c:formatCode>0.00E+00</c:formatCode>
                <c:ptCount val="7"/>
                <c:pt idx="0">
                  <c:v>1.8097435106453549E-7</c:v>
                </c:pt>
                <c:pt idx="1">
                  <c:v>3.5759084072042163E-6</c:v>
                </c:pt>
                <c:pt idx="2">
                  <c:v>5.5663918746149829E-6</c:v>
                </c:pt>
                <c:pt idx="3">
                  <c:v>5.7383014376990713E-6</c:v>
                </c:pt>
                <c:pt idx="4">
                  <c:v>1.3985666534284624E-6</c:v>
                </c:pt>
                <c:pt idx="5">
                  <c:v>1.152492555789253E-5</c:v>
                </c:pt>
                <c:pt idx="6">
                  <c:v>2.2754114813120263E-5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7-1E4E-BC85-8FFF37B60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107326233939134"/>
          <c:y val="0.2316962589471196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2B2C6644-F26B-F14F-BA11-56BF5F869ACF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0.00E+00" sourceLinked="0"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101600</xdr:colOff>
      <xdr:row>2</xdr:row>
      <xdr:rowOff>48010</xdr:rowOff>
    </xdr:from>
    <xdr:to>
      <xdr:col>34</xdr:col>
      <xdr:colOff>404726</xdr:colOff>
      <xdr:row>20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260A4D-F639-6BDD-7F2D-9B05B89B6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363297</xdr:colOff>
      <xdr:row>25</xdr:row>
      <xdr:rowOff>53109</xdr:rowOff>
    </xdr:from>
    <xdr:to>
      <xdr:col>35</xdr:col>
      <xdr:colOff>649625</xdr:colOff>
      <xdr:row>47</xdr:row>
      <xdr:rowOff>49261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08D71C6-EAE8-6342-EDBC-2FA176436F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45197" y="4815609"/>
              <a:ext cx="5671128" cy="41871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661104</xdr:colOff>
      <xdr:row>1</xdr:row>
      <xdr:rowOff>114157</xdr:rowOff>
    </xdr:from>
    <xdr:to>
      <xdr:col>29</xdr:col>
      <xdr:colOff>656403</xdr:colOff>
      <xdr:row>26</xdr:row>
      <xdr:rowOff>111478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03CF1E-6C7B-1AF5-80E4-C7C675B64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20818</xdr:colOff>
      <xdr:row>31</xdr:row>
      <xdr:rowOff>39141</xdr:rowOff>
    </xdr:from>
    <xdr:to>
      <xdr:col>28</xdr:col>
      <xdr:colOff>104931</xdr:colOff>
      <xdr:row>63</xdr:row>
      <xdr:rowOff>124918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4FFDF7-446C-EA13-E685-645037736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8"/>
  <sheetViews>
    <sheetView topLeftCell="A3" workbookViewId="0">
      <selection activeCell="K8" sqref="K8:O31"/>
    </sheetView>
  </sheetViews>
  <sheetFormatPr baseColWidth="10" defaultColWidth="8.83203125" defaultRowHeight="15" x14ac:dyDescent="0.2"/>
  <cols>
    <col min="8" max="8" width="9.33203125" bestFit="1" customWidth="1"/>
    <col min="12" max="12" width="26.83203125" customWidth="1"/>
    <col min="13" max="13" width="11.83203125" bestFit="1" customWidth="1"/>
    <col min="14" max="14" width="10.6640625" customWidth="1"/>
    <col min="15" max="15" width="12.5" bestFit="1" customWidth="1"/>
    <col min="25" max="26" width="9.1640625" bestFit="1" customWidth="1"/>
  </cols>
  <sheetData>
    <row r="1" spans="1:26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26" x14ac:dyDescent="0.2">
      <c r="A2" t="s">
        <v>7</v>
      </c>
      <c r="B2">
        <v>2.5153930592011149E-6</v>
      </c>
      <c r="C2">
        <v>3.7027640224989999E-3</v>
      </c>
      <c r="D2">
        <v>0</v>
      </c>
      <c r="E2">
        <v>3.7027640224989999E-3</v>
      </c>
      <c r="F2">
        <v>100</v>
      </c>
      <c r="G2">
        <v>1472.041917645663</v>
      </c>
      <c r="H2">
        <f>LOG(G2)</f>
        <v>3.1679201770823275</v>
      </c>
      <c r="Y2">
        <f>LOG(B2)</f>
        <v>-5.5993941417793387</v>
      </c>
      <c r="Z2">
        <f>LOG(C2)</f>
        <v>-2.4314739646970107</v>
      </c>
    </row>
    <row r="3" spans="1:26" x14ac:dyDescent="0.2">
      <c r="A3" t="s">
        <v>9</v>
      </c>
      <c r="B3">
        <v>5.1293242219424909E-6</v>
      </c>
      <c r="C3">
        <v>7.9892398008999998E-5</v>
      </c>
      <c r="D3">
        <v>0</v>
      </c>
      <c r="E3">
        <v>7.9892398008999998E-5</v>
      </c>
      <c r="F3">
        <v>100</v>
      </c>
      <c r="G3">
        <v>15.575618649184261</v>
      </c>
      <c r="H3">
        <f t="shared" ref="H3:H66" si="0">LOG(G3)</f>
        <v>1.1924453054494164</v>
      </c>
      <c r="K3" t="s">
        <v>420</v>
      </c>
      <c r="Y3">
        <f t="shared" ref="Y3:Y66" si="1">LOG(B3)</f>
        <v>-5.2899398485360702</v>
      </c>
      <c r="Z3">
        <f t="shared" ref="Z3:Z66" si="2">LOG(C3)</f>
        <v>-4.0974945430866532</v>
      </c>
    </row>
    <row r="4" spans="1:26" x14ac:dyDescent="0.2">
      <c r="A4" t="s">
        <v>8</v>
      </c>
      <c r="B4">
        <v>7.9140683417981147E-5</v>
      </c>
      <c r="C4">
        <v>7.9434756709999998E-5</v>
      </c>
      <c r="D4">
        <v>0</v>
      </c>
      <c r="E4">
        <v>7.9434756709999998E-5</v>
      </c>
      <c r="F4">
        <v>100</v>
      </c>
      <c r="G4">
        <v>1.0037158295748561</v>
      </c>
      <c r="H4">
        <f t="shared" si="0"/>
        <v>1.6107734501866098E-3</v>
      </c>
      <c r="K4" t="s">
        <v>419</v>
      </c>
      <c r="Y4">
        <f t="shared" si="1"/>
        <v>-4.1016002037114303</v>
      </c>
      <c r="Z4">
        <f t="shared" si="2"/>
        <v>-4.0999894302612434</v>
      </c>
    </row>
    <row r="5" spans="1:26" x14ac:dyDescent="0.2">
      <c r="A5" t="s">
        <v>10</v>
      </c>
      <c r="B5">
        <v>6.9456594322519794E-5</v>
      </c>
      <c r="C5">
        <v>6.9811791893999999E-5</v>
      </c>
      <c r="D5">
        <v>0</v>
      </c>
      <c r="E5">
        <v>6.9811791893999999E-5</v>
      </c>
      <c r="F5">
        <v>100</v>
      </c>
      <c r="G5">
        <v>1.0051139503015489</v>
      </c>
      <c r="H5">
        <f t="shared" si="0"/>
        <v>2.2153007434014289E-3</v>
      </c>
      <c r="Y5">
        <f t="shared" si="1"/>
        <v>-4.1582865153413788</v>
      </c>
      <c r="Z5">
        <f t="shared" si="2"/>
        <v>-4.1560712145979775</v>
      </c>
    </row>
    <row r="6" spans="1:26" x14ac:dyDescent="0.2">
      <c r="A6" t="s">
        <v>11</v>
      </c>
      <c r="B6">
        <v>5.3556948900675673E-5</v>
      </c>
      <c r="C6">
        <v>5.3404093263000003E-5</v>
      </c>
      <c r="D6">
        <v>0</v>
      </c>
      <c r="E6">
        <v>5.3404093263000003E-5</v>
      </c>
      <c r="F6">
        <v>100</v>
      </c>
      <c r="G6">
        <v>0.99714592334303542</v>
      </c>
      <c r="H6">
        <f t="shared" si="0"/>
        <v>-1.2412819437614623E-3</v>
      </c>
      <c r="Y6">
        <f t="shared" si="1"/>
        <v>-4.2711841723871355</v>
      </c>
      <c r="Z6">
        <f t="shared" si="2"/>
        <v>-4.2724254543308975</v>
      </c>
    </row>
    <row r="7" spans="1:26" x14ac:dyDescent="0.2">
      <c r="A7" t="s">
        <v>65</v>
      </c>
      <c r="B7">
        <v>4.0249642034541729E-5</v>
      </c>
      <c r="C7">
        <v>4.0361537634999998E-5</v>
      </c>
      <c r="D7">
        <v>0</v>
      </c>
      <c r="E7">
        <v>4.0361537634999998E-5</v>
      </c>
      <c r="F7">
        <v>100</v>
      </c>
      <c r="G7">
        <v>1.0027800396426441</v>
      </c>
      <c r="H7">
        <f t="shared" si="0"/>
        <v>1.2056807316007366E-3</v>
      </c>
      <c r="Y7">
        <f>LOG(B7)</f>
        <v>-4.3952379777337409</v>
      </c>
      <c r="Z7">
        <f t="shared" si="2"/>
        <v>-4.3940322970021404</v>
      </c>
    </row>
    <row r="8" spans="1:26" x14ac:dyDescent="0.2">
      <c r="A8" t="s">
        <v>74</v>
      </c>
      <c r="B8">
        <v>1.184285241552041E-6</v>
      </c>
      <c r="C8">
        <v>2.7315695397999999E-5</v>
      </c>
      <c r="D8">
        <v>0</v>
      </c>
      <c r="E8">
        <v>2.7315695397999999E-5</v>
      </c>
      <c r="F8">
        <v>100</v>
      </c>
      <c r="G8">
        <v>23.06513197969263</v>
      </c>
      <c r="H8">
        <f t="shared" si="0"/>
        <v>1.36295594400339</v>
      </c>
      <c r="N8" t="s">
        <v>401</v>
      </c>
      <c r="O8" t="s">
        <v>402</v>
      </c>
      <c r="Y8">
        <f t="shared" si="1"/>
        <v>-5.9265436828222064</v>
      </c>
      <c r="Z8">
        <f t="shared" si="2"/>
        <v>-4.563587738818816</v>
      </c>
    </row>
    <row r="9" spans="1:26" x14ac:dyDescent="0.2">
      <c r="A9" t="s">
        <v>68</v>
      </c>
      <c r="B9">
        <v>1.572948586282125E-5</v>
      </c>
      <c r="C9">
        <v>2.5886693016E-5</v>
      </c>
      <c r="D9">
        <v>0</v>
      </c>
      <c r="E9">
        <v>2.5886693016E-5</v>
      </c>
      <c r="F9">
        <v>100</v>
      </c>
      <c r="G9">
        <v>1.645743112124642</v>
      </c>
      <c r="H9">
        <f t="shared" si="0"/>
        <v>0.21636204612928739</v>
      </c>
      <c r="K9" s="1" t="s">
        <v>83</v>
      </c>
      <c r="L9" s="1" t="s">
        <v>347</v>
      </c>
      <c r="M9" t="s">
        <v>348</v>
      </c>
      <c r="N9">
        <f>_xlfn.XLOOKUP(K9,A:A,G:G)</f>
        <v>1.0040463154778749</v>
      </c>
      <c r="O9">
        <f>_xlfn.XLOOKUP(K9,A:A,C:C)</f>
        <v>9.095271396E-6</v>
      </c>
      <c r="Y9">
        <f t="shared" si="1"/>
        <v>-4.8032854725826146</v>
      </c>
      <c r="Z9">
        <f t="shared" si="2"/>
        <v>-4.5869234264533274</v>
      </c>
    </row>
    <row r="10" spans="1:26" x14ac:dyDescent="0.2">
      <c r="A10" t="s">
        <v>67</v>
      </c>
      <c r="B10">
        <v>2.520488644377294E-5</v>
      </c>
      <c r="C10">
        <v>2.5239318159E-5</v>
      </c>
      <c r="D10">
        <v>0</v>
      </c>
      <c r="E10">
        <v>2.5239318159E-5</v>
      </c>
      <c r="F10">
        <v>100</v>
      </c>
      <c r="G10">
        <v>1.0013660730153999</v>
      </c>
      <c r="H10">
        <f t="shared" si="0"/>
        <v>5.9287311062266462E-4</v>
      </c>
      <c r="K10" s="2" t="s">
        <v>72</v>
      </c>
      <c r="L10" s="1" t="s">
        <v>349</v>
      </c>
      <c r="M10" t="s">
        <v>350</v>
      </c>
      <c r="N10">
        <f t="shared" ref="N10:N31" si="3">_xlfn.XLOOKUP(K10,A:A,G:G)</f>
        <v>1.0038726326597751</v>
      </c>
      <c r="O10">
        <f t="shared" ref="O10:O14" si="4">_xlfn.XLOOKUP(K10,A:A,C:C)</f>
        <v>1.6780912617999999E-5</v>
      </c>
      <c r="Y10">
        <f t="shared" si="1"/>
        <v>-4.5985152548595893</v>
      </c>
      <c r="Z10">
        <f t="shared" si="2"/>
        <v>-4.5979223817489672</v>
      </c>
    </row>
    <row r="11" spans="1:26" x14ac:dyDescent="0.2">
      <c r="A11" t="s">
        <v>66</v>
      </c>
      <c r="B11">
        <v>2.4571160430798931E-5</v>
      </c>
      <c r="C11">
        <v>2.4639469230999998E-5</v>
      </c>
      <c r="D11">
        <v>0</v>
      </c>
      <c r="E11">
        <v>2.4639469230999998E-5</v>
      </c>
      <c r="F11">
        <v>100</v>
      </c>
      <c r="G11">
        <v>1.002780039648248</v>
      </c>
      <c r="H11">
        <f t="shared" si="0"/>
        <v>1.2056807340277589E-3</v>
      </c>
      <c r="K11" s="2" t="s">
        <v>158</v>
      </c>
      <c r="L11" s="1" t="s">
        <v>351</v>
      </c>
      <c r="M11" t="s">
        <v>352</v>
      </c>
      <c r="N11">
        <f t="shared" si="3"/>
        <v>1.003872632772705</v>
      </c>
      <c r="O11">
        <f t="shared" si="4"/>
        <v>2.768237692E-6</v>
      </c>
      <c r="Y11">
        <f t="shared" si="1"/>
        <v>-4.6095743324579788</v>
      </c>
      <c r="Z11">
        <f t="shared" si="2"/>
        <v>-4.6083686517239517</v>
      </c>
    </row>
    <row r="12" spans="1:26" x14ac:dyDescent="0.2">
      <c r="A12" t="s">
        <v>69</v>
      </c>
      <c r="B12">
        <v>2.2484575836490229E-5</v>
      </c>
      <c r="C12">
        <v>2.2568125005999999E-5</v>
      </c>
      <c r="D12">
        <v>0</v>
      </c>
      <c r="E12">
        <v>2.2568125005999999E-5</v>
      </c>
      <c r="F12">
        <v>100</v>
      </c>
      <c r="G12">
        <v>1.003715843701805</v>
      </c>
      <c r="H12">
        <f t="shared" si="0"/>
        <v>1.6107795627293719E-3</v>
      </c>
      <c r="K12" s="2" t="s">
        <v>73</v>
      </c>
      <c r="L12" s="1" t="s">
        <v>353</v>
      </c>
      <c r="M12" t="s">
        <v>354</v>
      </c>
      <c r="N12">
        <f t="shared" si="3"/>
        <v>1.00387263268981</v>
      </c>
      <c r="O12">
        <f t="shared" si="4"/>
        <v>1.5850092838999999E-5</v>
      </c>
      <c r="Y12">
        <f t="shared" si="1"/>
        <v>-4.6481153008293843</v>
      </c>
      <c r="Z12">
        <f t="shared" si="2"/>
        <v>-4.6465045212666549</v>
      </c>
    </row>
    <row r="13" spans="1:26" x14ac:dyDescent="0.2">
      <c r="A13" t="s">
        <v>33</v>
      </c>
      <c r="B13">
        <v>4.7955473044123879E-6</v>
      </c>
      <c r="C13">
        <v>1.8794573935E-5</v>
      </c>
      <c r="D13">
        <v>0</v>
      </c>
      <c r="E13">
        <v>1.8794573935E-5</v>
      </c>
      <c r="F13">
        <v>100</v>
      </c>
      <c r="G13">
        <v>3.9191718362796868</v>
      </c>
      <c r="H13">
        <f t="shared" si="0"/>
        <v>0.59319430555822783</v>
      </c>
      <c r="K13" s="2" t="s">
        <v>71</v>
      </c>
      <c r="L13" s="1" t="s">
        <v>355</v>
      </c>
      <c r="M13" t="s">
        <v>356</v>
      </c>
      <c r="N13">
        <f t="shared" si="3"/>
        <v>1.003872632671279</v>
      </c>
      <c r="O13">
        <f t="shared" si="4"/>
        <v>1.8124364147E-5</v>
      </c>
      <c r="Y13">
        <f t="shared" si="1"/>
        <v>-5.3191618206680547</v>
      </c>
      <c r="Z13">
        <f t="shared" si="2"/>
        <v>-4.7259675151098275</v>
      </c>
    </row>
    <row r="14" spans="1:26" x14ac:dyDescent="0.2">
      <c r="A14" t="s">
        <v>14</v>
      </c>
      <c r="B14">
        <v>1.7555980106113982E-5</v>
      </c>
      <c r="C14">
        <v>1.8794573935E-5</v>
      </c>
      <c r="D14">
        <v>0</v>
      </c>
      <c r="E14">
        <v>1.8794573935E-5</v>
      </c>
      <c r="F14">
        <v>100</v>
      </c>
      <c r="G14">
        <v>1.0705511068820741</v>
      </c>
      <c r="H14">
        <f t="shared" si="0"/>
        <v>2.960740484584367E-2</v>
      </c>
      <c r="K14" s="2" t="s">
        <v>106</v>
      </c>
      <c r="L14" s="1" t="s">
        <v>357</v>
      </c>
      <c r="M14" t="s">
        <v>358</v>
      </c>
      <c r="N14">
        <f t="shared" si="3"/>
        <v>1.027204480069926</v>
      </c>
      <c r="O14">
        <f t="shared" si="4"/>
        <v>5.2924992850000004E-6</v>
      </c>
      <c r="Y14">
        <f t="shared" si="1"/>
        <v>-4.7555749199556709</v>
      </c>
      <c r="Z14">
        <f t="shared" si="2"/>
        <v>-4.7259675151098275</v>
      </c>
    </row>
    <row r="15" spans="1:26" x14ac:dyDescent="0.2">
      <c r="A15" t="s">
        <v>56</v>
      </c>
      <c r="B15">
        <v>7.9422356037627257E-6</v>
      </c>
      <c r="C15">
        <v>1.8794573935E-5</v>
      </c>
      <c r="D15">
        <v>0</v>
      </c>
      <c r="E15">
        <v>1.8794573935E-5</v>
      </c>
      <c r="F15">
        <v>100</v>
      </c>
      <c r="G15">
        <v>2.3664085117414362</v>
      </c>
      <c r="H15">
        <f t="shared" si="0"/>
        <v>0.37408971877067093</v>
      </c>
      <c r="K15" s="2" t="s">
        <v>253</v>
      </c>
      <c r="L15" s="1" t="s">
        <v>359</v>
      </c>
      <c r="M15" t="s">
        <v>360</v>
      </c>
      <c r="N15">
        <f t="shared" si="3"/>
        <v>1.000423714503863</v>
      </c>
      <c r="O15">
        <f t="shared" ref="O15:O31" si="5">_xlfn.XLOOKUP(K15,A:A,C:C)</f>
        <v>7.9316838699999997E-7</v>
      </c>
      <c r="Y15">
        <f t="shared" si="1"/>
        <v>-5.1000572338804977</v>
      </c>
      <c r="Z15">
        <f t="shared" si="2"/>
        <v>-4.7259675151098275</v>
      </c>
    </row>
    <row r="16" spans="1:26" x14ac:dyDescent="0.2">
      <c r="A16" t="s">
        <v>51</v>
      </c>
      <c r="B16">
        <v>3.0281026626162721E-5</v>
      </c>
      <c r="C16">
        <v>1.8794573935E-5</v>
      </c>
      <c r="D16">
        <v>0</v>
      </c>
      <c r="E16">
        <v>1.8794573935E-5</v>
      </c>
      <c r="F16">
        <v>100</v>
      </c>
      <c r="G16">
        <v>0.62067162276332943</v>
      </c>
      <c r="H16">
        <f t="shared" si="0"/>
        <v>-0.20713811019543604</v>
      </c>
      <c r="K16" s="2" t="s">
        <v>8</v>
      </c>
      <c r="L16" s="1" t="s">
        <v>361</v>
      </c>
      <c r="M16" t="s">
        <v>362</v>
      </c>
      <c r="N16">
        <f t="shared" si="3"/>
        <v>1.0037158295748561</v>
      </c>
      <c r="O16">
        <f t="shared" si="5"/>
        <v>7.9434756709999998E-5</v>
      </c>
      <c r="U16" s="15" t="s">
        <v>375</v>
      </c>
      <c r="Y16">
        <f t="shared" si="1"/>
        <v>-4.5188294049143911</v>
      </c>
      <c r="Z16">
        <f t="shared" si="2"/>
        <v>-4.7259675151098275</v>
      </c>
    </row>
    <row r="17" spans="1:26" x14ac:dyDescent="0.2">
      <c r="A17" t="s">
        <v>41</v>
      </c>
      <c r="B17">
        <v>2.243302056829462E-5</v>
      </c>
      <c r="C17">
        <v>1.8794573935E-5</v>
      </c>
      <c r="D17">
        <v>0</v>
      </c>
      <c r="E17">
        <v>1.8794573935E-5</v>
      </c>
      <c r="F17">
        <v>100</v>
      </c>
      <c r="G17">
        <v>0.83780843858196408</v>
      </c>
      <c r="H17">
        <f t="shared" si="0"/>
        <v>-7.685526964784116E-2</v>
      </c>
      <c r="K17" s="2" t="s">
        <v>69</v>
      </c>
      <c r="L17" s="1" t="s">
        <v>363</v>
      </c>
      <c r="M17" t="s">
        <v>364</v>
      </c>
      <c r="N17">
        <f t="shared" si="3"/>
        <v>1.003715843701805</v>
      </c>
      <c r="O17">
        <f t="shared" si="5"/>
        <v>2.2568125005999999E-5</v>
      </c>
      <c r="U17" s="15"/>
      <c r="Y17">
        <f t="shared" si="1"/>
        <v>-4.6491122454619855</v>
      </c>
      <c r="Z17">
        <f t="shared" si="2"/>
        <v>-4.7259675151098275</v>
      </c>
    </row>
    <row r="18" spans="1:26" x14ac:dyDescent="0.2">
      <c r="A18" t="s">
        <v>31</v>
      </c>
      <c r="B18">
        <v>1.7999705599719628E-5</v>
      </c>
      <c r="C18">
        <v>1.8794573935E-5</v>
      </c>
      <c r="D18">
        <v>0</v>
      </c>
      <c r="E18">
        <v>1.8794573935E-5</v>
      </c>
      <c r="F18">
        <v>100</v>
      </c>
      <c r="G18">
        <v>1.044160074223256</v>
      </c>
      <c r="H18">
        <f t="shared" si="0"/>
        <v>1.876708297924632E-2</v>
      </c>
      <c r="K18" s="2" t="s">
        <v>66</v>
      </c>
      <c r="L18" s="1" t="s">
        <v>365</v>
      </c>
      <c r="M18" t="s">
        <v>366</v>
      </c>
      <c r="N18">
        <f t="shared" si="3"/>
        <v>1.002780039648248</v>
      </c>
      <c r="O18">
        <f t="shared" si="5"/>
        <v>2.4639469230999998E-5</v>
      </c>
      <c r="U18" s="15"/>
      <c r="Y18">
        <f t="shared" si="1"/>
        <v>-4.7447345980890736</v>
      </c>
      <c r="Z18">
        <f t="shared" si="2"/>
        <v>-4.7259675151098275</v>
      </c>
    </row>
    <row r="19" spans="1:26" x14ac:dyDescent="0.2">
      <c r="A19" t="s">
        <v>32</v>
      </c>
      <c r="B19">
        <v>8.5857512739490604E-6</v>
      </c>
      <c r="C19">
        <v>1.8794573935E-5</v>
      </c>
      <c r="D19">
        <v>0</v>
      </c>
      <c r="E19">
        <v>1.8794573935E-5</v>
      </c>
      <c r="F19">
        <v>100</v>
      </c>
      <c r="G19">
        <v>2.189042441984852</v>
      </c>
      <c r="H19">
        <f t="shared" si="0"/>
        <v>0.34025418191564055</v>
      </c>
      <c r="K19" s="2" t="s">
        <v>65</v>
      </c>
      <c r="L19" s="1" t="s">
        <v>367</v>
      </c>
      <c r="M19" t="s">
        <v>368</v>
      </c>
      <c r="N19">
        <f t="shared" si="3"/>
        <v>1.0027800396426441</v>
      </c>
      <c r="O19">
        <f t="shared" si="5"/>
        <v>4.0361537634999998E-5</v>
      </c>
      <c r="Y19">
        <f t="shared" si="1"/>
        <v>-5.0662216970254672</v>
      </c>
      <c r="Z19">
        <f t="shared" si="2"/>
        <v>-4.7259675151098275</v>
      </c>
    </row>
    <row r="20" spans="1:26" x14ac:dyDescent="0.2">
      <c r="A20" t="s">
        <v>45</v>
      </c>
      <c r="B20">
        <v>1.8296300549796079E-5</v>
      </c>
      <c r="C20">
        <v>1.8794573935E-5</v>
      </c>
      <c r="D20">
        <v>0</v>
      </c>
      <c r="E20">
        <v>1.8794573935E-5</v>
      </c>
      <c r="F20">
        <v>100</v>
      </c>
      <c r="G20">
        <v>1.0272335592568449</v>
      </c>
      <c r="H20">
        <f t="shared" si="0"/>
        <v>1.1669199161293938E-2</v>
      </c>
      <c r="K20" s="2" t="s">
        <v>11</v>
      </c>
      <c r="L20" s="1" t="s">
        <v>369</v>
      </c>
      <c r="M20" t="s">
        <v>370</v>
      </c>
      <c r="N20">
        <f t="shared" si="3"/>
        <v>0.99714592334303542</v>
      </c>
      <c r="O20">
        <f t="shared" si="5"/>
        <v>5.3404093263000003E-5</v>
      </c>
      <c r="Y20">
        <f t="shared" si="1"/>
        <v>-4.7376367142711215</v>
      </c>
      <c r="Z20">
        <f t="shared" si="2"/>
        <v>-4.7259675151098275</v>
      </c>
    </row>
    <row r="21" spans="1:26" x14ac:dyDescent="0.2">
      <c r="A21" t="s">
        <v>34</v>
      </c>
      <c r="B21">
        <v>1.996419619453535E-5</v>
      </c>
      <c r="C21">
        <v>1.8794573935E-5</v>
      </c>
      <c r="D21">
        <v>0</v>
      </c>
      <c r="E21">
        <v>1.8794573935E-5</v>
      </c>
      <c r="F21">
        <v>100</v>
      </c>
      <c r="G21">
        <v>0.94141400694832367</v>
      </c>
      <c r="H21">
        <f t="shared" si="0"/>
        <v>-2.6219344275531166E-2</v>
      </c>
      <c r="K21" s="2" t="s">
        <v>10</v>
      </c>
      <c r="L21" s="1" t="s">
        <v>371</v>
      </c>
      <c r="M21" t="s">
        <v>372</v>
      </c>
      <c r="N21">
        <f t="shared" si="3"/>
        <v>1.0051139503015489</v>
      </c>
      <c r="O21">
        <f t="shared" si="5"/>
        <v>6.9811791893999999E-5</v>
      </c>
      <c r="U21" s="15" t="s">
        <v>376</v>
      </c>
      <c r="Y21">
        <f t="shared" si="1"/>
        <v>-4.6997481708342956</v>
      </c>
      <c r="Z21">
        <f t="shared" si="2"/>
        <v>-4.7259675151098275</v>
      </c>
    </row>
    <row r="22" spans="1:26" x14ac:dyDescent="0.2">
      <c r="A22" t="s">
        <v>35</v>
      </c>
      <c r="B22">
        <v>1.3071532262372181E-7</v>
      </c>
      <c r="C22">
        <v>1.8794573935E-5</v>
      </c>
      <c r="D22">
        <v>0</v>
      </c>
      <c r="E22">
        <v>1.8794573935E-5</v>
      </c>
      <c r="F22">
        <v>100</v>
      </c>
      <c r="G22">
        <v>143.7824851574762</v>
      </c>
      <c r="H22">
        <f t="shared" si="0"/>
        <v>2.1577059857496517</v>
      </c>
      <c r="K22" s="2" t="s">
        <v>74</v>
      </c>
      <c r="L22" s="1" t="s">
        <v>373</v>
      </c>
      <c r="M22" t="s">
        <v>374</v>
      </c>
      <c r="N22">
        <f t="shared" si="3"/>
        <v>23.06513197969263</v>
      </c>
      <c r="O22">
        <f t="shared" si="5"/>
        <v>2.7315695397999999E-5</v>
      </c>
      <c r="U22" s="15"/>
      <c r="Y22">
        <f t="shared" si="1"/>
        <v>-6.8836735008594792</v>
      </c>
      <c r="Z22">
        <f t="shared" si="2"/>
        <v>-4.7259675151098275</v>
      </c>
    </row>
    <row r="23" spans="1:26" x14ac:dyDescent="0.2">
      <c r="A23" t="s">
        <v>36</v>
      </c>
      <c r="B23">
        <v>1.689715842958496E-5</v>
      </c>
      <c r="C23">
        <v>1.8794573935E-5</v>
      </c>
      <c r="D23">
        <v>0</v>
      </c>
      <c r="E23">
        <v>1.8794573935E-5</v>
      </c>
      <c r="F23">
        <v>100</v>
      </c>
      <c r="G23">
        <v>1.112291987633429</v>
      </c>
      <c r="H23">
        <f t="shared" si="0"/>
        <v>4.6218808803833791E-2</v>
      </c>
      <c r="K23" s="2" t="s">
        <v>412</v>
      </c>
      <c r="L23" s="1" t="s">
        <v>413</v>
      </c>
      <c r="N23" t="e">
        <f t="shared" si="3"/>
        <v>#N/A</v>
      </c>
      <c r="O23" t="e">
        <f t="shared" si="5"/>
        <v>#N/A</v>
      </c>
      <c r="U23" s="15"/>
      <c r="Y23">
        <f t="shared" si="1"/>
        <v>-4.7721863239136608</v>
      </c>
      <c r="Z23">
        <f t="shared" si="2"/>
        <v>-4.7259675151098275</v>
      </c>
    </row>
    <row r="24" spans="1:26" x14ac:dyDescent="0.2">
      <c r="A24" t="s">
        <v>24</v>
      </c>
      <c r="B24">
        <v>2.4134131784147979E-5</v>
      </c>
      <c r="C24">
        <v>1.8794573935E-5</v>
      </c>
      <c r="D24">
        <v>0</v>
      </c>
      <c r="E24">
        <v>1.8794573935E-5</v>
      </c>
      <c r="F24">
        <v>100</v>
      </c>
      <c r="G24">
        <v>0.77875492282448033</v>
      </c>
      <c r="H24">
        <f t="shared" si="0"/>
        <v>-0.10859919497322375</v>
      </c>
      <c r="K24" s="2"/>
      <c r="L24" s="1"/>
      <c r="N24">
        <f t="shared" si="3"/>
        <v>0</v>
      </c>
      <c r="U24" s="15"/>
      <c r="Y24">
        <f t="shared" si="1"/>
        <v>-4.6173683201366034</v>
      </c>
      <c r="Z24">
        <f t="shared" si="2"/>
        <v>-4.7259675151098275</v>
      </c>
    </row>
    <row r="25" spans="1:26" x14ac:dyDescent="0.2">
      <c r="A25" t="s">
        <v>63</v>
      </c>
      <c r="B25">
        <v>9.1969666296093531E-6</v>
      </c>
      <c r="C25">
        <v>1.8794573935E-5</v>
      </c>
      <c r="D25">
        <v>0</v>
      </c>
      <c r="E25">
        <v>1.8794573935E-5</v>
      </c>
      <c r="F25">
        <v>100</v>
      </c>
      <c r="G25">
        <v>2.0435622626368399</v>
      </c>
      <c r="H25">
        <f t="shared" si="0"/>
        <v>0.31038787420209035</v>
      </c>
      <c r="K25" s="2" t="s">
        <v>393</v>
      </c>
      <c r="L25" s="1" t="s">
        <v>394</v>
      </c>
      <c r="N25" t="e">
        <f t="shared" si="3"/>
        <v>#N/A</v>
      </c>
      <c r="O25" t="e">
        <f t="shared" si="5"/>
        <v>#N/A</v>
      </c>
      <c r="U25" s="15"/>
      <c r="Y25">
        <f t="shared" si="1"/>
        <v>-5.0363553893119173</v>
      </c>
      <c r="Z25">
        <f t="shared" si="2"/>
        <v>-4.7259675151098275</v>
      </c>
    </row>
    <row r="26" spans="1:26" x14ac:dyDescent="0.2">
      <c r="A26" t="s">
        <v>64</v>
      </c>
      <c r="B26">
        <v>4.5939457952547752E-5</v>
      </c>
      <c r="C26">
        <v>1.8794573935E-5</v>
      </c>
      <c r="D26">
        <v>0</v>
      </c>
      <c r="E26">
        <v>1.8794573935E-5</v>
      </c>
      <c r="F26">
        <v>100</v>
      </c>
      <c r="G26">
        <v>0.40911614487078801</v>
      </c>
      <c r="H26">
        <f t="shared" si="0"/>
        <v>-0.38815338168484992</v>
      </c>
      <c r="K26" s="2" t="s">
        <v>230</v>
      </c>
      <c r="L26" s="1" t="s">
        <v>395</v>
      </c>
      <c r="N26">
        <f t="shared" si="3"/>
        <v>1.0510544951273171</v>
      </c>
      <c r="O26">
        <f t="shared" si="5"/>
        <v>1.3530508580000001E-6</v>
      </c>
      <c r="Y26">
        <f t="shared" si="1"/>
        <v>-4.3378141334249776</v>
      </c>
      <c r="Z26">
        <f t="shared" si="2"/>
        <v>-4.7259675151098275</v>
      </c>
    </row>
    <row r="27" spans="1:26" x14ac:dyDescent="0.2">
      <c r="A27" t="s">
        <v>42</v>
      </c>
      <c r="B27">
        <v>2.0066830609458499E-5</v>
      </c>
      <c r="C27">
        <v>1.8794573935E-5</v>
      </c>
      <c r="D27">
        <v>0</v>
      </c>
      <c r="E27">
        <v>1.8794573935E-5</v>
      </c>
      <c r="F27">
        <v>100</v>
      </c>
      <c r="G27">
        <v>0.93659902257515348</v>
      </c>
      <c r="H27">
        <f t="shared" si="0"/>
        <v>-2.8446299778836167E-2</v>
      </c>
      <c r="K27" s="2" t="s">
        <v>178</v>
      </c>
      <c r="L27" s="1" t="s">
        <v>396</v>
      </c>
      <c r="N27">
        <f t="shared" si="3"/>
        <v>1.0004237145981201</v>
      </c>
      <c r="O27">
        <f t="shared" si="5"/>
        <v>2.0047501570000002E-6</v>
      </c>
      <c r="U27" s="3" t="s">
        <v>377</v>
      </c>
      <c r="Y27">
        <f t="shared" si="1"/>
        <v>-4.6975212153309913</v>
      </c>
      <c r="Z27">
        <f t="shared" si="2"/>
        <v>-4.7259675151098275</v>
      </c>
    </row>
    <row r="28" spans="1:26" x14ac:dyDescent="0.2">
      <c r="A28" t="s">
        <v>28</v>
      </c>
      <c r="B28">
        <v>1.5292262792934869E-5</v>
      </c>
      <c r="C28">
        <v>1.8794573935E-5</v>
      </c>
      <c r="D28">
        <v>0</v>
      </c>
      <c r="E28">
        <v>1.8794573935E-5</v>
      </c>
      <c r="F28">
        <v>100</v>
      </c>
      <c r="G28">
        <v>1.2290250428918359</v>
      </c>
      <c r="H28">
        <f t="shared" si="0"/>
        <v>8.9560732259056738E-2</v>
      </c>
      <c r="K28" s="2" t="s">
        <v>160</v>
      </c>
      <c r="L28" s="1" t="s">
        <v>397</v>
      </c>
      <c r="N28">
        <f t="shared" si="3"/>
        <v>1.000423714925748</v>
      </c>
      <c r="O28">
        <f t="shared" si="5"/>
        <v>2.0666638229999998E-6</v>
      </c>
      <c r="Y28">
        <f t="shared" si="1"/>
        <v>-4.8155282473688841</v>
      </c>
      <c r="Z28">
        <f t="shared" si="2"/>
        <v>-4.7259675151098275</v>
      </c>
    </row>
    <row r="29" spans="1:26" x14ac:dyDescent="0.2">
      <c r="A29" t="s">
        <v>43</v>
      </c>
      <c r="B29">
        <v>4.0224730139951734E-6</v>
      </c>
      <c r="C29">
        <v>1.8794573935E-5</v>
      </c>
      <c r="D29">
        <v>0</v>
      </c>
      <c r="E29">
        <v>1.8794573935E-5</v>
      </c>
      <c r="F29">
        <v>100</v>
      </c>
      <c r="G29">
        <v>4.6723927965729173</v>
      </c>
      <c r="H29">
        <f t="shared" si="0"/>
        <v>0.66953934570824125</v>
      </c>
      <c r="K29" s="2" t="s">
        <v>267</v>
      </c>
      <c r="L29" s="1" t="s">
        <v>398</v>
      </c>
      <c r="N29">
        <f t="shared" si="3"/>
        <v>1.0004237150888069</v>
      </c>
      <c r="O29">
        <f t="shared" si="5"/>
        <v>5.0369732899999999E-7</v>
      </c>
      <c r="Y29">
        <f t="shared" si="1"/>
        <v>-5.3955068608180685</v>
      </c>
      <c r="Z29">
        <f t="shared" si="2"/>
        <v>-4.7259675151098275</v>
      </c>
    </row>
    <row r="30" spans="1:26" x14ac:dyDescent="0.2">
      <c r="A30" t="s">
        <v>50</v>
      </c>
      <c r="B30">
        <v>1.017747470025709E-5</v>
      </c>
      <c r="C30">
        <v>1.8794573935E-5</v>
      </c>
      <c r="D30">
        <v>0</v>
      </c>
      <c r="E30">
        <v>1.8794573935E-5</v>
      </c>
      <c r="F30">
        <v>100</v>
      </c>
      <c r="G30">
        <v>1.8466834345975069</v>
      </c>
      <c r="H30">
        <f t="shared" si="0"/>
        <v>0.26639245343120888</v>
      </c>
      <c r="K30" s="2" t="s">
        <v>114</v>
      </c>
      <c r="L30" s="1" t="s">
        <v>399</v>
      </c>
      <c r="N30">
        <f t="shared" si="3"/>
        <v>1.000423714753889</v>
      </c>
      <c r="O30">
        <f t="shared" si="5"/>
        <v>4.1507311819999997E-6</v>
      </c>
      <c r="U30" s="3" t="s">
        <v>378</v>
      </c>
      <c r="Y30">
        <f t="shared" si="1"/>
        <v>-4.9923599685410363</v>
      </c>
      <c r="Z30">
        <f t="shared" si="2"/>
        <v>-4.7259675151098275</v>
      </c>
    </row>
    <row r="31" spans="1:26" x14ac:dyDescent="0.2">
      <c r="A31" t="s">
        <v>18</v>
      </c>
      <c r="B31">
        <v>3.347229587197548E-5</v>
      </c>
      <c r="C31">
        <v>1.8794573935E-5</v>
      </c>
      <c r="D31">
        <v>0</v>
      </c>
      <c r="E31">
        <v>1.8794573935E-5</v>
      </c>
      <c r="F31">
        <v>100</v>
      </c>
      <c r="G31">
        <v>0.56149640905677067</v>
      </c>
      <c r="H31">
        <f t="shared" si="0"/>
        <v>-0.25065301684119862</v>
      </c>
      <c r="K31" s="2" t="s">
        <v>98</v>
      </c>
      <c r="L31" s="1" t="s">
        <v>400</v>
      </c>
      <c r="N31">
        <f t="shared" si="3"/>
        <v>1.000423714604932</v>
      </c>
      <c r="O31">
        <f t="shared" si="5"/>
        <v>8.1949521830000002E-6</v>
      </c>
      <c r="Y31">
        <f t="shared" si="1"/>
        <v>-4.4753144982686281</v>
      </c>
      <c r="Z31">
        <f t="shared" si="2"/>
        <v>-4.7259675151098275</v>
      </c>
    </row>
    <row r="32" spans="1:26" x14ac:dyDescent="0.2">
      <c r="A32" t="s">
        <v>12</v>
      </c>
      <c r="B32">
        <v>1.431510487258141E-5</v>
      </c>
      <c r="C32">
        <v>1.8794573935E-5</v>
      </c>
      <c r="D32">
        <v>0</v>
      </c>
      <c r="E32">
        <v>1.8794573935E-5</v>
      </c>
      <c r="F32">
        <v>100</v>
      </c>
      <c r="G32">
        <v>1.31291905314633</v>
      </c>
      <c r="H32">
        <f t="shared" si="0"/>
        <v>0.11823795087579152</v>
      </c>
      <c r="K32" s="2"/>
      <c r="L32" s="1"/>
      <c r="Y32">
        <f t="shared" si="1"/>
        <v>-4.8442054659856186</v>
      </c>
      <c r="Z32">
        <f t="shared" si="2"/>
        <v>-4.7259675151098275</v>
      </c>
    </row>
    <row r="33" spans="1:26" x14ac:dyDescent="0.2">
      <c r="A33" t="s">
        <v>20</v>
      </c>
      <c r="B33">
        <v>1.8503497250297242E-5</v>
      </c>
      <c r="C33">
        <v>1.8794573935E-5</v>
      </c>
      <c r="D33">
        <v>0</v>
      </c>
      <c r="E33">
        <v>1.8794573935E-5</v>
      </c>
      <c r="F33">
        <v>100</v>
      </c>
      <c r="G33">
        <v>1.015730901070504</v>
      </c>
      <c r="H33">
        <f t="shared" si="0"/>
        <v>6.7786649756367608E-3</v>
      </c>
      <c r="U33" s="15" t="s">
        <v>379</v>
      </c>
      <c r="Y33">
        <f t="shared" si="1"/>
        <v>-4.7327461800854635</v>
      </c>
      <c r="Z33">
        <f t="shared" si="2"/>
        <v>-4.7259675151098275</v>
      </c>
    </row>
    <row r="34" spans="1:26" x14ac:dyDescent="0.2">
      <c r="A34" t="s">
        <v>21</v>
      </c>
      <c r="B34">
        <v>2.4017962844023299E-5</v>
      </c>
      <c r="C34">
        <v>1.8794573935E-5</v>
      </c>
      <c r="D34">
        <v>0</v>
      </c>
      <c r="E34">
        <v>1.8794573935E-5</v>
      </c>
      <c r="F34">
        <v>100</v>
      </c>
      <c r="G34">
        <v>0.78252156758902225</v>
      </c>
      <c r="H34">
        <f t="shared" si="0"/>
        <v>-0.10650368374212928</v>
      </c>
      <c r="K34" s="2"/>
      <c r="U34" s="15"/>
      <c r="Y34">
        <f t="shared" si="1"/>
        <v>-4.6194638313676979</v>
      </c>
      <c r="Z34">
        <f t="shared" si="2"/>
        <v>-4.7259675151098275</v>
      </c>
    </row>
    <row r="35" spans="1:26" x14ac:dyDescent="0.2">
      <c r="A35" t="s">
        <v>57</v>
      </c>
      <c r="B35">
        <v>2.4166010723320329E-5</v>
      </c>
      <c r="C35">
        <v>1.8794573935E-5</v>
      </c>
      <c r="D35">
        <v>0</v>
      </c>
      <c r="E35">
        <v>1.8794573935E-5</v>
      </c>
      <c r="F35">
        <v>100</v>
      </c>
      <c r="G35">
        <v>0.77772761711402938</v>
      </c>
      <c r="H35">
        <f t="shared" si="0"/>
        <v>-0.10917247897045905</v>
      </c>
      <c r="K35" s="2"/>
      <c r="U35" s="15"/>
      <c r="Y35">
        <f t="shared" si="1"/>
        <v>-4.6167950361393677</v>
      </c>
      <c r="Z35">
        <f t="shared" si="2"/>
        <v>-4.7259675151098275</v>
      </c>
    </row>
    <row r="36" spans="1:26" x14ac:dyDescent="0.2">
      <c r="A36" t="s">
        <v>59</v>
      </c>
      <c r="B36">
        <v>1.159874159869983E-5</v>
      </c>
      <c r="C36">
        <v>1.8794573935E-5</v>
      </c>
      <c r="D36">
        <v>0</v>
      </c>
      <c r="E36">
        <v>1.8794573935E-5</v>
      </c>
      <c r="F36">
        <v>100</v>
      </c>
      <c r="G36">
        <v>1.620397676339888</v>
      </c>
      <c r="H36">
        <f t="shared" si="0"/>
        <v>0.20962161173107169</v>
      </c>
      <c r="K36" s="2"/>
      <c r="M36" t="s">
        <v>417</v>
      </c>
      <c r="N36" t="s">
        <v>406</v>
      </c>
      <c r="U36" s="15"/>
      <c r="Y36">
        <f t="shared" si="1"/>
        <v>-4.9355891268408989</v>
      </c>
      <c r="Z36">
        <f t="shared" si="2"/>
        <v>-4.7259675151098275</v>
      </c>
    </row>
    <row r="37" spans="1:26" x14ac:dyDescent="0.2">
      <c r="A37" t="s">
        <v>44</v>
      </c>
      <c r="B37">
        <v>1.8173991331524889E-5</v>
      </c>
      <c r="C37">
        <v>1.8794573935E-5</v>
      </c>
      <c r="D37">
        <v>0</v>
      </c>
      <c r="E37">
        <v>1.8794573935E-5</v>
      </c>
      <c r="F37">
        <v>100</v>
      </c>
      <c r="G37">
        <v>1.0341467425704469</v>
      </c>
      <c r="H37">
        <f t="shared" si="0"/>
        <v>1.4582168319695643E-2</v>
      </c>
      <c r="K37" s="10" t="s">
        <v>17</v>
      </c>
      <c r="L37">
        <f>_xlfn.XLOOKUP(K37,A:A,G:G)</f>
        <v>0.71359624896637985</v>
      </c>
      <c r="M37">
        <f>_xlfn.XLOOKUP(K37,A:A,C:C)</f>
        <v>1.8794573935E-5</v>
      </c>
      <c r="N37">
        <f>_xlfn.XLOOKUP(K37,A:A,B:B)</f>
        <v>2.6337826133788269E-5</v>
      </c>
      <c r="U37" s="15"/>
      <c r="Y37">
        <f t="shared" si="1"/>
        <v>-4.7405496834295224</v>
      </c>
      <c r="Z37">
        <f t="shared" si="2"/>
        <v>-4.7259675151098275</v>
      </c>
    </row>
    <row r="38" spans="1:26" x14ac:dyDescent="0.2">
      <c r="A38" t="s">
        <v>47</v>
      </c>
      <c r="B38">
        <v>0</v>
      </c>
      <c r="C38">
        <v>1.8794573935E-5</v>
      </c>
      <c r="D38">
        <v>0</v>
      </c>
      <c r="E38">
        <v>1.8794573935E-5</v>
      </c>
      <c r="F38">
        <v>100</v>
      </c>
      <c r="G38" t="s">
        <v>48</v>
      </c>
      <c r="H38" t="e">
        <f t="shared" si="0"/>
        <v>#VALUE!</v>
      </c>
      <c r="K38" s="11" t="s">
        <v>14</v>
      </c>
      <c r="L38">
        <f t="shared" ref="L38:L89" si="6">_xlfn.XLOOKUP(K38,A:A,G:G)</f>
        <v>1.0705511068820741</v>
      </c>
      <c r="M38">
        <f t="shared" ref="M38:M89" si="7">_xlfn.XLOOKUP(K38,A:A,C:C)</f>
        <v>1.8794573935E-5</v>
      </c>
      <c r="N38">
        <f t="shared" ref="N38:N89" si="8">_xlfn.XLOOKUP(K38,A:A,B:B)</f>
        <v>1.7555980106113982E-5</v>
      </c>
      <c r="U38" s="15"/>
      <c r="Y38" t="e">
        <f t="shared" si="1"/>
        <v>#NUM!</v>
      </c>
      <c r="Z38">
        <f t="shared" si="2"/>
        <v>-4.7259675151098275</v>
      </c>
    </row>
    <row r="39" spans="1:26" x14ac:dyDescent="0.2">
      <c r="A39" t="s">
        <v>22</v>
      </c>
      <c r="B39">
        <v>3.4854239853689131E-5</v>
      </c>
      <c r="C39">
        <v>1.8794573935E-5</v>
      </c>
      <c r="D39">
        <v>0</v>
      </c>
      <c r="E39">
        <v>1.8794573935E-5</v>
      </c>
      <c r="F39">
        <v>100</v>
      </c>
      <c r="G39">
        <v>0.53923350541844328</v>
      </c>
      <c r="H39">
        <f t="shared" si="0"/>
        <v>-0.26822313063026165</v>
      </c>
      <c r="K39" s="10" t="s">
        <v>25</v>
      </c>
      <c r="L39">
        <f t="shared" si="6"/>
        <v>1.179046729271477</v>
      </c>
      <c r="M39">
        <f t="shared" si="7"/>
        <v>1.8794573935E-5</v>
      </c>
      <c r="N39">
        <f t="shared" si="8"/>
        <v>1.5940482652975939E-5</v>
      </c>
      <c r="Y39">
        <f t="shared" si="1"/>
        <v>-4.4577443844795654</v>
      </c>
      <c r="Z39">
        <f t="shared" si="2"/>
        <v>-4.7259675151098275</v>
      </c>
    </row>
    <row r="40" spans="1:26" x14ac:dyDescent="0.2">
      <c r="A40" t="s">
        <v>37</v>
      </c>
      <c r="B40">
        <v>2.9693381536298769E-6</v>
      </c>
      <c r="C40">
        <v>1.8794573935E-5</v>
      </c>
      <c r="D40">
        <v>0</v>
      </c>
      <c r="E40">
        <v>1.8794573935E-5</v>
      </c>
      <c r="F40">
        <v>100</v>
      </c>
      <c r="G40">
        <v>6.329549873605508</v>
      </c>
      <c r="H40">
        <f t="shared" si="0"/>
        <v>0.80137282623217776</v>
      </c>
      <c r="K40" s="11" t="s">
        <v>27</v>
      </c>
      <c r="L40">
        <f t="shared" si="6"/>
        <v>2.265007650525996</v>
      </c>
      <c r="M40">
        <f t="shared" si="7"/>
        <v>1.8794573935E-5</v>
      </c>
      <c r="N40">
        <f t="shared" si="8"/>
        <v>8.2977971092660056E-6</v>
      </c>
      <c r="Y40">
        <f t="shared" si="1"/>
        <v>-5.527340341342005</v>
      </c>
      <c r="Z40">
        <f t="shared" si="2"/>
        <v>-4.7259675151098275</v>
      </c>
    </row>
    <row r="41" spans="1:26" x14ac:dyDescent="0.2">
      <c r="A41" t="s">
        <v>40</v>
      </c>
      <c r="B41">
        <v>2.448155940947796E-5</v>
      </c>
      <c r="C41">
        <v>1.8794573935E-5</v>
      </c>
      <c r="D41">
        <v>0</v>
      </c>
      <c r="E41">
        <v>1.8794573935E-5</v>
      </c>
      <c r="F41">
        <v>100</v>
      </c>
      <c r="G41">
        <v>0.76770329947706439</v>
      </c>
      <c r="H41">
        <f t="shared" si="0"/>
        <v>-0.11480659285465668</v>
      </c>
      <c r="K41" s="10" t="s">
        <v>13</v>
      </c>
      <c r="L41">
        <f t="shared" si="6"/>
        <v>0.92885419450763007</v>
      </c>
      <c r="M41">
        <f t="shared" si="7"/>
        <v>1.8794573935E-5</v>
      </c>
      <c r="N41">
        <f t="shared" si="8"/>
        <v>2.023414874598557E-5</v>
      </c>
      <c r="U41" s="15" t="s">
        <v>380</v>
      </c>
      <c r="Y41">
        <f t="shared" si="1"/>
        <v>-4.6111609222551708</v>
      </c>
      <c r="Z41">
        <f t="shared" si="2"/>
        <v>-4.7259675151098275</v>
      </c>
    </row>
    <row r="42" spans="1:26" x14ac:dyDescent="0.2">
      <c r="A42" t="s">
        <v>49</v>
      </c>
      <c r="B42">
        <v>1.20284485816458E-5</v>
      </c>
      <c r="C42">
        <v>1.8794573935E-5</v>
      </c>
      <c r="D42">
        <v>0</v>
      </c>
      <c r="E42">
        <v>1.8794573935E-5</v>
      </c>
      <c r="F42">
        <v>100</v>
      </c>
      <c r="G42">
        <v>1.5625102279340179</v>
      </c>
      <c r="H42">
        <f t="shared" si="0"/>
        <v>0.19382286884540381</v>
      </c>
      <c r="K42" s="11" t="s">
        <v>15</v>
      </c>
      <c r="L42">
        <f t="shared" si="6"/>
        <v>0.73461281590631677</v>
      </c>
      <c r="M42">
        <f t="shared" si="7"/>
        <v>1.8794573935E-5</v>
      </c>
      <c r="N42">
        <f t="shared" si="8"/>
        <v>2.5584326230154989E-5</v>
      </c>
      <c r="U42" s="15"/>
      <c r="Y42">
        <f t="shared" si="1"/>
        <v>-4.9197903839552311</v>
      </c>
      <c r="Z42">
        <f t="shared" si="2"/>
        <v>-4.7259675151098275</v>
      </c>
    </row>
    <row r="43" spans="1:26" x14ac:dyDescent="0.2">
      <c r="A43" t="s">
        <v>30</v>
      </c>
      <c r="B43">
        <v>1.7153835017132889E-5</v>
      </c>
      <c r="C43">
        <v>1.8794573935E-5</v>
      </c>
      <c r="D43">
        <v>0</v>
      </c>
      <c r="E43">
        <v>1.8794573935E-5</v>
      </c>
      <c r="F43">
        <v>100</v>
      </c>
      <c r="G43">
        <v>1.095648519192844</v>
      </c>
      <c r="H43">
        <f t="shared" si="0"/>
        <v>3.9671256103965366E-2</v>
      </c>
      <c r="K43" s="10" t="s">
        <v>26</v>
      </c>
      <c r="L43">
        <f t="shared" si="6"/>
        <v>0.50702588562494666</v>
      </c>
      <c r="M43">
        <f t="shared" si="7"/>
        <v>1.8794573935E-5</v>
      </c>
      <c r="N43">
        <f t="shared" si="8"/>
        <v>3.7068272977491683E-5</v>
      </c>
      <c r="U43" s="15"/>
      <c r="Y43">
        <f t="shared" si="1"/>
        <v>-4.7656387712137924</v>
      </c>
      <c r="Z43">
        <f t="shared" si="2"/>
        <v>-4.7259675151098275</v>
      </c>
    </row>
    <row r="44" spans="1:26" x14ac:dyDescent="0.2">
      <c r="A44" t="s">
        <v>39</v>
      </c>
      <c r="B44">
        <v>1.4174365940076971E-5</v>
      </c>
      <c r="C44">
        <v>1.8794573935E-5</v>
      </c>
      <c r="D44">
        <v>0</v>
      </c>
      <c r="E44">
        <v>1.8794573935E-5</v>
      </c>
      <c r="F44">
        <v>100</v>
      </c>
      <c r="G44">
        <v>1.3259551795442039</v>
      </c>
      <c r="H44">
        <f t="shared" si="0"/>
        <v>0.12252884412485436</v>
      </c>
      <c r="K44" s="11" t="s">
        <v>39</v>
      </c>
      <c r="L44">
        <f t="shared" si="6"/>
        <v>1.3259551795442039</v>
      </c>
      <c r="M44">
        <f t="shared" si="7"/>
        <v>1.8794573935E-5</v>
      </c>
      <c r="N44">
        <f t="shared" si="8"/>
        <v>1.4174365940076971E-5</v>
      </c>
      <c r="Y44">
        <f t="shared" si="1"/>
        <v>-4.848496359234681</v>
      </c>
      <c r="Z44">
        <f t="shared" si="2"/>
        <v>-4.7259675151098275</v>
      </c>
    </row>
    <row r="45" spans="1:26" x14ac:dyDescent="0.2">
      <c r="A45" t="s">
        <v>27</v>
      </c>
      <c r="B45">
        <v>8.2977971092660056E-6</v>
      </c>
      <c r="C45">
        <v>1.8794573935E-5</v>
      </c>
      <c r="D45">
        <v>0</v>
      </c>
      <c r="E45">
        <v>1.8794573935E-5</v>
      </c>
      <c r="F45">
        <v>100</v>
      </c>
      <c r="G45">
        <v>2.265007650525996</v>
      </c>
      <c r="H45">
        <f t="shared" si="0"/>
        <v>0.35506967326965083</v>
      </c>
      <c r="K45" s="10" t="s">
        <v>60</v>
      </c>
      <c r="L45">
        <f t="shared" si="6"/>
        <v>0.46038004961068191</v>
      </c>
      <c r="M45">
        <f t="shared" si="7"/>
        <v>1.8794573935E-5</v>
      </c>
      <c r="N45">
        <f t="shared" si="8"/>
        <v>4.0824040813439983E-5</v>
      </c>
      <c r="Y45">
        <f t="shared" si="1"/>
        <v>-5.0810371883794776</v>
      </c>
      <c r="Z45">
        <f t="shared" si="2"/>
        <v>-4.7259675151098275</v>
      </c>
    </row>
    <row r="46" spans="1:26" x14ac:dyDescent="0.2">
      <c r="A46" t="s">
        <v>26</v>
      </c>
      <c r="B46">
        <v>3.7068272977491683E-5</v>
      </c>
      <c r="C46">
        <v>1.8794573935E-5</v>
      </c>
      <c r="D46">
        <v>0</v>
      </c>
      <c r="E46">
        <v>1.8794573935E-5</v>
      </c>
      <c r="F46">
        <v>100</v>
      </c>
      <c r="G46">
        <v>0.50702588562494666</v>
      </c>
      <c r="H46">
        <f t="shared" si="0"/>
        <v>-0.29496986769408656</v>
      </c>
      <c r="K46" s="11" t="s">
        <v>49</v>
      </c>
      <c r="L46">
        <f t="shared" si="6"/>
        <v>1.5625102279340179</v>
      </c>
      <c r="M46">
        <f t="shared" si="7"/>
        <v>1.8794573935E-5</v>
      </c>
      <c r="N46">
        <f t="shared" si="8"/>
        <v>1.20284485816458E-5</v>
      </c>
      <c r="U46" s="15" t="s">
        <v>381</v>
      </c>
      <c r="Y46">
        <f t="shared" si="1"/>
        <v>-4.4309976474157402</v>
      </c>
      <c r="Z46">
        <f t="shared" si="2"/>
        <v>-4.7259675151098275</v>
      </c>
    </row>
    <row r="47" spans="1:26" x14ac:dyDescent="0.2">
      <c r="A47" t="s">
        <v>52</v>
      </c>
      <c r="B47">
        <v>1.8709665821546599E-5</v>
      </c>
      <c r="C47">
        <v>1.8794573935E-5</v>
      </c>
      <c r="D47">
        <v>0</v>
      </c>
      <c r="E47">
        <v>1.8794573935E-5</v>
      </c>
      <c r="F47">
        <v>100</v>
      </c>
      <c r="G47">
        <v>1.004538195083934</v>
      </c>
      <c r="H47">
        <f t="shared" si="0"/>
        <v>1.9664543732944985E-3</v>
      </c>
      <c r="K47" s="10" t="s">
        <v>41</v>
      </c>
      <c r="L47">
        <f t="shared" si="6"/>
        <v>0.83780843858196408</v>
      </c>
      <c r="M47">
        <f t="shared" si="7"/>
        <v>1.8794573935E-5</v>
      </c>
      <c r="N47">
        <f t="shared" si="8"/>
        <v>2.243302056829462E-5</v>
      </c>
      <c r="U47" s="15"/>
      <c r="Y47">
        <f t="shared" si="1"/>
        <v>-4.7279339694831215</v>
      </c>
      <c r="Z47">
        <f t="shared" si="2"/>
        <v>-4.7259675151098275</v>
      </c>
    </row>
    <row r="48" spans="1:26" x14ac:dyDescent="0.2">
      <c r="A48" t="s">
        <v>53</v>
      </c>
      <c r="B48">
        <v>2.3553569790335719E-5</v>
      </c>
      <c r="C48">
        <v>1.8794573935E-5</v>
      </c>
      <c r="D48">
        <v>0</v>
      </c>
      <c r="E48">
        <v>1.8794573935E-5</v>
      </c>
      <c r="F48">
        <v>100</v>
      </c>
      <c r="G48">
        <v>0.79795012400674881</v>
      </c>
      <c r="H48">
        <f t="shared" si="0"/>
        <v>-9.8024253443245848E-2</v>
      </c>
      <c r="K48" s="11" t="s">
        <v>42</v>
      </c>
      <c r="L48">
        <f t="shared" si="6"/>
        <v>0.93659902257515348</v>
      </c>
      <c r="M48">
        <f t="shared" si="7"/>
        <v>1.8794573935E-5</v>
      </c>
      <c r="N48">
        <f t="shared" si="8"/>
        <v>2.0066830609458499E-5</v>
      </c>
      <c r="U48" s="15"/>
      <c r="Y48">
        <f t="shared" si="1"/>
        <v>-4.627943261666581</v>
      </c>
      <c r="Z48">
        <f t="shared" si="2"/>
        <v>-4.7259675151098275</v>
      </c>
    </row>
    <row r="49" spans="1:26" x14ac:dyDescent="0.2">
      <c r="A49" t="s">
        <v>55</v>
      </c>
      <c r="B49">
        <v>1.9888491439317389E-5</v>
      </c>
      <c r="C49">
        <v>1.8794573935E-5</v>
      </c>
      <c r="D49">
        <v>0</v>
      </c>
      <c r="E49">
        <v>1.8794573935E-5</v>
      </c>
      <c r="F49">
        <v>100</v>
      </c>
      <c r="G49">
        <v>0.94499746209233182</v>
      </c>
      <c r="H49">
        <f t="shared" si="0"/>
        <v>-2.4569357840764475E-2</v>
      </c>
      <c r="K49" s="10" t="s">
        <v>43</v>
      </c>
      <c r="L49">
        <f t="shared" si="6"/>
        <v>4.6723927965729173</v>
      </c>
      <c r="M49">
        <f t="shared" si="7"/>
        <v>1.8794573935E-5</v>
      </c>
      <c r="N49">
        <f t="shared" si="8"/>
        <v>4.0224730139951734E-6</v>
      </c>
      <c r="U49" s="15"/>
      <c r="Y49">
        <f t="shared" si="1"/>
        <v>-4.7013981572690628</v>
      </c>
      <c r="Z49">
        <f t="shared" si="2"/>
        <v>-4.7259675151098275</v>
      </c>
    </row>
    <row r="50" spans="1:26" x14ac:dyDescent="0.2">
      <c r="A50" t="s">
        <v>58</v>
      </c>
      <c r="B50">
        <v>2.1265809535522229E-5</v>
      </c>
      <c r="C50">
        <v>1.8794573935E-5</v>
      </c>
      <c r="D50">
        <v>0</v>
      </c>
      <c r="E50">
        <v>1.8794573935E-5</v>
      </c>
      <c r="F50">
        <v>100</v>
      </c>
      <c r="G50">
        <v>0.88379301543191691</v>
      </c>
      <c r="H50">
        <f t="shared" si="0"/>
        <v>-5.36494349658087E-2</v>
      </c>
      <c r="K50" s="11" t="s">
        <v>44</v>
      </c>
      <c r="L50">
        <f t="shared" si="6"/>
        <v>1.0341467425704469</v>
      </c>
      <c r="M50">
        <f t="shared" si="7"/>
        <v>1.8794573935E-5</v>
      </c>
      <c r="N50">
        <f t="shared" si="8"/>
        <v>1.8173991331524889E-5</v>
      </c>
      <c r="Y50">
        <f t="shared" si="1"/>
        <v>-4.6723180801440183</v>
      </c>
      <c r="Z50">
        <f t="shared" si="2"/>
        <v>-4.7259675151098275</v>
      </c>
    </row>
    <row r="51" spans="1:26" x14ac:dyDescent="0.2">
      <c r="A51" t="s">
        <v>416</v>
      </c>
      <c r="B51">
        <v>3.1141859353631277E-5</v>
      </c>
      <c r="C51">
        <v>1.8794573935E-5</v>
      </c>
      <c r="D51">
        <v>0</v>
      </c>
      <c r="E51">
        <v>1.8794573935E-5</v>
      </c>
      <c r="F51">
        <v>100</v>
      </c>
      <c r="G51">
        <v>0.60351482939982082</v>
      </c>
      <c r="H51">
        <f t="shared" si="0"/>
        <v>-0.2193120540713768</v>
      </c>
      <c r="K51" s="10" t="s">
        <v>45</v>
      </c>
      <c r="L51">
        <f t="shared" si="6"/>
        <v>1.0272335592568449</v>
      </c>
      <c r="M51">
        <f t="shared" si="7"/>
        <v>1.8794573935E-5</v>
      </c>
      <c r="N51">
        <f t="shared" si="8"/>
        <v>1.8296300549796079E-5</v>
      </c>
      <c r="Y51">
        <f t="shared" si="1"/>
        <v>-4.5066554610384504</v>
      </c>
      <c r="Z51">
        <f t="shared" si="2"/>
        <v>-4.7259675151098275</v>
      </c>
    </row>
    <row r="52" spans="1:26" x14ac:dyDescent="0.2">
      <c r="A52" t="s">
        <v>61</v>
      </c>
      <c r="B52">
        <v>9.9514291476037482E-6</v>
      </c>
      <c r="C52">
        <v>1.8794573935E-5</v>
      </c>
      <c r="D52">
        <v>0</v>
      </c>
      <c r="E52">
        <v>1.8794573935E-5</v>
      </c>
      <c r="F52">
        <v>100</v>
      </c>
      <c r="G52">
        <v>1.888630633472945</v>
      </c>
      <c r="H52">
        <f t="shared" si="0"/>
        <v>0.27614702963710952</v>
      </c>
      <c r="K52" s="11" t="s">
        <v>46</v>
      </c>
      <c r="L52">
        <f t="shared" si="6"/>
        <v>0.77634760728133179</v>
      </c>
      <c r="M52">
        <f t="shared" si="7"/>
        <v>1.8794573935E-5</v>
      </c>
      <c r="N52">
        <f t="shared" si="8"/>
        <v>2.4208967424806201E-5</v>
      </c>
      <c r="Y52">
        <f t="shared" si="1"/>
        <v>-5.0021145447469371</v>
      </c>
      <c r="Z52">
        <f t="shared" si="2"/>
        <v>-4.7259675151098275</v>
      </c>
    </row>
    <row r="53" spans="1:26" x14ac:dyDescent="0.2">
      <c r="A53" t="s">
        <v>15</v>
      </c>
      <c r="B53">
        <v>2.5584326230154989E-5</v>
      </c>
      <c r="C53">
        <v>1.8794573935E-5</v>
      </c>
      <c r="D53">
        <v>0</v>
      </c>
      <c r="E53">
        <v>1.8794573935E-5</v>
      </c>
      <c r="F53">
        <v>100</v>
      </c>
      <c r="G53">
        <v>0.73461281590631677</v>
      </c>
      <c r="H53">
        <f t="shared" si="0"/>
        <v>-0.13394149931111288</v>
      </c>
      <c r="K53" s="10" t="s">
        <v>54</v>
      </c>
      <c r="L53">
        <f t="shared" si="6"/>
        <v>2.5843799248096988</v>
      </c>
      <c r="M53">
        <f t="shared" si="7"/>
        <v>1.8794573935E-5</v>
      </c>
      <c r="N53">
        <f t="shared" si="8"/>
        <v>7.2723726703549367E-6</v>
      </c>
      <c r="Y53">
        <f t="shared" si="1"/>
        <v>-4.5920260157987141</v>
      </c>
      <c r="Z53">
        <f t="shared" si="2"/>
        <v>-4.7259675151098275</v>
      </c>
    </row>
    <row r="54" spans="1:26" x14ac:dyDescent="0.2">
      <c r="A54" t="s">
        <v>46</v>
      </c>
      <c r="B54">
        <v>2.4208967424806201E-5</v>
      </c>
      <c r="C54">
        <v>1.8794573935E-5</v>
      </c>
      <c r="D54">
        <v>0</v>
      </c>
      <c r="E54">
        <v>1.8794573935E-5</v>
      </c>
      <c r="F54">
        <v>100</v>
      </c>
      <c r="G54">
        <v>0.77634760728133179</v>
      </c>
      <c r="H54">
        <f t="shared" si="0"/>
        <v>-0.10994378116154425</v>
      </c>
      <c r="K54" s="11" t="s">
        <v>56</v>
      </c>
      <c r="L54">
        <f t="shared" si="6"/>
        <v>2.3664085117414362</v>
      </c>
      <c r="M54">
        <f t="shared" si="7"/>
        <v>1.8794573935E-5</v>
      </c>
      <c r="N54">
        <f t="shared" si="8"/>
        <v>7.9422356037627257E-6</v>
      </c>
      <c r="U54" s="15" t="s">
        <v>382</v>
      </c>
      <c r="Y54">
        <f t="shared" si="1"/>
        <v>-4.6160237339482828</v>
      </c>
      <c r="Z54">
        <f t="shared" si="2"/>
        <v>-4.7259675151098275</v>
      </c>
    </row>
    <row r="55" spans="1:26" x14ac:dyDescent="0.2">
      <c r="A55" t="s">
        <v>38</v>
      </c>
      <c r="B55">
        <v>1.970975696184218E-5</v>
      </c>
      <c r="C55">
        <v>1.8794573935E-5</v>
      </c>
      <c r="D55">
        <v>0</v>
      </c>
      <c r="E55">
        <v>1.8794573935E-5</v>
      </c>
      <c r="F55">
        <v>100</v>
      </c>
      <c r="G55">
        <v>0.95356700599535738</v>
      </c>
      <c r="H55">
        <f t="shared" si="0"/>
        <v>-2.0648784199945546E-2</v>
      </c>
      <c r="K55" s="10" t="s">
        <v>57</v>
      </c>
      <c r="L55">
        <f t="shared" si="6"/>
        <v>0.77772761711402938</v>
      </c>
      <c r="M55">
        <f t="shared" si="7"/>
        <v>1.8794573935E-5</v>
      </c>
      <c r="N55">
        <f t="shared" si="8"/>
        <v>2.4166010723320329E-5</v>
      </c>
      <c r="U55" s="15"/>
      <c r="Y55">
        <f t="shared" si="1"/>
        <v>-4.7053187309098812</v>
      </c>
      <c r="Z55">
        <f t="shared" si="2"/>
        <v>-4.7259675151098275</v>
      </c>
    </row>
    <row r="56" spans="1:26" x14ac:dyDescent="0.2">
      <c r="A56" t="s">
        <v>13</v>
      </c>
      <c r="B56">
        <v>2.023414874598557E-5</v>
      </c>
      <c r="C56">
        <v>1.8794573935E-5</v>
      </c>
      <c r="D56">
        <v>0</v>
      </c>
      <c r="E56">
        <v>1.8794573935E-5</v>
      </c>
      <c r="F56">
        <v>100</v>
      </c>
      <c r="G56">
        <v>0.92885419450763007</v>
      </c>
      <c r="H56">
        <f t="shared" si="0"/>
        <v>-3.2052453380401531E-2</v>
      </c>
      <c r="K56" s="11" t="s">
        <v>59</v>
      </c>
      <c r="L56">
        <f t="shared" si="6"/>
        <v>1.620397676339888</v>
      </c>
      <c r="M56">
        <f t="shared" si="7"/>
        <v>1.8794573935E-5</v>
      </c>
      <c r="N56">
        <f t="shared" si="8"/>
        <v>1.159874159869983E-5</v>
      </c>
      <c r="U56" s="15"/>
      <c r="Y56">
        <f t="shared" si="1"/>
        <v>-4.6939150617294256</v>
      </c>
      <c r="Z56">
        <f t="shared" si="2"/>
        <v>-4.7259675151098275</v>
      </c>
    </row>
    <row r="57" spans="1:26" x14ac:dyDescent="0.2">
      <c r="A57" t="s">
        <v>54</v>
      </c>
      <c r="B57">
        <v>7.2723726703549367E-6</v>
      </c>
      <c r="C57">
        <v>1.8794573935E-5</v>
      </c>
      <c r="D57">
        <v>0</v>
      </c>
      <c r="E57">
        <v>1.8794573935E-5</v>
      </c>
      <c r="F57">
        <v>100</v>
      </c>
      <c r="G57">
        <v>2.5843799248096988</v>
      </c>
      <c r="H57">
        <f t="shared" si="0"/>
        <v>0.41235635882756744</v>
      </c>
      <c r="K57" s="10" t="s">
        <v>62</v>
      </c>
      <c r="L57">
        <f t="shared" si="6"/>
        <v>0.69672414119529436</v>
      </c>
      <c r="M57">
        <f t="shared" si="7"/>
        <v>1.8794573935E-5</v>
      </c>
      <c r="N57">
        <f t="shared" si="8"/>
        <v>2.6975631851590762E-5</v>
      </c>
      <c r="Y57">
        <f t="shared" si="1"/>
        <v>-5.1383238739373942</v>
      </c>
      <c r="Z57">
        <f t="shared" si="2"/>
        <v>-4.7259675151098275</v>
      </c>
    </row>
    <row r="58" spans="1:26" x14ac:dyDescent="0.2">
      <c r="A58" t="s">
        <v>19</v>
      </c>
      <c r="B58">
        <v>1.5432907206250031E-5</v>
      </c>
      <c r="C58">
        <v>1.8794573935E-5</v>
      </c>
      <c r="D58">
        <v>0</v>
      </c>
      <c r="E58">
        <v>1.8794573935E-5</v>
      </c>
      <c r="F58">
        <v>100</v>
      </c>
      <c r="G58">
        <v>1.2178245928536751</v>
      </c>
      <c r="H58">
        <f t="shared" si="0"/>
        <v>8.5584739986858782E-2</v>
      </c>
      <c r="K58" s="11" t="s">
        <v>40</v>
      </c>
      <c r="L58">
        <f t="shared" si="6"/>
        <v>0.76770329947706439</v>
      </c>
      <c r="M58">
        <f t="shared" si="7"/>
        <v>1.8794573935E-5</v>
      </c>
      <c r="N58">
        <f t="shared" si="8"/>
        <v>2.448155940947796E-5</v>
      </c>
      <c r="U58" s="3" t="s">
        <v>383</v>
      </c>
      <c r="Y58">
        <f t="shared" si="1"/>
        <v>-4.8115522550966858</v>
      </c>
      <c r="Z58">
        <f t="shared" si="2"/>
        <v>-4.7259675151098275</v>
      </c>
    </row>
    <row r="59" spans="1:26" x14ac:dyDescent="0.2">
      <c r="A59" t="s">
        <v>62</v>
      </c>
      <c r="B59">
        <v>2.6975631851590762E-5</v>
      </c>
      <c r="C59">
        <v>1.8794573935E-5</v>
      </c>
      <c r="D59">
        <v>0</v>
      </c>
      <c r="E59">
        <v>1.8794573935E-5</v>
      </c>
      <c r="F59">
        <v>100</v>
      </c>
      <c r="G59">
        <v>0.69672414119529436</v>
      </c>
      <c r="H59">
        <f t="shared" si="0"/>
        <v>-0.15693914108555271</v>
      </c>
      <c r="K59" s="10" t="s">
        <v>37</v>
      </c>
      <c r="L59">
        <f t="shared" si="6"/>
        <v>6.329549873605508</v>
      </c>
      <c r="M59">
        <f t="shared" si="7"/>
        <v>1.8794573935E-5</v>
      </c>
      <c r="N59">
        <f t="shared" si="8"/>
        <v>2.9693381536298769E-6</v>
      </c>
      <c r="Y59">
        <f t="shared" si="1"/>
        <v>-4.5690283740242741</v>
      </c>
      <c r="Z59">
        <f t="shared" si="2"/>
        <v>-4.7259675151098275</v>
      </c>
    </row>
    <row r="60" spans="1:26" x14ac:dyDescent="0.2">
      <c r="A60" t="s">
        <v>16</v>
      </c>
      <c r="B60">
        <v>2.5367036090936612E-5</v>
      </c>
      <c r="C60">
        <v>1.8794573935E-5</v>
      </c>
      <c r="D60">
        <v>0</v>
      </c>
      <c r="E60">
        <v>1.8794573935E-5</v>
      </c>
      <c r="F60">
        <v>100</v>
      </c>
      <c r="G60">
        <v>0.740905396579426</v>
      </c>
      <c r="H60">
        <f t="shared" si="0"/>
        <v>-0.13023724190792524</v>
      </c>
      <c r="K60" s="11" t="s">
        <v>22</v>
      </c>
      <c r="L60">
        <f t="shared" si="6"/>
        <v>0.53923350541844328</v>
      </c>
      <c r="M60">
        <f t="shared" si="7"/>
        <v>1.8794573935E-5</v>
      </c>
      <c r="N60">
        <f t="shared" si="8"/>
        <v>3.4854239853689131E-5</v>
      </c>
      <c r="Y60">
        <f t="shared" si="1"/>
        <v>-4.5957302732019016</v>
      </c>
      <c r="Z60">
        <f t="shared" si="2"/>
        <v>-4.7259675151098275</v>
      </c>
    </row>
    <row r="61" spans="1:26" x14ac:dyDescent="0.2">
      <c r="A61" t="s">
        <v>60</v>
      </c>
      <c r="B61">
        <v>4.0824040813439983E-5</v>
      </c>
      <c r="C61">
        <v>1.8794573935E-5</v>
      </c>
      <c r="D61">
        <v>0</v>
      </c>
      <c r="E61">
        <v>1.8794573935E-5</v>
      </c>
      <c r="F61">
        <v>100</v>
      </c>
      <c r="G61">
        <v>0.46038004961068191</v>
      </c>
      <c r="H61">
        <f t="shared" si="0"/>
        <v>-0.33688350461592725</v>
      </c>
      <c r="K61" s="10" t="s">
        <v>21</v>
      </c>
      <c r="L61">
        <f t="shared" si="6"/>
        <v>0.78252156758902225</v>
      </c>
      <c r="M61">
        <f t="shared" si="7"/>
        <v>1.8794573935E-5</v>
      </c>
      <c r="N61">
        <f t="shared" si="8"/>
        <v>2.4017962844023299E-5</v>
      </c>
      <c r="U61" s="15" t="s">
        <v>384</v>
      </c>
      <c r="Y61">
        <f t="shared" si="1"/>
        <v>-4.3890840104938995</v>
      </c>
      <c r="Z61">
        <f t="shared" si="2"/>
        <v>-4.7259675151098275</v>
      </c>
    </row>
    <row r="62" spans="1:26" x14ac:dyDescent="0.2">
      <c r="A62" t="s">
        <v>29</v>
      </c>
      <c r="B62">
        <v>1.164491927639474E-5</v>
      </c>
      <c r="C62">
        <v>1.8794573935E-5</v>
      </c>
      <c r="D62">
        <v>0</v>
      </c>
      <c r="E62">
        <v>1.8794573935E-5</v>
      </c>
      <c r="F62">
        <v>100</v>
      </c>
      <c r="G62">
        <v>1.6139720240996629</v>
      </c>
      <c r="H62">
        <f t="shared" si="0"/>
        <v>0.20789600257660823</v>
      </c>
      <c r="K62" s="11" t="s">
        <v>20</v>
      </c>
      <c r="L62">
        <f t="shared" si="6"/>
        <v>1.015730901070504</v>
      </c>
      <c r="M62">
        <f t="shared" si="7"/>
        <v>1.8794573935E-5</v>
      </c>
      <c r="N62">
        <f t="shared" si="8"/>
        <v>1.8503497250297242E-5</v>
      </c>
      <c r="U62" s="15"/>
      <c r="Y62">
        <f t="shared" si="1"/>
        <v>-4.9338635176864356</v>
      </c>
      <c r="Z62">
        <f t="shared" si="2"/>
        <v>-4.7259675151098275</v>
      </c>
    </row>
    <row r="63" spans="1:26" x14ac:dyDescent="0.2">
      <c r="A63" t="s">
        <v>23</v>
      </c>
      <c r="B63">
        <v>1.8491563183537081E-5</v>
      </c>
      <c r="C63">
        <v>1.8794573935E-5</v>
      </c>
      <c r="D63">
        <v>0</v>
      </c>
      <c r="E63">
        <v>1.8794573935E-5</v>
      </c>
      <c r="F63">
        <v>100</v>
      </c>
      <c r="G63">
        <v>1.016386432474929</v>
      </c>
      <c r="H63">
        <f t="shared" si="0"/>
        <v>7.0588591128862626E-3</v>
      </c>
      <c r="K63" s="10" t="s">
        <v>12</v>
      </c>
      <c r="L63">
        <f t="shared" si="6"/>
        <v>1.31291905314633</v>
      </c>
      <c r="M63">
        <f t="shared" si="7"/>
        <v>1.8794573935E-5</v>
      </c>
      <c r="N63">
        <f t="shared" si="8"/>
        <v>1.431510487258141E-5</v>
      </c>
      <c r="Y63">
        <f t="shared" si="1"/>
        <v>-4.7330263742227139</v>
      </c>
      <c r="Z63">
        <f t="shared" si="2"/>
        <v>-4.7259675151098275</v>
      </c>
    </row>
    <row r="64" spans="1:26" x14ac:dyDescent="0.2">
      <c r="A64" t="s">
        <v>25</v>
      </c>
      <c r="B64">
        <v>1.5940482652975939E-5</v>
      </c>
      <c r="C64">
        <v>1.8794573935E-5</v>
      </c>
      <c r="D64">
        <v>0</v>
      </c>
      <c r="E64">
        <v>1.8794573935E-5</v>
      </c>
      <c r="F64">
        <v>100</v>
      </c>
      <c r="G64">
        <v>1.179046729271477</v>
      </c>
      <c r="H64">
        <f t="shared" si="0"/>
        <v>7.1531017870812841E-2</v>
      </c>
      <c r="K64" s="11" t="s">
        <v>18</v>
      </c>
      <c r="L64">
        <f t="shared" si="6"/>
        <v>0.56149640905677067</v>
      </c>
      <c r="M64">
        <f t="shared" si="7"/>
        <v>1.8794573935E-5</v>
      </c>
      <c r="N64">
        <f t="shared" si="8"/>
        <v>3.347229587197548E-5</v>
      </c>
      <c r="U64" s="3" t="s">
        <v>385</v>
      </c>
      <c r="Y64">
        <f t="shared" si="1"/>
        <v>-4.7974985329806401</v>
      </c>
      <c r="Z64">
        <f t="shared" si="2"/>
        <v>-4.7259675151098275</v>
      </c>
    </row>
    <row r="65" spans="1:26" x14ac:dyDescent="0.2">
      <c r="A65" t="s">
        <v>17</v>
      </c>
      <c r="B65">
        <v>2.6337826133788269E-5</v>
      </c>
      <c r="C65">
        <v>1.8794573935E-5</v>
      </c>
      <c r="D65">
        <v>0</v>
      </c>
      <c r="E65">
        <v>1.8794573935E-5</v>
      </c>
      <c r="F65">
        <v>100</v>
      </c>
      <c r="G65">
        <v>0.71359624896637985</v>
      </c>
      <c r="H65">
        <f t="shared" si="0"/>
        <v>-0.14654744150396842</v>
      </c>
      <c r="K65" s="10" t="s">
        <v>28</v>
      </c>
      <c r="L65">
        <f t="shared" si="6"/>
        <v>1.2290250428918359</v>
      </c>
      <c r="M65">
        <f t="shared" si="7"/>
        <v>1.8794573935E-5</v>
      </c>
      <c r="N65">
        <f t="shared" si="8"/>
        <v>1.5292262792934869E-5</v>
      </c>
      <c r="Y65">
        <f t="shared" si="1"/>
        <v>-4.579420073605859</v>
      </c>
      <c r="Z65">
        <f t="shared" si="2"/>
        <v>-4.7259675151098275</v>
      </c>
    </row>
    <row r="66" spans="1:26" x14ac:dyDescent="0.2">
      <c r="A66" t="s">
        <v>71</v>
      </c>
      <c r="B66">
        <v>1.8054445909907452E-5</v>
      </c>
      <c r="C66">
        <v>1.8124364147E-5</v>
      </c>
      <c r="D66">
        <v>0</v>
      </c>
      <c r="E66">
        <v>1.8124364147E-5</v>
      </c>
      <c r="F66">
        <v>100</v>
      </c>
      <c r="G66">
        <v>1.003872632671279</v>
      </c>
      <c r="H66">
        <f t="shared" si="0"/>
        <v>1.6786147642217813E-3</v>
      </c>
      <c r="K66" s="11" t="s">
        <v>64</v>
      </c>
      <c r="L66">
        <f t="shared" si="6"/>
        <v>0.40911614487078801</v>
      </c>
      <c r="M66">
        <f t="shared" si="7"/>
        <v>1.8794573935E-5</v>
      </c>
      <c r="N66">
        <f t="shared" si="8"/>
        <v>4.5939457952547752E-5</v>
      </c>
      <c r="Y66">
        <f t="shared" si="1"/>
        <v>-4.7434158355097784</v>
      </c>
      <c r="Z66">
        <f t="shared" si="2"/>
        <v>-4.7417372207455566</v>
      </c>
    </row>
    <row r="67" spans="1:26" x14ac:dyDescent="0.2">
      <c r="A67" t="s">
        <v>70</v>
      </c>
      <c r="B67">
        <v>1.0516543579352531E-5</v>
      </c>
      <c r="C67">
        <v>1.8028424532999999E-5</v>
      </c>
      <c r="D67">
        <v>0</v>
      </c>
      <c r="E67">
        <v>1.8028424532999999E-5</v>
      </c>
      <c r="F67">
        <v>100</v>
      </c>
      <c r="G67">
        <v>1.7142918105142251</v>
      </c>
      <c r="H67">
        <f t="shared" ref="H67:H130" si="9">LOG(G67)</f>
        <v>0.23408475043969015</v>
      </c>
      <c r="K67" s="10" t="s">
        <v>63</v>
      </c>
      <c r="L67">
        <f t="shared" si="6"/>
        <v>2.0435622626368399</v>
      </c>
      <c r="M67">
        <f t="shared" si="7"/>
        <v>1.8794573935E-5</v>
      </c>
      <c r="N67">
        <f t="shared" si="8"/>
        <v>9.1969666296093531E-6</v>
      </c>
      <c r="U67" s="3" t="s">
        <v>386</v>
      </c>
      <c r="Y67">
        <f t="shared" ref="Y67:Y130" si="10">LOG(B67)</f>
        <v>-4.978126974162091</v>
      </c>
      <c r="Z67">
        <f t="shared" ref="Z67:Z130" si="11">LOG(C67)</f>
        <v>-4.7440422237224009</v>
      </c>
    </row>
    <row r="68" spans="1:26" x14ac:dyDescent="0.2">
      <c r="A68" t="s">
        <v>77</v>
      </c>
      <c r="B68">
        <v>3.4334803678130349E-7</v>
      </c>
      <c r="C68">
        <v>1.7546052719000001E-5</v>
      </c>
      <c r="D68">
        <v>0</v>
      </c>
      <c r="E68">
        <v>1.7546052719000001E-5</v>
      </c>
      <c r="F68">
        <v>100</v>
      </c>
      <c r="G68">
        <v>51.102819411709667</v>
      </c>
      <c r="H68">
        <f t="shared" si="9"/>
        <v>1.7084448614100489</v>
      </c>
      <c r="K68" s="11" t="s">
        <v>24</v>
      </c>
      <c r="L68">
        <f t="shared" si="6"/>
        <v>0.77875492282448033</v>
      </c>
      <c r="M68">
        <f t="shared" si="7"/>
        <v>1.8794573935E-5</v>
      </c>
      <c r="N68">
        <f t="shared" si="8"/>
        <v>2.4134131784147979E-5</v>
      </c>
      <c r="Y68">
        <f t="shared" si="10"/>
        <v>-6.4642654315011265</v>
      </c>
      <c r="Z68">
        <f t="shared" si="11"/>
        <v>-4.7558205700910774</v>
      </c>
    </row>
    <row r="69" spans="1:26" x14ac:dyDescent="0.2">
      <c r="A69" t="s">
        <v>72</v>
      </c>
      <c r="B69">
        <v>1.671617700498392E-5</v>
      </c>
      <c r="C69">
        <v>1.6780912617999999E-5</v>
      </c>
      <c r="D69">
        <v>0</v>
      </c>
      <c r="E69">
        <v>1.6780912617999999E-5</v>
      </c>
      <c r="F69">
        <v>100</v>
      </c>
      <c r="G69">
        <v>1.0038726326597751</v>
      </c>
      <c r="H69">
        <f t="shared" si="9"/>
        <v>1.6786147592449706E-3</v>
      </c>
      <c r="K69" s="10" t="s">
        <v>36</v>
      </c>
      <c r="L69">
        <f t="shared" si="6"/>
        <v>1.112291987633429</v>
      </c>
      <c r="M69">
        <f t="shared" si="7"/>
        <v>1.8794573935E-5</v>
      </c>
      <c r="N69">
        <f t="shared" si="8"/>
        <v>1.689715842958496E-5</v>
      </c>
      <c r="Y69">
        <f t="shared" si="10"/>
        <v>-4.7768630388277185</v>
      </c>
      <c r="Z69">
        <f t="shared" si="11"/>
        <v>-4.7751844240684731</v>
      </c>
    </row>
    <row r="70" spans="1:26" x14ac:dyDescent="0.2">
      <c r="A70" t="s">
        <v>73</v>
      </c>
      <c r="B70">
        <v>1.5788948042672241E-5</v>
      </c>
      <c r="C70">
        <v>1.5850092838999999E-5</v>
      </c>
      <c r="D70">
        <v>0</v>
      </c>
      <c r="E70">
        <v>1.5850092838999999E-5</v>
      </c>
      <c r="F70">
        <v>100</v>
      </c>
      <c r="G70">
        <v>1.00387263268981</v>
      </c>
      <c r="H70">
        <f t="shared" si="9"/>
        <v>1.6786147722386263E-3</v>
      </c>
      <c r="K70" s="11" t="s">
        <v>35</v>
      </c>
      <c r="L70">
        <f t="shared" si="6"/>
        <v>143.7824851574762</v>
      </c>
      <c r="M70">
        <f t="shared" si="7"/>
        <v>1.8794573935E-5</v>
      </c>
      <c r="N70">
        <f t="shared" si="8"/>
        <v>1.3071532262372181E-7</v>
      </c>
      <c r="U70" s="3" t="s">
        <v>387</v>
      </c>
      <c r="Y70">
        <f t="shared" si="10"/>
        <v>-4.8016468044110665</v>
      </c>
      <c r="Z70">
        <f t="shared" si="11"/>
        <v>-4.799968189638828</v>
      </c>
    </row>
    <row r="71" spans="1:26" x14ac:dyDescent="0.2">
      <c r="A71" t="s">
        <v>76</v>
      </c>
      <c r="B71">
        <v>1.499112849077773E-5</v>
      </c>
      <c r="C71">
        <v>1.4085827214E-5</v>
      </c>
      <c r="D71">
        <v>0</v>
      </c>
      <c r="E71">
        <v>1.4085827214E-5</v>
      </c>
      <c r="F71">
        <v>100</v>
      </c>
      <c r="G71">
        <v>0.93961086536382787</v>
      </c>
      <c r="H71">
        <f t="shared" si="9"/>
        <v>-2.705196982092066E-2</v>
      </c>
      <c r="K71" s="10" t="s">
        <v>34</v>
      </c>
      <c r="L71">
        <f t="shared" si="6"/>
        <v>0.94141400694832367</v>
      </c>
      <c r="M71">
        <f t="shared" si="7"/>
        <v>1.8794573935E-5</v>
      </c>
      <c r="N71">
        <f t="shared" si="8"/>
        <v>1.996419619453535E-5</v>
      </c>
      <c r="Y71">
        <f t="shared" si="10"/>
        <v>-4.8241656734312004</v>
      </c>
      <c r="Z71">
        <f t="shared" si="11"/>
        <v>-4.851217643252121</v>
      </c>
    </row>
    <row r="72" spans="1:26" x14ac:dyDescent="0.2">
      <c r="A72" t="s">
        <v>78</v>
      </c>
      <c r="B72">
        <v>9.9146883481267862E-6</v>
      </c>
      <c r="C72">
        <v>1.1610599978E-5</v>
      </c>
      <c r="D72">
        <v>0</v>
      </c>
      <c r="E72">
        <v>1.1610599978E-5</v>
      </c>
      <c r="F72">
        <v>100</v>
      </c>
      <c r="G72">
        <v>1.171050422396144</v>
      </c>
      <c r="H72">
        <f t="shared" si="9"/>
        <v>6.8575595069770234E-2</v>
      </c>
      <c r="K72" s="11" t="s">
        <v>33</v>
      </c>
      <c r="L72">
        <f t="shared" si="6"/>
        <v>3.9191718362796868</v>
      </c>
      <c r="M72">
        <f t="shared" si="7"/>
        <v>1.8794573935E-5</v>
      </c>
      <c r="N72">
        <f t="shared" si="8"/>
        <v>4.7955473044123879E-6</v>
      </c>
      <c r="U72" s="3" t="s">
        <v>388</v>
      </c>
      <c r="Y72">
        <f t="shared" si="10"/>
        <v>-5.0037209325747671</v>
      </c>
      <c r="Z72">
        <f t="shared" si="11"/>
        <v>-4.9351453375049967</v>
      </c>
    </row>
    <row r="73" spans="1:26" x14ac:dyDescent="0.2">
      <c r="A73" t="s">
        <v>80</v>
      </c>
      <c r="B73">
        <v>1.120256793450235E-5</v>
      </c>
      <c r="C73">
        <v>1.1207314624999999E-5</v>
      </c>
      <c r="D73">
        <v>0</v>
      </c>
      <c r="E73">
        <v>1.1207314624999999E-5</v>
      </c>
      <c r="F73">
        <v>100</v>
      </c>
      <c r="G73">
        <v>1.000423714502372</v>
      </c>
      <c r="H73">
        <f t="shared" si="9"/>
        <v>1.8397789598315921E-4</v>
      </c>
      <c r="K73" s="10" t="s">
        <v>32</v>
      </c>
      <c r="L73">
        <f t="shared" si="6"/>
        <v>2.189042441984852</v>
      </c>
      <c r="M73">
        <f t="shared" si="7"/>
        <v>1.8794573935E-5</v>
      </c>
      <c r="N73">
        <f t="shared" si="8"/>
        <v>8.5857512739490604E-6</v>
      </c>
      <c r="Y73">
        <f t="shared" si="10"/>
        <v>-4.9506824137626051</v>
      </c>
      <c r="Z73">
        <f t="shared" si="11"/>
        <v>-4.9504984358666224</v>
      </c>
    </row>
    <row r="74" spans="1:26" x14ac:dyDescent="0.2">
      <c r="A74" t="s">
        <v>75</v>
      </c>
      <c r="B74">
        <v>7.2874614947283827E-6</v>
      </c>
      <c r="C74">
        <v>1.0549542672E-5</v>
      </c>
      <c r="D74">
        <v>0</v>
      </c>
      <c r="E74">
        <v>1.0549542672E-5</v>
      </c>
      <c r="F74">
        <v>100</v>
      </c>
      <c r="G74">
        <v>1.4476292848519809</v>
      </c>
      <c r="H74">
        <f t="shared" si="9"/>
        <v>0.1606573600958576</v>
      </c>
      <c r="K74" s="11" t="s">
        <v>31</v>
      </c>
      <c r="L74">
        <f t="shared" si="6"/>
        <v>1.044160074223256</v>
      </c>
      <c r="M74">
        <f t="shared" si="7"/>
        <v>1.8794573935E-5</v>
      </c>
      <c r="N74">
        <f t="shared" si="8"/>
        <v>1.7999705599719628E-5</v>
      </c>
      <c r="Y74">
        <f t="shared" si="10"/>
        <v>-5.137423726939093</v>
      </c>
      <c r="Z74">
        <f t="shared" si="11"/>
        <v>-4.9767663668432354</v>
      </c>
    </row>
    <row r="75" spans="1:26" x14ac:dyDescent="0.2">
      <c r="A75" t="s">
        <v>85</v>
      </c>
      <c r="B75">
        <v>9.3609650129150653E-6</v>
      </c>
      <c r="C75">
        <v>1.0234540072000001E-5</v>
      </c>
      <c r="D75">
        <v>0</v>
      </c>
      <c r="E75">
        <v>1.0234540072000001E-5</v>
      </c>
      <c r="F75">
        <v>100</v>
      </c>
      <c r="G75">
        <v>1.093321047336433</v>
      </c>
      <c r="H75">
        <f t="shared" si="9"/>
        <v>3.8747708713993995E-2</v>
      </c>
      <c r="K75" s="10" t="s">
        <v>30</v>
      </c>
      <c r="L75">
        <f t="shared" si="6"/>
        <v>1.095648519192844</v>
      </c>
      <c r="M75">
        <f t="shared" si="7"/>
        <v>1.8794573935E-5</v>
      </c>
      <c r="N75">
        <f t="shared" si="8"/>
        <v>1.7153835017132889E-5</v>
      </c>
      <c r="U75" s="15" t="s">
        <v>389</v>
      </c>
      <c r="Y75">
        <f t="shared" si="10"/>
        <v>-5.0286793779519652</v>
      </c>
      <c r="Z75">
        <f t="shared" si="11"/>
        <v>-4.989931669237972</v>
      </c>
    </row>
    <row r="76" spans="1:26" x14ac:dyDescent="0.2">
      <c r="A76" t="s">
        <v>95</v>
      </c>
      <c r="B76">
        <v>9.9903708914870944E-6</v>
      </c>
      <c r="C76">
        <v>9.3379644370000007E-6</v>
      </c>
      <c r="D76">
        <v>0</v>
      </c>
      <c r="E76">
        <v>9.3379644370000007E-6</v>
      </c>
      <c r="F76">
        <v>100</v>
      </c>
      <c r="G76">
        <v>0.93469647307658854</v>
      </c>
      <c r="H76">
        <f t="shared" si="9"/>
        <v>-2.9329396045987846E-2</v>
      </c>
      <c r="K76" s="11" t="s">
        <v>29</v>
      </c>
      <c r="L76">
        <f t="shared" si="6"/>
        <v>1.6139720240996629</v>
      </c>
      <c r="M76">
        <f t="shared" si="7"/>
        <v>1.8794573935E-5</v>
      </c>
      <c r="N76">
        <f t="shared" si="8"/>
        <v>1.164491927639474E-5</v>
      </c>
      <c r="U76" s="15"/>
      <c r="Y76">
        <f t="shared" si="10"/>
        <v>-5.000418388336958</v>
      </c>
      <c r="Z76">
        <f t="shared" si="11"/>
        <v>-5.0297477843829457</v>
      </c>
    </row>
    <row r="77" spans="1:26" x14ac:dyDescent="0.2">
      <c r="A77" t="s">
        <v>86</v>
      </c>
      <c r="B77">
        <v>1.028839772270428E-5</v>
      </c>
      <c r="C77">
        <v>9.2562420579999995E-6</v>
      </c>
      <c r="D77">
        <v>0</v>
      </c>
      <c r="E77">
        <v>9.2562420579999995E-6</v>
      </c>
      <c r="F77">
        <v>100</v>
      </c>
      <c r="G77">
        <v>0.89967770565220906</v>
      </c>
      <c r="H77">
        <f t="shared" si="9"/>
        <v>-4.5913041366078731E-2</v>
      </c>
      <c r="K77" s="10" t="s">
        <v>23</v>
      </c>
      <c r="L77">
        <f t="shared" si="6"/>
        <v>1.016386432474929</v>
      </c>
      <c r="M77">
        <f t="shared" si="7"/>
        <v>1.8794573935E-5</v>
      </c>
      <c r="N77">
        <f t="shared" si="8"/>
        <v>1.8491563183537081E-5</v>
      </c>
      <c r="U77" s="15"/>
      <c r="Y77">
        <f t="shared" si="10"/>
        <v>-4.9876522553999143</v>
      </c>
      <c r="Z77">
        <f t="shared" si="11"/>
        <v>-5.0335652967659934</v>
      </c>
    </row>
    <row r="78" spans="1:26" x14ac:dyDescent="0.2">
      <c r="A78" t="s">
        <v>92</v>
      </c>
      <c r="B78">
        <v>5.6546673886133104E-6</v>
      </c>
      <c r="C78">
        <v>9.1895093659999993E-6</v>
      </c>
      <c r="D78">
        <v>0</v>
      </c>
      <c r="E78">
        <v>9.1895093659999993E-6</v>
      </c>
      <c r="F78">
        <v>100</v>
      </c>
      <c r="G78">
        <v>1.6251193455701269</v>
      </c>
      <c r="H78">
        <f t="shared" si="9"/>
        <v>0.21088526021908474</v>
      </c>
      <c r="K78" s="11" t="s">
        <v>16</v>
      </c>
      <c r="L78">
        <f t="shared" si="6"/>
        <v>0.740905396579426</v>
      </c>
      <c r="M78">
        <f t="shared" si="7"/>
        <v>1.8794573935E-5</v>
      </c>
      <c r="N78">
        <f t="shared" si="8"/>
        <v>2.5367036090936612E-5</v>
      </c>
      <c r="Y78">
        <f t="shared" si="10"/>
        <v>-5.2475929354844384</v>
      </c>
      <c r="Z78">
        <f t="shared" si="11"/>
        <v>-5.0367076752653537</v>
      </c>
    </row>
    <row r="79" spans="1:26" x14ac:dyDescent="0.2">
      <c r="A79" t="s">
        <v>82</v>
      </c>
      <c r="B79">
        <v>9.1019417352818277E-6</v>
      </c>
      <c r="C79">
        <v>9.1055572019999992E-6</v>
      </c>
      <c r="D79">
        <v>0</v>
      </c>
      <c r="E79">
        <v>9.1055572019999992E-6</v>
      </c>
      <c r="F79">
        <v>100</v>
      </c>
      <c r="G79">
        <v>1.0003972192773061</v>
      </c>
      <c r="H79">
        <f t="shared" si="9"/>
        <v>1.7247588713336989E-4</v>
      </c>
      <c r="K79" s="10" t="s">
        <v>19</v>
      </c>
      <c r="L79">
        <f t="shared" si="6"/>
        <v>1.2178245928536751</v>
      </c>
      <c r="M79">
        <f t="shared" si="7"/>
        <v>1.8794573935E-5</v>
      </c>
      <c r="N79">
        <f t="shared" si="8"/>
        <v>1.5432907206250031E-5</v>
      </c>
      <c r="Y79">
        <f t="shared" si="10"/>
        <v>-5.0408659488918737</v>
      </c>
      <c r="Z79">
        <f t="shared" si="11"/>
        <v>-5.0406934730047404</v>
      </c>
    </row>
    <row r="80" spans="1:26" x14ac:dyDescent="0.2">
      <c r="A80" t="s">
        <v>83</v>
      </c>
      <c r="B80">
        <v>9.0586173723182378E-6</v>
      </c>
      <c r="C80">
        <v>9.095271396E-6</v>
      </c>
      <c r="D80">
        <v>0</v>
      </c>
      <c r="E80">
        <v>9.095271396E-6</v>
      </c>
      <c r="F80">
        <v>100</v>
      </c>
      <c r="G80">
        <v>1.0040463154778749</v>
      </c>
      <c r="H80">
        <f t="shared" si="9"/>
        <v>1.7537467657039376E-3</v>
      </c>
      <c r="K80" s="11" t="s">
        <v>38</v>
      </c>
      <c r="L80">
        <f t="shared" si="6"/>
        <v>0.95356700599535738</v>
      </c>
      <c r="M80">
        <f t="shared" si="7"/>
        <v>1.8794573935E-5</v>
      </c>
      <c r="N80">
        <f t="shared" si="8"/>
        <v>1.970975696184218E-5</v>
      </c>
      <c r="U80" s="15" t="s">
        <v>390</v>
      </c>
      <c r="Y80">
        <f t="shared" si="10"/>
        <v>-5.0429380841549118</v>
      </c>
      <c r="Z80">
        <f t="shared" si="11"/>
        <v>-5.0411843373892076</v>
      </c>
    </row>
    <row r="81" spans="1:26" x14ac:dyDescent="0.2">
      <c r="A81" t="s">
        <v>88</v>
      </c>
      <c r="B81">
        <v>2.3109590147324012E-6</v>
      </c>
      <c r="C81">
        <v>8.3331362669999994E-6</v>
      </c>
      <c r="D81">
        <v>0</v>
      </c>
      <c r="E81">
        <v>8.3331362669999994E-6</v>
      </c>
      <c r="F81">
        <v>100</v>
      </c>
      <c r="G81">
        <v>3.6059212707261881</v>
      </c>
      <c r="H81">
        <f t="shared" si="9"/>
        <v>0.55701624039458131</v>
      </c>
      <c r="K81" s="10" t="s">
        <v>61</v>
      </c>
      <c r="L81">
        <f t="shared" si="6"/>
        <v>1.888630633472945</v>
      </c>
      <c r="M81">
        <f t="shared" si="7"/>
        <v>1.8794573935E-5</v>
      </c>
      <c r="N81">
        <f t="shared" si="8"/>
        <v>9.9514291476037482E-6</v>
      </c>
      <c r="U81" s="15"/>
      <c r="Y81">
        <f t="shared" si="10"/>
        <v>-5.6362077567421789</v>
      </c>
      <c r="Z81">
        <f t="shared" si="11"/>
        <v>-5.0791915163475974</v>
      </c>
    </row>
    <row r="82" spans="1:26" x14ac:dyDescent="0.2">
      <c r="A82" t="s">
        <v>98</v>
      </c>
      <c r="B82">
        <v>8.191481332723294E-6</v>
      </c>
      <c r="C82">
        <v>8.1949521830000002E-6</v>
      </c>
      <c r="D82">
        <v>0</v>
      </c>
      <c r="E82">
        <v>8.1949521830000002E-6</v>
      </c>
      <c r="F82">
        <v>100</v>
      </c>
      <c r="G82">
        <v>1.000423714604932</v>
      </c>
      <c r="H82">
        <f t="shared" si="9"/>
        <v>1.8397794050551938E-4</v>
      </c>
      <c r="K82" s="11" t="s">
        <v>58</v>
      </c>
      <c r="L82">
        <f t="shared" si="6"/>
        <v>0.88379301543191691</v>
      </c>
      <c r="M82">
        <f t="shared" si="7"/>
        <v>1.8794573935E-5</v>
      </c>
      <c r="N82">
        <f t="shared" si="8"/>
        <v>2.1265809535522229E-5</v>
      </c>
      <c r="U82" s="15"/>
      <c r="Y82">
        <f t="shared" si="10"/>
        <v>-5.0866375541059616</v>
      </c>
      <c r="Z82">
        <f t="shared" si="11"/>
        <v>-5.0864535761654563</v>
      </c>
    </row>
    <row r="83" spans="1:26" x14ac:dyDescent="0.2">
      <c r="A83" t="s">
        <v>97</v>
      </c>
      <c r="B83">
        <v>7.5831560396117636E-6</v>
      </c>
      <c r="C83">
        <v>7.586369134E-6</v>
      </c>
      <c r="D83">
        <v>0</v>
      </c>
      <c r="E83">
        <v>7.586369134E-6</v>
      </c>
      <c r="F83">
        <v>100</v>
      </c>
      <c r="G83">
        <v>1.000423714660684</v>
      </c>
      <c r="H83">
        <f t="shared" si="9"/>
        <v>1.8397796470808058E-4</v>
      </c>
      <c r="K83" s="10" t="s">
        <v>55</v>
      </c>
      <c r="L83">
        <f t="shared" si="6"/>
        <v>0.94499746209233182</v>
      </c>
      <c r="M83">
        <f t="shared" si="7"/>
        <v>1.8794573935E-5</v>
      </c>
      <c r="N83">
        <f t="shared" si="8"/>
        <v>1.9888491439317389E-5</v>
      </c>
      <c r="U83" s="15"/>
      <c r="Y83">
        <f t="shared" si="10"/>
        <v>-5.1201500073860977</v>
      </c>
      <c r="Z83">
        <f t="shared" si="11"/>
        <v>-5.1199660294213896</v>
      </c>
    </row>
    <row r="84" spans="1:26" x14ac:dyDescent="0.2">
      <c r="A84" t="s">
        <v>79</v>
      </c>
      <c r="B84">
        <v>4.6493206297021656E-6</v>
      </c>
      <c r="C84">
        <v>7.4904682730000001E-6</v>
      </c>
      <c r="D84">
        <v>0</v>
      </c>
      <c r="E84">
        <v>7.4904682730000001E-6</v>
      </c>
      <c r="F84">
        <v>100</v>
      </c>
      <c r="G84">
        <v>1.611088773948429</v>
      </c>
      <c r="H84">
        <f t="shared" si="9"/>
        <v>0.2071194715016022</v>
      </c>
      <c r="K84" s="11" t="s">
        <v>53</v>
      </c>
      <c r="L84">
        <f t="shared" si="6"/>
        <v>0.79795012400674881</v>
      </c>
      <c r="M84">
        <f t="shared" si="7"/>
        <v>1.8794573935E-5</v>
      </c>
      <c r="N84">
        <f t="shared" si="8"/>
        <v>2.3553569790335719E-5</v>
      </c>
      <c r="U84" s="15"/>
      <c r="Y84">
        <f t="shared" si="10"/>
        <v>-5.3326105026642292</v>
      </c>
      <c r="Z84">
        <f t="shared" si="11"/>
        <v>-5.1254910311626274</v>
      </c>
    </row>
    <row r="85" spans="1:26" x14ac:dyDescent="0.2">
      <c r="A85" t="s">
        <v>94</v>
      </c>
      <c r="B85">
        <v>6.0772838787277643E-6</v>
      </c>
      <c r="C85">
        <v>7.1168058530000001E-6</v>
      </c>
      <c r="D85">
        <v>0</v>
      </c>
      <c r="E85">
        <v>7.1168058530000001E-6</v>
      </c>
      <c r="F85">
        <v>100</v>
      </c>
      <c r="G85">
        <v>1.1710504223623419</v>
      </c>
      <c r="H85">
        <f t="shared" si="9"/>
        <v>6.8575595057234429E-2</v>
      </c>
      <c r="K85" s="10" t="s">
        <v>52</v>
      </c>
      <c r="L85">
        <f t="shared" si="6"/>
        <v>1.004538195083934</v>
      </c>
      <c r="M85">
        <f t="shared" si="7"/>
        <v>1.8794573935E-5</v>
      </c>
      <c r="N85">
        <f t="shared" si="8"/>
        <v>1.8709665821546599E-5</v>
      </c>
      <c r="U85" s="15"/>
      <c r="Y85">
        <f t="shared" si="10"/>
        <v>-5.2162904766549056</v>
      </c>
      <c r="Z85">
        <f t="shared" si="11"/>
        <v>-5.147714881597671</v>
      </c>
    </row>
    <row r="86" spans="1:26" x14ac:dyDescent="0.2">
      <c r="A86" t="s">
        <v>101</v>
      </c>
      <c r="B86">
        <v>5.7453844310403773E-6</v>
      </c>
      <c r="C86">
        <v>6.727378037E-6</v>
      </c>
      <c r="D86">
        <v>0</v>
      </c>
      <c r="E86">
        <v>6.727378037E-6</v>
      </c>
      <c r="F86">
        <v>100</v>
      </c>
      <c r="G86">
        <v>1.170918694431349</v>
      </c>
      <c r="H86">
        <f t="shared" si="9"/>
        <v>6.8526739832634881E-2</v>
      </c>
      <c r="K86" s="11" t="s">
        <v>51</v>
      </c>
      <c r="L86">
        <f t="shared" si="6"/>
        <v>0.62067162276332943</v>
      </c>
      <c r="M86">
        <f t="shared" si="7"/>
        <v>1.8794573935E-5</v>
      </c>
      <c r="N86">
        <f t="shared" si="8"/>
        <v>3.0281026626162721E-5</v>
      </c>
      <c r="Y86">
        <f t="shared" si="10"/>
        <v>-5.2406809068027185</v>
      </c>
      <c r="Z86">
        <f t="shared" si="11"/>
        <v>-5.1721541669700839</v>
      </c>
    </row>
    <row r="87" spans="1:26" x14ac:dyDescent="0.2">
      <c r="A87" t="s">
        <v>100</v>
      </c>
      <c r="B87">
        <v>6.2073538026646286E-6</v>
      </c>
      <c r="C87">
        <v>6.2151948400000001E-6</v>
      </c>
      <c r="D87">
        <v>0</v>
      </c>
      <c r="E87">
        <v>6.2151948400000001E-6</v>
      </c>
      <c r="F87">
        <v>100</v>
      </c>
      <c r="G87">
        <v>1.0012631851807781</v>
      </c>
      <c r="H87">
        <f t="shared" si="9"/>
        <v>5.4824815701461256E-4</v>
      </c>
      <c r="K87" s="10" t="s">
        <v>50</v>
      </c>
      <c r="L87">
        <f t="shared" si="6"/>
        <v>1.8466834345975069</v>
      </c>
      <c r="M87">
        <f t="shared" si="7"/>
        <v>1.8794573935E-5</v>
      </c>
      <c r="N87">
        <f t="shared" si="8"/>
        <v>1.017747470025709E-5</v>
      </c>
      <c r="Y87">
        <f t="shared" si="10"/>
        <v>-5.2070935002782255</v>
      </c>
      <c r="Z87">
        <f t="shared" si="11"/>
        <v>-5.2065452521212103</v>
      </c>
    </row>
    <row r="88" spans="1:26" x14ac:dyDescent="0.2">
      <c r="A88" t="s">
        <v>87</v>
      </c>
      <c r="B88">
        <v>2.669796863190507E-6</v>
      </c>
      <c r="C88">
        <v>5.9926422670000001E-6</v>
      </c>
      <c r="D88">
        <v>0</v>
      </c>
      <c r="E88">
        <v>5.9926422670000001E-6</v>
      </c>
      <c r="F88">
        <v>100</v>
      </c>
      <c r="G88">
        <v>2.2446060783210928</v>
      </c>
      <c r="H88">
        <f t="shared" si="9"/>
        <v>0.35114013463893484</v>
      </c>
      <c r="K88" s="11" t="s">
        <v>416</v>
      </c>
      <c r="L88">
        <f t="shared" si="6"/>
        <v>0.60351482939982082</v>
      </c>
      <c r="M88">
        <f t="shared" si="7"/>
        <v>1.8794573935E-5</v>
      </c>
      <c r="N88">
        <f t="shared" si="8"/>
        <v>3.1141859353631277E-5</v>
      </c>
      <c r="U88" s="4" t="s">
        <v>391</v>
      </c>
      <c r="Y88">
        <f t="shared" si="10"/>
        <v>-5.5735217815386431</v>
      </c>
      <c r="Z88">
        <f t="shared" si="11"/>
        <v>-5.2223816468997075</v>
      </c>
    </row>
    <row r="89" spans="1:26" x14ac:dyDescent="0.2">
      <c r="A89" t="s">
        <v>93</v>
      </c>
      <c r="B89">
        <v>4.082226103714911E-6</v>
      </c>
      <c r="C89">
        <v>5.9095500549999999E-6</v>
      </c>
      <c r="D89">
        <v>0</v>
      </c>
      <c r="E89">
        <v>5.9095500549999999E-6</v>
      </c>
      <c r="F89">
        <v>100</v>
      </c>
      <c r="G89">
        <v>1.4476292848213841</v>
      </c>
      <c r="H89">
        <f t="shared" si="9"/>
        <v>0.16065736008667841</v>
      </c>
      <c r="K89" s="10" t="s">
        <v>47</v>
      </c>
      <c r="L89" t="str">
        <f t="shared" si="6"/>
        <v>inf</v>
      </c>
      <c r="M89">
        <f t="shared" si="7"/>
        <v>1.8794573935E-5</v>
      </c>
      <c r="N89">
        <f t="shared" si="8"/>
        <v>0</v>
      </c>
      <c r="Y89">
        <f t="shared" si="10"/>
        <v>-5.3891029445302188</v>
      </c>
      <c r="Z89">
        <f t="shared" si="11"/>
        <v>-5.2284455844435405</v>
      </c>
    </row>
    <row r="90" spans="1:26" x14ac:dyDescent="0.2">
      <c r="A90" t="s">
        <v>90</v>
      </c>
      <c r="B90">
        <v>4.2598763298337833E-6</v>
      </c>
      <c r="C90">
        <v>5.7203668160000002E-6</v>
      </c>
      <c r="D90">
        <v>0</v>
      </c>
      <c r="E90">
        <v>5.7203668160000002E-6</v>
      </c>
      <c r="F90">
        <v>100</v>
      </c>
      <c r="G90">
        <v>1.3428480953631829</v>
      </c>
      <c r="H90">
        <f t="shared" si="9"/>
        <v>0.12802688751846625</v>
      </c>
      <c r="M90" s="7">
        <f>SUM(M37:M89)</f>
        <v>9.9611241855500072E-4</v>
      </c>
      <c r="N90" s="7">
        <f>SUM(N37:N89)</f>
        <v>9.9152150092675318E-4</v>
      </c>
      <c r="Y90">
        <f t="shared" si="10"/>
        <v>-5.3706030088903294</v>
      </c>
      <c r="Z90">
        <f t="shared" si="11"/>
        <v>-5.2425761213718625</v>
      </c>
    </row>
    <row r="91" spans="1:26" x14ac:dyDescent="0.2">
      <c r="A91" t="s">
        <v>102</v>
      </c>
      <c r="B91">
        <v>6.3979720480545081E-6</v>
      </c>
      <c r="C91">
        <v>5.3483490140000002E-6</v>
      </c>
      <c r="D91">
        <v>0</v>
      </c>
      <c r="E91">
        <v>5.3483490140000002E-6</v>
      </c>
      <c r="F91">
        <v>100</v>
      </c>
      <c r="G91">
        <v>0.83594441704794931</v>
      </c>
      <c r="H91">
        <f t="shared" si="9"/>
        <v>-7.782259836466017E-2</v>
      </c>
      <c r="U91" s="15" t="s">
        <v>392</v>
      </c>
      <c r="Y91">
        <f t="shared" si="10"/>
        <v>-5.1939576616264356</v>
      </c>
      <c r="Z91">
        <f t="shared" si="11"/>
        <v>-5.2717802599910959</v>
      </c>
    </row>
    <row r="92" spans="1:26" x14ac:dyDescent="0.2">
      <c r="A92" t="s">
        <v>103</v>
      </c>
      <c r="B92">
        <v>5.4731064042806382E-6</v>
      </c>
      <c r="C92">
        <v>5.3483490140000002E-6</v>
      </c>
      <c r="D92">
        <v>0</v>
      </c>
      <c r="E92">
        <v>5.3483490140000002E-6</v>
      </c>
      <c r="F92">
        <v>100</v>
      </c>
      <c r="G92">
        <v>0.97720537825044618</v>
      </c>
      <c r="H92">
        <f t="shared" si="9"/>
        <v>-1.0014151463169618E-2</v>
      </c>
      <c r="M92" s="7"/>
      <c r="U92" s="15"/>
      <c r="Y92">
        <f t="shared" si="10"/>
        <v>-5.2617661085279259</v>
      </c>
      <c r="Z92">
        <f t="shared" si="11"/>
        <v>-5.2717802599910959</v>
      </c>
    </row>
    <row r="93" spans="1:26" x14ac:dyDescent="0.2">
      <c r="A93" t="s">
        <v>106</v>
      </c>
      <c r="B93">
        <v>5.1523327513522104E-6</v>
      </c>
      <c r="C93">
        <v>5.2924992850000004E-6</v>
      </c>
      <c r="D93">
        <v>0</v>
      </c>
      <c r="E93">
        <v>5.2924992850000004E-6</v>
      </c>
      <c r="F93">
        <v>100</v>
      </c>
      <c r="G93">
        <v>1.027204480069926</v>
      </c>
      <c r="H93">
        <f t="shared" si="9"/>
        <v>1.1656904869447518E-2</v>
      </c>
      <c r="U93" s="15"/>
      <c r="Y93">
        <f t="shared" si="10"/>
        <v>-5.2879960968498123</v>
      </c>
      <c r="Z93">
        <f t="shared" si="11"/>
        <v>-5.2763391919803642</v>
      </c>
    </row>
    <row r="94" spans="1:26" x14ac:dyDescent="0.2">
      <c r="A94" t="s">
        <v>99</v>
      </c>
      <c r="B94">
        <v>5.0035909535039748E-6</v>
      </c>
      <c r="C94">
        <v>5.1573684260000004E-6</v>
      </c>
      <c r="D94">
        <v>0</v>
      </c>
      <c r="E94">
        <v>5.1573684260000004E-6</v>
      </c>
      <c r="F94">
        <v>100</v>
      </c>
      <c r="G94">
        <v>1.0307334220412909</v>
      </c>
      <c r="H94">
        <f t="shared" si="9"/>
        <v>1.3146358487815556E-2</v>
      </c>
      <c r="Y94">
        <f t="shared" si="10"/>
        <v>-5.3007182013561609</v>
      </c>
      <c r="Z94">
        <f t="shared" si="11"/>
        <v>-5.2875718428683447</v>
      </c>
    </row>
    <row r="95" spans="1:26" x14ac:dyDescent="0.2">
      <c r="A95" t="s">
        <v>107</v>
      </c>
      <c r="B95">
        <v>5.1086705889646481E-6</v>
      </c>
      <c r="C95">
        <v>5.1293418820000003E-6</v>
      </c>
      <c r="D95">
        <v>0</v>
      </c>
      <c r="E95">
        <v>5.1293418820000003E-6</v>
      </c>
      <c r="F95">
        <v>100</v>
      </c>
      <c r="G95">
        <v>1.004046315509167</v>
      </c>
      <c r="H95">
        <f t="shared" si="9"/>
        <v>1.7537467792391476E-3</v>
      </c>
      <c r="Y95">
        <f t="shared" si="10"/>
        <v>-5.2916921000594055</v>
      </c>
      <c r="Z95">
        <f t="shared" si="11"/>
        <v>-5.2899383532801663</v>
      </c>
    </row>
    <row r="96" spans="1:26" x14ac:dyDescent="0.2">
      <c r="A96" t="s">
        <v>118</v>
      </c>
      <c r="B96">
        <v>5.4306282171780179E-6</v>
      </c>
      <c r="C96">
        <v>4.8858151339999999E-6</v>
      </c>
      <c r="D96">
        <v>0</v>
      </c>
      <c r="E96">
        <v>4.8858151339999999E-6</v>
      </c>
      <c r="F96">
        <v>100</v>
      </c>
      <c r="G96">
        <v>0.8996777055268339</v>
      </c>
      <c r="H96">
        <f t="shared" si="9"/>
        <v>-4.5913041426600111E-2</v>
      </c>
      <c r="Y96">
        <f t="shared" si="10"/>
        <v>-5.2651499281510006</v>
      </c>
      <c r="Z96">
        <f t="shared" si="11"/>
        <v>-5.3110629695776002</v>
      </c>
    </row>
    <row r="97" spans="1:26" x14ac:dyDescent="0.2">
      <c r="A97" t="s">
        <v>96</v>
      </c>
      <c r="B97">
        <v>1.979213061036183E-6</v>
      </c>
      <c r="C97">
        <v>4.8560707850000002E-6</v>
      </c>
      <c r="D97">
        <v>0</v>
      </c>
      <c r="E97">
        <v>4.8560707850000002E-6</v>
      </c>
      <c r="F97">
        <v>100</v>
      </c>
      <c r="G97">
        <v>2.4535361455515492</v>
      </c>
      <c r="H97">
        <f t="shared" si="9"/>
        <v>0.38979246040046894</v>
      </c>
      <c r="Y97">
        <f t="shared" si="10"/>
        <v>-5.7035074517503093</v>
      </c>
      <c r="Z97">
        <f t="shared" si="11"/>
        <v>-5.3137149913498405</v>
      </c>
    </row>
    <row r="98" spans="1:26" x14ac:dyDescent="0.2">
      <c r="A98" t="s">
        <v>132</v>
      </c>
      <c r="B98">
        <v>5.9527856215434761E-6</v>
      </c>
      <c r="C98">
        <v>4.8533925000000003E-6</v>
      </c>
      <c r="D98">
        <v>0</v>
      </c>
      <c r="E98">
        <v>4.8533925000000003E-6</v>
      </c>
      <c r="F98">
        <v>100</v>
      </c>
      <c r="G98">
        <v>0.81531451131639809</v>
      </c>
      <c r="H98">
        <f t="shared" si="9"/>
        <v>-8.8674827848234841E-2</v>
      </c>
      <c r="Y98">
        <f t="shared" si="10"/>
        <v>-5.225279757471287</v>
      </c>
      <c r="Z98">
        <f t="shared" si="11"/>
        <v>-5.3139545853195216</v>
      </c>
    </row>
    <row r="99" spans="1:26" x14ac:dyDescent="0.2">
      <c r="A99" t="s">
        <v>129</v>
      </c>
      <c r="B99">
        <v>4.3936619012399989E-6</v>
      </c>
      <c r="C99">
        <v>4.7926150419999998E-6</v>
      </c>
      <c r="D99">
        <v>0</v>
      </c>
      <c r="E99">
        <v>4.7926150419999998E-6</v>
      </c>
      <c r="F99">
        <v>100</v>
      </c>
      <c r="G99">
        <v>1.0908019664980151</v>
      </c>
      <c r="H99">
        <f t="shared" si="9"/>
        <v>3.7745912216481527E-2</v>
      </c>
      <c r="Y99">
        <f t="shared" si="10"/>
        <v>-5.3571733657303069</v>
      </c>
      <c r="Z99">
        <f t="shared" si="11"/>
        <v>-5.3194274535138257</v>
      </c>
    </row>
    <row r="100" spans="1:26" x14ac:dyDescent="0.2">
      <c r="A100" t="s">
        <v>111</v>
      </c>
      <c r="B100">
        <v>4.5707251138211418E-6</v>
      </c>
      <c r="C100">
        <v>4.7109343230000002E-6</v>
      </c>
      <c r="D100">
        <v>0</v>
      </c>
      <c r="E100">
        <v>4.7109343230000002E-6</v>
      </c>
      <c r="F100">
        <v>100</v>
      </c>
      <c r="G100">
        <v>1.030675484892952</v>
      </c>
      <c r="H100">
        <f t="shared" si="9"/>
        <v>1.3121946267859794E-2</v>
      </c>
      <c r="Y100">
        <f t="shared" si="10"/>
        <v>-5.3400148966586887</v>
      </c>
      <c r="Z100">
        <f t="shared" si="11"/>
        <v>-5.3268929503908291</v>
      </c>
    </row>
    <row r="101" spans="1:26" x14ac:dyDescent="0.2">
      <c r="A101" t="s">
        <v>124</v>
      </c>
      <c r="B101">
        <v>4.70391007751055E-6</v>
      </c>
      <c r="C101">
        <v>4.7059031939999996E-6</v>
      </c>
      <c r="D101">
        <v>0</v>
      </c>
      <c r="E101">
        <v>4.7059031939999996E-6</v>
      </c>
      <c r="F101">
        <v>100</v>
      </c>
      <c r="G101">
        <v>1.00042371483651</v>
      </c>
      <c r="H101">
        <f t="shared" si="9"/>
        <v>1.8397804103600975E-4</v>
      </c>
      <c r="Y101">
        <f t="shared" si="10"/>
        <v>-5.3275409890607959</v>
      </c>
      <c r="Z101">
        <f t="shared" si="11"/>
        <v>-5.3273570110197603</v>
      </c>
    </row>
    <row r="102" spans="1:26" x14ac:dyDescent="0.2">
      <c r="A102" t="s">
        <v>89</v>
      </c>
      <c r="B102">
        <v>7.4723306919170039E-6</v>
      </c>
      <c r="C102">
        <v>4.6314211980000003E-6</v>
      </c>
      <c r="D102">
        <v>0</v>
      </c>
      <c r="E102">
        <v>4.6314211980000003E-6</v>
      </c>
      <c r="F102">
        <v>100</v>
      </c>
      <c r="G102">
        <v>0.61980945289398359</v>
      </c>
      <c r="H102">
        <f t="shared" si="9"/>
        <v>-0.20774180449494639</v>
      </c>
      <c r="Y102">
        <f t="shared" si="10"/>
        <v>-5.1265439164223983</v>
      </c>
      <c r="Z102">
        <f t="shared" si="11"/>
        <v>-5.3342857209173449</v>
      </c>
    </row>
    <row r="103" spans="1:26" x14ac:dyDescent="0.2">
      <c r="A103" t="s">
        <v>91</v>
      </c>
      <c r="B103">
        <v>4.6294596281174284E-6</v>
      </c>
      <c r="C103">
        <v>4.6314211980000003E-6</v>
      </c>
      <c r="D103">
        <v>0</v>
      </c>
      <c r="E103">
        <v>4.6314211980000003E-6</v>
      </c>
      <c r="F103">
        <v>100</v>
      </c>
      <c r="G103">
        <v>1.0004237146535759</v>
      </c>
      <c r="H103">
        <f t="shared" si="9"/>
        <v>1.8397796162238295E-4</v>
      </c>
      <c r="Y103">
        <f t="shared" si="10"/>
        <v>-5.3344696988789675</v>
      </c>
      <c r="Z103">
        <f t="shared" si="11"/>
        <v>-5.3342857209173449</v>
      </c>
    </row>
    <row r="104" spans="1:26" x14ac:dyDescent="0.2">
      <c r="A104" t="s">
        <v>108</v>
      </c>
      <c r="B104">
        <v>4.7786038475621507E-6</v>
      </c>
      <c r="C104">
        <v>4.6248103640000001E-6</v>
      </c>
      <c r="D104">
        <v>0</v>
      </c>
      <c r="E104">
        <v>4.6248103640000001E-6</v>
      </c>
      <c r="F104">
        <v>100</v>
      </c>
      <c r="G104">
        <v>0.96781623075103629</v>
      </c>
      <c r="H104">
        <f t="shared" si="9"/>
        <v>-1.4207098835676607E-2</v>
      </c>
      <c r="Y104">
        <f t="shared" si="10"/>
        <v>-5.3206989715610238</v>
      </c>
      <c r="Z104">
        <f t="shared" si="11"/>
        <v>-5.3349060703967002</v>
      </c>
    </row>
    <row r="105" spans="1:26" x14ac:dyDescent="0.2">
      <c r="A105" t="s">
        <v>128</v>
      </c>
      <c r="B105">
        <v>2.3844282777061768E-6</v>
      </c>
      <c r="C105">
        <v>4.5369758390000001E-6</v>
      </c>
      <c r="D105">
        <v>0</v>
      </c>
      <c r="E105">
        <v>4.5369758390000001E-6</v>
      </c>
      <c r="F105">
        <v>100</v>
      </c>
      <c r="G105">
        <v>1.9027520690891051</v>
      </c>
      <c r="H105">
        <f t="shared" si="9"/>
        <v>0.2793822028738393</v>
      </c>
      <c r="Y105">
        <f t="shared" si="10"/>
        <v>-5.6226157363732883</v>
      </c>
      <c r="Z105">
        <f t="shared" si="11"/>
        <v>-5.3432335334994487</v>
      </c>
    </row>
    <row r="106" spans="1:26" x14ac:dyDescent="0.2">
      <c r="A106" t="s">
        <v>113</v>
      </c>
      <c r="B106">
        <v>4.5109788073484206E-6</v>
      </c>
      <c r="C106">
        <v>4.5128901559999999E-6</v>
      </c>
      <c r="D106">
        <v>0</v>
      </c>
      <c r="E106">
        <v>4.5128901559999999E-6</v>
      </c>
      <c r="F106">
        <v>100</v>
      </c>
      <c r="G106">
        <v>1.0004237104037079</v>
      </c>
      <c r="H106">
        <f t="shared" si="9"/>
        <v>1.839761167098686E-4</v>
      </c>
      <c r="Y106">
        <f t="shared" si="10"/>
        <v>-5.3457292132200145</v>
      </c>
      <c r="Z106">
        <f t="shared" si="11"/>
        <v>-5.3455452371033045</v>
      </c>
    </row>
    <row r="107" spans="1:26" x14ac:dyDescent="0.2">
      <c r="A107" t="s">
        <v>110</v>
      </c>
      <c r="B107">
        <v>4.4211422103078333E-6</v>
      </c>
      <c r="C107">
        <v>4.4230155090000001E-6</v>
      </c>
      <c r="D107">
        <v>0</v>
      </c>
      <c r="E107">
        <v>4.4230155090000001E-6</v>
      </c>
      <c r="F107">
        <v>100</v>
      </c>
      <c r="G107">
        <v>1.0004237137380021</v>
      </c>
      <c r="H107">
        <f t="shared" si="9"/>
        <v>1.8397756416212646E-4</v>
      </c>
      <c r="Y107">
        <f t="shared" si="10"/>
        <v>-5.3544655153681253</v>
      </c>
      <c r="Z107">
        <f t="shared" si="11"/>
        <v>-5.3542815378039634</v>
      </c>
    </row>
    <row r="108" spans="1:26" x14ac:dyDescent="0.2">
      <c r="A108" t="s">
        <v>131</v>
      </c>
      <c r="B108">
        <v>4.0241380868463312E-6</v>
      </c>
      <c r="C108">
        <v>4.3284770819999998E-6</v>
      </c>
      <c r="D108">
        <v>0</v>
      </c>
      <c r="E108">
        <v>4.3284770819999998E-6</v>
      </c>
      <c r="F108">
        <v>100</v>
      </c>
      <c r="G108">
        <v>1.0756283677611509</v>
      </c>
      <c r="H108">
        <f t="shared" si="9"/>
        <v>3.1662247437162054E-2</v>
      </c>
      <c r="Y108">
        <f t="shared" si="10"/>
        <v>-5.395327125038003</v>
      </c>
      <c r="Z108">
        <f t="shared" si="11"/>
        <v>-5.3636648776008409</v>
      </c>
    </row>
    <row r="109" spans="1:26" x14ac:dyDescent="0.2">
      <c r="A109" t="s">
        <v>119</v>
      </c>
      <c r="B109">
        <v>4.1462304451138196E-6</v>
      </c>
      <c r="C109">
        <v>4.3035625629999996E-6</v>
      </c>
      <c r="D109">
        <v>0</v>
      </c>
      <c r="E109">
        <v>4.3035625629999996E-6</v>
      </c>
      <c r="F109">
        <v>100</v>
      </c>
      <c r="G109">
        <v>1.0379458209013901</v>
      </c>
      <c r="H109">
        <f t="shared" si="9"/>
        <v>1.6174684632231085E-2</v>
      </c>
      <c r="Y109">
        <f t="shared" si="10"/>
        <v>-5.3823465637327423</v>
      </c>
      <c r="Z109">
        <f t="shared" si="11"/>
        <v>-5.3661718791005111</v>
      </c>
    </row>
    <row r="110" spans="1:26" x14ac:dyDescent="0.2">
      <c r="A110" t="s">
        <v>148</v>
      </c>
      <c r="B110">
        <v>4.1817964881440671E-6</v>
      </c>
      <c r="C110">
        <v>4.1785867839999996E-6</v>
      </c>
      <c r="D110">
        <v>0</v>
      </c>
      <c r="E110">
        <v>4.1785867839999996E-6</v>
      </c>
      <c r="F110">
        <v>100</v>
      </c>
      <c r="G110">
        <v>0.99923245807079153</v>
      </c>
      <c r="H110">
        <f t="shared" si="9"/>
        <v>-3.3346721589704384E-4</v>
      </c>
      <c r="Y110">
        <f t="shared" si="10"/>
        <v>-5.3786371064362459</v>
      </c>
      <c r="Z110">
        <f t="shared" si="11"/>
        <v>-5.3789705736521434</v>
      </c>
    </row>
    <row r="111" spans="1:26" x14ac:dyDescent="0.2">
      <c r="A111" t="s">
        <v>114</v>
      </c>
      <c r="B111">
        <v>4.148973200841311E-6</v>
      </c>
      <c r="C111">
        <v>4.1507311819999997E-6</v>
      </c>
      <c r="D111">
        <v>0</v>
      </c>
      <c r="E111">
        <v>4.1507311819999997E-6</v>
      </c>
      <c r="F111">
        <v>100</v>
      </c>
      <c r="G111">
        <v>1.000423714753889</v>
      </c>
      <c r="H111">
        <f t="shared" si="9"/>
        <v>1.8397800516935342E-4</v>
      </c>
      <c r="Y111">
        <f t="shared" si="10"/>
        <v>-5.3820593703685029</v>
      </c>
      <c r="Z111">
        <f t="shared" si="11"/>
        <v>-5.3818753923633329</v>
      </c>
    </row>
    <row r="112" spans="1:26" x14ac:dyDescent="0.2">
      <c r="A112" t="s">
        <v>122</v>
      </c>
      <c r="B112">
        <v>1.118045023342824E-6</v>
      </c>
      <c r="C112">
        <v>4.1206767569999996E-6</v>
      </c>
      <c r="D112">
        <v>0</v>
      </c>
      <c r="E112">
        <v>4.1206767569999996E-6</v>
      </c>
      <c r="F112">
        <v>100</v>
      </c>
      <c r="G112">
        <v>3.6856089611486831</v>
      </c>
      <c r="H112">
        <f t="shared" si="9"/>
        <v>0.56650925518468542</v>
      </c>
      <c r="Y112">
        <f t="shared" si="10"/>
        <v>-5.9515407071869522</v>
      </c>
      <c r="Z112">
        <f t="shared" si="11"/>
        <v>-5.3850314520022664</v>
      </c>
    </row>
    <row r="113" spans="1:26" x14ac:dyDescent="0.2">
      <c r="A113" t="s">
        <v>142</v>
      </c>
      <c r="B113">
        <v>2.4659871188521548E-6</v>
      </c>
      <c r="C113">
        <v>4.11832066E-6</v>
      </c>
      <c r="D113">
        <v>0</v>
      </c>
      <c r="E113">
        <v>4.11832066E-6</v>
      </c>
      <c r="F113">
        <v>100</v>
      </c>
      <c r="G113">
        <v>1.6700495426419579</v>
      </c>
      <c r="H113">
        <f t="shared" si="9"/>
        <v>0.22272935484631176</v>
      </c>
      <c r="Y113">
        <f t="shared" si="10"/>
        <v>-5.6080091962828824</v>
      </c>
      <c r="Z113">
        <f t="shared" si="11"/>
        <v>-5.3852798414365708</v>
      </c>
    </row>
    <row r="114" spans="1:26" x14ac:dyDescent="0.2">
      <c r="A114" t="s">
        <v>141</v>
      </c>
      <c r="B114">
        <v>3.3892876759251431E-6</v>
      </c>
      <c r="C114">
        <v>4.11832066E-6</v>
      </c>
      <c r="D114">
        <v>0</v>
      </c>
      <c r="E114">
        <v>4.11832066E-6</v>
      </c>
      <c r="F114">
        <v>100</v>
      </c>
      <c r="G114">
        <v>1.2150991753380329</v>
      </c>
      <c r="H114">
        <f t="shared" si="9"/>
        <v>8.46117261189233E-2</v>
      </c>
      <c r="Y114">
        <f t="shared" si="10"/>
        <v>-5.4698915675554947</v>
      </c>
      <c r="Z114">
        <f t="shared" si="11"/>
        <v>-5.3852798414365708</v>
      </c>
    </row>
    <row r="115" spans="1:26" x14ac:dyDescent="0.2">
      <c r="A115" t="s">
        <v>109</v>
      </c>
      <c r="B115">
        <v>3.7343241602429591E-6</v>
      </c>
      <c r="C115">
        <v>4.093203939E-6</v>
      </c>
      <c r="D115">
        <v>0</v>
      </c>
      <c r="E115">
        <v>4.093203939E-6</v>
      </c>
      <c r="F115">
        <v>100</v>
      </c>
      <c r="G115">
        <v>1.096103006422906</v>
      </c>
      <c r="H115">
        <f t="shared" si="9"/>
        <v>3.9851368946715697E-2</v>
      </c>
      <c r="Y115">
        <f t="shared" si="10"/>
        <v>-5.4277879855582576</v>
      </c>
      <c r="Z115">
        <f t="shared" si="11"/>
        <v>-5.3879366166115421</v>
      </c>
    </row>
    <row r="116" spans="1:26" x14ac:dyDescent="0.2">
      <c r="A116" t="s">
        <v>116</v>
      </c>
      <c r="B116">
        <v>2.8653869345941338E-6</v>
      </c>
      <c r="C116">
        <v>4.0324797639999998E-6</v>
      </c>
      <c r="D116">
        <v>0</v>
      </c>
      <c r="E116">
        <v>4.0324797639999998E-6</v>
      </c>
      <c r="F116">
        <v>100</v>
      </c>
      <c r="G116">
        <v>1.4073072349550511</v>
      </c>
      <c r="H116">
        <f t="shared" si="9"/>
        <v>0.14838892037695989</v>
      </c>
      <c r="Y116">
        <f t="shared" si="10"/>
        <v>-5.5428167237096835</v>
      </c>
      <c r="Z116">
        <f t="shared" si="11"/>
        <v>-5.3944278033327233</v>
      </c>
    </row>
    <row r="117" spans="1:26" x14ac:dyDescent="0.2">
      <c r="A117" t="s">
        <v>117</v>
      </c>
      <c r="B117">
        <v>2.2219679734768768E-6</v>
      </c>
      <c r="C117">
        <v>4.0324797639999998E-6</v>
      </c>
      <c r="D117">
        <v>0</v>
      </c>
      <c r="E117">
        <v>4.0324797639999998E-6</v>
      </c>
      <c r="F117">
        <v>100</v>
      </c>
      <c r="G117">
        <v>1.814823531272632</v>
      </c>
      <c r="H117">
        <f t="shared" si="9"/>
        <v>0.25883440175752442</v>
      </c>
      <c r="Y117">
        <f t="shared" si="10"/>
        <v>-5.6532622050902477</v>
      </c>
      <c r="Z117">
        <f t="shared" si="11"/>
        <v>-5.3944278033327233</v>
      </c>
    </row>
    <row r="118" spans="1:26" x14ac:dyDescent="0.2">
      <c r="A118" t="s">
        <v>120</v>
      </c>
      <c r="B118">
        <v>1.3277304302840461E-7</v>
      </c>
      <c r="C118">
        <v>3.950105013E-6</v>
      </c>
      <c r="D118">
        <v>0</v>
      </c>
      <c r="E118">
        <v>3.950105013E-6</v>
      </c>
      <c r="F118">
        <v>100</v>
      </c>
      <c r="G118">
        <v>29.75080575772402</v>
      </c>
      <c r="H118">
        <f t="shared" si="9"/>
        <v>1.4734987324643831</v>
      </c>
      <c r="Y118">
        <f t="shared" si="10"/>
        <v>-6.8768900910252144</v>
      </c>
      <c r="Z118">
        <f t="shared" si="11"/>
        <v>-5.4033913585608309</v>
      </c>
    </row>
    <row r="119" spans="1:26" x14ac:dyDescent="0.2">
      <c r="A119" t="s">
        <v>130</v>
      </c>
      <c r="B119">
        <v>3.8514078400552881E-6</v>
      </c>
      <c r="C119">
        <v>3.9079646140000003E-6</v>
      </c>
      <c r="D119">
        <v>0</v>
      </c>
      <c r="E119">
        <v>3.9079646140000003E-6</v>
      </c>
      <c r="F119">
        <v>100</v>
      </c>
      <c r="G119">
        <v>1.014684701359464</v>
      </c>
      <c r="H119">
        <f t="shared" si="9"/>
        <v>6.3311124635895069E-3</v>
      </c>
      <c r="Y119">
        <f t="shared" si="10"/>
        <v>-5.4143804898667298</v>
      </c>
      <c r="Z119">
        <f t="shared" si="11"/>
        <v>-5.40804937740314</v>
      </c>
    </row>
    <row r="120" spans="1:26" x14ac:dyDescent="0.2">
      <c r="A120" t="s">
        <v>140</v>
      </c>
      <c r="B120">
        <v>6.0502092742296481E-6</v>
      </c>
      <c r="C120">
        <v>3.9036366759999998E-6</v>
      </c>
      <c r="D120">
        <v>0</v>
      </c>
      <c r="E120">
        <v>3.9036366759999998E-6</v>
      </c>
      <c r="F120">
        <v>100</v>
      </c>
      <c r="G120">
        <v>0.64520688443409857</v>
      </c>
      <c r="H120">
        <f t="shared" si="9"/>
        <v>-0.1903010072846433</v>
      </c>
      <c r="Y120">
        <f t="shared" si="10"/>
        <v>-5.2182296030217037</v>
      </c>
      <c r="Z120">
        <f t="shared" si="11"/>
        <v>-5.4085306103063466</v>
      </c>
    </row>
    <row r="121" spans="1:26" x14ac:dyDescent="0.2">
      <c r="A121" t="s">
        <v>105</v>
      </c>
      <c r="B121">
        <v>3.8310587282889228E-6</v>
      </c>
      <c r="C121">
        <v>3.832580499E-6</v>
      </c>
      <c r="D121">
        <v>0</v>
      </c>
      <c r="E121">
        <v>3.832580499E-6</v>
      </c>
      <c r="F121">
        <v>100</v>
      </c>
      <c r="G121">
        <v>1.0003972193638899</v>
      </c>
      <c r="H121">
        <f t="shared" si="9"/>
        <v>1.7247592472132803E-4</v>
      </c>
      <c r="Y121">
        <f t="shared" si="10"/>
        <v>-5.4166811904402277</v>
      </c>
      <c r="Z121">
        <f t="shared" si="11"/>
        <v>-5.4165087145155058</v>
      </c>
    </row>
    <row r="122" spans="1:26" x14ac:dyDescent="0.2">
      <c r="A122" t="s">
        <v>126</v>
      </c>
      <c r="B122">
        <v>2.8799273992450332E-6</v>
      </c>
      <c r="C122">
        <v>3.7899864959999999E-6</v>
      </c>
      <c r="D122">
        <v>0</v>
      </c>
      <c r="E122">
        <v>3.7899864959999999E-6</v>
      </c>
      <c r="F122">
        <v>100</v>
      </c>
      <c r="G122">
        <v>1.316000707862822</v>
      </c>
      <c r="H122">
        <f t="shared" si="9"/>
        <v>0.11925612288039478</v>
      </c>
      <c r="Y122">
        <f t="shared" si="10"/>
        <v>-5.5406184603326736</v>
      </c>
      <c r="Z122">
        <f t="shared" si="11"/>
        <v>-5.4213623374522788</v>
      </c>
    </row>
    <row r="123" spans="1:26" x14ac:dyDescent="0.2">
      <c r="A123" t="s">
        <v>121</v>
      </c>
      <c r="B123">
        <v>1.161945522755708E-6</v>
      </c>
      <c r="C123">
        <v>3.7749176480000001E-6</v>
      </c>
      <c r="D123">
        <v>0</v>
      </c>
      <c r="E123">
        <v>3.7749176480000001E-6</v>
      </c>
      <c r="F123">
        <v>100</v>
      </c>
      <c r="G123">
        <v>3.2487905620973372</v>
      </c>
      <c r="H123">
        <f t="shared" si="9"/>
        <v>0.51172171483614182</v>
      </c>
      <c r="Y123">
        <f t="shared" si="10"/>
        <v>-5.934814233151541</v>
      </c>
      <c r="Z123">
        <f t="shared" si="11"/>
        <v>-5.4230925183153991</v>
      </c>
    </row>
    <row r="124" spans="1:26" x14ac:dyDescent="0.2">
      <c r="A124" t="s">
        <v>163</v>
      </c>
      <c r="B124">
        <v>3.499839241088597E-6</v>
      </c>
      <c r="C124">
        <v>3.7645263699999999E-6</v>
      </c>
      <c r="D124">
        <v>0</v>
      </c>
      <c r="E124">
        <v>3.7645263699999999E-6</v>
      </c>
      <c r="F124">
        <v>100</v>
      </c>
      <c r="G124">
        <v>1.075628367670131</v>
      </c>
      <c r="H124">
        <f t="shared" si="9"/>
        <v>3.1662247400411979E-2</v>
      </c>
      <c r="Y124">
        <f t="shared" si="10"/>
        <v>-5.4559519037387441</v>
      </c>
      <c r="Z124">
        <f t="shared" si="11"/>
        <v>-5.4242896563383312</v>
      </c>
    </row>
    <row r="125" spans="1:26" x14ac:dyDescent="0.2">
      <c r="A125" t="s">
        <v>147</v>
      </c>
      <c r="B125">
        <v>2.520101032789099E-6</v>
      </c>
      <c r="C125">
        <v>3.6481720559999999E-6</v>
      </c>
      <c r="D125">
        <v>0</v>
      </c>
      <c r="E125">
        <v>3.6481720559999999E-6</v>
      </c>
      <c r="F125">
        <v>100</v>
      </c>
      <c r="G125">
        <v>1.4476292849110179</v>
      </c>
      <c r="H125">
        <f t="shared" si="9"/>
        <v>0.16065736011356893</v>
      </c>
      <c r="Y125">
        <f t="shared" si="10"/>
        <v>-5.5985820476695531</v>
      </c>
      <c r="Z125">
        <f t="shared" si="11"/>
        <v>-5.4379246875559843</v>
      </c>
    </row>
    <row r="126" spans="1:26" x14ac:dyDescent="0.2">
      <c r="A126" t="s">
        <v>152</v>
      </c>
      <c r="B126">
        <v>3.468509703570578E-6</v>
      </c>
      <c r="C126">
        <v>3.4728910729999999E-6</v>
      </c>
      <c r="D126">
        <v>0</v>
      </c>
      <c r="E126">
        <v>3.4728910729999999E-6</v>
      </c>
      <c r="F126">
        <v>100</v>
      </c>
      <c r="G126">
        <v>1.001263184999861</v>
      </c>
      <c r="H126">
        <f t="shared" si="9"/>
        <v>5.4824807854245692E-4</v>
      </c>
      <c r="Y126">
        <f t="shared" si="10"/>
        <v>-5.4598570861720139</v>
      </c>
      <c r="Z126">
        <f t="shared" si="11"/>
        <v>-5.4593088380934711</v>
      </c>
    </row>
    <row r="127" spans="1:26" x14ac:dyDescent="0.2">
      <c r="A127" t="s">
        <v>138</v>
      </c>
      <c r="B127">
        <v>2.3423086699325159E-6</v>
      </c>
      <c r="C127">
        <v>3.3907946250000001E-6</v>
      </c>
      <c r="D127">
        <v>0</v>
      </c>
      <c r="E127">
        <v>3.3907946250000001E-6</v>
      </c>
      <c r="F127">
        <v>100</v>
      </c>
      <c r="G127">
        <v>1.4476292849557231</v>
      </c>
      <c r="H127">
        <f t="shared" si="9"/>
        <v>0.16065736012698065</v>
      </c>
      <c r="Y127">
        <f t="shared" si="10"/>
        <v>-5.6303558740735511</v>
      </c>
      <c r="Z127">
        <f t="shared" si="11"/>
        <v>-5.4696985139465708</v>
      </c>
    </row>
    <row r="128" spans="1:26" x14ac:dyDescent="0.2">
      <c r="A128" t="s">
        <v>115</v>
      </c>
      <c r="B128">
        <v>5.2331677868847894E-6</v>
      </c>
      <c r="C128">
        <v>3.376475884E-6</v>
      </c>
      <c r="D128">
        <v>0</v>
      </c>
      <c r="E128">
        <v>3.376475884E-6</v>
      </c>
      <c r="F128">
        <v>100</v>
      </c>
      <c r="G128">
        <v>0.64520688453025032</v>
      </c>
      <c r="H128">
        <f t="shared" si="9"/>
        <v>-0.19030100721992271</v>
      </c>
      <c r="Y128">
        <f t="shared" si="10"/>
        <v>-5.2812353405995252</v>
      </c>
      <c r="Z128">
        <f t="shared" si="11"/>
        <v>-5.4715363478194474</v>
      </c>
    </row>
    <row r="129" spans="1:26" x14ac:dyDescent="0.2">
      <c r="A129" t="s">
        <v>168</v>
      </c>
      <c r="B129">
        <v>2.703883369089756E-6</v>
      </c>
      <c r="C129">
        <v>3.2864474089999999E-6</v>
      </c>
      <c r="D129">
        <v>0</v>
      </c>
      <c r="E129">
        <v>3.2864474089999999E-6</v>
      </c>
      <c r="F129">
        <v>100</v>
      </c>
      <c r="G129">
        <v>1.2154545741765339</v>
      </c>
      <c r="H129">
        <f t="shared" si="9"/>
        <v>8.4738732366422778E-2</v>
      </c>
      <c r="Y129">
        <f t="shared" si="10"/>
        <v>-5.5680120454423667</v>
      </c>
      <c r="Z129">
        <f t="shared" si="11"/>
        <v>-5.4832733130759435</v>
      </c>
    </row>
    <row r="130" spans="1:26" x14ac:dyDescent="0.2">
      <c r="A130" t="s">
        <v>155</v>
      </c>
      <c r="B130">
        <v>1.953200469533907E-6</v>
      </c>
      <c r="C130">
        <v>3.1467793499999999E-6</v>
      </c>
      <c r="D130">
        <v>0</v>
      </c>
      <c r="E130">
        <v>3.1467793499999999E-6</v>
      </c>
      <c r="F130">
        <v>100</v>
      </c>
      <c r="G130">
        <v>1.6110887740831421</v>
      </c>
      <c r="H130">
        <f t="shared" si="9"/>
        <v>0.20711947153791627</v>
      </c>
      <c r="Y130">
        <f t="shared" si="10"/>
        <v>-5.709253179986951</v>
      </c>
      <c r="Z130">
        <f t="shared" si="11"/>
        <v>-5.5021337084490352</v>
      </c>
    </row>
    <row r="131" spans="1:26" x14ac:dyDescent="0.2">
      <c r="A131" t="s">
        <v>134</v>
      </c>
      <c r="B131">
        <v>2.9658920796951871E-6</v>
      </c>
      <c r="C131">
        <v>3.0743334230000002E-6</v>
      </c>
      <c r="D131">
        <v>0</v>
      </c>
      <c r="E131">
        <v>3.0743334230000002E-6</v>
      </c>
      <c r="F131">
        <v>100</v>
      </c>
      <c r="G131">
        <v>1.0365628082178759</v>
      </c>
      <c r="H131">
        <f t="shared" ref="H131:H194" si="12">LOG(G131)</f>
        <v>1.5595622335352378E-2</v>
      </c>
      <c r="Y131">
        <f t="shared" ref="Y131:Y194" si="13">LOG(B131)</f>
        <v>-5.5278446557505134</v>
      </c>
      <c r="Z131">
        <f t="shared" ref="Z131:Z194" si="14">LOG(C131)</f>
        <v>-5.512249033415161</v>
      </c>
    </row>
    <row r="132" spans="1:26" x14ac:dyDescent="0.2">
      <c r="A132" t="s">
        <v>189</v>
      </c>
      <c r="B132">
        <v>1.9077852110873829E-6</v>
      </c>
      <c r="C132">
        <v>3.073611337E-6</v>
      </c>
      <c r="D132">
        <v>0</v>
      </c>
      <c r="E132">
        <v>3.073611337E-6</v>
      </c>
      <c r="F132">
        <v>100</v>
      </c>
      <c r="G132">
        <v>1.611088774112118</v>
      </c>
      <c r="H132">
        <f t="shared" si="12"/>
        <v>0.20711947154572719</v>
      </c>
      <c r="Y132">
        <f t="shared" si="13"/>
        <v>-5.719470522132136</v>
      </c>
      <c r="Z132">
        <f t="shared" si="14"/>
        <v>-5.5123510505864095</v>
      </c>
    </row>
    <row r="133" spans="1:26" x14ac:dyDescent="0.2">
      <c r="A133" t="s">
        <v>183</v>
      </c>
      <c r="B133">
        <v>3.0460660760943791E-6</v>
      </c>
      <c r="C133">
        <v>3.0052604250000002E-6</v>
      </c>
      <c r="D133">
        <v>0</v>
      </c>
      <c r="E133">
        <v>3.0052604250000002E-6</v>
      </c>
      <c r="F133">
        <v>100</v>
      </c>
      <c r="G133">
        <v>0.98660381945926146</v>
      </c>
      <c r="H133">
        <f t="shared" si="12"/>
        <v>-5.8572075776376761E-3</v>
      </c>
      <c r="Y133">
        <f t="shared" si="13"/>
        <v>-5.5162606800636906</v>
      </c>
      <c r="Z133">
        <f t="shared" si="14"/>
        <v>-5.5221178876413282</v>
      </c>
    </row>
    <row r="134" spans="1:26" x14ac:dyDescent="0.2">
      <c r="A134" t="s">
        <v>188</v>
      </c>
      <c r="B134">
        <v>2.2316777165531428E-6</v>
      </c>
      <c r="C134">
        <v>2.977907993E-6</v>
      </c>
      <c r="D134">
        <v>0</v>
      </c>
      <c r="E134">
        <v>2.977907993E-6</v>
      </c>
      <c r="F134">
        <v>100</v>
      </c>
      <c r="G134">
        <v>1.334380843126139</v>
      </c>
      <c r="H134">
        <f t="shared" si="12"/>
        <v>0.12527979844329734</v>
      </c>
      <c r="Y134">
        <f t="shared" si="13"/>
        <v>-5.6513685230088972</v>
      </c>
      <c r="Z134">
        <f t="shared" si="14"/>
        <v>-5.5260887245656001</v>
      </c>
    </row>
    <row r="135" spans="1:26" x14ac:dyDescent="0.2">
      <c r="A135" t="s">
        <v>84</v>
      </c>
      <c r="B135">
        <v>2.9384873366788441E-6</v>
      </c>
      <c r="C135">
        <v>2.9397324170000002E-6</v>
      </c>
      <c r="D135">
        <v>0</v>
      </c>
      <c r="E135">
        <v>2.9397324170000002E-6</v>
      </c>
      <c r="F135">
        <v>100</v>
      </c>
      <c r="G135">
        <v>1.000423714713899</v>
      </c>
      <c r="H135">
        <f t="shared" si="12"/>
        <v>1.8397798780926789E-4</v>
      </c>
      <c r="Y135">
        <f t="shared" si="13"/>
        <v>-5.5318761765243147</v>
      </c>
      <c r="Z135">
        <f t="shared" si="14"/>
        <v>-5.5316921985365051</v>
      </c>
    </row>
    <row r="136" spans="1:26" x14ac:dyDescent="0.2">
      <c r="A136" t="s">
        <v>162</v>
      </c>
      <c r="B136">
        <v>1.698691413100525E-6</v>
      </c>
      <c r="C136">
        <v>2.9113881939999999E-6</v>
      </c>
      <c r="D136">
        <v>0</v>
      </c>
      <c r="E136">
        <v>2.9113881939999999E-6</v>
      </c>
      <c r="F136">
        <v>100</v>
      </c>
      <c r="G136">
        <v>1.7139005775545819</v>
      </c>
      <c r="H136">
        <f t="shared" si="12"/>
        <v>0.23398562512989676</v>
      </c>
      <c r="Y136">
        <f t="shared" si="13"/>
        <v>-5.769885508570515</v>
      </c>
      <c r="Z136">
        <f t="shared" si="14"/>
        <v>-5.5358998834406181</v>
      </c>
    </row>
    <row r="137" spans="1:26" x14ac:dyDescent="0.2">
      <c r="A137" t="s">
        <v>125</v>
      </c>
      <c r="B137">
        <v>2.8990870971563589E-6</v>
      </c>
      <c r="C137">
        <v>2.9003154829999999E-6</v>
      </c>
      <c r="D137">
        <v>0</v>
      </c>
      <c r="E137">
        <v>2.9003154829999999E-6</v>
      </c>
      <c r="F137">
        <v>100</v>
      </c>
      <c r="G137">
        <v>1.0004237147082771</v>
      </c>
      <c r="H137">
        <f t="shared" si="12"/>
        <v>1.8397798536872129E-4</v>
      </c>
      <c r="Y137">
        <f t="shared" si="13"/>
        <v>-5.5377387369574587</v>
      </c>
      <c r="Z137">
        <f t="shared" si="14"/>
        <v>-5.5375547589720897</v>
      </c>
    </row>
    <row r="138" spans="1:26" x14ac:dyDescent="0.2">
      <c r="A138" t="s">
        <v>422</v>
      </c>
      <c r="B138">
        <v>1.1229370984338651E-6</v>
      </c>
      <c r="C138">
        <v>2.9000369909999998E-6</v>
      </c>
      <c r="D138">
        <v>0</v>
      </c>
      <c r="E138">
        <v>2.9000369909999998E-6</v>
      </c>
      <c r="F138">
        <v>100</v>
      </c>
      <c r="G138">
        <v>2.5825462486230228</v>
      </c>
      <c r="H138">
        <f t="shared" si="12"/>
        <v>0.41204810767159084</v>
      </c>
      <c r="Y138">
        <f t="shared" si="13"/>
        <v>-5.9496445701572132</v>
      </c>
      <c r="Z138">
        <f t="shared" si="14"/>
        <v>-5.5375964624856229</v>
      </c>
    </row>
    <row r="139" spans="1:26" x14ac:dyDescent="0.2">
      <c r="A139" t="s">
        <v>185</v>
      </c>
      <c r="B139">
        <v>1.7910854013543009E-6</v>
      </c>
      <c r="C139">
        <v>2.8855975840000001E-6</v>
      </c>
      <c r="D139">
        <v>0</v>
      </c>
      <c r="E139">
        <v>2.8855975840000001E-6</v>
      </c>
      <c r="F139">
        <v>100</v>
      </c>
      <c r="G139">
        <v>1.6110887743365561</v>
      </c>
      <c r="H139">
        <f t="shared" si="12"/>
        <v>0.20711947160622801</v>
      </c>
      <c r="Y139">
        <f t="shared" si="13"/>
        <v>-5.746883705913854</v>
      </c>
      <c r="Z139">
        <f t="shared" si="14"/>
        <v>-5.5397642343076265</v>
      </c>
    </row>
    <row r="140" spans="1:26" x14ac:dyDescent="0.2">
      <c r="A140" t="s">
        <v>146</v>
      </c>
      <c r="B140">
        <v>2.8768709936199359E-6</v>
      </c>
      <c r="C140">
        <v>2.8780899659999998E-6</v>
      </c>
      <c r="D140">
        <v>0</v>
      </c>
      <c r="E140">
        <v>2.8780899659999998E-6</v>
      </c>
      <c r="F140">
        <v>100</v>
      </c>
      <c r="G140">
        <v>1.000423714647882</v>
      </c>
      <c r="H140">
        <f t="shared" si="12"/>
        <v>1.8397795915060534E-4</v>
      </c>
      <c r="Y140">
        <f t="shared" si="13"/>
        <v>-5.5410796125675006</v>
      </c>
      <c r="Z140">
        <f t="shared" si="14"/>
        <v>-5.5408956346083498</v>
      </c>
    </row>
    <row r="141" spans="1:26" x14ac:dyDescent="0.2">
      <c r="A141" t="s">
        <v>137</v>
      </c>
      <c r="B141">
        <v>2.7633519286789962E-6</v>
      </c>
      <c r="C141">
        <v>2.848119089E-6</v>
      </c>
      <c r="D141">
        <v>0</v>
      </c>
      <c r="E141">
        <v>2.848119089E-6</v>
      </c>
      <c r="F141">
        <v>100</v>
      </c>
      <c r="G141">
        <v>1.030675484885317</v>
      </c>
      <c r="H141">
        <f t="shared" si="12"/>
        <v>1.3121946264642642E-2</v>
      </c>
      <c r="Y141">
        <f t="shared" si="13"/>
        <v>-5.5585638016740315</v>
      </c>
      <c r="Z141">
        <f t="shared" si="14"/>
        <v>-5.5454418554093889</v>
      </c>
    </row>
    <row r="142" spans="1:26" x14ac:dyDescent="0.2">
      <c r="A142" t="s">
        <v>123</v>
      </c>
      <c r="B142">
        <v>2.8418972564963631E-6</v>
      </c>
      <c r="C142">
        <v>2.845487099E-6</v>
      </c>
      <c r="D142">
        <v>0</v>
      </c>
      <c r="E142">
        <v>2.845487099E-6</v>
      </c>
      <c r="F142">
        <v>100</v>
      </c>
      <c r="G142">
        <v>1.0012631851821641</v>
      </c>
      <c r="H142">
        <f t="shared" si="12"/>
        <v>5.482481576157864E-4</v>
      </c>
      <c r="Y142">
        <f t="shared" si="13"/>
        <v>-5.5463916272330618</v>
      </c>
      <c r="Z142">
        <f t="shared" si="14"/>
        <v>-5.5458433790754462</v>
      </c>
    </row>
    <row r="143" spans="1:26" x14ac:dyDescent="0.2">
      <c r="A143" t="s">
        <v>202</v>
      </c>
      <c r="B143">
        <v>1.219780086126881E-6</v>
      </c>
      <c r="C143">
        <v>2.8188423080000002E-6</v>
      </c>
      <c r="D143">
        <v>0</v>
      </c>
      <c r="E143">
        <v>2.8188423080000002E-6</v>
      </c>
      <c r="F143">
        <v>100</v>
      </c>
      <c r="G143">
        <v>2.310943046258902</v>
      </c>
      <c r="H143">
        <f t="shared" si="12"/>
        <v>0.36378924232018406</v>
      </c>
      <c r="Y143">
        <f t="shared" si="13"/>
        <v>-5.913718461120804</v>
      </c>
      <c r="Z143">
        <f t="shared" si="14"/>
        <v>-5.54992921880062</v>
      </c>
    </row>
    <row r="144" spans="1:26" x14ac:dyDescent="0.2">
      <c r="A144" t="s">
        <v>136</v>
      </c>
      <c r="B144">
        <v>1.522215546050785E-6</v>
      </c>
      <c r="C144">
        <v>2.7920279870000001E-6</v>
      </c>
      <c r="D144">
        <v>0</v>
      </c>
      <c r="E144">
        <v>2.7920279870000001E-6</v>
      </c>
      <c r="F144">
        <v>100</v>
      </c>
      <c r="G144">
        <v>1.8341870139505529</v>
      </c>
      <c r="H144">
        <f t="shared" si="12"/>
        <v>0.26344361431440955</v>
      </c>
      <c r="Y144">
        <f t="shared" si="13"/>
        <v>-5.8175238470184629</v>
      </c>
      <c r="Z144">
        <f t="shared" si="14"/>
        <v>-5.5540802327040533</v>
      </c>
    </row>
    <row r="145" spans="1:26" x14ac:dyDescent="0.2">
      <c r="A145" t="s">
        <v>187</v>
      </c>
      <c r="B145">
        <v>2.7798639738269548E-6</v>
      </c>
      <c r="C145">
        <v>2.781041843E-6</v>
      </c>
      <c r="D145">
        <v>0</v>
      </c>
      <c r="E145">
        <v>2.781041843E-6</v>
      </c>
      <c r="F145">
        <v>100</v>
      </c>
      <c r="G145">
        <v>1.000423714679616</v>
      </c>
      <c r="H145">
        <f t="shared" si="12"/>
        <v>1.8397797292664709E-4</v>
      </c>
      <c r="Y145">
        <f t="shared" si="13"/>
        <v>-5.555976454751594</v>
      </c>
      <c r="Z145">
        <f t="shared" si="14"/>
        <v>-5.5557924767786675</v>
      </c>
    </row>
    <row r="146" spans="1:26" x14ac:dyDescent="0.2">
      <c r="A146" t="s">
        <v>158</v>
      </c>
      <c r="B146">
        <v>2.757558679883625E-6</v>
      </c>
      <c r="C146">
        <v>2.768237692E-6</v>
      </c>
      <c r="D146">
        <v>0</v>
      </c>
      <c r="E146">
        <v>2.768237692E-6</v>
      </c>
      <c r="F146">
        <v>100</v>
      </c>
      <c r="G146">
        <v>1.003872632772705</v>
      </c>
      <c r="H146">
        <f t="shared" si="12"/>
        <v>1.6786148081005977E-3</v>
      </c>
      <c r="Y146">
        <f t="shared" si="13"/>
        <v>-5.5594752371548593</v>
      </c>
      <c r="Z146">
        <f t="shared" si="14"/>
        <v>-5.5577966223467588</v>
      </c>
    </row>
    <row r="147" spans="1:26" x14ac:dyDescent="0.2">
      <c r="A147" t="s">
        <v>165</v>
      </c>
      <c r="B147">
        <v>2.5531574718005931E-6</v>
      </c>
      <c r="C147">
        <v>2.686896985E-6</v>
      </c>
      <c r="D147">
        <v>0</v>
      </c>
      <c r="E147">
        <v>2.686896985E-6</v>
      </c>
      <c r="F147">
        <v>100</v>
      </c>
      <c r="G147">
        <v>1.0523820072504531</v>
      </c>
      <c r="H147">
        <f t="shared" si="12"/>
        <v>2.2173414272424325E-2</v>
      </c>
      <c r="Y147">
        <f t="shared" si="13"/>
        <v>-5.5929223982686125</v>
      </c>
      <c r="Z147">
        <f t="shared" si="14"/>
        <v>-5.5707489839961877</v>
      </c>
    </row>
    <row r="148" spans="1:26" x14ac:dyDescent="0.2">
      <c r="A148" t="s">
        <v>135</v>
      </c>
      <c r="B148">
        <v>2.658207005213593E-6</v>
      </c>
      <c r="C148">
        <v>2.659333327E-6</v>
      </c>
      <c r="D148">
        <v>0</v>
      </c>
      <c r="E148">
        <v>2.659333327E-6</v>
      </c>
      <c r="F148">
        <v>100</v>
      </c>
      <c r="G148">
        <v>1.0004237148514761</v>
      </c>
      <c r="H148">
        <f t="shared" si="12"/>
        <v>1.8397804753292048E-4</v>
      </c>
      <c r="Y148">
        <f t="shared" si="13"/>
        <v>-5.5754112018276683</v>
      </c>
      <c r="Z148">
        <f t="shared" si="14"/>
        <v>-5.5752272237801357</v>
      </c>
    </row>
    <row r="149" spans="1:26" x14ac:dyDescent="0.2">
      <c r="A149" t="s">
        <v>143</v>
      </c>
      <c r="B149">
        <v>2.1962607725948442E-6</v>
      </c>
      <c r="C149">
        <v>2.617995934E-6</v>
      </c>
      <c r="D149">
        <v>0</v>
      </c>
      <c r="E149">
        <v>2.617995934E-6</v>
      </c>
      <c r="F149">
        <v>100</v>
      </c>
      <c r="G149">
        <v>1.192024174300069</v>
      </c>
      <c r="H149">
        <f t="shared" si="12"/>
        <v>7.6285063003769166E-2</v>
      </c>
      <c r="Y149">
        <f t="shared" si="13"/>
        <v>-5.6583160952896945</v>
      </c>
      <c r="Z149">
        <f t="shared" si="14"/>
        <v>-5.5820310322859257</v>
      </c>
    </row>
    <row r="150" spans="1:26" x14ac:dyDescent="0.2">
      <c r="A150" t="s">
        <v>154</v>
      </c>
      <c r="B150">
        <v>1.6055147354615869E-6</v>
      </c>
      <c r="C150">
        <v>2.617438268E-6</v>
      </c>
      <c r="D150">
        <v>0</v>
      </c>
      <c r="E150">
        <v>2.617438268E-6</v>
      </c>
      <c r="F150">
        <v>100</v>
      </c>
      <c r="G150">
        <v>1.630279816302953</v>
      </c>
      <c r="H150">
        <f t="shared" si="12"/>
        <v>0.21226215179465097</v>
      </c>
      <c r="Y150">
        <f t="shared" si="13"/>
        <v>-5.7943857041116251</v>
      </c>
      <c r="Z150">
        <f t="shared" si="14"/>
        <v>-5.5821235523169745</v>
      </c>
    </row>
    <row r="151" spans="1:26" x14ac:dyDescent="0.2">
      <c r="A151" t="s">
        <v>104</v>
      </c>
      <c r="B151">
        <v>2.6039830945021642E-6</v>
      </c>
      <c r="C151">
        <v>2.5917680550000002E-6</v>
      </c>
      <c r="D151">
        <v>0</v>
      </c>
      <c r="E151">
        <v>2.5917680550000002E-6</v>
      </c>
      <c r="F151">
        <v>100</v>
      </c>
      <c r="G151">
        <v>0.99530909416118962</v>
      </c>
      <c r="H151">
        <f t="shared" si="12"/>
        <v>-2.0420277541893057E-3</v>
      </c>
      <c r="Y151">
        <f t="shared" si="13"/>
        <v>-5.5843618396077845</v>
      </c>
      <c r="Z151">
        <f t="shared" si="14"/>
        <v>-5.586403867361974</v>
      </c>
    </row>
    <row r="152" spans="1:26" x14ac:dyDescent="0.2">
      <c r="A152" t="s">
        <v>149</v>
      </c>
      <c r="B152">
        <v>1.5680262300588369E-6</v>
      </c>
      <c r="C152">
        <v>2.5482297609999999E-6</v>
      </c>
      <c r="D152">
        <v>0</v>
      </c>
      <c r="E152">
        <v>2.5482297609999999E-6</v>
      </c>
      <c r="F152">
        <v>100</v>
      </c>
      <c r="G152">
        <v>1.625119345678536</v>
      </c>
      <c r="H152">
        <f t="shared" si="12"/>
        <v>0.21088526024805582</v>
      </c>
      <c r="Y152">
        <f t="shared" si="13"/>
        <v>-5.8046466766805773</v>
      </c>
      <c r="Z152">
        <f t="shared" si="14"/>
        <v>-5.5937614164325211</v>
      </c>
    </row>
    <row r="153" spans="1:26" x14ac:dyDescent="0.2">
      <c r="A153" t="s">
        <v>192</v>
      </c>
      <c r="B153">
        <v>2.1566826484258469E-6</v>
      </c>
      <c r="C153">
        <v>2.4749432249999998E-6</v>
      </c>
      <c r="D153">
        <v>0</v>
      </c>
      <c r="E153">
        <v>2.4749432249999998E-6</v>
      </c>
      <c r="F153">
        <v>100</v>
      </c>
      <c r="G153">
        <v>1.147569498371237</v>
      </c>
      <c r="H153">
        <f t="shared" si="12"/>
        <v>5.9778996470873189E-2</v>
      </c>
      <c r="Y153">
        <f t="shared" si="13"/>
        <v>-5.6662137557677594</v>
      </c>
      <c r="Z153">
        <f t="shared" si="14"/>
        <v>-5.6064347592968868</v>
      </c>
    </row>
    <row r="154" spans="1:26" x14ac:dyDescent="0.2">
      <c r="A154" t="s">
        <v>193</v>
      </c>
      <c r="B154">
        <v>4.3770236655595758E-6</v>
      </c>
      <c r="C154">
        <v>2.4605232449999999E-6</v>
      </c>
      <c r="D154">
        <v>0</v>
      </c>
      <c r="E154">
        <v>2.4605232449999999E-6</v>
      </c>
      <c r="F154">
        <v>100</v>
      </c>
      <c r="G154">
        <v>0.56214529164201743</v>
      </c>
      <c r="H154">
        <f t="shared" si="12"/>
        <v>-0.25015142250320532</v>
      </c>
      <c r="Y154">
        <f t="shared" si="13"/>
        <v>-5.3588211052502288</v>
      </c>
      <c r="Z154">
        <f t="shared" si="14"/>
        <v>-5.6089725277534335</v>
      </c>
    </row>
    <row r="155" spans="1:26" x14ac:dyDescent="0.2">
      <c r="A155" t="s">
        <v>194</v>
      </c>
      <c r="B155">
        <v>3.8135415239981631E-6</v>
      </c>
      <c r="C155">
        <v>2.4605232449999999E-6</v>
      </c>
      <c r="D155">
        <v>0</v>
      </c>
      <c r="E155">
        <v>2.4605232449999999E-6</v>
      </c>
      <c r="F155">
        <v>100</v>
      </c>
      <c r="G155">
        <v>0.64520688433998152</v>
      </c>
      <c r="H155">
        <f t="shared" si="12"/>
        <v>-0.19030100734799432</v>
      </c>
      <c r="Y155">
        <f t="shared" si="13"/>
        <v>-5.4186715204054394</v>
      </c>
      <c r="Z155">
        <f t="shared" si="14"/>
        <v>-5.6089725277534335</v>
      </c>
    </row>
    <row r="156" spans="1:26" x14ac:dyDescent="0.2">
      <c r="A156" t="s">
        <v>180</v>
      </c>
      <c r="B156">
        <v>2.4004300443980441E-6</v>
      </c>
      <c r="C156">
        <v>2.4014471420000001E-6</v>
      </c>
      <c r="D156">
        <v>0</v>
      </c>
      <c r="E156">
        <v>2.4014471420000001E-6</v>
      </c>
      <c r="F156">
        <v>100</v>
      </c>
      <c r="G156">
        <v>1.0004237147440851</v>
      </c>
      <c r="H156">
        <f t="shared" si="12"/>
        <v>1.8397800091336168E-4</v>
      </c>
      <c r="Y156">
        <f t="shared" si="13"/>
        <v>-5.6197109461308097</v>
      </c>
      <c r="Z156">
        <f t="shared" si="14"/>
        <v>-5.6195269681298967</v>
      </c>
    </row>
    <row r="157" spans="1:26" x14ac:dyDescent="0.2">
      <c r="A157" t="s">
        <v>261</v>
      </c>
      <c r="B157">
        <v>2.395197211533533E-6</v>
      </c>
      <c r="C157">
        <v>2.3962120919999998E-6</v>
      </c>
      <c r="D157">
        <v>0</v>
      </c>
      <c r="E157">
        <v>2.3962120919999998E-6</v>
      </c>
      <c r="F157">
        <v>100</v>
      </c>
      <c r="G157">
        <v>1.0004237147828909</v>
      </c>
      <c r="H157">
        <f t="shared" si="12"/>
        <v>1.8397801775938915E-4</v>
      </c>
      <c r="Y157">
        <f t="shared" si="13"/>
        <v>-5.6206587226023528</v>
      </c>
      <c r="Z157">
        <f t="shared" si="14"/>
        <v>-5.6204747445845928</v>
      </c>
    </row>
    <row r="158" spans="1:26" x14ac:dyDescent="0.2">
      <c r="A158" t="s">
        <v>127</v>
      </c>
      <c r="B158">
        <v>2.382295855178748E-6</v>
      </c>
      <c r="C158">
        <v>2.380467344E-6</v>
      </c>
      <c r="D158">
        <v>0</v>
      </c>
      <c r="E158">
        <v>2.380467344E-6</v>
      </c>
      <c r="F158">
        <v>100</v>
      </c>
      <c r="G158">
        <v>0.99923245839731745</v>
      </c>
      <c r="H158">
        <f t="shared" si="12"/>
        <v>-3.3346707397971222E-4</v>
      </c>
      <c r="Y158">
        <f t="shared" si="13"/>
        <v>-5.6230043048629721</v>
      </c>
      <c r="Z158">
        <f t="shared" si="14"/>
        <v>-5.6233377719369519</v>
      </c>
    </row>
    <row r="159" spans="1:26" x14ac:dyDescent="0.2">
      <c r="A159" t="s">
        <v>421</v>
      </c>
      <c r="B159">
        <v>2.049595511417307E-6</v>
      </c>
      <c r="C159">
        <v>2.340494001E-6</v>
      </c>
      <c r="D159">
        <v>0</v>
      </c>
      <c r="E159">
        <v>2.340494001E-6</v>
      </c>
      <c r="F159">
        <v>100</v>
      </c>
      <c r="G159">
        <v>1.1419297065992959</v>
      </c>
      <c r="H159">
        <f t="shared" si="12"/>
        <v>5.7639371006481636E-2</v>
      </c>
      <c r="Y159">
        <f t="shared" si="13"/>
        <v>-5.6883318386965929</v>
      </c>
      <c r="Z159">
        <f t="shared" si="14"/>
        <v>-5.6306924676901113</v>
      </c>
    </row>
    <row r="160" spans="1:26" x14ac:dyDescent="0.2">
      <c r="A160" t="s">
        <v>112</v>
      </c>
      <c r="B160">
        <v>2.245322156576637E-6</v>
      </c>
      <c r="C160">
        <v>2.2462735280000001E-6</v>
      </c>
      <c r="D160">
        <v>0</v>
      </c>
      <c r="E160">
        <v>2.2462735280000001E-6</v>
      </c>
      <c r="F160">
        <v>100</v>
      </c>
      <c r="G160">
        <v>1.00042371265993</v>
      </c>
      <c r="H160">
        <f t="shared" si="12"/>
        <v>1.8397709615967155E-4</v>
      </c>
      <c r="Y160">
        <f t="shared" si="13"/>
        <v>-5.6487213380522263</v>
      </c>
      <c r="Z160">
        <f t="shared" si="14"/>
        <v>-5.6485373609560661</v>
      </c>
    </row>
    <row r="161" spans="1:26" x14ac:dyDescent="0.2">
      <c r="A161" t="s">
        <v>186</v>
      </c>
      <c r="B161">
        <v>1.9283438591086809E-6</v>
      </c>
      <c r="C161">
        <v>2.2446970730000002E-6</v>
      </c>
      <c r="D161">
        <v>0</v>
      </c>
      <c r="E161">
        <v>2.2446970730000002E-6</v>
      </c>
      <c r="F161">
        <v>100</v>
      </c>
      <c r="G161">
        <v>1.1640543580425251</v>
      </c>
      <c r="H161">
        <f t="shared" si="12"/>
        <v>6.5973261110010409E-2</v>
      </c>
      <c r="Y161">
        <f t="shared" si="13"/>
        <v>-5.714815520849176</v>
      </c>
      <c r="Z161">
        <f t="shared" si="14"/>
        <v>-5.6488422597391654</v>
      </c>
    </row>
    <row r="162" spans="1:26" x14ac:dyDescent="0.2">
      <c r="A162" t="s">
        <v>153</v>
      </c>
      <c r="B162">
        <v>1.881718457095449E-6</v>
      </c>
      <c r="C162">
        <v>2.1904225710000001E-6</v>
      </c>
      <c r="D162">
        <v>0</v>
      </c>
      <c r="E162">
        <v>2.1904225710000001E-6</v>
      </c>
      <c r="F162">
        <v>100</v>
      </c>
      <c r="G162">
        <v>1.1640543582598719</v>
      </c>
      <c r="H162">
        <f t="shared" si="12"/>
        <v>6.5973261191099863E-2</v>
      </c>
      <c r="Y162">
        <f t="shared" si="13"/>
        <v>-5.7254453552321536</v>
      </c>
      <c r="Z162">
        <f t="shared" si="14"/>
        <v>-5.6594720940410541</v>
      </c>
    </row>
    <row r="163" spans="1:26" x14ac:dyDescent="0.2">
      <c r="A163" t="s">
        <v>151</v>
      </c>
      <c r="B163">
        <v>1.893146221106331E-6</v>
      </c>
      <c r="C163">
        <v>2.144158694E-6</v>
      </c>
      <c r="D163">
        <v>0</v>
      </c>
      <c r="E163">
        <v>2.144158694E-6</v>
      </c>
      <c r="F163">
        <v>100</v>
      </c>
      <c r="G163">
        <v>1.13259011379849</v>
      </c>
      <c r="H163">
        <f t="shared" si="12"/>
        <v>5.4072766418621326E-2</v>
      </c>
      <c r="Y163">
        <f t="shared" si="13"/>
        <v>-5.7228158410984538</v>
      </c>
      <c r="Z163">
        <f t="shared" si="14"/>
        <v>-5.6687430746798322</v>
      </c>
    </row>
    <row r="164" spans="1:26" x14ac:dyDescent="0.2">
      <c r="A164" t="s">
        <v>150</v>
      </c>
      <c r="B164">
        <v>2.656670853939595E-6</v>
      </c>
      <c r="C164">
        <v>2.144158694E-6</v>
      </c>
      <c r="D164">
        <v>0</v>
      </c>
      <c r="E164">
        <v>2.144158694E-6</v>
      </c>
      <c r="F164">
        <v>100</v>
      </c>
      <c r="G164">
        <v>0.80708481098454954</v>
      </c>
      <c r="H164">
        <f t="shared" si="12"/>
        <v>-9.3080825863720518E-2</v>
      </c>
      <c r="Y164">
        <f t="shared" si="13"/>
        <v>-5.5756622488161121</v>
      </c>
      <c r="Z164">
        <f t="shared" si="14"/>
        <v>-5.6687430746798322</v>
      </c>
    </row>
    <row r="165" spans="1:26" x14ac:dyDescent="0.2">
      <c r="A165" t="s">
        <v>157</v>
      </c>
      <c r="B165">
        <v>1.739854456654759E-6</v>
      </c>
      <c r="C165">
        <v>2.1418308440000001E-6</v>
      </c>
      <c r="D165">
        <v>0</v>
      </c>
      <c r="E165">
        <v>2.1418308440000001E-6</v>
      </c>
      <c r="F165">
        <v>100</v>
      </c>
      <c r="G165">
        <v>1.231040237766857</v>
      </c>
      <c r="H165">
        <f t="shared" si="12"/>
        <v>9.0272248507687156E-2</v>
      </c>
      <c r="Y165">
        <f t="shared" si="13"/>
        <v>-5.7594870800595999</v>
      </c>
      <c r="Z165">
        <f t="shared" si="14"/>
        <v>-5.6692148315519129</v>
      </c>
    </row>
    <row r="166" spans="1:26" x14ac:dyDescent="0.2">
      <c r="A166" t="s">
        <v>156</v>
      </c>
      <c r="B166">
        <v>1.167727624142924E-6</v>
      </c>
      <c r="C166">
        <v>2.1418308440000001E-6</v>
      </c>
      <c r="D166">
        <v>0</v>
      </c>
      <c r="E166">
        <v>2.1418308440000001E-6</v>
      </c>
      <c r="F166">
        <v>100</v>
      </c>
      <c r="G166">
        <v>1.834187013921194</v>
      </c>
      <c r="H166">
        <f t="shared" si="12"/>
        <v>0.263443614307458</v>
      </c>
      <c r="Y166">
        <f t="shared" si="13"/>
        <v>-5.9326584458593707</v>
      </c>
      <c r="Z166">
        <f t="shared" si="14"/>
        <v>-5.6692148315519129</v>
      </c>
    </row>
    <row r="167" spans="1:26" x14ac:dyDescent="0.2">
      <c r="A167" t="s">
        <v>423</v>
      </c>
      <c r="B167">
        <v>1.193243116171028E-6</v>
      </c>
      <c r="C167">
        <v>2.1379074309999999E-6</v>
      </c>
      <c r="D167">
        <v>0</v>
      </c>
      <c r="E167">
        <v>2.1379074309999999E-6</v>
      </c>
      <c r="F167">
        <v>100</v>
      </c>
      <c r="G167">
        <v>1.7916779925454629</v>
      </c>
      <c r="H167">
        <f t="shared" si="12"/>
        <v>0.25325995921744127</v>
      </c>
      <c r="Y167">
        <f t="shared" si="13"/>
        <v>-5.9232710624027911</v>
      </c>
      <c r="Z167">
        <f t="shared" si="14"/>
        <v>-5.6700111031853506</v>
      </c>
    </row>
    <row r="168" spans="1:26" x14ac:dyDescent="0.2">
      <c r="A168" t="s">
        <v>170</v>
      </c>
      <c r="B168">
        <v>2.5768104240515701E-6</v>
      </c>
      <c r="C168">
        <v>2.1009109319999999E-6</v>
      </c>
      <c r="D168">
        <v>0</v>
      </c>
      <c r="E168">
        <v>2.1009109319999999E-6</v>
      </c>
      <c r="F168">
        <v>100</v>
      </c>
      <c r="G168">
        <v>0.81531451145587031</v>
      </c>
      <c r="H168">
        <f t="shared" si="12"/>
        <v>-8.8674827773942033E-2</v>
      </c>
      <c r="Y168">
        <f t="shared" si="13"/>
        <v>-5.5889175313198001</v>
      </c>
      <c r="Z168">
        <f t="shared" si="14"/>
        <v>-5.677592359093742</v>
      </c>
    </row>
    <row r="169" spans="1:26" x14ac:dyDescent="0.2">
      <c r="A169" t="s">
        <v>144</v>
      </c>
      <c r="B169">
        <v>2.238899447107777E-6</v>
      </c>
      <c r="C169">
        <v>2.0873141670000002E-6</v>
      </c>
      <c r="D169">
        <v>0</v>
      </c>
      <c r="E169">
        <v>2.0873141670000002E-6</v>
      </c>
      <c r="F169">
        <v>100</v>
      </c>
      <c r="G169">
        <v>0.93229473511925876</v>
      </c>
      <c r="H169">
        <f t="shared" si="12"/>
        <v>-3.0446768332100811E-2</v>
      </c>
      <c r="Y169">
        <f t="shared" si="13"/>
        <v>-5.6499654109081767</v>
      </c>
      <c r="Z169">
        <f t="shared" si="14"/>
        <v>-5.6804121792402773</v>
      </c>
    </row>
    <row r="170" spans="1:26" x14ac:dyDescent="0.2">
      <c r="A170" t="s">
        <v>160</v>
      </c>
      <c r="B170">
        <v>2.065788517571665E-6</v>
      </c>
      <c r="C170">
        <v>2.0666638229999998E-6</v>
      </c>
      <c r="D170">
        <v>0</v>
      </c>
      <c r="E170">
        <v>2.0666638229999998E-6</v>
      </c>
      <c r="F170">
        <v>100</v>
      </c>
      <c r="G170">
        <v>1.000423714925748</v>
      </c>
      <c r="H170">
        <f t="shared" si="12"/>
        <v>1.8397807977514483E-4</v>
      </c>
      <c r="Y170">
        <f t="shared" si="13"/>
        <v>-5.6849141408767929</v>
      </c>
      <c r="Z170">
        <f t="shared" si="14"/>
        <v>-5.6847301627970177</v>
      </c>
    </row>
    <row r="171" spans="1:26" x14ac:dyDescent="0.2">
      <c r="A171" t="s">
        <v>164</v>
      </c>
      <c r="B171">
        <v>2.0549659560173349E-6</v>
      </c>
      <c r="C171">
        <v>2.055836675E-6</v>
      </c>
      <c r="D171">
        <v>0</v>
      </c>
      <c r="E171">
        <v>2.055836675E-6</v>
      </c>
      <c r="F171">
        <v>100</v>
      </c>
      <c r="G171">
        <v>1.000423714553575</v>
      </c>
      <c r="H171">
        <f t="shared" si="12"/>
        <v>1.8397791821093948E-4</v>
      </c>
      <c r="Y171">
        <f t="shared" si="13"/>
        <v>-5.6871953685500936</v>
      </c>
      <c r="Z171">
        <f t="shared" si="14"/>
        <v>-5.6870113906318824</v>
      </c>
    </row>
    <row r="172" spans="1:26" x14ac:dyDescent="0.2">
      <c r="A172" t="s">
        <v>178</v>
      </c>
      <c r="B172">
        <v>2.0039010748613938E-6</v>
      </c>
      <c r="C172">
        <v>2.0047501570000002E-6</v>
      </c>
      <c r="D172">
        <v>0</v>
      </c>
      <c r="E172">
        <v>2.0047501570000002E-6</v>
      </c>
      <c r="F172">
        <v>100</v>
      </c>
      <c r="G172">
        <v>1.0004237145981201</v>
      </c>
      <c r="H172">
        <f t="shared" si="12"/>
        <v>1.8397793754840853E-4</v>
      </c>
      <c r="Y172">
        <f t="shared" si="13"/>
        <v>-5.6981237217779723</v>
      </c>
      <c r="Z172">
        <f t="shared" si="14"/>
        <v>-5.6979397438404238</v>
      </c>
    </row>
    <row r="173" spans="1:26" x14ac:dyDescent="0.2">
      <c r="A173" t="s">
        <v>81</v>
      </c>
      <c r="B173">
        <v>1.9080312533096261E-6</v>
      </c>
      <c r="C173">
        <v>1.966524285E-6</v>
      </c>
      <c r="D173">
        <v>0</v>
      </c>
      <c r="E173">
        <v>1.966524285E-6</v>
      </c>
      <c r="F173">
        <v>100</v>
      </c>
      <c r="G173">
        <v>1.030656223051333</v>
      </c>
      <c r="H173">
        <f t="shared" si="12"/>
        <v>1.3113829853122224E-2</v>
      </c>
      <c r="Y173">
        <f t="shared" si="13"/>
        <v>-5.7194145158852008</v>
      </c>
      <c r="Z173">
        <f t="shared" si="14"/>
        <v>-5.706300686032078</v>
      </c>
    </row>
    <row r="174" spans="1:26" x14ac:dyDescent="0.2">
      <c r="A174" t="s">
        <v>206</v>
      </c>
      <c r="B174">
        <v>2.0624459051593421E-6</v>
      </c>
      <c r="C174">
        <v>1.9378965820000002E-6</v>
      </c>
      <c r="D174">
        <v>0</v>
      </c>
      <c r="E174">
        <v>1.9378965820000002E-6</v>
      </c>
      <c r="F174">
        <v>100</v>
      </c>
      <c r="G174">
        <v>0.93961086550305439</v>
      </c>
      <c r="H174">
        <f t="shared" si="12"/>
        <v>-2.7051969756569223E-2</v>
      </c>
      <c r="Y174">
        <f t="shared" si="13"/>
        <v>-5.6856174335168923</v>
      </c>
      <c r="Z174">
        <f t="shared" si="14"/>
        <v>-5.7126694032734617</v>
      </c>
    </row>
    <row r="175" spans="1:26" x14ac:dyDescent="0.2">
      <c r="A175" t="s">
        <v>184</v>
      </c>
      <c r="B175">
        <v>6.0457927947001129E-7</v>
      </c>
      <c r="C175">
        <v>1.897332146E-6</v>
      </c>
      <c r="D175">
        <v>0</v>
      </c>
      <c r="E175">
        <v>1.897332146E-6</v>
      </c>
      <c r="F175">
        <v>100</v>
      </c>
      <c r="G175">
        <v>3.1382685620043862</v>
      </c>
      <c r="H175">
        <f t="shared" si="12"/>
        <v>0.49669010623810866</v>
      </c>
      <c r="Y175">
        <f t="shared" si="13"/>
        <v>-6.2185467413230064</v>
      </c>
      <c r="Z175">
        <f t="shared" si="14"/>
        <v>-5.7218566350848983</v>
      </c>
    </row>
    <row r="176" spans="1:26" x14ac:dyDescent="0.2">
      <c r="A176" t="s">
        <v>167</v>
      </c>
      <c r="B176">
        <v>1.8890205187089879E-6</v>
      </c>
      <c r="C176">
        <v>1.889820924E-6</v>
      </c>
      <c r="D176">
        <v>0</v>
      </c>
      <c r="E176">
        <v>1.889820924E-6</v>
      </c>
      <c r="F176">
        <v>100</v>
      </c>
      <c r="G176">
        <v>1.00042371445047</v>
      </c>
      <c r="H176">
        <f t="shared" si="12"/>
        <v>1.8397787345193721E-4</v>
      </c>
      <c r="Y176">
        <f t="shared" si="13"/>
        <v>-5.7237633247072335</v>
      </c>
      <c r="Z176">
        <f t="shared" si="14"/>
        <v>-5.7235793468337812</v>
      </c>
    </row>
    <row r="177" spans="1:26" x14ac:dyDescent="0.2">
      <c r="A177" t="s">
        <v>177</v>
      </c>
      <c r="B177">
        <v>3.4265450032540108E-6</v>
      </c>
      <c r="C177">
        <v>1.87665577E-6</v>
      </c>
      <c r="D177">
        <v>0</v>
      </c>
      <c r="E177">
        <v>1.87665577E-6</v>
      </c>
      <c r="F177">
        <v>100</v>
      </c>
      <c r="G177">
        <v>0.54768163506325984</v>
      </c>
      <c r="H177">
        <f t="shared" si="12"/>
        <v>-0.26147182165001326</v>
      </c>
      <c r="Y177">
        <f t="shared" si="13"/>
        <v>-5.4651435599106355</v>
      </c>
      <c r="Z177">
        <f t="shared" si="14"/>
        <v>-5.7266153815606486</v>
      </c>
    </row>
    <row r="178" spans="1:26" x14ac:dyDescent="0.2">
      <c r="A178" t="s">
        <v>176</v>
      </c>
      <c r="B178">
        <v>1.8756376615326789E-6</v>
      </c>
      <c r="C178">
        <v>1.8754027790000001E-6</v>
      </c>
      <c r="D178">
        <v>0</v>
      </c>
      <c r="E178">
        <v>1.8754027790000001E-6</v>
      </c>
      <c r="F178">
        <v>100</v>
      </c>
      <c r="G178">
        <v>0.99987477190424578</v>
      </c>
      <c r="H178">
        <f t="shared" si="12"/>
        <v>-5.4389276569157283E-5</v>
      </c>
      <c r="Y178">
        <f t="shared" si="13"/>
        <v>-5.7268510555068657</v>
      </c>
      <c r="Z178">
        <f t="shared" si="14"/>
        <v>-5.7269054447834344</v>
      </c>
    </row>
    <row r="179" spans="1:26" x14ac:dyDescent="0.2">
      <c r="A179" t="s">
        <v>159</v>
      </c>
      <c r="B179">
        <v>1.727723173424285E-6</v>
      </c>
      <c r="C179">
        <v>1.8316983459999999E-6</v>
      </c>
      <c r="D179">
        <v>0</v>
      </c>
      <c r="E179">
        <v>1.8316983459999999E-6</v>
      </c>
      <c r="F179">
        <v>100</v>
      </c>
      <c r="G179">
        <v>1.060180458406216</v>
      </c>
      <c r="H179">
        <f t="shared" si="12"/>
        <v>2.53797949059111E-2</v>
      </c>
      <c r="Y179">
        <f t="shared" si="13"/>
        <v>-5.7625258416518603</v>
      </c>
      <c r="Z179">
        <f t="shared" si="14"/>
        <v>-5.7371460467459494</v>
      </c>
    </row>
    <row r="180" spans="1:26" x14ac:dyDescent="0.2">
      <c r="A180" t="s">
        <v>215</v>
      </c>
      <c r="B180">
        <v>1.829258890215966E-6</v>
      </c>
      <c r="C180">
        <v>1.8315695830000001E-6</v>
      </c>
      <c r="D180">
        <v>0</v>
      </c>
      <c r="E180">
        <v>1.8315695830000001E-6</v>
      </c>
      <c r="F180">
        <v>100</v>
      </c>
      <c r="G180">
        <v>1.00126318521473</v>
      </c>
      <c r="H180">
        <f t="shared" si="12"/>
        <v>5.4824817174115579E-4</v>
      </c>
      <c r="Y180">
        <f t="shared" si="13"/>
        <v>-5.7377248256140421</v>
      </c>
      <c r="Z180">
        <f t="shared" si="14"/>
        <v>-5.7371765774423009</v>
      </c>
    </row>
    <row r="181" spans="1:26" x14ac:dyDescent="0.2">
      <c r="A181" t="s">
        <v>195</v>
      </c>
      <c r="B181">
        <v>1.821507528905863E-6</v>
      </c>
      <c r="C181">
        <v>1.822279329E-6</v>
      </c>
      <c r="D181">
        <v>0</v>
      </c>
      <c r="E181">
        <v>1.822279329E-6</v>
      </c>
      <c r="F181">
        <v>100</v>
      </c>
      <c r="G181">
        <v>1.0004237150173081</v>
      </c>
      <c r="H181">
        <f t="shared" si="12"/>
        <v>1.8397811952234643E-4</v>
      </c>
      <c r="Y181">
        <f t="shared" si="13"/>
        <v>-5.7395690293325714</v>
      </c>
      <c r="Z181">
        <f t="shared" si="14"/>
        <v>-5.7393850512130484</v>
      </c>
    </row>
    <row r="182" spans="1:26" x14ac:dyDescent="0.2">
      <c r="A182" t="s">
        <v>181</v>
      </c>
      <c r="B182">
        <v>1.03745041361628E-6</v>
      </c>
      <c r="C182">
        <v>1.7780868630000001E-6</v>
      </c>
      <c r="D182">
        <v>0</v>
      </c>
      <c r="E182">
        <v>1.7780868630000001E-6</v>
      </c>
      <c r="F182">
        <v>100</v>
      </c>
      <c r="G182">
        <v>1.713900577476331</v>
      </c>
      <c r="H182">
        <f t="shared" si="12"/>
        <v>0.23398562511006835</v>
      </c>
      <c r="Y182">
        <f t="shared" si="13"/>
        <v>-5.9840326518278877</v>
      </c>
      <c r="Z182">
        <f t="shared" si="14"/>
        <v>-5.7500470267178194</v>
      </c>
    </row>
    <row r="183" spans="1:26" x14ac:dyDescent="0.2">
      <c r="A183" t="s">
        <v>209</v>
      </c>
      <c r="B183">
        <v>1.9738210091550311E-6</v>
      </c>
      <c r="C183">
        <v>1.767532841E-6</v>
      </c>
      <c r="D183">
        <v>0</v>
      </c>
      <c r="E183">
        <v>1.767532841E-6</v>
      </c>
      <c r="F183">
        <v>100</v>
      </c>
      <c r="G183">
        <v>0.89548790533780942</v>
      </c>
      <c r="H183">
        <f t="shared" si="12"/>
        <v>-4.7940275454839566E-2</v>
      </c>
      <c r="Y183">
        <f t="shared" si="13"/>
        <v>-5.7046922327508609</v>
      </c>
      <c r="Z183">
        <f t="shared" si="14"/>
        <v>-5.7526325082057008</v>
      </c>
    </row>
    <row r="184" spans="1:26" x14ac:dyDescent="0.2">
      <c r="A184" t="s">
        <v>210</v>
      </c>
      <c r="B184">
        <v>1.779343542025036E-6</v>
      </c>
      <c r="C184">
        <v>1.767532841E-6</v>
      </c>
      <c r="D184">
        <v>0</v>
      </c>
      <c r="E184">
        <v>1.767532841E-6</v>
      </c>
      <c r="F184">
        <v>100</v>
      </c>
      <c r="G184">
        <v>0.99336232675361025</v>
      </c>
      <c r="H184">
        <f t="shared" si="12"/>
        <v>-2.8923146380263813E-3</v>
      </c>
      <c r="Y184">
        <f t="shared" si="13"/>
        <v>-5.749740193567674</v>
      </c>
      <c r="Z184">
        <f t="shared" si="14"/>
        <v>-5.7526325082057008</v>
      </c>
    </row>
    <row r="185" spans="1:26" x14ac:dyDescent="0.2">
      <c r="A185" t="s">
        <v>211</v>
      </c>
      <c r="B185">
        <v>1.765302936800632E-6</v>
      </c>
      <c r="C185">
        <v>1.767532841E-6</v>
      </c>
      <c r="D185">
        <v>0</v>
      </c>
      <c r="E185">
        <v>1.767532841E-6</v>
      </c>
      <c r="F185">
        <v>100</v>
      </c>
      <c r="G185">
        <v>1.001263185005181</v>
      </c>
      <c r="H185">
        <f t="shared" si="12"/>
        <v>5.4824808084997438E-4</v>
      </c>
      <c r="Y185">
        <f t="shared" si="13"/>
        <v>-5.7531807562865502</v>
      </c>
      <c r="Z185">
        <f t="shared" si="14"/>
        <v>-5.7526325082057008</v>
      </c>
    </row>
    <row r="186" spans="1:26" x14ac:dyDescent="0.2">
      <c r="A186" t="s">
        <v>190</v>
      </c>
      <c r="B186">
        <v>1.5987013531885139E-6</v>
      </c>
      <c r="C186">
        <v>1.6949119330000001E-6</v>
      </c>
      <c r="D186">
        <v>0</v>
      </c>
      <c r="E186">
        <v>1.6949119330000001E-6</v>
      </c>
      <c r="F186">
        <v>100</v>
      </c>
      <c r="G186">
        <v>1.060180458107201</v>
      </c>
      <c r="H186">
        <f t="shared" si="12"/>
        <v>2.5379794783421974E-2</v>
      </c>
      <c r="Y186">
        <f t="shared" si="13"/>
        <v>-5.7962326574394663</v>
      </c>
      <c r="Z186">
        <f t="shared" si="14"/>
        <v>-5.770852862656044</v>
      </c>
    </row>
    <row r="187" spans="1:26" x14ac:dyDescent="0.2">
      <c r="A187" t="s">
        <v>196</v>
      </c>
      <c r="B187">
        <v>1.6748814992885981E-6</v>
      </c>
      <c r="C187">
        <v>1.6755911709999999E-6</v>
      </c>
      <c r="D187">
        <v>0</v>
      </c>
      <c r="E187">
        <v>1.6755911709999999E-6</v>
      </c>
      <c r="F187">
        <v>100</v>
      </c>
      <c r="G187">
        <v>1.0004237145802279</v>
      </c>
      <c r="H187">
        <f t="shared" si="12"/>
        <v>1.8397792978124529E-4</v>
      </c>
      <c r="Y187">
        <f t="shared" si="13"/>
        <v>-5.7760159146125751</v>
      </c>
      <c r="Z187">
        <f t="shared" si="14"/>
        <v>-5.7758319366827937</v>
      </c>
    </row>
    <row r="188" spans="1:26" x14ac:dyDescent="0.2">
      <c r="A188" t="s">
        <v>203</v>
      </c>
      <c r="B188">
        <v>1.5892504515651879E-6</v>
      </c>
      <c r="C188">
        <v>1.589923839E-6</v>
      </c>
      <c r="D188">
        <v>0</v>
      </c>
      <c r="E188">
        <v>1.589923839E-6</v>
      </c>
      <c r="F188">
        <v>100</v>
      </c>
      <c r="G188">
        <v>1.0004237138546339</v>
      </c>
      <c r="H188">
        <f t="shared" si="12"/>
        <v>1.8397761479322717E-4</v>
      </c>
      <c r="Y188">
        <f t="shared" si="13"/>
        <v>-5.7988076564982656</v>
      </c>
      <c r="Z188">
        <f t="shared" si="14"/>
        <v>-5.7986236788834722</v>
      </c>
    </row>
    <row r="189" spans="1:26" x14ac:dyDescent="0.2">
      <c r="A189" t="s">
        <v>133</v>
      </c>
      <c r="B189">
        <v>1.774962489346677E-6</v>
      </c>
      <c r="C189">
        <v>1.568540888E-6</v>
      </c>
      <c r="D189">
        <v>0</v>
      </c>
      <c r="E189">
        <v>1.568540888E-6</v>
      </c>
      <c r="F189">
        <v>100</v>
      </c>
      <c r="G189">
        <v>0.88370368242392783</v>
      </c>
      <c r="H189">
        <f t="shared" si="12"/>
        <v>-5.3693335282569206E-2</v>
      </c>
      <c r="Y189">
        <f t="shared" si="13"/>
        <v>-5.7508108205479784</v>
      </c>
      <c r="Z189">
        <f t="shared" si="14"/>
        <v>-5.8045041558305472</v>
      </c>
    </row>
    <row r="190" spans="1:26" x14ac:dyDescent="0.2">
      <c r="A190" t="s">
        <v>234</v>
      </c>
      <c r="B190">
        <v>1.5358062748432051E-6</v>
      </c>
      <c r="C190">
        <v>1.5377462820000001E-6</v>
      </c>
      <c r="D190">
        <v>0</v>
      </c>
      <c r="E190">
        <v>1.5377462820000001E-6</v>
      </c>
      <c r="F190">
        <v>100</v>
      </c>
      <c r="G190">
        <v>1.001263184809551</v>
      </c>
      <c r="H190">
        <f t="shared" si="12"/>
        <v>5.4824799599614968E-4</v>
      </c>
      <c r="Y190">
        <f t="shared" si="13"/>
        <v>-5.8136635623466004</v>
      </c>
      <c r="Z190">
        <f t="shared" si="14"/>
        <v>-5.813115314350604</v>
      </c>
    </row>
    <row r="191" spans="1:26" x14ac:dyDescent="0.2">
      <c r="A191" t="s">
        <v>255</v>
      </c>
      <c r="B191">
        <v>1.5510058920258949E-6</v>
      </c>
      <c r="C191">
        <v>1.534095952E-6</v>
      </c>
      <c r="D191">
        <v>0</v>
      </c>
      <c r="E191">
        <v>1.534095952E-6</v>
      </c>
      <c r="F191">
        <v>100</v>
      </c>
      <c r="G191">
        <v>0.98909743662945881</v>
      </c>
      <c r="H191">
        <f t="shared" si="12"/>
        <v>-4.7609236645565958E-3</v>
      </c>
      <c r="Y191">
        <f t="shared" si="13"/>
        <v>-5.8093865523672639</v>
      </c>
      <c r="Z191">
        <f t="shared" si="14"/>
        <v>-5.8141474760318204</v>
      </c>
    </row>
    <row r="192" spans="1:26" x14ac:dyDescent="0.2">
      <c r="A192" t="s">
        <v>166</v>
      </c>
      <c r="B192">
        <v>1.1292499556175861E-6</v>
      </c>
      <c r="C192">
        <v>1.4790603050000001E-6</v>
      </c>
      <c r="D192">
        <v>0</v>
      </c>
      <c r="E192">
        <v>1.4790603050000001E-6</v>
      </c>
      <c r="F192">
        <v>100</v>
      </c>
      <c r="G192">
        <v>1.309772294116321</v>
      </c>
      <c r="H192">
        <f t="shared" si="12"/>
        <v>0.11719579946913017</v>
      </c>
      <c r="Y192">
        <f t="shared" si="13"/>
        <v>-5.9472099178354529</v>
      </c>
      <c r="Z192">
        <f t="shared" si="14"/>
        <v>-5.8300141183663223</v>
      </c>
    </row>
    <row r="193" spans="1:26" x14ac:dyDescent="0.2">
      <c r="A193" t="s">
        <v>245</v>
      </c>
      <c r="B193">
        <v>7.8457717489401614E-7</v>
      </c>
      <c r="C193">
        <v>1.439061266E-6</v>
      </c>
      <c r="D193">
        <v>0</v>
      </c>
      <c r="E193">
        <v>1.439061266E-6</v>
      </c>
      <c r="F193">
        <v>100</v>
      </c>
      <c r="G193">
        <v>1.8341870144188099</v>
      </c>
      <c r="H193">
        <f t="shared" si="12"/>
        <v>0.2634436144252823</v>
      </c>
      <c r="Y193">
        <f t="shared" si="13"/>
        <v>-6.1053643306211773</v>
      </c>
      <c r="Z193">
        <f t="shared" si="14"/>
        <v>-5.8419207161958946</v>
      </c>
    </row>
    <row r="194" spans="1:26" x14ac:dyDescent="0.2">
      <c r="A194" t="s">
        <v>205</v>
      </c>
      <c r="B194">
        <v>2.1691878329227749E-6</v>
      </c>
      <c r="C194">
        <v>1.430990953E-6</v>
      </c>
      <c r="D194">
        <v>0</v>
      </c>
      <c r="E194">
        <v>1.430990953E-6</v>
      </c>
      <c r="F194">
        <v>100</v>
      </c>
      <c r="G194">
        <v>0.65968973791996388</v>
      </c>
      <c r="H194">
        <f t="shared" si="12"/>
        <v>-0.180660271716723</v>
      </c>
      <c r="Y194">
        <f t="shared" si="13"/>
        <v>-5.6637028402080558</v>
      </c>
      <c r="Z194">
        <f t="shared" si="14"/>
        <v>-5.8443631119247783</v>
      </c>
    </row>
    <row r="195" spans="1:26" x14ac:dyDescent="0.2">
      <c r="A195" t="s">
        <v>204</v>
      </c>
      <c r="B195">
        <v>1.614710680509467E-6</v>
      </c>
      <c r="C195">
        <v>1.430990953E-6</v>
      </c>
      <c r="D195">
        <v>0</v>
      </c>
      <c r="E195">
        <v>1.430990953E-6</v>
      </c>
      <c r="F195">
        <v>100</v>
      </c>
      <c r="G195">
        <v>0.88622127188042088</v>
      </c>
      <c r="H195">
        <f t="shared" ref="H195:H258" si="15">LOG(G195)</f>
        <v>-5.2457829852349674E-2</v>
      </c>
      <c r="Y195">
        <f t="shared" ref="Y195:Y258" si="16">LOG(B195)</f>
        <v>-5.7919052820724284</v>
      </c>
      <c r="Z195">
        <f t="shared" ref="Z195:Z258" si="17">LOG(C195)</f>
        <v>-5.8443631119247783</v>
      </c>
    </row>
    <row r="196" spans="1:26" x14ac:dyDescent="0.2">
      <c r="A196" t="s">
        <v>220</v>
      </c>
      <c r="B196">
        <v>1.515309574659911E-6</v>
      </c>
      <c r="C196">
        <v>1.429486518E-6</v>
      </c>
      <c r="D196">
        <v>0</v>
      </c>
      <c r="E196">
        <v>1.429486518E-6</v>
      </c>
      <c r="F196">
        <v>100</v>
      </c>
      <c r="G196">
        <v>0.94336269096750536</v>
      </c>
      <c r="H196">
        <f t="shared" si="15"/>
        <v>-2.5321303654596738E-2</v>
      </c>
      <c r="Y196">
        <f t="shared" si="16"/>
        <v>-5.8194986326190881</v>
      </c>
      <c r="Z196">
        <f t="shared" si="17"/>
        <v>-5.8448199362736846</v>
      </c>
    </row>
    <row r="197" spans="1:26" x14ac:dyDescent="0.2">
      <c r="A197" t="s">
        <v>139</v>
      </c>
      <c r="B197">
        <v>1.3990317172293719E-6</v>
      </c>
      <c r="C197">
        <v>1.397957902E-6</v>
      </c>
      <c r="D197">
        <v>0</v>
      </c>
      <c r="E197">
        <v>1.397957902E-6</v>
      </c>
      <c r="F197">
        <v>100</v>
      </c>
      <c r="G197">
        <v>0.99923245826656548</v>
      </c>
      <c r="H197">
        <f t="shared" si="15"/>
        <v>-3.334671308081873E-4</v>
      </c>
      <c r="Y197">
        <f t="shared" si="16"/>
        <v>-5.8541724395742518</v>
      </c>
      <c r="Z197">
        <f t="shared" si="17"/>
        <v>-5.85450590670506</v>
      </c>
    </row>
    <row r="198" spans="1:26" x14ac:dyDescent="0.2">
      <c r="A198" t="s">
        <v>199</v>
      </c>
      <c r="B198">
        <v>1.699922367950851E-6</v>
      </c>
      <c r="C198">
        <v>1.385971375E-6</v>
      </c>
      <c r="D198">
        <v>0</v>
      </c>
      <c r="E198">
        <v>1.385971375E-6</v>
      </c>
      <c r="F198">
        <v>100</v>
      </c>
      <c r="G198">
        <v>0.81531451149189871</v>
      </c>
      <c r="H198">
        <f t="shared" si="15"/>
        <v>-8.8674827754750746E-2</v>
      </c>
      <c r="Y198">
        <f t="shared" si="16"/>
        <v>-5.7695709115278468</v>
      </c>
      <c r="Z198">
        <f t="shared" si="17"/>
        <v>-5.8582457392825971</v>
      </c>
    </row>
    <row r="199" spans="1:26" x14ac:dyDescent="0.2">
      <c r="A199" t="s">
        <v>200</v>
      </c>
      <c r="B199">
        <v>2.8942979457365028E-6</v>
      </c>
      <c r="C199">
        <v>1.385971375E-6</v>
      </c>
      <c r="D199">
        <v>0</v>
      </c>
      <c r="E199">
        <v>1.385971375E-6</v>
      </c>
      <c r="F199">
        <v>100</v>
      </c>
      <c r="G199">
        <v>0.47886271592792629</v>
      </c>
      <c r="H199">
        <f t="shared" si="15"/>
        <v>-0.31978897564711889</v>
      </c>
      <c r="Y199">
        <f t="shared" si="16"/>
        <v>-5.5384567636354785</v>
      </c>
      <c r="Z199">
        <f t="shared" si="17"/>
        <v>-5.8582457392825971</v>
      </c>
    </row>
    <row r="200" spans="1:26" x14ac:dyDescent="0.2">
      <c r="A200" t="s">
        <v>257</v>
      </c>
      <c r="B200">
        <v>1.361366385907211E-6</v>
      </c>
      <c r="C200">
        <v>1.361943217E-6</v>
      </c>
      <c r="D200">
        <v>0</v>
      </c>
      <c r="E200">
        <v>1.361943217E-6</v>
      </c>
      <c r="F200">
        <v>100</v>
      </c>
      <c r="G200">
        <v>1.000423714805037</v>
      </c>
      <c r="H200">
        <f t="shared" si="15"/>
        <v>1.839780273732285E-4</v>
      </c>
      <c r="Y200">
        <f t="shared" si="16"/>
        <v>-5.866024976954014</v>
      </c>
      <c r="Z200">
        <f t="shared" si="17"/>
        <v>-5.8658409989266405</v>
      </c>
    </row>
    <row r="201" spans="1:26" x14ac:dyDescent="0.2">
      <c r="A201" t="s">
        <v>230</v>
      </c>
      <c r="B201">
        <v>1.287327026593518E-6</v>
      </c>
      <c r="C201">
        <v>1.3530508580000001E-6</v>
      </c>
      <c r="D201">
        <v>0</v>
      </c>
      <c r="E201">
        <v>1.3530508580000001E-6</v>
      </c>
      <c r="F201">
        <v>100</v>
      </c>
      <c r="G201">
        <v>1.0510544951273171</v>
      </c>
      <c r="H201">
        <f t="shared" si="15"/>
        <v>2.1625233934552058E-2</v>
      </c>
      <c r="Y201">
        <f t="shared" si="16"/>
        <v>-5.8903111129218146</v>
      </c>
      <c r="Z201">
        <f t="shared" si="17"/>
        <v>-5.8686858789872627</v>
      </c>
    </row>
    <row r="202" spans="1:26" x14ac:dyDescent="0.2">
      <c r="A202" t="s">
        <v>418</v>
      </c>
      <c r="B202">
        <v>1.3046679994528301E-7</v>
      </c>
      <c r="C202">
        <v>1.3468794300000001E-6</v>
      </c>
      <c r="D202">
        <v>0</v>
      </c>
      <c r="E202">
        <v>1.3468794300000001E-6</v>
      </c>
      <c r="F202">
        <v>100</v>
      </c>
      <c r="G202">
        <v>10.32354154899847</v>
      </c>
      <c r="H202">
        <f t="shared" si="15"/>
        <v>1.0138287100174115</v>
      </c>
      <c r="Y202">
        <f t="shared" si="16"/>
        <v>-6.8844999897430705</v>
      </c>
      <c r="Z202">
        <f t="shared" si="17"/>
        <v>-5.8706712797256593</v>
      </c>
    </row>
    <row r="203" spans="1:26" x14ac:dyDescent="0.2">
      <c r="A203" t="s">
        <v>227</v>
      </c>
      <c r="B203">
        <v>1.4600303893310601E-6</v>
      </c>
      <c r="C203">
        <v>1.3468794300000001E-6</v>
      </c>
      <c r="D203">
        <v>0</v>
      </c>
      <c r="E203">
        <v>1.3468794300000001E-6</v>
      </c>
      <c r="F203">
        <v>100</v>
      </c>
      <c r="G203">
        <v>0.92250095603633153</v>
      </c>
      <c r="H203">
        <f t="shared" si="15"/>
        <v>-3.5033175086421654E-2</v>
      </c>
      <c r="Y203">
        <f t="shared" si="16"/>
        <v>-5.8356381046392372</v>
      </c>
      <c r="Z203">
        <f t="shared" si="17"/>
        <v>-5.8706712797256593</v>
      </c>
    </row>
    <row r="204" spans="1:26" x14ac:dyDescent="0.2">
      <c r="A204" t="s">
        <v>191</v>
      </c>
      <c r="B204">
        <v>1.0140946295064951E-6</v>
      </c>
      <c r="C204">
        <v>1.328233049E-6</v>
      </c>
      <c r="D204">
        <v>0</v>
      </c>
      <c r="E204">
        <v>1.328233049E-6</v>
      </c>
      <c r="F204">
        <v>100</v>
      </c>
      <c r="G204">
        <v>1.309772293781281</v>
      </c>
      <c r="H204">
        <f t="shared" si="15"/>
        <v>0.11719579935803755</v>
      </c>
      <c r="Y204">
        <f t="shared" si="16"/>
        <v>-5.993921517236446</v>
      </c>
      <c r="Z204">
        <f t="shared" si="17"/>
        <v>-5.8767257178784078</v>
      </c>
    </row>
    <row r="205" spans="1:26" x14ac:dyDescent="0.2">
      <c r="A205" t="s">
        <v>212</v>
      </c>
      <c r="B205">
        <v>1.6135099111870621E-6</v>
      </c>
      <c r="C205">
        <v>1.3155180450000001E-6</v>
      </c>
      <c r="D205">
        <v>0</v>
      </c>
      <c r="E205">
        <v>1.3155180450000001E-6</v>
      </c>
      <c r="F205">
        <v>100</v>
      </c>
      <c r="G205">
        <v>0.815314511475279</v>
      </c>
      <c r="H205">
        <f t="shared" si="15"/>
        <v>-8.8674827763603581E-2</v>
      </c>
      <c r="Y205">
        <f t="shared" si="16"/>
        <v>-5.7922283625435407</v>
      </c>
      <c r="Z205">
        <f t="shared" si="17"/>
        <v>-5.8809031903071443</v>
      </c>
    </row>
    <row r="206" spans="1:26" x14ac:dyDescent="0.2">
      <c r="A206" t="s">
        <v>235</v>
      </c>
      <c r="B206">
        <v>8.1425200583069108E-7</v>
      </c>
      <c r="C206">
        <v>1.311832266E-6</v>
      </c>
      <c r="D206">
        <v>0</v>
      </c>
      <c r="E206">
        <v>1.311832266E-6</v>
      </c>
      <c r="F206">
        <v>100</v>
      </c>
      <c r="G206">
        <v>1.6110887742446309</v>
      </c>
      <c r="H206">
        <f t="shared" si="15"/>
        <v>0.20711947158144814</v>
      </c>
      <c r="Y206">
        <f t="shared" si="16"/>
        <v>-6.0892411629195182</v>
      </c>
      <c r="Z206">
        <f t="shared" si="17"/>
        <v>-5.8821216913380701</v>
      </c>
    </row>
    <row r="207" spans="1:26" x14ac:dyDescent="0.2">
      <c r="A207" t="s">
        <v>231</v>
      </c>
      <c r="B207">
        <v>5.6226930368670139E-7</v>
      </c>
      <c r="C207">
        <v>1.299372338E-6</v>
      </c>
      <c r="D207">
        <v>0</v>
      </c>
      <c r="E207">
        <v>1.299372338E-6</v>
      </c>
      <c r="F207">
        <v>100</v>
      </c>
      <c r="G207">
        <v>2.3109430471844061</v>
      </c>
      <c r="H207">
        <f t="shared" si="15"/>
        <v>0.3637892424941136</v>
      </c>
      <c r="Y207">
        <f t="shared" si="16"/>
        <v>-6.250055625548705</v>
      </c>
      <c r="Z207">
        <f t="shared" si="17"/>
        <v>-5.8862663830545916</v>
      </c>
    </row>
    <row r="208" spans="1:26" x14ac:dyDescent="0.2">
      <c r="A208" t="s">
        <v>266</v>
      </c>
      <c r="B208">
        <v>1.28158156062106E-6</v>
      </c>
      <c r="C208">
        <v>1.282124586E-6</v>
      </c>
      <c r="D208">
        <v>0</v>
      </c>
      <c r="E208">
        <v>1.282124586E-6</v>
      </c>
      <c r="F208">
        <v>100</v>
      </c>
      <c r="G208">
        <v>1.00042371503744</v>
      </c>
      <c r="H208">
        <f t="shared" si="15"/>
        <v>1.8397812826181478E-4</v>
      </c>
      <c r="Y208">
        <f t="shared" si="16"/>
        <v>-5.8922537498382814</v>
      </c>
      <c r="Z208">
        <f t="shared" si="17"/>
        <v>-5.8920697717100197</v>
      </c>
    </row>
    <row r="209" spans="1:26" x14ac:dyDescent="0.2">
      <c r="A209" t="s">
        <v>179</v>
      </c>
      <c r="B209">
        <v>1.277419404931769E-6</v>
      </c>
      <c r="C209">
        <v>1.2779606659999999E-6</v>
      </c>
      <c r="D209">
        <v>0</v>
      </c>
      <c r="E209">
        <v>1.2779606659999999E-6</v>
      </c>
      <c r="F209">
        <v>100</v>
      </c>
      <c r="G209">
        <v>1.0004237144559891</v>
      </c>
      <c r="H209">
        <f t="shared" si="15"/>
        <v>1.8397787584785438E-4</v>
      </c>
      <c r="Y209">
        <f t="shared" si="16"/>
        <v>-5.8936664908782221</v>
      </c>
      <c r="Z209">
        <f t="shared" si="17"/>
        <v>-5.8934825130023745</v>
      </c>
    </row>
    <row r="210" spans="1:26" x14ac:dyDescent="0.2">
      <c r="A210" t="s">
        <v>243</v>
      </c>
      <c r="B210">
        <v>1.172789814215008E-6</v>
      </c>
      <c r="C210">
        <v>1.237647185E-6</v>
      </c>
      <c r="D210">
        <v>0</v>
      </c>
      <c r="E210">
        <v>1.237647185E-6</v>
      </c>
      <c r="F210">
        <v>100</v>
      </c>
      <c r="G210">
        <v>1.0553017855364</v>
      </c>
      <c r="H210">
        <f t="shared" si="15"/>
        <v>2.3376672952364237E-2</v>
      </c>
      <c r="Y210">
        <f t="shared" si="16"/>
        <v>-5.930779814573194</v>
      </c>
      <c r="Z210">
        <f t="shared" si="17"/>
        <v>-5.9074031416208301</v>
      </c>
    </row>
    <row r="211" spans="1:26" x14ac:dyDescent="0.2">
      <c r="A211" t="s">
        <v>244</v>
      </c>
      <c r="B211">
        <v>7.7887687954185434E-7</v>
      </c>
      <c r="C211">
        <v>1.237647185E-6</v>
      </c>
      <c r="D211">
        <v>0</v>
      </c>
      <c r="E211">
        <v>1.237647185E-6</v>
      </c>
      <c r="F211">
        <v>100</v>
      </c>
      <c r="G211">
        <v>1.589015180073134</v>
      </c>
      <c r="H211">
        <f t="shared" si="15"/>
        <v>0.20112804610008364</v>
      </c>
      <c r="Y211">
        <f t="shared" si="16"/>
        <v>-6.1085311877209136</v>
      </c>
      <c r="Z211">
        <f t="shared" si="17"/>
        <v>-5.9074031416208301</v>
      </c>
    </row>
    <row r="212" spans="1:26" x14ac:dyDescent="0.2">
      <c r="A212" t="s">
        <v>242</v>
      </c>
      <c r="B212">
        <v>6.1182655446455362E-7</v>
      </c>
      <c r="C212">
        <v>1.237647185E-6</v>
      </c>
      <c r="D212">
        <v>0</v>
      </c>
      <c r="E212">
        <v>1.237647185E-6</v>
      </c>
      <c r="F212">
        <v>100</v>
      </c>
      <c r="G212">
        <v>2.0228726196481279</v>
      </c>
      <c r="H212">
        <f t="shared" si="15"/>
        <v>0.30596853609475239</v>
      </c>
      <c r="Y212">
        <f t="shared" si="16"/>
        <v>-6.2133716777155827</v>
      </c>
      <c r="Z212">
        <f t="shared" si="17"/>
        <v>-5.9074031416208301</v>
      </c>
    </row>
    <row r="213" spans="1:26" x14ac:dyDescent="0.2">
      <c r="A213" t="s">
        <v>169</v>
      </c>
      <c r="B213">
        <v>1.2217190544398841E-6</v>
      </c>
      <c r="C213">
        <v>1.2232623120000001E-6</v>
      </c>
      <c r="D213">
        <v>0</v>
      </c>
      <c r="E213">
        <v>1.2232623120000001E-6</v>
      </c>
      <c r="F213">
        <v>100</v>
      </c>
      <c r="G213">
        <v>1.001263185308036</v>
      </c>
      <c r="H213">
        <f t="shared" si="15"/>
        <v>5.4824821221232702E-4</v>
      </c>
      <c r="Y213">
        <f t="shared" si="16"/>
        <v>-5.913028652632268</v>
      </c>
      <c r="Z213">
        <f t="shared" si="17"/>
        <v>-5.9124804044200561</v>
      </c>
    </row>
    <row r="214" spans="1:26" x14ac:dyDescent="0.2">
      <c r="A214" t="s">
        <v>182</v>
      </c>
      <c r="B214">
        <v>1.173376515871842E-6</v>
      </c>
      <c r="C214">
        <v>1.1748587080000001E-6</v>
      </c>
      <c r="D214">
        <v>0</v>
      </c>
      <c r="E214">
        <v>1.1748587080000001E-6</v>
      </c>
      <c r="F214">
        <v>100</v>
      </c>
      <c r="G214">
        <v>1.001263185438015</v>
      </c>
      <c r="H214">
        <f t="shared" si="15"/>
        <v>5.4824826859023739E-4</v>
      </c>
      <c r="Y214">
        <f t="shared" si="16"/>
        <v>-5.9305626080655989</v>
      </c>
      <c r="Z214">
        <f t="shared" si="17"/>
        <v>-5.930014359797009</v>
      </c>
    </row>
    <row r="215" spans="1:26" x14ac:dyDescent="0.2">
      <c r="A215" t="s">
        <v>237</v>
      </c>
      <c r="B215">
        <v>1.093396482023827E-6</v>
      </c>
      <c r="C215">
        <v>1.1591975830000001E-6</v>
      </c>
      <c r="D215">
        <v>0</v>
      </c>
      <c r="E215">
        <v>1.1591975830000001E-6</v>
      </c>
      <c r="F215">
        <v>100</v>
      </c>
      <c r="G215">
        <v>1.0601804579198739</v>
      </c>
      <c r="H215">
        <f t="shared" si="15"/>
        <v>2.5379794706684944E-2</v>
      </c>
      <c r="Y215">
        <f t="shared" si="16"/>
        <v>-5.9612223277739815</v>
      </c>
      <c r="Z215">
        <f t="shared" si="17"/>
        <v>-5.935842533067297</v>
      </c>
    </row>
    <row r="216" spans="1:26" x14ac:dyDescent="0.2">
      <c r="A216" t="s">
        <v>269</v>
      </c>
      <c r="B216">
        <v>1.1693655473819251E-6</v>
      </c>
      <c r="C216">
        <v>1.143528968E-6</v>
      </c>
      <c r="D216">
        <v>0</v>
      </c>
      <c r="E216">
        <v>1.143528968E-6</v>
      </c>
      <c r="F216">
        <v>100</v>
      </c>
      <c r="G216">
        <v>0.97790547238220737</v>
      </c>
      <c r="H216">
        <f t="shared" si="15"/>
        <v>-9.7031235425442987E-3</v>
      </c>
      <c r="Y216">
        <f t="shared" si="16"/>
        <v>-5.9320497057803614</v>
      </c>
      <c r="Z216">
        <f t="shared" si="17"/>
        <v>-5.9417528293229056</v>
      </c>
    </row>
    <row r="217" spans="1:26" x14ac:dyDescent="0.2">
      <c r="A217" t="s">
        <v>268</v>
      </c>
      <c r="B217">
        <v>1.129574755341195E-6</v>
      </c>
      <c r="C217">
        <v>1.143528968E-6</v>
      </c>
      <c r="D217">
        <v>0</v>
      </c>
      <c r="E217">
        <v>1.143528968E-6</v>
      </c>
      <c r="F217">
        <v>100</v>
      </c>
      <c r="G217">
        <v>1.012353509666202</v>
      </c>
      <c r="H217">
        <f t="shared" si="15"/>
        <v>5.3321928285442388E-3</v>
      </c>
      <c r="Y217">
        <f t="shared" si="16"/>
        <v>-5.94708502215145</v>
      </c>
      <c r="Z217">
        <f t="shared" si="17"/>
        <v>-5.9417528293229056</v>
      </c>
    </row>
    <row r="218" spans="1:26" x14ac:dyDescent="0.2">
      <c r="A218" t="s">
        <v>228</v>
      </c>
      <c r="B218">
        <v>1.7287051505047269E-6</v>
      </c>
      <c r="C218">
        <v>1.1165325880000001E-6</v>
      </c>
      <c r="D218">
        <v>0</v>
      </c>
      <c r="E218">
        <v>1.1165325880000001E-6</v>
      </c>
      <c r="F218">
        <v>100</v>
      </c>
      <c r="G218">
        <v>0.64587797848233874</v>
      </c>
      <c r="H218">
        <f t="shared" si="15"/>
        <v>-0.18984952268187458</v>
      </c>
      <c r="Y218">
        <f t="shared" si="16"/>
        <v>-5.7622790740646881</v>
      </c>
      <c r="Z218">
        <f t="shared" si="17"/>
        <v>-5.9521285967465625</v>
      </c>
    </row>
    <row r="219" spans="1:26" x14ac:dyDescent="0.2">
      <c r="A219" t="s">
        <v>229</v>
      </c>
      <c r="B219">
        <v>1.116059691319303E-6</v>
      </c>
      <c r="C219">
        <v>1.1165325880000001E-6</v>
      </c>
      <c r="D219">
        <v>0</v>
      </c>
      <c r="E219">
        <v>1.1165325880000001E-6</v>
      </c>
      <c r="F219">
        <v>100</v>
      </c>
      <c r="G219">
        <v>1.0004237198819881</v>
      </c>
      <c r="H219">
        <f t="shared" si="15"/>
        <v>1.8398023133121298E-4</v>
      </c>
      <c r="Y219">
        <f t="shared" si="16"/>
        <v>-5.952312576977894</v>
      </c>
      <c r="Z219">
        <f t="shared" si="17"/>
        <v>-5.9521285967465625</v>
      </c>
    </row>
    <row r="220" spans="1:26" x14ac:dyDescent="0.2">
      <c r="A220" t="s">
        <v>223</v>
      </c>
      <c r="B220">
        <v>2.5081008194319922E-6</v>
      </c>
      <c r="C220">
        <v>1.1151889579999999E-6</v>
      </c>
      <c r="D220">
        <v>0</v>
      </c>
      <c r="E220">
        <v>1.1151889579999999E-6</v>
      </c>
      <c r="F220">
        <v>100</v>
      </c>
      <c r="G220">
        <v>0.44463482064192139</v>
      </c>
      <c r="H220">
        <f t="shared" si="15"/>
        <v>-0.35199652944519882</v>
      </c>
      <c r="Y220">
        <f t="shared" si="16"/>
        <v>-5.6006550099294632</v>
      </c>
      <c r="Z220">
        <f t="shared" si="17"/>
        <v>-5.9526515393746617</v>
      </c>
    </row>
    <row r="221" spans="1:26" x14ac:dyDescent="0.2">
      <c r="A221" t="s">
        <v>225</v>
      </c>
      <c r="B221">
        <v>1.6387567860686091E-6</v>
      </c>
      <c r="C221">
        <v>1.0573371599999999E-6</v>
      </c>
      <c r="D221">
        <v>0</v>
      </c>
      <c r="E221">
        <v>1.0573371599999999E-6</v>
      </c>
      <c r="F221">
        <v>100</v>
      </c>
      <c r="G221">
        <v>0.64520688426045247</v>
      </c>
      <c r="H221">
        <f t="shared" si="15"/>
        <v>-0.19030100740152603</v>
      </c>
      <c r="Y221">
        <f t="shared" si="16"/>
        <v>-5.7854854968908453</v>
      </c>
      <c r="Z221">
        <f t="shared" si="17"/>
        <v>-5.9757865042923717</v>
      </c>
    </row>
    <row r="222" spans="1:26" x14ac:dyDescent="0.2">
      <c r="A222" t="s">
        <v>217</v>
      </c>
      <c r="B222">
        <v>9.7677084821617746E-7</v>
      </c>
      <c r="C222">
        <v>1.050642433E-6</v>
      </c>
      <c r="D222">
        <v>0</v>
      </c>
      <c r="E222">
        <v>1.050642433E-6</v>
      </c>
      <c r="F222">
        <v>100</v>
      </c>
      <c r="G222">
        <v>1.0756283676142979</v>
      </c>
      <c r="H222">
        <f t="shared" si="15"/>
        <v>3.1662247377868859E-2</v>
      </c>
      <c r="Y222">
        <f t="shared" si="16"/>
        <v>-6.0102073104142963</v>
      </c>
      <c r="Z222">
        <f t="shared" si="17"/>
        <v>-5.9785450630364272</v>
      </c>
    </row>
    <row r="223" spans="1:26" x14ac:dyDescent="0.2">
      <c r="A223" t="s">
        <v>218</v>
      </c>
      <c r="B223">
        <v>1.0628785150731249E-6</v>
      </c>
      <c r="C223">
        <v>1.0286710779999999E-6</v>
      </c>
      <c r="D223">
        <v>0</v>
      </c>
      <c r="E223">
        <v>1.0286710779999999E-6</v>
      </c>
      <c r="F223">
        <v>100</v>
      </c>
      <c r="G223">
        <v>0.96781623055879362</v>
      </c>
      <c r="H223">
        <f t="shared" si="15"/>
        <v>-1.4207098921942912E-2</v>
      </c>
      <c r="Y223">
        <f t="shared" si="16"/>
        <v>-5.9735163716464648</v>
      </c>
      <c r="Z223">
        <f t="shared" si="17"/>
        <v>-5.9877234705684081</v>
      </c>
    </row>
    <row r="224" spans="1:26" x14ac:dyDescent="0.2">
      <c r="A224" t="s">
        <v>232</v>
      </c>
      <c r="B224">
        <v>6.3636947141521223E-7</v>
      </c>
      <c r="C224">
        <v>1.025247712E-6</v>
      </c>
      <c r="D224">
        <v>0</v>
      </c>
      <c r="E224">
        <v>1.025247712E-6</v>
      </c>
      <c r="F224">
        <v>100</v>
      </c>
      <c r="G224">
        <v>1.6110887747647089</v>
      </c>
      <c r="H224">
        <f t="shared" si="15"/>
        <v>0.20711947172164338</v>
      </c>
      <c r="Y224">
        <f t="shared" si="16"/>
        <v>-6.1962906629568382</v>
      </c>
      <c r="Z224">
        <f t="shared" si="17"/>
        <v>-5.9891711912351946</v>
      </c>
    </row>
    <row r="225" spans="1:26" x14ac:dyDescent="0.2">
      <c r="A225" t="s">
        <v>250</v>
      </c>
      <c r="B225">
        <v>1.0133078431770641E-6</v>
      </c>
      <c r="C225">
        <v>1.0137371970000001E-6</v>
      </c>
      <c r="D225">
        <v>0</v>
      </c>
      <c r="E225">
        <v>1.0137371970000001E-6</v>
      </c>
      <c r="F225">
        <v>100</v>
      </c>
      <c r="G225">
        <v>1.0004237150889801</v>
      </c>
      <c r="H225">
        <f t="shared" si="15"/>
        <v>1.8397815063591797E-4</v>
      </c>
      <c r="Y225">
        <f t="shared" si="16"/>
        <v>-5.994258595821548</v>
      </c>
      <c r="Z225">
        <f t="shared" si="17"/>
        <v>-5.9940746176709121</v>
      </c>
    </row>
    <row r="226" spans="1:26" x14ac:dyDescent="0.2">
      <c r="A226" t="s">
        <v>201</v>
      </c>
      <c r="B226">
        <v>9.6970643996963712E-7</v>
      </c>
      <c r="C226">
        <v>9.995088370000001E-7</v>
      </c>
      <c r="D226">
        <v>0</v>
      </c>
      <c r="E226">
        <v>9.995088370000001E-7</v>
      </c>
      <c r="F226">
        <v>100</v>
      </c>
      <c r="G226">
        <v>1.030733421788244</v>
      </c>
      <c r="H226">
        <f t="shared" si="15"/>
        <v>1.3146358381195475E-2</v>
      </c>
      <c r="Y226">
        <f t="shared" si="16"/>
        <v>-6.0133597201638072</v>
      </c>
      <c r="Z226">
        <f t="shared" si="17"/>
        <v>-6.0002133617826123</v>
      </c>
    </row>
    <row r="227" spans="1:26" x14ac:dyDescent="0.2">
      <c r="A227" t="s">
        <v>248</v>
      </c>
      <c r="B227">
        <v>5.0686954548025543E-7</v>
      </c>
      <c r="C227">
        <v>9.8511095099999991E-7</v>
      </c>
      <c r="D227">
        <v>0</v>
      </c>
      <c r="E227">
        <v>9.8511095099999991E-7</v>
      </c>
      <c r="F227">
        <v>100</v>
      </c>
      <c r="G227">
        <v>1.9435197079489439</v>
      </c>
      <c r="H227">
        <f t="shared" si="15"/>
        <v>0.28858894888294251</v>
      </c>
      <c r="Y227">
        <f t="shared" si="16"/>
        <v>-6.2951038019452819</v>
      </c>
      <c r="Z227">
        <f t="shared" si="17"/>
        <v>-6.0065148530623391</v>
      </c>
    </row>
    <row r="228" spans="1:26" x14ac:dyDescent="0.2">
      <c r="A228" t="s">
        <v>247</v>
      </c>
      <c r="B228">
        <v>5.7902663008489962E-7</v>
      </c>
      <c r="C228">
        <v>9.6700315899999994E-7</v>
      </c>
      <c r="D228">
        <v>0</v>
      </c>
      <c r="E228">
        <v>9.6700315899999994E-7</v>
      </c>
      <c r="F228">
        <v>100</v>
      </c>
      <c r="G228">
        <v>1.6700495430723341</v>
      </c>
      <c r="H228">
        <f t="shared" si="15"/>
        <v>0.2227293549582306</v>
      </c>
      <c r="Y228">
        <f t="shared" si="16"/>
        <v>-6.2373014621223568</v>
      </c>
      <c r="Z228">
        <f t="shared" si="17"/>
        <v>-6.0145721071641258</v>
      </c>
    </row>
    <row r="229" spans="1:26" x14ac:dyDescent="0.2">
      <c r="A229" t="s">
        <v>198</v>
      </c>
      <c r="B229">
        <v>9.0767339811680412E-7</v>
      </c>
      <c r="C229">
        <v>9.6229759899999995E-7</v>
      </c>
      <c r="D229">
        <v>0</v>
      </c>
      <c r="E229">
        <v>9.6229759899999995E-7</v>
      </c>
      <c r="F229">
        <v>100</v>
      </c>
      <c r="G229">
        <v>1.060180458077242</v>
      </c>
      <c r="H229">
        <f t="shared" si="15"/>
        <v>2.5379794771149541E-2</v>
      </c>
      <c r="Y229">
        <f t="shared" si="16"/>
        <v>-6.0420703925708734</v>
      </c>
      <c r="Z229">
        <f t="shared" si="17"/>
        <v>-6.016690597799724</v>
      </c>
    </row>
    <row r="230" spans="1:26" x14ac:dyDescent="0.2">
      <c r="A230" t="s">
        <v>197</v>
      </c>
      <c r="B230">
        <v>2.4999818944861388E-6</v>
      </c>
      <c r="C230">
        <v>9.6229759899999995E-7</v>
      </c>
      <c r="D230">
        <v>0</v>
      </c>
      <c r="E230">
        <v>9.6229759899999995E-7</v>
      </c>
      <c r="F230">
        <v>100</v>
      </c>
      <c r="G230">
        <v>0.38492182728299168</v>
      </c>
      <c r="H230">
        <f t="shared" si="15"/>
        <v>-0.41462746121046767</v>
      </c>
      <c r="Y230">
        <f t="shared" si="16"/>
        <v>-5.6020631365892566</v>
      </c>
      <c r="Z230">
        <f t="shared" si="17"/>
        <v>-6.016690597799724</v>
      </c>
    </row>
    <row r="231" spans="1:26" x14ac:dyDescent="0.2">
      <c r="A231" t="s">
        <v>216</v>
      </c>
      <c r="B231">
        <v>1.536374177708969E-6</v>
      </c>
      <c r="C231">
        <v>9.5940965500000006E-7</v>
      </c>
      <c r="D231">
        <v>0</v>
      </c>
      <c r="E231">
        <v>9.5940965500000006E-7</v>
      </c>
      <c r="F231">
        <v>100</v>
      </c>
      <c r="G231">
        <v>0.62446353819267231</v>
      </c>
      <c r="H231">
        <f t="shared" si="15"/>
        <v>-0.20449291457409444</v>
      </c>
      <c r="Y231">
        <f t="shared" si="16"/>
        <v>-5.8135030007601465</v>
      </c>
      <c r="Z231">
        <f t="shared" si="17"/>
        <v>-6.0179959153342404</v>
      </c>
    </row>
    <row r="232" spans="1:26" x14ac:dyDescent="0.2">
      <c r="A232" t="s">
        <v>224</v>
      </c>
      <c r="B232">
        <v>9.5748427639140765E-7</v>
      </c>
      <c r="C232">
        <v>9.5788997499999992E-7</v>
      </c>
      <c r="D232">
        <v>0</v>
      </c>
      <c r="E232">
        <v>9.5788997499999992E-7</v>
      </c>
      <c r="F232">
        <v>100</v>
      </c>
      <c r="G232">
        <v>1.000423713076648</v>
      </c>
      <c r="H232">
        <f t="shared" si="15"/>
        <v>1.8397727706134624E-4</v>
      </c>
      <c r="Y232">
        <f t="shared" si="16"/>
        <v>-6.0188683491948662</v>
      </c>
      <c r="Z232">
        <f t="shared" si="17"/>
        <v>-6.0186843719178045</v>
      </c>
    </row>
    <row r="233" spans="1:26" x14ac:dyDescent="0.2">
      <c r="A233" t="s">
        <v>221</v>
      </c>
      <c r="B233">
        <v>9.3972717963710769E-7</v>
      </c>
      <c r="C233">
        <v>9.4012535599999998E-7</v>
      </c>
      <c r="D233">
        <v>0</v>
      </c>
      <c r="E233">
        <v>9.4012535599999998E-7</v>
      </c>
      <c r="F233">
        <v>100</v>
      </c>
      <c r="G233">
        <v>1.0004237148520549</v>
      </c>
      <c r="H233">
        <f t="shared" si="15"/>
        <v>1.8397804778421417E-4</v>
      </c>
      <c r="Y233">
        <f t="shared" si="16"/>
        <v>-6.0269982119062648</v>
      </c>
      <c r="Z233">
        <f t="shared" si="17"/>
        <v>-6.02681423385848</v>
      </c>
    </row>
    <row r="234" spans="1:26" x14ac:dyDescent="0.2">
      <c r="A234" t="s">
        <v>161</v>
      </c>
      <c r="B234">
        <v>9.319604943454738E-7</v>
      </c>
      <c r="C234">
        <v>9.3235537999999999E-7</v>
      </c>
      <c r="D234">
        <v>0</v>
      </c>
      <c r="E234">
        <v>9.3235537999999999E-7</v>
      </c>
      <c r="F234">
        <v>100</v>
      </c>
      <c r="G234">
        <v>1.000423715014662</v>
      </c>
      <c r="H234">
        <f t="shared" si="15"/>
        <v>1.8397811837364409E-4</v>
      </c>
      <c r="Y234">
        <f t="shared" si="16"/>
        <v>-6.0306024969286396</v>
      </c>
      <c r="Z234">
        <f t="shared" si="17"/>
        <v>-6.0304185188102659</v>
      </c>
    </row>
    <row r="235" spans="1:26" x14ac:dyDescent="0.2">
      <c r="A235" t="s">
        <v>214</v>
      </c>
      <c r="B235">
        <v>5.7726613336220869E-7</v>
      </c>
      <c r="C235">
        <v>9.3002698700000005E-7</v>
      </c>
      <c r="D235">
        <v>0</v>
      </c>
      <c r="E235">
        <v>9.3002698700000005E-7</v>
      </c>
      <c r="F235">
        <v>100</v>
      </c>
      <c r="G235">
        <v>1.6110887738783211</v>
      </c>
      <c r="H235">
        <f t="shared" si="15"/>
        <v>0.20711947148270352</v>
      </c>
      <c r="Y235">
        <f t="shared" si="16"/>
        <v>-6.2386239206329241</v>
      </c>
      <c r="Z235">
        <f t="shared" si="17"/>
        <v>-6.031504449150221</v>
      </c>
    </row>
    <row r="236" spans="1:26" x14ac:dyDescent="0.2">
      <c r="A236" t="s">
        <v>213</v>
      </c>
      <c r="B236">
        <v>2.2475971044522118E-6</v>
      </c>
      <c r="C236">
        <v>9.3002698700000005E-7</v>
      </c>
      <c r="D236">
        <v>0</v>
      </c>
      <c r="E236">
        <v>9.3002698700000005E-7</v>
      </c>
      <c r="F236">
        <v>100</v>
      </c>
      <c r="G236">
        <v>0.41378723311118859</v>
      </c>
      <c r="H236">
        <f t="shared" si="15"/>
        <v>-0.38322291307796108</v>
      </c>
      <c r="Y236">
        <f t="shared" si="16"/>
        <v>-5.6482815360722602</v>
      </c>
      <c r="Z236">
        <f t="shared" si="17"/>
        <v>-6.031504449150221</v>
      </c>
    </row>
    <row r="237" spans="1:26" x14ac:dyDescent="0.2">
      <c r="A237" t="s">
        <v>222</v>
      </c>
      <c r="B237">
        <v>9.2751541882729204E-7</v>
      </c>
      <c r="C237">
        <v>9.2790842099999999E-7</v>
      </c>
      <c r="D237">
        <v>0</v>
      </c>
      <c r="E237">
        <v>9.2790842099999999E-7</v>
      </c>
      <c r="F237">
        <v>100</v>
      </c>
      <c r="G237">
        <v>1.000423714975224</v>
      </c>
      <c r="H237">
        <f t="shared" si="15"/>
        <v>1.8397810125318886E-4</v>
      </c>
      <c r="Y237">
        <f t="shared" si="16"/>
        <v>-6.0326788620299503</v>
      </c>
      <c r="Z237">
        <f t="shared" si="17"/>
        <v>-6.0324948839286971</v>
      </c>
    </row>
    <row r="238" spans="1:26" x14ac:dyDescent="0.2">
      <c r="A238" t="s">
        <v>207</v>
      </c>
      <c r="B238">
        <v>8.8504752523797425E-7</v>
      </c>
      <c r="C238">
        <v>8.8539908299999998E-7</v>
      </c>
      <c r="D238">
        <v>0</v>
      </c>
      <c r="E238">
        <v>8.8539908299999998E-7</v>
      </c>
      <c r="F238">
        <v>100</v>
      </c>
      <c r="G238">
        <v>1.000397219078073</v>
      </c>
      <c r="H238">
        <f t="shared" si="15"/>
        <v>1.7247580064190109E-4</v>
      </c>
      <c r="Y238">
        <f t="shared" si="16"/>
        <v>-6.0530334079525341</v>
      </c>
      <c r="Z238">
        <f t="shared" si="17"/>
        <v>-6.0528609321518925</v>
      </c>
    </row>
    <row r="239" spans="1:26" x14ac:dyDescent="0.2">
      <c r="A239" t="s">
        <v>226</v>
      </c>
      <c r="B239">
        <v>8.7505491690006275E-7</v>
      </c>
      <c r="C239">
        <v>8.8426492599999998E-7</v>
      </c>
      <c r="D239">
        <v>0</v>
      </c>
      <c r="E239">
        <v>8.8426492599999998E-7</v>
      </c>
      <c r="F239">
        <v>100</v>
      </c>
      <c r="G239">
        <v>1.0105250641097641</v>
      </c>
      <c r="H239">
        <f t="shared" si="15"/>
        <v>4.5470898152713988E-3</v>
      </c>
      <c r="Y239">
        <f t="shared" si="16"/>
        <v>-6.0579646905682587</v>
      </c>
      <c r="Z239">
        <f t="shared" si="17"/>
        <v>-6.0534176007529874</v>
      </c>
    </row>
    <row r="240" spans="1:26" x14ac:dyDescent="0.2">
      <c r="A240" t="s">
        <v>208</v>
      </c>
      <c r="B240">
        <v>8.5535122951089746E-7</v>
      </c>
      <c r="C240">
        <v>8.8157306799999998E-7</v>
      </c>
      <c r="D240">
        <v>0</v>
      </c>
      <c r="E240">
        <v>8.8157306799999998E-7</v>
      </c>
      <c r="F240">
        <v>100</v>
      </c>
      <c r="G240">
        <v>1.03065622353065</v>
      </c>
      <c r="H240">
        <f t="shared" si="15"/>
        <v>1.3113830055095236E-2</v>
      </c>
      <c r="Y240">
        <f t="shared" si="16"/>
        <v>-6.0678555160129566</v>
      </c>
      <c r="Z240">
        <f t="shared" si="17"/>
        <v>-6.0547416859578611</v>
      </c>
    </row>
    <row r="241" spans="1:26" x14ac:dyDescent="0.2">
      <c r="A241" t="s">
        <v>219</v>
      </c>
      <c r="B241">
        <v>8.7508169269494031E-7</v>
      </c>
      <c r="C241">
        <v>8.7545247800000001E-7</v>
      </c>
      <c r="D241">
        <v>0</v>
      </c>
      <c r="E241">
        <v>8.7545247800000001E-7</v>
      </c>
      <c r="F241">
        <v>100</v>
      </c>
      <c r="G241">
        <v>1.000423715075009</v>
      </c>
      <c r="H241">
        <f t="shared" si="15"/>
        <v>1.8397814457093937E-4</v>
      </c>
      <c r="Y241">
        <f t="shared" si="16"/>
        <v>-6.057951401799941</v>
      </c>
      <c r="Z241">
        <f t="shared" si="17"/>
        <v>-6.0577674236553696</v>
      </c>
    </row>
    <row r="242" spans="1:26" x14ac:dyDescent="0.2">
      <c r="A242" t="s">
        <v>175</v>
      </c>
      <c r="B242">
        <v>3.7348927034399971E-6</v>
      </c>
      <c r="C242">
        <v>8.4418047800000002E-7</v>
      </c>
      <c r="D242">
        <v>0</v>
      </c>
      <c r="E242">
        <v>8.4418047800000002E-7</v>
      </c>
      <c r="F242">
        <v>100</v>
      </c>
      <c r="G242">
        <v>0.22602536271590171</v>
      </c>
      <c r="H242">
        <f t="shared" si="15"/>
        <v>-0.64584282514667513</v>
      </c>
      <c r="Y242">
        <f t="shared" si="16"/>
        <v>-5.4277218701466472</v>
      </c>
      <c r="Z242">
        <f t="shared" si="17"/>
        <v>-6.0735646952933227</v>
      </c>
    </row>
    <row r="243" spans="1:26" x14ac:dyDescent="0.2">
      <c r="A243" t="s">
        <v>173</v>
      </c>
      <c r="B243">
        <v>2.333399881476771E-6</v>
      </c>
      <c r="C243">
        <v>8.4418047800000002E-7</v>
      </c>
      <c r="D243">
        <v>0</v>
      </c>
      <c r="E243">
        <v>8.4418047800000002E-7</v>
      </c>
      <c r="F243">
        <v>100</v>
      </c>
      <c r="G243">
        <v>0.36178131519648998</v>
      </c>
      <c r="H243">
        <f t="shared" si="15"/>
        <v>-0.44155386676477631</v>
      </c>
      <c r="Y243">
        <f t="shared" si="16"/>
        <v>-5.6320108285285455</v>
      </c>
      <c r="Z243">
        <f t="shared" si="17"/>
        <v>-6.0735646952933227</v>
      </c>
    </row>
    <row r="244" spans="1:26" x14ac:dyDescent="0.2">
      <c r="A244" t="s">
        <v>172</v>
      </c>
      <c r="B244">
        <v>8.2505013739130478E-7</v>
      </c>
      <c r="C244">
        <v>8.4418047800000002E-7</v>
      </c>
      <c r="D244">
        <v>0</v>
      </c>
      <c r="E244">
        <v>8.4418047800000002E-7</v>
      </c>
      <c r="F244">
        <v>100</v>
      </c>
      <c r="G244">
        <v>1.02318688251987</v>
      </c>
      <c r="H244">
        <f t="shared" si="15"/>
        <v>9.9549637558260014E-3</v>
      </c>
      <c r="Y244">
        <f t="shared" si="16"/>
        <v>-6.0835196590491485</v>
      </c>
      <c r="Z244">
        <f t="shared" si="17"/>
        <v>-6.0735646952933227</v>
      </c>
    </row>
    <row r="245" spans="1:26" x14ac:dyDescent="0.2">
      <c r="A245" t="s">
        <v>174</v>
      </c>
      <c r="B245">
        <v>3.0179925393311351E-6</v>
      </c>
      <c r="C245">
        <v>8.4418047800000002E-7</v>
      </c>
      <c r="D245">
        <v>0</v>
      </c>
      <c r="E245">
        <v>8.4418047800000002E-7</v>
      </c>
      <c r="F245">
        <v>100</v>
      </c>
      <c r="G245">
        <v>0.27971589293162802</v>
      </c>
      <c r="H245">
        <f t="shared" si="15"/>
        <v>-0.55328285713073155</v>
      </c>
      <c r="Y245">
        <f t="shared" si="16"/>
        <v>-5.5202818381625907</v>
      </c>
      <c r="Z245">
        <f t="shared" si="17"/>
        <v>-6.0735646952933227</v>
      </c>
    </row>
    <row r="246" spans="1:26" x14ac:dyDescent="0.2">
      <c r="A246" t="s">
        <v>249</v>
      </c>
      <c r="B246">
        <v>8.309441250564245E-7</v>
      </c>
      <c r="C246">
        <v>8.3129620599999999E-7</v>
      </c>
      <c r="D246">
        <v>0</v>
      </c>
      <c r="E246">
        <v>8.3129620599999999E-7</v>
      </c>
      <c r="F246">
        <v>100</v>
      </c>
      <c r="G246">
        <v>1.000423711935567</v>
      </c>
      <c r="H246">
        <f t="shared" si="15"/>
        <v>1.8397678170604953E-4</v>
      </c>
      <c r="Y246">
        <f t="shared" si="16"/>
        <v>-6.0804281783765575</v>
      </c>
      <c r="Z246">
        <f t="shared" si="17"/>
        <v>-6.0802442015948515</v>
      </c>
    </row>
    <row r="247" spans="1:26" x14ac:dyDescent="0.2">
      <c r="A247" t="s">
        <v>246</v>
      </c>
      <c r="B247">
        <v>7.8956496953481757E-7</v>
      </c>
      <c r="C247">
        <v>8.1378525800000004E-7</v>
      </c>
      <c r="D247">
        <v>0</v>
      </c>
      <c r="E247">
        <v>8.1378525800000004E-7</v>
      </c>
      <c r="F247">
        <v>100</v>
      </c>
      <c r="G247">
        <v>1.03067548510853</v>
      </c>
      <c r="H247">
        <f t="shared" si="15"/>
        <v>1.3121946358697635E-2</v>
      </c>
      <c r="Y247">
        <f t="shared" si="16"/>
        <v>-6.102612128164167</v>
      </c>
      <c r="Z247">
        <f t="shared" si="17"/>
        <v>-6.089490181805469</v>
      </c>
    </row>
    <row r="248" spans="1:26" x14ac:dyDescent="0.2">
      <c r="A248" t="s">
        <v>233</v>
      </c>
      <c r="B248">
        <v>7.9666118247586876E-7</v>
      </c>
      <c r="C248">
        <v>7.9699874000000004E-7</v>
      </c>
      <c r="D248">
        <v>0</v>
      </c>
      <c r="E248">
        <v>7.9699874000000004E-7</v>
      </c>
      <c r="F248">
        <v>100</v>
      </c>
      <c r="G248">
        <v>1.0004237152902089</v>
      </c>
      <c r="H248">
        <f t="shared" si="15"/>
        <v>1.8397823799146647E-4</v>
      </c>
      <c r="Y248">
        <f t="shared" si="16"/>
        <v>-6.098726343430938</v>
      </c>
      <c r="Z248">
        <f t="shared" si="17"/>
        <v>-6.0985423651929462</v>
      </c>
    </row>
    <row r="249" spans="1:26" x14ac:dyDescent="0.2">
      <c r="A249" t="s">
        <v>253</v>
      </c>
      <c r="B249">
        <v>7.9283245239078864E-7</v>
      </c>
      <c r="C249">
        <v>7.9316838699999997E-7</v>
      </c>
      <c r="D249">
        <v>0</v>
      </c>
      <c r="E249">
        <v>7.9316838699999997E-7</v>
      </c>
      <c r="F249">
        <v>100</v>
      </c>
      <c r="G249">
        <v>1.000423714503863</v>
      </c>
      <c r="H249">
        <f t="shared" si="15"/>
        <v>1.8397789663043086E-4</v>
      </c>
      <c r="Y249">
        <f t="shared" si="16"/>
        <v>-6.100818581522538</v>
      </c>
      <c r="Z249">
        <f t="shared" si="17"/>
        <v>-6.1006346036259069</v>
      </c>
    </row>
    <row r="250" spans="1:26" x14ac:dyDescent="0.2">
      <c r="A250" t="s">
        <v>260</v>
      </c>
      <c r="B250">
        <v>7.637227850493753E-7</v>
      </c>
      <c r="C250">
        <v>7.6404638600000004E-7</v>
      </c>
      <c r="D250">
        <v>0</v>
      </c>
      <c r="E250">
        <v>7.6404638600000004E-7</v>
      </c>
      <c r="F250">
        <v>100</v>
      </c>
      <c r="G250">
        <v>1.000423715197398</v>
      </c>
      <c r="H250">
        <f t="shared" si="15"/>
        <v>1.8397819770128929E-4</v>
      </c>
      <c r="Y250">
        <f t="shared" si="16"/>
        <v>-6.1170642523807706</v>
      </c>
      <c r="Z250">
        <f t="shared" si="17"/>
        <v>-6.1168802741830683</v>
      </c>
    </row>
    <row r="251" spans="1:26" x14ac:dyDescent="0.2">
      <c r="A251" t="s">
        <v>270</v>
      </c>
      <c r="B251">
        <v>7.6052570128421366E-7</v>
      </c>
      <c r="C251">
        <v>7.6084794799999996E-7</v>
      </c>
      <c r="D251">
        <v>0</v>
      </c>
      <c r="E251">
        <v>7.6084794799999996E-7</v>
      </c>
      <c r="F251">
        <v>100</v>
      </c>
      <c r="G251">
        <v>1.000423715747202</v>
      </c>
      <c r="H251">
        <f t="shared" si="15"/>
        <v>1.8397843637699338E-4</v>
      </c>
      <c r="Y251">
        <f t="shared" si="16"/>
        <v>-6.1188861047703433</v>
      </c>
      <c r="Z251">
        <f t="shared" si="17"/>
        <v>-6.1187021263339663</v>
      </c>
    </row>
    <row r="252" spans="1:26" x14ac:dyDescent="0.2">
      <c r="A252" t="s">
        <v>265</v>
      </c>
      <c r="B252">
        <v>7.5759802677479755E-7</v>
      </c>
      <c r="C252">
        <v>7.5791903199999998E-7</v>
      </c>
      <c r="D252">
        <v>0</v>
      </c>
      <c r="E252">
        <v>7.5791903199999998E-7</v>
      </c>
      <c r="F252">
        <v>100</v>
      </c>
      <c r="G252">
        <v>1.000423714442036</v>
      </c>
      <c r="H252">
        <f t="shared" si="15"/>
        <v>1.8397786979068353E-4</v>
      </c>
      <c r="Y252">
        <f t="shared" si="16"/>
        <v>-6.120561165158338</v>
      </c>
      <c r="Z252">
        <f t="shared" si="17"/>
        <v>-6.1203771872885468</v>
      </c>
    </row>
    <row r="253" spans="1:26" x14ac:dyDescent="0.2">
      <c r="A253" t="s">
        <v>236</v>
      </c>
      <c r="B253">
        <v>7.5262379515820323E-7</v>
      </c>
      <c r="C253">
        <v>7.5294269299999999E-7</v>
      </c>
      <c r="D253">
        <v>0</v>
      </c>
      <c r="E253">
        <v>7.5294269299999999E-7</v>
      </c>
      <c r="F253">
        <v>100</v>
      </c>
      <c r="G253">
        <v>1.00042371480127</v>
      </c>
      <c r="H253">
        <f t="shared" si="15"/>
        <v>1.8397802573793983E-4</v>
      </c>
      <c r="Y253">
        <f t="shared" si="16"/>
        <v>-6.1234220550268654</v>
      </c>
      <c r="Z253">
        <f t="shared" si="17"/>
        <v>-6.123238077001127</v>
      </c>
    </row>
    <row r="254" spans="1:26" x14ac:dyDescent="0.2">
      <c r="A254" t="s">
        <v>252</v>
      </c>
      <c r="B254">
        <v>4.5893236269672498E-7</v>
      </c>
      <c r="C254">
        <v>7.3641064100000001E-7</v>
      </c>
      <c r="D254">
        <v>0</v>
      </c>
      <c r="E254">
        <v>7.3641064100000001E-7</v>
      </c>
      <c r="F254">
        <v>100</v>
      </c>
      <c r="G254">
        <v>1.604616934558263</v>
      </c>
      <c r="H254">
        <f t="shared" si="15"/>
        <v>0.20537137128065927</v>
      </c>
      <c r="Y254">
        <f t="shared" si="16"/>
        <v>-6.3382513159269642</v>
      </c>
      <c r="Z254">
        <f t="shared" si="17"/>
        <v>-6.1328799446463051</v>
      </c>
    </row>
    <row r="255" spans="1:26" x14ac:dyDescent="0.2">
      <c r="A255" t="s">
        <v>171</v>
      </c>
      <c r="B255">
        <v>4.5440808396417002E-7</v>
      </c>
      <c r="C255">
        <v>7.3209176300000003E-7</v>
      </c>
      <c r="D255">
        <v>0</v>
      </c>
      <c r="E255">
        <v>7.3209176300000003E-7</v>
      </c>
      <c r="F255">
        <v>100</v>
      </c>
      <c r="G255">
        <v>1.611088774243121</v>
      </c>
      <c r="H255">
        <f t="shared" si="15"/>
        <v>0.2071194715810411</v>
      </c>
      <c r="Y255">
        <f t="shared" si="16"/>
        <v>-6.3425539510870861</v>
      </c>
      <c r="Z255">
        <f t="shared" si="17"/>
        <v>-6.1354344795060447</v>
      </c>
    </row>
    <row r="256" spans="1:26" x14ac:dyDescent="0.2">
      <c r="A256" t="s">
        <v>264</v>
      </c>
      <c r="B256">
        <v>7.1360173356291784E-7</v>
      </c>
      <c r="C256">
        <v>7.1390409699999999E-7</v>
      </c>
      <c r="D256">
        <v>0</v>
      </c>
      <c r="E256">
        <v>7.1390409699999999E-7</v>
      </c>
      <c r="F256">
        <v>100</v>
      </c>
      <c r="G256">
        <v>1.0004237145495321</v>
      </c>
      <c r="H256">
        <f t="shared" si="15"/>
        <v>1.8397791645583572E-4</v>
      </c>
      <c r="Y256">
        <f t="shared" si="16"/>
        <v>-6.1465441035928432</v>
      </c>
      <c r="Z256">
        <f t="shared" si="17"/>
        <v>-6.1463601256763871</v>
      </c>
    </row>
    <row r="257" spans="1:26" x14ac:dyDescent="0.2">
      <c r="A257" t="s">
        <v>284</v>
      </c>
      <c r="B257">
        <v>7.0125805011427707E-7</v>
      </c>
      <c r="C257">
        <v>7.0155518300000004E-7</v>
      </c>
      <c r="D257">
        <v>0</v>
      </c>
      <c r="E257">
        <v>7.0155518300000004E-7</v>
      </c>
      <c r="F257">
        <v>100</v>
      </c>
      <c r="G257">
        <v>1.000423714046027</v>
      </c>
      <c r="H257">
        <f t="shared" si="15"/>
        <v>1.8397769787900002E-4</v>
      </c>
      <c r="Y257">
        <f t="shared" si="16"/>
        <v>-6.1541221402097328</v>
      </c>
      <c r="Z257">
        <f t="shared" si="17"/>
        <v>-6.1539381625118539</v>
      </c>
    </row>
    <row r="258" spans="1:26" x14ac:dyDescent="0.2">
      <c r="A258" t="s">
        <v>274</v>
      </c>
      <c r="B258">
        <v>2.5372305410322223E-7</v>
      </c>
      <c r="C258">
        <v>6.9050691199999998E-7</v>
      </c>
      <c r="D258">
        <v>0</v>
      </c>
      <c r="E258">
        <v>6.9050691199999998E-7</v>
      </c>
      <c r="F258">
        <v>100</v>
      </c>
      <c r="G258">
        <v>2.7214985033211869</v>
      </c>
      <c r="H258">
        <f t="shared" si="15"/>
        <v>0.43480809981439023</v>
      </c>
      <c r="Y258">
        <f t="shared" si="16"/>
        <v>-6.5956400695739843</v>
      </c>
      <c r="Z258">
        <f t="shared" si="17"/>
        <v>-6.1608319697595935</v>
      </c>
    </row>
    <row r="259" spans="1:26" x14ac:dyDescent="0.2">
      <c r="A259" t="s">
        <v>262</v>
      </c>
      <c r="B259">
        <v>1.093053399760971E-6</v>
      </c>
      <c r="C259">
        <v>6.8257199399999998E-7</v>
      </c>
      <c r="D259">
        <v>0</v>
      </c>
      <c r="E259">
        <v>6.8257199399999998E-7</v>
      </c>
      <c r="F259">
        <v>100</v>
      </c>
      <c r="G259">
        <v>0.62446353869743654</v>
      </c>
      <c r="H259">
        <f t="shared" ref="H259:H322" si="18">LOG(G259)</f>
        <v>-0.204492914223047</v>
      </c>
      <c r="Y259">
        <f t="shared" ref="Y259:Y322" si="19">LOG(B259)</f>
        <v>-5.961358620616604</v>
      </c>
      <c r="Z259">
        <f t="shared" ref="Z259:Z322" si="20">LOG(C259)</f>
        <v>-6.1658515348396508</v>
      </c>
    </row>
    <row r="260" spans="1:26" x14ac:dyDescent="0.2">
      <c r="A260" t="s">
        <v>263</v>
      </c>
      <c r="B260">
        <v>1.319975085838414E-6</v>
      </c>
      <c r="C260">
        <v>6.6464428799999999E-7</v>
      </c>
      <c r="D260">
        <v>0</v>
      </c>
      <c r="E260">
        <v>6.6464428799999999E-7</v>
      </c>
      <c r="F260">
        <v>100</v>
      </c>
      <c r="G260">
        <v>0.50352790376936174</v>
      </c>
      <c r="H260">
        <f t="shared" si="18"/>
        <v>-0.29797645735014355</v>
      </c>
      <c r="Y260">
        <f t="shared" si="19"/>
        <v>-5.8794342659040062</v>
      </c>
      <c r="Z260">
        <f t="shared" si="20"/>
        <v>-6.17741072325415</v>
      </c>
    </row>
    <row r="261" spans="1:26" x14ac:dyDescent="0.2">
      <c r="A261" t="s">
        <v>276</v>
      </c>
      <c r="B261">
        <v>1.936939655383592E-6</v>
      </c>
      <c r="C261">
        <v>6.5935542399999997E-7</v>
      </c>
      <c r="D261">
        <v>0</v>
      </c>
      <c r="E261">
        <v>6.5935542399999997E-7</v>
      </c>
      <c r="F261">
        <v>100</v>
      </c>
      <c r="G261">
        <v>0.34041092718989291</v>
      </c>
      <c r="H261">
        <f t="shared" si="18"/>
        <v>-0.467996507511935</v>
      </c>
      <c r="Y261">
        <f t="shared" si="19"/>
        <v>-5.7128839093491157</v>
      </c>
      <c r="Z261">
        <f t="shared" si="20"/>
        <v>-6.1808804168610507</v>
      </c>
    </row>
    <row r="262" spans="1:26" x14ac:dyDescent="0.2">
      <c r="A262" t="s">
        <v>275</v>
      </c>
      <c r="B262">
        <v>2.7019258963612581E-6</v>
      </c>
      <c r="C262">
        <v>6.5935542399999997E-7</v>
      </c>
      <c r="D262">
        <v>0</v>
      </c>
      <c r="E262">
        <v>6.5935542399999997E-7</v>
      </c>
      <c r="F262">
        <v>100</v>
      </c>
      <c r="G262">
        <v>0.2440316460521616</v>
      </c>
      <c r="H262">
        <f t="shared" si="18"/>
        <v>-0.61255385065042389</v>
      </c>
      <c r="Y262">
        <f t="shared" si="19"/>
        <v>-5.5683265662106267</v>
      </c>
      <c r="Z262">
        <f t="shared" si="20"/>
        <v>-6.1808804168610507</v>
      </c>
    </row>
    <row r="263" spans="1:26" x14ac:dyDescent="0.2">
      <c r="A263" t="s">
        <v>295</v>
      </c>
      <c r="B263">
        <v>1.0216157216366201E-6</v>
      </c>
      <c r="C263">
        <v>6.5915349699999995E-7</v>
      </c>
      <c r="D263">
        <v>0</v>
      </c>
      <c r="E263">
        <v>6.5915349699999995E-7</v>
      </c>
      <c r="F263">
        <v>100</v>
      </c>
      <c r="G263">
        <v>0.64520688458478426</v>
      </c>
      <c r="H263">
        <f t="shared" si="18"/>
        <v>-0.19030100718321544</v>
      </c>
      <c r="Y263">
        <f t="shared" si="19"/>
        <v>-5.9907124323387153</v>
      </c>
      <c r="Z263">
        <f t="shared" si="20"/>
        <v>-6.1810134395219309</v>
      </c>
    </row>
    <row r="264" spans="1:26" x14ac:dyDescent="0.2">
      <c r="A264" t="s">
        <v>313</v>
      </c>
      <c r="B264">
        <v>6.4120684023300493E-7</v>
      </c>
      <c r="C264">
        <v>6.4147852899999996E-7</v>
      </c>
      <c r="D264">
        <v>0</v>
      </c>
      <c r="E264">
        <v>6.4147852899999996E-7</v>
      </c>
      <c r="F264">
        <v>100</v>
      </c>
      <c r="G264">
        <v>1.000423714704753</v>
      </c>
      <c r="H264">
        <f t="shared" si="18"/>
        <v>1.8397798383888538E-4</v>
      </c>
      <c r="Y264">
        <f t="shared" si="19"/>
        <v>-6.1930018533490783</v>
      </c>
      <c r="Z264">
        <f t="shared" si="20"/>
        <v>-6.1928178753652396</v>
      </c>
    </row>
    <row r="265" spans="1:26" x14ac:dyDescent="0.2">
      <c r="A265" t="s">
        <v>256</v>
      </c>
      <c r="B265">
        <v>6.3790930707453429E-7</v>
      </c>
      <c r="C265">
        <v>6.3817959899999999E-7</v>
      </c>
      <c r="D265">
        <v>0</v>
      </c>
      <c r="E265">
        <v>6.3817959899999999E-7</v>
      </c>
      <c r="F265">
        <v>100</v>
      </c>
      <c r="G265">
        <v>1.000423715287531</v>
      </c>
      <c r="H265">
        <f t="shared" si="18"/>
        <v>1.839782368289801E-4</v>
      </c>
      <c r="Y265">
        <f t="shared" si="19"/>
        <v>-6.1952410614619771</v>
      </c>
      <c r="Z265">
        <f t="shared" si="20"/>
        <v>-6.1950570832251479</v>
      </c>
    </row>
    <row r="266" spans="1:26" x14ac:dyDescent="0.2">
      <c r="A266" t="s">
        <v>280</v>
      </c>
      <c r="B266">
        <v>9.6473186987531086E-7</v>
      </c>
      <c r="C266">
        <v>6.22451644E-7</v>
      </c>
      <c r="D266">
        <v>0</v>
      </c>
      <c r="E266">
        <v>6.22451644E-7</v>
      </c>
      <c r="F266">
        <v>100</v>
      </c>
      <c r="G266">
        <v>0.64520688435476925</v>
      </c>
      <c r="H266">
        <f t="shared" si="18"/>
        <v>-0.19030100733804056</v>
      </c>
      <c r="Y266">
        <f t="shared" si="19"/>
        <v>-6.0155933743394572</v>
      </c>
      <c r="Z266">
        <f t="shared" si="20"/>
        <v>-6.2058943816774974</v>
      </c>
    </row>
    <row r="267" spans="1:26" x14ac:dyDescent="0.2">
      <c r="A267" t="s">
        <v>283</v>
      </c>
      <c r="B267">
        <v>9.9520071952275695E-7</v>
      </c>
      <c r="C267">
        <v>6.1208579399999996E-7</v>
      </c>
      <c r="D267">
        <v>0</v>
      </c>
      <c r="E267">
        <v>6.1208579399999996E-7</v>
      </c>
      <c r="F267">
        <v>100</v>
      </c>
      <c r="G267">
        <v>0.61503753161826724</v>
      </c>
      <c r="H267">
        <f t="shared" si="18"/>
        <v>-0.21109838133455522</v>
      </c>
      <c r="Y267">
        <f t="shared" si="19"/>
        <v>-6.0020893186614455</v>
      </c>
      <c r="Z267">
        <f t="shared" si="20"/>
        <v>-6.2131876999960012</v>
      </c>
    </row>
    <row r="268" spans="1:26" x14ac:dyDescent="0.2">
      <c r="A268" t="s">
        <v>299</v>
      </c>
      <c r="B268">
        <v>5.5879633861186495E-7</v>
      </c>
      <c r="C268">
        <v>5.9242495800000005E-7</v>
      </c>
      <c r="D268">
        <v>0</v>
      </c>
      <c r="E268">
        <v>5.9242495800000005E-7</v>
      </c>
      <c r="F268">
        <v>100</v>
      </c>
      <c r="G268">
        <v>1.0601804576452201</v>
      </c>
      <c r="H268">
        <f t="shared" si="18"/>
        <v>2.5379794594175178E-2</v>
      </c>
      <c r="Y268">
        <f t="shared" si="19"/>
        <v>-6.2527464481660742</v>
      </c>
      <c r="Z268">
        <f t="shared" si="20"/>
        <v>-6.2273666535718997</v>
      </c>
    </row>
    <row r="269" spans="1:26" x14ac:dyDescent="0.2">
      <c r="A269" t="s">
        <v>271</v>
      </c>
      <c r="B269">
        <v>5.9110236647335976E-7</v>
      </c>
      <c r="C269">
        <v>5.9135282500000004E-7</v>
      </c>
      <c r="D269">
        <v>0</v>
      </c>
      <c r="E269">
        <v>5.9135282500000004E-7</v>
      </c>
      <c r="F269">
        <v>100</v>
      </c>
      <c r="G269">
        <v>1.0004237143020329</v>
      </c>
      <c r="H269">
        <f t="shared" si="18"/>
        <v>1.83977809013853E-4</v>
      </c>
      <c r="Y269">
        <f t="shared" si="19"/>
        <v>-6.2283373019533217</v>
      </c>
      <c r="Z269">
        <f t="shared" si="20"/>
        <v>-6.2281533241443077</v>
      </c>
    </row>
    <row r="270" spans="1:26" x14ac:dyDescent="0.2">
      <c r="A270" t="s">
        <v>285</v>
      </c>
      <c r="B270">
        <v>6.2405758796261692E-8</v>
      </c>
      <c r="C270">
        <v>5.6391168400000005E-7</v>
      </c>
      <c r="D270">
        <v>0</v>
      </c>
      <c r="E270">
        <v>5.6391168400000005E-7</v>
      </c>
      <c r="F270">
        <v>100</v>
      </c>
      <c r="G270">
        <v>9.0362122803605782</v>
      </c>
      <c r="H270">
        <f t="shared" si="18"/>
        <v>0.95598642489399932</v>
      </c>
      <c r="Y270">
        <f t="shared" si="19"/>
        <v>-7.2047753318233658</v>
      </c>
      <c r="Z270">
        <f t="shared" si="20"/>
        <v>-6.2487889069293674</v>
      </c>
    </row>
    <row r="271" spans="1:26" x14ac:dyDescent="0.2">
      <c r="A271" t="s">
        <v>290</v>
      </c>
      <c r="B271">
        <v>2.4202523029502799E-7</v>
      </c>
      <c r="C271">
        <v>5.60881408E-7</v>
      </c>
      <c r="D271">
        <v>0</v>
      </c>
      <c r="E271">
        <v>5.60881408E-7</v>
      </c>
      <c r="F271">
        <v>100</v>
      </c>
      <c r="G271">
        <v>2.31745015722653</v>
      </c>
      <c r="H271">
        <f t="shared" si="18"/>
        <v>0.36501040228826692</v>
      </c>
      <c r="Y271">
        <f t="shared" si="19"/>
        <v>-6.6161393579586054</v>
      </c>
      <c r="Z271">
        <f t="shared" si="20"/>
        <v>-6.251128955670338</v>
      </c>
    </row>
    <row r="272" spans="1:26" x14ac:dyDescent="0.2">
      <c r="A272" t="s">
        <v>303</v>
      </c>
      <c r="B272">
        <v>6.7069952807728951E-7</v>
      </c>
      <c r="C272">
        <v>5.3387040099999997E-7</v>
      </c>
      <c r="D272">
        <v>0</v>
      </c>
      <c r="E272">
        <v>5.3387040099999997E-7</v>
      </c>
      <c r="F272">
        <v>100</v>
      </c>
      <c r="G272">
        <v>0.79599042291032929</v>
      </c>
      <c r="H272">
        <f t="shared" si="18"/>
        <v>-9.9092157516373791E-2</v>
      </c>
      <c r="Y272">
        <f t="shared" si="19"/>
        <v>-6.1734719992408325</v>
      </c>
      <c r="Z272">
        <f t="shared" si="20"/>
        <v>-6.2725641567572064</v>
      </c>
    </row>
    <row r="273" spans="1:26" x14ac:dyDescent="0.2">
      <c r="A273" t="s">
        <v>301</v>
      </c>
      <c r="B273">
        <v>7.1466893273635155E-7</v>
      </c>
      <c r="C273">
        <v>5.3387040099999997E-7</v>
      </c>
      <c r="D273">
        <v>0</v>
      </c>
      <c r="E273">
        <v>5.3387040099999997E-7</v>
      </c>
      <c r="F273">
        <v>100</v>
      </c>
      <c r="G273">
        <v>0.74701778200417457</v>
      </c>
      <c r="H273">
        <f t="shared" si="18"/>
        <v>-0.12666906011984244</v>
      </c>
      <c r="Y273">
        <f t="shared" si="19"/>
        <v>-6.1458950966373633</v>
      </c>
      <c r="Z273">
        <f t="shared" si="20"/>
        <v>-6.2725641567572064</v>
      </c>
    </row>
    <row r="274" spans="1:26" x14ac:dyDescent="0.2">
      <c r="A274" t="s">
        <v>309</v>
      </c>
      <c r="B274">
        <v>1.519929370873219E-5</v>
      </c>
      <c r="C274">
        <v>5.3387040099999997E-7</v>
      </c>
      <c r="D274">
        <v>0</v>
      </c>
      <c r="E274">
        <v>5.3387040099999997E-7</v>
      </c>
      <c r="F274">
        <v>100</v>
      </c>
      <c r="G274">
        <v>3.5124684819616607E-2</v>
      </c>
      <c r="H274">
        <f t="shared" si="18"/>
        <v>-1.4543875640752035</v>
      </c>
      <c r="Y274">
        <f t="shared" si="19"/>
        <v>-4.8181765926820024</v>
      </c>
      <c r="Z274">
        <f t="shared" si="20"/>
        <v>-6.2725641567572064</v>
      </c>
    </row>
    <row r="275" spans="1:26" x14ac:dyDescent="0.2">
      <c r="A275" t="s">
        <v>307</v>
      </c>
      <c r="B275">
        <v>3.959199261464927E-6</v>
      </c>
      <c r="C275">
        <v>5.3387040099999997E-7</v>
      </c>
      <c r="D275">
        <v>0</v>
      </c>
      <c r="E275">
        <v>5.3387040099999997E-7</v>
      </c>
      <c r="F275">
        <v>100</v>
      </c>
      <c r="G275">
        <v>0.13484302399128681</v>
      </c>
      <c r="H275">
        <f t="shared" si="18"/>
        <v>-0.87017151654855163</v>
      </c>
      <c r="Y275">
        <f t="shared" si="19"/>
        <v>-5.402392640208654</v>
      </c>
      <c r="Z275">
        <f t="shared" si="20"/>
        <v>-6.2725641567572064</v>
      </c>
    </row>
    <row r="276" spans="1:26" x14ac:dyDescent="0.2">
      <c r="A276" t="s">
        <v>306</v>
      </c>
      <c r="B276">
        <v>1.825600080427554E-5</v>
      </c>
      <c r="C276">
        <v>5.3387040099999997E-7</v>
      </c>
      <c r="D276">
        <v>0</v>
      </c>
      <c r="E276">
        <v>5.3387040099999997E-7</v>
      </c>
      <c r="F276">
        <v>100</v>
      </c>
      <c r="G276">
        <v>2.9243557048648249E-2</v>
      </c>
      <c r="H276">
        <f t="shared" si="18"/>
        <v>-1.5339698029643658</v>
      </c>
      <c r="Y276">
        <f t="shared" si="19"/>
        <v>-4.7385943537928403</v>
      </c>
      <c r="Z276">
        <f t="shared" si="20"/>
        <v>-6.2725641567572064</v>
      </c>
    </row>
    <row r="277" spans="1:26" x14ac:dyDescent="0.2">
      <c r="A277" t="s">
        <v>302</v>
      </c>
      <c r="B277">
        <v>3.6967878370974742E-6</v>
      </c>
      <c r="C277">
        <v>5.3387040099999997E-7</v>
      </c>
      <c r="D277">
        <v>0</v>
      </c>
      <c r="E277">
        <v>5.3387040099999997E-7</v>
      </c>
      <c r="F277">
        <v>100</v>
      </c>
      <c r="G277">
        <v>0.14441467147305029</v>
      </c>
      <c r="H277">
        <f t="shared" si="18"/>
        <v>-0.84038868338608108</v>
      </c>
      <c r="Y277">
        <f t="shared" si="19"/>
        <v>-5.4321754733711254</v>
      </c>
      <c r="Z277">
        <f t="shared" si="20"/>
        <v>-6.2725641567572064</v>
      </c>
    </row>
    <row r="278" spans="1:26" x14ac:dyDescent="0.2">
      <c r="A278" t="s">
        <v>305</v>
      </c>
      <c r="B278">
        <v>1.9559264068929248E-6</v>
      </c>
      <c r="C278">
        <v>5.3387040099999997E-7</v>
      </c>
      <c r="D278">
        <v>0</v>
      </c>
      <c r="E278">
        <v>5.3387040099999997E-7</v>
      </c>
      <c r="F278">
        <v>100</v>
      </c>
      <c r="G278">
        <v>0.27295014736677969</v>
      </c>
      <c r="H278">
        <f t="shared" si="18"/>
        <v>-0.56391666688078246</v>
      </c>
      <c r="Y278">
        <f t="shared" si="19"/>
        <v>-5.7086474898764239</v>
      </c>
      <c r="Z278">
        <f t="shared" si="20"/>
        <v>-6.2725641567572064</v>
      </c>
    </row>
    <row r="279" spans="1:26" x14ac:dyDescent="0.2">
      <c r="A279" t="s">
        <v>308</v>
      </c>
      <c r="B279">
        <v>4.8222333664969554E-6</v>
      </c>
      <c r="C279">
        <v>5.3387040099999997E-7</v>
      </c>
      <c r="D279">
        <v>0</v>
      </c>
      <c r="E279">
        <v>5.3387040099999997E-7</v>
      </c>
      <c r="F279">
        <v>100</v>
      </c>
      <c r="G279">
        <v>0.1107101959662775</v>
      </c>
      <c r="H279">
        <f t="shared" si="18"/>
        <v>-0.955812380494513</v>
      </c>
      <c r="Y279">
        <f t="shared" si="19"/>
        <v>-5.3167517762626932</v>
      </c>
      <c r="Z279">
        <f t="shared" si="20"/>
        <v>-6.2725641567572064</v>
      </c>
    </row>
    <row r="280" spans="1:26" x14ac:dyDescent="0.2">
      <c r="A280" t="s">
        <v>304</v>
      </c>
      <c r="B280">
        <v>3.355831480221223E-6</v>
      </c>
      <c r="C280">
        <v>5.3387040099999997E-7</v>
      </c>
      <c r="D280">
        <v>0</v>
      </c>
      <c r="E280">
        <v>5.3387040099999997E-7</v>
      </c>
      <c r="F280">
        <v>100</v>
      </c>
      <c r="G280">
        <v>0.1590873690012605</v>
      </c>
      <c r="H280">
        <f t="shared" si="18"/>
        <v>-0.79836430049682328</v>
      </c>
      <c r="Y280">
        <f t="shared" si="19"/>
        <v>-5.4741998562603831</v>
      </c>
      <c r="Z280">
        <f t="shared" si="20"/>
        <v>-6.2725641567572064</v>
      </c>
    </row>
    <row r="281" spans="1:26" x14ac:dyDescent="0.2">
      <c r="A281" t="s">
        <v>281</v>
      </c>
      <c r="B281">
        <v>5.306753326574433E-7</v>
      </c>
      <c r="C281">
        <v>5.3090018800000002E-7</v>
      </c>
      <c r="D281">
        <v>0</v>
      </c>
      <c r="E281">
        <v>5.3090018800000002E-7</v>
      </c>
      <c r="F281">
        <v>100</v>
      </c>
      <c r="G281">
        <v>1.0004237154597531</v>
      </c>
      <c r="H281">
        <f t="shared" si="18"/>
        <v>1.8397831159237224E-4</v>
      </c>
      <c r="Y281">
        <f t="shared" si="19"/>
        <v>-6.2751710991799889</v>
      </c>
      <c r="Z281">
        <f t="shared" si="20"/>
        <v>-6.2749871208683965</v>
      </c>
    </row>
    <row r="282" spans="1:26" x14ac:dyDescent="0.2">
      <c r="A282" t="s">
        <v>251</v>
      </c>
      <c r="B282">
        <v>5.136824431307588E-7</v>
      </c>
      <c r="C282">
        <v>5.13900098E-7</v>
      </c>
      <c r="D282">
        <v>0</v>
      </c>
      <c r="E282">
        <v>5.13900098E-7</v>
      </c>
      <c r="F282">
        <v>100</v>
      </c>
      <c r="G282">
        <v>1.000423714830343</v>
      </c>
      <c r="H282">
        <f t="shared" si="18"/>
        <v>1.8397803835882101E-4</v>
      </c>
      <c r="Y282">
        <f t="shared" si="19"/>
        <v>-6.2893052775338525</v>
      </c>
      <c r="Z282">
        <f t="shared" si="20"/>
        <v>-6.2891212994954939</v>
      </c>
    </row>
    <row r="283" spans="1:26" x14ac:dyDescent="0.2">
      <c r="A283" t="s">
        <v>287</v>
      </c>
      <c r="B283">
        <v>3.0912754370711861E-7</v>
      </c>
      <c r="C283">
        <v>5.0526177199999998E-7</v>
      </c>
      <c r="D283">
        <v>0</v>
      </c>
      <c r="E283">
        <v>5.0526177199999998E-7</v>
      </c>
      <c r="F283">
        <v>100</v>
      </c>
      <c r="G283">
        <v>1.634476714500432</v>
      </c>
      <c r="H283">
        <f t="shared" si="18"/>
        <v>0.21337873780350561</v>
      </c>
      <c r="Y283">
        <f t="shared" si="19"/>
        <v>-6.5098622969519724</v>
      </c>
      <c r="Z283">
        <f t="shared" si="20"/>
        <v>-6.2964835591484674</v>
      </c>
    </row>
    <row r="284" spans="1:26" x14ac:dyDescent="0.2">
      <c r="A284" t="s">
        <v>267</v>
      </c>
      <c r="B284">
        <v>5.0348399523424642E-7</v>
      </c>
      <c r="C284">
        <v>5.0369732899999999E-7</v>
      </c>
      <c r="D284">
        <v>0</v>
      </c>
      <c r="E284">
        <v>5.0369732899999999E-7</v>
      </c>
      <c r="F284">
        <v>100</v>
      </c>
      <c r="G284">
        <v>1.0004237150888069</v>
      </c>
      <c r="H284">
        <f t="shared" si="18"/>
        <v>1.8397815056073226E-4</v>
      </c>
      <c r="Y284">
        <f t="shared" si="19"/>
        <v>-6.2980143302581792</v>
      </c>
      <c r="Z284">
        <f t="shared" si="20"/>
        <v>-6.2978303521076189</v>
      </c>
    </row>
    <row r="285" spans="1:26" x14ac:dyDescent="0.2">
      <c r="A285" t="s">
        <v>278</v>
      </c>
      <c r="B285">
        <v>3.0736414133253138E-7</v>
      </c>
      <c r="C285">
        <v>4.9950341200000003E-7</v>
      </c>
      <c r="D285">
        <v>0</v>
      </c>
      <c r="E285">
        <v>4.9950341200000003E-7</v>
      </c>
      <c r="F285">
        <v>100</v>
      </c>
      <c r="G285">
        <v>1.62511934487373</v>
      </c>
      <c r="H285">
        <f t="shared" si="18"/>
        <v>0.21088526003298064</v>
      </c>
      <c r="Y285">
        <f t="shared" si="19"/>
        <v>-6.5123468008889747</v>
      </c>
      <c r="Z285">
        <f t="shared" si="20"/>
        <v>-6.3014615408559944</v>
      </c>
    </row>
    <row r="286" spans="1:26" x14ac:dyDescent="0.2">
      <c r="A286" t="s">
        <v>258</v>
      </c>
      <c r="B286">
        <v>4.8707157730000338E-7</v>
      </c>
      <c r="C286">
        <v>4.8727795699999995E-7</v>
      </c>
      <c r="D286">
        <v>0</v>
      </c>
      <c r="E286">
        <v>4.8727795699999995E-7</v>
      </c>
      <c r="F286">
        <v>100</v>
      </c>
      <c r="G286">
        <v>1.000423715342087</v>
      </c>
      <c r="H286">
        <f t="shared" si="18"/>
        <v>1.8397826051227812E-4</v>
      </c>
      <c r="Y286">
        <f t="shared" si="19"/>
        <v>-6.3124072126206334</v>
      </c>
      <c r="Z286">
        <f t="shared" si="20"/>
        <v>-6.312223234360121</v>
      </c>
    </row>
    <row r="287" spans="1:26" x14ac:dyDescent="0.2">
      <c r="A287" t="s">
        <v>297</v>
      </c>
      <c r="B287">
        <v>2.8782723287781732E-7</v>
      </c>
      <c r="C287">
        <v>4.7415567599999999E-7</v>
      </c>
      <c r="D287">
        <v>0</v>
      </c>
      <c r="E287">
        <v>4.7415567599999999E-7</v>
      </c>
      <c r="F287">
        <v>100</v>
      </c>
      <c r="G287">
        <v>1.6473621042011659</v>
      </c>
      <c r="H287">
        <f t="shared" si="18"/>
        <v>0.21678907128368688</v>
      </c>
      <c r="Y287">
        <f t="shared" si="19"/>
        <v>-6.5408681175257772</v>
      </c>
      <c r="Z287">
        <f t="shared" si="20"/>
        <v>-6.3240790462420904</v>
      </c>
    </row>
    <row r="288" spans="1:26" x14ac:dyDescent="0.2">
      <c r="A288" t="s">
        <v>296</v>
      </c>
      <c r="B288">
        <v>4.5964905259227198E-7</v>
      </c>
      <c r="C288">
        <v>4.5984381299999998E-7</v>
      </c>
      <c r="D288">
        <v>0</v>
      </c>
      <c r="E288">
        <v>4.5984381299999998E-7</v>
      </c>
      <c r="F288">
        <v>100</v>
      </c>
      <c r="G288">
        <v>1.000423715455584</v>
      </c>
      <c r="H288">
        <f t="shared" si="18"/>
        <v>1.8397830978251784E-4</v>
      </c>
      <c r="Y288">
        <f t="shared" si="19"/>
        <v>-6.3375736306943908</v>
      </c>
      <c r="Z288">
        <f t="shared" si="20"/>
        <v>-6.3373896523846085</v>
      </c>
    </row>
    <row r="289" spans="1:26" x14ac:dyDescent="0.2">
      <c r="A289" t="s">
        <v>289</v>
      </c>
      <c r="B289">
        <v>3.8324700416436482E-7</v>
      </c>
      <c r="C289">
        <v>4.5683969400000001E-7</v>
      </c>
      <c r="D289">
        <v>0</v>
      </c>
      <c r="E289">
        <v>4.5683969400000001E-7</v>
      </c>
      <c r="F289">
        <v>100</v>
      </c>
      <c r="G289">
        <v>1.192024175103723</v>
      </c>
      <c r="H289">
        <f t="shared" si="18"/>
        <v>7.628506329656734E-2</v>
      </c>
      <c r="Y289">
        <f t="shared" si="19"/>
        <v>-6.4165212313332614</v>
      </c>
      <c r="Z289">
        <f t="shared" si="20"/>
        <v>-6.3402361680366948</v>
      </c>
    </row>
    <row r="290" spans="1:26" x14ac:dyDescent="0.2">
      <c r="A290" t="s">
        <v>259</v>
      </c>
      <c r="B290">
        <v>2.337070116278326E-7</v>
      </c>
      <c r="C290">
        <v>4.2866236599999998E-7</v>
      </c>
      <c r="D290">
        <v>0</v>
      </c>
      <c r="E290">
        <v>4.2866236599999998E-7</v>
      </c>
      <c r="F290">
        <v>100</v>
      </c>
      <c r="G290">
        <v>1.8341870148193271</v>
      </c>
      <c r="H290">
        <f t="shared" si="18"/>
        <v>0.26344361452011583</v>
      </c>
      <c r="Y290">
        <f t="shared" si="19"/>
        <v>-6.6313282578020525</v>
      </c>
      <c r="Z290">
        <f t="shared" si="20"/>
        <v>-6.3678846432819363</v>
      </c>
    </row>
    <row r="291" spans="1:26" x14ac:dyDescent="0.2">
      <c r="A291" t="s">
        <v>282</v>
      </c>
      <c r="B291">
        <v>2.5966641847878079E-7</v>
      </c>
      <c r="C291">
        <v>4.1834565199999999E-7</v>
      </c>
      <c r="D291">
        <v>0</v>
      </c>
      <c r="E291">
        <v>4.1834565199999999E-7</v>
      </c>
      <c r="F291">
        <v>100</v>
      </c>
      <c r="G291">
        <v>1.611088774785816</v>
      </c>
      <c r="H291">
        <f t="shared" si="18"/>
        <v>0.20711947172733314</v>
      </c>
      <c r="Y291">
        <f t="shared" si="19"/>
        <v>-6.5855842121434298</v>
      </c>
      <c r="Z291">
        <f t="shared" si="20"/>
        <v>-6.3784647404160966</v>
      </c>
    </row>
    <row r="292" spans="1:26" x14ac:dyDescent="0.2">
      <c r="A292" t="s">
        <v>277</v>
      </c>
      <c r="B292">
        <v>3.9909528502258641E-7</v>
      </c>
      <c r="C292">
        <v>3.9878896299999998E-7</v>
      </c>
      <c r="D292">
        <v>0</v>
      </c>
      <c r="E292">
        <v>3.9878896299999998E-7</v>
      </c>
      <c r="F292">
        <v>100</v>
      </c>
      <c r="G292">
        <v>0.99923245892877666</v>
      </c>
      <c r="H292">
        <f t="shared" si="18"/>
        <v>-3.3346684299261786E-4</v>
      </c>
      <c r="Y292">
        <f t="shared" si="19"/>
        <v>-6.3989234030121906</v>
      </c>
      <c r="Z292">
        <f t="shared" si="20"/>
        <v>-6.3992568698551828</v>
      </c>
    </row>
    <row r="293" spans="1:26" x14ac:dyDescent="0.2">
      <c r="A293" t="s">
        <v>288</v>
      </c>
      <c r="B293">
        <v>3.7740492275671731E-7</v>
      </c>
      <c r="C293">
        <v>3.7756483500000002E-7</v>
      </c>
      <c r="D293">
        <v>0</v>
      </c>
      <c r="E293">
        <v>3.7756483500000002E-7</v>
      </c>
      <c r="F293">
        <v>100</v>
      </c>
      <c r="G293">
        <v>1.00042371530852</v>
      </c>
      <c r="H293">
        <f t="shared" si="18"/>
        <v>1.8397824594052121E-4</v>
      </c>
      <c r="Y293">
        <f t="shared" si="19"/>
        <v>-6.423192439327063</v>
      </c>
      <c r="Z293">
        <f t="shared" si="20"/>
        <v>-6.4230084610811229</v>
      </c>
    </row>
    <row r="294" spans="1:26" x14ac:dyDescent="0.2">
      <c r="A294" t="s">
        <v>145</v>
      </c>
      <c r="B294">
        <v>3.7616036706062978E-7</v>
      </c>
      <c r="C294">
        <v>3.7631975200000002E-7</v>
      </c>
      <c r="D294">
        <v>0</v>
      </c>
      <c r="E294">
        <v>3.7631975200000002E-7</v>
      </c>
      <c r="F294">
        <v>100</v>
      </c>
      <c r="G294">
        <v>1.0004237153972799</v>
      </c>
      <c r="H294">
        <f t="shared" si="18"/>
        <v>1.8397828447212449E-4</v>
      </c>
      <c r="Y294">
        <f t="shared" si="19"/>
        <v>-6.4246269644305132</v>
      </c>
      <c r="Z294">
        <f t="shared" si="20"/>
        <v>-6.4244429861460413</v>
      </c>
    </row>
    <row r="295" spans="1:26" x14ac:dyDescent="0.2">
      <c r="A295" t="s">
        <v>272</v>
      </c>
      <c r="B295">
        <v>7.2199183244019259E-7</v>
      </c>
      <c r="C295">
        <v>3.6304182099999999E-7</v>
      </c>
      <c r="D295">
        <v>0</v>
      </c>
      <c r="E295">
        <v>3.6304182099999999E-7</v>
      </c>
      <c r="F295">
        <v>100</v>
      </c>
      <c r="G295">
        <v>0.50283369518598142</v>
      </c>
      <c r="H295">
        <f t="shared" si="18"/>
        <v>-0.29857562767855556</v>
      </c>
      <c r="Y295">
        <f t="shared" si="19"/>
        <v>-6.1414677153752617</v>
      </c>
      <c r="Z295">
        <f t="shared" si="20"/>
        <v>-6.4400433430538175</v>
      </c>
    </row>
    <row r="296" spans="1:26" x14ac:dyDescent="0.2">
      <c r="A296" t="s">
        <v>273</v>
      </c>
      <c r="B296">
        <v>3.6288805957073349E-7</v>
      </c>
      <c r="C296">
        <v>3.6304182099999999E-7</v>
      </c>
      <c r="D296">
        <v>0</v>
      </c>
      <c r="E296">
        <v>3.6304182099999999E-7</v>
      </c>
      <c r="F296">
        <v>100</v>
      </c>
      <c r="G296">
        <v>1.0004237158683269</v>
      </c>
      <c r="H296">
        <f t="shared" si="18"/>
        <v>1.8397848895858419E-4</v>
      </c>
      <c r="Y296">
        <f t="shared" si="19"/>
        <v>-6.4402273215427757</v>
      </c>
      <c r="Z296">
        <f t="shared" si="20"/>
        <v>-6.4400433430538175</v>
      </c>
    </row>
    <row r="297" spans="1:26" x14ac:dyDescent="0.2">
      <c r="A297" t="s">
        <v>286</v>
      </c>
      <c r="B297">
        <v>4.7523017924727976E-6</v>
      </c>
      <c r="C297">
        <v>3.3828204599999999E-7</v>
      </c>
      <c r="D297">
        <v>0</v>
      </c>
      <c r="E297">
        <v>3.3828204599999999E-7</v>
      </c>
      <c r="F297">
        <v>100</v>
      </c>
      <c r="G297">
        <v>7.118277852972367E-2</v>
      </c>
      <c r="H297">
        <f t="shared" si="18"/>
        <v>-1.1476250638655323</v>
      </c>
      <c r="Y297">
        <f t="shared" si="19"/>
        <v>-5.3230959875041641</v>
      </c>
      <c r="Z297">
        <f t="shared" si="20"/>
        <v>-6.4707210513696971</v>
      </c>
    </row>
    <row r="298" spans="1:26" x14ac:dyDescent="0.2">
      <c r="A298" t="s">
        <v>312</v>
      </c>
      <c r="B298">
        <v>3.3553643562699129E-7</v>
      </c>
      <c r="C298">
        <v>3.3567860699999998E-7</v>
      </c>
      <c r="D298">
        <v>0</v>
      </c>
      <c r="E298">
        <v>3.3567860699999998E-7</v>
      </c>
      <c r="F298">
        <v>100</v>
      </c>
      <c r="G298">
        <v>1.000423713665382</v>
      </c>
      <c r="H298">
        <f t="shared" si="18"/>
        <v>1.8397753263696144E-4</v>
      </c>
      <c r="Y298">
        <f t="shared" si="19"/>
        <v>-6.474260313251861</v>
      </c>
      <c r="Z298">
        <f t="shared" si="20"/>
        <v>-6.4740763357192241</v>
      </c>
    </row>
    <row r="299" spans="1:26" x14ac:dyDescent="0.2">
      <c r="A299" t="s">
        <v>254</v>
      </c>
      <c r="B299">
        <v>3.1825607541038179E-7</v>
      </c>
      <c r="C299">
        <v>3.18390925E-7</v>
      </c>
      <c r="D299">
        <v>0</v>
      </c>
      <c r="E299">
        <v>3.18390925E-7</v>
      </c>
      <c r="F299">
        <v>100</v>
      </c>
      <c r="G299">
        <v>1.0004237141096031</v>
      </c>
      <c r="H299">
        <f t="shared" si="18"/>
        <v>1.8397772547802636E-4</v>
      </c>
      <c r="Y299">
        <f t="shared" si="19"/>
        <v>-6.4972232970473796</v>
      </c>
      <c r="Z299">
        <f t="shared" si="20"/>
        <v>-6.4970393193219014</v>
      </c>
    </row>
    <row r="300" spans="1:26" x14ac:dyDescent="0.2">
      <c r="A300" t="s">
        <v>300</v>
      </c>
      <c r="B300">
        <v>2.9061571067994378E-7</v>
      </c>
      <c r="C300">
        <v>2.9073884899999998E-7</v>
      </c>
      <c r="D300">
        <v>0</v>
      </c>
      <c r="E300">
        <v>2.9073884899999998E-7</v>
      </c>
      <c r="F300">
        <v>100</v>
      </c>
      <c r="G300">
        <v>1.0004237152897479</v>
      </c>
      <c r="H300">
        <f t="shared" si="18"/>
        <v>1.8397823779135687E-4</v>
      </c>
      <c r="Y300">
        <f t="shared" si="19"/>
        <v>-6.5366809114517075</v>
      </c>
      <c r="Z300">
        <f t="shared" si="20"/>
        <v>-6.5364969332139156</v>
      </c>
    </row>
    <row r="301" spans="1:26" x14ac:dyDescent="0.2">
      <c r="A301" t="s">
        <v>319</v>
      </c>
      <c r="B301">
        <v>2.698582507041034E-7</v>
      </c>
      <c r="C301">
        <v>2.6997259400000001E-7</v>
      </c>
      <c r="D301">
        <v>0</v>
      </c>
      <c r="E301">
        <v>2.6997259400000001E-7</v>
      </c>
      <c r="F301">
        <v>100</v>
      </c>
      <c r="G301">
        <v>1.000423716138374</v>
      </c>
      <c r="H301">
        <f t="shared" si="18"/>
        <v>1.8397860618887539E-4</v>
      </c>
      <c r="Y301">
        <f t="shared" si="19"/>
        <v>-6.5688642991830326</v>
      </c>
      <c r="Z301">
        <f t="shared" si="20"/>
        <v>-6.5686803205768438</v>
      </c>
    </row>
    <row r="302" spans="1:26" x14ac:dyDescent="0.2">
      <c r="A302" t="s">
        <v>310</v>
      </c>
      <c r="B302">
        <v>2.6883481391660849E-7</v>
      </c>
      <c r="C302">
        <v>2.6894872300000001E-7</v>
      </c>
      <c r="D302">
        <v>0</v>
      </c>
      <c r="E302">
        <v>2.6894872300000001E-7</v>
      </c>
      <c r="F302">
        <v>100</v>
      </c>
      <c r="G302">
        <v>1.0004237140336549</v>
      </c>
      <c r="H302">
        <f t="shared" si="18"/>
        <v>1.839776925081395E-4</v>
      </c>
      <c r="Y302">
        <f t="shared" si="19"/>
        <v>-6.5705144911507549</v>
      </c>
      <c r="Z302">
        <f t="shared" si="20"/>
        <v>-6.5703305134582468</v>
      </c>
    </row>
    <row r="303" spans="1:26" x14ac:dyDescent="0.2">
      <c r="A303" t="s">
        <v>293</v>
      </c>
      <c r="B303">
        <v>2.535169823252404E-7</v>
      </c>
      <c r="C303">
        <v>2.5362440099999999E-7</v>
      </c>
      <c r="D303">
        <v>0</v>
      </c>
      <c r="E303">
        <v>2.5362440099999999E-7</v>
      </c>
      <c r="F303">
        <v>100</v>
      </c>
      <c r="G303">
        <v>1.0004237139215459</v>
      </c>
      <c r="H303">
        <f t="shared" si="18"/>
        <v>1.8397764384044549E-4</v>
      </c>
      <c r="Y303">
        <f t="shared" si="19"/>
        <v>-6.5959929433006224</v>
      </c>
      <c r="Z303">
        <f t="shared" si="20"/>
        <v>-6.5958089656567811</v>
      </c>
    </row>
    <row r="304" spans="1:26" x14ac:dyDescent="0.2">
      <c r="A304" t="s">
        <v>328</v>
      </c>
      <c r="B304">
        <v>2.5232000197109E-7</v>
      </c>
      <c r="C304">
        <v>2.5242691400000002E-7</v>
      </c>
      <c r="D304">
        <v>0</v>
      </c>
      <c r="E304">
        <v>2.5242691400000002E-7</v>
      </c>
      <c r="F304">
        <v>100</v>
      </c>
      <c r="G304">
        <v>1.000423716027564</v>
      </c>
      <c r="H304">
        <f t="shared" si="18"/>
        <v>1.8397855808507412E-4</v>
      </c>
      <c r="Y304">
        <f t="shared" si="19"/>
        <v>-6.5980483206225218</v>
      </c>
      <c r="Z304">
        <f t="shared" si="20"/>
        <v>-6.5978643420644376</v>
      </c>
    </row>
    <row r="305" spans="1:26" x14ac:dyDescent="0.2">
      <c r="A305" t="s">
        <v>294</v>
      </c>
      <c r="B305">
        <v>1.2985647493364439E-7</v>
      </c>
      <c r="C305">
        <v>2.22561087E-7</v>
      </c>
      <c r="D305">
        <v>0</v>
      </c>
      <c r="E305">
        <v>2.22561087E-7</v>
      </c>
      <c r="F305">
        <v>100</v>
      </c>
      <c r="G305">
        <v>1.713900574566859</v>
      </c>
      <c r="H305">
        <f t="shared" si="18"/>
        <v>0.23398562437282158</v>
      </c>
      <c r="Y305">
        <f t="shared" si="19"/>
        <v>-6.8865363906026857</v>
      </c>
      <c r="Z305">
        <f t="shared" si="20"/>
        <v>-6.6525507662298642</v>
      </c>
    </row>
    <row r="306" spans="1:26" x14ac:dyDescent="0.2">
      <c r="A306" t="s">
        <v>292</v>
      </c>
      <c r="B306">
        <v>2.22252107099731E-7</v>
      </c>
      <c r="C306">
        <v>2.22346279E-7</v>
      </c>
      <c r="D306">
        <v>0</v>
      </c>
      <c r="E306">
        <v>2.22346279E-7</v>
      </c>
      <c r="F306">
        <v>100</v>
      </c>
      <c r="G306">
        <v>1.0004237165689811</v>
      </c>
      <c r="H306">
        <f t="shared" si="18"/>
        <v>1.8397879311995942E-4</v>
      </c>
      <c r="Y306">
        <f t="shared" si="19"/>
        <v>-6.65315411293391</v>
      </c>
      <c r="Z306">
        <f t="shared" si="20"/>
        <v>-6.6529701341407907</v>
      </c>
    </row>
    <row r="307" spans="1:26" x14ac:dyDescent="0.2">
      <c r="A307" t="s">
        <v>314</v>
      </c>
      <c r="B307">
        <v>2.220920667817364E-7</v>
      </c>
      <c r="C307">
        <v>2.2218617000000001E-7</v>
      </c>
      <c r="D307">
        <v>0</v>
      </c>
      <c r="E307">
        <v>2.2218617000000001E-7</v>
      </c>
      <c r="F307">
        <v>100</v>
      </c>
      <c r="G307">
        <v>1.000423712650466</v>
      </c>
      <c r="H307">
        <f t="shared" si="18"/>
        <v>1.8397709205125582E-4</v>
      </c>
      <c r="Y307">
        <f t="shared" si="19"/>
        <v>-6.6534669543486427</v>
      </c>
      <c r="Z307">
        <f t="shared" si="20"/>
        <v>-6.6532829772565911</v>
      </c>
    </row>
    <row r="308" spans="1:26" x14ac:dyDescent="0.2">
      <c r="A308" t="s">
        <v>318</v>
      </c>
      <c r="B308">
        <v>1.564436183934272E-7</v>
      </c>
      <c r="C308">
        <v>2.0162055799999999E-7</v>
      </c>
      <c r="D308">
        <v>0</v>
      </c>
      <c r="E308">
        <v>2.0162055799999999E-7</v>
      </c>
      <c r="F308">
        <v>100</v>
      </c>
      <c r="G308">
        <v>1.2887745762371789</v>
      </c>
      <c r="H308">
        <f t="shared" si="18"/>
        <v>0.11017696013244578</v>
      </c>
      <c r="Y308">
        <f t="shared" si="19"/>
        <v>-6.8056421477817484</v>
      </c>
      <c r="Z308">
        <f t="shared" si="20"/>
        <v>-6.6954651876493028</v>
      </c>
    </row>
    <row r="309" spans="1:26" x14ac:dyDescent="0.2">
      <c r="A309" t="s">
        <v>279</v>
      </c>
      <c r="B309">
        <v>1.9666370249863871E-7</v>
      </c>
      <c r="C309">
        <v>1.9674703199999999E-7</v>
      </c>
      <c r="D309">
        <v>0</v>
      </c>
      <c r="E309">
        <v>1.9674703199999999E-7</v>
      </c>
      <c r="F309">
        <v>100</v>
      </c>
      <c r="G309">
        <v>1.000423715715216</v>
      </c>
      <c r="H309">
        <f t="shared" si="18"/>
        <v>1.8397842249154685E-4</v>
      </c>
      <c r="Y309">
        <f t="shared" si="19"/>
        <v>-6.7062757888310065</v>
      </c>
      <c r="Z309">
        <f t="shared" si="20"/>
        <v>-6.7060918104085152</v>
      </c>
    </row>
    <row r="310" spans="1:26" x14ac:dyDescent="0.2">
      <c r="A310" t="s">
        <v>298</v>
      </c>
      <c r="B310">
        <v>1.94704630547409E-7</v>
      </c>
      <c r="C310">
        <v>1.9478713E-7</v>
      </c>
      <c r="D310">
        <v>0</v>
      </c>
      <c r="E310">
        <v>1.9478713E-7</v>
      </c>
      <c r="F310">
        <v>100</v>
      </c>
      <c r="G310">
        <v>1.000423715924778</v>
      </c>
      <c r="H310">
        <f t="shared" si="18"/>
        <v>1.8397851346458707E-4</v>
      </c>
      <c r="Y310">
        <f t="shared" si="19"/>
        <v>-6.7106237197831309</v>
      </c>
      <c r="Z310">
        <f t="shared" si="20"/>
        <v>-6.7104397412696661</v>
      </c>
    </row>
    <row r="311" spans="1:26" x14ac:dyDescent="0.2">
      <c r="A311" t="s">
        <v>323</v>
      </c>
      <c r="B311">
        <v>1.6118947607285339E-7</v>
      </c>
      <c r="C311">
        <v>1.61257774E-7</v>
      </c>
      <c r="D311">
        <v>0</v>
      </c>
      <c r="E311">
        <v>1.61257774E-7</v>
      </c>
      <c r="F311">
        <v>100</v>
      </c>
      <c r="G311">
        <v>1.000423712073583</v>
      </c>
      <c r="H311">
        <f t="shared" si="18"/>
        <v>1.8397684162026906E-4</v>
      </c>
      <c r="Y311">
        <f t="shared" si="19"/>
        <v>-6.7926633163317103</v>
      </c>
      <c r="Z311">
        <f t="shared" si="20"/>
        <v>-6.7924793394900895</v>
      </c>
    </row>
    <row r="312" spans="1:26" x14ac:dyDescent="0.2">
      <c r="A312" t="s">
        <v>317</v>
      </c>
      <c r="B312">
        <v>1.514242230706137E-7</v>
      </c>
      <c r="C312">
        <v>1.51488384E-7</v>
      </c>
      <c r="D312">
        <v>0</v>
      </c>
      <c r="E312">
        <v>1.51488384E-7</v>
      </c>
      <c r="F312">
        <v>100</v>
      </c>
      <c r="G312">
        <v>1.000423716417923</v>
      </c>
      <c r="H312">
        <f t="shared" si="18"/>
        <v>1.8397872754406531E-4</v>
      </c>
      <c r="Y312">
        <f t="shared" si="19"/>
        <v>-6.8198046459427584</v>
      </c>
      <c r="Z312">
        <f t="shared" si="20"/>
        <v>-6.8196206672152142</v>
      </c>
    </row>
    <row r="313" spans="1:26" x14ac:dyDescent="0.2">
      <c r="A313" t="s">
        <v>315</v>
      </c>
      <c r="B313">
        <v>1.3649852339096529E-7</v>
      </c>
      <c r="C313">
        <v>1.49350219E-7</v>
      </c>
      <c r="D313">
        <v>0</v>
      </c>
      <c r="E313">
        <v>1.49350219E-7</v>
      </c>
      <c r="F313">
        <v>100</v>
      </c>
      <c r="G313">
        <v>1.094152634693522</v>
      </c>
      <c r="H313">
        <f t="shared" si="18"/>
        <v>3.9077910462951428E-2</v>
      </c>
      <c r="Y313">
        <f t="shared" si="19"/>
        <v>-6.8648720466937334</v>
      </c>
      <c r="Z313">
        <f t="shared" si="20"/>
        <v>-6.8257941362307815</v>
      </c>
    </row>
    <row r="314" spans="1:26" x14ac:dyDescent="0.2">
      <c r="A314" t="s">
        <v>316</v>
      </c>
      <c r="B314">
        <v>1.212520273796234E-6</v>
      </c>
      <c r="C314">
        <v>1.49350219E-7</v>
      </c>
      <c r="D314">
        <v>0</v>
      </c>
      <c r="E314">
        <v>1.49350219E-7</v>
      </c>
      <c r="F314">
        <v>100</v>
      </c>
      <c r="G314">
        <v>0.1231733788107353</v>
      </c>
      <c r="H314">
        <f t="shared" si="18"/>
        <v>-0.90948314513330675</v>
      </c>
      <c r="Y314">
        <f t="shared" si="19"/>
        <v>-5.9163109910974745</v>
      </c>
      <c r="Z314">
        <f t="shared" si="20"/>
        <v>-6.8257941362307815</v>
      </c>
    </row>
    <row r="315" spans="1:26" x14ac:dyDescent="0.2">
      <c r="A315" t="s">
        <v>326</v>
      </c>
      <c r="B315">
        <v>1.2643962243065269E-7</v>
      </c>
      <c r="C315">
        <v>1.2649319699999999E-7</v>
      </c>
      <c r="D315">
        <v>0</v>
      </c>
      <c r="E315">
        <v>1.2649319699999999E-7</v>
      </c>
      <c r="F315">
        <v>100</v>
      </c>
      <c r="G315">
        <v>1.0004237166191841</v>
      </c>
      <c r="H315">
        <f t="shared" si="18"/>
        <v>1.8397881491359053E-4</v>
      </c>
      <c r="Y315">
        <f t="shared" si="19"/>
        <v>-6.898116809704721</v>
      </c>
      <c r="Z315">
        <f t="shared" si="20"/>
        <v>-6.8979328308898067</v>
      </c>
    </row>
    <row r="316" spans="1:26" x14ac:dyDescent="0.2">
      <c r="A316" t="s">
        <v>291</v>
      </c>
      <c r="B316">
        <v>1.059787987770069E-7</v>
      </c>
      <c r="C316">
        <v>1.0922975E-7</v>
      </c>
      <c r="D316">
        <v>0</v>
      </c>
      <c r="E316">
        <v>1.0922975E-7</v>
      </c>
      <c r="F316">
        <v>100</v>
      </c>
      <c r="G316">
        <v>1.0306754866115579</v>
      </c>
      <c r="H316">
        <f t="shared" si="18"/>
        <v>1.3121946992026692E-2</v>
      </c>
      <c r="Y316">
        <f t="shared" si="19"/>
        <v>-6.9747810073304075</v>
      </c>
      <c r="Z316">
        <f t="shared" si="20"/>
        <v>-6.9616590603383806</v>
      </c>
    </row>
    <row r="317" spans="1:26" x14ac:dyDescent="0.2">
      <c r="A317" t="s">
        <v>320</v>
      </c>
      <c r="B317">
        <v>1.04560809048475E-7</v>
      </c>
      <c r="C317">
        <v>1.04605113E-7</v>
      </c>
      <c r="D317">
        <v>0</v>
      </c>
      <c r="E317">
        <v>1.04605113E-7</v>
      </c>
      <c r="F317">
        <v>100</v>
      </c>
      <c r="G317">
        <v>1.000423714697009</v>
      </c>
      <c r="H317">
        <f t="shared" si="18"/>
        <v>1.8397798047712133E-4</v>
      </c>
      <c r="Y317">
        <f t="shared" si="19"/>
        <v>-6.980631065022683</v>
      </c>
      <c r="Z317">
        <f t="shared" si="20"/>
        <v>-6.9804470870422062</v>
      </c>
    </row>
    <row r="318" spans="1:26" x14ac:dyDescent="0.2">
      <c r="A318" t="s">
        <v>321</v>
      </c>
      <c r="B318">
        <v>9.0511226021999174E-8</v>
      </c>
      <c r="C318">
        <v>9.0549577000000001E-8</v>
      </c>
      <c r="D318">
        <v>0</v>
      </c>
      <c r="E318">
        <v>9.0549577000000001E-8</v>
      </c>
      <c r="F318">
        <v>100</v>
      </c>
      <c r="G318">
        <v>1.0004237151532061</v>
      </c>
      <c r="H318">
        <f t="shared" si="18"/>
        <v>1.8397817851708339E-4</v>
      </c>
      <c r="Y318">
        <f t="shared" si="19"/>
        <v>-7.0432975523191077</v>
      </c>
      <c r="Z318">
        <f t="shared" si="20"/>
        <v>-7.0431135741405901</v>
      </c>
    </row>
    <row r="319" spans="1:26" x14ac:dyDescent="0.2">
      <c r="A319" t="s">
        <v>311</v>
      </c>
      <c r="B319">
        <v>8.8127268039799641E-8</v>
      </c>
      <c r="C319">
        <v>8.8164608999999993E-8</v>
      </c>
      <c r="D319">
        <v>0</v>
      </c>
      <c r="E319">
        <v>8.8164608999999993E-8</v>
      </c>
      <c r="F319">
        <v>100</v>
      </c>
      <c r="G319">
        <v>1.000423716302921</v>
      </c>
      <c r="H319">
        <f t="shared" si="18"/>
        <v>1.839786776204813E-4</v>
      </c>
      <c r="Y319">
        <f t="shared" si="19"/>
        <v>-7.0548896928715275</v>
      </c>
      <c r="Z319">
        <f t="shared" si="20"/>
        <v>-7.0547057141939069</v>
      </c>
    </row>
    <row r="320" spans="1:26" x14ac:dyDescent="0.2">
      <c r="A320" t="s">
        <v>325</v>
      </c>
      <c r="B320">
        <v>8.4179571114440116E-8</v>
      </c>
      <c r="C320">
        <v>8.4215238999999997E-8</v>
      </c>
      <c r="D320">
        <v>0</v>
      </c>
      <c r="E320">
        <v>8.4215238999999997E-8</v>
      </c>
      <c r="F320">
        <v>100</v>
      </c>
      <c r="G320">
        <v>1.0004237118945569</v>
      </c>
      <c r="H320">
        <f t="shared" si="18"/>
        <v>1.8397676390313956E-4</v>
      </c>
      <c r="Y320">
        <f t="shared" si="19"/>
        <v>-7.0747932912644815</v>
      </c>
      <c r="Z320">
        <f t="shared" si="20"/>
        <v>-7.0746093145005782</v>
      </c>
    </row>
    <row r="321" spans="1:26" x14ac:dyDescent="0.2">
      <c r="A321" t="s">
        <v>327</v>
      </c>
      <c r="B321">
        <v>8.2743997154052865E-8</v>
      </c>
      <c r="C321">
        <v>8.2779056999999998E-8</v>
      </c>
      <c r="D321">
        <v>0</v>
      </c>
      <c r="E321">
        <v>8.2779056999999998E-8</v>
      </c>
      <c r="F321">
        <v>100</v>
      </c>
      <c r="G321">
        <v>1.0004237146760251</v>
      </c>
      <c r="H321">
        <f t="shared" si="18"/>
        <v>1.8397797136779722E-4</v>
      </c>
      <c r="Y321">
        <f t="shared" si="19"/>
        <v>-7.0822635032614114</v>
      </c>
      <c r="Z321">
        <f t="shared" si="20"/>
        <v>-7.0820795252900437</v>
      </c>
    </row>
    <row r="322" spans="1:26" x14ac:dyDescent="0.2">
      <c r="A322" t="s">
        <v>336</v>
      </c>
      <c r="B322">
        <v>8.2134056351863089E-8</v>
      </c>
      <c r="C322">
        <v>8.2168858000000001E-8</v>
      </c>
      <c r="D322">
        <v>0</v>
      </c>
      <c r="E322">
        <v>8.2168858000000001E-8</v>
      </c>
      <c r="F322">
        <v>100</v>
      </c>
      <c r="G322">
        <v>1.000423717635323</v>
      </c>
      <c r="H322">
        <f t="shared" si="18"/>
        <v>1.8397925603022103E-4</v>
      </c>
      <c r="Y322">
        <f t="shared" si="19"/>
        <v>-7.0854767281561415</v>
      </c>
      <c r="Z322">
        <f t="shared" si="20"/>
        <v>-7.0852927489001116</v>
      </c>
    </row>
    <row r="323" spans="1:26" x14ac:dyDescent="0.2">
      <c r="A323" t="s">
        <v>334</v>
      </c>
      <c r="B323">
        <v>2.8723804184092622E-7</v>
      </c>
      <c r="C323">
        <v>8.1247168E-8</v>
      </c>
      <c r="D323">
        <v>0</v>
      </c>
      <c r="E323">
        <v>8.1247168E-8</v>
      </c>
      <c r="F323">
        <v>100</v>
      </c>
      <c r="G323">
        <v>0.28285657247654922</v>
      </c>
      <c r="H323">
        <f t="shared" ref="H323:H345" si="21">LOG(G323)</f>
        <v>-0.54843372550714953</v>
      </c>
      <c r="Y323">
        <f t="shared" ref="Y323:Y343" si="22">LOG(B323)</f>
        <v>-6.5417580426069595</v>
      </c>
      <c r="Z323">
        <f t="shared" ref="Z323:Z343" si="23">LOG(C323)</f>
        <v>-7.0901917681141091</v>
      </c>
    </row>
    <row r="324" spans="1:26" x14ac:dyDescent="0.2">
      <c r="A324" t="s">
        <v>331</v>
      </c>
      <c r="B324">
        <v>1.444425045057843E-6</v>
      </c>
      <c r="C324">
        <v>8.1247168E-8</v>
      </c>
      <c r="D324">
        <v>0</v>
      </c>
      <c r="E324">
        <v>8.1247168E-8</v>
      </c>
      <c r="F324">
        <v>100</v>
      </c>
      <c r="G324">
        <v>5.6248794825311553E-2</v>
      </c>
      <c r="H324">
        <f t="shared" si="21"/>
        <v>-1.2498867782179157</v>
      </c>
      <c r="Y324">
        <f t="shared" si="22"/>
        <v>-5.8403049898961932</v>
      </c>
      <c r="Z324">
        <f t="shared" si="23"/>
        <v>-7.0901917681141091</v>
      </c>
    </row>
    <row r="325" spans="1:26" x14ac:dyDescent="0.2">
      <c r="A325" t="s">
        <v>333</v>
      </c>
      <c r="B325">
        <v>8.1218433560317273E-8</v>
      </c>
      <c r="C325">
        <v>8.1247168E-8</v>
      </c>
      <c r="D325">
        <v>0</v>
      </c>
      <c r="E325">
        <v>8.1247168E-8</v>
      </c>
      <c r="F325">
        <v>100</v>
      </c>
      <c r="G325">
        <v>1.0003537920940251</v>
      </c>
      <c r="H325">
        <f t="shared" si="21"/>
        <v>1.5362278051560198E-4</v>
      </c>
      <c r="Y325">
        <f t="shared" si="22"/>
        <v>-7.0903453908946243</v>
      </c>
      <c r="Z325">
        <f t="shared" si="23"/>
        <v>-7.0901917681141091</v>
      </c>
    </row>
    <row r="326" spans="1:26" x14ac:dyDescent="0.2">
      <c r="A326" t="s">
        <v>332</v>
      </c>
      <c r="B326">
        <v>7.0449012109265147E-7</v>
      </c>
      <c r="C326">
        <v>8.1247168E-8</v>
      </c>
      <c r="D326">
        <v>0</v>
      </c>
      <c r="E326">
        <v>8.1247168E-8</v>
      </c>
      <c r="F326">
        <v>100</v>
      </c>
      <c r="G326">
        <v>0.1153276186101618</v>
      </c>
      <c r="H326">
        <f t="shared" si="21"/>
        <v>-0.93806667558783052</v>
      </c>
      <c r="Y326">
        <f t="shared" si="22"/>
        <v>-6.152125092526278</v>
      </c>
      <c r="Z326">
        <f t="shared" si="23"/>
        <v>-7.0901917681141091</v>
      </c>
    </row>
    <row r="327" spans="1:26" x14ac:dyDescent="0.2">
      <c r="A327" t="s">
        <v>324</v>
      </c>
      <c r="B327">
        <v>7.4207670701446902E-8</v>
      </c>
      <c r="C327">
        <v>7.4239113999999997E-8</v>
      </c>
      <c r="D327">
        <v>0</v>
      </c>
      <c r="E327">
        <v>7.4239113999999997E-8</v>
      </c>
      <c r="F327">
        <v>100</v>
      </c>
      <c r="G327">
        <v>1.0004237203277759</v>
      </c>
      <c r="H327">
        <f t="shared" si="21"/>
        <v>1.8398042485241796E-4</v>
      </c>
      <c r="Y327">
        <f t="shared" si="22"/>
        <v>-7.1295512002313828</v>
      </c>
      <c r="Z327">
        <f t="shared" si="23"/>
        <v>-7.1293672198065305</v>
      </c>
    </row>
    <row r="328" spans="1:26" x14ac:dyDescent="0.2">
      <c r="A328" t="s">
        <v>322</v>
      </c>
      <c r="B328">
        <v>3.7324430858512939E-8</v>
      </c>
      <c r="C328">
        <v>6.5097245999999996E-8</v>
      </c>
      <c r="D328">
        <v>0</v>
      </c>
      <c r="E328">
        <v>6.5097245999999996E-8</v>
      </c>
      <c r="F328">
        <v>100</v>
      </c>
      <c r="G328">
        <v>1.744092126863674</v>
      </c>
      <c r="H328">
        <f t="shared" si="21"/>
        <v>0.24156942161248651</v>
      </c>
      <c r="Y328">
        <f t="shared" si="22"/>
        <v>-7.4280068058907274</v>
      </c>
      <c r="Z328">
        <f t="shared" si="23"/>
        <v>-7.1864373842782401</v>
      </c>
    </row>
    <row r="329" spans="1:26" x14ac:dyDescent="0.2">
      <c r="A329" t="s">
        <v>424</v>
      </c>
      <c r="B329">
        <v>1.268221218672673E-6</v>
      </c>
      <c r="C329">
        <v>5.9061697999999999E-8</v>
      </c>
      <c r="D329">
        <v>0</v>
      </c>
      <c r="E329">
        <v>5.9061697999999999E-8</v>
      </c>
      <c r="F329">
        <v>100</v>
      </c>
      <c r="G329">
        <v>4.6570501368692029E-2</v>
      </c>
      <c r="H329">
        <f t="shared" si="21"/>
        <v>-1.3318890865146755</v>
      </c>
      <c r="Y329">
        <f t="shared" si="22"/>
        <v>-5.8968049848855619</v>
      </c>
      <c r="Z329">
        <f t="shared" si="23"/>
        <v>-7.2286940714002368</v>
      </c>
    </row>
    <row r="330" spans="1:26" x14ac:dyDescent="0.2">
      <c r="A330" t="s">
        <v>425</v>
      </c>
      <c r="B330">
        <v>3.748048849684046E-6</v>
      </c>
      <c r="C330">
        <v>5.9061697999999999E-8</v>
      </c>
      <c r="D330">
        <v>0</v>
      </c>
      <c r="E330">
        <v>5.9061697999999999E-8</v>
      </c>
      <c r="F330">
        <v>100</v>
      </c>
      <c r="G330">
        <v>1.5757985119371851E-2</v>
      </c>
      <c r="H330">
        <f t="shared" si="21"/>
        <v>-1.8024993139708261</v>
      </c>
      <c r="Y330">
        <f t="shared" si="22"/>
        <v>-5.4261947574294114</v>
      </c>
      <c r="Z330">
        <f t="shared" si="23"/>
        <v>-7.2286940714002368</v>
      </c>
    </row>
    <row r="331" spans="1:26" x14ac:dyDescent="0.2">
      <c r="A331" t="s">
        <v>426</v>
      </c>
      <c r="B331">
        <v>2.0430416545847469E-6</v>
      </c>
      <c r="C331">
        <v>5.9061697999999999E-8</v>
      </c>
      <c r="D331">
        <v>0</v>
      </c>
      <c r="E331">
        <v>5.9061697999999999E-8</v>
      </c>
      <c r="F331">
        <v>100</v>
      </c>
      <c r="G331">
        <v>2.8908709652326899E-2</v>
      </c>
      <c r="H331">
        <f t="shared" si="21"/>
        <v>-1.5389712927423678</v>
      </c>
      <c r="Y331">
        <f t="shared" si="22"/>
        <v>-5.6897227786578695</v>
      </c>
      <c r="Z331">
        <f t="shared" si="23"/>
        <v>-7.2286940714002368</v>
      </c>
    </row>
    <row r="332" spans="1:26" x14ac:dyDescent="0.2">
      <c r="A332" t="s">
        <v>240</v>
      </c>
      <c r="B332">
        <v>1.867627060077278E-6</v>
      </c>
      <c r="C332">
        <v>5.3967870000000002E-8</v>
      </c>
      <c r="D332">
        <v>0</v>
      </c>
      <c r="E332">
        <v>5.3967870000000002E-8</v>
      </c>
      <c r="F332">
        <v>100</v>
      </c>
      <c r="G332">
        <v>2.889649178555323E-2</v>
      </c>
      <c r="H332">
        <f t="shared" si="21"/>
        <v>-1.5391548801036248</v>
      </c>
      <c r="Y332">
        <f t="shared" si="22"/>
        <v>-5.7287098421961993</v>
      </c>
      <c r="Z332">
        <f t="shared" si="23"/>
        <v>-7.2678647222998238</v>
      </c>
    </row>
    <row r="333" spans="1:26" x14ac:dyDescent="0.2">
      <c r="A333" t="s">
        <v>238</v>
      </c>
      <c r="B333">
        <v>5.3945012991307429E-8</v>
      </c>
      <c r="C333">
        <v>5.3967870000000002E-8</v>
      </c>
      <c r="D333">
        <v>0</v>
      </c>
      <c r="E333">
        <v>5.3967870000000002E-8</v>
      </c>
      <c r="F333">
        <v>100</v>
      </c>
      <c r="G333">
        <v>1.000423709392678</v>
      </c>
      <c r="H333">
        <f t="shared" si="21"/>
        <v>1.8397567781111625E-4</v>
      </c>
      <c r="Y333">
        <f t="shared" si="22"/>
        <v>-7.2680486979776351</v>
      </c>
      <c r="Z333">
        <f t="shared" si="23"/>
        <v>-7.2678647222998238</v>
      </c>
    </row>
    <row r="334" spans="1:26" x14ac:dyDescent="0.2">
      <c r="A334" t="s">
        <v>239</v>
      </c>
      <c r="B334">
        <v>2.4186054650682741E-6</v>
      </c>
      <c r="C334">
        <v>5.3967870000000002E-8</v>
      </c>
      <c r="D334">
        <v>0</v>
      </c>
      <c r="E334">
        <v>5.3967870000000002E-8</v>
      </c>
      <c r="F334">
        <v>100</v>
      </c>
      <c r="G334">
        <v>2.231363104874013E-2</v>
      </c>
      <c r="H334">
        <f t="shared" si="21"/>
        <v>-1.6514297521671695</v>
      </c>
      <c r="Y334">
        <f t="shared" si="22"/>
        <v>-5.6164349701326541</v>
      </c>
      <c r="Z334">
        <f t="shared" si="23"/>
        <v>-7.2678647222998238</v>
      </c>
    </row>
    <row r="335" spans="1:26" x14ac:dyDescent="0.2">
      <c r="A335" t="s">
        <v>241</v>
      </c>
      <c r="B335">
        <v>1.6177895310213249E-6</v>
      </c>
      <c r="C335">
        <v>5.3967870000000002E-8</v>
      </c>
      <c r="D335">
        <v>0</v>
      </c>
      <c r="E335">
        <v>5.3967870000000002E-8</v>
      </c>
      <c r="F335">
        <v>100</v>
      </c>
      <c r="G335">
        <v>3.3359017947118007E-2</v>
      </c>
      <c r="H335">
        <f t="shared" si="21"/>
        <v>-1.4767867429990882</v>
      </c>
      <c r="Y335">
        <f t="shared" si="22"/>
        <v>-5.7910779793007352</v>
      </c>
      <c r="Z335">
        <f t="shared" si="23"/>
        <v>-7.2678647222998238</v>
      </c>
    </row>
    <row r="336" spans="1:26" x14ac:dyDescent="0.2">
      <c r="A336" t="s">
        <v>329</v>
      </c>
      <c r="B336">
        <v>4.8219709043107341E-8</v>
      </c>
      <c r="C336">
        <v>4.8240139999999999E-8</v>
      </c>
      <c r="D336">
        <v>0</v>
      </c>
      <c r="E336">
        <v>4.8240139999999999E-8</v>
      </c>
      <c r="F336">
        <v>100</v>
      </c>
      <c r="G336">
        <v>1.000423705519965</v>
      </c>
      <c r="H336">
        <f t="shared" si="21"/>
        <v>1.8397399662554423E-4</v>
      </c>
      <c r="Y336">
        <f t="shared" si="22"/>
        <v>-7.3167754144760719</v>
      </c>
      <c r="Z336">
        <f t="shared" si="23"/>
        <v>-7.3165914404794465</v>
      </c>
    </row>
    <row r="337" spans="1:26" x14ac:dyDescent="0.2">
      <c r="A337" t="s">
        <v>335</v>
      </c>
      <c r="B337">
        <v>4.2092215970948663E-8</v>
      </c>
      <c r="C337">
        <v>4.2110050999999998E-8</v>
      </c>
      <c r="D337">
        <v>0</v>
      </c>
      <c r="E337">
        <v>4.2110050999999998E-8</v>
      </c>
      <c r="F337">
        <v>100</v>
      </c>
      <c r="G337">
        <v>1.0004237132362821</v>
      </c>
      <c r="H337">
        <f t="shared" si="21"/>
        <v>1.839773463601851E-4</v>
      </c>
      <c r="Y337">
        <f t="shared" si="22"/>
        <v>-7.375798209946395</v>
      </c>
      <c r="Z337">
        <f t="shared" si="23"/>
        <v>-7.3756142326000349</v>
      </c>
    </row>
    <row r="338" spans="1:26" x14ac:dyDescent="0.2">
      <c r="A338" t="s">
        <v>330</v>
      </c>
      <c r="B338">
        <v>2.583898563375316E-6</v>
      </c>
      <c r="C338">
        <v>3.8675321999999997E-8</v>
      </c>
      <c r="D338">
        <v>0</v>
      </c>
      <c r="E338">
        <v>3.8675321999999997E-8</v>
      </c>
      <c r="F338">
        <v>100</v>
      </c>
      <c r="G338">
        <v>1.4967817447709281E-2</v>
      </c>
      <c r="H338">
        <f t="shared" si="21"/>
        <v>-1.824841522270205</v>
      </c>
      <c r="Y338">
        <f t="shared" si="22"/>
        <v>-5.587724539527982</v>
      </c>
      <c r="Z338">
        <f t="shared" si="23"/>
        <v>-7.412566061798187</v>
      </c>
    </row>
    <row r="339" spans="1:26" x14ac:dyDescent="0.2">
      <c r="A339" t="s">
        <v>337</v>
      </c>
      <c r="B339">
        <v>3.808356335163409E-8</v>
      </c>
      <c r="C339">
        <v>3.8099700000000001E-8</v>
      </c>
      <c r="D339">
        <v>0</v>
      </c>
      <c r="E339">
        <v>3.8099700000000001E-8</v>
      </c>
      <c r="F339">
        <v>100</v>
      </c>
      <c r="G339">
        <v>1.0004237168727339</v>
      </c>
      <c r="H339">
        <f t="shared" si="21"/>
        <v>1.8397892498225237E-4</v>
      </c>
      <c r="Y339">
        <f t="shared" si="22"/>
        <v>-7.4192624229044162</v>
      </c>
      <c r="Z339">
        <f t="shared" si="23"/>
        <v>-7.4190784439794335</v>
      </c>
    </row>
    <row r="340" spans="1:26" x14ac:dyDescent="0.2">
      <c r="A340" t="s">
        <v>344</v>
      </c>
      <c r="B340">
        <v>1.3469888076306591E-8</v>
      </c>
      <c r="C340">
        <v>1.3475594999999999E-8</v>
      </c>
      <c r="D340">
        <v>0</v>
      </c>
      <c r="E340">
        <v>1.3475594999999999E-8</v>
      </c>
      <c r="F340">
        <v>100</v>
      </c>
      <c r="G340">
        <v>1.000423680112343</v>
      </c>
      <c r="H340">
        <f t="shared" si="21"/>
        <v>1.8396296690872038E-4</v>
      </c>
      <c r="Y340">
        <f t="shared" si="22"/>
        <v>-7.8706360128920396</v>
      </c>
      <c r="Z340">
        <f t="shared" si="23"/>
        <v>-7.8704520499251309</v>
      </c>
    </row>
    <row r="341" spans="1:26" x14ac:dyDescent="0.2">
      <c r="A341" t="s">
        <v>342</v>
      </c>
      <c r="B341">
        <v>3.858917475792461E-8</v>
      </c>
      <c r="C341">
        <v>8.2377340000000003E-9</v>
      </c>
      <c r="D341">
        <v>0</v>
      </c>
      <c r="E341">
        <v>8.2377340000000003E-9</v>
      </c>
      <c r="F341">
        <v>100</v>
      </c>
      <c r="G341">
        <v>0.21347266562906511</v>
      </c>
      <c r="H341">
        <f t="shared" si="21"/>
        <v>-0.67065772685188452</v>
      </c>
      <c r="Y341">
        <f t="shared" si="22"/>
        <v>-7.4135345088582945</v>
      </c>
      <c r="Z341">
        <f t="shared" si="23"/>
        <v>-8.0841922357101783</v>
      </c>
    </row>
    <row r="342" spans="1:26" x14ac:dyDescent="0.2">
      <c r="A342" t="s">
        <v>339</v>
      </c>
      <c r="B342">
        <v>8.2342454319652119E-9</v>
      </c>
      <c r="C342">
        <v>8.2377340000000003E-9</v>
      </c>
      <c r="D342">
        <v>0</v>
      </c>
      <c r="E342">
        <v>8.2377340000000003E-9</v>
      </c>
      <c r="F342">
        <v>100</v>
      </c>
      <c r="G342">
        <v>1.000423665782568</v>
      </c>
      <c r="H342">
        <f t="shared" si="21"/>
        <v>1.8395674620208985E-4</v>
      </c>
      <c r="Y342">
        <f t="shared" si="22"/>
        <v>-8.0843761924563804</v>
      </c>
      <c r="Z342">
        <f t="shared" si="23"/>
        <v>-8.0841922357101783</v>
      </c>
    </row>
    <row r="343" spans="1:26" x14ac:dyDescent="0.2">
      <c r="A343" t="s">
        <v>338</v>
      </c>
      <c r="B343">
        <v>2.1906276287730562E-6</v>
      </c>
      <c r="C343">
        <v>8.2377340000000003E-9</v>
      </c>
      <c r="D343">
        <v>0</v>
      </c>
      <c r="E343">
        <v>8.2377340000000003E-9</v>
      </c>
      <c r="F343">
        <v>100</v>
      </c>
      <c r="G343">
        <v>3.7604446743027039E-3</v>
      </c>
      <c r="H343">
        <f t="shared" si="21"/>
        <v>-2.4247607965145681</v>
      </c>
      <c r="Y343">
        <f t="shared" si="22"/>
        <v>-5.6594314391956111</v>
      </c>
      <c r="Z343">
        <f t="shared" si="23"/>
        <v>-8.0841922357101783</v>
      </c>
    </row>
    <row r="344" spans="1:26" x14ac:dyDescent="0.2">
      <c r="A344" t="s">
        <v>340</v>
      </c>
      <c r="B344">
        <v>2.113117870001836E-7</v>
      </c>
      <c r="C344">
        <v>8.2377340000000003E-9</v>
      </c>
      <c r="D344">
        <v>0</v>
      </c>
      <c r="E344">
        <v>8.2377340000000003E-9</v>
      </c>
      <c r="F344">
        <v>100</v>
      </c>
      <c r="G344">
        <v>3.8983788443343402E-2</v>
      </c>
      <c r="H344">
        <f t="shared" si="21"/>
        <v>-1.4091159584433499</v>
      </c>
    </row>
    <row r="345" spans="1:26" x14ac:dyDescent="0.2">
      <c r="A345" t="s">
        <v>341</v>
      </c>
      <c r="B345">
        <v>3.6709147545628319E-7</v>
      </c>
      <c r="C345">
        <v>8.2377340000000003E-9</v>
      </c>
      <c r="D345">
        <v>0</v>
      </c>
      <c r="E345">
        <v>8.2377340000000003E-9</v>
      </c>
      <c r="F345">
        <v>100</v>
      </c>
      <c r="G345">
        <v>2.2440548339513339E-2</v>
      </c>
      <c r="H345">
        <f t="shared" si="21"/>
        <v>-1.6489665352093112</v>
      </c>
    </row>
    <row r="346" spans="1:26" x14ac:dyDescent="0.2">
      <c r="A346" t="s">
        <v>343</v>
      </c>
      <c r="B346">
        <v>5.4049891202541512E-8</v>
      </c>
      <c r="C346">
        <v>8.2377340000000003E-9</v>
      </c>
      <c r="D346">
        <v>0</v>
      </c>
      <c r="E346">
        <v>8.2377340000000003E-9</v>
      </c>
      <c r="F346">
        <v>100</v>
      </c>
      <c r="G346">
        <v>0.1524098164995501</v>
      </c>
    </row>
    <row r="347" spans="1:26" x14ac:dyDescent="0.2">
      <c r="A347" t="s">
        <v>345</v>
      </c>
      <c r="B347">
        <v>3.7215427850943527E-7</v>
      </c>
      <c r="C347">
        <v>5.6593754959999996E-6</v>
      </c>
      <c r="D347">
        <v>5.6593754959999996E-6</v>
      </c>
      <c r="E347">
        <v>0</v>
      </c>
      <c r="F347">
        <v>0</v>
      </c>
      <c r="G347">
        <v>15.20706820479699</v>
      </c>
    </row>
    <row r="348" spans="1:26" x14ac:dyDescent="0.2">
      <c r="A348" t="s">
        <v>346</v>
      </c>
      <c r="B348">
        <v>1.9365354906505009E-8</v>
      </c>
      <c r="C348">
        <v>1.5719537369999999E-6</v>
      </c>
      <c r="D348">
        <v>1.5719537369999999E-6</v>
      </c>
      <c r="E348">
        <v>0</v>
      </c>
      <c r="F348">
        <v>0</v>
      </c>
      <c r="G348">
        <v>81.173505189515822</v>
      </c>
    </row>
  </sheetData>
  <sortState xmlns:xlrd2="http://schemas.microsoft.com/office/spreadsheetml/2017/richdata2" ref="A2:G343">
    <sortCondition descending="1" ref="G1:G343"/>
  </sortState>
  <mergeCells count="10">
    <mergeCell ref="U61:U62"/>
    <mergeCell ref="U75:U77"/>
    <mergeCell ref="U80:U85"/>
    <mergeCell ref="U91:U93"/>
    <mergeCell ref="U16:U18"/>
    <mergeCell ref="U21:U25"/>
    <mergeCell ref="U33:U38"/>
    <mergeCell ref="U41:U43"/>
    <mergeCell ref="U46:U49"/>
    <mergeCell ref="U54:U5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563A-5C7F-3848-BDFB-74E8D823C087}">
  <dimension ref="A1:R49"/>
  <sheetViews>
    <sheetView tabSelected="1" topLeftCell="A4" zoomScale="65" workbookViewId="0">
      <selection activeCell="J32" sqref="J32"/>
    </sheetView>
  </sheetViews>
  <sheetFormatPr baseColWidth="10" defaultColWidth="11.5" defaultRowHeight="15" x14ac:dyDescent="0.2"/>
  <cols>
    <col min="3" max="3" width="21.6640625" customWidth="1"/>
    <col min="5" max="5" width="13.6640625" customWidth="1"/>
    <col min="6" max="6" width="17.1640625" customWidth="1"/>
    <col min="7" max="7" width="12" style="7" bestFit="1" customWidth="1"/>
    <col min="9" max="10" width="11" bestFit="1" customWidth="1"/>
    <col min="12" max="12" width="15.5" customWidth="1"/>
    <col min="13" max="13" width="12" bestFit="1" customWidth="1"/>
    <col min="15" max="15" width="12" style="7" bestFit="1" customWidth="1"/>
    <col min="16" max="16" width="12" bestFit="1" customWidth="1"/>
  </cols>
  <sheetData>
    <row r="1" spans="1:16" x14ac:dyDescent="0.2">
      <c r="B1" s="5"/>
      <c r="C1" s="5"/>
      <c r="D1" s="5"/>
      <c r="E1" s="5"/>
    </row>
    <row r="2" spans="1:16" x14ac:dyDescent="0.2">
      <c r="B2" t="s">
        <v>420</v>
      </c>
      <c r="C2" s="5" t="s">
        <v>414</v>
      </c>
      <c r="D2" s="5"/>
      <c r="E2" s="5"/>
    </row>
    <row r="3" spans="1:16" x14ac:dyDescent="0.2">
      <c r="B3" t="s">
        <v>419</v>
      </c>
      <c r="C3" s="5" t="s">
        <v>415</v>
      </c>
      <c r="D3" s="5"/>
      <c r="E3" s="5"/>
    </row>
    <row r="4" spans="1:16" x14ac:dyDescent="0.2">
      <c r="B4" s="5"/>
      <c r="C4" s="5"/>
      <c r="D4" s="5"/>
      <c r="E4" s="5"/>
    </row>
    <row r="5" spans="1:16" x14ac:dyDescent="0.2">
      <c r="B5" s="5"/>
      <c r="C5" s="5"/>
      <c r="D5" s="5"/>
      <c r="E5" s="5"/>
    </row>
    <row r="6" spans="1:16" x14ac:dyDescent="0.2">
      <c r="B6" s="5"/>
      <c r="C6" s="5"/>
      <c r="D6" s="5"/>
      <c r="E6" s="5"/>
      <c r="F6" t="s">
        <v>403</v>
      </c>
      <c r="G6" s="8" t="s">
        <v>405</v>
      </c>
      <c r="I6" s="13"/>
      <c r="J6" s="13"/>
      <c r="L6" s="13" t="s">
        <v>408</v>
      </c>
      <c r="M6" s="13"/>
      <c r="O6" s="14" t="s">
        <v>410</v>
      </c>
      <c r="P6" s="14"/>
    </row>
    <row r="7" spans="1:16" x14ac:dyDescent="0.2">
      <c r="A7" t="s">
        <v>409</v>
      </c>
      <c r="B7" s="5"/>
      <c r="C7" s="5"/>
      <c r="D7" s="5"/>
      <c r="E7" s="5" t="s">
        <v>401</v>
      </c>
      <c r="F7" t="s">
        <v>402</v>
      </c>
      <c r="G7" s="8" t="s">
        <v>404</v>
      </c>
      <c r="L7" t="s">
        <v>406</v>
      </c>
      <c r="M7" t="s">
        <v>407</v>
      </c>
      <c r="O7" s="9" t="s">
        <v>406</v>
      </c>
      <c r="P7" s="6" t="s">
        <v>407</v>
      </c>
    </row>
    <row r="8" spans="1:16" x14ac:dyDescent="0.2">
      <c r="A8">
        <v>34.896999999999998</v>
      </c>
      <c r="B8" s="2" t="s">
        <v>83</v>
      </c>
      <c r="C8" s="2" t="s">
        <v>347</v>
      </c>
      <c r="D8" s="5" t="s">
        <v>348</v>
      </c>
      <c r="E8">
        <v>1.0040463154778749</v>
      </c>
      <c r="F8">
        <v>9.095271396E-6</v>
      </c>
      <c r="G8" s="8">
        <f>F8/ 0.360105228424072</f>
        <v>2.5257260039804542E-5</v>
      </c>
      <c r="L8">
        <v>8.7810714011608197E-4</v>
      </c>
      <c r="M8">
        <v>5.0234309230539104E-5</v>
      </c>
      <c r="O8" s="9">
        <f>L8/A8</f>
        <v>2.5162826034217326E-5</v>
      </c>
      <c r="P8" s="6">
        <f>M8/A8</f>
        <v>1.4395022274275469E-6</v>
      </c>
    </row>
    <row r="9" spans="1:16" x14ac:dyDescent="0.2">
      <c r="A9">
        <v>53.859000000000002</v>
      </c>
      <c r="B9" s="2" t="s">
        <v>72</v>
      </c>
      <c r="C9" s="2" t="s">
        <v>349</v>
      </c>
      <c r="D9" s="5" t="s">
        <v>350</v>
      </c>
      <c r="E9">
        <v>1.0038726326597751</v>
      </c>
      <c r="F9">
        <v>1.6780912617999999E-5</v>
      </c>
      <c r="G9" s="8">
        <f t="shared" ref="G9:G30" si="0">F9/ 0.360105228424072</f>
        <v>4.6600024918933508E-5</v>
      </c>
      <c r="L9">
        <v>2.500879381420637E-3</v>
      </c>
      <c r="M9">
        <v>1.2660655271744335E-4</v>
      </c>
      <c r="O9" s="9">
        <f t="shared" ref="O9:O29" si="1">L9/A9</f>
        <v>4.6433825013844236E-5</v>
      </c>
      <c r="P9" s="6">
        <f t="shared" ref="P9:P30" si="2">M9/A9</f>
        <v>2.3507037397174724E-6</v>
      </c>
    </row>
    <row r="10" spans="1:16" x14ac:dyDescent="0.2">
      <c r="A10">
        <v>25.530999999999999</v>
      </c>
      <c r="B10" s="2" t="s">
        <v>158</v>
      </c>
      <c r="C10" s="2" t="s">
        <v>351</v>
      </c>
      <c r="D10" s="5" t="s">
        <v>352</v>
      </c>
      <c r="E10">
        <v>1.003872632772705</v>
      </c>
      <c r="F10">
        <v>2.768237692E-6</v>
      </c>
      <c r="G10" s="8">
        <f t="shared" si="0"/>
        <v>7.6873021369743354E-6</v>
      </c>
      <c r="L10">
        <v>1.9556452960030229E-4</v>
      </c>
      <c r="M10">
        <v>1.0158722033320065E-5</v>
      </c>
      <c r="O10" s="9">
        <f t="shared" si="1"/>
        <v>7.6598852218989575E-6</v>
      </c>
      <c r="P10" s="6">
        <f t="shared" si="2"/>
        <v>3.9789753763346777E-7</v>
      </c>
    </row>
    <row r="11" spans="1:16" x14ac:dyDescent="0.2">
      <c r="A11">
        <v>65.391999999999996</v>
      </c>
      <c r="B11" s="2" t="s">
        <v>73</v>
      </c>
      <c r="C11" s="2" t="s">
        <v>353</v>
      </c>
      <c r="D11" s="5" t="s">
        <v>354</v>
      </c>
      <c r="E11">
        <v>1.00387263268981</v>
      </c>
      <c r="F11">
        <v>1.5850092838999999E-5</v>
      </c>
      <c r="G11" s="8">
        <f t="shared" si="0"/>
        <v>4.4015169977855465E-5</v>
      </c>
      <c r="L11">
        <v>2.8679746955733972E-3</v>
      </c>
      <c r="M11">
        <v>8.472346603292725E-5</v>
      </c>
      <c r="O11" s="9">
        <f t="shared" si="1"/>
        <v>4.3858189007422885E-5</v>
      </c>
      <c r="P11" s="6">
        <f t="shared" si="2"/>
        <v>1.2956243276383541E-6</v>
      </c>
    </row>
    <row r="12" spans="1:16" x14ac:dyDescent="0.2">
      <c r="A12">
        <v>21.504999999999999</v>
      </c>
      <c r="B12" s="2" t="s">
        <v>71</v>
      </c>
      <c r="C12" s="2" t="s">
        <v>355</v>
      </c>
      <c r="D12" s="5" t="s">
        <v>356</v>
      </c>
      <c r="E12">
        <v>1.003872632671279</v>
      </c>
      <c r="F12">
        <v>1.8124364147E-5</v>
      </c>
      <c r="G12" s="8">
        <f t="shared" si="0"/>
        <v>5.0330744228062526E-5</v>
      </c>
      <c r="L12">
        <v>1.0785023869237772E-3</v>
      </c>
      <c r="M12">
        <v>1.1151130582203634E-4</v>
      </c>
      <c r="O12" s="9">
        <f t="shared" si="1"/>
        <v>5.0151238638631813E-5</v>
      </c>
      <c r="P12" s="6">
        <f t="shared" si="2"/>
        <v>5.1853664646378207E-6</v>
      </c>
    </row>
    <row r="13" spans="1:16" x14ac:dyDescent="0.2">
      <c r="A13">
        <v>55.399000000000001</v>
      </c>
      <c r="B13" s="2" t="s">
        <v>106</v>
      </c>
      <c r="C13" s="2" t="s">
        <v>357</v>
      </c>
      <c r="D13" s="5" t="s">
        <v>358</v>
      </c>
      <c r="E13">
        <v>1.027204480069926</v>
      </c>
      <c r="F13">
        <v>5.2924992850000004E-6</v>
      </c>
      <c r="G13" s="8">
        <f t="shared" si="0"/>
        <v>1.4697090925787324E-5</v>
      </c>
      <c r="L13">
        <v>7.9287245025600318E-4</v>
      </c>
      <c r="M13">
        <v>2.3581530127224962E-5</v>
      </c>
      <c r="O13" s="9">
        <f t="shared" si="1"/>
        <v>1.4312035420422808E-5</v>
      </c>
      <c r="P13" s="6">
        <f t="shared" si="2"/>
        <v>4.2566707209922493E-7</v>
      </c>
    </row>
    <row r="14" spans="1:16" x14ac:dyDescent="0.2">
      <c r="A14">
        <v>26.266999999999999</v>
      </c>
      <c r="B14" s="2" t="s">
        <v>253</v>
      </c>
      <c r="C14" s="2" t="s">
        <v>359</v>
      </c>
      <c r="D14" s="5" t="s">
        <v>360</v>
      </c>
      <c r="E14">
        <v>1.000423714503863</v>
      </c>
      <c r="F14">
        <v>7.9316838699999997E-7</v>
      </c>
      <c r="G14" s="8">
        <f t="shared" si="0"/>
        <v>2.2026016963739783E-6</v>
      </c>
      <c r="L14">
        <v>5.7848138963746799E-5</v>
      </c>
      <c r="M14">
        <v>2.5011255499599478E-6</v>
      </c>
      <c r="O14" s="9">
        <f t="shared" si="1"/>
        <v>2.2023123677521908E-6</v>
      </c>
      <c r="P14" s="6">
        <f t="shared" si="2"/>
        <v>9.5219307494572958E-8</v>
      </c>
    </row>
    <row r="15" spans="1:16" x14ac:dyDescent="0.2">
      <c r="A15">
        <v>36.101999999999997</v>
      </c>
      <c r="B15" s="2" t="s">
        <v>8</v>
      </c>
      <c r="C15" s="2" t="s">
        <v>361</v>
      </c>
      <c r="D15" s="5" t="s">
        <v>362</v>
      </c>
      <c r="E15">
        <v>1.0037158295748561</v>
      </c>
      <c r="F15">
        <v>7.9434756709999998E-5</v>
      </c>
      <c r="G15" s="8">
        <f t="shared" si="0"/>
        <v>2.2058762394989434E-4</v>
      </c>
      <c r="L15">
        <v>7.9364915354332086E-3</v>
      </c>
      <c r="M15">
        <v>2.9107043559065555E-4</v>
      </c>
      <c r="O15" s="9">
        <f t="shared" si="1"/>
        <v>2.1983523171661431E-4</v>
      </c>
      <c r="P15" s="6">
        <f t="shared" si="2"/>
        <v>8.0624462797256548E-6</v>
      </c>
    </row>
    <row r="16" spans="1:16" x14ac:dyDescent="0.2">
      <c r="A16">
        <v>41.387999999999998</v>
      </c>
      <c r="B16" s="2" t="s">
        <v>69</v>
      </c>
      <c r="C16" s="2" t="s">
        <v>363</v>
      </c>
      <c r="D16" s="5" t="s">
        <v>364</v>
      </c>
      <c r="E16">
        <v>1.003715843701805</v>
      </c>
      <c r="F16">
        <v>2.2568125005999999E-5</v>
      </c>
      <c r="G16" s="8">
        <f t="shared" si="0"/>
        <v>6.267091734481294E-5</v>
      </c>
      <c r="L16">
        <v>2.5849767353351601E-3</v>
      </c>
      <c r="M16">
        <v>5.2563526179080733E-5</v>
      </c>
      <c r="O16" s="9">
        <f t="shared" si="1"/>
        <v>6.2457155101361755E-5</v>
      </c>
      <c r="P16" s="6">
        <f t="shared" si="2"/>
        <v>1.2700185121069086E-6</v>
      </c>
    </row>
    <row r="17" spans="1:18" x14ac:dyDescent="0.2">
      <c r="A17">
        <v>25.937999999999999</v>
      </c>
      <c r="B17" s="2" t="s">
        <v>66</v>
      </c>
      <c r="C17" s="2" t="s">
        <v>365</v>
      </c>
      <c r="D17" s="5" t="s">
        <v>366</v>
      </c>
      <c r="E17">
        <v>1.002780039648248</v>
      </c>
      <c r="F17">
        <v>2.4639469230999998E-5</v>
      </c>
      <c r="G17" s="8">
        <f t="shared" si="0"/>
        <v>6.8422969971387732E-5</v>
      </c>
      <c r="L17">
        <v>1.7703521090390627E-3</v>
      </c>
      <c r="M17">
        <v>2.5653538810896839E-5</v>
      </c>
      <c r="O17" s="9">
        <f t="shared" si="1"/>
        <v>6.8253223418885916E-5</v>
      </c>
      <c r="P17" s="6">
        <f t="shared" si="2"/>
        <v>9.8903303303634984E-7</v>
      </c>
    </row>
    <row r="18" spans="1:18" x14ac:dyDescent="0.2">
      <c r="A18">
        <v>45.743000000000002</v>
      </c>
      <c r="B18" s="2" t="s">
        <v>65</v>
      </c>
      <c r="C18" s="2" t="s">
        <v>367</v>
      </c>
      <c r="D18" s="5" t="s">
        <v>368</v>
      </c>
      <c r="E18">
        <v>1.0027800396426441</v>
      </c>
      <c r="F18">
        <v>4.0361537634999998E-5</v>
      </c>
      <c r="G18" s="8">
        <f t="shared" si="0"/>
        <v>1.1208262043745974E-4</v>
      </c>
      <c r="L18">
        <v>5.1142760432945624E-3</v>
      </c>
      <c r="M18">
        <v>1.9427640416297163E-4</v>
      </c>
      <c r="O18" s="9">
        <f t="shared" si="1"/>
        <v>1.1180456120706036E-4</v>
      </c>
      <c r="P18" s="6">
        <f t="shared" si="2"/>
        <v>4.2471286134047097E-6</v>
      </c>
    </row>
    <row r="19" spans="1:18" x14ac:dyDescent="0.2">
      <c r="A19">
        <v>51.445</v>
      </c>
      <c r="B19" s="2" t="s">
        <v>11</v>
      </c>
      <c r="C19" s="2" t="s">
        <v>369</v>
      </c>
      <c r="D19" s="5" t="s">
        <v>370</v>
      </c>
      <c r="E19">
        <v>0.99714592334303542</v>
      </c>
      <c r="F19">
        <v>5.3404093263000003E-5</v>
      </c>
      <c r="G19" s="8">
        <f t="shared" si="0"/>
        <v>1.4830135484761569E-4</v>
      </c>
      <c r="L19">
        <v>7.6534367672090545E-3</v>
      </c>
      <c r="M19">
        <v>2.5661941267832855E-4</v>
      </c>
      <c r="O19" s="9">
        <f t="shared" si="1"/>
        <v>1.4876930250187686E-4</v>
      </c>
      <c r="P19" s="6">
        <f t="shared" si="2"/>
        <v>4.9882284513233268E-6</v>
      </c>
    </row>
    <row r="20" spans="1:18" x14ac:dyDescent="0.2">
      <c r="A20">
        <v>60.926000000000002</v>
      </c>
      <c r="B20" s="2" t="s">
        <v>10</v>
      </c>
      <c r="C20" s="2" t="s">
        <v>371</v>
      </c>
      <c r="D20" s="5" t="s">
        <v>372</v>
      </c>
      <c r="E20">
        <v>1.0051139503015489</v>
      </c>
      <c r="F20">
        <v>6.9811791893999999E-5</v>
      </c>
      <c r="G20" s="8">
        <f t="shared" si="0"/>
        <v>1.9386497718879909E-4</v>
      </c>
      <c r="L20">
        <v>1.175475684914956E-2</v>
      </c>
      <c r="M20">
        <v>2.0380980611285361E-4</v>
      </c>
      <c r="O20" s="9">
        <f t="shared" si="1"/>
        <v>1.9293498422922166E-4</v>
      </c>
      <c r="P20" s="6">
        <f t="shared" si="2"/>
        <v>3.3452024769860749E-6</v>
      </c>
    </row>
    <row r="21" spans="1:18" x14ac:dyDescent="0.2">
      <c r="A21">
        <v>36.122</v>
      </c>
      <c r="B21" s="5" t="s">
        <v>74</v>
      </c>
      <c r="C21" s="5" t="s">
        <v>373</v>
      </c>
      <c r="D21" s="5" t="s">
        <v>374</v>
      </c>
      <c r="E21">
        <v>23.06513197969263</v>
      </c>
      <c r="F21">
        <v>2.7315695397999999E-5</v>
      </c>
      <c r="G21" s="8">
        <f t="shared" si="0"/>
        <v>7.5854759225634234E-5</v>
      </c>
      <c r="L21">
        <v>1.1882986526484123E-4</v>
      </c>
      <c r="M21">
        <v>7.0063939146987032E-6</v>
      </c>
      <c r="O21" s="9">
        <f t="shared" si="1"/>
        <v>3.2896812265334485E-6</v>
      </c>
      <c r="P21" s="6">
        <f t="shared" si="2"/>
        <v>1.9396472827359235E-7</v>
      </c>
    </row>
    <row r="22" spans="1:18" x14ac:dyDescent="0.2">
      <c r="A22">
        <v>40.145000000000003</v>
      </c>
      <c r="B22" s="5" t="s">
        <v>412</v>
      </c>
      <c r="C22" s="5" t="s">
        <v>413</v>
      </c>
      <c r="D22" s="5"/>
      <c r="E22" t="e">
        <v>#N/A</v>
      </c>
      <c r="F22" t="e">
        <v>#N/A</v>
      </c>
      <c r="G22" s="8" t="e">
        <f t="shared" si="0"/>
        <v>#N/A</v>
      </c>
      <c r="L22">
        <v>2.8991671297659326E-3</v>
      </c>
      <c r="M22">
        <v>1.0513914294550844E-4</v>
      </c>
      <c r="O22" s="9">
        <f>L22/A22</f>
        <v>7.2217390204656431E-5</v>
      </c>
      <c r="P22" s="6">
        <f>M22/A22</f>
        <v>2.618984753904806E-6</v>
      </c>
    </row>
    <row r="23" spans="1:18" x14ac:dyDescent="0.2">
      <c r="B23" s="2"/>
      <c r="C23" s="2"/>
      <c r="D23" s="2"/>
      <c r="E23">
        <v>0</v>
      </c>
      <c r="G23" s="8">
        <f t="shared" si="0"/>
        <v>0</v>
      </c>
      <c r="O23" s="9"/>
      <c r="P23" s="6"/>
    </row>
    <row r="24" spans="1:18" x14ac:dyDescent="0.2">
      <c r="A24">
        <v>70.307000000000002</v>
      </c>
      <c r="B24" s="2" t="s">
        <v>393</v>
      </c>
      <c r="C24" s="2" t="s">
        <v>394</v>
      </c>
      <c r="D24" s="2"/>
      <c r="E24" t="e">
        <v>#N/A</v>
      </c>
      <c r="F24" t="e">
        <v>#N/A</v>
      </c>
      <c r="G24" s="8" t="e">
        <f t="shared" si="0"/>
        <v>#N/A</v>
      </c>
      <c r="L24">
        <v>1.2723763700294297E-5</v>
      </c>
      <c r="M24">
        <v>8.4213966340878746E-7</v>
      </c>
      <c r="O24" s="9">
        <f t="shared" si="1"/>
        <v>1.8097435106453549E-7</v>
      </c>
      <c r="P24" s="6">
        <f t="shared" si="2"/>
        <v>1.1978034383614539E-8</v>
      </c>
    </row>
    <row r="25" spans="1:18" x14ac:dyDescent="0.2">
      <c r="A25">
        <v>70.513999999999996</v>
      </c>
      <c r="B25" s="2" t="s">
        <v>230</v>
      </c>
      <c r="C25" s="2" t="s">
        <v>395</v>
      </c>
      <c r="D25" s="2"/>
      <c r="E25">
        <v>1.0510544951273171</v>
      </c>
      <c r="F25">
        <v>1.3530508580000001E-6</v>
      </c>
      <c r="G25" s="8">
        <f t="shared" si="0"/>
        <v>3.7573763200311046E-6</v>
      </c>
      <c r="L25">
        <v>2.521516054255981E-4</v>
      </c>
      <c r="M25">
        <v>9.1077870869679429E-6</v>
      </c>
      <c r="O25" s="9">
        <f t="shared" si="1"/>
        <v>3.5759084072042163E-6</v>
      </c>
      <c r="P25" s="6">
        <f t="shared" si="2"/>
        <v>1.2916281996437508E-7</v>
      </c>
    </row>
    <row r="26" spans="1:18" x14ac:dyDescent="0.2">
      <c r="A26">
        <v>41.857999999999997</v>
      </c>
      <c r="B26" s="2" t="s">
        <v>178</v>
      </c>
      <c r="C26" s="2" t="s">
        <v>396</v>
      </c>
      <c r="D26" s="2"/>
      <c r="E26">
        <v>1.0004237145981201</v>
      </c>
      <c r="F26">
        <v>2.0047501570000002E-6</v>
      </c>
      <c r="G26" s="8">
        <f t="shared" si="0"/>
        <v>5.5671231594536559E-6</v>
      </c>
      <c r="L26">
        <v>2.3299803108763395E-4</v>
      </c>
      <c r="M26">
        <v>7.3848104264098787E-6</v>
      </c>
      <c r="O26" s="9">
        <f t="shared" si="1"/>
        <v>5.5663918746149829E-6</v>
      </c>
      <c r="P26" s="6">
        <f t="shared" si="2"/>
        <v>1.7642530523221079E-7</v>
      </c>
    </row>
    <row r="27" spans="1:18" x14ac:dyDescent="0.2">
      <c r="A27">
        <v>41.369</v>
      </c>
      <c r="B27" s="2" t="s">
        <v>160</v>
      </c>
      <c r="C27" s="2" t="s">
        <v>397</v>
      </c>
      <c r="D27" s="2"/>
      <c r="E27">
        <v>1.000423714925748</v>
      </c>
      <c r="F27">
        <v>2.0666638229999998E-6</v>
      </c>
      <c r="G27" s="8">
        <f t="shared" si="0"/>
        <v>5.7390553090393542E-6</v>
      </c>
      <c r="L27">
        <v>2.3738779217617287E-4</v>
      </c>
      <c r="M27">
        <v>7.4520024621489683E-6</v>
      </c>
      <c r="O27" s="9">
        <f t="shared" si="1"/>
        <v>5.7383014376990713E-6</v>
      </c>
      <c r="P27" s="6">
        <f t="shared" si="2"/>
        <v>1.8013494312526211E-7</v>
      </c>
    </row>
    <row r="28" spans="1:18" x14ac:dyDescent="0.2">
      <c r="A28">
        <v>30.474</v>
      </c>
      <c r="B28" s="2" t="s">
        <v>267</v>
      </c>
      <c r="C28" s="2" t="s">
        <v>398</v>
      </c>
      <c r="D28" s="2"/>
      <c r="E28">
        <v>1.0004237150888069</v>
      </c>
      <c r="F28">
        <v>5.0369732899999999E-7</v>
      </c>
      <c r="G28" s="8">
        <f t="shared" si="0"/>
        <v>1.3987503908352843E-6</v>
      </c>
      <c r="L28">
        <v>4.2619920196578962E-5</v>
      </c>
      <c r="M28">
        <v>1.9420757630582804E-6</v>
      </c>
      <c r="O28" s="9">
        <f t="shared" si="1"/>
        <v>1.3985666534284624E-6</v>
      </c>
      <c r="P28" s="6">
        <f t="shared" si="2"/>
        <v>6.3728941493019642E-8</v>
      </c>
    </row>
    <row r="29" spans="1:18" x14ac:dyDescent="0.2">
      <c r="A29">
        <v>39.941000000000003</v>
      </c>
      <c r="B29" s="2" t="s">
        <v>114</v>
      </c>
      <c r="C29" s="2" t="s">
        <v>399</v>
      </c>
      <c r="D29" s="2"/>
      <c r="E29">
        <v>1.000423714753889</v>
      </c>
      <c r="F29">
        <v>4.1507311819999997E-6</v>
      </c>
      <c r="G29" s="8">
        <f t="shared" si="0"/>
        <v>1.152643964700218E-5</v>
      </c>
      <c r="L29">
        <v>4.6031705170778559E-4</v>
      </c>
      <c r="M29">
        <v>1.1282131489038944E-5</v>
      </c>
      <c r="O29" s="9">
        <f t="shared" si="1"/>
        <v>1.152492555789253E-5</v>
      </c>
      <c r="P29" s="6">
        <f t="shared" si="2"/>
        <v>2.8246993037327416E-7</v>
      </c>
    </row>
    <row r="30" spans="1:18" x14ac:dyDescent="0.2">
      <c r="A30">
        <v>36.503999999999998</v>
      </c>
      <c r="B30" s="2" t="s">
        <v>98</v>
      </c>
      <c r="C30" s="2" t="s">
        <v>400</v>
      </c>
      <c r="D30" s="2"/>
      <c r="E30">
        <v>1.000423714604932</v>
      </c>
      <c r="F30">
        <v>8.1949521830000002E-6</v>
      </c>
      <c r="G30" s="8">
        <f t="shared" si="0"/>
        <v>2.2757104135542707E-5</v>
      </c>
      <c r="L30">
        <v>8.3061620713814198E-4</v>
      </c>
      <c r="M30">
        <v>1.4977680843132558E-5</v>
      </c>
      <c r="O30" s="9">
        <f>L30/A30</f>
        <v>2.2754114813120263E-5</v>
      </c>
      <c r="P30" s="6">
        <f t="shared" si="2"/>
        <v>4.1030245570711589E-7</v>
      </c>
      <c r="R30" t="s">
        <v>411</v>
      </c>
    </row>
    <row r="31" spans="1:18" x14ac:dyDescent="0.2">
      <c r="B31" s="2"/>
      <c r="C31" s="5"/>
      <c r="D31" s="5"/>
      <c r="E31" s="5"/>
    </row>
    <row r="32" spans="1:18" x14ac:dyDescent="0.2">
      <c r="B32" s="2"/>
      <c r="C32" s="5"/>
      <c r="D32" s="5"/>
      <c r="E32" s="5"/>
    </row>
    <row r="33" spans="1:13" x14ac:dyDescent="0.2">
      <c r="F33" s="7"/>
      <c r="G33"/>
    </row>
    <row r="34" spans="1:13" x14ac:dyDescent="0.2">
      <c r="E34" t="s">
        <v>405</v>
      </c>
      <c r="F34" s="14" t="s">
        <v>410</v>
      </c>
      <c r="G34" s="14"/>
    </row>
    <row r="35" spans="1:13" x14ac:dyDescent="0.2">
      <c r="E35" t="s">
        <v>404</v>
      </c>
      <c r="F35" s="9" t="s">
        <v>406</v>
      </c>
      <c r="G35" s="6" t="s">
        <v>407</v>
      </c>
    </row>
    <row r="36" spans="1:13" x14ac:dyDescent="0.2">
      <c r="A36" s="12">
        <f>(F49-E49)/F49</f>
        <v>-4.6047050674081907E-3</v>
      </c>
      <c r="D36" s="5" t="s">
        <v>348</v>
      </c>
      <c r="E36">
        <v>2.5257260039804542E-5</v>
      </c>
      <c r="F36">
        <v>2.5162826034217326E-5</v>
      </c>
      <c r="G36" s="7">
        <v>1.4395022274275469E-6</v>
      </c>
      <c r="J36" s="7"/>
    </row>
    <row r="37" spans="1:13" x14ac:dyDescent="0.2">
      <c r="D37" s="5" t="s">
        <v>350</v>
      </c>
      <c r="E37">
        <v>4.6600024918933508E-5</v>
      </c>
      <c r="F37">
        <v>4.6433825013844236E-5</v>
      </c>
      <c r="G37" s="7">
        <v>2.3507037397174724E-6</v>
      </c>
    </row>
    <row r="38" spans="1:13" x14ac:dyDescent="0.2">
      <c r="A38" s="12">
        <f>(G27-O27)/O27</f>
        <v>1.3137534660172693E-4</v>
      </c>
      <c r="D38" s="5" t="s">
        <v>352</v>
      </c>
      <c r="E38">
        <v>7.6873021369743354E-6</v>
      </c>
      <c r="F38">
        <v>7.6598852218989575E-6</v>
      </c>
      <c r="G38" s="7">
        <v>3.9789753763346777E-7</v>
      </c>
    </row>
    <row r="39" spans="1:13" x14ac:dyDescent="0.2">
      <c r="A39" s="12">
        <f>(G27-O27)/G27</f>
        <v>1.3135808938720474E-4</v>
      </c>
      <c r="D39" s="5" t="s">
        <v>354</v>
      </c>
      <c r="E39">
        <v>4.4015169977855465E-5</v>
      </c>
      <c r="F39">
        <v>4.3858189007422885E-5</v>
      </c>
      <c r="G39" s="7">
        <v>1.2956243276383541E-6</v>
      </c>
    </row>
    <row r="40" spans="1:13" x14ac:dyDescent="0.2">
      <c r="D40" s="5" t="s">
        <v>356</v>
      </c>
      <c r="E40">
        <v>5.0330744228062526E-5</v>
      </c>
      <c r="F40">
        <v>5.0151238638631813E-5</v>
      </c>
      <c r="G40" s="7">
        <v>5.1853664646378207E-6</v>
      </c>
    </row>
    <row r="41" spans="1:13" x14ac:dyDescent="0.2">
      <c r="D41" s="5" t="s">
        <v>358</v>
      </c>
      <c r="E41">
        <v>1.4697090925787324E-5</v>
      </c>
      <c r="F41">
        <v>1.4312035420422808E-5</v>
      </c>
      <c r="G41" s="7">
        <v>4.2566707209922493E-7</v>
      </c>
    </row>
    <row r="42" spans="1:13" x14ac:dyDescent="0.2">
      <c r="D42" s="5" t="s">
        <v>360</v>
      </c>
      <c r="E42">
        <v>2.2026016963739783E-6</v>
      </c>
      <c r="F42">
        <v>2.2023123677521908E-6</v>
      </c>
      <c r="G42" s="7">
        <v>9.5219307494572958E-8</v>
      </c>
      <c r="L42">
        <v>7.5507071431189882E-5</v>
      </c>
      <c r="M42">
        <f>L42/2</f>
        <v>3.7753535715594941E-5</v>
      </c>
    </row>
    <row r="43" spans="1:13" x14ac:dyDescent="0.2">
      <c r="D43" s="5" t="s">
        <v>362</v>
      </c>
      <c r="E43">
        <v>2.2058762394989434E-4</v>
      </c>
      <c r="F43">
        <v>2.1983523171661431E-4</v>
      </c>
      <c r="G43" s="7">
        <v>8.0624462797256548E-6</v>
      </c>
      <c r="J43">
        <f>E49/F49</f>
        <v>1.0046047050674083</v>
      </c>
    </row>
    <row r="44" spans="1:13" x14ac:dyDescent="0.2">
      <c r="D44" s="5" t="s">
        <v>364</v>
      </c>
      <c r="E44">
        <v>6.267091734481294E-5</v>
      </c>
      <c r="F44">
        <v>6.2457155101361755E-5</v>
      </c>
      <c r="G44" s="7">
        <v>1.2700185121069086E-6</v>
      </c>
      <c r="L44">
        <f>104.1265/L42</f>
        <v>1379029.7786200223</v>
      </c>
    </row>
    <row r="45" spans="1:13" x14ac:dyDescent="0.2">
      <c r="D45" s="5" t="s">
        <v>366</v>
      </c>
      <c r="E45">
        <v>6.8422969971387732E-5</v>
      </c>
      <c r="F45">
        <v>6.8253223418885916E-5</v>
      </c>
      <c r="G45" s="7">
        <v>9.8903303303634984E-7</v>
      </c>
      <c r="L45">
        <f>L44/3600</f>
        <v>383.06382739445064</v>
      </c>
      <c r="M45">
        <f>104.1265/M42</f>
        <v>2758059.5572400447</v>
      </c>
    </row>
    <row r="46" spans="1:13" x14ac:dyDescent="0.2">
      <c r="D46" s="5" t="s">
        <v>368</v>
      </c>
      <c r="E46">
        <v>1.1208262043745974E-4</v>
      </c>
      <c r="F46">
        <v>1.1180456120706036E-4</v>
      </c>
      <c r="G46" s="7">
        <v>4.2471286134047097E-6</v>
      </c>
      <c r="M46">
        <f>M45/3600</f>
        <v>766.12765478890128</v>
      </c>
    </row>
    <row r="47" spans="1:13" x14ac:dyDescent="0.2">
      <c r="D47" s="5" t="s">
        <v>370</v>
      </c>
      <c r="E47">
        <v>1.4830135484761569E-4</v>
      </c>
      <c r="F47">
        <v>1.4876930250187686E-4</v>
      </c>
      <c r="G47" s="7">
        <v>4.9882284513233268E-6</v>
      </c>
    </row>
    <row r="48" spans="1:13" x14ac:dyDescent="0.2">
      <c r="D48" s="5" t="s">
        <v>372</v>
      </c>
      <c r="E48">
        <v>1.9386497718879909E-4</v>
      </c>
      <c r="F48">
        <v>1.9293498422922166E-4</v>
      </c>
      <c r="G48" s="7">
        <v>3.3452024769860749E-6</v>
      </c>
    </row>
    <row r="49" spans="4:7" x14ac:dyDescent="0.2">
      <c r="D49" s="5" t="s">
        <v>374</v>
      </c>
      <c r="E49">
        <v>7.5854759225634234E-5</v>
      </c>
      <c r="F49" s="7">
        <f>SUM(O21:O22)</f>
        <v>7.5507071431189882E-5</v>
      </c>
      <c r="G49" s="7">
        <f>SUM(P21:P22)</f>
        <v>2.8129494821783982E-6</v>
      </c>
    </row>
  </sheetData>
  <mergeCells count="4">
    <mergeCell ref="I6:J6"/>
    <mergeCell ref="L6:M6"/>
    <mergeCell ref="O6:P6"/>
    <mergeCell ref="F34:G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ProteinComp_Anal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Kirsten Fisher</cp:lastModifiedBy>
  <dcterms:created xsi:type="dcterms:W3CDTF">2026-03-16T17:08:58Z</dcterms:created>
  <dcterms:modified xsi:type="dcterms:W3CDTF">2026-07-02T20:15:28Z</dcterms:modified>
</cp:coreProperties>
</file>