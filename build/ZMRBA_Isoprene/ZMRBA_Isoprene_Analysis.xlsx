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4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wprod-my.sharepoint.com/personal/kfisher22_wisc_edu/Documents/Jun ZmRBA Paper/Updating_model_MEP_fdxA_rnf/Updated/8. ZMRBA_build/ZMRBA_Isoprene/"/>
    </mc:Choice>
  </mc:AlternateContent>
  <xr:revisionPtr revIDLastSave="135" documentId="8_{8F55FBFA-95B3-49FE-9B2D-844C5BDE912E}" xr6:coauthVersionLast="47" xr6:coauthVersionMax="47" xr10:uidLastSave="{85A984B2-FF90-D34A-B042-FA7AC86F2AA5}"/>
  <bookViews>
    <workbookView minimized="1" xWindow="0" yWindow="760" windowWidth="29040" windowHeight="18520" xr2:uid="{624194E7-9B66-47D2-90E2-65151BE05693}"/>
  </bookViews>
  <sheets>
    <sheet name="Molar yields" sheetId="1" r:id="rId1"/>
    <sheet name="MEP Constraints" sheetId="2" r:id="rId2"/>
    <sheet name="No MEP Constraints" sheetId="3" r:id="rId3"/>
    <sheet name="No Protein Constraint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9" i="4" l="1"/>
  <c r="O39" i="4"/>
  <c r="G39" i="4"/>
  <c r="P38" i="4"/>
  <c r="O38" i="4"/>
  <c r="G38" i="4"/>
  <c r="P37" i="4"/>
  <c r="O37" i="4"/>
  <c r="G37" i="4"/>
  <c r="P36" i="4"/>
  <c r="O36" i="4"/>
  <c r="G36" i="4"/>
  <c r="P35" i="4"/>
  <c r="O35" i="4"/>
  <c r="G35" i="4"/>
  <c r="P34" i="4"/>
  <c r="O34" i="4"/>
  <c r="G34" i="4"/>
  <c r="P33" i="4"/>
  <c r="O33" i="4"/>
  <c r="G33" i="4"/>
  <c r="P32" i="4"/>
  <c r="O32" i="4"/>
  <c r="G32" i="4"/>
  <c r="P31" i="4"/>
  <c r="O31" i="4"/>
  <c r="G31" i="4"/>
  <c r="P30" i="4"/>
  <c r="O30" i="4"/>
  <c r="G30" i="4"/>
  <c r="P29" i="4"/>
  <c r="O29" i="4"/>
  <c r="G29" i="4"/>
  <c r="P28" i="4"/>
  <c r="O28" i="4"/>
  <c r="G28" i="4"/>
  <c r="P27" i="4"/>
  <c r="O27" i="4"/>
  <c r="G27" i="4"/>
  <c r="P26" i="4"/>
  <c r="O26" i="4"/>
  <c r="G26" i="4"/>
  <c r="P25" i="4"/>
  <c r="O25" i="4"/>
  <c r="G25" i="4"/>
  <c r="P24" i="4"/>
  <c r="O24" i="4"/>
  <c r="G24" i="4"/>
  <c r="P23" i="4"/>
  <c r="O23" i="4"/>
  <c r="G23" i="4"/>
  <c r="H23" i="4" s="1"/>
  <c r="P22" i="4"/>
  <c r="O22" i="4"/>
  <c r="G22" i="4"/>
  <c r="P21" i="4"/>
  <c r="O21" i="4"/>
  <c r="G21" i="4"/>
  <c r="P20" i="4"/>
  <c r="G67" i="4" s="1"/>
  <c r="O20" i="4"/>
  <c r="G20" i="4"/>
  <c r="P19" i="4"/>
  <c r="O19" i="4"/>
  <c r="G19" i="4"/>
  <c r="P18" i="4"/>
  <c r="O18" i="4"/>
  <c r="G18" i="4"/>
  <c r="P17" i="4"/>
  <c r="O17" i="4"/>
  <c r="G17" i="4"/>
  <c r="P16" i="4"/>
  <c r="O16" i="4"/>
  <c r="G16" i="4"/>
  <c r="P15" i="4"/>
  <c r="O15" i="4"/>
  <c r="G15" i="4"/>
  <c r="P14" i="4"/>
  <c r="O14" i="4"/>
  <c r="G14" i="4"/>
  <c r="P13" i="4"/>
  <c r="O13" i="4"/>
  <c r="G13" i="4"/>
  <c r="P12" i="4"/>
  <c r="O12" i="4"/>
  <c r="G12" i="4"/>
  <c r="P11" i="4"/>
  <c r="O11" i="4"/>
  <c r="G11" i="4"/>
  <c r="P10" i="4"/>
  <c r="O10" i="4"/>
  <c r="G10" i="4"/>
  <c r="P9" i="4"/>
  <c r="O9" i="4"/>
  <c r="G9" i="4"/>
  <c r="P8" i="4"/>
  <c r="O8" i="4"/>
  <c r="G8" i="4"/>
  <c r="P7" i="4"/>
  <c r="O7" i="4"/>
  <c r="G7" i="4"/>
  <c r="P39" i="3"/>
  <c r="O39" i="3"/>
  <c r="G39" i="3"/>
  <c r="H39" i="3" s="1"/>
  <c r="P38" i="3"/>
  <c r="O38" i="3"/>
  <c r="G38" i="3"/>
  <c r="H38" i="3" s="1"/>
  <c r="P37" i="3"/>
  <c r="O37" i="3"/>
  <c r="G37" i="3"/>
  <c r="H37" i="3" s="1"/>
  <c r="P36" i="3"/>
  <c r="O36" i="3"/>
  <c r="G36" i="3"/>
  <c r="H36" i="3" s="1"/>
  <c r="P35" i="3"/>
  <c r="O35" i="3"/>
  <c r="G35" i="3"/>
  <c r="H35" i="3" s="1"/>
  <c r="P34" i="3"/>
  <c r="O34" i="3"/>
  <c r="G34" i="3"/>
  <c r="H34" i="3" s="1"/>
  <c r="P33" i="3"/>
  <c r="O33" i="3"/>
  <c r="G33" i="3"/>
  <c r="H33" i="3" s="1"/>
  <c r="P32" i="3"/>
  <c r="O32" i="3"/>
  <c r="G32" i="3"/>
  <c r="H32" i="3" s="1"/>
  <c r="P31" i="3"/>
  <c r="O31" i="3"/>
  <c r="G31" i="3"/>
  <c r="H31" i="3" s="1"/>
  <c r="P30" i="3"/>
  <c r="O30" i="3"/>
  <c r="G30" i="3"/>
  <c r="H30" i="3" s="1"/>
  <c r="P29" i="3"/>
  <c r="O29" i="3"/>
  <c r="G29" i="3"/>
  <c r="H29" i="3" s="1"/>
  <c r="P28" i="3"/>
  <c r="O28" i="3"/>
  <c r="G28" i="3"/>
  <c r="H28" i="3" s="1"/>
  <c r="P27" i="3"/>
  <c r="O27" i="3"/>
  <c r="G27" i="3"/>
  <c r="H27" i="3" s="1"/>
  <c r="P26" i="3"/>
  <c r="O26" i="3"/>
  <c r="G26" i="3"/>
  <c r="H26" i="3" s="1"/>
  <c r="P25" i="3"/>
  <c r="O25" i="3"/>
  <c r="G25" i="3"/>
  <c r="H25" i="3" s="1"/>
  <c r="P24" i="3"/>
  <c r="O24" i="3"/>
  <c r="G24" i="3"/>
  <c r="H24" i="3" s="1"/>
  <c r="P23" i="3"/>
  <c r="O23" i="3"/>
  <c r="G23" i="3"/>
  <c r="H23" i="3" s="1"/>
  <c r="P22" i="3"/>
  <c r="O22" i="3"/>
  <c r="G22" i="3"/>
  <c r="P21" i="3"/>
  <c r="O21" i="3"/>
  <c r="G21" i="3"/>
  <c r="P20" i="3"/>
  <c r="G67" i="3" s="1"/>
  <c r="O20" i="3"/>
  <c r="G20" i="3"/>
  <c r="P19" i="3"/>
  <c r="O19" i="3"/>
  <c r="G19" i="3"/>
  <c r="P18" i="3"/>
  <c r="O18" i="3"/>
  <c r="G18" i="3"/>
  <c r="P17" i="3"/>
  <c r="O17" i="3"/>
  <c r="G17" i="3"/>
  <c r="P16" i="3"/>
  <c r="O16" i="3"/>
  <c r="G16" i="3"/>
  <c r="P15" i="3"/>
  <c r="O15" i="3"/>
  <c r="G15" i="3"/>
  <c r="P14" i="3"/>
  <c r="O14" i="3"/>
  <c r="G14" i="3"/>
  <c r="P13" i="3"/>
  <c r="O13" i="3"/>
  <c r="G13" i="3"/>
  <c r="P12" i="3"/>
  <c r="O12" i="3"/>
  <c r="G12" i="3"/>
  <c r="P11" i="3"/>
  <c r="O11" i="3"/>
  <c r="G11" i="3"/>
  <c r="P10" i="3"/>
  <c r="O10" i="3"/>
  <c r="G10" i="3"/>
  <c r="P9" i="3"/>
  <c r="O9" i="3"/>
  <c r="G9" i="3"/>
  <c r="P8" i="3"/>
  <c r="O8" i="3"/>
  <c r="G8" i="3"/>
  <c r="P7" i="3"/>
  <c r="O7" i="3"/>
  <c r="G7" i="3"/>
  <c r="P39" i="2"/>
  <c r="O39" i="2"/>
  <c r="G39" i="2"/>
  <c r="H39" i="2" s="1"/>
  <c r="P38" i="2"/>
  <c r="O38" i="2"/>
  <c r="G38" i="2"/>
  <c r="H38" i="2" s="1"/>
  <c r="P37" i="2"/>
  <c r="O37" i="2"/>
  <c r="G37" i="2"/>
  <c r="H37" i="2" s="1"/>
  <c r="P36" i="2"/>
  <c r="O36" i="2"/>
  <c r="G36" i="2"/>
  <c r="H36" i="2" s="1"/>
  <c r="P35" i="2"/>
  <c r="O35" i="2"/>
  <c r="G35" i="2"/>
  <c r="H35" i="2" s="1"/>
  <c r="P34" i="2"/>
  <c r="O34" i="2"/>
  <c r="G34" i="2"/>
  <c r="H34" i="2" s="1"/>
  <c r="P33" i="2"/>
  <c r="O33" i="2"/>
  <c r="G33" i="2"/>
  <c r="H33" i="2" s="1"/>
  <c r="P32" i="2"/>
  <c r="O32" i="2"/>
  <c r="G32" i="2"/>
  <c r="H32" i="2" s="1"/>
  <c r="P31" i="2"/>
  <c r="O31" i="2"/>
  <c r="G31" i="2"/>
  <c r="H31" i="2" s="1"/>
  <c r="P30" i="2"/>
  <c r="O30" i="2"/>
  <c r="G30" i="2"/>
  <c r="H30" i="2" s="1"/>
  <c r="P29" i="2"/>
  <c r="O29" i="2"/>
  <c r="G29" i="2"/>
  <c r="H29" i="2" s="1"/>
  <c r="P28" i="2"/>
  <c r="O28" i="2"/>
  <c r="G28" i="2"/>
  <c r="H28" i="2" s="1"/>
  <c r="P27" i="2"/>
  <c r="O27" i="2"/>
  <c r="G27" i="2"/>
  <c r="H27" i="2" s="1"/>
  <c r="P26" i="2"/>
  <c r="O26" i="2"/>
  <c r="G26" i="2"/>
  <c r="H26" i="2" s="1"/>
  <c r="P25" i="2"/>
  <c r="O25" i="2"/>
  <c r="G25" i="2"/>
  <c r="H25" i="2" s="1"/>
  <c r="P24" i="2"/>
  <c r="O24" i="2"/>
  <c r="G24" i="2"/>
  <c r="H24" i="2" s="1"/>
  <c r="P23" i="2"/>
  <c r="O23" i="2"/>
  <c r="G23" i="2"/>
  <c r="H23" i="2" s="1"/>
  <c r="P21" i="2"/>
  <c r="O21" i="2"/>
  <c r="G21" i="2"/>
  <c r="P20" i="2"/>
  <c r="G67" i="2" s="1"/>
  <c r="O20" i="2"/>
  <c r="G20" i="2"/>
  <c r="P19" i="2"/>
  <c r="O19" i="2"/>
  <c r="G19" i="2"/>
  <c r="P18" i="2"/>
  <c r="O18" i="2"/>
  <c r="G18" i="2"/>
  <c r="P17" i="2"/>
  <c r="O17" i="2"/>
  <c r="G17" i="2"/>
  <c r="P16" i="2"/>
  <c r="O16" i="2"/>
  <c r="G16" i="2"/>
  <c r="P15" i="2"/>
  <c r="O15" i="2"/>
  <c r="G15" i="2"/>
  <c r="P14" i="2"/>
  <c r="O14" i="2"/>
  <c r="G14" i="2"/>
  <c r="P13" i="2"/>
  <c r="O13" i="2"/>
  <c r="G13" i="2"/>
  <c r="P12" i="2"/>
  <c r="O12" i="2"/>
  <c r="G12" i="2"/>
  <c r="P11" i="2"/>
  <c r="O11" i="2"/>
  <c r="G11" i="2"/>
  <c r="P10" i="2"/>
  <c r="O10" i="2"/>
  <c r="G10" i="2"/>
  <c r="P9" i="2"/>
  <c r="O9" i="2"/>
  <c r="G9" i="2"/>
  <c r="P8" i="2"/>
  <c r="O8" i="2"/>
  <c r="G8" i="2"/>
  <c r="P7" i="2"/>
  <c r="O7" i="2"/>
  <c r="G7" i="2"/>
  <c r="A34" i="1"/>
  <c r="A33" i="1"/>
  <c r="A31" i="1"/>
  <c r="A30" i="1"/>
  <c r="A29" i="1"/>
  <c r="J5" i="1"/>
  <c r="F5" i="1"/>
  <c r="B5" i="1"/>
  <c r="I32" i="4" l="1"/>
  <c r="H32" i="4"/>
  <c r="I31" i="4"/>
  <c r="H31" i="4"/>
  <c r="I30" i="4"/>
  <c r="H30" i="4"/>
  <c r="I29" i="4"/>
  <c r="H29" i="4"/>
  <c r="I28" i="4"/>
  <c r="H28" i="4"/>
  <c r="I27" i="4"/>
  <c r="H27" i="4"/>
  <c r="I26" i="4"/>
  <c r="H26" i="4"/>
  <c r="I25" i="4"/>
  <c r="H25" i="4"/>
  <c r="I24" i="4"/>
  <c r="H24" i="4"/>
</calcChain>
</file>

<file path=xl/sharedStrings.xml><?xml version="1.0" encoding="utf-8"?>
<sst xmlns="http://schemas.openxmlformats.org/spreadsheetml/2006/main" count="480" uniqueCount="116">
  <si>
    <t>vprod</t>
  </si>
  <si>
    <t>MEP Constraints</t>
  </si>
  <si>
    <t>No MEP Constraints</t>
  </si>
  <si>
    <t>No Constraints</t>
  </si>
  <si>
    <t>Exp IspS OE</t>
  </si>
  <si>
    <t>Exp Isps + DXS2 OE</t>
  </si>
  <si>
    <t>Exp Isps + Dxs2 + IspG + IspH</t>
  </si>
  <si>
    <t>vlgc</t>
  </si>
  <si>
    <t>u</t>
  </si>
  <si>
    <t>molar yield %</t>
  </si>
  <si>
    <t>MEP protein abundance constraints</t>
  </si>
  <si>
    <t>No MEP protein abundance constrains</t>
  </si>
  <si>
    <t>No protein abundance constraints</t>
  </si>
  <si>
    <t>Experimental IspS OE</t>
  </si>
  <si>
    <t>Experimental Isps + DXS2 OE</t>
  </si>
  <si>
    <t>Experimental Isps + DXS2 + IspG + IspH OE</t>
  </si>
  <si>
    <t>kcat of IspS from Eucalyptus globulus (1.7 s-1) was used</t>
  </si>
  <si>
    <t>https://www.sciencedirect.com/science/article/pii/S0021925818922398#:~:text=Isoprene%20synthase%20requires%20Mg2,number%20of%201.7%20s%E2%88%921.</t>
  </si>
  <si>
    <t xml:space="preserve">*model overpredicts isoprene production - likely due to hopanoid constraints in biomass equation -- if too high then higher flux through MEP and inflate Kapps of MEP enzymes </t>
  </si>
  <si>
    <t>fold increase when DXS2 no longer limiting</t>
  </si>
  <si>
    <t>fold increase from MEP constraints to no protein cosntraints</t>
  </si>
  <si>
    <t>fold increase when no MEP constraints to no constraints</t>
  </si>
  <si>
    <t>fold increase when OE DXS2 and IspS</t>
  </si>
  <si>
    <t>fold increase from just IspS when OE DXS2, IspG and IspH</t>
  </si>
  <si>
    <t>vglc was 55.1</t>
  </si>
  <si>
    <t>exp vglc 51</t>
  </si>
  <si>
    <t>u was 0.350</t>
  </si>
  <si>
    <t>u 0.36</t>
  </si>
  <si>
    <t>mmol/gDW/h</t>
  </si>
  <si>
    <t>mmol/gDW</t>
  </si>
  <si>
    <t>g/gDCW</t>
  </si>
  <si>
    <t>mmol/gDCW</t>
  </si>
  <si>
    <t>MW (g/mmol)</t>
  </si>
  <si>
    <t>Model Prosyn</t>
  </si>
  <si>
    <t>Model Pro Con</t>
  </si>
  <si>
    <t>Exp</t>
  </si>
  <si>
    <t>St Dev</t>
  </si>
  <si>
    <t>ZMO0369</t>
  </si>
  <si>
    <t>Glucokinase</t>
  </si>
  <si>
    <t>GLK</t>
  </si>
  <si>
    <t>ZMO0367</t>
  </si>
  <si>
    <t>Glucose 6-phospahte dehydrogenase</t>
  </si>
  <si>
    <t>G6PDH</t>
  </si>
  <si>
    <t>ZMO1478</t>
  </si>
  <si>
    <t xml:space="preserve">6-phosphogluconolactonase </t>
  </si>
  <si>
    <t>PGL</t>
  </si>
  <si>
    <t>ZMO0368</t>
  </si>
  <si>
    <t xml:space="preserve">6-phosphogluconate dehydratase </t>
  </si>
  <si>
    <t>EDD</t>
  </si>
  <si>
    <t>ZMO0997</t>
  </si>
  <si>
    <t xml:space="preserve">2-dehydro-3-deoxyphosphogluconate aldolase </t>
  </si>
  <si>
    <t>EDA</t>
  </si>
  <si>
    <t>ZMO1212</t>
  </si>
  <si>
    <t xml:space="preserve">Phosphoglucose isomerase </t>
  </si>
  <si>
    <t>PGI</t>
  </si>
  <si>
    <t>ZMO0465</t>
  </si>
  <si>
    <t xml:space="preserve">Triose phosphate isomerase </t>
  </si>
  <si>
    <t>TPI</t>
  </si>
  <si>
    <t>ZMO0177</t>
  </si>
  <si>
    <t xml:space="preserve">Glyceraldehyde 3-phosphate dehydrogenase </t>
  </si>
  <si>
    <t>GAPDH</t>
  </si>
  <si>
    <t>ZMO0178</t>
  </si>
  <si>
    <t xml:space="preserve">Phosphoglycerate kinase </t>
  </si>
  <si>
    <t>PGK</t>
  </si>
  <si>
    <t>ZMO1240</t>
  </si>
  <si>
    <t xml:space="preserve">Phosphoglycerate mutase </t>
  </si>
  <si>
    <t>PGM</t>
  </si>
  <si>
    <t>ZMO1608</t>
  </si>
  <si>
    <t xml:space="preserve">Enolase </t>
  </si>
  <si>
    <t>ENO</t>
  </si>
  <si>
    <t>ZMO0152</t>
  </si>
  <si>
    <t xml:space="preserve">Pyruvate kinase </t>
  </si>
  <si>
    <t>PYK</t>
  </si>
  <si>
    <t>ZMO1360</t>
  </si>
  <si>
    <t>Pyruvate decarboxylase</t>
  </si>
  <si>
    <t>PDC</t>
  </si>
  <si>
    <t>ZMO1236</t>
  </si>
  <si>
    <t>Alcohol dehydrogenase I/II</t>
  </si>
  <si>
    <t>ADHA/B</t>
  </si>
  <si>
    <t>ZMO1596</t>
  </si>
  <si>
    <t>ADH</t>
  </si>
  <si>
    <t>ZMO1722</t>
  </si>
  <si>
    <t>ZMO1234</t>
  </si>
  <si>
    <t>DXS1</t>
  </si>
  <si>
    <t>ZMO1598</t>
  </si>
  <si>
    <t>DXS2</t>
  </si>
  <si>
    <t>ZMO1150</t>
  </si>
  <si>
    <t>DXR</t>
  </si>
  <si>
    <t>ZMO1128</t>
  </si>
  <si>
    <t>ISPDF</t>
  </si>
  <si>
    <t>ZMO1182</t>
  </si>
  <si>
    <t>ISPE</t>
  </si>
  <si>
    <t>ZMO0180</t>
  </si>
  <si>
    <t>ISPG</t>
  </si>
  <si>
    <t>ZMO0875</t>
  </si>
  <si>
    <t>ISPH</t>
  </si>
  <si>
    <t xml:space="preserve">**Note about ADH is actually much hihger the (3 different isozymes) model just choose one because 'cheaper' </t>
  </si>
  <si>
    <t>ZMO1753</t>
  </si>
  <si>
    <t>FPR</t>
  </si>
  <si>
    <t>ZMO1851</t>
  </si>
  <si>
    <t>FLDA</t>
  </si>
  <si>
    <t>ZMO0220</t>
  </si>
  <si>
    <t>FDXA</t>
  </si>
  <si>
    <t>ZMO1808</t>
  </si>
  <si>
    <t>RNF</t>
  </si>
  <si>
    <t>ZMO1809</t>
  </si>
  <si>
    <t>ZMO1810</t>
  </si>
  <si>
    <t>ZMO1811</t>
  </si>
  <si>
    <t>ZMO1812</t>
  </si>
  <si>
    <t>ZMO1813</t>
  </si>
  <si>
    <t>ZMO1814</t>
  </si>
  <si>
    <t>Model/Exp</t>
  </si>
  <si>
    <t>IspDF</t>
  </si>
  <si>
    <t>IspE</t>
  </si>
  <si>
    <t>IspG</t>
  </si>
  <si>
    <t>IspH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</si>
</sst>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000000"/>
      <name val="Consolas"/>
      <family val="3"/>
    </font>
    <font>
      <sz val="11"/>
      <color theme="1"/>
      <name val="Consolas"/>
      <family val="2"/>
    </font>
    <font>
      <i/>
      <sz val="11"/>
      <color theme="1"/>
      <name val="Arial"/>
      <family val="2"/>
    </font>
    <font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11" fontId="0" fillId="0" borderId="0" xfId="0" applyNumberFormat="1"/>
    <xf numFmtId="11" fontId="0" fillId="2" borderId="0" xfId="0" applyNumberFormat="1" applyFill="1"/>
    <xf numFmtId="11" fontId="0" fillId="3" borderId="0" xfId="0" applyNumberFormat="1" applyFill="1"/>
    <xf numFmtId="0" fontId="0" fillId="3" borderId="0" xfId="0" applyFill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2" fontId="0" fillId="0" borderId="0" xfId="0" applyNumberFormat="1"/>
    <xf numFmtId="0" fontId="3" fillId="0" borderId="0" xfId="0" applyFont="1" applyAlignment="1">
      <alignment horizontal="left" vertical="center"/>
    </xf>
    <xf numFmtId="0" fontId="4" fillId="0" borderId="0" xfId="0" applyFont="1"/>
    <xf numFmtId="0" fontId="3" fillId="0" borderId="0" xfId="0" applyFont="1" applyAlignment="1">
      <alignment horizontal="left"/>
    </xf>
    <xf numFmtId="0" fontId="5" fillId="0" borderId="0" xfId="0" applyFont="1"/>
    <xf numFmtId="0" fontId="0" fillId="0" borderId="0" xfId="0" applyAlignment="1">
      <alignment horizontal="left"/>
    </xf>
    <xf numFmtId="11" fontId="1" fillId="0" borderId="0" xfId="0" applyNumberFormat="1" applyFont="1"/>
    <xf numFmtId="0" fontId="0" fillId="0" borderId="0" xfId="0" applyAlignment="1">
      <alignment horizontal="center"/>
    </xf>
    <xf numFmtId="0" fontId="0" fillId="3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'Molar yields'!$A$11:$A$16</c:f>
              <c:strCache>
                <c:ptCount val="6"/>
                <c:pt idx="0">
                  <c:v>MEP protein abundance constraints</c:v>
                </c:pt>
                <c:pt idx="1">
                  <c:v>No MEP protein abundance constrains</c:v>
                </c:pt>
                <c:pt idx="2">
                  <c:v>No protein abundance constraints</c:v>
                </c:pt>
                <c:pt idx="3">
                  <c:v>Experimental IspS OE</c:v>
                </c:pt>
                <c:pt idx="4">
                  <c:v>Experimental Isps + DXS2 OE</c:v>
                </c:pt>
                <c:pt idx="5">
                  <c:v>Experimental Isps + DXS2 + IspG + IspH OE</c:v>
                </c:pt>
              </c:strCache>
            </c:strRef>
          </c:cat>
          <c:val>
            <c:numRef>
              <c:f>'Molar yields'!$B$11:$B$16</c:f>
              <c:numCache>
                <c:formatCode>General</c:formatCode>
                <c:ptCount val="6"/>
                <c:pt idx="0">
                  <c:v>5.2903811252268597E-2</c:v>
                </c:pt>
                <c:pt idx="1">
                  <c:v>0.11669691470054447</c:v>
                </c:pt>
                <c:pt idx="2">
                  <c:v>0.12764246823956443</c:v>
                </c:pt>
                <c:pt idx="3">
                  <c:v>5.8419037672757519E-4</c:v>
                </c:pt>
                <c:pt idx="4">
                  <c:v>3.3301113188235962E-3</c:v>
                </c:pt>
                <c:pt idx="5">
                  <c:v>1.8039670449139817E-3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DF-4848-B0FD-F15AF8EE8A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99455392"/>
        <c:axId val="899354160"/>
      </c:barChart>
      <c:catAx>
        <c:axId val="899455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9354160"/>
        <c:crosses val="autoZero"/>
        <c:auto val="1"/>
        <c:lblAlgn val="ctr"/>
        <c:lblOffset val="100"/>
        <c:noMultiLvlLbl val="0"/>
      </c:catAx>
      <c:valAx>
        <c:axId val="899354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94553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t" anchorCtr="0"/>
          <a:lstStyle/>
          <a:p>
            <a:pPr>
              <a:defRPr sz="18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800" b="1">
                <a:solidFill>
                  <a:schemeClr val="tx1"/>
                </a:solidFill>
              </a:rPr>
              <a:t>Experimental vs ZMRBA</a:t>
            </a:r>
            <a:r>
              <a:rPr lang="en-US" sz="1800" b="1" baseline="0">
                <a:solidFill>
                  <a:schemeClr val="tx1"/>
                </a:solidFill>
              </a:rPr>
              <a:t> Predicted</a:t>
            </a:r>
            <a:r>
              <a:rPr lang="en-US" sz="1800" b="1">
                <a:solidFill>
                  <a:schemeClr val="tx1"/>
                </a:solidFill>
              </a:rPr>
              <a:t> Glycolytic</a:t>
            </a:r>
            <a:r>
              <a:rPr lang="en-US" sz="1800" b="1" baseline="0">
                <a:solidFill>
                  <a:schemeClr val="tx1"/>
                </a:solidFill>
              </a:rPr>
              <a:t> Protein Concentrations</a:t>
            </a:r>
            <a:endParaRPr lang="en-US" sz="18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t" anchorCtr="0"/>
        <a:lstStyle/>
        <a:p>
          <a:pPr>
            <a:defRPr sz="18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734829251421323"/>
          <c:y val="0.11886950522590868"/>
          <c:w val="0.8538370608077207"/>
          <c:h val="0.67492827026573987"/>
        </c:manualLayout>
      </c:layout>
      <c:barChart>
        <c:barDir val="col"/>
        <c:grouping val="clustered"/>
        <c:varyColors val="0"/>
        <c:ser>
          <c:idx val="0"/>
          <c:order val="0"/>
          <c:tx>
            <c:v>ZMRBA</c:v>
          </c:tx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14"/>
              <c:pt idx="0">
                <c:v>GLK</c:v>
              </c:pt>
              <c:pt idx="1">
                <c:v>G6PDH</c:v>
              </c:pt>
              <c:pt idx="2">
                <c:v>PGL</c:v>
              </c:pt>
              <c:pt idx="3">
                <c:v>EDD</c:v>
              </c:pt>
              <c:pt idx="4">
                <c:v>EDA</c:v>
              </c:pt>
              <c:pt idx="5">
                <c:v>PGI</c:v>
              </c:pt>
              <c:pt idx="6">
                <c:v>TPI</c:v>
              </c:pt>
              <c:pt idx="7">
                <c:v>GAPDH</c:v>
              </c:pt>
              <c:pt idx="8">
                <c:v>PGK</c:v>
              </c:pt>
              <c:pt idx="9">
                <c:v>PGM</c:v>
              </c:pt>
              <c:pt idx="10">
                <c:v>ENO</c:v>
              </c:pt>
              <c:pt idx="11">
                <c:v>PYK</c:v>
              </c:pt>
              <c:pt idx="12">
                <c:v>PDC</c:v>
              </c:pt>
              <c:pt idx="13">
                <c:v>ADHA/B</c:v>
              </c:pt>
            </c:strLit>
          </c:cat>
          <c:val>
            <c:numLit>
              <c:formatCode>General</c:formatCode>
              <c:ptCount val="14"/>
              <c:pt idx="0">
                <c:v>2.5259291966573819E-5</c:v>
              </c:pt>
              <c:pt idx="1">
                <c:v>4.6604544562674091E-5</c:v>
              </c:pt>
              <c:pt idx="2">
                <c:v>7.6880477130919222E-6</c:v>
              </c:pt>
              <c:pt idx="3">
                <c:v>4.4019438919220061E-5</c:v>
              </c:pt>
              <c:pt idx="4">
                <c:v>5.0335625707520896E-5</c:v>
              </c:pt>
              <c:pt idx="5">
                <c:v>1.466866409470752E-5</c:v>
              </c:pt>
              <c:pt idx="6">
                <c:v>2.1961948328690809E-6</c:v>
              </c:pt>
              <c:pt idx="7">
                <c:v>2.2049488345125351E-4</c:v>
              </c:pt>
              <c:pt idx="8">
                <c:v>6.2644569610027852E-5</c:v>
              </c:pt>
              <c:pt idx="9">
                <c:v>6.8382968724233978E-5</c:v>
              </c:pt>
              <c:pt idx="10">
                <c:v>1.1201709500557103E-4</c:v>
              </c:pt>
              <c:pt idx="11">
                <c:v>1.4825043972423399E-4</c:v>
              </c:pt>
              <c:pt idx="12">
                <c:v>1.9350247248189415E-4</c:v>
              </c:pt>
              <c:pt idx="13">
                <c:v>4.2835241980501391E-5</c:v>
              </c:pt>
            </c:numLit>
          </c:val>
          <c:extLst>
            <c:ext xmlns:c16="http://schemas.microsoft.com/office/drawing/2014/chart" uri="{C3380CC4-5D6E-409C-BE32-E72D297353CC}">
              <c16:uniqueId val="{00000000-F515-D949-B6AE-9B2B8F0FC908}"/>
            </c:ext>
          </c:extLst>
        </c:ser>
        <c:ser>
          <c:idx val="1"/>
          <c:order val="1"/>
          <c:tx>
            <c:v>Experimental</c:v>
          </c:tx>
          <c:spPr>
            <a:solidFill>
              <a:schemeClr val="accent3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Lit>
                <c:formatCode>General</c:formatCode>
                <c:ptCount val="14"/>
                <c:pt idx="0">
                  <c:v>1.4395022274275469E-6</c:v>
                </c:pt>
                <c:pt idx="1">
                  <c:v>2.3507037397174724E-6</c:v>
                </c:pt>
                <c:pt idx="2">
                  <c:v>3.9789753763346777E-7</c:v>
                </c:pt>
                <c:pt idx="3">
                  <c:v>1.2956243276383541E-6</c:v>
                </c:pt>
                <c:pt idx="4">
                  <c:v>5.1853664646378207E-6</c:v>
                </c:pt>
                <c:pt idx="5">
                  <c:v>4.2566707209922493E-7</c:v>
                </c:pt>
                <c:pt idx="6">
                  <c:v>9.5219307494572958E-8</c:v>
                </c:pt>
                <c:pt idx="7">
                  <c:v>8.0624462797256548E-6</c:v>
                </c:pt>
                <c:pt idx="8">
                  <c:v>1.2700185121069086E-6</c:v>
                </c:pt>
                <c:pt idx="9">
                  <c:v>9.8903303303634984E-7</c:v>
                </c:pt>
                <c:pt idx="10">
                  <c:v>4.2471286134047097E-6</c:v>
                </c:pt>
                <c:pt idx="11">
                  <c:v>4.9882284513233268E-6</c:v>
                </c:pt>
                <c:pt idx="12">
                  <c:v>3.3452024769860749E-6</c:v>
                </c:pt>
                <c:pt idx="13">
                  <c:v>2.9354583660156249E-6</c:v>
                </c:pt>
              </c:numLit>
            </c:plus>
            <c:minus>
              <c:numLit>
                <c:formatCode>General</c:formatCode>
                <c:ptCount val="14"/>
                <c:pt idx="0">
                  <c:v>1.4395022274275469E-6</c:v>
                </c:pt>
                <c:pt idx="1">
                  <c:v>2.3507037397174724E-6</c:v>
                </c:pt>
                <c:pt idx="2">
                  <c:v>3.9789753763346777E-7</c:v>
                </c:pt>
                <c:pt idx="3">
                  <c:v>1.2956243276383541E-6</c:v>
                </c:pt>
                <c:pt idx="4">
                  <c:v>5.1853664646378207E-6</c:v>
                </c:pt>
                <c:pt idx="5">
                  <c:v>4.2566707209922493E-7</c:v>
                </c:pt>
                <c:pt idx="6">
                  <c:v>9.5219307494572958E-8</c:v>
                </c:pt>
                <c:pt idx="7">
                  <c:v>8.0624462797256548E-6</c:v>
                </c:pt>
                <c:pt idx="8">
                  <c:v>1.2700185121069086E-6</c:v>
                </c:pt>
                <c:pt idx="9">
                  <c:v>9.8903303303634984E-7</c:v>
                </c:pt>
                <c:pt idx="10">
                  <c:v>4.2471286134047097E-6</c:v>
                </c:pt>
                <c:pt idx="11">
                  <c:v>4.9882284513233268E-6</c:v>
                </c:pt>
                <c:pt idx="12">
                  <c:v>3.3452024769860749E-6</c:v>
                </c:pt>
                <c:pt idx="13">
                  <c:v>2.9354583660156249E-6</c:v>
                </c:pt>
              </c:numLit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Lit>
              <c:ptCount val="14"/>
              <c:pt idx="0">
                <c:v>GLK</c:v>
              </c:pt>
              <c:pt idx="1">
                <c:v>G6PDH</c:v>
              </c:pt>
              <c:pt idx="2">
                <c:v>PGL</c:v>
              </c:pt>
              <c:pt idx="3">
                <c:v>EDD</c:v>
              </c:pt>
              <c:pt idx="4">
                <c:v>EDA</c:v>
              </c:pt>
              <c:pt idx="5">
                <c:v>PGI</c:v>
              </c:pt>
              <c:pt idx="6">
                <c:v>TPI</c:v>
              </c:pt>
              <c:pt idx="7">
                <c:v>GAPDH</c:v>
              </c:pt>
              <c:pt idx="8">
                <c:v>PGK</c:v>
              </c:pt>
              <c:pt idx="9">
                <c:v>PGM</c:v>
              </c:pt>
              <c:pt idx="10">
                <c:v>ENO</c:v>
              </c:pt>
              <c:pt idx="11">
                <c:v>PYK</c:v>
              </c:pt>
              <c:pt idx="12">
                <c:v>PDC</c:v>
              </c:pt>
              <c:pt idx="13">
                <c:v>ADHA/B</c:v>
              </c:pt>
            </c:strLit>
          </c:cat>
          <c:val>
            <c:numLit>
              <c:formatCode>General</c:formatCode>
              <c:ptCount val="14"/>
              <c:pt idx="0">
                <c:v>2.5162826034217326E-5</c:v>
              </c:pt>
              <c:pt idx="1">
                <c:v>4.6433825013844236E-5</c:v>
              </c:pt>
              <c:pt idx="2">
                <c:v>7.6598852218989575E-6</c:v>
              </c:pt>
              <c:pt idx="3">
                <c:v>4.3858189007422885E-5</c:v>
              </c:pt>
              <c:pt idx="4">
                <c:v>5.0151238638631813E-5</c:v>
              </c:pt>
              <c:pt idx="5">
                <c:v>1.4312035420422808E-5</c:v>
              </c:pt>
              <c:pt idx="6">
                <c:v>2.2023123677521908E-6</c:v>
              </c:pt>
              <c:pt idx="7">
                <c:v>2.1983523171661431E-4</c:v>
              </c:pt>
              <c:pt idx="8">
                <c:v>6.2457155101361755E-5</c:v>
              </c:pt>
              <c:pt idx="9">
                <c:v>6.8253223418885916E-5</c:v>
              </c:pt>
              <c:pt idx="10">
                <c:v>1.1180456120706036E-4</c:v>
              </c:pt>
              <c:pt idx="11">
                <c:v>1.4876930250187686E-4</c:v>
              </c:pt>
              <c:pt idx="12">
                <c:v>1.9293498422922166E-4</c:v>
              </c:pt>
              <c:pt idx="13">
                <c:v>7.5507071431189882E-5</c:v>
              </c:pt>
            </c:numLit>
          </c:val>
          <c:extLst>
            <c:ext xmlns:c16="http://schemas.microsoft.com/office/drawing/2014/chart" uri="{C3380CC4-5D6E-409C-BE32-E72D297353CC}">
              <c16:uniqueId val="{00000001-F515-D949-B6AE-9B2B8F0FC9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66189680"/>
        <c:axId val="1754917295"/>
      </c:barChart>
      <c:catAx>
        <c:axId val="866189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4917295"/>
        <c:crosses val="autoZero"/>
        <c:auto val="1"/>
        <c:lblAlgn val="ctr"/>
        <c:lblOffset val="100"/>
        <c:noMultiLvlLbl val="0"/>
      </c:catAx>
      <c:valAx>
        <c:axId val="175491729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>
                    <a:solidFill>
                      <a:schemeClr val="tx1"/>
                    </a:solidFill>
                  </a:rPr>
                  <a:t>mmol/gDCW</a:t>
                </a:r>
              </a:p>
            </c:rich>
          </c:tx>
          <c:layout>
            <c:manualLayout>
              <c:xMode val="edge"/>
              <c:yMode val="edge"/>
              <c:x val="1.3301187052394109E-2"/>
              <c:y val="0.3068686404593482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6189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24574228187856983"/>
          <c:y val="0.21367969736935241"/>
          <c:w val="0.14310707435502801"/>
          <c:h val="0.1308835157798698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>
                <a:solidFill>
                  <a:schemeClr val="tx1"/>
                </a:solidFill>
              </a:rPr>
              <a:t>Experimental</a:t>
            </a:r>
            <a:r>
              <a:rPr lang="en-US" sz="1800" b="1" i="0" baseline="0">
                <a:solidFill>
                  <a:schemeClr val="tx1"/>
                </a:solidFill>
              </a:rPr>
              <a:t> vs ZMRBA Predicted MEP Protein Concentrations</a:t>
            </a:r>
            <a:endParaRPr lang="en-US" sz="1800" b="1" i="0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34665321576899"/>
          <c:y val="0.16960461888872214"/>
          <c:w val="0.80284525790349415"/>
          <c:h val="0.6502377226358802"/>
        </c:manualLayout>
      </c:layout>
      <c:barChart>
        <c:barDir val="col"/>
        <c:grouping val="clustered"/>
        <c:varyColors val="0"/>
        <c:ser>
          <c:idx val="0"/>
          <c:order val="0"/>
          <c:tx>
            <c:v>ZMRBA</c:v>
          </c:tx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17"/>
              <c:pt idx="0">
                <c:v>DXS1</c:v>
              </c:pt>
              <c:pt idx="1">
                <c:v>DXS2</c:v>
              </c:pt>
              <c:pt idx="2">
                <c:v>DXR</c:v>
              </c:pt>
              <c:pt idx="3">
                <c:v>ISPDF</c:v>
              </c:pt>
              <c:pt idx="4">
                <c:v>ISPE</c:v>
              </c:pt>
              <c:pt idx="5">
                <c:v>ISPG</c:v>
              </c:pt>
              <c:pt idx="6">
                <c:v>ISPH</c:v>
              </c:pt>
              <c:pt idx="7">
                <c:v>FPR</c:v>
              </c:pt>
              <c:pt idx="8">
                <c:v>FLDA</c:v>
              </c:pt>
              <c:pt idx="9">
                <c:v>FDXA</c:v>
              </c:pt>
              <c:pt idx="10">
                <c:v>RNF</c:v>
              </c:pt>
              <c:pt idx="11">
                <c:v>RNF</c:v>
              </c:pt>
              <c:pt idx="12">
                <c:v>RNF</c:v>
              </c:pt>
              <c:pt idx="13">
                <c:v>RNF</c:v>
              </c:pt>
              <c:pt idx="14">
                <c:v>RNF</c:v>
              </c:pt>
              <c:pt idx="15">
                <c:v>RNF</c:v>
              </c:pt>
              <c:pt idx="16">
                <c:v>RNF</c:v>
              </c:pt>
            </c:strLit>
          </c:cat>
          <c:val>
            <c:numLit>
              <c:formatCode>General</c:formatCode>
              <c:ptCount val="17"/>
              <c:pt idx="0">
                <c:v>1.8147855153203343E-7</c:v>
              </c:pt>
              <c:pt idx="1">
                <c:v>4.6616434540389972E-6</c:v>
              </c:pt>
              <c:pt idx="2">
                <c:v>7.179603470752089E-6</c:v>
              </c:pt>
              <c:pt idx="3">
                <c:v>5.9481734512534827E-6</c:v>
              </c:pt>
              <c:pt idx="4">
                <c:v>1.8038891671309193E-6</c:v>
              </c:pt>
              <c:pt idx="5">
                <c:v>1.4864996462395543E-5</c:v>
              </c:pt>
              <c:pt idx="6">
                <c:v>2.9348548454038997E-5</c:v>
              </c:pt>
              <c:pt idx="7">
                <c:v>5.1271209415041786E-6</c:v>
              </c:pt>
              <c:pt idx="8">
                <c:v>1.347635097493036E-6</c:v>
              </c:pt>
              <c:pt idx="9">
                <c:v>1.7920136682451254E-5</c:v>
              </c:pt>
              <c:pt idx="10">
                <c:v>4.277465181058496E-7</c:v>
              </c:pt>
              <c:pt idx="11">
                <c:v>3.6238718662952649E-7</c:v>
              </c:pt>
              <c:pt idx="12">
                <c:v>6.7652089136490251E-7</c:v>
              </c:pt>
              <c:pt idx="13">
                <c:v>3.0001949860724235E-7</c:v>
              </c:pt>
              <c:pt idx="14">
                <c:v>9.4552646239554316E-7</c:v>
              </c:pt>
              <c:pt idx="15">
                <c:v>4.7456545961002787E-7</c:v>
              </c:pt>
              <c:pt idx="16">
                <c:v>2.656966573816156E-6</c:v>
              </c:pt>
            </c:numLit>
          </c:val>
          <c:extLst>
            <c:ext xmlns:c16="http://schemas.microsoft.com/office/drawing/2014/chart" uri="{C3380CC4-5D6E-409C-BE32-E72D297353CC}">
              <c16:uniqueId val="{00000000-0FE5-314A-BCD3-0898380000F7}"/>
            </c:ext>
          </c:extLst>
        </c:ser>
        <c:ser>
          <c:idx val="1"/>
          <c:order val="1"/>
          <c:tx>
            <c:v>Experimental</c:v>
          </c:tx>
          <c:spPr>
            <a:solidFill>
              <a:schemeClr val="accent3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Lit>
                <c:formatCode>General</c:formatCode>
                <c:ptCount val="17"/>
                <c:pt idx="0">
                  <c:v>1.1978034383614539E-8</c:v>
                </c:pt>
                <c:pt idx="1">
                  <c:v>1.2916281996437508E-7</c:v>
                </c:pt>
                <c:pt idx="2">
                  <c:v>1.7642530523221079E-7</c:v>
                </c:pt>
                <c:pt idx="3">
                  <c:v>1.8013494312526211E-7</c:v>
                </c:pt>
                <c:pt idx="4">
                  <c:v>6.3728941493019642E-8</c:v>
                </c:pt>
                <c:pt idx="5">
                  <c:v>2.8246993037327416E-7</c:v>
                </c:pt>
                <c:pt idx="6">
                  <c:v>4.1030245570711589E-7</c:v>
                </c:pt>
                <c:pt idx="7">
                  <c:v>1.4757599744892745E-7</c:v>
                </c:pt>
                <c:pt idx="8">
                  <c:v>5.0257579251254371E-8</c:v>
                </c:pt>
                <c:pt idx="9">
                  <c:v>3.5542901618033006E-7</c:v>
                </c:pt>
                <c:pt idx="10">
                  <c:v>3.2875134496012725E-8</c:v>
                </c:pt>
                <c:pt idx="11">
                  <c:v>2.8715420923975363E-8</c:v>
                </c:pt>
                <c:pt idx="12">
                  <c:v>4.7536677836157935E-8</c:v>
                </c:pt>
                <c:pt idx="13">
                  <c:v>2.4587724505903801E-8</c:v>
                </c:pt>
                <c:pt idx="14">
                  <c:v>6.1889544519485208E-8</c:v>
                </c:pt>
                <c:pt idx="15">
                  <c:v>3.5764914442767053E-8</c:v>
                </c:pt>
                <c:pt idx="16">
                  <c:v>1.3456192077538062E-7</c:v>
                </c:pt>
              </c:numLit>
            </c:plus>
            <c:minus>
              <c:numLit>
                <c:formatCode>General</c:formatCode>
                <c:ptCount val="17"/>
                <c:pt idx="0">
                  <c:v>1.1978034383614539E-8</c:v>
                </c:pt>
                <c:pt idx="1">
                  <c:v>1.2916281996437508E-7</c:v>
                </c:pt>
                <c:pt idx="2">
                  <c:v>1.7642530523221079E-7</c:v>
                </c:pt>
                <c:pt idx="3">
                  <c:v>1.8013494312526211E-7</c:v>
                </c:pt>
                <c:pt idx="4">
                  <c:v>6.3728941493019642E-8</c:v>
                </c:pt>
                <c:pt idx="5">
                  <c:v>2.8246993037327416E-7</c:v>
                </c:pt>
                <c:pt idx="6">
                  <c:v>4.1030245570711589E-7</c:v>
                </c:pt>
                <c:pt idx="7">
                  <c:v>1.4757599744892745E-7</c:v>
                </c:pt>
                <c:pt idx="8">
                  <c:v>5.0257579251254371E-8</c:v>
                </c:pt>
                <c:pt idx="9">
                  <c:v>3.5542901618033006E-7</c:v>
                </c:pt>
                <c:pt idx="10">
                  <c:v>3.2875134496012725E-8</c:v>
                </c:pt>
                <c:pt idx="11">
                  <c:v>2.8715420923975363E-8</c:v>
                </c:pt>
                <c:pt idx="12">
                  <c:v>4.7536677836157935E-8</c:v>
                </c:pt>
                <c:pt idx="13">
                  <c:v>2.4587724505903801E-8</c:v>
                </c:pt>
                <c:pt idx="14">
                  <c:v>6.1889544519485208E-8</c:v>
                </c:pt>
                <c:pt idx="15">
                  <c:v>3.5764914442767053E-8</c:v>
                </c:pt>
                <c:pt idx="16">
                  <c:v>1.3456192077538062E-7</c:v>
                </c:pt>
              </c:numLit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Lit>
              <c:ptCount val="17"/>
              <c:pt idx="0">
                <c:v>DXS1</c:v>
              </c:pt>
              <c:pt idx="1">
                <c:v>DXS2</c:v>
              </c:pt>
              <c:pt idx="2">
                <c:v>DXR</c:v>
              </c:pt>
              <c:pt idx="3">
                <c:v>ISPDF</c:v>
              </c:pt>
              <c:pt idx="4">
                <c:v>ISPE</c:v>
              </c:pt>
              <c:pt idx="5">
                <c:v>ISPG</c:v>
              </c:pt>
              <c:pt idx="6">
                <c:v>ISPH</c:v>
              </c:pt>
              <c:pt idx="7">
                <c:v>FPR</c:v>
              </c:pt>
              <c:pt idx="8">
                <c:v>FLDA</c:v>
              </c:pt>
              <c:pt idx="9">
                <c:v>FDXA</c:v>
              </c:pt>
              <c:pt idx="10">
                <c:v>RNF</c:v>
              </c:pt>
              <c:pt idx="11">
                <c:v>RNF</c:v>
              </c:pt>
              <c:pt idx="12">
                <c:v>RNF</c:v>
              </c:pt>
              <c:pt idx="13">
                <c:v>RNF</c:v>
              </c:pt>
              <c:pt idx="14">
                <c:v>RNF</c:v>
              </c:pt>
              <c:pt idx="15">
                <c:v>RNF</c:v>
              </c:pt>
              <c:pt idx="16">
                <c:v>RNF</c:v>
              </c:pt>
            </c:strLit>
          </c:cat>
          <c:val>
            <c:numLit>
              <c:formatCode>General</c:formatCode>
              <c:ptCount val="17"/>
              <c:pt idx="0">
                <c:v>1.8097435106453549E-7</c:v>
              </c:pt>
              <c:pt idx="1">
                <c:v>3.5759084072042163E-6</c:v>
              </c:pt>
              <c:pt idx="2">
                <c:v>5.5663918746149829E-6</c:v>
              </c:pt>
              <c:pt idx="3">
                <c:v>5.7383014376990713E-6</c:v>
              </c:pt>
              <c:pt idx="4">
                <c:v>1.3985666534284624E-6</c:v>
              </c:pt>
              <c:pt idx="5">
                <c:v>1.152492555789253E-5</c:v>
              </c:pt>
              <c:pt idx="6">
                <c:v>2.2754114813120263E-5</c:v>
              </c:pt>
              <c:pt idx="7">
                <c:v>4.3083497000719311E-6</c:v>
              </c:pt>
              <c:pt idx="8">
                <c:v>1.0337618847484315E-6</c:v>
              </c:pt>
              <c:pt idx="9">
                <c:v>1.7218636036498328E-5</c:v>
              </c:pt>
              <c:pt idx="10">
                <c:v>6.0936987870452012E-7</c:v>
              </c:pt>
              <c:pt idx="11">
                <c:v>5.1625677733136231E-7</c:v>
              </c:pt>
              <c:pt idx="12">
                <c:v>9.6377223810050456E-7</c:v>
              </c:pt>
              <c:pt idx="13">
                <c:v>4.274091368779023E-7</c:v>
              </c:pt>
              <c:pt idx="14">
                <c:v>1.3470003634069508E-6</c:v>
              </c:pt>
              <c:pt idx="15">
                <c:v>6.7606819783515206E-7</c:v>
              </c:pt>
              <c:pt idx="16">
                <c:v>3.7851235695841523E-6</c:v>
              </c:pt>
            </c:numLit>
          </c:val>
          <c:extLst>
            <c:ext xmlns:c16="http://schemas.microsoft.com/office/drawing/2014/chart" uri="{C3380CC4-5D6E-409C-BE32-E72D297353CC}">
              <c16:uniqueId val="{00000001-0FE5-314A-BCD3-0898380000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78459695"/>
        <c:axId val="1978461407"/>
      </c:barChart>
      <c:catAx>
        <c:axId val="19784596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400000" spcFirstLastPara="1" vertOverflow="ellipsis" wrap="square" anchor="ctr" anchorCtr="1"/>
          <a:lstStyle/>
          <a:p>
            <a:pPr>
              <a:defRPr sz="18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8461407"/>
        <c:crosses val="autoZero"/>
        <c:auto val="1"/>
        <c:lblAlgn val="ctr"/>
        <c:lblOffset val="100"/>
        <c:noMultiLvlLbl val="0"/>
      </c:catAx>
      <c:valAx>
        <c:axId val="197846140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>
                    <a:solidFill>
                      <a:schemeClr val="tx1"/>
                    </a:solidFill>
                  </a:rPr>
                  <a:t>mmol/gDCW</a:t>
                </a:r>
              </a:p>
            </c:rich>
          </c:tx>
          <c:layout>
            <c:manualLayout>
              <c:xMode val="edge"/>
              <c:yMode val="edge"/>
              <c:x val="2.9955385008293279E-3"/>
              <c:y val="0.3395420194040133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84596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4348634716227635"/>
          <c:y val="0.14702765062113715"/>
          <c:w val="0.16197114354153527"/>
          <c:h val="0.1395009003041911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t" anchorCtr="0"/>
          <a:lstStyle/>
          <a:p>
            <a:pPr>
              <a:defRPr sz="18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800" b="1">
                <a:solidFill>
                  <a:schemeClr val="tx1"/>
                </a:solidFill>
              </a:rPr>
              <a:t>Experimental vs ZMRBA</a:t>
            </a:r>
            <a:r>
              <a:rPr lang="en-US" sz="1800" b="1" baseline="0">
                <a:solidFill>
                  <a:schemeClr val="tx1"/>
                </a:solidFill>
              </a:rPr>
              <a:t> Predicted</a:t>
            </a:r>
            <a:r>
              <a:rPr lang="en-US" sz="1800" b="1">
                <a:solidFill>
                  <a:schemeClr val="tx1"/>
                </a:solidFill>
              </a:rPr>
              <a:t> Glycolytic</a:t>
            </a:r>
            <a:r>
              <a:rPr lang="en-US" sz="1800" b="1" baseline="0">
                <a:solidFill>
                  <a:schemeClr val="tx1"/>
                </a:solidFill>
              </a:rPr>
              <a:t> Protein Concentrations</a:t>
            </a:r>
            <a:endParaRPr lang="en-US" sz="18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t" anchorCtr="0"/>
        <a:lstStyle/>
        <a:p>
          <a:pPr>
            <a:defRPr sz="18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734829251421323"/>
          <c:y val="0.11886950522590868"/>
          <c:w val="0.8538370608077207"/>
          <c:h val="0.67492827026573987"/>
        </c:manualLayout>
      </c:layout>
      <c:barChart>
        <c:barDir val="col"/>
        <c:grouping val="clustered"/>
        <c:varyColors val="0"/>
        <c:ser>
          <c:idx val="0"/>
          <c:order val="0"/>
          <c:tx>
            <c:v>ZMRBA</c:v>
          </c:tx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14"/>
              <c:pt idx="0">
                <c:v>GLK</c:v>
              </c:pt>
              <c:pt idx="1">
                <c:v>G6PDH</c:v>
              </c:pt>
              <c:pt idx="2">
                <c:v>PGL</c:v>
              </c:pt>
              <c:pt idx="3">
                <c:v>EDD</c:v>
              </c:pt>
              <c:pt idx="4">
                <c:v>EDA</c:v>
              </c:pt>
              <c:pt idx="5">
                <c:v>PGI</c:v>
              </c:pt>
              <c:pt idx="6">
                <c:v>TPI</c:v>
              </c:pt>
              <c:pt idx="7">
                <c:v>GAPDH</c:v>
              </c:pt>
              <c:pt idx="8">
                <c:v>PGK</c:v>
              </c:pt>
              <c:pt idx="9">
                <c:v>PGM</c:v>
              </c:pt>
              <c:pt idx="10">
                <c:v>ENO</c:v>
              </c:pt>
              <c:pt idx="11">
                <c:v>PYK</c:v>
              </c:pt>
              <c:pt idx="12">
                <c:v>PDC</c:v>
              </c:pt>
              <c:pt idx="13">
                <c:v>ADHA/B</c:v>
              </c:pt>
            </c:strLit>
          </c:cat>
          <c:val>
            <c:numLit>
              <c:formatCode>General</c:formatCode>
              <c:ptCount val="14"/>
              <c:pt idx="0">
                <c:v>2.5259291966573819E-5</c:v>
              </c:pt>
              <c:pt idx="1">
                <c:v>4.6604538607242339E-5</c:v>
              </c:pt>
              <c:pt idx="2">
                <c:v>7.6880467298050145E-6</c:v>
              </c:pt>
              <c:pt idx="3">
                <c:v>4.4019433295264624E-5</c:v>
              </c:pt>
              <c:pt idx="4">
                <c:v>5.0335619272980509E-5</c:v>
              </c:pt>
              <c:pt idx="5">
                <c:v>1.4668907220055711E-5</c:v>
              </c:pt>
              <c:pt idx="6">
                <c:v>2.1961948328690809E-6</c:v>
              </c:pt>
              <c:pt idx="7">
                <c:v>2.2049474187743731E-4</c:v>
              </c:pt>
              <c:pt idx="8">
                <c:v>6.2644529387186626E-5</c:v>
              </c:pt>
              <c:pt idx="9">
                <c:v>6.8418163802228408E-5</c:v>
              </c:pt>
              <c:pt idx="10">
                <c:v>1.1207474752646239E-4</c:v>
              </c:pt>
              <c:pt idx="11">
                <c:v>1.4825295935097494E-4</c:v>
              </c:pt>
              <c:pt idx="12">
                <c:v>1.9379868079387187E-4</c:v>
              </c:pt>
              <c:pt idx="13">
                <c:v>3.9572956924791089E-5</c:v>
              </c:pt>
            </c:numLit>
          </c:val>
          <c:extLst>
            <c:ext xmlns:c16="http://schemas.microsoft.com/office/drawing/2014/chart" uri="{C3380CC4-5D6E-409C-BE32-E72D297353CC}">
              <c16:uniqueId val="{00000000-F76E-154B-97AE-6DB70E57FC4B}"/>
            </c:ext>
          </c:extLst>
        </c:ser>
        <c:ser>
          <c:idx val="1"/>
          <c:order val="1"/>
          <c:tx>
            <c:v>Experimental</c:v>
          </c:tx>
          <c:spPr>
            <a:solidFill>
              <a:schemeClr val="accent3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Lit>
                <c:formatCode>General</c:formatCode>
                <c:ptCount val="14"/>
                <c:pt idx="0">
                  <c:v>1.4395022274275469E-6</c:v>
                </c:pt>
                <c:pt idx="1">
                  <c:v>2.3507037397174724E-6</c:v>
                </c:pt>
                <c:pt idx="2">
                  <c:v>3.9789753763346777E-7</c:v>
                </c:pt>
                <c:pt idx="3">
                  <c:v>1.2956243276383541E-6</c:v>
                </c:pt>
                <c:pt idx="4">
                  <c:v>5.1853664646378207E-6</c:v>
                </c:pt>
                <c:pt idx="5">
                  <c:v>4.2566707209922493E-7</c:v>
                </c:pt>
                <c:pt idx="6">
                  <c:v>9.5219307494572958E-8</c:v>
                </c:pt>
                <c:pt idx="7">
                  <c:v>8.0624462797256548E-6</c:v>
                </c:pt>
                <c:pt idx="8">
                  <c:v>1.2700185121069086E-6</c:v>
                </c:pt>
                <c:pt idx="9">
                  <c:v>9.8903303303634984E-7</c:v>
                </c:pt>
                <c:pt idx="10">
                  <c:v>4.2471286134047097E-6</c:v>
                </c:pt>
                <c:pt idx="11">
                  <c:v>4.9882284513233268E-6</c:v>
                </c:pt>
                <c:pt idx="12">
                  <c:v>3.3452024769860749E-6</c:v>
                </c:pt>
                <c:pt idx="13">
                  <c:v>2.9354583660156249E-6</c:v>
                </c:pt>
              </c:numLit>
            </c:plus>
            <c:minus>
              <c:numLit>
                <c:formatCode>General</c:formatCode>
                <c:ptCount val="14"/>
                <c:pt idx="0">
                  <c:v>1.4395022274275469E-6</c:v>
                </c:pt>
                <c:pt idx="1">
                  <c:v>2.3507037397174724E-6</c:v>
                </c:pt>
                <c:pt idx="2">
                  <c:v>3.9789753763346777E-7</c:v>
                </c:pt>
                <c:pt idx="3">
                  <c:v>1.2956243276383541E-6</c:v>
                </c:pt>
                <c:pt idx="4">
                  <c:v>5.1853664646378207E-6</c:v>
                </c:pt>
                <c:pt idx="5">
                  <c:v>4.2566707209922493E-7</c:v>
                </c:pt>
                <c:pt idx="6">
                  <c:v>9.5219307494572958E-8</c:v>
                </c:pt>
                <c:pt idx="7">
                  <c:v>8.0624462797256548E-6</c:v>
                </c:pt>
                <c:pt idx="8">
                  <c:v>1.2700185121069086E-6</c:v>
                </c:pt>
                <c:pt idx="9">
                  <c:v>9.8903303303634984E-7</c:v>
                </c:pt>
                <c:pt idx="10">
                  <c:v>4.2471286134047097E-6</c:v>
                </c:pt>
                <c:pt idx="11">
                  <c:v>4.9882284513233268E-6</c:v>
                </c:pt>
                <c:pt idx="12">
                  <c:v>3.3452024769860749E-6</c:v>
                </c:pt>
                <c:pt idx="13">
                  <c:v>2.9354583660156249E-6</c:v>
                </c:pt>
              </c:numLit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Lit>
              <c:ptCount val="14"/>
              <c:pt idx="0">
                <c:v>GLK</c:v>
              </c:pt>
              <c:pt idx="1">
                <c:v>G6PDH</c:v>
              </c:pt>
              <c:pt idx="2">
                <c:v>PGL</c:v>
              </c:pt>
              <c:pt idx="3">
                <c:v>EDD</c:v>
              </c:pt>
              <c:pt idx="4">
                <c:v>EDA</c:v>
              </c:pt>
              <c:pt idx="5">
                <c:v>PGI</c:v>
              </c:pt>
              <c:pt idx="6">
                <c:v>TPI</c:v>
              </c:pt>
              <c:pt idx="7">
                <c:v>GAPDH</c:v>
              </c:pt>
              <c:pt idx="8">
                <c:v>PGK</c:v>
              </c:pt>
              <c:pt idx="9">
                <c:v>PGM</c:v>
              </c:pt>
              <c:pt idx="10">
                <c:v>ENO</c:v>
              </c:pt>
              <c:pt idx="11">
                <c:v>PYK</c:v>
              </c:pt>
              <c:pt idx="12">
                <c:v>PDC</c:v>
              </c:pt>
              <c:pt idx="13">
                <c:v>ADHA/B</c:v>
              </c:pt>
            </c:strLit>
          </c:cat>
          <c:val>
            <c:numLit>
              <c:formatCode>General</c:formatCode>
              <c:ptCount val="14"/>
              <c:pt idx="0">
                <c:v>2.5162826034217326E-5</c:v>
              </c:pt>
              <c:pt idx="1">
                <c:v>4.6433825013844236E-5</c:v>
              </c:pt>
              <c:pt idx="2">
                <c:v>7.6598852218989575E-6</c:v>
              </c:pt>
              <c:pt idx="3">
                <c:v>4.3858189007422885E-5</c:v>
              </c:pt>
              <c:pt idx="4">
                <c:v>5.0151238638631813E-5</c:v>
              </c:pt>
              <c:pt idx="5">
                <c:v>1.4312035420422808E-5</c:v>
              </c:pt>
              <c:pt idx="6">
                <c:v>2.2023123677521908E-6</c:v>
              </c:pt>
              <c:pt idx="7">
                <c:v>2.1983523171661431E-4</c:v>
              </c:pt>
              <c:pt idx="8">
                <c:v>6.2457155101361755E-5</c:v>
              </c:pt>
              <c:pt idx="9">
                <c:v>6.8253223418885916E-5</c:v>
              </c:pt>
              <c:pt idx="10">
                <c:v>1.1180456120706036E-4</c:v>
              </c:pt>
              <c:pt idx="11">
                <c:v>1.4876930250187686E-4</c:v>
              </c:pt>
              <c:pt idx="12">
                <c:v>1.9293498422922166E-4</c:v>
              </c:pt>
              <c:pt idx="13">
                <c:v>7.5507071431189882E-5</c:v>
              </c:pt>
            </c:numLit>
          </c:val>
          <c:extLst>
            <c:ext xmlns:c16="http://schemas.microsoft.com/office/drawing/2014/chart" uri="{C3380CC4-5D6E-409C-BE32-E72D297353CC}">
              <c16:uniqueId val="{00000001-F76E-154B-97AE-6DB70E57FC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66189680"/>
        <c:axId val="1754917295"/>
      </c:barChart>
      <c:catAx>
        <c:axId val="866189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4917295"/>
        <c:crosses val="autoZero"/>
        <c:auto val="1"/>
        <c:lblAlgn val="ctr"/>
        <c:lblOffset val="100"/>
        <c:noMultiLvlLbl val="0"/>
      </c:catAx>
      <c:valAx>
        <c:axId val="175491729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>
                    <a:solidFill>
                      <a:schemeClr val="tx1"/>
                    </a:solidFill>
                  </a:rPr>
                  <a:t>mmol/gDCW</a:t>
                </a:r>
              </a:p>
            </c:rich>
          </c:tx>
          <c:layout>
            <c:manualLayout>
              <c:xMode val="edge"/>
              <c:yMode val="edge"/>
              <c:x val="1.3301187052394109E-2"/>
              <c:y val="0.3068686404593482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6189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24574228187856983"/>
          <c:y val="0.21367969736935241"/>
          <c:w val="0.14310707435502801"/>
          <c:h val="0.1308835157798698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>
                <a:solidFill>
                  <a:schemeClr val="tx1"/>
                </a:solidFill>
              </a:rPr>
              <a:t>Experimental</a:t>
            </a:r>
            <a:r>
              <a:rPr lang="en-US" sz="1800" b="1" i="0" baseline="0">
                <a:solidFill>
                  <a:schemeClr val="tx1"/>
                </a:solidFill>
              </a:rPr>
              <a:t> vs ZMRBA Predicted MEP Protein Concentrations</a:t>
            </a:r>
            <a:endParaRPr lang="en-US" sz="1800" b="1" i="0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34665321576899"/>
          <c:y val="0.16960461888872214"/>
          <c:w val="0.80284525790349415"/>
          <c:h val="0.6502377226358802"/>
        </c:manualLayout>
      </c:layout>
      <c:barChart>
        <c:barDir val="col"/>
        <c:grouping val="clustered"/>
        <c:varyColors val="0"/>
        <c:ser>
          <c:idx val="0"/>
          <c:order val="0"/>
          <c:tx>
            <c:v>ZMRBA</c:v>
          </c:tx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17"/>
              <c:pt idx="0">
                <c:v>DXS1</c:v>
              </c:pt>
              <c:pt idx="1">
                <c:v>DXS2</c:v>
              </c:pt>
              <c:pt idx="2">
                <c:v>DXR</c:v>
              </c:pt>
              <c:pt idx="3">
                <c:v>IspDF</c:v>
              </c:pt>
              <c:pt idx="4">
                <c:v>IspE</c:v>
              </c:pt>
              <c:pt idx="5">
                <c:v>IspG</c:v>
              </c:pt>
              <c:pt idx="6">
                <c:v>IspH</c:v>
              </c:pt>
              <c:pt idx="7">
                <c:v>FPR</c:v>
              </c:pt>
              <c:pt idx="8">
                <c:v>FLDA</c:v>
              </c:pt>
              <c:pt idx="9">
                <c:v>FDXA</c:v>
              </c:pt>
              <c:pt idx="10">
                <c:v>ZMO1808</c:v>
              </c:pt>
              <c:pt idx="11">
                <c:v>ZMO1809</c:v>
              </c:pt>
              <c:pt idx="12">
                <c:v>ZMO1810</c:v>
              </c:pt>
              <c:pt idx="13">
                <c:v>ZMO1811</c:v>
              </c:pt>
              <c:pt idx="14">
                <c:v>ZMO1812</c:v>
              </c:pt>
              <c:pt idx="15">
                <c:v>ZMO1813</c:v>
              </c:pt>
              <c:pt idx="16">
                <c:v>ZMO1814</c:v>
              </c:pt>
            </c:strLit>
          </c:cat>
          <c:val>
            <c:numLit>
              <c:formatCode>General</c:formatCode>
              <c:ptCount val="17"/>
              <c:pt idx="0">
                <c:v>1.8147855153203343E-7</c:v>
              </c:pt>
              <c:pt idx="1">
                <c:v>4.6616434540389972E-6</c:v>
              </c:pt>
              <c:pt idx="2">
                <c:v>7.179603470752089E-6</c:v>
              </c:pt>
              <c:pt idx="3">
                <c:v>7.4013346239554317E-6</c:v>
              </c:pt>
              <c:pt idx="4">
                <c:v>1.8038891671309193E-6</c:v>
              </c:pt>
              <c:pt idx="5">
                <c:v>1.4864996462395543E-5</c:v>
              </c:pt>
              <c:pt idx="6">
                <c:v>2.9348548454038997E-5</c:v>
              </c:pt>
              <c:pt idx="7">
                <c:v>4.7039436824512541E-6</c:v>
              </c:pt>
              <c:pt idx="8">
                <c:v>1.347635097493036E-6</c:v>
              </c:pt>
              <c:pt idx="9">
                <c:v>1.7887484807799442E-5</c:v>
              </c:pt>
              <c:pt idx="10">
                <c:v>4.277465181058496E-7</c:v>
              </c:pt>
              <c:pt idx="11">
                <c:v>3.6238718662952649E-7</c:v>
              </c:pt>
              <c:pt idx="12">
                <c:v>6.7652089136490251E-7</c:v>
              </c:pt>
              <c:pt idx="13">
                <c:v>3.0001949860724235E-7</c:v>
              </c:pt>
              <c:pt idx="14">
                <c:v>9.4552646239554316E-7</c:v>
              </c:pt>
              <c:pt idx="15">
                <c:v>4.7456545961002787E-7</c:v>
              </c:pt>
              <c:pt idx="16">
                <c:v>2.656966573816156E-6</c:v>
              </c:pt>
            </c:numLit>
          </c:val>
          <c:extLst>
            <c:ext xmlns:c16="http://schemas.microsoft.com/office/drawing/2014/chart" uri="{C3380CC4-5D6E-409C-BE32-E72D297353CC}">
              <c16:uniqueId val="{00000000-5F5A-274B-9A83-EA82DD271892}"/>
            </c:ext>
          </c:extLst>
        </c:ser>
        <c:ser>
          <c:idx val="1"/>
          <c:order val="1"/>
          <c:tx>
            <c:v>Experimental</c:v>
          </c:tx>
          <c:spPr>
            <a:solidFill>
              <a:schemeClr val="accent3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Lit>
                <c:formatCode>General</c:formatCode>
                <c:ptCount val="17"/>
                <c:pt idx="0">
                  <c:v>1.1978034383614539E-8</c:v>
                </c:pt>
                <c:pt idx="1">
                  <c:v>1.2916281996437508E-7</c:v>
                </c:pt>
                <c:pt idx="2">
                  <c:v>1.7642530523221079E-7</c:v>
                </c:pt>
                <c:pt idx="3">
                  <c:v>1.8013494312526211E-7</c:v>
                </c:pt>
                <c:pt idx="4">
                  <c:v>6.3728941493019642E-8</c:v>
                </c:pt>
                <c:pt idx="5">
                  <c:v>2.8246993037327416E-7</c:v>
                </c:pt>
                <c:pt idx="6">
                  <c:v>4.1030245570711589E-7</c:v>
                </c:pt>
                <c:pt idx="7">
                  <c:v>1.4757599744892745E-7</c:v>
                </c:pt>
                <c:pt idx="8">
                  <c:v>5.0257579251254371E-8</c:v>
                </c:pt>
                <c:pt idx="9">
                  <c:v>3.5542901618033006E-7</c:v>
                </c:pt>
                <c:pt idx="10">
                  <c:v>3.2875134496012725E-8</c:v>
                </c:pt>
                <c:pt idx="11">
                  <c:v>2.8715420923975363E-8</c:v>
                </c:pt>
                <c:pt idx="12">
                  <c:v>4.7536677836157935E-8</c:v>
                </c:pt>
                <c:pt idx="13">
                  <c:v>2.4587724505903801E-8</c:v>
                </c:pt>
                <c:pt idx="14">
                  <c:v>6.1889544519485208E-8</c:v>
                </c:pt>
                <c:pt idx="15">
                  <c:v>3.5764914442767053E-8</c:v>
                </c:pt>
                <c:pt idx="16">
                  <c:v>1.3456192077538062E-7</c:v>
                </c:pt>
              </c:numLit>
            </c:plus>
            <c:minus>
              <c:numLit>
                <c:formatCode>General</c:formatCode>
                <c:ptCount val="17"/>
                <c:pt idx="0">
                  <c:v>1.1978034383614539E-8</c:v>
                </c:pt>
                <c:pt idx="1">
                  <c:v>1.2916281996437508E-7</c:v>
                </c:pt>
                <c:pt idx="2">
                  <c:v>1.7642530523221079E-7</c:v>
                </c:pt>
                <c:pt idx="3">
                  <c:v>1.8013494312526211E-7</c:v>
                </c:pt>
                <c:pt idx="4">
                  <c:v>6.3728941493019642E-8</c:v>
                </c:pt>
                <c:pt idx="5">
                  <c:v>2.8246993037327416E-7</c:v>
                </c:pt>
                <c:pt idx="6">
                  <c:v>4.1030245570711589E-7</c:v>
                </c:pt>
                <c:pt idx="7">
                  <c:v>1.4757599744892745E-7</c:v>
                </c:pt>
                <c:pt idx="8">
                  <c:v>5.0257579251254371E-8</c:v>
                </c:pt>
                <c:pt idx="9">
                  <c:v>3.5542901618033006E-7</c:v>
                </c:pt>
                <c:pt idx="10">
                  <c:v>3.2875134496012725E-8</c:v>
                </c:pt>
                <c:pt idx="11">
                  <c:v>2.8715420923975363E-8</c:v>
                </c:pt>
                <c:pt idx="12">
                  <c:v>4.7536677836157935E-8</c:v>
                </c:pt>
                <c:pt idx="13">
                  <c:v>2.4587724505903801E-8</c:v>
                </c:pt>
                <c:pt idx="14">
                  <c:v>6.1889544519485208E-8</c:v>
                </c:pt>
                <c:pt idx="15">
                  <c:v>3.5764914442767053E-8</c:v>
                </c:pt>
                <c:pt idx="16">
                  <c:v>1.3456192077538062E-7</c:v>
                </c:pt>
              </c:numLit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Lit>
              <c:ptCount val="17"/>
              <c:pt idx="0">
                <c:v>DXS1</c:v>
              </c:pt>
              <c:pt idx="1">
                <c:v>DXS2</c:v>
              </c:pt>
              <c:pt idx="2">
                <c:v>DXR</c:v>
              </c:pt>
              <c:pt idx="3">
                <c:v>IspDF</c:v>
              </c:pt>
              <c:pt idx="4">
                <c:v>IspE</c:v>
              </c:pt>
              <c:pt idx="5">
                <c:v>IspG</c:v>
              </c:pt>
              <c:pt idx="6">
                <c:v>IspH</c:v>
              </c:pt>
              <c:pt idx="7">
                <c:v>FPR</c:v>
              </c:pt>
              <c:pt idx="8">
                <c:v>FLDA</c:v>
              </c:pt>
              <c:pt idx="9">
                <c:v>FDXA</c:v>
              </c:pt>
              <c:pt idx="10">
                <c:v>ZMO1808</c:v>
              </c:pt>
              <c:pt idx="11">
                <c:v>ZMO1809</c:v>
              </c:pt>
              <c:pt idx="12">
                <c:v>ZMO1810</c:v>
              </c:pt>
              <c:pt idx="13">
                <c:v>ZMO1811</c:v>
              </c:pt>
              <c:pt idx="14">
                <c:v>ZMO1812</c:v>
              </c:pt>
              <c:pt idx="15">
                <c:v>ZMO1813</c:v>
              </c:pt>
              <c:pt idx="16">
                <c:v>ZMO1814</c:v>
              </c:pt>
            </c:strLit>
          </c:cat>
          <c:val>
            <c:numLit>
              <c:formatCode>General</c:formatCode>
              <c:ptCount val="17"/>
              <c:pt idx="0">
                <c:v>1.8097435106453549E-7</c:v>
              </c:pt>
              <c:pt idx="1">
                <c:v>3.5759084072042163E-6</c:v>
              </c:pt>
              <c:pt idx="2">
                <c:v>5.5663918746149829E-6</c:v>
              </c:pt>
              <c:pt idx="3">
                <c:v>5.7383014376990713E-6</c:v>
              </c:pt>
              <c:pt idx="4">
                <c:v>1.3985666534284624E-6</c:v>
              </c:pt>
              <c:pt idx="5">
                <c:v>1.152492555789253E-5</c:v>
              </c:pt>
              <c:pt idx="6">
                <c:v>2.2754114813120263E-5</c:v>
              </c:pt>
              <c:pt idx="7">
                <c:v>4.3083497000719311E-6</c:v>
              </c:pt>
              <c:pt idx="8">
                <c:v>1.0337618847484315E-6</c:v>
              </c:pt>
              <c:pt idx="9">
                <c:v>1.7218636036498328E-5</c:v>
              </c:pt>
              <c:pt idx="10">
                <c:v>6.0936987870452012E-7</c:v>
              </c:pt>
              <c:pt idx="11">
                <c:v>5.1625677733136231E-7</c:v>
              </c:pt>
              <c:pt idx="12">
                <c:v>9.6377223810050456E-7</c:v>
              </c:pt>
              <c:pt idx="13">
                <c:v>4.274091368779023E-7</c:v>
              </c:pt>
              <c:pt idx="14">
                <c:v>1.3470003634069508E-6</c:v>
              </c:pt>
              <c:pt idx="15">
                <c:v>6.7606819783515206E-7</c:v>
              </c:pt>
              <c:pt idx="16">
                <c:v>3.7851235695841523E-6</c:v>
              </c:pt>
            </c:numLit>
          </c:val>
          <c:extLst>
            <c:ext xmlns:c16="http://schemas.microsoft.com/office/drawing/2014/chart" uri="{C3380CC4-5D6E-409C-BE32-E72D297353CC}">
              <c16:uniqueId val="{00000001-5F5A-274B-9A83-EA82DD2718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78459695"/>
        <c:axId val="1978461407"/>
      </c:barChart>
      <c:catAx>
        <c:axId val="19784596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400000" spcFirstLastPara="1" vertOverflow="ellipsis" wrap="square" anchor="ctr" anchorCtr="1"/>
          <a:lstStyle/>
          <a:p>
            <a:pPr>
              <a:defRPr sz="18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8461407"/>
        <c:crosses val="autoZero"/>
        <c:auto val="1"/>
        <c:lblAlgn val="ctr"/>
        <c:lblOffset val="100"/>
        <c:noMultiLvlLbl val="0"/>
      </c:catAx>
      <c:valAx>
        <c:axId val="197846140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>
                    <a:solidFill>
                      <a:schemeClr val="tx1"/>
                    </a:solidFill>
                  </a:rPr>
                  <a:t>mmol/gDCW</a:t>
                </a:r>
              </a:p>
            </c:rich>
          </c:tx>
          <c:layout>
            <c:manualLayout>
              <c:xMode val="edge"/>
              <c:yMode val="edge"/>
              <c:x val="2.9955385008293279E-3"/>
              <c:y val="0.3395420194040133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84596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4348634716227635"/>
          <c:y val="0.14702765062113715"/>
          <c:w val="0.16197114354153527"/>
          <c:h val="0.1395009003041911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t" anchorCtr="0"/>
          <a:lstStyle/>
          <a:p>
            <a:pPr>
              <a:defRPr sz="18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800" b="1">
                <a:solidFill>
                  <a:schemeClr val="tx1"/>
                </a:solidFill>
              </a:rPr>
              <a:t>Experimental vs ZMRBA</a:t>
            </a:r>
            <a:r>
              <a:rPr lang="en-US" sz="1800" b="1" baseline="0">
                <a:solidFill>
                  <a:schemeClr val="tx1"/>
                </a:solidFill>
              </a:rPr>
              <a:t> Predicted</a:t>
            </a:r>
            <a:r>
              <a:rPr lang="en-US" sz="1800" b="1">
                <a:solidFill>
                  <a:schemeClr val="tx1"/>
                </a:solidFill>
              </a:rPr>
              <a:t> Glycolytic</a:t>
            </a:r>
            <a:r>
              <a:rPr lang="en-US" sz="1800" b="1" baseline="0">
                <a:solidFill>
                  <a:schemeClr val="tx1"/>
                </a:solidFill>
              </a:rPr>
              <a:t> Protein Concentrations</a:t>
            </a:r>
            <a:endParaRPr lang="en-US" sz="18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t" anchorCtr="0"/>
        <a:lstStyle/>
        <a:p>
          <a:pPr>
            <a:defRPr sz="18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734829251421323"/>
          <c:y val="0.11886950522590868"/>
          <c:w val="0.8538370608077207"/>
          <c:h val="0.67492827026573987"/>
        </c:manualLayout>
      </c:layout>
      <c:barChart>
        <c:barDir val="col"/>
        <c:grouping val="clustered"/>
        <c:varyColors val="0"/>
        <c:ser>
          <c:idx val="0"/>
          <c:order val="0"/>
          <c:tx>
            <c:v>ZMRBA</c:v>
          </c:tx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14"/>
              <c:pt idx="0">
                <c:v>GLK</c:v>
              </c:pt>
              <c:pt idx="1">
                <c:v>G6PDH</c:v>
              </c:pt>
              <c:pt idx="2">
                <c:v>PGL</c:v>
              </c:pt>
              <c:pt idx="3">
                <c:v>EDD</c:v>
              </c:pt>
              <c:pt idx="4">
                <c:v>EDA</c:v>
              </c:pt>
              <c:pt idx="5">
                <c:v>PGI</c:v>
              </c:pt>
              <c:pt idx="6">
                <c:v>TPI</c:v>
              </c:pt>
              <c:pt idx="7">
                <c:v>GAPDH</c:v>
              </c:pt>
              <c:pt idx="8">
                <c:v>PGK</c:v>
              </c:pt>
              <c:pt idx="9">
                <c:v>PGM</c:v>
              </c:pt>
              <c:pt idx="10">
                <c:v>ENO</c:v>
              </c:pt>
              <c:pt idx="11">
                <c:v>PYK</c:v>
              </c:pt>
              <c:pt idx="12">
                <c:v>PDC</c:v>
              </c:pt>
              <c:pt idx="13">
                <c:v>ADHA/B</c:v>
              </c:pt>
            </c:strLit>
          </c:cat>
          <c:val>
            <c:numLit>
              <c:formatCode>General</c:formatCode>
              <c:ptCount val="14"/>
              <c:pt idx="0">
                <c:v>2.5259291966573819E-5</c:v>
              </c:pt>
              <c:pt idx="1">
                <c:v>4.660494351532034E-5</c:v>
              </c:pt>
              <c:pt idx="2">
                <c:v>7.6881135236768803E-6</c:v>
              </c:pt>
              <c:pt idx="3">
                <c:v>4.4019815743732593E-5</c:v>
              </c:pt>
              <c:pt idx="4">
                <c:v>5.0336056598885796E-5</c:v>
              </c:pt>
              <c:pt idx="5">
                <c:v>1.4652379155988857E-5</c:v>
              </c:pt>
              <c:pt idx="6">
                <c:v>2.1961948328690809E-6</c:v>
              </c:pt>
              <c:pt idx="7">
                <c:v>2.2035528596657384E-4</c:v>
              </c:pt>
              <c:pt idx="8">
                <c:v>6.2604908543175493E-5</c:v>
              </c:pt>
              <c:pt idx="9">
                <c:v>6.8324425487465185E-5</c:v>
              </c:pt>
              <c:pt idx="10">
                <c:v>1.1192119622562676E-4</c:v>
              </c:pt>
              <c:pt idx="11">
                <c:v>1.4815519613370473E-4</c:v>
              </c:pt>
              <c:pt idx="12">
                <c:v>1.9366654816991644E-4</c:v>
              </c:pt>
              <c:pt idx="13">
                <c:v>4.2866731649025069E-5</c:v>
              </c:pt>
            </c:numLit>
          </c:val>
          <c:extLst>
            <c:ext xmlns:c16="http://schemas.microsoft.com/office/drawing/2014/chart" uri="{C3380CC4-5D6E-409C-BE32-E72D297353CC}">
              <c16:uniqueId val="{00000000-F8DA-4E4A-98B0-50FBBA6E7F81}"/>
            </c:ext>
          </c:extLst>
        </c:ser>
        <c:ser>
          <c:idx val="1"/>
          <c:order val="1"/>
          <c:tx>
            <c:v>Experimental</c:v>
          </c:tx>
          <c:spPr>
            <a:solidFill>
              <a:schemeClr val="accent3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Lit>
                <c:formatCode>General</c:formatCode>
                <c:ptCount val="14"/>
                <c:pt idx="0">
                  <c:v>1.4395022274275469E-6</c:v>
                </c:pt>
                <c:pt idx="1">
                  <c:v>2.3507037397174724E-6</c:v>
                </c:pt>
                <c:pt idx="2">
                  <c:v>3.9789753763346777E-7</c:v>
                </c:pt>
                <c:pt idx="3">
                  <c:v>1.2956243276383541E-6</c:v>
                </c:pt>
                <c:pt idx="4">
                  <c:v>5.1853664646378207E-6</c:v>
                </c:pt>
                <c:pt idx="5">
                  <c:v>4.2566707209922493E-7</c:v>
                </c:pt>
                <c:pt idx="6">
                  <c:v>9.5219307494572958E-8</c:v>
                </c:pt>
                <c:pt idx="7">
                  <c:v>8.0624462797256548E-6</c:v>
                </c:pt>
                <c:pt idx="8">
                  <c:v>1.2700185121069086E-6</c:v>
                </c:pt>
                <c:pt idx="9">
                  <c:v>9.8903303303634984E-7</c:v>
                </c:pt>
                <c:pt idx="10">
                  <c:v>4.2471286134047097E-6</c:v>
                </c:pt>
                <c:pt idx="11">
                  <c:v>4.9882284513233268E-6</c:v>
                </c:pt>
                <c:pt idx="12">
                  <c:v>3.3452024769860749E-6</c:v>
                </c:pt>
                <c:pt idx="13">
                  <c:v>2.9354583660156249E-6</c:v>
                </c:pt>
              </c:numLit>
            </c:plus>
            <c:minus>
              <c:numLit>
                <c:formatCode>General</c:formatCode>
                <c:ptCount val="14"/>
                <c:pt idx="0">
                  <c:v>1.4395022274275469E-6</c:v>
                </c:pt>
                <c:pt idx="1">
                  <c:v>2.3507037397174724E-6</c:v>
                </c:pt>
                <c:pt idx="2">
                  <c:v>3.9789753763346777E-7</c:v>
                </c:pt>
                <c:pt idx="3">
                  <c:v>1.2956243276383541E-6</c:v>
                </c:pt>
                <c:pt idx="4">
                  <c:v>5.1853664646378207E-6</c:v>
                </c:pt>
                <c:pt idx="5">
                  <c:v>4.2566707209922493E-7</c:v>
                </c:pt>
                <c:pt idx="6">
                  <c:v>9.5219307494572958E-8</c:v>
                </c:pt>
                <c:pt idx="7">
                  <c:v>8.0624462797256548E-6</c:v>
                </c:pt>
                <c:pt idx="8">
                  <c:v>1.2700185121069086E-6</c:v>
                </c:pt>
                <c:pt idx="9">
                  <c:v>9.8903303303634984E-7</c:v>
                </c:pt>
                <c:pt idx="10">
                  <c:v>4.2471286134047097E-6</c:v>
                </c:pt>
                <c:pt idx="11">
                  <c:v>4.9882284513233268E-6</c:v>
                </c:pt>
                <c:pt idx="12">
                  <c:v>3.3452024769860749E-6</c:v>
                </c:pt>
                <c:pt idx="13">
                  <c:v>2.9354583660156249E-6</c:v>
                </c:pt>
              </c:numLit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Lit>
              <c:ptCount val="14"/>
              <c:pt idx="0">
                <c:v>GLK</c:v>
              </c:pt>
              <c:pt idx="1">
                <c:v>G6PDH</c:v>
              </c:pt>
              <c:pt idx="2">
                <c:v>PGL</c:v>
              </c:pt>
              <c:pt idx="3">
                <c:v>EDD</c:v>
              </c:pt>
              <c:pt idx="4">
                <c:v>EDA</c:v>
              </c:pt>
              <c:pt idx="5">
                <c:v>PGI</c:v>
              </c:pt>
              <c:pt idx="6">
                <c:v>TPI</c:v>
              </c:pt>
              <c:pt idx="7">
                <c:v>GAPDH</c:v>
              </c:pt>
              <c:pt idx="8">
                <c:v>PGK</c:v>
              </c:pt>
              <c:pt idx="9">
                <c:v>PGM</c:v>
              </c:pt>
              <c:pt idx="10">
                <c:v>ENO</c:v>
              </c:pt>
              <c:pt idx="11">
                <c:v>PYK</c:v>
              </c:pt>
              <c:pt idx="12">
                <c:v>PDC</c:v>
              </c:pt>
              <c:pt idx="13">
                <c:v>ADHA/B</c:v>
              </c:pt>
            </c:strLit>
          </c:cat>
          <c:val>
            <c:numLit>
              <c:formatCode>General</c:formatCode>
              <c:ptCount val="14"/>
              <c:pt idx="0">
                <c:v>2.5162826034217326E-5</c:v>
              </c:pt>
              <c:pt idx="1">
                <c:v>4.6433825013844236E-5</c:v>
              </c:pt>
              <c:pt idx="2">
                <c:v>7.6598852218989575E-6</c:v>
              </c:pt>
              <c:pt idx="3">
                <c:v>4.3858189007422885E-5</c:v>
              </c:pt>
              <c:pt idx="4">
                <c:v>5.0151238638631813E-5</c:v>
              </c:pt>
              <c:pt idx="5">
                <c:v>1.4312035420422808E-5</c:v>
              </c:pt>
              <c:pt idx="6">
                <c:v>2.2023123677521908E-6</c:v>
              </c:pt>
              <c:pt idx="7">
                <c:v>2.1983523171661431E-4</c:v>
              </c:pt>
              <c:pt idx="8">
                <c:v>6.2457155101361755E-5</c:v>
              </c:pt>
              <c:pt idx="9">
                <c:v>6.8253223418885916E-5</c:v>
              </c:pt>
              <c:pt idx="10">
                <c:v>1.1180456120706036E-4</c:v>
              </c:pt>
              <c:pt idx="11">
                <c:v>1.4876930250187686E-4</c:v>
              </c:pt>
              <c:pt idx="12">
                <c:v>1.9293498422922166E-4</c:v>
              </c:pt>
              <c:pt idx="13">
                <c:v>7.5507071431189882E-5</c:v>
              </c:pt>
            </c:numLit>
          </c:val>
          <c:extLst>
            <c:ext xmlns:c16="http://schemas.microsoft.com/office/drawing/2014/chart" uri="{C3380CC4-5D6E-409C-BE32-E72D297353CC}">
              <c16:uniqueId val="{00000001-F8DA-4E4A-98B0-50FBBA6E7F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66189680"/>
        <c:axId val="1754917295"/>
      </c:barChart>
      <c:catAx>
        <c:axId val="866189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4917295"/>
        <c:crosses val="autoZero"/>
        <c:auto val="1"/>
        <c:lblAlgn val="ctr"/>
        <c:lblOffset val="100"/>
        <c:noMultiLvlLbl val="0"/>
      </c:catAx>
      <c:valAx>
        <c:axId val="175491729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>
                    <a:solidFill>
                      <a:schemeClr val="tx1"/>
                    </a:solidFill>
                  </a:rPr>
                  <a:t>mmol/gDCW</a:t>
                </a:r>
              </a:p>
            </c:rich>
          </c:tx>
          <c:layout>
            <c:manualLayout>
              <c:xMode val="edge"/>
              <c:yMode val="edge"/>
              <c:x val="1.3301187052394109E-2"/>
              <c:y val="0.3068686404593482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6189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24574228187856983"/>
          <c:y val="0.21367969736935241"/>
          <c:w val="0.14310707435502801"/>
          <c:h val="0.1308835157798698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>
                <a:solidFill>
                  <a:schemeClr val="tx1"/>
                </a:solidFill>
              </a:rPr>
              <a:t>Experimental</a:t>
            </a:r>
            <a:r>
              <a:rPr lang="en-US" sz="1800" b="1" i="0" baseline="0">
                <a:solidFill>
                  <a:schemeClr val="tx1"/>
                </a:solidFill>
              </a:rPr>
              <a:t> vs ZMRBA Predicted MEP Protein Concentrations</a:t>
            </a:r>
            <a:endParaRPr lang="en-US" sz="1800" b="1" i="0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34665321576899"/>
          <c:y val="0.16960461888872214"/>
          <c:w val="0.80284525790349415"/>
          <c:h val="0.6502377226358802"/>
        </c:manualLayout>
      </c:layout>
      <c:barChart>
        <c:barDir val="col"/>
        <c:grouping val="clustered"/>
        <c:varyColors val="0"/>
        <c:ser>
          <c:idx val="0"/>
          <c:order val="0"/>
          <c:tx>
            <c:v>ZMRBA</c:v>
          </c:tx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16"/>
              <c:pt idx="0">
                <c:v>DXS1</c:v>
              </c:pt>
              <c:pt idx="1">
                <c:v>DXS2</c:v>
              </c:pt>
              <c:pt idx="2">
                <c:v>DXR</c:v>
              </c:pt>
              <c:pt idx="3">
                <c:v>ISPDF</c:v>
              </c:pt>
              <c:pt idx="4">
                <c:v>ISPE</c:v>
              </c:pt>
              <c:pt idx="5">
                <c:v>ISPG</c:v>
              </c:pt>
              <c:pt idx="6">
                <c:v>ISPH</c:v>
              </c:pt>
              <c:pt idx="7">
                <c:v>FPR</c:v>
              </c:pt>
              <c:pt idx="8">
                <c:v>FLDA</c:v>
              </c:pt>
              <c:pt idx="9">
                <c:v>FDXA</c:v>
              </c:pt>
              <c:pt idx="10">
                <c:v>RNF</c:v>
              </c:pt>
              <c:pt idx="11">
                <c:v>RNF</c:v>
              </c:pt>
              <c:pt idx="12">
                <c:v>RNF</c:v>
              </c:pt>
              <c:pt idx="13">
                <c:v>RNF</c:v>
              </c:pt>
              <c:pt idx="14">
                <c:v>RNF</c:v>
              </c:pt>
              <c:pt idx="15">
                <c:v>RNF</c:v>
              </c:pt>
            </c:strLit>
          </c:cat>
          <c:val>
            <c:numLit>
              <c:formatCode>General</c:formatCode>
              <c:ptCount val="17"/>
              <c:pt idx="0">
                <c:v>#N/A</c:v>
              </c:pt>
              <c:pt idx="1">
                <c:v>6.1662981671309186E-6</c:v>
              </c:pt>
              <c:pt idx="2">
                <c:v>9.1446547493036223E-6</c:v>
              </c:pt>
              <c:pt idx="3">
                <c:v>7.5761833983286917E-6</c:v>
              </c:pt>
              <c:pt idx="4">
                <c:v>2.297612075208914E-6</c:v>
              </c:pt>
              <c:pt idx="5">
                <c:v>1.8933533175487467E-5</c:v>
              </c:pt>
              <c:pt idx="6">
                <c:v>3.7381220860724234E-5</c:v>
              </c:pt>
              <c:pt idx="7">
                <c:v>5.6164623955431755E-6</c:v>
              </c:pt>
              <c:pt idx="8">
                <c:v>1.347635097493036E-6</c:v>
              </c:pt>
              <c:pt idx="9">
                <c:v>2.244657381615599E-5</c:v>
              </c:pt>
              <c:pt idx="10">
                <c:v>4.277465181058496E-7</c:v>
              </c:pt>
              <c:pt idx="11">
                <c:v>3.6238718662952649E-7</c:v>
              </c:pt>
              <c:pt idx="12">
                <c:v>6.7652089136490251E-7</c:v>
              </c:pt>
              <c:pt idx="13">
                <c:v>3.0001949860724235E-7</c:v>
              </c:pt>
              <c:pt idx="14">
                <c:v>9.4552646239554316E-7</c:v>
              </c:pt>
              <c:pt idx="15">
                <c:v>4.7456545961002787E-7</c:v>
              </c:pt>
              <c:pt idx="16">
                <c:v>2.656966573816156E-6</c:v>
              </c:pt>
            </c:numLit>
          </c:val>
          <c:extLst>
            <c:ext xmlns:c16="http://schemas.microsoft.com/office/drawing/2014/chart" uri="{C3380CC4-5D6E-409C-BE32-E72D297353CC}">
              <c16:uniqueId val="{00000000-04A2-0646-A5B1-5490AA38E04F}"/>
            </c:ext>
          </c:extLst>
        </c:ser>
        <c:ser>
          <c:idx val="1"/>
          <c:order val="1"/>
          <c:tx>
            <c:v>Experimental</c:v>
          </c:tx>
          <c:spPr>
            <a:solidFill>
              <a:schemeClr val="accent3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Lit>
                <c:formatCode>General</c:formatCode>
                <c:ptCount val="17"/>
                <c:pt idx="0">
                  <c:v>1.1978034383614539E-8</c:v>
                </c:pt>
                <c:pt idx="1">
                  <c:v>1.2916281996437508E-7</c:v>
                </c:pt>
                <c:pt idx="2">
                  <c:v>1.7642530523221079E-7</c:v>
                </c:pt>
                <c:pt idx="3">
                  <c:v>1.8013494312526211E-7</c:v>
                </c:pt>
                <c:pt idx="4">
                  <c:v>6.3728941493019642E-8</c:v>
                </c:pt>
                <c:pt idx="5">
                  <c:v>2.8246993037327416E-7</c:v>
                </c:pt>
                <c:pt idx="6">
                  <c:v>4.1030245570711589E-7</c:v>
                </c:pt>
                <c:pt idx="7">
                  <c:v>1.4757599744892745E-7</c:v>
                </c:pt>
                <c:pt idx="8">
                  <c:v>5.0257579251254371E-8</c:v>
                </c:pt>
                <c:pt idx="9">
                  <c:v>3.5542901618033006E-7</c:v>
                </c:pt>
                <c:pt idx="10">
                  <c:v>3.2875134496012725E-8</c:v>
                </c:pt>
                <c:pt idx="11">
                  <c:v>2.8715420923975363E-8</c:v>
                </c:pt>
                <c:pt idx="12">
                  <c:v>4.7536677836157935E-8</c:v>
                </c:pt>
                <c:pt idx="13">
                  <c:v>2.4587724505903801E-8</c:v>
                </c:pt>
                <c:pt idx="14">
                  <c:v>6.1889544519485208E-8</c:v>
                </c:pt>
                <c:pt idx="15">
                  <c:v>3.5764914442767053E-8</c:v>
                </c:pt>
                <c:pt idx="16">
                  <c:v>1.3456192077538062E-7</c:v>
                </c:pt>
              </c:numLit>
            </c:plus>
            <c:minus>
              <c:numLit>
                <c:formatCode>General</c:formatCode>
                <c:ptCount val="17"/>
                <c:pt idx="0">
                  <c:v>1.1978034383614539E-8</c:v>
                </c:pt>
                <c:pt idx="1">
                  <c:v>1.2916281996437508E-7</c:v>
                </c:pt>
                <c:pt idx="2">
                  <c:v>1.7642530523221079E-7</c:v>
                </c:pt>
                <c:pt idx="3">
                  <c:v>1.8013494312526211E-7</c:v>
                </c:pt>
                <c:pt idx="4">
                  <c:v>6.3728941493019642E-8</c:v>
                </c:pt>
                <c:pt idx="5">
                  <c:v>2.8246993037327416E-7</c:v>
                </c:pt>
                <c:pt idx="6">
                  <c:v>4.1030245570711589E-7</c:v>
                </c:pt>
                <c:pt idx="7">
                  <c:v>1.4757599744892745E-7</c:v>
                </c:pt>
                <c:pt idx="8">
                  <c:v>5.0257579251254371E-8</c:v>
                </c:pt>
                <c:pt idx="9">
                  <c:v>3.5542901618033006E-7</c:v>
                </c:pt>
                <c:pt idx="10">
                  <c:v>3.2875134496012725E-8</c:v>
                </c:pt>
                <c:pt idx="11">
                  <c:v>2.8715420923975363E-8</c:v>
                </c:pt>
                <c:pt idx="12">
                  <c:v>4.7536677836157935E-8</c:v>
                </c:pt>
                <c:pt idx="13">
                  <c:v>2.4587724505903801E-8</c:v>
                </c:pt>
                <c:pt idx="14">
                  <c:v>6.1889544519485208E-8</c:v>
                </c:pt>
                <c:pt idx="15">
                  <c:v>3.5764914442767053E-8</c:v>
                </c:pt>
                <c:pt idx="16">
                  <c:v>1.3456192077538062E-7</c:v>
                </c:pt>
              </c:numLit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Lit>
              <c:ptCount val="16"/>
              <c:pt idx="0">
                <c:v>DXS1</c:v>
              </c:pt>
              <c:pt idx="1">
                <c:v>DXS2</c:v>
              </c:pt>
              <c:pt idx="2">
                <c:v>DXR</c:v>
              </c:pt>
              <c:pt idx="3">
                <c:v>ISPDF</c:v>
              </c:pt>
              <c:pt idx="4">
                <c:v>ISPE</c:v>
              </c:pt>
              <c:pt idx="5">
                <c:v>ISPG</c:v>
              </c:pt>
              <c:pt idx="6">
                <c:v>ISPH</c:v>
              </c:pt>
              <c:pt idx="7">
                <c:v>FPR</c:v>
              </c:pt>
              <c:pt idx="8">
                <c:v>FLDA</c:v>
              </c:pt>
              <c:pt idx="9">
                <c:v>FDXA</c:v>
              </c:pt>
              <c:pt idx="10">
                <c:v>RNF</c:v>
              </c:pt>
              <c:pt idx="11">
                <c:v>RNF</c:v>
              </c:pt>
              <c:pt idx="12">
                <c:v>RNF</c:v>
              </c:pt>
              <c:pt idx="13">
                <c:v>RNF</c:v>
              </c:pt>
              <c:pt idx="14">
                <c:v>RNF</c:v>
              </c:pt>
              <c:pt idx="15">
                <c:v>RNF</c:v>
              </c:pt>
            </c:strLit>
          </c:cat>
          <c:val>
            <c:numLit>
              <c:formatCode>General</c:formatCode>
              <c:ptCount val="17"/>
              <c:pt idx="0">
                <c:v>1.8097435106453549E-7</c:v>
              </c:pt>
              <c:pt idx="1">
                <c:v>3.5759084072042163E-6</c:v>
              </c:pt>
              <c:pt idx="2">
                <c:v>5.5663918746149829E-6</c:v>
              </c:pt>
              <c:pt idx="3">
                <c:v>5.7383014376990713E-6</c:v>
              </c:pt>
              <c:pt idx="4">
                <c:v>1.3985666534284624E-6</c:v>
              </c:pt>
              <c:pt idx="5">
                <c:v>1.152492555789253E-5</c:v>
              </c:pt>
              <c:pt idx="6">
                <c:v>2.2754114813120263E-5</c:v>
              </c:pt>
              <c:pt idx="7">
                <c:v>4.3083497000719311E-6</c:v>
              </c:pt>
              <c:pt idx="8">
                <c:v>1.0337618847484315E-6</c:v>
              </c:pt>
              <c:pt idx="9">
                <c:v>1.7218636036498328E-5</c:v>
              </c:pt>
              <c:pt idx="10">
                <c:v>6.0936987870452012E-7</c:v>
              </c:pt>
              <c:pt idx="11">
                <c:v>5.1625677733136231E-7</c:v>
              </c:pt>
              <c:pt idx="12">
                <c:v>9.6377223810050456E-7</c:v>
              </c:pt>
              <c:pt idx="13">
                <c:v>4.274091368779023E-7</c:v>
              </c:pt>
              <c:pt idx="14">
                <c:v>1.3470003634069508E-6</c:v>
              </c:pt>
              <c:pt idx="15">
                <c:v>6.7606819783515206E-7</c:v>
              </c:pt>
              <c:pt idx="16">
                <c:v>3.7851235695841523E-6</c:v>
              </c:pt>
            </c:numLit>
          </c:val>
          <c:extLst>
            <c:ext xmlns:c16="http://schemas.microsoft.com/office/drawing/2014/chart" uri="{C3380CC4-5D6E-409C-BE32-E72D297353CC}">
              <c16:uniqueId val="{00000001-04A2-0646-A5B1-5490AA38E0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78459695"/>
        <c:axId val="1978461407"/>
      </c:barChart>
      <c:catAx>
        <c:axId val="19784596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400000" spcFirstLastPara="1" vertOverflow="ellipsis" wrap="square" anchor="ctr" anchorCtr="1"/>
          <a:lstStyle/>
          <a:p>
            <a:pPr>
              <a:defRPr sz="18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8461407"/>
        <c:crosses val="autoZero"/>
        <c:auto val="1"/>
        <c:lblAlgn val="ctr"/>
        <c:lblOffset val="100"/>
        <c:noMultiLvlLbl val="0"/>
      </c:catAx>
      <c:valAx>
        <c:axId val="197846140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>
                    <a:solidFill>
                      <a:schemeClr val="tx1"/>
                    </a:solidFill>
                  </a:rPr>
                  <a:t>mmol/gDCW</a:t>
                </a:r>
              </a:p>
            </c:rich>
          </c:tx>
          <c:layout>
            <c:manualLayout>
              <c:xMode val="edge"/>
              <c:yMode val="edge"/>
              <c:x val="2.9955385008293279E-3"/>
              <c:y val="0.3395420194040133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84596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4348634716227635"/>
          <c:y val="0.14702765062113715"/>
          <c:w val="0.16197114354153527"/>
          <c:h val="0.1395009003041911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t" anchorCtr="0"/>
          <a:lstStyle/>
          <a:p>
            <a:pPr>
              <a:defRPr sz="18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800" b="1">
                <a:solidFill>
                  <a:schemeClr val="tx1"/>
                </a:solidFill>
              </a:rPr>
              <a:t>Experimental vs ZMRBA</a:t>
            </a:r>
            <a:r>
              <a:rPr lang="en-US" sz="1800" b="1" baseline="0">
                <a:solidFill>
                  <a:schemeClr val="tx1"/>
                </a:solidFill>
              </a:rPr>
              <a:t> Predicted</a:t>
            </a:r>
            <a:r>
              <a:rPr lang="en-US" sz="1800" b="1">
                <a:solidFill>
                  <a:schemeClr val="tx1"/>
                </a:solidFill>
              </a:rPr>
              <a:t> Glycolytic</a:t>
            </a:r>
            <a:r>
              <a:rPr lang="en-US" sz="1800" b="1" baseline="0">
                <a:solidFill>
                  <a:schemeClr val="tx1"/>
                </a:solidFill>
              </a:rPr>
              <a:t> Protein Concentrations</a:t>
            </a:r>
            <a:endParaRPr lang="en-US" sz="18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t" anchorCtr="0"/>
        <a:lstStyle/>
        <a:p>
          <a:pPr>
            <a:defRPr sz="18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734829251421323"/>
          <c:y val="0.11886950522590868"/>
          <c:w val="0.8538370608077207"/>
          <c:h val="0.67492827026573987"/>
        </c:manualLayout>
      </c:layout>
      <c:barChart>
        <c:barDir val="col"/>
        <c:grouping val="clustered"/>
        <c:varyColors val="0"/>
        <c:ser>
          <c:idx val="0"/>
          <c:order val="0"/>
          <c:tx>
            <c:v>ZMRBA</c:v>
          </c:tx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14"/>
              <c:pt idx="0">
                <c:v>GLK</c:v>
              </c:pt>
              <c:pt idx="1">
                <c:v>G6PDH</c:v>
              </c:pt>
              <c:pt idx="2">
                <c:v>PGL</c:v>
              </c:pt>
              <c:pt idx="3">
                <c:v>EDD</c:v>
              </c:pt>
              <c:pt idx="4">
                <c:v>EDA</c:v>
              </c:pt>
              <c:pt idx="5">
                <c:v>PGI</c:v>
              </c:pt>
              <c:pt idx="6">
                <c:v>TPI</c:v>
              </c:pt>
              <c:pt idx="7">
                <c:v>GAPDH</c:v>
              </c:pt>
              <c:pt idx="8">
                <c:v>PGK</c:v>
              </c:pt>
              <c:pt idx="9">
                <c:v>PGM</c:v>
              </c:pt>
              <c:pt idx="10">
                <c:v>ENO</c:v>
              </c:pt>
              <c:pt idx="11">
                <c:v>PYK</c:v>
              </c:pt>
              <c:pt idx="12">
                <c:v>PDC</c:v>
              </c:pt>
              <c:pt idx="13">
                <c:v>ADHA/B</c:v>
              </c:pt>
            </c:strLit>
          </c:cat>
          <c:val>
            <c:numLit>
              <c:formatCode>General</c:formatCode>
              <c:ptCount val="14"/>
              <c:pt idx="0">
                <c:v>2.5259291966573819E-5</c:v>
              </c:pt>
              <c:pt idx="1">
                <c:v>4.6604951785515321E-5</c:v>
              </c:pt>
              <c:pt idx="2">
                <c:v>7.6881148885793883E-6</c:v>
              </c:pt>
              <c:pt idx="3">
                <c:v>4.4019823554317549E-5</c:v>
              </c:pt>
              <c:pt idx="4">
                <c:v>5.0336065529247915E-5</c:v>
              </c:pt>
              <c:pt idx="5">
                <c:v>1.4652041545961002E-5</c:v>
              </c:pt>
              <c:pt idx="6">
                <c:v>2.1961948328690809E-6</c:v>
              </c:pt>
              <c:pt idx="7">
                <c:v>2.2035528506406685E-4</c:v>
              </c:pt>
              <c:pt idx="8">
                <c:v>6.2604908286908087E-5</c:v>
              </c:pt>
              <c:pt idx="9">
                <c:v>6.8324415637883003E-5</c:v>
              </c:pt>
              <c:pt idx="10">
                <c:v>1.1192118009470753E-4</c:v>
              </c:pt>
              <c:pt idx="11">
                <c:v>1.4815516722284125E-4</c:v>
              </c:pt>
              <c:pt idx="12">
                <c:v>1.9366644613370474E-4</c:v>
              </c:pt>
              <c:pt idx="13">
                <c:v>3.9531167467966576E-5</c:v>
              </c:pt>
            </c:numLit>
          </c:val>
          <c:extLst>
            <c:ext xmlns:c16="http://schemas.microsoft.com/office/drawing/2014/chart" uri="{C3380CC4-5D6E-409C-BE32-E72D297353CC}">
              <c16:uniqueId val="{00000000-FD5A-6E4C-B3D4-E0AC95C2FB02}"/>
            </c:ext>
          </c:extLst>
        </c:ser>
        <c:ser>
          <c:idx val="1"/>
          <c:order val="1"/>
          <c:tx>
            <c:v>Experimental</c:v>
          </c:tx>
          <c:spPr>
            <a:solidFill>
              <a:schemeClr val="accent3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Lit>
                <c:formatCode>General</c:formatCode>
                <c:ptCount val="14"/>
                <c:pt idx="0">
                  <c:v>1.4395022274275469E-6</c:v>
                </c:pt>
                <c:pt idx="1">
                  <c:v>2.3507037397174724E-6</c:v>
                </c:pt>
                <c:pt idx="2">
                  <c:v>3.9789753763346777E-7</c:v>
                </c:pt>
                <c:pt idx="3">
                  <c:v>1.2956243276383541E-6</c:v>
                </c:pt>
                <c:pt idx="4">
                  <c:v>5.1853664646378207E-6</c:v>
                </c:pt>
                <c:pt idx="5">
                  <c:v>4.2566707209922493E-7</c:v>
                </c:pt>
                <c:pt idx="6">
                  <c:v>9.5219307494572958E-8</c:v>
                </c:pt>
                <c:pt idx="7">
                  <c:v>8.0624462797256548E-6</c:v>
                </c:pt>
                <c:pt idx="8">
                  <c:v>1.2700185121069086E-6</c:v>
                </c:pt>
                <c:pt idx="9">
                  <c:v>9.8903303303634984E-7</c:v>
                </c:pt>
                <c:pt idx="10">
                  <c:v>4.2471286134047097E-6</c:v>
                </c:pt>
                <c:pt idx="11">
                  <c:v>4.9882284513233268E-6</c:v>
                </c:pt>
                <c:pt idx="12">
                  <c:v>3.3452024769860749E-6</c:v>
                </c:pt>
                <c:pt idx="13">
                  <c:v>2.9354583660156249E-6</c:v>
                </c:pt>
              </c:numLit>
            </c:plus>
            <c:minus>
              <c:numLit>
                <c:formatCode>General</c:formatCode>
                <c:ptCount val="14"/>
                <c:pt idx="0">
                  <c:v>1.4395022274275469E-6</c:v>
                </c:pt>
                <c:pt idx="1">
                  <c:v>2.3507037397174724E-6</c:v>
                </c:pt>
                <c:pt idx="2">
                  <c:v>3.9789753763346777E-7</c:v>
                </c:pt>
                <c:pt idx="3">
                  <c:v>1.2956243276383541E-6</c:v>
                </c:pt>
                <c:pt idx="4">
                  <c:v>5.1853664646378207E-6</c:v>
                </c:pt>
                <c:pt idx="5">
                  <c:v>4.2566707209922493E-7</c:v>
                </c:pt>
                <c:pt idx="6">
                  <c:v>9.5219307494572958E-8</c:v>
                </c:pt>
                <c:pt idx="7">
                  <c:v>8.0624462797256548E-6</c:v>
                </c:pt>
                <c:pt idx="8">
                  <c:v>1.2700185121069086E-6</c:v>
                </c:pt>
                <c:pt idx="9">
                  <c:v>9.8903303303634984E-7</c:v>
                </c:pt>
                <c:pt idx="10">
                  <c:v>4.2471286134047097E-6</c:v>
                </c:pt>
                <c:pt idx="11">
                  <c:v>4.9882284513233268E-6</c:v>
                </c:pt>
                <c:pt idx="12">
                  <c:v>3.3452024769860749E-6</c:v>
                </c:pt>
                <c:pt idx="13">
                  <c:v>2.9354583660156249E-6</c:v>
                </c:pt>
              </c:numLit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Lit>
              <c:ptCount val="14"/>
              <c:pt idx="0">
                <c:v>GLK</c:v>
              </c:pt>
              <c:pt idx="1">
                <c:v>G6PDH</c:v>
              </c:pt>
              <c:pt idx="2">
                <c:v>PGL</c:v>
              </c:pt>
              <c:pt idx="3">
                <c:v>EDD</c:v>
              </c:pt>
              <c:pt idx="4">
                <c:v>EDA</c:v>
              </c:pt>
              <c:pt idx="5">
                <c:v>PGI</c:v>
              </c:pt>
              <c:pt idx="6">
                <c:v>TPI</c:v>
              </c:pt>
              <c:pt idx="7">
                <c:v>GAPDH</c:v>
              </c:pt>
              <c:pt idx="8">
                <c:v>PGK</c:v>
              </c:pt>
              <c:pt idx="9">
                <c:v>PGM</c:v>
              </c:pt>
              <c:pt idx="10">
                <c:v>ENO</c:v>
              </c:pt>
              <c:pt idx="11">
                <c:v>PYK</c:v>
              </c:pt>
              <c:pt idx="12">
                <c:v>PDC</c:v>
              </c:pt>
              <c:pt idx="13">
                <c:v>ADHA/B</c:v>
              </c:pt>
            </c:strLit>
          </c:cat>
          <c:val>
            <c:numLit>
              <c:formatCode>General</c:formatCode>
              <c:ptCount val="14"/>
              <c:pt idx="0">
                <c:v>2.5162826034217326E-5</c:v>
              </c:pt>
              <c:pt idx="1">
                <c:v>4.6433825013844236E-5</c:v>
              </c:pt>
              <c:pt idx="2">
                <c:v>7.6598852218989575E-6</c:v>
              </c:pt>
              <c:pt idx="3">
                <c:v>4.3858189007422885E-5</c:v>
              </c:pt>
              <c:pt idx="4">
                <c:v>5.0151238638631813E-5</c:v>
              </c:pt>
              <c:pt idx="5">
                <c:v>1.4312035420422808E-5</c:v>
              </c:pt>
              <c:pt idx="6">
                <c:v>2.2023123677521908E-6</c:v>
              </c:pt>
              <c:pt idx="7">
                <c:v>2.1983523171661431E-4</c:v>
              </c:pt>
              <c:pt idx="8">
                <c:v>6.2457155101361755E-5</c:v>
              </c:pt>
              <c:pt idx="9">
                <c:v>6.8253223418885916E-5</c:v>
              </c:pt>
              <c:pt idx="10">
                <c:v>1.1180456120706036E-4</c:v>
              </c:pt>
              <c:pt idx="11">
                <c:v>1.4876930250187686E-4</c:v>
              </c:pt>
              <c:pt idx="12">
                <c:v>1.9293498422922166E-4</c:v>
              </c:pt>
              <c:pt idx="13">
                <c:v>7.5507071431189882E-5</c:v>
              </c:pt>
            </c:numLit>
          </c:val>
          <c:extLst>
            <c:ext xmlns:c16="http://schemas.microsoft.com/office/drawing/2014/chart" uri="{C3380CC4-5D6E-409C-BE32-E72D297353CC}">
              <c16:uniqueId val="{00000001-FD5A-6E4C-B3D4-E0AC95C2FB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66189680"/>
        <c:axId val="1754917295"/>
      </c:barChart>
      <c:catAx>
        <c:axId val="866189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4917295"/>
        <c:crosses val="autoZero"/>
        <c:auto val="1"/>
        <c:lblAlgn val="ctr"/>
        <c:lblOffset val="100"/>
        <c:noMultiLvlLbl val="0"/>
      </c:catAx>
      <c:valAx>
        <c:axId val="175491729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>
                    <a:solidFill>
                      <a:schemeClr val="tx1"/>
                    </a:solidFill>
                  </a:rPr>
                  <a:t>mmol/gDCW</a:t>
                </a:r>
              </a:p>
            </c:rich>
          </c:tx>
          <c:layout>
            <c:manualLayout>
              <c:xMode val="edge"/>
              <c:yMode val="edge"/>
              <c:x val="1.3301187052394109E-2"/>
              <c:y val="0.3068686404593482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6189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24574228187856983"/>
          <c:y val="0.21367969736935241"/>
          <c:w val="0.14310707435502801"/>
          <c:h val="0.1308835157798698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>
                <a:solidFill>
                  <a:schemeClr val="tx1"/>
                </a:solidFill>
              </a:rPr>
              <a:t>Experimental</a:t>
            </a:r>
            <a:r>
              <a:rPr lang="en-US" sz="1800" b="1" i="0" baseline="0">
                <a:solidFill>
                  <a:schemeClr val="tx1"/>
                </a:solidFill>
              </a:rPr>
              <a:t> vs ZMRBA Predicted MEP Protein Concentrations</a:t>
            </a:r>
            <a:endParaRPr lang="en-US" sz="1800" b="1" i="0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34665321576899"/>
          <c:y val="0.16960461888872214"/>
          <c:w val="0.80284525790349415"/>
          <c:h val="0.6502377226358802"/>
        </c:manualLayout>
      </c:layout>
      <c:barChart>
        <c:barDir val="col"/>
        <c:grouping val="clustered"/>
        <c:varyColors val="0"/>
        <c:ser>
          <c:idx val="0"/>
          <c:order val="0"/>
          <c:tx>
            <c:v>ZMRBA</c:v>
          </c:tx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16"/>
              <c:pt idx="0">
                <c:v>DXS1</c:v>
              </c:pt>
              <c:pt idx="1">
                <c:v>DXS2</c:v>
              </c:pt>
              <c:pt idx="2">
                <c:v>DXR</c:v>
              </c:pt>
              <c:pt idx="3">
                <c:v>ISPDF</c:v>
              </c:pt>
              <c:pt idx="4">
                <c:v>ISPE</c:v>
              </c:pt>
              <c:pt idx="5">
                <c:v>ISPG</c:v>
              </c:pt>
              <c:pt idx="6">
                <c:v>ISPH</c:v>
              </c:pt>
              <c:pt idx="7">
                <c:v>FPR</c:v>
              </c:pt>
              <c:pt idx="8">
                <c:v>FLDA</c:v>
              </c:pt>
              <c:pt idx="9">
                <c:v>FDXA</c:v>
              </c:pt>
              <c:pt idx="10">
                <c:v>RNF</c:v>
              </c:pt>
              <c:pt idx="11">
                <c:v>RNF</c:v>
              </c:pt>
              <c:pt idx="12">
                <c:v>RNF</c:v>
              </c:pt>
              <c:pt idx="13">
                <c:v>RNF</c:v>
              </c:pt>
              <c:pt idx="14">
                <c:v>RNF</c:v>
              </c:pt>
              <c:pt idx="15">
                <c:v>RNF</c:v>
              </c:pt>
            </c:strLit>
          </c:cat>
          <c:val>
            <c:numLit>
              <c:formatCode>General</c:formatCode>
              <c:ptCount val="17"/>
              <c:pt idx="0">
                <c:v>#N/A</c:v>
              </c:pt>
              <c:pt idx="1">
                <c:v>6.1672777493036214E-6</c:v>
              </c:pt>
              <c:pt idx="2">
                <c:v>9.1461095292479119E-6</c:v>
              </c:pt>
              <c:pt idx="3">
                <c:v>9.4285732395543185E-6</c:v>
              </c:pt>
              <c:pt idx="4">
                <c:v>2.2979775933147632E-6</c:v>
              </c:pt>
              <c:pt idx="5">
                <c:v>1.8936545225626742E-5</c:v>
              </c:pt>
              <c:pt idx="6">
                <c:v>3.7387167668523677E-5</c:v>
              </c:pt>
              <c:pt idx="7">
                <c:v>5.6164623955431755E-6</c:v>
              </c:pt>
              <c:pt idx="8">
                <c:v>1.347635097493036E-6</c:v>
              </c:pt>
              <c:pt idx="9">
                <c:v>2.244657381615599E-5</c:v>
              </c:pt>
              <c:pt idx="10">
                <c:v>4.277465181058496E-7</c:v>
              </c:pt>
              <c:pt idx="11">
                <c:v>3.6238718662952649E-7</c:v>
              </c:pt>
              <c:pt idx="12">
                <c:v>6.7652089136490251E-7</c:v>
              </c:pt>
              <c:pt idx="13">
                <c:v>3.0001949860724235E-7</c:v>
              </c:pt>
              <c:pt idx="14">
                <c:v>9.4552646239554316E-7</c:v>
              </c:pt>
              <c:pt idx="15">
                <c:v>4.7456545961002787E-7</c:v>
              </c:pt>
              <c:pt idx="16">
                <c:v>2.656966573816156E-6</c:v>
              </c:pt>
            </c:numLit>
          </c:val>
          <c:extLst>
            <c:ext xmlns:c16="http://schemas.microsoft.com/office/drawing/2014/chart" uri="{C3380CC4-5D6E-409C-BE32-E72D297353CC}">
              <c16:uniqueId val="{00000000-FAFF-9B49-90AA-9A0772855B9C}"/>
            </c:ext>
          </c:extLst>
        </c:ser>
        <c:ser>
          <c:idx val="1"/>
          <c:order val="1"/>
          <c:tx>
            <c:v>Experimental</c:v>
          </c:tx>
          <c:spPr>
            <a:solidFill>
              <a:schemeClr val="accent3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Lit>
                <c:formatCode>General</c:formatCode>
                <c:ptCount val="17"/>
                <c:pt idx="0">
                  <c:v>1.1978034383614539E-8</c:v>
                </c:pt>
                <c:pt idx="1">
                  <c:v>1.2916281996437508E-7</c:v>
                </c:pt>
                <c:pt idx="2">
                  <c:v>1.7642530523221079E-7</c:v>
                </c:pt>
                <c:pt idx="3">
                  <c:v>1.8013494312526211E-7</c:v>
                </c:pt>
                <c:pt idx="4">
                  <c:v>6.3728941493019642E-8</c:v>
                </c:pt>
                <c:pt idx="5">
                  <c:v>2.8246993037327416E-7</c:v>
                </c:pt>
                <c:pt idx="6">
                  <c:v>4.1030245570711589E-7</c:v>
                </c:pt>
                <c:pt idx="7">
                  <c:v>1.4757599744892745E-7</c:v>
                </c:pt>
                <c:pt idx="8">
                  <c:v>5.0257579251254371E-8</c:v>
                </c:pt>
                <c:pt idx="9">
                  <c:v>3.5542901618033006E-7</c:v>
                </c:pt>
                <c:pt idx="10">
                  <c:v>3.2875134496012725E-8</c:v>
                </c:pt>
                <c:pt idx="11">
                  <c:v>2.8715420923975363E-8</c:v>
                </c:pt>
                <c:pt idx="12">
                  <c:v>4.7536677836157935E-8</c:v>
                </c:pt>
                <c:pt idx="13">
                  <c:v>2.4587724505903801E-8</c:v>
                </c:pt>
                <c:pt idx="14">
                  <c:v>6.1889544519485208E-8</c:v>
                </c:pt>
                <c:pt idx="15">
                  <c:v>3.5764914442767053E-8</c:v>
                </c:pt>
                <c:pt idx="16">
                  <c:v>1.3456192077538062E-7</c:v>
                </c:pt>
              </c:numLit>
            </c:plus>
            <c:minus>
              <c:numLit>
                <c:formatCode>General</c:formatCode>
                <c:ptCount val="17"/>
                <c:pt idx="0">
                  <c:v>1.1978034383614539E-8</c:v>
                </c:pt>
                <c:pt idx="1">
                  <c:v>1.2916281996437508E-7</c:v>
                </c:pt>
                <c:pt idx="2">
                  <c:v>1.7642530523221079E-7</c:v>
                </c:pt>
                <c:pt idx="3">
                  <c:v>1.8013494312526211E-7</c:v>
                </c:pt>
                <c:pt idx="4">
                  <c:v>6.3728941493019642E-8</c:v>
                </c:pt>
                <c:pt idx="5">
                  <c:v>2.8246993037327416E-7</c:v>
                </c:pt>
                <c:pt idx="6">
                  <c:v>4.1030245570711589E-7</c:v>
                </c:pt>
                <c:pt idx="7">
                  <c:v>1.4757599744892745E-7</c:v>
                </c:pt>
                <c:pt idx="8">
                  <c:v>5.0257579251254371E-8</c:v>
                </c:pt>
                <c:pt idx="9">
                  <c:v>3.5542901618033006E-7</c:v>
                </c:pt>
                <c:pt idx="10">
                  <c:v>3.2875134496012725E-8</c:v>
                </c:pt>
                <c:pt idx="11">
                  <c:v>2.8715420923975363E-8</c:v>
                </c:pt>
                <c:pt idx="12">
                  <c:v>4.7536677836157935E-8</c:v>
                </c:pt>
                <c:pt idx="13">
                  <c:v>2.4587724505903801E-8</c:v>
                </c:pt>
                <c:pt idx="14">
                  <c:v>6.1889544519485208E-8</c:v>
                </c:pt>
                <c:pt idx="15">
                  <c:v>3.5764914442767053E-8</c:v>
                </c:pt>
                <c:pt idx="16">
                  <c:v>1.3456192077538062E-7</c:v>
                </c:pt>
              </c:numLit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Lit>
              <c:ptCount val="16"/>
              <c:pt idx="0">
                <c:v>DXS1</c:v>
              </c:pt>
              <c:pt idx="1">
                <c:v>DXS2</c:v>
              </c:pt>
              <c:pt idx="2">
                <c:v>DXR</c:v>
              </c:pt>
              <c:pt idx="3">
                <c:v>ISPDF</c:v>
              </c:pt>
              <c:pt idx="4">
                <c:v>ISPE</c:v>
              </c:pt>
              <c:pt idx="5">
                <c:v>ISPG</c:v>
              </c:pt>
              <c:pt idx="6">
                <c:v>ISPH</c:v>
              </c:pt>
              <c:pt idx="7">
                <c:v>FPR</c:v>
              </c:pt>
              <c:pt idx="8">
                <c:v>FLDA</c:v>
              </c:pt>
              <c:pt idx="9">
                <c:v>FDXA</c:v>
              </c:pt>
              <c:pt idx="10">
                <c:v>RNF</c:v>
              </c:pt>
              <c:pt idx="11">
                <c:v>RNF</c:v>
              </c:pt>
              <c:pt idx="12">
                <c:v>RNF</c:v>
              </c:pt>
              <c:pt idx="13">
                <c:v>RNF</c:v>
              </c:pt>
              <c:pt idx="14">
                <c:v>RNF</c:v>
              </c:pt>
              <c:pt idx="15">
                <c:v>RNF</c:v>
              </c:pt>
            </c:strLit>
          </c:cat>
          <c:val>
            <c:numLit>
              <c:formatCode>General</c:formatCode>
              <c:ptCount val="17"/>
              <c:pt idx="0">
                <c:v>1.8097435106453549E-7</c:v>
              </c:pt>
              <c:pt idx="1">
                <c:v>3.5759084072042163E-6</c:v>
              </c:pt>
              <c:pt idx="2">
                <c:v>5.5663918746149829E-6</c:v>
              </c:pt>
              <c:pt idx="3">
                <c:v>5.7383014376990713E-6</c:v>
              </c:pt>
              <c:pt idx="4">
                <c:v>1.3985666534284624E-6</c:v>
              </c:pt>
              <c:pt idx="5">
                <c:v>1.152492555789253E-5</c:v>
              </c:pt>
              <c:pt idx="6">
                <c:v>2.2754114813120263E-5</c:v>
              </c:pt>
              <c:pt idx="7">
                <c:v>4.3083497000719311E-6</c:v>
              </c:pt>
              <c:pt idx="8">
                <c:v>1.0337618847484315E-6</c:v>
              </c:pt>
              <c:pt idx="9">
                <c:v>1.7218636036498328E-5</c:v>
              </c:pt>
              <c:pt idx="10">
                <c:v>6.0936987870452012E-7</c:v>
              </c:pt>
              <c:pt idx="11">
                <c:v>5.1625677733136231E-7</c:v>
              </c:pt>
              <c:pt idx="12">
                <c:v>9.6377223810050456E-7</c:v>
              </c:pt>
              <c:pt idx="13">
                <c:v>4.274091368779023E-7</c:v>
              </c:pt>
              <c:pt idx="14">
                <c:v>1.3470003634069508E-6</c:v>
              </c:pt>
              <c:pt idx="15">
                <c:v>6.7606819783515206E-7</c:v>
              </c:pt>
              <c:pt idx="16">
                <c:v>3.7851235695841523E-6</c:v>
              </c:pt>
            </c:numLit>
          </c:val>
          <c:extLst>
            <c:ext xmlns:c16="http://schemas.microsoft.com/office/drawing/2014/chart" uri="{C3380CC4-5D6E-409C-BE32-E72D297353CC}">
              <c16:uniqueId val="{00000001-FAFF-9B49-90AA-9A0772855B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78459695"/>
        <c:axId val="1978461407"/>
      </c:barChart>
      <c:catAx>
        <c:axId val="19784596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400000" spcFirstLastPara="1" vertOverflow="ellipsis" wrap="square" anchor="ctr" anchorCtr="1"/>
          <a:lstStyle/>
          <a:p>
            <a:pPr>
              <a:defRPr sz="18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8461407"/>
        <c:crosses val="autoZero"/>
        <c:auto val="1"/>
        <c:lblAlgn val="ctr"/>
        <c:lblOffset val="100"/>
        <c:noMultiLvlLbl val="0"/>
      </c:catAx>
      <c:valAx>
        <c:axId val="197846140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>
                    <a:solidFill>
                      <a:schemeClr val="tx1"/>
                    </a:solidFill>
                  </a:rPr>
                  <a:t>mmol/gDCW</a:t>
                </a:r>
              </a:p>
            </c:rich>
          </c:tx>
          <c:layout>
            <c:manualLayout>
              <c:xMode val="edge"/>
              <c:yMode val="edge"/>
              <c:x val="2.9955385008293279E-3"/>
              <c:y val="0.3395420194040133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84596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4348634716227635"/>
          <c:y val="0.14702765062113715"/>
          <c:w val="0.16197114354153527"/>
          <c:h val="0.1395009003041911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t" anchorCtr="0"/>
          <a:lstStyle/>
          <a:p>
            <a:pPr>
              <a:defRPr sz="18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800" b="1">
                <a:solidFill>
                  <a:schemeClr val="tx1"/>
                </a:solidFill>
              </a:rPr>
              <a:t>Experimental vs ZMRBA</a:t>
            </a:r>
            <a:r>
              <a:rPr lang="en-US" sz="1800" b="1" baseline="0">
                <a:solidFill>
                  <a:schemeClr val="tx1"/>
                </a:solidFill>
              </a:rPr>
              <a:t> Predicted</a:t>
            </a:r>
            <a:r>
              <a:rPr lang="en-US" sz="1800" b="1">
                <a:solidFill>
                  <a:schemeClr val="tx1"/>
                </a:solidFill>
              </a:rPr>
              <a:t> Glycolytic</a:t>
            </a:r>
            <a:r>
              <a:rPr lang="en-US" sz="1800" b="1" baseline="0">
                <a:solidFill>
                  <a:schemeClr val="tx1"/>
                </a:solidFill>
              </a:rPr>
              <a:t> Protein Concentrations</a:t>
            </a:r>
            <a:endParaRPr lang="en-US" sz="18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t" anchorCtr="0"/>
        <a:lstStyle/>
        <a:p>
          <a:pPr>
            <a:defRPr sz="18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734829251421323"/>
          <c:y val="0.11886950522590868"/>
          <c:w val="0.8538370608077207"/>
          <c:h val="0.67492827026573987"/>
        </c:manualLayout>
      </c:layout>
      <c:barChart>
        <c:barDir val="col"/>
        <c:grouping val="clustered"/>
        <c:varyColors val="0"/>
        <c:ser>
          <c:idx val="0"/>
          <c:order val="0"/>
          <c:tx>
            <c:v>ZMRBA</c:v>
          </c:tx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14"/>
              <c:pt idx="0">
                <c:v>GLK</c:v>
              </c:pt>
              <c:pt idx="1">
                <c:v>G6PDH</c:v>
              </c:pt>
              <c:pt idx="2">
                <c:v>PGL</c:v>
              </c:pt>
              <c:pt idx="3">
                <c:v>EDD</c:v>
              </c:pt>
              <c:pt idx="4">
                <c:v>EDA</c:v>
              </c:pt>
              <c:pt idx="5">
                <c:v>PGI</c:v>
              </c:pt>
              <c:pt idx="6">
                <c:v>TPI</c:v>
              </c:pt>
              <c:pt idx="7">
                <c:v>GAPDH</c:v>
              </c:pt>
              <c:pt idx="8">
                <c:v>PGK</c:v>
              </c:pt>
              <c:pt idx="9">
                <c:v>PGM</c:v>
              </c:pt>
              <c:pt idx="10">
                <c:v>ENO</c:v>
              </c:pt>
              <c:pt idx="11">
                <c:v>PYK</c:v>
              </c:pt>
              <c:pt idx="12">
                <c:v>PDC</c:v>
              </c:pt>
              <c:pt idx="13">
                <c:v>ADHA/B</c:v>
              </c:pt>
            </c:strLit>
          </c:cat>
          <c:val>
            <c:numLit>
              <c:formatCode>General</c:formatCode>
              <c:ptCount val="14"/>
              <c:pt idx="0">
                <c:v>2.5259291966573819E-5</c:v>
              </c:pt>
              <c:pt idx="1">
                <c:v>4.6604955178272987E-5</c:v>
              </c:pt>
              <c:pt idx="2">
                <c:v>7.6881154484679665E-6</c:v>
              </c:pt>
              <c:pt idx="3">
                <c:v>4.4019826760445681E-5</c:v>
              </c:pt>
              <c:pt idx="4">
                <c:v>5.0336069194986072E-5</c:v>
              </c:pt>
              <c:pt idx="5">
                <c:v>1.465190302506964E-5</c:v>
              </c:pt>
              <c:pt idx="6">
                <c:v>2.1961948328690809E-6</c:v>
              </c:pt>
              <c:pt idx="7">
                <c:v>2.2033086004735378E-4</c:v>
              </c:pt>
              <c:pt idx="8">
                <c:v>6.2597968891364909E-5</c:v>
              </c:pt>
              <c:pt idx="9">
                <c:v>6.8314281075208922E-5</c:v>
              </c:pt>
              <c:pt idx="10">
                <c:v>1.1190457882172703E-4</c:v>
              </c:pt>
              <c:pt idx="11">
                <c:v>1.4813759247353761E-4</c:v>
              </c:pt>
              <c:pt idx="12">
                <c:v>1.9364364950417829E-4</c:v>
              </c:pt>
              <c:pt idx="13">
                <c:v>4.2860858231197778E-5</c:v>
              </c:pt>
            </c:numLit>
          </c:val>
          <c:extLst>
            <c:ext xmlns:c16="http://schemas.microsoft.com/office/drawing/2014/chart" uri="{C3380CC4-5D6E-409C-BE32-E72D297353CC}">
              <c16:uniqueId val="{00000000-F7D8-2447-897D-11CD654DA3AD}"/>
            </c:ext>
          </c:extLst>
        </c:ser>
        <c:ser>
          <c:idx val="1"/>
          <c:order val="1"/>
          <c:tx>
            <c:v>Experimental</c:v>
          </c:tx>
          <c:spPr>
            <a:solidFill>
              <a:schemeClr val="accent3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Lit>
                <c:formatCode>General</c:formatCode>
                <c:ptCount val="14"/>
                <c:pt idx="0">
                  <c:v>1.4395022274275469E-6</c:v>
                </c:pt>
                <c:pt idx="1">
                  <c:v>2.3507037397174724E-6</c:v>
                </c:pt>
                <c:pt idx="2">
                  <c:v>3.9789753763346777E-7</c:v>
                </c:pt>
                <c:pt idx="3">
                  <c:v>1.2956243276383541E-6</c:v>
                </c:pt>
                <c:pt idx="4">
                  <c:v>5.1853664646378207E-6</c:v>
                </c:pt>
                <c:pt idx="5">
                  <c:v>4.2566707209922493E-7</c:v>
                </c:pt>
                <c:pt idx="6">
                  <c:v>9.5219307494572958E-8</c:v>
                </c:pt>
                <c:pt idx="7">
                  <c:v>8.0624462797256548E-6</c:v>
                </c:pt>
                <c:pt idx="8">
                  <c:v>1.2700185121069086E-6</c:v>
                </c:pt>
                <c:pt idx="9">
                  <c:v>9.8903303303634984E-7</c:v>
                </c:pt>
                <c:pt idx="10">
                  <c:v>4.2471286134047097E-6</c:v>
                </c:pt>
                <c:pt idx="11">
                  <c:v>4.9882284513233268E-6</c:v>
                </c:pt>
                <c:pt idx="12">
                  <c:v>3.3452024769860749E-6</c:v>
                </c:pt>
                <c:pt idx="13">
                  <c:v>2.9354583660156249E-6</c:v>
                </c:pt>
              </c:numLit>
            </c:plus>
            <c:minus>
              <c:numLit>
                <c:formatCode>General</c:formatCode>
                <c:ptCount val="14"/>
                <c:pt idx="0">
                  <c:v>1.4395022274275469E-6</c:v>
                </c:pt>
                <c:pt idx="1">
                  <c:v>2.3507037397174724E-6</c:v>
                </c:pt>
                <c:pt idx="2">
                  <c:v>3.9789753763346777E-7</c:v>
                </c:pt>
                <c:pt idx="3">
                  <c:v>1.2956243276383541E-6</c:v>
                </c:pt>
                <c:pt idx="4">
                  <c:v>5.1853664646378207E-6</c:v>
                </c:pt>
                <c:pt idx="5">
                  <c:v>4.2566707209922493E-7</c:v>
                </c:pt>
                <c:pt idx="6">
                  <c:v>9.5219307494572958E-8</c:v>
                </c:pt>
                <c:pt idx="7">
                  <c:v>8.0624462797256548E-6</c:v>
                </c:pt>
                <c:pt idx="8">
                  <c:v>1.2700185121069086E-6</c:v>
                </c:pt>
                <c:pt idx="9">
                  <c:v>9.8903303303634984E-7</c:v>
                </c:pt>
                <c:pt idx="10">
                  <c:v>4.2471286134047097E-6</c:v>
                </c:pt>
                <c:pt idx="11">
                  <c:v>4.9882284513233268E-6</c:v>
                </c:pt>
                <c:pt idx="12">
                  <c:v>3.3452024769860749E-6</c:v>
                </c:pt>
                <c:pt idx="13">
                  <c:v>2.9354583660156249E-6</c:v>
                </c:pt>
              </c:numLit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Lit>
              <c:ptCount val="14"/>
              <c:pt idx="0">
                <c:v>GLK</c:v>
              </c:pt>
              <c:pt idx="1">
                <c:v>G6PDH</c:v>
              </c:pt>
              <c:pt idx="2">
                <c:v>PGL</c:v>
              </c:pt>
              <c:pt idx="3">
                <c:v>EDD</c:v>
              </c:pt>
              <c:pt idx="4">
                <c:v>EDA</c:v>
              </c:pt>
              <c:pt idx="5">
                <c:v>PGI</c:v>
              </c:pt>
              <c:pt idx="6">
                <c:v>TPI</c:v>
              </c:pt>
              <c:pt idx="7">
                <c:v>GAPDH</c:v>
              </c:pt>
              <c:pt idx="8">
                <c:v>PGK</c:v>
              </c:pt>
              <c:pt idx="9">
                <c:v>PGM</c:v>
              </c:pt>
              <c:pt idx="10">
                <c:v>ENO</c:v>
              </c:pt>
              <c:pt idx="11">
                <c:v>PYK</c:v>
              </c:pt>
              <c:pt idx="12">
                <c:v>PDC</c:v>
              </c:pt>
              <c:pt idx="13">
                <c:v>ADHA/B</c:v>
              </c:pt>
            </c:strLit>
          </c:cat>
          <c:val>
            <c:numLit>
              <c:formatCode>General</c:formatCode>
              <c:ptCount val="14"/>
              <c:pt idx="0">
                <c:v>2.5162826034217326E-5</c:v>
              </c:pt>
              <c:pt idx="1">
                <c:v>4.6433825013844236E-5</c:v>
              </c:pt>
              <c:pt idx="2">
                <c:v>7.6598852218989575E-6</c:v>
              </c:pt>
              <c:pt idx="3">
                <c:v>4.3858189007422885E-5</c:v>
              </c:pt>
              <c:pt idx="4">
                <c:v>5.0151238638631813E-5</c:v>
              </c:pt>
              <c:pt idx="5">
                <c:v>1.4312035420422808E-5</c:v>
              </c:pt>
              <c:pt idx="6">
                <c:v>2.2023123677521908E-6</c:v>
              </c:pt>
              <c:pt idx="7">
                <c:v>2.1983523171661431E-4</c:v>
              </c:pt>
              <c:pt idx="8">
                <c:v>6.2457155101361755E-5</c:v>
              </c:pt>
              <c:pt idx="9">
                <c:v>6.8253223418885916E-5</c:v>
              </c:pt>
              <c:pt idx="10">
                <c:v>1.1180456120706036E-4</c:v>
              </c:pt>
              <c:pt idx="11">
                <c:v>1.4876930250187686E-4</c:v>
              </c:pt>
              <c:pt idx="12">
                <c:v>1.9293498422922166E-4</c:v>
              </c:pt>
              <c:pt idx="13">
                <c:v>7.5507071431189882E-5</c:v>
              </c:pt>
            </c:numLit>
          </c:val>
          <c:extLst>
            <c:ext xmlns:c16="http://schemas.microsoft.com/office/drawing/2014/chart" uri="{C3380CC4-5D6E-409C-BE32-E72D297353CC}">
              <c16:uniqueId val="{00000001-F7D8-2447-897D-11CD654DA3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66189680"/>
        <c:axId val="1754917295"/>
      </c:barChart>
      <c:catAx>
        <c:axId val="866189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4917295"/>
        <c:crosses val="autoZero"/>
        <c:auto val="1"/>
        <c:lblAlgn val="ctr"/>
        <c:lblOffset val="100"/>
        <c:noMultiLvlLbl val="0"/>
      </c:catAx>
      <c:valAx>
        <c:axId val="175491729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>
                    <a:solidFill>
                      <a:schemeClr val="tx1"/>
                    </a:solidFill>
                  </a:rPr>
                  <a:t>mmol/gDCW</a:t>
                </a:r>
              </a:p>
            </c:rich>
          </c:tx>
          <c:layout>
            <c:manualLayout>
              <c:xMode val="edge"/>
              <c:yMode val="edge"/>
              <c:x val="1.3301187052394109E-2"/>
              <c:y val="0.3068686404593482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6189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24574228187856983"/>
          <c:y val="0.21367969736935241"/>
          <c:w val="0.14310707435502801"/>
          <c:h val="0.1308835157798698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>
                <a:solidFill>
                  <a:schemeClr val="tx1"/>
                </a:solidFill>
              </a:rPr>
              <a:t>Experimental</a:t>
            </a:r>
            <a:r>
              <a:rPr lang="en-US" sz="1800" b="1" i="0" baseline="0">
                <a:solidFill>
                  <a:schemeClr val="tx1"/>
                </a:solidFill>
              </a:rPr>
              <a:t> vs ZMRBA Predicted MEP Protein Concentrations</a:t>
            </a:r>
            <a:endParaRPr lang="en-US" sz="1800" b="1" i="0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34665321576899"/>
          <c:y val="0.16960461888872214"/>
          <c:w val="0.80284525790349415"/>
          <c:h val="0.6502377226358802"/>
        </c:manualLayout>
      </c:layout>
      <c:barChart>
        <c:barDir val="col"/>
        <c:grouping val="clustered"/>
        <c:varyColors val="0"/>
        <c:ser>
          <c:idx val="0"/>
          <c:order val="0"/>
          <c:tx>
            <c:v>ZMRBA</c:v>
          </c:tx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17"/>
              <c:pt idx="0">
                <c:v>DXS1</c:v>
              </c:pt>
              <c:pt idx="1">
                <c:v>DXS2</c:v>
              </c:pt>
              <c:pt idx="2">
                <c:v>DXR</c:v>
              </c:pt>
              <c:pt idx="3">
                <c:v>ISPDF</c:v>
              </c:pt>
              <c:pt idx="4">
                <c:v>ISPE</c:v>
              </c:pt>
              <c:pt idx="5">
                <c:v>ISPG</c:v>
              </c:pt>
              <c:pt idx="6">
                <c:v>ISPH</c:v>
              </c:pt>
              <c:pt idx="7">
                <c:v>FPR</c:v>
              </c:pt>
              <c:pt idx="8">
                <c:v>FLDA</c:v>
              </c:pt>
              <c:pt idx="9">
                <c:v>FDXA</c:v>
              </c:pt>
              <c:pt idx="10">
                <c:v>RNF</c:v>
              </c:pt>
              <c:pt idx="11">
                <c:v>RNF</c:v>
              </c:pt>
              <c:pt idx="12">
                <c:v>RNF</c:v>
              </c:pt>
              <c:pt idx="13">
                <c:v>RNF</c:v>
              </c:pt>
              <c:pt idx="14">
                <c:v>RNF</c:v>
              </c:pt>
              <c:pt idx="15">
                <c:v>RNF</c:v>
              </c:pt>
              <c:pt idx="16">
                <c:v>RNF</c:v>
              </c:pt>
            </c:strLit>
          </c:cat>
          <c:val>
            <c:numLit>
              <c:formatCode>General</c:formatCode>
              <c:ptCount val="17"/>
              <c:pt idx="0">
                <c:v>#N/A</c:v>
              </c:pt>
              <c:pt idx="1">
                <c:v>6.3928218523676886E-6</c:v>
              </c:pt>
              <c:pt idx="2">
                <c:v>9.4810654568245135E-6</c:v>
              </c:pt>
              <c:pt idx="3">
                <c:v>7.8548936685236784E-6</c:v>
              </c:pt>
              <c:pt idx="4">
                <c:v>2.3821359108635099E-6</c:v>
              </c:pt>
              <c:pt idx="5">
                <c:v>1.9630054091922005E-5</c:v>
              </c:pt>
              <c:pt idx="6">
                <c:v>3.8756389557103067E-5</c:v>
              </c:pt>
              <c:pt idx="7">
                <c:v>8.1961629025069635E-6</c:v>
              </c:pt>
              <c:pt idx="8">
                <c:v>3.1017596072423397E-6</c:v>
              </c:pt>
              <c:pt idx="9">
                <c:v>2.356481155988858E-5</c:v>
              </c:pt>
              <c:pt idx="10">
                <c:v>#N/A</c:v>
              </c:pt>
              <c:pt idx="11">
                <c:v>#N/A</c:v>
              </c:pt>
              <c:pt idx="12">
                <c:v>#N/A</c:v>
              </c:pt>
              <c:pt idx="13">
                <c:v>#N/A</c:v>
              </c:pt>
              <c:pt idx="14">
                <c:v>#N/A</c:v>
              </c:pt>
              <c:pt idx="15">
                <c:v>#N/A</c:v>
              </c:pt>
              <c:pt idx="16">
                <c:v>#N/A</c:v>
              </c:pt>
            </c:numLit>
          </c:val>
          <c:extLst>
            <c:ext xmlns:c16="http://schemas.microsoft.com/office/drawing/2014/chart" uri="{C3380CC4-5D6E-409C-BE32-E72D297353CC}">
              <c16:uniqueId val="{00000000-9509-934B-B4F8-14429D85D42C}"/>
            </c:ext>
          </c:extLst>
        </c:ser>
        <c:ser>
          <c:idx val="1"/>
          <c:order val="1"/>
          <c:tx>
            <c:v>Experimental</c:v>
          </c:tx>
          <c:spPr>
            <a:solidFill>
              <a:schemeClr val="accent3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Lit>
                <c:formatCode>General</c:formatCode>
                <c:ptCount val="17"/>
                <c:pt idx="0">
                  <c:v>1.1978034383614539E-8</c:v>
                </c:pt>
                <c:pt idx="1">
                  <c:v>1.2916281996437508E-7</c:v>
                </c:pt>
                <c:pt idx="2">
                  <c:v>1.7642530523221079E-7</c:v>
                </c:pt>
                <c:pt idx="3">
                  <c:v>1.8013494312526211E-7</c:v>
                </c:pt>
                <c:pt idx="4">
                  <c:v>6.3728941493019642E-8</c:v>
                </c:pt>
                <c:pt idx="5">
                  <c:v>2.8246993037327416E-7</c:v>
                </c:pt>
                <c:pt idx="6">
                  <c:v>4.1030245570711589E-7</c:v>
                </c:pt>
                <c:pt idx="7">
                  <c:v>1.4757599744892745E-7</c:v>
                </c:pt>
                <c:pt idx="8">
                  <c:v>5.0257579251254371E-8</c:v>
                </c:pt>
                <c:pt idx="9">
                  <c:v>3.5542901618033006E-7</c:v>
                </c:pt>
                <c:pt idx="10">
                  <c:v>3.2875134496012725E-8</c:v>
                </c:pt>
                <c:pt idx="11">
                  <c:v>2.8715420923975363E-8</c:v>
                </c:pt>
                <c:pt idx="12">
                  <c:v>4.7536677836157935E-8</c:v>
                </c:pt>
                <c:pt idx="13">
                  <c:v>2.4587724505903801E-8</c:v>
                </c:pt>
                <c:pt idx="14">
                  <c:v>6.1889544519485208E-8</c:v>
                </c:pt>
                <c:pt idx="15">
                  <c:v>3.5764914442767053E-8</c:v>
                </c:pt>
                <c:pt idx="16">
                  <c:v>1.3456192077538062E-7</c:v>
                </c:pt>
              </c:numLit>
            </c:plus>
            <c:minus>
              <c:numLit>
                <c:formatCode>General</c:formatCode>
                <c:ptCount val="17"/>
                <c:pt idx="0">
                  <c:v>1.1978034383614539E-8</c:v>
                </c:pt>
                <c:pt idx="1">
                  <c:v>1.2916281996437508E-7</c:v>
                </c:pt>
                <c:pt idx="2">
                  <c:v>1.7642530523221079E-7</c:v>
                </c:pt>
                <c:pt idx="3">
                  <c:v>1.8013494312526211E-7</c:v>
                </c:pt>
                <c:pt idx="4">
                  <c:v>6.3728941493019642E-8</c:v>
                </c:pt>
                <c:pt idx="5">
                  <c:v>2.8246993037327416E-7</c:v>
                </c:pt>
                <c:pt idx="6">
                  <c:v>4.1030245570711589E-7</c:v>
                </c:pt>
                <c:pt idx="7">
                  <c:v>1.4757599744892745E-7</c:v>
                </c:pt>
                <c:pt idx="8">
                  <c:v>5.0257579251254371E-8</c:v>
                </c:pt>
                <c:pt idx="9">
                  <c:v>3.5542901618033006E-7</c:v>
                </c:pt>
                <c:pt idx="10">
                  <c:v>3.2875134496012725E-8</c:v>
                </c:pt>
                <c:pt idx="11">
                  <c:v>2.8715420923975363E-8</c:v>
                </c:pt>
                <c:pt idx="12">
                  <c:v>4.7536677836157935E-8</c:v>
                </c:pt>
                <c:pt idx="13">
                  <c:v>2.4587724505903801E-8</c:v>
                </c:pt>
                <c:pt idx="14">
                  <c:v>6.1889544519485208E-8</c:v>
                </c:pt>
                <c:pt idx="15">
                  <c:v>3.5764914442767053E-8</c:v>
                </c:pt>
                <c:pt idx="16">
                  <c:v>1.3456192077538062E-7</c:v>
                </c:pt>
              </c:numLit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Lit>
              <c:ptCount val="17"/>
              <c:pt idx="0">
                <c:v>DXS1</c:v>
              </c:pt>
              <c:pt idx="1">
                <c:v>DXS2</c:v>
              </c:pt>
              <c:pt idx="2">
                <c:v>DXR</c:v>
              </c:pt>
              <c:pt idx="3">
                <c:v>ISPDF</c:v>
              </c:pt>
              <c:pt idx="4">
                <c:v>ISPE</c:v>
              </c:pt>
              <c:pt idx="5">
                <c:v>ISPG</c:v>
              </c:pt>
              <c:pt idx="6">
                <c:v>ISPH</c:v>
              </c:pt>
              <c:pt idx="7">
                <c:v>FPR</c:v>
              </c:pt>
              <c:pt idx="8">
                <c:v>FLDA</c:v>
              </c:pt>
              <c:pt idx="9">
                <c:v>FDXA</c:v>
              </c:pt>
              <c:pt idx="10">
                <c:v>RNF</c:v>
              </c:pt>
              <c:pt idx="11">
                <c:v>RNF</c:v>
              </c:pt>
              <c:pt idx="12">
                <c:v>RNF</c:v>
              </c:pt>
              <c:pt idx="13">
                <c:v>RNF</c:v>
              </c:pt>
              <c:pt idx="14">
                <c:v>RNF</c:v>
              </c:pt>
              <c:pt idx="15">
                <c:v>RNF</c:v>
              </c:pt>
              <c:pt idx="16">
                <c:v>RNF</c:v>
              </c:pt>
            </c:strLit>
          </c:cat>
          <c:val>
            <c:numLit>
              <c:formatCode>General</c:formatCode>
              <c:ptCount val="17"/>
              <c:pt idx="0">
                <c:v>1.8097435106453549E-7</c:v>
              </c:pt>
              <c:pt idx="1">
                <c:v>3.5759084072042163E-6</c:v>
              </c:pt>
              <c:pt idx="2">
                <c:v>5.5663918746149829E-6</c:v>
              </c:pt>
              <c:pt idx="3">
                <c:v>5.7383014376990713E-6</c:v>
              </c:pt>
              <c:pt idx="4">
                <c:v>1.3985666534284624E-6</c:v>
              </c:pt>
              <c:pt idx="5">
                <c:v>1.152492555789253E-5</c:v>
              </c:pt>
              <c:pt idx="6">
                <c:v>2.2754114813120263E-5</c:v>
              </c:pt>
              <c:pt idx="7">
                <c:v>4.3083497000719311E-6</c:v>
              </c:pt>
              <c:pt idx="8">
                <c:v>1.0337618847484315E-6</c:v>
              </c:pt>
              <c:pt idx="9">
                <c:v>1.7218636036498328E-5</c:v>
              </c:pt>
              <c:pt idx="10">
                <c:v>6.0936987870452012E-7</c:v>
              </c:pt>
              <c:pt idx="11">
                <c:v>5.1625677733136231E-7</c:v>
              </c:pt>
              <c:pt idx="12">
                <c:v>9.6377223810050456E-7</c:v>
              </c:pt>
              <c:pt idx="13">
                <c:v>4.274091368779023E-7</c:v>
              </c:pt>
              <c:pt idx="14">
                <c:v>1.3470003634069508E-6</c:v>
              </c:pt>
              <c:pt idx="15">
                <c:v>6.7606819783515206E-7</c:v>
              </c:pt>
              <c:pt idx="16">
                <c:v>3.7851235695841523E-6</c:v>
              </c:pt>
            </c:numLit>
          </c:val>
          <c:extLst>
            <c:ext xmlns:c16="http://schemas.microsoft.com/office/drawing/2014/chart" uri="{C3380CC4-5D6E-409C-BE32-E72D297353CC}">
              <c16:uniqueId val="{00000001-9509-934B-B4F8-14429D85D4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78459695"/>
        <c:axId val="1978461407"/>
      </c:barChart>
      <c:catAx>
        <c:axId val="19784596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400000" spcFirstLastPara="1" vertOverflow="ellipsis" wrap="square" anchor="ctr" anchorCtr="1"/>
          <a:lstStyle/>
          <a:p>
            <a:pPr>
              <a:defRPr sz="18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8461407"/>
        <c:crosses val="autoZero"/>
        <c:auto val="1"/>
        <c:lblAlgn val="ctr"/>
        <c:lblOffset val="100"/>
        <c:noMultiLvlLbl val="0"/>
      </c:catAx>
      <c:valAx>
        <c:axId val="197846140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>
                    <a:solidFill>
                      <a:schemeClr val="tx1"/>
                    </a:solidFill>
                  </a:rPr>
                  <a:t>mmol/gDCW</a:t>
                </a:r>
              </a:p>
            </c:rich>
          </c:tx>
          <c:layout>
            <c:manualLayout>
              <c:xMode val="edge"/>
              <c:yMode val="edge"/>
              <c:x val="2.9955385008293279E-3"/>
              <c:y val="0.3395420194040133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84596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4348634716227635"/>
          <c:y val="0.14702765062113715"/>
          <c:w val="0.16197114354153527"/>
          <c:h val="0.1395009003041911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t" anchorCtr="0"/>
          <a:lstStyle/>
          <a:p>
            <a:pPr>
              <a:defRPr sz="18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800" b="1">
                <a:solidFill>
                  <a:schemeClr val="tx1"/>
                </a:solidFill>
              </a:rPr>
              <a:t>Experimental vs ZMRBA</a:t>
            </a:r>
            <a:r>
              <a:rPr lang="en-US" sz="1800" b="1" baseline="0">
                <a:solidFill>
                  <a:schemeClr val="tx1"/>
                </a:solidFill>
              </a:rPr>
              <a:t> Predicted</a:t>
            </a:r>
            <a:r>
              <a:rPr lang="en-US" sz="1800" b="1">
                <a:solidFill>
                  <a:schemeClr val="tx1"/>
                </a:solidFill>
              </a:rPr>
              <a:t> Glycolytic</a:t>
            </a:r>
            <a:r>
              <a:rPr lang="en-US" sz="1800" b="1" baseline="0">
                <a:solidFill>
                  <a:schemeClr val="tx1"/>
                </a:solidFill>
              </a:rPr>
              <a:t> Protein Concentrations</a:t>
            </a:r>
            <a:endParaRPr lang="en-US" sz="18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t" anchorCtr="0"/>
        <a:lstStyle/>
        <a:p>
          <a:pPr>
            <a:defRPr sz="18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734829251421323"/>
          <c:y val="0.11886950522590868"/>
          <c:w val="0.8538370608077207"/>
          <c:h val="0.67492827026573987"/>
        </c:manualLayout>
      </c:layout>
      <c:barChart>
        <c:barDir val="col"/>
        <c:grouping val="clustered"/>
        <c:varyColors val="0"/>
        <c:ser>
          <c:idx val="0"/>
          <c:order val="0"/>
          <c:tx>
            <c:v>ZMRBA</c:v>
          </c:tx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14"/>
              <c:pt idx="0">
                <c:v>GLK</c:v>
              </c:pt>
              <c:pt idx="1">
                <c:v>G6PDH</c:v>
              </c:pt>
              <c:pt idx="2">
                <c:v>PGL</c:v>
              </c:pt>
              <c:pt idx="3">
                <c:v>EDD</c:v>
              </c:pt>
              <c:pt idx="4">
                <c:v>EDA</c:v>
              </c:pt>
              <c:pt idx="5">
                <c:v>PGI</c:v>
              </c:pt>
              <c:pt idx="6">
                <c:v>TPI</c:v>
              </c:pt>
              <c:pt idx="7">
                <c:v>GAPDH</c:v>
              </c:pt>
              <c:pt idx="8">
                <c:v>PGK</c:v>
              </c:pt>
              <c:pt idx="9">
                <c:v>PGM</c:v>
              </c:pt>
              <c:pt idx="10">
                <c:v>ENO</c:v>
              </c:pt>
              <c:pt idx="11">
                <c:v>PYK</c:v>
              </c:pt>
              <c:pt idx="12">
                <c:v>PDC</c:v>
              </c:pt>
              <c:pt idx="13">
                <c:v>ADHA/B</c:v>
              </c:pt>
            </c:strLit>
          </c:cat>
          <c:val>
            <c:numLit>
              <c:formatCode>General</c:formatCode>
              <c:ptCount val="14"/>
              <c:pt idx="0">
                <c:v>2.5259291966573819E-5</c:v>
              </c:pt>
              <c:pt idx="1">
                <c:v>4.6604957275766017E-5</c:v>
              </c:pt>
              <c:pt idx="2">
                <c:v>7.6881157938718664E-6</c:v>
              </c:pt>
              <c:pt idx="3">
                <c:v>4.4019828740947076E-5</c:v>
              </c:pt>
              <c:pt idx="4">
                <c:v>5.0336071462395545E-5</c:v>
              </c:pt>
              <c:pt idx="5">
                <c:v>1.465181737047354E-5</c:v>
              </c:pt>
              <c:pt idx="6">
                <c:v>2.1961948328690809E-6</c:v>
              </c:pt>
              <c:pt idx="7">
                <c:v>2.2033095306128134E-4</c:v>
              </c:pt>
              <c:pt idx="8">
                <c:v>6.2597995317548741E-5</c:v>
              </c:pt>
              <c:pt idx="9">
                <c:v>6.8314308888579384E-5</c:v>
              </c:pt>
              <c:pt idx="10">
                <c:v>1.1190462437883008E-4</c:v>
              </c:pt>
              <c:pt idx="11">
                <c:v>1.4813754536490252E-4</c:v>
              </c:pt>
              <c:pt idx="12">
                <c:v>1.9364370304178271E-4</c:v>
              </c:pt>
              <c:pt idx="13">
                <c:v>3.9525784559888578E-5</c:v>
              </c:pt>
            </c:numLit>
          </c:val>
          <c:extLst>
            <c:ext xmlns:c16="http://schemas.microsoft.com/office/drawing/2014/chart" uri="{C3380CC4-5D6E-409C-BE32-E72D297353CC}">
              <c16:uniqueId val="{00000000-3C98-2541-A5AB-0DAC8EAB4548}"/>
            </c:ext>
          </c:extLst>
        </c:ser>
        <c:ser>
          <c:idx val="1"/>
          <c:order val="1"/>
          <c:tx>
            <c:v>Experimental</c:v>
          </c:tx>
          <c:spPr>
            <a:solidFill>
              <a:schemeClr val="accent3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Lit>
                <c:formatCode>General</c:formatCode>
                <c:ptCount val="14"/>
                <c:pt idx="0">
                  <c:v>1.4395022274275469E-6</c:v>
                </c:pt>
                <c:pt idx="1">
                  <c:v>2.3507037397174724E-6</c:v>
                </c:pt>
                <c:pt idx="2">
                  <c:v>3.9789753763346777E-7</c:v>
                </c:pt>
                <c:pt idx="3">
                  <c:v>1.2956243276383541E-6</c:v>
                </c:pt>
                <c:pt idx="4">
                  <c:v>5.1853664646378207E-6</c:v>
                </c:pt>
                <c:pt idx="5">
                  <c:v>4.2566707209922493E-7</c:v>
                </c:pt>
                <c:pt idx="6">
                  <c:v>9.5219307494572958E-8</c:v>
                </c:pt>
                <c:pt idx="7">
                  <c:v>8.0624462797256548E-6</c:v>
                </c:pt>
                <c:pt idx="8">
                  <c:v>1.2700185121069086E-6</c:v>
                </c:pt>
                <c:pt idx="9">
                  <c:v>9.8903303303634984E-7</c:v>
                </c:pt>
                <c:pt idx="10">
                  <c:v>4.2471286134047097E-6</c:v>
                </c:pt>
                <c:pt idx="11">
                  <c:v>4.9882284513233268E-6</c:v>
                </c:pt>
                <c:pt idx="12">
                  <c:v>3.3452024769860749E-6</c:v>
                </c:pt>
                <c:pt idx="13">
                  <c:v>2.9354583660156249E-6</c:v>
                </c:pt>
              </c:numLit>
            </c:plus>
            <c:minus>
              <c:numLit>
                <c:formatCode>General</c:formatCode>
                <c:ptCount val="14"/>
                <c:pt idx="0">
                  <c:v>1.4395022274275469E-6</c:v>
                </c:pt>
                <c:pt idx="1">
                  <c:v>2.3507037397174724E-6</c:v>
                </c:pt>
                <c:pt idx="2">
                  <c:v>3.9789753763346777E-7</c:v>
                </c:pt>
                <c:pt idx="3">
                  <c:v>1.2956243276383541E-6</c:v>
                </c:pt>
                <c:pt idx="4">
                  <c:v>5.1853664646378207E-6</c:v>
                </c:pt>
                <c:pt idx="5">
                  <c:v>4.2566707209922493E-7</c:v>
                </c:pt>
                <c:pt idx="6">
                  <c:v>9.5219307494572958E-8</c:v>
                </c:pt>
                <c:pt idx="7">
                  <c:v>8.0624462797256548E-6</c:v>
                </c:pt>
                <c:pt idx="8">
                  <c:v>1.2700185121069086E-6</c:v>
                </c:pt>
                <c:pt idx="9">
                  <c:v>9.8903303303634984E-7</c:v>
                </c:pt>
                <c:pt idx="10">
                  <c:v>4.2471286134047097E-6</c:v>
                </c:pt>
                <c:pt idx="11">
                  <c:v>4.9882284513233268E-6</c:v>
                </c:pt>
                <c:pt idx="12">
                  <c:v>3.3452024769860749E-6</c:v>
                </c:pt>
                <c:pt idx="13">
                  <c:v>2.9354583660156249E-6</c:v>
                </c:pt>
              </c:numLit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Lit>
              <c:ptCount val="14"/>
              <c:pt idx="0">
                <c:v>GLK</c:v>
              </c:pt>
              <c:pt idx="1">
                <c:v>G6PDH</c:v>
              </c:pt>
              <c:pt idx="2">
                <c:v>PGL</c:v>
              </c:pt>
              <c:pt idx="3">
                <c:v>EDD</c:v>
              </c:pt>
              <c:pt idx="4">
                <c:v>EDA</c:v>
              </c:pt>
              <c:pt idx="5">
                <c:v>PGI</c:v>
              </c:pt>
              <c:pt idx="6">
                <c:v>TPI</c:v>
              </c:pt>
              <c:pt idx="7">
                <c:v>GAPDH</c:v>
              </c:pt>
              <c:pt idx="8">
                <c:v>PGK</c:v>
              </c:pt>
              <c:pt idx="9">
                <c:v>PGM</c:v>
              </c:pt>
              <c:pt idx="10">
                <c:v>ENO</c:v>
              </c:pt>
              <c:pt idx="11">
                <c:v>PYK</c:v>
              </c:pt>
              <c:pt idx="12">
                <c:v>PDC</c:v>
              </c:pt>
              <c:pt idx="13">
                <c:v>ADHA/B</c:v>
              </c:pt>
            </c:strLit>
          </c:cat>
          <c:val>
            <c:numLit>
              <c:formatCode>General</c:formatCode>
              <c:ptCount val="14"/>
              <c:pt idx="0">
                <c:v>2.5162826034217326E-5</c:v>
              </c:pt>
              <c:pt idx="1">
                <c:v>4.6433825013844236E-5</c:v>
              </c:pt>
              <c:pt idx="2">
                <c:v>7.6598852218989575E-6</c:v>
              </c:pt>
              <c:pt idx="3">
                <c:v>4.3858189007422885E-5</c:v>
              </c:pt>
              <c:pt idx="4">
                <c:v>5.0151238638631813E-5</c:v>
              </c:pt>
              <c:pt idx="5">
                <c:v>1.4312035420422808E-5</c:v>
              </c:pt>
              <c:pt idx="6">
                <c:v>2.2023123677521908E-6</c:v>
              </c:pt>
              <c:pt idx="7">
                <c:v>2.1983523171661431E-4</c:v>
              </c:pt>
              <c:pt idx="8">
                <c:v>6.2457155101361755E-5</c:v>
              </c:pt>
              <c:pt idx="9">
                <c:v>6.8253223418885916E-5</c:v>
              </c:pt>
              <c:pt idx="10">
                <c:v>1.1180456120706036E-4</c:v>
              </c:pt>
              <c:pt idx="11">
                <c:v>1.4876930250187686E-4</c:v>
              </c:pt>
              <c:pt idx="12">
                <c:v>1.9293498422922166E-4</c:v>
              </c:pt>
              <c:pt idx="13">
                <c:v>7.5507071431189882E-5</c:v>
              </c:pt>
            </c:numLit>
          </c:val>
          <c:extLst>
            <c:ext xmlns:c16="http://schemas.microsoft.com/office/drawing/2014/chart" uri="{C3380CC4-5D6E-409C-BE32-E72D297353CC}">
              <c16:uniqueId val="{00000001-3C98-2541-A5AB-0DAC8EAB45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66189680"/>
        <c:axId val="1754917295"/>
      </c:barChart>
      <c:catAx>
        <c:axId val="866189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4917295"/>
        <c:crosses val="autoZero"/>
        <c:auto val="1"/>
        <c:lblAlgn val="ctr"/>
        <c:lblOffset val="100"/>
        <c:noMultiLvlLbl val="0"/>
      </c:catAx>
      <c:valAx>
        <c:axId val="175491729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>
                    <a:solidFill>
                      <a:schemeClr val="tx1"/>
                    </a:solidFill>
                  </a:rPr>
                  <a:t>mmol/gDCW</a:t>
                </a:r>
              </a:p>
            </c:rich>
          </c:tx>
          <c:layout>
            <c:manualLayout>
              <c:xMode val="edge"/>
              <c:yMode val="edge"/>
              <c:x val="1.3301187052394109E-2"/>
              <c:y val="0.3068686404593482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6189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24574228187856983"/>
          <c:y val="0.21367969736935241"/>
          <c:w val="0.14310707435502801"/>
          <c:h val="0.1308835157798698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>
                <a:solidFill>
                  <a:schemeClr val="tx1"/>
                </a:solidFill>
              </a:rPr>
              <a:t>Experimental</a:t>
            </a:r>
            <a:r>
              <a:rPr lang="en-US" sz="1800" b="1" i="0" baseline="0">
                <a:solidFill>
                  <a:schemeClr val="tx1"/>
                </a:solidFill>
              </a:rPr>
              <a:t> vs ZMRBA Predicted MEP Protein Concentrations</a:t>
            </a:r>
            <a:endParaRPr lang="en-US" sz="1800" b="1" i="0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34665321576899"/>
          <c:y val="0.16960461888872214"/>
          <c:w val="0.80284525790349415"/>
          <c:h val="0.6502377226358802"/>
        </c:manualLayout>
      </c:layout>
      <c:barChart>
        <c:barDir val="col"/>
        <c:grouping val="clustered"/>
        <c:varyColors val="0"/>
        <c:ser>
          <c:idx val="0"/>
          <c:order val="0"/>
          <c:tx>
            <c:v>ZMRBA</c:v>
          </c:tx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17"/>
              <c:pt idx="0">
                <c:v>DXS1</c:v>
              </c:pt>
              <c:pt idx="1">
                <c:v>DXS2</c:v>
              </c:pt>
              <c:pt idx="2">
                <c:v>DXR</c:v>
              </c:pt>
              <c:pt idx="3">
                <c:v>ISPDF</c:v>
              </c:pt>
              <c:pt idx="4">
                <c:v>ISPE</c:v>
              </c:pt>
              <c:pt idx="5">
                <c:v>ISPG</c:v>
              </c:pt>
              <c:pt idx="6">
                <c:v>ISPH</c:v>
              </c:pt>
              <c:pt idx="7">
                <c:v>FPR</c:v>
              </c:pt>
              <c:pt idx="8">
                <c:v>FLDA</c:v>
              </c:pt>
              <c:pt idx="9">
                <c:v>FDXA</c:v>
              </c:pt>
              <c:pt idx="10">
                <c:v>RNF</c:v>
              </c:pt>
              <c:pt idx="11">
                <c:v>RNF</c:v>
              </c:pt>
              <c:pt idx="12">
                <c:v>RNF</c:v>
              </c:pt>
              <c:pt idx="13">
                <c:v>RNF</c:v>
              </c:pt>
              <c:pt idx="14">
                <c:v>RNF</c:v>
              </c:pt>
              <c:pt idx="15">
                <c:v>RNF</c:v>
              </c:pt>
              <c:pt idx="16">
                <c:v>RNF</c:v>
              </c:pt>
            </c:strLit>
          </c:cat>
          <c:val>
            <c:numLit>
              <c:formatCode>General</c:formatCode>
              <c:ptCount val="17"/>
              <c:pt idx="0">
                <c:v>#N/A</c:v>
              </c:pt>
              <c:pt idx="1">
                <c:v>6.3924530362117003E-6</c:v>
              </c:pt>
              <c:pt idx="2">
                <c:v>9.4805177270195001E-6</c:v>
              </c:pt>
              <c:pt idx="3">
                <c:v>9.7733091253481907E-6</c:v>
              </c:pt>
              <c:pt idx="4">
                <c:v>2.3819982952646238E-6</c:v>
              </c:pt>
              <c:pt idx="5">
                <c:v>1.9628920044568247E-5</c:v>
              </c:pt>
              <c:pt idx="6">
                <c:v>3.8754150565459611E-5</c:v>
              </c:pt>
              <c:pt idx="7">
                <c:v>6.7184448635097492E-6</c:v>
              </c:pt>
              <c:pt idx="8">
                <c:v>3.5388229247910865E-6</c:v>
              </c:pt>
              <c:pt idx="9">
                <c:v>2.3270697169916438E-5</c:v>
              </c:pt>
              <c:pt idx="10">
                <c:v>#N/A</c:v>
              </c:pt>
              <c:pt idx="11">
                <c:v>#N/A</c:v>
              </c:pt>
              <c:pt idx="12">
                <c:v>#N/A</c:v>
              </c:pt>
              <c:pt idx="13">
                <c:v>#N/A</c:v>
              </c:pt>
              <c:pt idx="14">
                <c:v>#N/A</c:v>
              </c:pt>
              <c:pt idx="15">
                <c:v>#N/A</c:v>
              </c:pt>
              <c:pt idx="16">
                <c:v>#N/A</c:v>
              </c:pt>
            </c:numLit>
          </c:val>
          <c:extLst>
            <c:ext xmlns:c16="http://schemas.microsoft.com/office/drawing/2014/chart" uri="{C3380CC4-5D6E-409C-BE32-E72D297353CC}">
              <c16:uniqueId val="{00000000-606E-9B4C-A61D-7E67FDB4A6BA}"/>
            </c:ext>
          </c:extLst>
        </c:ser>
        <c:ser>
          <c:idx val="1"/>
          <c:order val="1"/>
          <c:tx>
            <c:v>Experimental</c:v>
          </c:tx>
          <c:spPr>
            <a:solidFill>
              <a:schemeClr val="accent3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Lit>
                <c:formatCode>General</c:formatCode>
                <c:ptCount val="17"/>
                <c:pt idx="0">
                  <c:v>1.1978034383614539E-8</c:v>
                </c:pt>
                <c:pt idx="1">
                  <c:v>1.2916281996437508E-7</c:v>
                </c:pt>
                <c:pt idx="2">
                  <c:v>1.7642530523221079E-7</c:v>
                </c:pt>
                <c:pt idx="3">
                  <c:v>1.8013494312526211E-7</c:v>
                </c:pt>
                <c:pt idx="4">
                  <c:v>6.3728941493019642E-8</c:v>
                </c:pt>
                <c:pt idx="5">
                  <c:v>2.8246993037327416E-7</c:v>
                </c:pt>
                <c:pt idx="6">
                  <c:v>4.1030245570711589E-7</c:v>
                </c:pt>
                <c:pt idx="7">
                  <c:v>1.4757599744892745E-7</c:v>
                </c:pt>
                <c:pt idx="8">
                  <c:v>5.0257579251254371E-8</c:v>
                </c:pt>
                <c:pt idx="9">
                  <c:v>3.5542901618033006E-7</c:v>
                </c:pt>
                <c:pt idx="10">
                  <c:v>3.2875134496012725E-8</c:v>
                </c:pt>
                <c:pt idx="11">
                  <c:v>2.8715420923975363E-8</c:v>
                </c:pt>
                <c:pt idx="12">
                  <c:v>4.7536677836157935E-8</c:v>
                </c:pt>
                <c:pt idx="13">
                  <c:v>2.4587724505903801E-8</c:v>
                </c:pt>
                <c:pt idx="14">
                  <c:v>6.1889544519485208E-8</c:v>
                </c:pt>
                <c:pt idx="15">
                  <c:v>3.5764914442767053E-8</c:v>
                </c:pt>
                <c:pt idx="16">
                  <c:v>1.3456192077538062E-7</c:v>
                </c:pt>
              </c:numLit>
            </c:plus>
            <c:minus>
              <c:numLit>
                <c:formatCode>General</c:formatCode>
                <c:ptCount val="17"/>
                <c:pt idx="0">
                  <c:v>1.1978034383614539E-8</c:v>
                </c:pt>
                <c:pt idx="1">
                  <c:v>1.2916281996437508E-7</c:v>
                </c:pt>
                <c:pt idx="2">
                  <c:v>1.7642530523221079E-7</c:v>
                </c:pt>
                <c:pt idx="3">
                  <c:v>1.8013494312526211E-7</c:v>
                </c:pt>
                <c:pt idx="4">
                  <c:v>6.3728941493019642E-8</c:v>
                </c:pt>
                <c:pt idx="5">
                  <c:v>2.8246993037327416E-7</c:v>
                </c:pt>
                <c:pt idx="6">
                  <c:v>4.1030245570711589E-7</c:v>
                </c:pt>
                <c:pt idx="7">
                  <c:v>1.4757599744892745E-7</c:v>
                </c:pt>
                <c:pt idx="8">
                  <c:v>5.0257579251254371E-8</c:v>
                </c:pt>
                <c:pt idx="9">
                  <c:v>3.5542901618033006E-7</c:v>
                </c:pt>
                <c:pt idx="10">
                  <c:v>3.2875134496012725E-8</c:v>
                </c:pt>
                <c:pt idx="11">
                  <c:v>2.8715420923975363E-8</c:v>
                </c:pt>
                <c:pt idx="12">
                  <c:v>4.7536677836157935E-8</c:v>
                </c:pt>
                <c:pt idx="13">
                  <c:v>2.4587724505903801E-8</c:v>
                </c:pt>
                <c:pt idx="14">
                  <c:v>6.1889544519485208E-8</c:v>
                </c:pt>
                <c:pt idx="15">
                  <c:v>3.5764914442767053E-8</c:v>
                </c:pt>
                <c:pt idx="16">
                  <c:v>1.3456192077538062E-7</c:v>
                </c:pt>
              </c:numLit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Lit>
              <c:ptCount val="17"/>
              <c:pt idx="0">
                <c:v>DXS1</c:v>
              </c:pt>
              <c:pt idx="1">
                <c:v>DXS2</c:v>
              </c:pt>
              <c:pt idx="2">
                <c:v>DXR</c:v>
              </c:pt>
              <c:pt idx="3">
                <c:v>ISPDF</c:v>
              </c:pt>
              <c:pt idx="4">
                <c:v>ISPE</c:v>
              </c:pt>
              <c:pt idx="5">
                <c:v>ISPG</c:v>
              </c:pt>
              <c:pt idx="6">
                <c:v>ISPH</c:v>
              </c:pt>
              <c:pt idx="7">
                <c:v>FPR</c:v>
              </c:pt>
              <c:pt idx="8">
                <c:v>FLDA</c:v>
              </c:pt>
              <c:pt idx="9">
                <c:v>FDXA</c:v>
              </c:pt>
              <c:pt idx="10">
                <c:v>RNF</c:v>
              </c:pt>
              <c:pt idx="11">
                <c:v>RNF</c:v>
              </c:pt>
              <c:pt idx="12">
                <c:v>RNF</c:v>
              </c:pt>
              <c:pt idx="13">
                <c:v>RNF</c:v>
              </c:pt>
              <c:pt idx="14">
                <c:v>RNF</c:v>
              </c:pt>
              <c:pt idx="15">
                <c:v>RNF</c:v>
              </c:pt>
              <c:pt idx="16">
                <c:v>RNF</c:v>
              </c:pt>
            </c:strLit>
          </c:cat>
          <c:val>
            <c:numLit>
              <c:formatCode>General</c:formatCode>
              <c:ptCount val="17"/>
              <c:pt idx="0">
                <c:v>1.8097435106453549E-7</c:v>
              </c:pt>
              <c:pt idx="1">
                <c:v>3.5759084072042163E-6</c:v>
              </c:pt>
              <c:pt idx="2">
                <c:v>5.5663918746149829E-6</c:v>
              </c:pt>
              <c:pt idx="3">
                <c:v>5.7383014376990713E-6</c:v>
              </c:pt>
              <c:pt idx="4">
                <c:v>1.3985666534284624E-6</c:v>
              </c:pt>
              <c:pt idx="5">
                <c:v>1.152492555789253E-5</c:v>
              </c:pt>
              <c:pt idx="6">
                <c:v>2.2754114813120263E-5</c:v>
              </c:pt>
              <c:pt idx="7">
                <c:v>4.3083497000719311E-6</c:v>
              </c:pt>
              <c:pt idx="8">
                <c:v>1.0337618847484315E-6</c:v>
              </c:pt>
              <c:pt idx="9">
                <c:v>1.7218636036498328E-5</c:v>
              </c:pt>
              <c:pt idx="10">
                <c:v>6.0936987870452012E-7</c:v>
              </c:pt>
              <c:pt idx="11">
                <c:v>5.1625677733136231E-7</c:v>
              </c:pt>
              <c:pt idx="12">
                <c:v>9.6377223810050456E-7</c:v>
              </c:pt>
              <c:pt idx="13">
                <c:v>4.274091368779023E-7</c:v>
              </c:pt>
              <c:pt idx="14">
                <c:v>1.3470003634069508E-6</c:v>
              </c:pt>
              <c:pt idx="15">
                <c:v>6.7606819783515206E-7</c:v>
              </c:pt>
              <c:pt idx="16">
                <c:v>3.7851235695841523E-6</c:v>
              </c:pt>
            </c:numLit>
          </c:val>
          <c:extLst>
            <c:ext xmlns:c16="http://schemas.microsoft.com/office/drawing/2014/chart" uri="{C3380CC4-5D6E-409C-BE32-E72D297353CC}">
              <c16:uniqueId val="{00000001-606E-9B4C-A61D-7E67FDB4A6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78459695"/>
        <c:axId val="1978461407"/>
      </c:barChart>
      <c:catAx>
        <c:axId val="19784596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400000" spcFirstLastPara="1" vertOverflow="ellipsis" wrap="square" anchor="ctr" anchorCtr="1"/>
          <a:lstStyle/>
          <a:p>
            <a:pPr>
              <a:defRPr sz="18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8461407"/>
        <c:crosses val="autoZero"/>
        <c:auto val="1"/>
        <c:lblAlgn val="ctr"/>
        <c:lblOffset val="100"/>
        <c:noMultiLvlLbl val="0"/>
      </c:catAx>
      <c:valAx>
        <c:axId val="197846140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>
                    <a:solidFill>
                      <a:schemeClr val="tx1"/>
                    </a:solidFill>
                  </a:rPr>
                  <a:t>mmol/gDCW</a:t>
                </a:r>
              </a:p>
            </c:rich>
          </c:tx>
          <c:layout>
            <c:manualLayout>
              <c:xMode val="edge"/>
              <c:yMode val="edge"/>
              <c:x val="2.9955385008293279E-3"/>
              <c:y val="0.3395420194040133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84596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4348634716227635"/>
          <c:y val="0.14702765062113715"/>
          <c:w val="0.16197114354153527"/>
          <c:h val="0.1395009003041911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4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4" Type="http://schemas.openxmlformats.org/officeDocument/2006/relationships/chart" Target="../charts/chart9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Relationship Id="rId4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609600</xdr:colOff>
      <xdr:row>9</xdr:row>
      <xdr:rowOff>31750</xdr:rowOff>
    </xdr:from>
    <xdr:to>
      <xdr:col>16</xdr:col>
      <xdr:colOff>1123950</xdr:colOff>
      <xdr:row>27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3345F0F-06A3-E667-79C7-D4B389C065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661104</xdr:colOff>
      <xdr:row>0</xdr:row>
      <xdr:rowOff>114157</xdr:rowOff>
    </xdr:from>
    <xdr:to>
      <xdr:col>29</xdr:col>
      <xdr:colOff>656403</xdr:colOff>
      <xdr:row>25</xdr:row>
      <xdr:rowOff>111478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FDE9166-B1B2-1848-BDBF-5C89CE87E1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731157</xdr:colOff>
      <xdr:row>33</xdr:row>
      <xdr:rowOff>189818</xdr:rowOff>
    </xdr:from>
    <xdr:to>
      <xdr:col>31</xdr:col>
      <xdr:colOff>131648</xdr:colOff>
      <xdr:row>71</xdr:row>
      <xdr:rowOff>85790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5612694-ACE4-6C4C-B7EB-5855F9185C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661104</xdr:colOff>
      <xdr:row>0</xdr:row>
      <xdr:rowOff>114157</xdr:rowOff>
    </xdr:from>
    <xdr:to>
      <xdr:col>29</xdr:col>
      <xdr:colOff>656403</xdr:colOff>
      <xdr:row>25</xdr:row>
      <xdr:rowOff>111478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5FEE094-C20E-304D-AF55-05FF57C9B7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731157</xdr:colOff>
      <xdr:row>33</xdr:row>
      <xdr:rowOff>189818</xdr:rowOff>
    </xdr:from>
    <xdr:to>
      <xdr:col>31</xdr:col>
      <xdr:colOff>131648</xdr:colOff>
      <xdr:row>71</xdr:row>
      <xdr:rowOff>85790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A992AF2F-277A-1544-BC09-6395D968CE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661104</xdr:colOff>
      <xdr:row>0</xdr:row>
      <xdr:rowOff>114157</xdr:rowOff>
    </xdr:from>
    <xdr:to>
      <xdr:col>29</xdr:col>
      <xdr:colOff>656403</xdr:colOff>
      <xdr:row>25</xdr:row>
      <xdr:rowOff>111478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E4F1FB5-EA99-9749-BF6E-6DEFDC725F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731157</xdr:colOff>
      <xdr:row>33</xdr:row>
      <xdr:rowOff>189818</xdr:rowOff>
    </xdr:from>
    <xdr:to>
      <xdr:col>31</xdr:col>
      <xdr:colOff>131648</xdr:colOff>
      <xdr:row>71</xdr:row>
      <xdr:rowOff>85790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380F9F6-4E6C-014E-AEAC-C5B24B5B91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661104</xdr:colOff>
      <xdr:row>0</xdr:row>
      <xdr:rowOff>114157</xdr:rowOff>
    </xdr:from>
    <xdr:to>
      <xdr:col>29</xdr:col>
      <xdr:colOff>656403</xdr:colOff>
      <xdr:row>25</xdr:row>
      <xdr:rowOff>111478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68A72B6-DB47-D842-B8D8-FE89DE9EA6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731157</xdr:colOff>
      <xdr:row>33</xdr:row>
      <xdr:rowOff>189818</xdr:rowOff>
    </xdr:from>
    <xdr:to>
      <xdr:col>31</xdr:col>
      <xdr:colOff>131648</xdr:colOff>
      <xdr:row>71</xdr:row>
      <xdr:rowOff>85790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5183D1E-4ECD-8F46-B7CD-225F90567F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661104</xdr:colOff>
      <xdr:row>0</xdr:row>
      <xdr:rowOff>114157</xdr:rowOff>
    </xdr:from>
    <xdr:to>
      <xdr:col>29</xdr:col>
      <xdr:colOff>656403</xdr:colOff>
      <xdr:row>25</xdr:row>
      <xdr:rowOff>111478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E6B7800-A860-4A44-B70D-010AF68E41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731157</xdr:colOff>
      <xdr:row>33</xdr:row>
      <xdr:rowOff>189818</xdr:rowOff>
    </xdr:from>
    <xdr:to>
      <xdr:col>31</xdr:col>
      <xdr:colOff>131648</xdr:colOff>
      <xdr:row>71</xdr:row>
      <xdr:rowOff>85790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E9901C4-757A-024D-BEB1-8A7F70E9A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661104</xdr:colOff>
      <xdr:row>0</xdr:row>
      <xdr:rowOff>114157</xdr:rowOff>
    </xdr:from>
    <xdr:to>
      <xdr:col>29</xdr:col>
      <xdr:colOff>656403</xdr:colOff>
      <xdr:row>25</xdr:row>
      <xdr:rowOff>111478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7DDA9EA-79E5-7E42-A008-E383C085C2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731157</xdr:colOff>
      <xdr:row>33</xdr:row>
      <xdr:rowOff>189818</xdr:rowOff>
    </xdr:from>
    <xdr:to>
      <xdr:col>31</xdr:col>
      <xdr:colOff>131648</xdr:colOff>
      <xdr:row>71</xdr:row>
      <xdr:rowOff>85790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0E9FBC8-35DF-AC4B-9A2B-8B26A42136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9CDDD-C62D-44F3-A48C-C70D3A3D5948}">
  <dimension ref="A1:W34"/>
  <sheetViews>
    <sheetView tabSelected="1" workbookViewId="0">
      <selection activeCell="H14" sqref="H14"/>
    </sheetView>
  </sheetViews>
  <sheetFormatPr baseColWidth="10" defaultColWidth="8.83203125" defaultRowHeight="15" x14ac:dyDescent="0.2"/>
  <cols>
    <col min="1" max="1" width="35.1640625" customWidth="1"/>
    <col min="5" max="5" width="17" customWidth="1"/>
    <col min="9" max="9" width="16.83203125" customWidth="1"/>
    <col min="13" max="13" width="16.6640625" customWidth="1"/>
    <col min="17" max="17" width="20" customWidth="1"/>
    <col min="21" max="21" width="18.1640625" customWidth="1"/>
  </cols>
  <sheetData>
    <row r="1" spans="1:23" x14ac:dyDescent="0.2">
      <c r="A1" s="15" t="s">
        <v>1</v>
      </c>
      <c r="B1" s="15"/>
      <c r="E1" s="15" t="s">
        <v>2</v>
      </c>
      <c r="F1" s="15"/>
      <c r="I1" s="15" t="s">
        <v>3</v>
      </c>
      <c r="J1" s="15"/>
      <c r="M1" s="15" t="s">
        <v>4</v>
      </c>
      <c r="N1" s="15"/>
      <c r="O1" s="15"/>
      <c r="Q1" s="15" t="s">
        <v>5</v>
      </c>
      <c r="R1" s="15"/>
      <c r="U1" s="15" t="s">
        <v>6</v>
      </c>
      <c r="V1" s="15"/>
      <c r="W1" s="15"/>
    </row>
    <row r="2" spans="1:23" x14ac:dyDescent="0.2">
      <c r="A2" t="s">
        <v>7</v>
      </c>
      <c r="B2">
        <v>55.1</v>
      </c>
      <c r="E2" t="s">
        <v>7</v>
      </c>
      <c r="F2">
        <v>55.1</v>
      </c>
      <c r="I2" t="s">
        <v>7</v>
      </c>
      <c r="J2">
        <v>55.1</v>
      </c>
      <c r="M2" t="s">
        <v>7</v>
      </c>
      <c r="N2">
        <v>72.400000000000006</v>
      </c>
      <c r="Q2" t="s">
        <v>7</v>
      </c>
      <c r="R2">
        <v>57.3</v>
      </c>
      <c r="U2" t="s">
        <v>7</v>
      </c>
      <c r="V2">
        <v>31.8</v>
      </c>
    </row>
    <row r="3" spans="1:23" x14ac:dyDescent="0.2">
      <c r="A3" t="s">
        <v>0</v>
      </c>
      <c r="B3">
        <v>2.9149999999999999E-2</v>
      </c>
      <c r="E3" t="s">
        <v>0</v>
      </c>
      <c r="F3">
        <v>6.4299999999999996E-2</v>
      </c>
      <c r="I3" t="s">
        <v>0</v>
      </c>
      <c r="J3">
        <v>7.0332000000000006E-2</v>
      </c>
      <c r="M3" t="s">
        <v>9</v>
      </c>
      <c r="N3">
        <v>5.8419037672757519E-4</v>
      </c>
      <c r="O3">
        <v>2.8538035644737873E-4</v>
      </c>
      <c r="Q3" t="s">
        <v>9</v>
      </c>
      <c r="R3">
        <v>3.3301113188235962E-3</v>
      </c>
      <c r="S3">
        <v>8.6116254486775818E-4</v>
      </c>
      <c r="U3" t="s">
        <v>9</v>
      </c>
      <c r="V3">
        <v>1.8039670449139817E-3</v>
      </c>
      <c r="W3">
        <v>4.0512819229000438E-4</v>
      </c>
    </row>
    <row r="4" spans="1:23" x14ac:dyDescent="0.2">
      <c r="A4" t="s">
        <v>8</v>
      </c>
      <c r="B4">
        <v>0.35899999999999999</v>
      </c>
      <c r="E4" t="s">
        <v>8</v>
      </c>
      <c r="F4">
        <v>0.35899999999999999</v>
      </c>
      <c r="I4" t="s">
        <v>8</v>
      </c>
      <c r="J4">
        <v>0.35899999999999999</v>
      </c>
    </row>
    <row r="5" spans="1:23" x14ac:dyDescent="0.2">
      <c r="A5" t="s">
        <v>9</v>
      </c>
      <c r="B5">
        <f>(B3/B2)*100</f>
        <v>5.2903811252268597E-2</v>
      </c>
      <c r="E5" t="s">
        <v>9</v>
      </c>
      <c r="F5">
        <f>(F3/F2)*100</f>
        <v>0.11669691470054447</v>
      </c>
      <c r="I5" t="s">
        <v>9</v>
      </c>
      <c r="J5">
        <f>(J3/J2)*100</f>
        <v>0.12764428312159712</v>
      </c>
    </row>
    <row r="11" spans="1:23" x14ac:dyDescent="0.2">
      <c r="A11" t="s">
        <v>10</v>
      </c>
      <c r="B11">
        <v>5.2903811252268597E-2</v>
      </c>
    </row>
    <row r="12" spans="1:23" x14ac:dyDescent="0.2">
      <c r="A12" t="s">
        <v>11</v>
      </c>
      <c r="B12">
        <v>0.11669691470054447</v>
      </c>
    </row>
    <row r="13" spans="1:23" x14ac:dyDescent="0.2">
      <c r="A13" t="s">
        <v>12</v>
      </c>
      <c r="B13">
        <v>0.12764246823956443</v>
      </c>
    </row>
    <row r="14" spans="1:23" x14ac:dyDescent="0.2">
      <c r="A14" t="s">
        <v>13</v>
      </c>
      <c r="B14">
        <v>5.8419037672757519E-4</v>
      </c>
      <c r="C14">
        <v>2.8538035644737873E-4</v>
      </c>
    </row>
    <row r="15" spans="1:23" x14ac:dyDescent="0.2">
      <c r="A15" t="s">
        <v>14</v>
      </c>
      <c r="B15">
        <v>3.3301113188235962E-3</v>
      </c>
      <c r="C15">
        <v>8.6116254486775818E-4</v>
      </c>
    </row>
    <row r="16" spans="1:23" x14ac:dyDescent="0.2">
      <c r="A16" t="s">
        <v>15</v>
      </c>
      <c r="B16">
        <v>1.8039670449139817E-3</v>
      </c>
      <c r="C16">
        <v>4.0512819229000438E-4</v>
      </c>
    </row>
    <row r="22" spans="1:2" x14ac:dyDescent="0.2">
      <c r="A22" t="s">
        <v>18</v>
      </c>
    </row>
    <row r="23" spans="1:2" x14ac:dyDescent="0.2">
      <c r="A23" t="s">
        <v>16</v>
      </c>
    </row>
    <row r="24" spans="1:2" x14ac:dyDescent="0.2">
      <c r="A24" t="s">
        <v>17</v>
      </c>
    </row>
    <row r="29" spans="1:2" x14ac:dyDescent="0.2">
      <c r="A29">
        <f>B12/B11</f>
        <v>2.205831903945112</v>
      </c>
      <c r="B29" t="s">
        <v>19</v>
      </c>
    </row>
    <row r="30" spans="1:2" x14ac:dyDescent="0.2">
      <c r="A30">
        <f>B13/B11</f>
        <v>2.4127272727272731</v>
      </c>
      <c r="B30" t="s">
        <v>20</v>
      </c>
    </row>
    <row r="31" spans="1:2" x14ac:dyDescent="0.2">
      <c r="A31">
        <f>B13/B12</f>
        <v>1.0937947122861587</v>
      </c>
      <c r="B31" t="s">
        <v>21</v>
      </c>
    </row>
    <row r="33" spans="1:2" x14ac:dyDescent="0.2">
      <c r="A33">
        <f>B15/B14</f>
        <v>5.7003871537180819</v>
      </c>
      <c r="B33" t="s">
        <v>22</v>
      </c>
    </row>
    <row r="34" spans="1:2" x14ac:dyDescent="0.2">
      <c r="A34">
        <f>B16/B14</f>
        <v>3.0879780235668339</v>
      </c>
      <c r="B34" t="s">
        <v>23</v>
      </c>
    </row>
  </sheetData>
  <mergeCells count="6">
    <mergeCell ref="A1:B1"/>
    <mergeCell ref="E1:F1"/>
    <mergeCell ref="I1:J1"/>
    <mergeCell ref="Q1:R1"/>
    <mergeCell ref="U1:W1"/>
    <mergeCell ref="M1:O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72379-DAD7-D74A-A5DA-2C15373A8DA5}">
  <dimension ref="A1:R81"/>
  <sheetViews>
    <sheetView zoomScale="49" workbookViewId="0">
      <selection activeCell="AJ36" sqref="AJ36"/>
    </sheetView>
  </sheetViews>
  <sheetFormatPr baseColWidth="10" defaultRowHeight="15" x14ac:dyDescent="0.2"/>
  <sheetData>
    <row r="1" spans="1:16" x14ac:dyDescent="0.2">
      <c r="B1" t="s">
        <v>24</v>
      </c>
      <c r="C1" s="1" t="s">
        <v>25</v>
      </c>
      <c r="D1" s="1"/>
      <c r="E1" s="1"/>
      <c r="G1" s="2"/>
      <c r="O1" s="2"/>
    </row>
    <row r="2" spans="1:16" x14ac:dyDescent="0.2">
      <c r="B2" t="s">
        <v>26</v>
      </c>
      <c r="C2" s="1" t="s">
        <v>27</v>
      </c>
      <c r="D2" s="1"/>
      <c r="E2" s="1"/>
      <c r="G2" s="2"/>
      <c r="O2" s="2"/>
    </row>
    <row r="3" spans="1:16" x14ac:dyDescent="0.2">
      <c r="B3" s="1"/>
      <c r="C3" s="1"/>
      <c r="D3" s="1"/>
      <c r="E3" s="1"/>
      <c r="G3" s="2"/>
      <c r="O3" s="2"/>
    </row>
    <row r="4" spans="1:16" x14ac:dyDescent="0.2">
      <c r="B4" s="1"/>
      <c r="C4" s="1"/>
      <c r="D4" s="1"/>
      <c r="E4" s="1"/>
      <c r="G4" s="2"/>
      <c r="O4" s="2"/>
    </row>
    <row r="5" spans="1:16" x14ac:dyDescent="0.2">
      <c r="B5" s="1"/>
      <c r="C5" s="1"/>
      <c r="D5" s="1"/>
      <c r="E5" s="1"/>
      <c r="F5" t="s">
        <v>28</v>
      </c>
      <c r="G5" s="3" t="s">
        <v>29</v>
      </c>
      <c r="I5" s="15"/>
      <c r="J5" s="15"/>
      <c r="L5" s="15" t="s">
        <v>30</v>
      </c>
      <c r="M5" s="15"/>
      <c r="O5" s="16" t="s">
        <v>31</v>
      </c>
      <c r="P5" s="16"/>
    </row>
    <row r="6" spans="1:16" x14ac:dyDescent="0.2">
      <c r="A6" t="s">
        <v>32</v>
      </c>
      <c r="B6" s="1"/>
      <c r="C6" s="1"/>
      <c r="D6" s="1"/>
      <c r="E6" s="1" t="s">
        <v>111</v>
      </c>
      <c r="F6" s="1" t="s">
        <v>33</v>
      </c>
      <c r="G6" s="3" t="s">
        <v>34</v>
      </c>
      <c r="L6" t="s">
        <v>35</v>
      </c>
      <c r="M6" t="s">
        <v>36</v>
      </c>
      <c r="O6" s="4" t="s">
        <v>35</v>
      </c>
      <c r="P6" s="5" t="s">
        <v>36</v>
      </c>
    </row>
    <row r="7" spans="1:16" x14ac:dyDescent="0.2">
      <c r="A7">
        <v>34.896999999999998</v>
      </c>
      <c r="B7" s="6" t="s">
        <v>37</v>
      </c>
      <c r="C7" s="7" t="s">
        <v>38</v>
      </c>
      <c r="D7" s="1" t="s">
        <v>39</v>
      </c>
      <c r="E7" s="1">
        <v>1.001045241596217</v>
      </c>
      <c r="F7" s="1">
        <v>9.0680858160000007E-6</v>
      </c>
      <c r="G7" s="3">
        <f>F7/ 0.359</f>
        <v>2.5259291966573819E-5</v>
      </c>
      <c r="K7" s="6" t="s">
        <v>37</v>
      </c>
      <c r="L7">
        <v>8.7810714011608197E-4</v>
      </c>
      <c r="M7">
        <v>5.0234309230539104E-5</v>
      </c>
      <c r="O7" s="4">
        <f>L7/A7</f>
        <v>2.5162826034217326E-5</v>
      </c>
      <c r="P7" s="5">
        <f>M7/A7</f>
        <v>1.4395022274275469E-6</v>
      </c>
    </row>
    <row r="8" spans="1:16" x14ac:dyDescent="0.2">
      <c r="A8">
        <v>53.859000000000002</v>
      </c>
      <c r="B8" s="6" t="s">
        <v>40</v>
      </c>
      <c r="C8" s="7" t="s">
        <v>41</v>
      </c>
      <c r="D8" s="1" t="s">
        <v>42</v>
      </c>
      <c r="E8" s="1">
        <v>1.0008885018991871</v>
      </c>
      <c r="F8" s="1">
        <v>1.6731029359999999E-5</v>
      </c>
      <c r="G8" s="3">
        <f t="shared" ref="G8:G21" si="0">F8/ 0.359</f>
        <v>4.6604538607242339E-5</v>
      </c>
      <c r="K8" s="6" t="s">
        <v>40</v>
      </c>
      <c r="L8">
        <v>2.500879381420637E-3</v>
      </c>
      <c r="M8">
        <v>1.2660655271744335E-4</v>
      </c>
      <c r="O8" s="4">
        <f t="shared" ref="O8:O28" si="1">L8/A8</f>
        <v>4.6433825013844236E-5</v>
      </c>
      <c r="P8" s="5">
        <f t="shared" ref="P8:P39" si="2">M8/A8</f>
        <v>2.3507037397174724E-6</v>
      </c>
    </row>
    <row r="9" spans="1:16" x14ac:dyDescent="0.2">
      <c r="A9">
        <v>25.530999999999999</v>
      </c>
      <c r="B9" s="6" t="s">
        <v>43</v>
      </c>
      <c r="C9" s="7" t="s">
        <v>44</v>
      </c>
      <c r="D9" s="1" t="s">
        <v>45</v>
      </c>
      <c r="E9" s="1">
        <v>1.0008885018963509</v>
      </c>
      <c r="F9" s="1">
        <v>2.7600087759999999E-6</v>
      </c>
      <c r="G9" s="3">
        <f t="shared" si="0"/>
        <v>7.6880467298050145E-6</v>
      </c>
      <c r="K9" s="6" t="s">
        <v>43</v>
      </c>
      <c r="L9">
        <v>1.9556452960030229E-4</v>
      </c>
      <c r="M9">
        <v>1.0158722033320065E-5</v>
      </c>
      <c r="O9" s="4">
        <f t="shared" si="1"/>
        <v>7.6598852218989575E-6</v>
      </c>
      <c r="P9" s="5">
        <f t="shared" si="2"/>
        <v>3.9789753763346777E-7</v>
      </c>
    </row>
    <row r="10" spans="1:16" x14ac:dyDescent="0.2">
      <c r="A10">
        <v>65.391999999999996</v>
      </c>
      <c r="B10" s="6" t="s">
        <v>46</v>
      </c>
      <c r="C10" s="7" t="s">
        <v>47</v>
      </c>
      <c r="D10" s="1" t="s">
        <v>48</v>
      </c>
      <c r="E10" s="1">
        <v>1.000888501899547</v>
      </c>
      <c r="F10" s="1">
        <v>1.5802976553E-5</v>
      </c>
      <c r="G10" s="3">
        <f t="shared" si="0"/>
        <v>4.4019433295264624E-5</v>
      </c>
      <c r="K10" s="6" t="s">
        <v>46</v>
      </c>
      <c r="L10">
        <v>2.8679746955733972E-3</v>
      </c>
      <c r="M10">
        <v>8.472346603292725E-5</v>
      </c>
      <c r="O10" s="4">
        <f t="shared" si="1"/>
        <v>4.3858189007422885E-5</v>
      </c>
      <c r="P10" s="5">
        <f t="shared" si="2"/>
        <v>1.2956243276383541E-6</v>
      </c>
    </row>
    <row r="11" spans="1:16" x14ac:dyDescent="0.2">
      <c r="A11">
        <v>21.504999999999999</v>
      </c>
      <c r="B11" s="6" t="s">
        <v>49</v>
      </c>
      <c r="C11" s="7" t="s">
        <v>50</v>
      </c>
      <c r="D11" s="1" t="s">
        <v>51</v>
      </c>
      <c r="E11" s="1">
        <v>1.000888501877742</v>
      </c>
      <c r="F11" s="1">
        <v>1.8070487319000001E-5</v>
      </c>
      <c r="G11" s="3">
        <f t="shared" si="0"/>
        <v>5.0335619272980509E-5</v>
      </c>
      <c r="K11" s="6" t="s">
        <v>49</v>
      </c>
      <c r="L11">
        <v>1.0785023869237772E-3</v>
      </c>
      <c r="M11">
        <v>1.1151130582203634E-4</v>
      </c>
      <c r="O11" s="4">
        <f t="shared" si="1"/>
        <v>5.0151238638631813E-5</v>
      </c>
      <c r="P11" s="5">
        <f t="shared" si="2"/>
        <v>5.1853664646378207E-6</v>
      </c>
    </row>
    <row r="12" spans="1:16" x14ac:dyDescent="0.2">
      <c r="A12">
        <v>55.399000000000001</v>
      </c>
      <c r="B12" s="6" t="s">
        <v>52</v>
      </c>
      <c r="C12" s="7" t="s">
        <v>53</v>
      </c>
      <c r="D12" s="1" t="s">
        <v>54</v>
      </c>
      <c r="E12" s="1">
        <v>1.0220880416968261</v>
      </c>
      <c r="F12" s="1">
        <v>5.2661376920000002E-6</v>
      </c>
      <c r="G12" s="3">
        <f t="shared" si="0"/>
        <v>1.4668907220055711E-5</v>
      </c>
      <c r="K12" s="6" t="s">
        <v>52</v>
      </c>
      <c r="L12">
        <v>7.9287245025600318E-4</v>
      </c>
      <c r="M12">
        <v>2.3581530127224962E-5</v>
      </c>
      <c r="O12" s="4">
        <f t="shared" si="1"/>
        <v>1.4312035420422808E-5</v>
      </c>
      <c r="P12" s="5">
        <f t="shared" si="2"/>
        <v>4.2566707209922493E-7</v>
      </c>
    </row>
    <row r="13" spans="1:16" x14ac:dyDescent="0.2">
      <c r="A13">
        <v>26.266999999999999</v>
      </c>
      <c r="B13" s="6" t="s">
        <v>55</v>
      </c>
      <c r="C13" s="7" t="s">
        <v>56</v>
      </c>
      <c r="D13" s="1" t="s">
        <v>57</v>
      </c>
      <c r="E13" s="1">
        <v>0.99445216025463523</v>
      </c>
      <c r="F13" s="1">
        <v>7.8843394500000004E-7</v>
      </c>
      <c r="G13" s="3">
        <f t="shared" si="0"/>
        <v>2.1961948328690809E-6</v>
      </c>
      <c r="K13" s="6" t="s">
        <v>55</v>
      </c>
      <c r="L13">
        <v>5.7848138963746799E-5</v>
      </c>
      <c r="M13">
        <v>2.5011255499599478E-6</v>
      </c>
      <c r="O13" s="4">
        <f t="shared" si="1"/>
        <v>2.2023123677521908E-6</v>
      </c>
      <c r="P13" s="5">
        <f t="shared" si="2"/>
        <v>9.5219307494572958E-8</v>
      </c>
    </row>
    <row r="14" spans="1:16" x14ac:dyDescent="0.2">
      <c r="A14">
        <v>36.101999999999997</v>
      </c>
      <c r="B14" s="6" t="s">
        <v>58</v>
      </c>
      <c r="C14" s="7" t="s">
        <v>59</v>
      </c>
      <c r="D14" s="1" t="s">
        <v>60</v>
      </c>
      <c r="E14" s="1">
        <v>1.0002139091461899</v>
      </c>
      <c r="F14" s="1">
        <v>7.9157612333999994E-5</v>
      </c>
      <c r="G14" s="3">
        <f t="shared" si="0"/>
        <v>2.2049474187743731E-4</v>
      </c>
      <c r="K14" s="6" t="s">
        <v>58</v>
      </c>
      <c r="L14">
        <v>7.9364915354332086E-3</v>
      </c>
      <c r="M14">
        <v>2.9107043559065555E-4</v>
      </c>
      <c r="O14" s="4">
        <f t="shared" si="1"/>
        <v>2.1983523171661431E-4</v>
      </c>
      <c r="P14" s="5">
        <f t="shared" si="2"/>
        <v>8.0624462797256548E-6</v>
      </c>
    </row>
    <row r="15" spans="1:16" x14ac:dyDescent="0.2">
      <c r="A15">
        <v>41.387999999999998</v>
      </c>
      <c r="B15" s="6" t="s">
        <v>61</v>
      </c>
      <c r="C15" s="7" t="s">
        <v>62</v>
      </c>
      <c r="D15" s="1" t="s">
        <v>63</v>
      </c>
      <c r="E15" s="1">
        <v>1.0002139339227369</v>
      </c>
      <c r="F15" s="1">
        <v>2.2489386049999999E-5</v>
      </c>
      <c r="G15" s="3">
        <f t="shared" si="0"/>
        <v>6.2644529387186626E-5</v>
      </c>
      <c r="K15" s="6" t="s">
        <v>61</v>
      </c>
      <c r="L15">
        <v>2.5849767353351601E-3</v>
      </c>
      <c r="M15">
        <v>5.2563526179080733E-5</v>
      </c>
      <c r="O15" s="4">
        <f t="shared" si="1"/>
        <v>6.2457155101361755E-5</v>
      </c>
      <c r="P15" s="5">
        <f t="shared" si="2"/>
        <v>1.2700185121069086E-6</v>
      </c>
    </row>
    <row r="16" spans="1:16" x14ac:dyDescent="0.2">
      <c r="A16">
        <v>25.937999999999999</v>
      </c>
      <c r="B16" s="6" t="s">
        <v>64</v>
      </c>
      <c r="C16" s="7" t="s">
        <v>65</v>
      </c>
      <c r="D16" s="1" t="s">
        <v>66</v>
      </c>
      <c r="E16" s="1">
        <v>0.99963210423763305</v>
      </c>
      <c r="F16" s="1">
        <v>2.4562120804999999E-5</v>
      </c>
      <c r="G16" s="3">
        <f t="shared" si="0"/>
        <v>6.8418163802228408E-5</v>
      </c>
      <c r="K16" s="6" t="s">
        <v>64</v>
      </c>
      <c r="L16">
        <v>1.7703521090390627E-3</v>
      </c>
      <c r="M16">
        <v>2.5653538810896839E-5</v>
      </c>
      <c r="O16" s="4">
        <f t="shared" si="1"/>
        <v>6.8253223418885916E-5</v>
      </c>
      <c r="P16" s="5">
        <f t="shared" si="2"/>
        <v>9.8903303303634984E-7</v>
      </c>
    </row>
    <row r="17" spans="1:18" x14ac:dyDescent="0.2">
      <c r="A17">
        <v>45.743000000000002</v>
      </c>
      <c r="B17" s="6" t="s">
        <v>67</v>
      </c>
      <c r="C17" s="7" t="s">
        <v>68</v>
      </c>
      <c r="D17" s="1" t="s">
        <v>69</v>
      </c>
      <c r="E17" s="1">
        <v>0.99963210424259119</v>
      </c>
      <c r="F17" s="1">
        <v>4.0234834361999997E-5</v>
      </c>
      <c r="G17" s="3">
        <f t="shared" si="0"/>
        <v>1.1207474752646239E-4</v>
      </c>
      <c r="K17" s="6" t="s">
        <v>67</v>
      </c>
      <c r="L17">
        <v>5.1142760432945624E-3</v>
      </c>
      <c r="M17">
        <v>1.9427640416297163E-4</v>
      </c>
      <c r="O17" s="4">
        <f t="shared" si="1"/>
        <v>1.1180456120706036E-4</v>
      </c>
      <c r="P17" s="5">
        <f t="shared" si="2"/>
        <v>4.2471286134047097E-6</v>
      </c>
    </row>
    <row r="18" spans="1:18" x14ac:dyDescent="0.2">
      <c r="A18">
        <v>51.445</v>
      </c>
      <c r="B18" s="6" t="s">
        <v>70</v>
      </c>
      <c r="C18" s="7" t="s">
        <v>71</v>
      </c>
      <c r="D18" s="1" t="s">
        <v>72</v>
      </c>
      <c r="E18" s="1">
        <v>0.99376109915642619</v>
      </c>
      <c r="F18" s="1">
        <v>5.3222812407000003E-5</v>
      </c>
      <c r="G18" s="3">
        <f t="shared" si="0"/>
        <v>1.4825295935097494E-4</v>
      </c>
      <c r="K18" s="6" t="s">
        <v>70</v>
      </c>
      <c r="L18">
        <v>7.6534367672090545E-3</v>
      </c>
      <c r="M18">
        <v>2.5661941267832855E-4</v>
      </c>
      <c r="O18" s="4">
        <f t="shared" si="1"/>
        <v>1.4876930250187686E-4</v>
      </c>
      <c r="P18" s="5">
        <f t="shared" si="2"/>
        <v>4.9882284513233268E-6</v>
      </c>
    </row>
    <row r="19" spans="1:18" x14ac:dyDescent="0.2">
      <c r="A19">
        <v>60.926000000000002</v>
      </c>
      <c r="B19" s="6" t="s">
        <v>73</v>
      </c>
      <c r="C19" s="7" t="s">
        <v>74</v>
      </c>
      <c r="D19" s="1" t="s">
        <v>75</v>
      </c>
      <c r="E19" s="1">
        <v>1.001686406936918</v>
      </c>
      <c r="F19" s="1">
        <v>6.9573726405E-5</v>
      </c>
      <c r="G19" s="3">
        <f t="shared" si="0"/>
        <v>1.9379868079387187E-4</v>
      </c>
      <c r="K19" s="6" t="s">
        <v>73</v>
      </c>
      <c r="L19">
        <v>1.175475684914956E-2</v>
      </c>
      <c r="M19">
        <v>2.0380980611285361E-4</v>
      </c>
      <c r="O19" s="4">
        <f t="shared" si="1"/>
        <v>1.9293498422922166E-4</v>
      </c>
      <c r="P19" s="5">
        <f t="shared" si="2"/>
        <v>3.3452024769860749E-6</v>
      </c>
    </row>
    <row r="20" spans="1:18" x14ac:dyDescent="0.2">
      <c r="A20">
        <v>36.122</v>
      </c>
      <c r="B20" s="6" t="s">
        <v>76</v>
      </c>
      <c r="C20" s="7" t="s">
        <v>77</v>
      </c>
      <c r="D20" s="1" t="s">
        <v>78</v>
      </c>
      <c r="E20" s="1">
        <v>11.99600487918072</v>
      </c>
      <c r="F20" s="1">
        <v>1.4206691536E-5</v>
      </c>
      <c r="G20" s="3">
        <f t="shared" si="0"/>
        <v>3.9572956924791089E-5</v>
      </c>
      <c r="K20" s="6" t="s">
        <v>76</v>
      </c>
      <c r="L20">
        <v>1.1882986526484123E-4</v>
      </c>
      <c r="M20">
        <v>7.0063939146987032E-6</v>
      </c>
      <c r="O20" s="4">
        <f t="shared" si="1"/>
        <v>3.2896812265334485E-6</v>
      </c>
      <c r="P20" s="5">
        <f t="shared" si="2"/>
        <v>1.9396472827359235E-7</v>
      </c>
    </row>
    <row r="21" spans="1:18" x14ac:dyDescent="0.2">
      <c r="A21">
        <v>40.145000000000003</v>
      </c>
      <c r="B21" s="6" t="s">
        <v>79</v>
      </c>
      <c r="C21" s="7" t="s">
        <v>80</v>
      </c>
      <c r="D21" s="1"/>
      <c r="E21" s="1" t="e">
        <v>#N/A</v>
      </c>
      <c r="F21" s="1" t="e">
        <v>#N/A</v>
      </c>
      <c r="G21" s="3" t="e">
        <f t="shared" si="0"/>
        <v>#N/A</v>
      </c>
      <c r="K21" s="6" t="s">
        <v>79</v>
      </c>
      <c r="L21">
        <v>2.8991671297659326E-3</v>
      </c>
      <c r="M21">
        <v>1.0513914294550844E-4</v>
      </c>
      <c r="O21" s="4">
        <f t="shared" si="1"/>
        <v>7.2217390204656431E-5</v>
      </c>
      <c r="P21" s="5">
        <f t="shared" si="2"/>
        <v>2.618984753904806E-6</v>
      </c>
    </row>
    <row r="22" spans="1:18" x14ac:dyDescent="0.2">
      <c r="B22" s="6"/>
      <c r="C22" s="7"/>
      <c r="D22" s="1"/>
      <c r="E22" s="1"/>
      <c r="F22" s="1"/>
      <c r="G22" s="3"/>
      <c r="K22" s="6"/>
      <c r="O22" s="4"/>
      <c r="P22" s="5"/>
    </row>
    <row r="23" spans="1:18" x14ac:dyDescent="0.2">
      <c r="A23">
        <v>70.307000000000002</v>
      </c>
      <c r="B23" s="6" t="s">
        <v>82</v>
      </c>
      <c r="C23" s="7" t="s">
        <v>83</v>
      </c>
      <c r="E23" s="1"/>
      <c r="F23" s="1">
        <v>6.5150800000000001E-8</v>
      </c>
      <c r="G23" s="3">
        <f>F23/ 0.359</f>
        <v>1.8147855153203343E-7</v>
      </c>
      <c r="H23" s="8">
        <f>(O23-G23)/O23</f>
        <v>-2.786032741833934E-3</v>
      </c>
      <c r="K23" s="6" t="s">
        <v>82</v>
      </c>
      <c r="L23">
        <v>1.2723763700294297E-5</v>
      </c>
      <c r="M23">
        <v>8.4213966340878746E-7</v>
      </c>
      <c r="O23" s="4">
        <f t="shared" si="1"/>
        <v>1.8097435106453549E-7</v>
      </c>
      <c r="P23" s="5">
        <f t="shared" si="2"/>
        <v>1.1978034383614539E-8</v>
      </c>
    </row>
    <row r="24" spans="1:18" x14ac:dyDescent="0.2">
      <c r="A24">
        <v>70.513999999999996</v>
      </c>
      <c r="B24" s="6" t="s">
        <v>84</v>
      </c>
      <c r="C24" s="7" t="s">
        <v>85</v>
      </c>
      <c r="E24" s="1"/>
      <c r="F24" s="1">
        <v>1.6735299999999999E-6</v>
      </c>
      <c r="G24" s="3">
        <f t="shared" ref="G24:G39" si="3">F24/ 0.359</f>
        <v>4.6616434540389972E-6</v>
      </c>
      <c r="H24" s="8">
        <f t="shared" ref="H24:H39" si="4">(O24-G24)/O24</f>
        <v>-0.30362495992553978</v>
      </c>
      <c r="K24" s="6" t="s">
        <v>84</v>
      </c>
      <c r="L24">
        <v>2.521516054255981E-4</v>
      </c>
      <c r="M24">
        <v>9.1077870869679429E-6</v>
      </c>
      <c r="O24" s="4">
        <f t="shared" si="1"/>
        <v>3.5759084072042163E-6</v>
      </c>
      <c r="P24" s="5">
        <f t="shared" si="2"/>
        <v>1.2916281996437508E-7</v>
      </c>
    </row>
    <row r="25" spans="1:18" x14ac:dyDescent="0.2">
      <c r="A25">
        <v>41.857999999999997</v>
      </c>
      <c r="B25" s="6" t="s">
        <v>86</v>
      </c>
      <c r="C25" s="7" t="s">
        <v>87</v>
      </c>
      <c r="E25" s="1"/>
      <c r="F25" s="1">
        <v>2.5774776459999999E-6</v>
      </c>
      <c r="G25" s="3">
        <f t="shared" si="3"/>
        <v>7.179603470752089E-6</v>
      </c>
      <c r="H25" s="8">
        <f t="shared" si="4"/>
        <v>-0.28981279659702164</v>
      </c>
      <c r="K25" s="6" t="s">
        <v>86</v>
      </c>
      <c r="L25">
        <v>2.3299803108763395E-4</v>
      </c>
      <c r="M25">
        <v>7.3848104264098787E-6</v>
      </c>
      <c r="O25" s="4">
        <f t="shared" si="1"/>
        <v>5.5663918746149829E-6</v>
      </c>
      <c r="P25" s="5">
        <f t="shared" si="2"/>
        <v>1.7642530523221079E-7</v>
      </c>
    </row>
    <row r="26" spans="1:18" x14ac:dyDescent="0.2">
      <c r="A26">
        <v>41.369</v>
      </c>
      <c r="B26" s="6" t="s">
        <v>88</v>
      </c>
      <c r="C26" s="7" t="s">
        <v>112</v>
      </c>
      <c r="E26" s="1"/>
      <c r="F26" s="1">
        <v>2.6570791299999998E-6</v>
      </c>
      <c r="G26" s="3">
        <f t="shared" si="3"/>
        <v>7.4013346239554317E-6</v>
      </c>
      <c r="H26" s="8">
        <f t="shared" si="4"/>
        <v>-0.28981279640185631</v>
      </c>
      <c r="K26" s="6" t="s">
        <v>88</v>
      </c>
      <c r="L26">
        <v>2.3738779217617287E-4</v>
      </c>
      <c r="M26">
        <v>7.4520024621489683E-6</v>
      </c>
      <c r="O26" s="4">
        <f t="shared" si="1"/>
        <v>5.7383014376990713E-6</v>
      </c>
      <c r="P26" s="5">
        <f t="shared" si="2"/>
        <v>1.8013494312526211E-7</v>
      </c>
    </row>
    <row r="27" spans="1:18" x14ac:dyDescent="0.2">
      <c r="A27">
        <v>30.474</v>
      </c>
      <c r="B27" s="6" t="s">
        <v>90</v>
      </c>
      <c r="C27" s="7" t="s">
        <v>113</v>
      </c>
      <c r="E27" s="1"/>
      <c r="F27" s="1">
        <v>6.4759621099999997E-7</v>
      </c>
      <c r="G27" s="3">
        <f t="shared" si="3"/>
        <v>1.8038891671309193E-6</v>
      </c>
      <c r="H27" s="8">
        <f t="shared" si="4"/>
        <v>-0.28981279705822</v>
      </c>
      <c r="K27" s="6" t="s">
        <v>90</v>
      </c>
      <c r="L27">
        <v>4.2619920196578962E-5</v>
      </c>
      <c r="M27">
        <v>1.9420757630582804E-6</v>
      </c>
      <c r="O27" s="4">
        <f t="shared" si="1"/>
        <v>1.3985666534284624E-6</v>
      </c>
      <c r="P27" s="5">
        <f t="shared" si="2"/>
        <v>6.3728941493019642E-8</v>
      </c>
    </row>
    <row r="28" spans="1:18" x14ac:dyDescent="0.2">
      <c r="A28">
        <v>39.941000000000003</v>
      </c>
      <c r="B28" s="6" t="s">
        <v>92</v>
      </c>
      <c r="C28" s="7" t="s">
        <v>114</v>
      </c>
      <c r="E28" s="1"/>
      <c r="F28" s="1">
        <v>5.3365337299999998E-6</v>
      </c>
      <c r="G28" s="3">
        <f t="shared" si="3"/>
        <v>1.4864996462395543E-5</v>
      </c>
      <c r="H28" s="8">
        <f t="shared" si="4"/>
        <v>-0.28981279642328422</v>
      </c>
      <c r="K28" s="6" t="s">
        <v>92</v>
      </c>
      <c r="L28">
        <v>4.6031705170778559E-4</v>
      </c>
      <c r="M28">
        <v>1.1282131489038944E-5</v>
      </c>
      <c r="O28" s="4">
        <f t="shared" si="1"/>
        <v>1.152492555789253E-5</v>
      </c>
      <c r="P28" s="5">
        <f t="shared" si="2"/>
        <v>2.8246993037327416E-7</v>
      </c>
    </row>
    <row r="29" spans="1:18" x14ac:dyDescent="0.2">
      <c r="A29">
        <v>36.503999999999998</v>
      </c>
      <c r="B29" s="6" t="s">
        <v>94</v>
      </c>
      <c r="C29" s="7" t="s">
        <v>115</v>
      </c>
      <c r="E29" s="1"/>
      <c r="F29" s="1">
        <v>1.0536128895E-5</v>
      </c>
      <c r="G29" s="3">
        <f t="shared" si="3"/>
        <v>2.9348548454038997E-5</v>
      </c>
      <c r="H29" s="8">
        <f t="shared" si="4"/>
        <v>-0.28981279628229328</v>
      </c>
      <c r="K29" s="6" t="s">
        <v>94</v>
      </c>
      <c r="L29">
        <v>8.3061620713814198E-4</v>
      </c>
      <c r="M29">
        <v>1.4977680843132558E-5</v>
      </c>
      <c r="O29" s="4">
        <f>L29/A29</f>
        <v>2.2754114813120263E-5</v>
      </c>
      <c r="P29" s="5">
        <f t="shared" si="2"/>
        <v>4.1030245570711589E-7</v>
      </c>
      <c r="R29" t="s">
        <v>96</v>
      </c>
    </row>
    <row r="30" spans="1:18" x14ac:dyDescent="0.2">
      <c r="A30">
        <v>31.189</v>
      </c>
      <c r="B30" s="9" t="s">
        <v>97</v>
      </c>
      <c r="C30" s="10" t="s">
        <v>98</v>
      </c>
      <c r="E30" s="1"/>
      <c r="F30" s="1">
        <v>1.6887157820000001E-6</v>
      </c>
      <c r="G30" s="3">
        <f t="shared" si="3"/>
        <v>4.7039436824512541E-6</v>
      </c>
      <c r="H30" s="8">
        <f t="shared" si="4"/>
        <v>-9.182030473819669E-2</v>
      </c>
      <c r="K30" s="9" t="s">
        <v>97</v>
      </c>
      <c r="L30">
        <v>1.3437311879554347E-4</v>
      </c>
      <c r="M30">
        <v>4.6027477844345979E-6</v>
      </c>
      <c r="O30" s="4">
        <f t="shared" ref="O30:O38" si="5">L30/A30</f>
        <v>4.3083497000719311E-6</v>
      </c>
      <c r="P30" s="5">
        <f t="shared" si="2"/>
        <v>1.4757599744892745E-7</v>
      </c>
    </row>
    <row r="31" spans="1:18" x14ac:dyDescent="0.2">
      <c r="A31">
        <v>21.824999999999999</v>
      </c>
      <c r="B31" s="9" t="s">
        <v>99</v>
      </c>
      <c r="C31" s="10" t="s">
        <v>100</v>
      </c>
      <c r="E31" s="1"/>
      <c r="F31" s="1">
        <v>4.8380099999999995E-7</v>
      </c>
      <c r="G31" s="3">
        <f t="shared" si="3"/>
        <v>1.347635097493036E-6</v>
      </c>
      <c r="H31" s="8">
        <f t="shared" si="4"/>
        <v>-0.30362234995826565</v>
      </c>
      <c r="K31" s="9" t="s">
        <v>99</v>
      </c>
      <c r="L31">
        <v>2.2561853134634518E-5</v>
      </c>
      <c r="M31">
        <v>1.0968716671586267E-6</v>
      </c>
      <c r="O31" s="4">
        <f t="shared" si="5"/>
        <v>1.0337618847484315E-6</v>
      </c>
      <c r="P31" s="5">
        <f t="shared" si="2"/>
        <v>5.0257579251254371E-8</v>
      </c>
    </row>
    <row r="32" spans="1:18" x14ac:dyDescent="0.2">
      <c r="A32">
        <v>12.662000000000001</v>
      </c>
      <c r="B32" s="11" t="s">
        <v>101</v>
      </c>
      <c r="C32" s="12" t="s">
        <v>102</v>
      </c>
      <c r="F32">
        <v>6.421607046E-6</v>
      </c>
      <c r="G32" s="3">
        <f t="shared" si="3"/>
        <v>1.7887484807799442E-5</v>
      </c>
      <c r="H32" s="8">
        <f t="shared" si="4"/>
        <v>-3.8844468858239202E-2</v>
      </c>
      <c r="K32" s="11" t="s">
        <v>101</v>
      </c>
      <c r="L32">
        <v>2.1802236949414183E-4</v>
      </c>
      <c r="M32">
        <v>4.5004422028753396E-6</v>
      </c>
      <c r="O32" s="4">
        <f t="shared" si="5"/>
        <v>1.7218636036498328E-5</v>
      </c>
      <c r="P32" s="5">
        <f t="shared" si="2"/>
        <v>3.5542901618033006E-7</v>
      </c>
    </row>
    <row r="33" spans="1:16" x14ac:dyDescent="0.2">
      <c r="A33">
        <v>9.9649999999999999</v>
      </c>
      <c r="B33" s="13" t="s">
        <v>103</v>
      </c>
      <c r="C33" t="s">
        <v>103</v>
      </c>
      <c r="F33">
        <v>1.5356100000000001E-7</v>
      </c>
      <c r="G33" s="3">
        <f t="shared" si="3"/>
        <v>4.277465181058496E-7</v>
      </c>
      <c r="H33" s="8">
        <f t="shared" si="4"/>
        <v>0.29805109662589446</v>
      </c>
      <c r="K33" s="13" t="s">
        <v>103</v>
      </c>
      <c r="L33">
        <v>6.0723708412905434E-6</v>
      </c>
      <c r="M33">
        <v>3.276007152527668E-7</v>
      </c>
      <c r="O33" s="4">
        <f t="shared" si="5"/>
        <v>6.0936987870452012E-7</v>
      </c>
      <c r="P33" s="5">
        <f t="shared" si="2"/>
        <v>3.2875134496012725E-8</v>
      </c>
    </row>
    <row r="34" spans="1:16" x14ac:dyDescent="0.2">
      <c r="A34">
        <v>23.779</v>
      </c>
      <c r="B34" s="13" t="s">
        <v>105</v>
      </c>
      <c r="C34" t="s">
        <v>105</v>
      </c>
      <c r="F34">
        <v>1.30097E-7</v>
      </c>
      <c r="G34" s="3">
        <f t="shared" si="3"/>
        <v>3.6238718662952649E-7</v>
      </c>
      <c r="H34" s="8">
        <f t="shared" si="4"/>
        <v>0.29804856315343586</v>
      </c>
      <c r="K34" s="13" t="s">
        <v>105</v>
      </c>
      <c r="L34">
        <v>1.2276069908162464E-5</v>
      </c>
      <c r="M34">
        <v>6.8282399415121016E-7</v>
      </c>
      <c r="O34" s="4">
        <f t="shared" si="5"/>
        <v>5.1625677733136231E-7</v>
      </c>
      <c r="P34" s="5">
        <f t="shared" si="2"/>
        <v>2.8715420923975363E-8</v>
      </c>
    </row>
    <row r="35" spans="1:16" x14ac:dyDescent="0.2">
      <c r="A35">
        <v>25.721</v>
      </c>
      <c r="B35" s="13" t="s">
        <v>106</v>
      </c>
      <c r="C35" t="s">
        <v>106</v>
      </c>
      <c r="F35">
        <v>2.4287099999999998E-7</v>
      </c>
      <c r="G35" s="3">
        <f t="shared" si="3"/>
        <v>6.7652089136490251E-7</v>
      </c>
      <c r="H35" s="8">
        <f t="shared" si="4"/>
        <v>0.29804899475185626</v>
      </c>
      <c r="J35" s="2"/>
      <c r="K35" s="13" t="s">
        <v>106</v>
      </c>
      <c r="L35">
        <v>2.4789185736183079E-5</v>
      </c>
      <c r="M35">
        <v>1.2226908906238183E-6</v>
      </c>
      <c r="O35" s="4">
        <f t="shared" si="5"/>
        <v>9.6377223810050456E-7</v>
      </c>
      <c r="P35" s="5">
        <f t="shared" si="2"/>
        <v>4.7536677836157935E-8</v>
      </c>
    </row>
    <row r="36" spans="1:16" x14ac:dyDescent="0.2">
      <c r="A36">
        <v>38.411999999999999</v>
      </c>
      <c r="B36" s="13" t="s">
        <v>107</v>
      </c>
      <c r="C36" t="s">
        <v>107</v>
      </c>
      <c r="F36">
        <v>1.07707E-7</v>
      </c>
      <c r="G36" s="3">
        <f t="shared" si="3"/>
        <v>3.0001949860724235E-7</v>
      </c>
      <c r="H36" s="8">
        <f t="shared" si="4"/>
        <v>0.29805080724573108</v>
      </c>
      <c r="K36" s="13" t="s">
        <v>107</v>
      </c>
      <c r="L36">
        <v>1.6417639765753983E-5</v>
      </c>
      <c r="M36">
        <v>9.4446367372077682E-7</v>
      </c>
      <c r="O36" s="4">
        <f t="shared" si="5"/>
        <v>4.274091368779023E-7</v>
      </c>
      <c r="P36" s="5">
        <f t="shared" si="2"/>
        <v>2.4587724505903801E-8</v>
      </c>
    </row>
    <row r="37" spans="1:16" x14ac:dyDescent="0.2">
      <c r="A37">
        <v>52.136000000000003</v>
      </c>
      <c r="B37" s="13" t="s">
        <v>108</v>
      </c>
      <c r="C37" t="s">
        <v>108</v>
      </c>
      <c r="F37">
        <v>3.3944399999999998E-7</v>
      </c>
      <c r="G37" s="3">
        <f t="shared" si="3"/>
        <v>9.4552646239554316E-7</v>
      </c>
      <c r="H37" s="8">
        <f t="shared" si="4"/>
        <v>0.29805032865467446</v>
      </c>
      <c r="K37" s="13" t="s">
        <v>108</v>
      </c>
      <c r="L37">
        <v>7.0227210946584789E-5</v>
      </c>
      <c r="M37">
        <v>3.2266732930678812E-6</v>
      </c>
      <c r="O37" s="4">
        <f t="shared" si="5"/>
        <v>1.3470003634069508E-6</v>
      </c>
      <c r="P37" s="5">
        <f t="shared" si="2"/>
        <v>6.1889544519485208E-8</v>
      </c>
    </row>
    <row r="38" spans="1:16" x14ac:dyDescent="0.2">
      <c r="A38">
        <v>22.757999999999999</v>
      </c>
      <c r="B38" s="13" t="s">
        <v>109</v>
      </c>
      <c r="C38" t="s">
        <v>109</v>
      </c>
      <c r="F38">
        <v>1.7036900000000001E-7</v>
      </c>
      <c r="G38" s="3">
        <f t="shared" si="3"/>
        <v>4.7456545961002787E-7</v>
      </c>
      <c r="H38" s="8">
        <f t="shared" si="4"/>
        <v>0.29805090502756831</v>
      </c>
      <c r="K38" s="13" t="s">
        <v>109</v>
      </c>
      <c r="L38">
        <v>1.5385960046332389E-5</v>
      </c>
      <c r="M38">
        <v>8.1393792288849254E-7</v>
      </c>
      <c r="O38" s="4">
        <f t="shared" si="5"/>
        <v>6.7606819783515206E-7</v>
      </c>
      <c r="P38" s="5">
        <f t="shared" si="2"/>
        <v>3.5764914442767053E-8</v>
      </c>
    </row>
    <row r="39" spans="1:16" x14ac:dyDescent="0.2">
      <c r="A39">
        <v>20.85</v>
      </c>
      <c r="B39" s="13" t="s">
        <v>110</v>
      </c>
      <c r="C39" t="s">
        <v>110</v>
      </c>
      <c r="F39">
        <v>9.5385100000000001E-7</v>
      </c>
      <c r="G39" s="3">
        <f t="shared" si="3"/>
        <v>2.656966573816156E-6</v>
      </c>
      <c r="H39" s="8">
        <f t="shared" si="4"/>
        <v>0.29805024196130531</v>
      </c>
      <c r="K39" s="13" t="s">
        <v>110</v>
      </c>
      <c r="L39">
        <v>7.8919826425829579E-5</v>
      </c>
      <c r="M39">
        <v>2.805616048166686E-6</v>
      </c>
      <c r="O39" s="4">
        <f>L39/A39</f>
        <v>3.7851235695841523E-6</v>
      </c>
      <c r="P39" s="5">
        <f t="shared" si="2"/>
        <v>1.3456192077538062E-7</v>
      </c>
    </row>
    <row r="40" spans="1:16" x14ac:dyDescent="0.2">
      <c r="O40" s="2"/>
    </row>
    <row r="41" spans="1:16" x14ac:dyDescent="0.2">
      <c r="O41" s="2"/>
    </row>
    <row r="42" spans="1:16" x14ac:dyDescent="0.2">
      <c r="O42" s="2"/>
    </row>
    <row r="43" spans="1:16" x14ac:dyDescent="0.2">
      <c r="O43" s="2"/>
    </row>
    <row r="44" spans="1:16" x14ac:dyDescent="0.2">
      <c r="O44" s="2"/>
    </row>
    <row r="45" spans="1:16" x14ac:dyDescent="0.2">
      <c r="O45" s="2"/>
    </row>
    <row r="46" spans="1:16" x14ac:dyDescent="0.2">
      <c r="O46" s="2"/>
    </row>
    <row r="47" spans="1:16" x14ac:dyDescent="0.2">
      <c r="O47" s="2"/>
    </row>
    <row r="48" spans="1:16" x14ac:dyDescent="0.2">
      <c r="O48" s="2"/>
    </row>
    <row r="49" spans="2:15" x14ac:dyDescent="0.2">
      <c r="O49" s="2"/>
    </row>
    <row r="50" spans="2:15" x14ac:dyDescent="0.2">
      <c r="O50" s="2"/>
    </row>
    <row r="51" spans="2:15" x14ac:dyDescent="0.2">
      <c r="G51" s="2"/>
      <c r="O51" s="2"/>
    </row>
    <row r="52" spans="2:15" x14ac:dyDescent="0.2">
      <c r="E52" t="s">
        <v>29</v>
      </c>
      <c r="F52" s="16" t="s">
        <v>31</v>
      </c>
      <c r="G52" s="16"/>
      <c r="O52" s="2"/>
    </row>
    <row r="53" spans="2:15" x14ac:dyDescent="0.2">
      <c r="B53" s="2"/>
      <c r="E53" t="s">
        <v>34</v>
      </c>
      <c r="F53" s="4" t="s">
        <v>35</v>
      </c>
      <c r="G53" s="5" t="s">
        <v>36</v>
      </c>
      <c r="O53" s="2"/>
    </row>
    <row r="54" spans="2:15" x14ac:dyDescent="0.2">
      <c r="B54" s="8"/>
      <c r="D54" s="1" t="s">
        <v>39</v>
      </c>
      <c r="E54">
        <v>2.5259291966573819E-5</v>
      </c>
      <c r="F54">
        <v>2.5162826034217326E-5</v>
      </c>
      <c r="G54" s="2">
        <v>1.4395022274275469E-6</v>
      </c>
      <c r="O54" s="2"/>
    </row>
    <row r="55" spans="2:15" x14ac:dyDescent="0.2">
      <c r="D55" s="1" t="s">
        <v>42</v>
      </c>
      <c r="E55">
        <v>4.6604538607242339E-5</v>
      </c>
      <c r="F55">
        <v>4.6433825013844236E-5</v>
      </c>
      <c r="G55" s="2">
        <v>2.3507037397174724E-6</v>
      </c>
      <c r="O55" s="2"/>
    </row>
    <row r="56" spans="2:15" x14ac:dyDescent="0.2">
      <c r="D56" s="1" t="s">
        <v>45</v>
      </c>
      <c r="E56">
        <v>7.6880467298050145E-6</v>
      </c>
      <c r="F56">
        <v>7.6598852218989575E-6</v>
      </c>
      <c r="G56" s="2">
        <v>3.9789753763346777E-7</v>
      </c>
      <c r="O56" s="2"/>
    </row>
    <row r="57" spans="2:15" x14ac:dyDescent="0.2">
      <c r="B57" s="2"/>
      <c r="D57" s="1" t="s">
        <v>48</v>
      </c>
      <c r="E57">
        <v>4.4019433295264624E-5</v>
      </c>
      <c r="F57">
        <v>4.3858189007422885E-5</v>
      </c>
      <c r="G57" s="2">
        <v>1.2956243276383541E-6</v>
      </c>
      <c r="O57" s="2"/>
    </row>
    <row r="58" spans="2:15" x14ac:dyDescent="0.2">
      <c r="B58" s="8"/>
      <c r="D58" s="1" t="s">
        <v>51</v>
      </c>
      <c r="E58">
        <v>5.0335619272980509E-5</v>
      </c>
      <c r="F58">
        <v>5.0151238638631813E-5</v>
      </c>
      <c r="G58" s="2">
        <v>5.1853664646378207E-6</v>
      </c>
      <c r="O58" s="2"/>
    </row>
    <row r="59" spans="2:15" x14ac:dyDescent="0.2">
      <c r="D59" s="1" t="s">
        <v>54</v>
      </c>
      <c r="E59">
        <v>1.4668907220055711E-5</v>
      </c>
      <c r="F59">
        <v>1.4312035420422808E-5</v>
      </c>
      <c r="G59" s="2">
        <v>4.2566707209922493E-7</v>
      </c>
      <c r="O59" s="2"/>
    </row>
    <row r="60" spans="2:15" x14ac:dyDescent="0.2">
      <c r="D60" s="1" t="s">
        <v>57</v>
      </c>
      <c r="E60">
        <v>2.1961948328690809E-6</v>
      </c>
      <c r="F60">
        <v>2.2023123677521908E-6</v>
      </c>
      <c r="G60" s="2">
        <v>9.5219307494572958E-8</v>
      </c>
      <c r="O60" s="2"/>
    </row>
    <row r="61" spans="2:15" x14ac:dyDescent="0.2">
      <c r="D61" s="1" t="s">
        <v>60</v>
      </c>
      <c r="E61">
        <v>2.2049474187743731E-4</v>
      </c>
      <c r="F61">
        <v>2.1983523171661431E-4</v>
      </c>
      <c r="G61" s="2">
        <v>8.0624462797256548E-6</v>
      </c>
      <c r="O61" s="2"/>
    </row>
    <row r="62" spans="2:15" x14ac:dyDescent="0.2">
      <c r="D62" s="1" t="s">
        <v>63</v>
      </c>
      <c r="E62">
        <v>6.2644529387186626E-5</v>
      </c>
      <c r="F62">
        <v>6.2457155101361755E-5</v>
      </c>
      <c r="G62" s="2">
        <v>1.2700185121069086E-6</v>
      </c>
      <c r="O62" s="2"/>
    </row>
    <row r="63" spans="2:15" x14ac:dyDescent="0.2">
      <c r="D63" s="1" t="s">
        <v>66</v>
      </c>
      <c r="E63">
        <v>6.8418163802228408E-5</v>
      </c>
      <c r="F63">
        <v>6.8253223418885916E-5</v>
      </c>
      <c r="G63" s="2">
        <v>9.8903303303634984E-7</v>
      </c>
      <c r="O63" s="2"/>
    </row>
    <row r="64" spans="2:15" x14ac:dyDescent="0.2">
      <c r="D64" s="1" t="s">
        <v>69</v>
      </c>
      <c r="E64">
        <v>1.1207474752646239E-4</v>
      </c>
      <c r="F64">
        <v>1.1180456120706036E-4</v>
      </c>
      <c r="G64" s="2">
        <v>4.2471286134047097E-6</v>
      </c>
      <c r="O64" s="2"/>
    </row>
    <row r="65" spans="4:15" x14ac:dyDescent="0.2">
      <c r="D65" s="1" t="s">
        <v>72</v>
      </c>
      <c r="E65">
        <v>1.4825295935097494E-4</v>
      </c>
      <c r="F65">
        <v>1.4876930250187686E-4</v>
      </c>
      <c r="G65" s="2">
        <v>4.9882284513233268E-6</v>
      </c>
      <c r="O65" s="2"/>
    </row>
    <row r="66" spans="4:15" x14ac:dyDescent="0.2">
      <c r="D66" s="1" t="s">
        <v>75</v>
      </c>
      <c r="E66">
        <v>1.9379868079387187E-4</v>
      </c>
      <c r="F66">
        <v>1.9293498422922166E-4</v>
      </c>
      <c r="G66" s="2">
        <v>3.3452024769860749E-6</v>
      </c>
      <c r="O66" s="2"/>
    </row>
    <row r="67" spans="4:15" x14ac:dyDescent="0.2">
      <c r="D67" s="1" t="s">
        <v>78</v>
      </c>
      <c r="E67">
        <v>3.9572956924791089E-5</v>
      </c>
      <c r="F67" s="2">
        <v>7.5507071431189882E-5</v>
      </c>
      <c r="G67" s="2">
        <f>SUM(P20:P22)</f>
        <v>2.8129494821783982E-6</v>
      </c>
      <c r="O67" s="2"/>
    </row>
    <row r="68" spans="4:15" x14ac:dyDescent="0.2">
      <c r="G68" s="2"/>
      <c r="O68" s="2"/>
    </row>
    <row r="69" spans="4:15" x14ac:dyDescent="0.2">
      <c r="G69" s="2"/>
      <c r="O69" s="2"/>
    </row>
    <row r="70" spans="4:15" x14ac:dyDescent="0.2">
      <c r="G70" s="2"/>
      <c r="O70" s="2"/>
    </row>
    <row r="71" spans="4:15" x14ac:dyDescent="0.2">
      <c r="G71" s="2"/>
      <c r="O71" s="2"/>
    </row>
    <row r="72" spans="4:15" x14ac:dyDescent="0.2">
      <c r="G72" s="2"/>
      <c r="O72" s="2"/>
    </row>
    <row r="73" spans="4:15" x14ac:dyDescent="0.2">
      <c r="G73" s="2"/>
      <c r="O73" s="2"/>
    </row>
    <row r="74" spans="4:15" x14ac:dyDescent="0.2">
      <c r="G74" s="2"/>
      <c r="O74" s="2"/>
    </row>
    <row r="75" spans="4:15" x14ac:dyDescent="0.2">
      <c r="G75" s="2"/>
      <c r="O75" s="2"/>
    </row>
    <row r="76" spans="4:15" x14ac:dyDescent="0.2">
      <c r="G76" s="2"/>
      <c r="O76" s="2"/>
    </row>
    <row r="77" spans="4:15" x14ac:dyDescent="0.2">
      <c r="G77" s="2"/>
      <c r="O77" s="2"/>
    </row>
    <row r="78" spans="4:15" x14ac:dyDescent="0.2">
      <c r="G78" s="2"/>
      <c r="O78" s="2"/>
    </row>
    <row r="79" spans="4:15" x14ac:dyDescent="0.2">
      <c r="G79" s="2"/>
      <c r="O79" s="2"/>
    </row>
    <row r="80" spans="4:15" x14ac:dyDescent="0.2">
      <c r="G80" s="2"/>
      <c r="O80" s="2"/>
    </row>
    <row r="81" spans="7:15" x14ac:dyDescent="0.2">
      <c r="G81" s="2"/>
      <c r="O81" s="2"/>
    </row>
  </sheetData>
  <mergeCells count="4">
    <mergeCell ref="O5:P5"/>
    <mergeCell ref="F52:G52"/>
    <mergeCell ref="I5:J5"/>
    <mergeCell ref="L5:M5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0A048-ED17-444D-B3AC-1286CC83DE47}">
  <dimension ref="A1:R81"/>
  <sheetViews>
    <sheetView zoomScale="56" workbookViewId="0">
      <selection activeCell="M62" sqref="M62"/>
    </sheetView>
  </sheetViews>
  <sheetFormatPr baseColWidth="10" defaultRowHeight="15" x14ac:dyDescent="0.2"/>
  <sheetData>
    <row r="1" spans="1:16" x14ac:dyDescent="0.2">
      <c r="B1" t="s">
        <v>24</v>
      </c>
      <c r="C1" s="1" t="s">
        <v>25</v>
      </c>
      <c r="D1" s="1"/>
      <c r="E1" s="1"/>
      <c r="G1" s="2"/>
      <c r="O1" s="2"/>
    </row>
    <row r="2" spans="1:16" x14ac:dyDescent="0.2">
      <c r="B2" t="s">
        <v>26</v>
      </c>
      <c r="C2" s="1" t="s">
        <v>27</v>
      </c>
      <c r="D2" s="1"/>
      <c r="E2" s="1"/>
      <c r="G2" s="2"/>
      <c r="O2" s="2"/>
    </row>
    <row r="3" spans="1:16" x14ac:dyDescent="0.2">
      <c r="B3" s="1"/>
      <c r="C3" s="1"/>
      <c r="D3" s="1"/>
      <c r="E3" s="1"/>
      <c r="G3" s="2"/>
      <c r="O3" s="2"/>
    </row>
    <row r="4" spans="1:16" x14ac:dyDescent="0.2">
      <c r="B4" s="1"/>
      <c r="C4" s="1"/>
      <c r="D4" s="1"/>
      <c r="E4" s="1"/>
      <c r="G4" s="2"/>
      <c r="O4" s="2"/>
    </row>
    <row r="5" spans="1:16" x14ac:dyDescent="0.2">
      <c r="B5" s="1"/>
      <c r="C5" s="1"/>
      <c r="D5" s="1"/>
      <c r="E5" s="1"/>
      <c r="F5" t="s">
        <v>28</v>
      </c>
      <c r="G5" s="3" t="s">
        <v>29</v>
      </c>
      <c r="I5" s="15"/>
      <c r="J5" s="15"/>
      <c r="L5" s="15" t="s">
        <v>30</v>
      </c>
      <c r="M5" s="15"/>
      <c r="O5" s="16" t="s">
        <v>31</v>
      </c>
      <c r="P5" s="16"/>
    </row>
    <row r="6" spans="1:16" x14ac:dyDescent="0.2">
      <c r="A6" t="s">
        <v>32</v>
      </c>
      <c r="B6" s="1"/>
      <c r="C6" s="1"/>
      <c r="D6" s="1"/>
      <c r="E6" s="1"/>
      <c r="F6" s="1" t="s">
        <v>33</v>
      </c>
      <c r="G6" s="3" t="s">
        <v>34</v>
      </c>
      <c r="L6" t="s">
        <v>35</v>
      </c>
      <c r="M6" t="s">
        <v>36</v>
      </c>
      <c r="O6" s="4" t="s">
        <v>35</v>
      </c>
      <c r="P6" s="5" t="s">
        <v>36</v>
      </c>
    </row>
    <row r="7" spans="1:16" x14ac:dyDescent="0.2">
      <c r="A7">
        <v>34.896999999999998</v>
      </c>
      <c r="B7" s="6" t="s">
        <v>37</v>
      </c>
      <c r="C7" s="7" t="s">
        <v>38</v>
      </c>
      <c r="D7" s="1" t="s">
        <v>39</v>
      </c>
      <c r="E7" s="1"/>
      <c r="F7" s="1">
        <v>9.0680858160000007E-6</v>
      </c>
      <c r="G7" s="3">
        <f>F7/ 0.359</f>
        <v>2.5259291966573819E-5</v>
      </c>
      <c r="K7" s="6" t="s">
        <v>37</v>
      </c>
      <c r="L7">
        <v>8.7810714011608197E-4</v>
      </c>
      <c r="M7">
        <v>5.0234309230539104E-5</v>
      </c>
      <c r="O7" s="4">
        <f>L7/A7</f>
        <v>2.5162826034217326E-5</v>
      </c>
      <c r="P7" s="5">
        <f>M7/A7</f>
        <v>1.4395022274275469E-6</v>
      </c>
    </row>
    <row r="8" spans="1:16" x14ac:dyDescent="0.2">
      <c r="A8">
        <v>53.859000000000002</v>
      </c>
      <c r="B8" s="6" t="s">
        <v>40</v>
      </c>
      <c r="C8" s="7" t="s">
        <v>41</v>
      </c>
      <c r="D8" s="1" t="s">
        <v>42</v>
      </c>
      <c r="E8" s="1"/>
      <c r="F8" s="1">
        <v>1.6731177690999999E-5</v>
      </c>
      <c r="G8" s="3">
        <f t="shared" ref="G8:G39" si="0">F8/ 0.359</f>
        <v>4.6604951785515321E-5</v>
      </c>
      <c r="K8" s="6" t="s">
        <v>40</v>
      </c>
      <c r="L8">
        <v>2.500879381420637E-3</v>
      </c>
      <c r="M8">
        <v>1.2660655271744335E-4</v>
      </c>
      <c r="O8" s="4">
        <f t="shared" ref="O8:O28" si="1">L8/A8</f>
        <v>4.6433825013844236E-5</v>
      </c>
      <c r="P8" s="5">
        <f t="shared" ref="P8:P39" si="2">M8/A8</f>
        <v>2.3507037397174724E-6</v>
      </c>
    </row>
    <row r="9" spans="1:16" x14ac:dyDescent="0.2">
      <c r="A9">
        <v>25.530999999999999</v>
      </c>
      <c r="B9" s="6" t="s">
        <v>43</v>
      </c>
      <c r="C9" s="7" t="s">
        <v>44</v>
      </c>
      <c r="D9" s="1" t="s">
        <v>45</v>
      </c>
      <c r="E9" s="1"/>
      <c r="F9" s="1">
        <v>2.760033245E-6</v>
      </c>
      <c r="G9" s="3">
        <f t="shared" si="0"/>
        <v>7.6881148885793883E-6</v>
      </c>
      <c r="K9" s="6" t="s">
        <v>43</v>
      </c>
      <c r="L9">
        <v>1.9556452960030229E-4</v>
      </c>
      <c r="M9">
        <v>1.0158722033320065E-5</v>
      </c>
      <c r="O9" s="4">
        <f t="shared" si="1"/>
        <v>7.6598852218989575E-6</v>
      </c>
      <c r="P9" s="5">
        <f t="shared" si="2"/>
        <v>3.9789753763346777E-7</v>
      </c>
    </row>
    <row r="10" spans="1:16" x14ac:dyDescent="0.2">
      <c r="A10">
        <v>65.391999999999996</v>
      </c>
      <c r="B10" s="6" t="s">
        <v>46</v>
      </c>
      <c r="C10" s="7" t="s">
        <v>47</v>
      </c>
      <c r="D10" s="1" t="s">
        <v>48</v>
      </c>
      <c r="E10" s="1"/>
      <c r="F10" s="1">
        <v>1.5803116655999999E-5</v>
      </c>
      <c r="G10" s="3">
        <f t="shared" si="0"/>
        <v>4.4019823554317549E-5</v>
      </c>
      <c r="K10" s="6" t="s">
        <v>46</v>
      </c>
      <c r="L10">
        <v>2.8679746955733972E-3</v>
      </c>
      <c r="M10">
        <v>8.472346603292725E-5</v>
      </c>
      <c r="O10" s="4">
        <f t="shared" si="1"/>
        <v>4.3858189007422885E-5</v>
      </c>
      <c r="P10" s="5">
        <f t="shared" si="2"/>
        <v>1.2956243276383541E-6</v>
      </c>
    </row>
    <row r="11" spans="1:16" x14ac:dyDescent="0.2">
      <c r="A11">
        <v>21.504999999999999</v>
      </c>
      <c r="B11" s="6" t="s">
        <v>49</v>
      </c>
      <c r="C11" s="7" t="s">
        <v>50</v>
      </c>
      <c r="D11" s="1" t="s">
        <v>51</v>
      </c>
      <c r="E11" s="1"/>
      <c r="F11" s="1">
        <v>1.8070647525000001E-5</v>
      </c>
      <c r="G11" s="3">
        <f t="shared" si="0"/>
        <v>5.0336065529247915E-5</v>
      </c>
      <c r="K11" s="6" t="s">
        <v>49</v>
      </c>
      <c r="L11">
        <v>1.0785023869237772E-3</v>
      </c>
      <c r="M11">
        <v>1.1151130582203634E-4</v>
      </c>
      <c r="O11" s="4">
        <f t="shared" si="1"/>
        <v>5.0151238638631813E-5</v>
      </c>
      <c r="P11" s="5">
        <f t="shared" si="2"/>
        <v>5.1853664646378207E-6</v>
      </c>
    </row>
    <row r="12" spans="1:16" x14ac:dyDescent="0.2">
      <c r="A12">
        <v>55.399000000000001</v>
      </c>
      <c r="B12" s="6" t="s">
        <v>52</v>
      </c>
      <c r="C12" s="7" t="s">
        <v>53</v>
      </c>
      <c r="D12" s="1" t="s">
        <v>54</v>
      </c>
      <c r="E12" s="1"/>
      <c r="F12" s="1">
        <v>5.2600829149999998E-6</v>
      </c>
      <c r="G12" s="3">
        <f t="shared" si="0"/>
        <v>1.4652041545961002E-5</v>
      </c>
      <c r="K12" s="6" t="s">
        <v>52</v>
      </c>
      <c r="L12">
        <v>7.9287245025600318E-4</v>
      </c>
      <c r="M12">
        <v>2.3581530127224962E-5</v>
      </c>
      <c r="O12" s="4">
        <f t="shared" si="1"/>
        <v>1.4312035420422808E-5</v>
      </c>
      <c r="P12" s="5">
        <f t="shared" si="2"/>
        <v>4.2566707209922493E-7</v>
      </c>
    </row>
    <row r="13" spans="1:16" x14ac:dyDescent="0.2">
      <c r="A13">
        <v>26.266999999999999</v>
      </c>
      <c r="B13" s="6" t="s">
        <v>55</v>
      </c>
      <c r="C13" s="7" t="s">
        <v>56</v>
      </c>
      <c r="D13" s="1" t="s">
        <v>57</v>
      </c>
      <c r="E13" s="1"/>
      <c r="F13" s="1">
        <v>7.8843394500000004E-7</v>
      </c>
      <c r="G13" s="3">
        <f t="shared" si="0"/>
        <v>2.1961948328690809E-6</v>
      </c>
      <c r="K13" s="6" t="s">
        <v>55</v>
      </c>
      <c r="L13">
        <v>5.7848138963746799E-5</v>
      </c>
      <c r="M13">
        <v>2.5011255499599478E-6</v>
      </c>
      <c r="O13" s="4">
        <f t="shared" si="1"/>
        <v>2.2023123677521908E-6</v>
      </c>
      <c r="P13" s="5">
        <f t="shared" si="2"/>
        <v>9.5219307494572958E-8</v>
      </c>
    </row>
    <row r="14" spans="1:16" x14ac:dyDescent="0.2">
      <c r="A14">
        <v>36.101999999999997</v>
      </c>
      <c r="B14" s="6" t="s">
        <v>58</v>
      </c>
      <c r="C14" s="7" t="s">
        <v>59</v>
      </c>
      <c r="D14" s="1" t="s">
        <v>60</v>
      </c>
      <c r="E14" s="1"/>
      <c r="F14" s="1">
        <v>7.9107547337999996E-5</v>
      </c>
      <c r="G14" s="3">
        <f t="shared" si="0"/>
        <v>2.2035528506406685E-4</v>
      </c>
      <c r="K14" s="6" t="s">
        <v>58</v>
      </c>
      <c r="L14">
        <v>7.9364915354332086E-3</v>
      </c>
      <c r="M14">
        <v>2.9107043559065555E-4</v>
      </c>
      <c r="O14" s="4">
        <f t="shared" si="1"/>
        <v>2.1983523171661431E-4</v>
      </c>
      <c r="P14" s="5">
        <f t="shared" si="2"/>
        <v>8.0624462797256548E-6</v>
      </c>
    </row>
    <row r="15" spans="1:16" x14ac:dyDescent="0.2">
      <c r="A15">
        <v>41.387999999999998</v>
      </c>
      <c r="B15" s="6" t="s">
        <v>61</v>
      </c>
      <c r="C15" s="7" t="s">
        <v>62</v>
      </c>
      <c r="D15" s="1" t="s">
        <v>63</v>
      </c>
      <c r="E15" s="1"/>
      <c r="F15" s="1">
        <v>2.2475162075000001E-5</v>
      </c>
      <c r="G15" s="3">
        <f t="shared" si="0"/>
        <v>6.2604908286908087E-5</v>
      </c>
      <c r="K15" s="6" t="s">
        <v>61</v>
      </c>
      <c r="L15">
        <v>2.5849767353351601E-3</v>
      </c>
      <c r="M15">
        <v>5.2563526179080733E-5</v>
      </c>
      <c r="O15" s="4">
        <f t="shared" si="1"/>
        <v>6.2457155101361755E-5</v>
      </c>
      <c r="P15" s="5">
        <f t="shared" si="2"/>
        <v>1.2700185121069086E-6</v>
      </c>
    </row>
    <row r="16" spans="1:16" x14ac:dyDescent="0.2">
      <c r="A16">
        <v>25.937999999999999</v>
      </c>
      <c r="B16" s="6" t="s">
        <v>64</v>
      </c>
      <c r="C16" s="7" t="s">
        <v>65</v>
      </c>
      <c r="D16" s="1" t="s">
        <v>66</v>
      </c>
      <c r="E16" s="1"/>
      <c r="F16" s="1">
        <v>2.4528465213999999E-5</v>
      </c>
      <c r="G16" s="3">
        <f t="shared" si="0"/>
        <v>6.8324415637883003E-5</v>
      </c>
      <c r="K16" s="6" t="s">
        <v>64</v>
      </c>
      <c r="L16">
        <v>1.7703521090390627E-3</v>
      </c>
      <c r="M16">
        <v>2.5653538810896839E-5</v>
      </c>
      <c r="O16" s="4">
        <f t="shared" si="1"/>
        <v>6.8253223418885916E-5</v>
      </c>
      <c r="P16" s="5">
        <f t="shared" si="2"/>
        <v>9.8903303303634984E-7</v>
      </c>
    </row>
    <row r="17" spans="1:18" x14ac:dyDescent="0.2">
      <c r="A17">
        <v>45.743000000000002</v>
      </c>
      <c r="B17" s="6" t="s">
        <v>67</v>
      </c>
      <c r="C17" s="7" t="s">
        <v>68</v>
      </c>
      <c r="D17" s="1" t="s">
        <v>69</v>
      </c>
      <c r="E17" s="1"/>
      <c r="F17" s="1">
        <v>4.0179703653999999E-5</v>
      </c>
      <c r="G17" s="3">
        <f t="shared" si="0"/>
        <v>1.1192118009470753E-4</v>
      </c>
      <c r="K17" s="6" t="s">
        <v>67</v>
      </c>
      <c r="L17">
        <v>5.1142760432945624E-3</v>
      </c>
      <c r="M17">
        <v>1.9427640416297163E-4</v>
      </c>
      <c r="O17" s="4">
        <f t="shared" si="1"/>
        <v>1.1180456120706036E-4</v>
      </c>
      <c r="P17" s="5">
        <f t="shared" si="2"/>
        <v>4.2471286134047097E-6</v>
      </c>
    </row>
    <row r="18" spans="1:18" x14ac:dyDescent="0.2">
      <c r="A18">
        <v>51.445</v>
      </c>
      <c r="B18" s="6" t="s">
        <v>70</v>
      </c>
      <c r="C18" s="7" t="s">
        <v>71</v>
      </c>
      <c r="D18" s="1" t="s">
        <v>72</v>
      </c>
      <c r="E18" s="1"/>
      <c r="F18" s="1">
        <v>5.3187705033000003E-5</v>
      </c>
      <c r="G18" s="3">
        <f t="shared" si="0"/>
        <v>1.4815516722284125E-4</v>
      </c>
      <c r="K18" s="6" t="s">
        <v>70</v>
      </c>
      <c r="L18">
        <v>7.6534367672090545E-3</v>
      </c>
      <c r="M18">
        <v>2.5661941267832855E-4</v>
      </c>
      <c r="O18" s="4">
        <f t="shared" si="1"/>
        <v>1.4876930250187686E-4</v>
      </c>
      <c r="P18" s="5">
        <f t="shared" si="2"/>
        <v>4.9882284513233268E-6</v>
      </c>
    </row>
    <row r="19" spans="1:18" x14ac:dyDescent="0.2">
      <c r="A19">
        <v>60.926000000000002</v>
      </c>
      <c r="B19" s="6" t="s">
        <v>73</v>
      </c>
      <c r="C19" s="7" t="s">
        <v>74</v>
      </c>
      <c r="D19" s="1" t="s">
        <v>75</v>
      </c>
      <c r="E19" s="1"/>
      <c r="F19" s="1">
        <v>6.9526254161999997E-5</v>
      </c>
      <c r="G19" s="3">
        <f t="shared" si="0"/>
        <v>1.9366644613370474E-4</v>
      </c>
      <c r="K19" s="6" t="s">
        <v>73</v>
      </c>
      <c r="L19">
        <v>1.175475684914956E-2</v>
      </c>
      <c r="M19">
        <v>2.0380980611285361E-4</v>
      </c>
      <c r="O19" s="4">
        <f t="shared" si="1"/>
        <v>1.9293498422922166E-4</v>
      </c>
      <c r="P19" s="5">
        <f t="shared" si="2"/>
        <v>3.3452024769860749E-6</v>
      </c>
    </row>
    <row r="20" spans="1:18" x14ac:dyDescent="0.2">
      <c r="A20">
        <v>36.122</v>
      </c>
      <c r="B20" s="6" t="s">
        <v>76</v>
      </c>
      <c r="C20" s="7" t="s">
        <v>77</v>
      </c>
      <c r="D20" s="1" t="s">
        <v>78</v>
      </c>
      <c r="E20" s="1"/>
      <c r="F20" s="1">
        <v>1.4191689121E-5</v>
      </c>
      <c r="G20" s="3">
        <f t="shared" si="0"/>
        <v>3.9531167467966576E-5</v>
      </c>
      <c r="K20" s="6" t="s">
        <v>76</v>
      </c>
      <c r="L20">
        <v>1.1882986526484123E-4</v>
      </c>
      <c r="M20">
        <v>7.0063939146987032E-6</v>
      </c>
      <c r="O20" s="4">
        <f t="shared" si="1"/>
        <v>3.2896812265334485E-6</v>
      </c>
      <c r="P20" s="5">
        <f t="shared" si="2"/>
        <v>1.9396472827359235E-7</v>
      </c>
    </row>
    <row r="21" spans="1:18" x14ac:dyDescent="0.2">
      <c r="A21">
        <v>40.145000000000003</v>
      </c>
      <c r="B21" s="6" t="s">
        <v>79</v>
      </c>
      <c r="C21" s="7" t="s">
        <v>80</v>
      </c>
      <c r="D21" s="1"/>
      <c r="E21" s="1"/>
      <c r="F21" s="1" t="e">
        <v>#N/A</v>
      </c>
      <c r="G21" s="3" t="e">
        <f t="shared" si="0"/>
        <v>#N/A</v>
      </c>
      <c r="K21" s="6" t="s">
        <v>79</v>
      </c>
      <c r="L21">
        <v>2.8991671297659326E-3</v>
      </c>
      <c r="M21">
        <v>1.0513914294550844E-4</v>
      </c>
      <c r="O21" s="4">
        <f t="shared" si="1"/>
        <v>7.2217390204656431E-5</v>
      </c>
      <c r="P21" s="5">
        <f t="shared" si="2"/>
        <v>2.618984753904806E-6</v>
      </c>
    </row>
    <row r="22" spans="1:18" x14ac:dyDescent="0.2">
      <c r="A22">
        <v>39.582999999999998</v>
      </c>
      <c r="B22" s="6" t="s">
        <v>81</v>
      </c>
      <c r="C22" s="7" t="s">
        <v>80</v>
      </c>
      <c r="D22" s="1"/>
      <c r="E22" s="1"/>
      <c r="F22" s="1" t="e">
        <v>#N/A</v>
      </c>
      <c r="G22" s="3" t="e">
        <f t="shared" si="0"/>
        <v>#N/A</v>
      </c>
      <c r="K22" s="6" t="s">
        <v>81</v>
      </c>
      <c r="L22">
        <v>1.3158698642703933E-4</v>
      </c>
      <c r="M22">
        <v>4.84926914892894E-6</v>
      </c>
      <c r="O22" s="4">
        <f t="shared" si="1"/>
        <v>3.324330809363599E-6</v>
      </c>
      <c r="P22" s="5">
        <f t="shared" si="2"/>
        <v>1.2250888383722658E-7</v>
      </c>
    </row>
    <row r="23" spans="1:18" x14ac:dyDescent="0.2">
      <c r="A23">
        <v>70.307000000000002</v>
      </c>
      <c r="B23" s="6" t="s">
        <v>82</v>
      </c>
      <c r="C23" s="7" t="s">
        <v>83</v>
      </c>
      <c r="D23" s="1"/>
      <c r="E23" s="1"/>
      <c r="F23" s="1" t="e">
        <v>#N/A</v>
      </c>
      <c r="G23" s="3" t="e">
        <f t="shared" si="0"/>
        <v>#N/A</v>
      </c>
      <c r="H23" s="8" t="e">
        <f>(O23-G23)/O23</f>
        <v>#N/A</v>
      </c>
      <c r="K23" s="6" t="s">
        <v>82</v>
      </c>
      <c r="L23">
        <v>1.2723763700294297E-5</v>
      </c>
      <c r="M23">
        <v>8.4213966340878746E-7</v>
      </c>
      <c r="O23" s="4">
        <f t="shared" si="1"/>
        <v>1.8097435106453549E-7</v>
      </c>
      <c r="P23" s="5">
        <f t="shared" si="2"/>
        <v>1.1978034383614539E-8</v>
      </c>
    </row>
    <row r="24" spans="1:18" x14ac:dyDescent="0.2">
      <c r="A24">
        <v>70.513999999999996</v>
      </c>
      <c r="B24" s="6" t="s">
        <v>84</v>
      </c>
      <c r="C24" s="7" t="s">
        <v>85</v>
      </c>
      <c r="D24" s="1"/>
      <c r="E24" s="1"/>
      <c r="F24" s="1">
        <v>2.2140527120000001E-6</v>
      </c>
      <c r="G24" s="3">
        <f t="shared" si="0"/>
        <v>6.1672777493036214E-6</v>
      </c>
      <c r="H24" s="8">
        <f>(SUM(O23:O24)-G24)/SUM(O23:O24)</f>
        <v>-0.64159441380748039</v>
      </c>
      <c r="K24" s="6" t="s">
        <v>84</v>
      </c>
      <c r="L24">
        <v>2.521516054255981E-4</v>
      </c>
      <c r="M24">
        <v>9.1077870869679429E-6</v>
      </c>
      <c r="O24" s="4">
        <f t="shared" si="1"/>
        <v>3.5759084072042163E-6</v>
      </c>
      <c r="P24" s="5">
        <f t="shared" si="2"/>
        <v>1.2916281996437508E-7</v>
      </c>
    </row>
    <row r="25" spans="1:18" x14ac:dyDescent="0.2">
      <c r="A25">
        <v>41.857999999999997</v>
      </c>
      <c r="B25" s="6" t="s">
        <v>86</v>
      </c>
      <c r="C25" s="7" t="s">
        <v>87</v>
      </c>
      <c r="D25" s="1"/>
      <c r="E25" s="1"/>
      <c r="F25" s="1">
        <v>3.283453321E-6</v>
      </c>
      <c r="G25" s="3">
        <f t="shared" si="0"/>
        <v>9.1461095292479119E-6</v>
      </c>
      <c r="H25" s="8">
        <f t="shared" ref="H25:H39" si="3">(O25-G25)/O25</f>
        <v>-0.64309479736018971</v>
      </c>
      <c r="K25" s="6" t="s">
        <v>86</v>
      </c>
      <c r="L25">
        <v>2.3299803108763395E-4</v>
      </c>
      <c r="M25">
        <v>7.3848104264098787E-6</v>
      </c>
      <c r="O25" s="4">
        <f t="shared" si="1"/>
        <v>5.5663918746149829E-6</v>
      </c>
      <c r="P25" s="5">
        <f t="shared" si="2"/>
        <v>1.7642530523221079E-7</v>
      </c>
    </row>
    <row r="26" spans="1:18" x14ac:dyDescent="0.2">
      <c r="A26">
        <v>41.369</v>
      </c>
      <c r="B26" s="6" t="s">
        <v>88</v>
      </c>
      <c r="C26" s="7" t="s">
        <v>89</v>
      </c>
      <c r="D26" s="1"/>
      <c r="E26" s="1"/>
      <c r="F26" s="1">
        <v>3.3848577930000001E-6</v>
      </c>
      <c r="G26" s="3">
        <f t="shared" si="0"/>
        <v>9.4285732395543185E-6</v>
      </c>
      <c r="H26" s="8">
        <f t="shared" si="3"/>
        <v>-0.64309479763666133</v>
      </c>
      <c r="K26" s="6" t="s">
        <v>88</v>
      </c>
      <c r="L26">
        <v>2.3738779217617287E-4</v>
      </c>
      <c r="M26">
        <v>7.4520024621489683E-6</v>
      </c>
      <c r="O26" s="4">
        <f t="shared" si="1"/>
        <v>5.7383014376990713E-6</v>
      </c>
      <c r="P26" s="5">
        <f t="shared" si="2"/>
        <v>1.8013494312526211E-7</v>
      </c>
    </row>
    <row r="27" spans="1:18" x14ac:dyDescent="0.2">
      <c r="A27">
        <v>30.474</v>
      </c>
      <c r="B27" s="6" t="s">
        <v>90</v>
      </c>
      <c r="C27" s="7" t="s">
        <v>91</v>
      </c>
      <c r="D27" s="1"/>
      <c r="E27" s="1"/>
      <c r="F27" s="1">
        <v>8.2497395600000001E-7</v>
      </c>
      <c r="G27" s="3">
        <f t="shared" si="0"/>
        <v>2.2979775933147632E-6</v>
      </c>
      <c r="H27" s="8">
        <f t="shared" si="3"/>
        <v>-0.64309479829329153</v>
      </c>
      <c r="K27" s="6" t="s">
        <v>90</v>
      </c>
      <c r="L27">
        <v>4.2619920196578962E-5</v>
      </c>
      <c r="M27">
        <v>1.9420757630582804E-6</v>
      </c>
      <c r="O27" s="4">
        <f t="shared" si="1"/>
        <v>1.3985666534284624E-6</v>
      </c>
      <c r="P27" s="5">
        <f t="shared" si="2"/>
        <v>6.3728941493019642E-8</v>
      </c>
    </row>
    <row r="28" spans="1:18" x14ac:dyDescent="0.2">
      <c r="A28">
        <v>39.941000000000003</v>
      </c>
      <c r="B28" s="6" t="s">
        <v>92</v>
      </c>
      <c r="C28" s="7" t="s">
        <v>93</v>
      </c>
      <c r="D28" s="1"/>
      <c r="E28" s="1"/>
      <c r="F28" s="1">
        <v>6.798219736E-6</v>
      </c>
      <c r="G28" s="3">
        <f t="shared" si="0"/>
        <v>1.8936545225626742E-5</v>
      </c>
      <c r="H28" s="8">
        <f t="shared" si="3"/>
        <v>-0.64309479748947851</v>
      </c>
      <c r="K28" s="6" t="s">
        <v>92</v>
      </c>
      <c r="L28">
        <v>4.6031705170778559E-4</v>
      </c>
      <c r="M28">
        <v>1.1282131489038944E-5</v>
      </c>
      <c r="O28" s="4">
        <f t="shared" si="1"/>
        <v>1.152492555789253E-5</v>
      </c>
      <c r="P28" s="5">
        <f t="shared" si="2"/>
        <v>2.8246993037327416E-7</v>
      </c>
    </row>
    <row r="29" spans="1:18" x14ac:dyDescent="0.2">
      <c r="A29">
        <v>36.503999999999998</v>
      </c>
      <c r="B29" s="6" t="s">
        <v>94</v>
      </c>
      <c r="C29" s="7" t="s">
        <v>95</v>
      </c>
      <c r="D29" s="1"/>
      <c r="E29" s="1"/>
      <c r="F29" s="1">
        <v>1.3421993193E-5</v>
      </c>
      <c r="G29" s="3">
        <f t="shared" si="0"/>
        <v>3.7387167668523677E-5</v>
      </c>
      <c r="H29" s="8">
        <f t="shared" si="3"/>
        <v>-0.64309479738433251</v>
      </c>
      <c r="K29" s="6" t="s">
        <v>94</v>
      </c>
      <c r="L29">
        <v>8.3061620713814198E-4</v>
      </c>
      <c r="M29">
        <v>1.4977680843132558E-5</v>
      </c>
      <c r="O29" s="4">
        <f>L29/A29</f>
        <v>2.2754114813120263E-5</v>
      </c>
      <c r="P29" s="5">
        <f t="shared" si="2"/>
        <v>4.1030245570711589E-7</v>
      </c>
      <c r="R29" t="s">
        <v>96</v>
      </c>
    </row>
    <row r="30" spans="1:18" x14ac:dyDescent="0.2">
      <c r="A30">
        <v>31.189</v>
      </c>
      <c r="B30" s="9" t="s">
        <v>97</v>
      </c>
      <c r="C30" s="10" t="s">
        <v>98</v>
      </c>
      <c r="D30" s="1"/>
      <c r="E30" s="1"/>
      <c r="F30">
        <v>2.0163099999999999E-6</v>
      </c>
      <c r="G30" s="3">
        <f t="shared" si="0"/>
        <v>5.6164623955431755E-6</v>
      </c>
      <c r="H30" s="8">
        <f t="shared" si="3"/>
        <v>-0.30362268305411805</v>
      </c>
      <c r="K30" s="9" t="s">
        <v>97</v>
      </c>
      <c r="L30">
        <v>1.3437311879554347E-4</v>
      </c>
      <c r="M30">
        <v>4.6027477844345979E-6</v>
      </c>
      <c r="O30" s="4">
        <f t="shared" ref="O30:O38" si="4">L30/A30</f>
        <v>4.3083497000719311E-6</v>
      </c>
      <c r="P30" s="5">
        <f t="shared" si="2"/>
        <v>1.4757599744892745E-7</v>
      </c>
    </row>
    <row r="31" spans="1:18" x14ac:dyDescent="0.2">
      <c r="A31">
        <v>21.824999999999999</v>
      </c>
      <c r="B31" s="9" t="s">
        <v>99</v>
      </c>
      <c r="C31" s="10" t="s">
        <v>100</v>
      </c>
      <c r="D31" s="1"/>
      <c r="E31" s="1"/>
      <c r="F31">
        <v>4.8380099999999995E-7</v>
      </c>
      <c r="G31" s="3">
        <f t="shared" si="0"/>
        <v>1.347635097493036E-6</v>
      </c>
      <c r="H31" s="8">
        <f t="shared" si="3"/>
        <v>-0.30362234995826565</v>
      </c>
      <c r="K31" s="9" t="s">
        <v>99</v>
      </c>
      <c r="L31">
        <v>2.2561853134634518E-5</v>
      </c>
      <c r="M31">
        <v>1.0968716671586267E-6</v>
      </c>
      <c r="O31" s="4">
        <f t="shared" si="4"/>
        <v>1.0337618847484315E-6</v>
      </c>
      <c r="P31" s="5">
        <f t="shared" si="2"/>
        <v>5.0257579251254371E-8</v>
      </c>
    </row>
    <row r="32" spans="1:18" x14ac:dyDescent="0.2">
      <c r="A32">
        <v>12.662000000000001</v>
      </c>
      <c r="B32" s="11" t="s">
        <v>101</v>
      </c>
      <c r="C32" s="12" t="s">
        <v>102</v>
      </c>
      <c r="F32" s="2">
        <v>8.0583200000000001E-6</v>
      </c>
      <c r="G32" s="3">
        <f t="shared" si="0"/>
        <v>2.244657381615599E-5</v>
      </c>
      <c r="H32" s="8">
        <f t="shared" si="3"/>
        <v>-0.30362090055077573</v>
      </c>
      <c r="K32" s="11" t="s">
        <v>101</v>
      </c>
      <c r="L32">
        <v>2.1802236949414183E-4</v>
      </c>
      <c r="M32">
        <v>4.5004422028753396E-6</v>
      </c>
      <c r="O32" s="4">
        <f t="shared" si="4"/>
        <v>1.7218636036498328E-5</v>
      </c>
      <c r="P32" s="5">
        <f t="shared" si="2"/>
        <v>3.5542901618033006E-7</v>
      </c>
    </row>
    <row r="33" spans="1:16" x14ac:dyDescent="0.2">
      <c r="A33">
        <v>9.9649999999999999</v>
      </c>
      <c r="B33" s="13" t="s">
        <v>103</v>
      </c>
      <c r="C33" t="s">
        <v>104</v>
      </c>
      <c r="F33">
        <v>1.5356100000000001E-7</v>
      </c>
      <c r="G33" s="3">
        <f t="shared" si="0"/>
        <v>4.277465181058496E-7</v>
      </c>
      <c r="H33" s="8">
        <f t="shared" si="3"/>
        <v>0.29805109662589446</v>
      </c>
      <c r="K33" s="13" t="s">
        <v>103</v>
      </c>
      <c r="L33">
        <v>6.0723708412905434E-6</v>
      </c>
      <c r="M33">
        <v>3.276007152527668E-7</v>
      </c>
      <c r="O33" s="4">
        <f t="shared" si="4"/>
        <v>6.0936987870452012E-7</v>
      </c>
      <c r="P33" s="5">
        <f t="shared" si="2"/>
        <v>3.2875134496012725E-8</v>
      </c>
    </row>
    <row r="34" spans="1:16" x14ac:dyDescent="0.2">
      <c r="A34">
        <v>23.779</v>
      </c>
      <c r="B34" s="13" t="s">
        <v>105</v>
      </c>
      <c r="C34" t="s">
        <v>104</v>
      </c>
      <c r="F34">
        <v>1.30097E-7</v>
      </c>
      <c r="G34" s="3">
        <f t="shared" si="0"/>
        <v>3.6238718662952649E-7</v>
      </c>
      <c r="H34" s="8">
        <f t="shared" si="3"/>
        <v>0.29804856315343586</v>
      </c>
      <c r="K34" s="13" t="s">
        <v>105</v>
      </c>
      <c r="L34">
        <v>1.2276069908162464E-5</v>
      </c>
      <c r="M34">
        <v>6.8282399415121016E-7</v>
      </c>
      <c r="O34" s="4">
        <f t="shared" si="4"/>
        <v>5.1625677733136231E-7</v>
      </c>
      <c r="P34" s="5">
        <f t="shared" si="2"/>
        <v>2.8715420923975363E-8</v>
      </c>
    </row>
    <row r="35" spans="1:16" x14ac:dyDescent="0.2">
      <c r="A35">
        <v>25.721</v>
      </c>
      <c r="B35" s="13" t="s">
        <v>106</v>
      </c>
      <c r="C35" t="s">
        <v>104</v>
      </c>
      <c r="F35">
        <v>2.4287099999999998E-7</v>
      </c>
      <c r="G35" s="3">
        <f t="shared" si="0"/>
        <v>6.7652089136490251E-7</v>
      </c>
      <c r="H35" s="8">
        <f t="shared" si="3"/>
        <v>0.29804899475185626</v>
      </c>
      <c r="J35" s="2"/>
      <c r="K35" s="13" t="s">
        <v>106</v>
      </c>
      <c r="L35">
        <v>2.4789185736183079E-5</v>
      </c>
      <c r="M35">
        <v>1.2226908906238183E-6</v>
      </c>
      <c r="O35" s="4">
        <f t="shared" si="4"/>
        <v>9.6377223810050456E-7</v>
      </c>
      <c r="P35" s="5">
        <f t="shared" si="2"/>
        <v>4.7536677836157935E-8</v>
      </c>
    </row>
    <row r="36" spans="1:16" x14ac:dyDescent="0.2">
      <c r="A36">
        <v>38.411999999999999</v>
      </c>
      <c r="B36" s="13" t="s">
        <v>107</v>
      </c>
      <c r="C36" t="s">
        <v>104</v>
      </c>
      <c r="F36">
        <v>1.07707E-7</v>
      </c>
      <c r="G36" s="3">
        <f t="shared" si="0"/>
        <v>3.0001949860724235E-7</v>
      </c>
      <c r="H36" s="8">
        <f t="shared" si="3"/>
        <v>0.29805080724573108</v>
      </c>
      <c r="K36" s="13" t="s">
        <v>107</v>
      </c>
      <c r="L36">
        <v>1.6417639765753983E-5</v>
      </c>
      <c r="M36">
        <v>9.4446367372077682E-7</v>
      </c>
      <c r="O36" s="4">
        <f t="shared" si="4"/>
        <v>4.274091368779023E-7</v>
      </c>
      <c r="P36" s="5">
        <f t="shared" si="2"/>
        <v>2.4587724505903801E-8</v>
      </c>
    </row>
    <row r="37" spans="1:16" x14ac:dyDescent="0.2">
      <c r="A37">
        <v>52.136000000000003</v>
      </c>
      <c r="B37" s="13" t="s">
        <v>108</v>
      </c>
      <c r="C37" t="s">
        <v>104</v>
      </c>
      <c r="F37">
        <v>3.3944399999999998E-7</v>
      </c>
      <c r="G37" s="3">
        <f t="shared" si="0"/>
        <v>9.4552646239554316E-7</v>
      </c>
      <c r="H37" s="8">
        <f t="shared" si="3"/>
        <v>0.29805032865467446</v>
      </c>
      <c r="K37" s="13" t="s">
        <v>108</v>
      </c>
      <c r="L37">
        <v>7.0227210946584789E-5</v>
      </c>
      <c r="M37">
        <v>3.2266732930678812E-6</v>
      </c>
      <c r="O37" s="4">
        <f t="shared" si="4"/>
        <v>1.3470003634069508E-6</v>
      </c>
      <c r="P37" s="5">
        <f t="shared" si="2"/>
        <v>6.1889544519485208E-8</v>
      </c>
    </row>
    <row r="38" spans="1:16" x14ac:dyDescent="0.2">
      <c r="A38">
        <v>22.757999999999999</v>
      </c>
      <c r="B38" s="13" t="s">
        <v>109</v>
      </c>
      <c r="C38" t="s">
        <v>104</v>
      </c>
      <c r="F38">
        <v>1.7036900000000001E-7</v>
      </c>
      <c r="G38" s="3">
        <f t="shared" si="0"/>
        <v>4.7456545961002787E-7</v>
      </c>
      <c r="H38" s="8">
        <f t="shared" si="3"/>
        <v>0.29805090502756831</v>
      </c>
      <c r="K38" s="13" t="s">
        <v>109</v>
      </c>
      <c r="L38">
        <v>1.5385960046332389E-5</v>
      </c>
      <c r="M38">
        <v>8.1393792288849254E-7</v>
      </c>
      <c r="O38" s="4">
        <f t="shared" si="4"/>
        <v>6.7606819783515206E-7</v>
      </c>
      <c r="P38" s="5">
        <f t="shared" si="2"/>
        <v>3.5764914442767053E-8</v>
      </c>
    </row>
    <row r="39" spans="1:16" x14ac:dyDescent="0.2">
      <c r="A39">
        <v>20.85</v>
      </c>
      <c r="B39" s="13" t="s">
        <v>110</v>
      </c>
      <c r="C39" t="s">
        <v>104</v>
      </c>
      <c r="F39">
        <v>9.5385100000000001E-7</v>
      </c>
      <c r="G39" s="3">
        <f t="shared" si="0"/>
        <v>2.656966573816156E-6</v>
      </c>
      <c r="H39" s="8">
        <f t="shared" si="3"/>
        <v>0.29805024196130531</v>
      </c>
      <c r="K39" s="13" t="s">
        <v>110</v>
      </c>
      <c r="L39">
        <v>7.8919826425829579E-5</v>
      </c>
      <c r="M39">
        <v>2.805616048166686E-6</v>
      </c>
      <c r="O39" s="4">
        <f>L39/A39</f>
        <v>3.7851235695841523E-6</v>
      </c>
      <c r="P39" s="5">
        <f t="shared" si="2"/>
        <v>1.3456192077538062E-7</v>
      </c>
    </row>
    <row r="40" spans="1:16" x14ac:dyDescent="0.2">
      <c r="O40" s="2"/>
    </row>
    <row r="41" spans="1:16" x14ac:dyDescent="0.2">
      <c r="O41" s="2"/>
    </row>
    <row r="42" spans="1:16" x14ac:dyDescent="0.2">
      <c r="O42" s="2"/>
    </row>
    <row r="43" spans="1:16" x14ac:dyDescent="0.2">
      <c r="O43" s="2"/>
    </row>
    <row r="44" spans="1:16" x14ac:dyDescent="0.2">
      <c r="O44" s="2"/>
    </row>
    <row r="45" spans="1:16" x14ac:dyDescent="0.2">
      <c r="O45" s="2"/>
    </row>
    <row r="46" spans="1:16" x14ac:dyDescent="0.2">
      <c r="O46" s="2"/>
    </row>
    <row r="47" spans="1:16" x14ac:dyDescent="0.2">
      <c r="O47" s="2"/>
    </row>
    <row r="48" spans="1:16" x14ac:dyDescent="0.2">
      <c r="O48" s="2"/>
    </row>
    <row r="49" spans="2:15" x14ac:dyDescent="0.2">
      <c r="O49" s="2"/>
    </row>
    <row r="50" spans="2:15" x14ac:dyDescent="0.2">
      <c r="O50" s="2"/>
    </row>
    <row r="51" spans="2:15" x14ac:dyDescent="0.2">
      <c r="G51" s="2"/>
      <c r="O51" s="2"/>
    </row>
    <row r="52" spans="2:15" x14ac:dyDescent="0.2">
      <c r="E52" t="s">
        <v>29</v>
      </c>
      <c r="F52" s="16" t="s">
        <v>31</v>
      </c>
      <c r="G52" s="16"/>
      <c r="O52" s="2"/>
    </row>
    <row r="53" spans="2:15" x14ac:dyDescent="0.2">
      <c r="B53" s="2"/>
      <c r="E53" t="s">
        <v>34</v>
      </c>
      <c r="F53" s="4" t="s">
        <v>35</v>
      </c>
      <c r="G53" s="5" t="s">
        <v>36</v>
      </c>
      <c r="O53" s="2"/>
    </row>
    <row r="54" spans="2:15" x14ac:dyDescent="0.2">
      <c r="B54" s="8"/>
      <c r="D54" s="1" t="s">
        <v>39</v>
      </c>
      <c r="E54">
        <v>2.5259291966573819E-5</v>
      </c>
      <c r="F54">
        <v>2.5162826034217326E-5</v>
      </c>
      <c r="G54" s="2">
        <v>1.4395022274275469E-6</v>
      </c>
      <c r="O54" s="2"/>
    </row>
    <row r="55" spans="2:15" x14ac:dyDescent="0.2">
      <c r="D55" s="1" t="s">
        <v>42</v>
      </c>
      <c r="E55">
        <v>4.6604951785515321E-5</v>
      </c>
      <c r="F55">
        <v>4.6433825013844236E-5</v>
      </c>
      <c r="G55" s="2">
        <v>2.3507037397174724E-6</v>
      </c>
      <c r="O55" s="2"/>
    </row>
    <row r="56" spans="2:15" x14ac:dyDescent="0.2">
      <c r="D56" s="1" t="s">
        <v>45</v>
      </c>
      <c r="E56">
        <v>7.6881148885793883E-6</v>
      </c>
      <c r="F56">
        <v>7.6598852218989575E-6</v>
      </c>
      <c r="G56" s="2">
        <v>3.9789753763346777E-7</v>
      </c>
      <c r="O56" s="2"/>
    </row>
    <row r="57" spans="2:15" x14ac:dyDescent="0.2">
      <c r="B57" s="2"/>
      <c r="D57" s="1" t="s">
        <v>48</v>
      </c>
      <c r="E57">
        <v>4.4019823554317549E-5</v>
      </c>
      <c r="F57">
        <v>4.3858189007422885E-5</v>
      </c>
      <c r="G57" s="2">
        <v>1.2956243276383541E-6</v>
      </c>
      <c r="O57" s="2"/>
    </row>
    <row r="58" spans="2:15" x14ac:dyDescent="0.2">
      <c r="B58" s="8"/>
      <c r="D58" s="1" t="s">
        <v>51</v>
      </c>
      <c r="E58">
        <v>5.0336065529247915E-5</v>
      </c>
      <c r="F58">
        <v>5.0151238638631813E-5</v>
      </c>
      <c r="G58" s="2">
        <v>5.1853664646378207E-6</v>
      </c>
      <c r="O58" s="2"/>
    </row>
    <row r="59" spans="2:15" x14ac:dyDescent="0.2">
      <c r="D59" s="1" t="s">
        <v>54</v>
      </c>
      <c r="E59">
        <v>1.4652041545961002E-5</v>
      </c>
      <c r="F59">
        <v>1.4312035420422808E-5</v>
      </c>
      <c r="G59" s="2">
        <v>4.2566707209922493E-7</v>
      </c>
      <c r="O59" s="2"/>
    </row>
    <row r="60" spans="2:15" x14ac:dyDescent="0.2">
      <c r="D60" s="1" t="s">
        <v>57</v>
      </c>
      <c r="E60">
        <v>2.1961948328690809E-6</v>
      </c>
      <c r="F60">
        <v>2.2023123677521908E-6</v>
      </c>
      <c r="G60" s="2">
        <v>9.5219307494572958E-8</v>
      </c>
      <c r="O60" s="2"/>
    </row>
    <row r="61" spans="2:15" x14ac:dyDescent="0.2">
      <c r="D61" s="1" t="s">
        <v>60</v>
      </c>
      <c r="E61">
        <v>2.2035528506406685E-4</v>
      </c>
      <c r="F61">
        <v>2.1983523171661431E-4</v>
      </c>
      <c r="G61" s="2">
        <v>8.0624462797256548E-6</v>
      </c>
      <c r="O61" s="2"/>
    </row>
    <row r="62" spans="2:15" x14ac:dyDescent="0.2">
      <c r="D62" s="1" t="s">
        <v>63</v>
      </c>
      <c r="E62">
        <v>6.2604908286908087E-5</v>
      </c>
      <c r="F62">
        <v>6.2457155101361755E-5</v>
      </c>
      <c r="G62" s="2">
        <v>1.2700185121069086E-6</v>
      </c>
      <c r="O62" s="2"/>
    </row>
    <row r="63" spans="2:15" x14ac:dyDescent="0.2">
      <c r="D63" s="1" t="s">
        <v>66</v>
      </c>
      <c r="E63">
        <v>6.8324415637883003E-5</v>
      </c>
      <c r="F63">
        <v>6.8253223418885916E-5</v>
      </c>
      <c r="G63" s="2">
        <v>9.8903303303634984E-7</v>
      </c>
      <c r="O63" s="2"/>
    </row>
    <row r="64" spans="2:15" x14ac:dyDescent="0.2">
      <c r="D64" s="1" t="s">
        <v>69</v>
      </c>
      <c r="E64">
        <v>1.1192118009470753E-4</v>
      </c>
      <c r="F64">
        <v>1.1180456120706036E-4</v>
      </c>
      <c r="G64" s="2">
        <v>4.2471286134047097E-6</v>
      </c>
      <c r="O64" s="2"/>
    </row>
    <row r="65" spans="4:15" x14ac:dyDescent="0.2">
      <c r="D65" s="1" t="s">
        <v>72</v>
      </c>
      <c r="E65">
        <v>1.4815516722284125E-4</v>
      </c>
      <c r="F65">
        <v>1.4876930250187686E-4</v>
      </c>
      <c r="G65" s="2">
        <v>4.9882284513233268E-6</v>
      </c>
      <c r="O65" s="2"/>
    </row>
    <row r="66" spans="4:15" x14ac:dyDescent="0.2">
      <c r="D66" s="1" t="s">
        <v>75</v>
      </c>
      <c r="E66">
        <v>1.9366644613370474E-4</v>
      </c>
      <c r="F66">
        <v>1.9293498422922166E-4</v>
      </c>
      <c r="G66" s="2">
        <v>3.3452024769860749E-6</v>
      </c>
      <c r="O66" s="2"/>
    </row>
    <row r="67" spans="4:15" x14ac:dyDescent="0.2">
      <c r="D67" s="1" t="s">
        <v>78</v>
      </c>
      <c r="E67">
        <v>3.9531167467966576E-5</v>
      </c>
      <c r="F67" s="2">
        <v>7.5507071431189882E-5</v>
      </c>
      <c r="G67" s="2">
        <f>SUM(P20:P22)</f>
        <v>2.9354583660156249E-6</v>
      </c>
      <c r="O67" s="2"/>
    </row>
    <row r="68" spans="4:15" x14ac:dyDescent="0.2">
      <c r="G68" s="2"/>
      <c r="O68" s="2"/>
    </row>
    <row r="69" spans="4:15" x14ac:dyDescent="0.2">
      <c r="G69" s="2"/>
      <c r="O69" s="2"/>
    </row>
    <row r="70" spans="4:15" x14ac:dyDescent="0.2">
      <c r="G70" s="2"/>
      <c r="O70" s="2"/>
    </row>
    <row r="71" spans="4:15" x14ac:dyDescent="0.2">
      <c r="G71" s="2"/>
      <c r="O71" s="2"/>
    </row>
    <row r="72" spans="4:15" x14ac:dyDescent="0.2">
      <c r="G72" s="2"/>
      <c r="O72" s="2"/>
    </row>
    <row r="73" spans="4:15" x14ac:dyDescent="0.2">
      <c r="G73" s="2"/>
      <c r="O73" s="2"/>
    </row>
    <row r="74" spans="4:15" x14ac:dyDescent="0.2">
      <c r="G74" s="2"/>
      <c r="O74" s="2"/>
    </row>
    <row r="75" spans="4:15" x14ac:dyDescent="0.2">
      <c r="G75" s="2"/>
      <c r="O75" s="2"/>
    </row>
    <row r="76" spans="4:15" x14ac:dyDescent="0.2">
      <c r="G76" s="2"/>
      <c r="O76" s="2"/>
    </row>
    <row r="77" spans="4:15" x14ac:dyDescent="0.2">
      <c r="G77" s="2"/>
      <c r="O77" s="2"/>
    </row>
    <row r="78" spans="4:15" x14ac:dyDescent="0.2">
      <c r="G78" s="2"/>
      <c r="O78" s="2"/>
    </row>
    <row r="79" spans="4:15" x14ac:dyDescent="0.2">
      <c r="G79" s="2"/>
      <c r="O79" s="2"/>
    </row>
    <row r="80" spans="4:15" x14ac:dyDescent="0.2">
      <c r="G80" s="2"/>
      <c r="O80" s="2"/>
    </row>
    <row r="81" spans="7:15" x14ac:dyDescent="0.2">
      <c r="G81" s="2"/>
      <c r="O81" s="2"/>
    </row>
  </sheetData>
  <mergeCells count="4">
    <mergeCell ref="I5:J5"/>
    <mergeCell ref="L5:M5"/>
    <mergeCell ref="O5:P5"/>
    <mergeCell ref="F52:G52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FEFA1-EF73-4744-BA71-99C8D696CE78}">
  <dimension ref="A1:AJ82"/>
  <sheetViews>
    <sheetView zoomScale="50" workbookViewId="0">
      <selection activeCell="L52" sqref="L52"/>
    </sheetView>
  </sheetViews>
  <sheetFormatPr baseColWidth="10" defaultRowHeight="15" x14ac:dyDescent="0.2"/>
  <sheetData>
    <row r="1" spans="1:36" x14ac:dyDescent="0.2">
      <c r="B1" t="s">
        <v>24</v>
      </c>
      <c r="C1" s="1" t="s">
        <v>25</v>
      </c>
      <c r="D1" s="1"/>
      <c r="E1" s="1"/>
      <c r="G1" s="2"/>
      <c r="O1" s="2"/>
      <c r="AH1" s="1"/>
      <c r="AI1" s="1"/>
      <c r="AJ1" s="1"/>
    </row>
    <row r="2" spans="1:36" x14ac:dyDescent="0.2">
      <c r="B2" t="s">
        <v>26</v>
      </c>
      <c r="C2" s="1" t="s">
        <v>27</v>
      </c>
      <c r="D2" s="1"/>
      <c r="E2" s="1"/>
      <c r="G2" s="2"/>
      <c r="O2" s="2"/>
      <c r="AH2" s="1"/>
      <c r="AI2" s="1"/>
      <c r="AJ2" s="1"/>
    </row>
    <row r="3" spans="1:36" x14ac:dyDescent="0.2">
      <c r="B3" s="1"/>
      <c r="C3" s="1"/>
      <c r="D3" s="1"/>
      <c r="E3" s="1"/>
      <c r="G3" s="2"/>
      <c r="O3" s="2"/>
      <c r="AH3" s="1"/>
      <c r="AI3" s="1"/>
      <c r="AJ3" s="1"/>
    </row>
    <row r="4" spans="1:36" x14ac:dyDescent="0.2">
      <c r="B4" s="1"/>
      <c r="C4" s="1"/>
      <c r="D4" s="1"/>
      <c r="E4" s="1"/>
      <c r="G4" s="2"/>
      <c r="O4" s="2"/>
      <c r="AH4" s="1"/>
      <c r="AI4" s="1"/>
      <c r="AJ4" s="1"/>
    </row>
    <row r="5" spans="1:36" x14ac:dyDescent="0.2">
      <c r="B5" s="1"/>
      <c r="C5" s="1"/>
      <c r="D5" s="1"/>
      <c r="E5" s="1"/>
      <c r="F5" t="s">
        <v>28</v>
      </c>
      <c r="G5" s="3" t="s">
        <v>29</v>
      </c>
      <c r="I5" s="15"/>
      <c r="J5" s="15"/>
      <c r="L5" s="15" t="s">
        <v>30</v>
      </c>
      <c r="M5" s="15"/>
      <c r="O5" s="16" t="s">
        <v>31</v>
      </c>
      <c r="P5" s="16"/>
      <c r="AH5" s="1"/>
      <c r="AI5" s="1"/>
      <c r="AJ5" s="1"/>
    </row>
    <row r="6" spans="1:36" x14ac:dyDescent="0.2">
      <c r="A6" t="s">
        <v>32</v>
      </c>
      <c r="B6" s="1"/>
      <c r="C6" s="1"/>
      <c r="D6" s="1"/>
      <c r="E6" s="1"/>
      <c r="F6" s="1" t="s">
        <v>33</v>
      </c>
      <c r="G6" s="3" t="s">
        <v>34</v>
      </c>
      <c r="L6" t="s">
        <v>35</v>
      </c>
      <c r="M6" t="s">
        <v>36</v>
      </c>
      <c r="O6" s="4" t="s">
        <v>35</v>
      </c>
      <c r="P6" s="5" t="s">
        <v>36</v>
      </c>
      <c r="AH6" s="1"/>
      <c r="AI6" s="1"/>
      <c r="AJ6" s="1"/>
    </row>
    <row r="7" spans="1:36" x14ac:dyDescent="0.2">
      <c r="A7">
        <v>34.896999999999998</v>
      </c>
      <c r="B7" s="6" t="s">
        <v>37</v>
      </c>
      <c r="C7" s="7" t="s">
        <v>38</v>
      </c>
      <c r="D7" s="1" t="s">
        <v>39</v>
      </c>
      <c r="E7" s="1"/>
      <c r="F7" s="1">
        <v>9.0680858160000007E-6</v>
      </c>
      <c r="G7" s="3">
        <f>F7/ 0.359</f>
        <v>2.5259291966573819E-5</v>
      </c>
      <c r="K7" s="6" t="s">
        <v>37</v>
      </c>
      <c r="L7">
        <v>8.7810714011608197E-4</v>
      </c>
      <c r="M7">
        <v>5.0234309230539104E-5</v>
      </c>
      <c r="O7" s="4">
        <f>L7/A7</f>
        <v>2.5162826034217326E-5</v>
      </c>
      <c r="P7" s="5">
        <f>M7/A7</f>
        <v>1.4395022274275469E-6</v>
      </c>
      <c r="AH7" s="1"/>
      <c r="AI7" s="1"/>
      <c r="AJ7" s="1"/>
    </row>
    <row r="8" spans="1:36" x14ac:dyDescent="0.2">
      <c r="A8">
        <v>53.859000000000002</v>
      </c>
      <c r="B8" s="6" t="s">
        <v>40</v>
      </c>
      <c r="C8" s="7" t="s">
        <v>41</v>
      </c>
      <c r="D8" s="1" t="s">
        <v>42</v>
      </c>
      <c r="E8" s="1"/>
      <c r="F8" s="1">
        <v>1.6731179661999998E-5</v>
      </c>
      <c r="G8" s="3">
        <f t="shared" ref="G8:G39" si="0">F8/ 0.359</f>
        <v>4.6604957275766017E-5</v>
      </c>
      <c r="K8" s="6" t="s">
        <v>40</v>
      </c>
      <c r="L8">
        <v>2.500879381420637E-3</v>
      </c>
      <c r="M8">
        <v>1.2660655271744335E-4</v>
      </c>
      <c r="O8" s="4">
        <f t="shared" ref="O8:O28" si="1">L8/A8</f>
        <v>4.6433825013844236E-5</v>
      </c>
      <c r="P8" s="5">
        <f t="shared" ref="P8:P39" si="2">M8/A8</f>
        <v>2.3507037397174724E-6</v>
      </c>
      <c r="AH8" s="1"/>
      <c r="AI8" s="1"/>
      <c r="AJ8" s="1"/>
    </row>
    <row r="9" spans="1:36" x14ac:dyDescent="0.2">
      <c r="A9">
        <v>25.530999999999999</v>
      </c>
      <c r="B9" s="6" t="s">
        <v>43</v>
      </c>
      <c r="C9" s="7" t="s">
        <v>44</v>
      </c>
      <c r="D9" s="1" t="s">
        <v>45</v>
      </c>
      <c r="E9" s="1"/>
      <c r="F9" s="1">
        <v>2.7600335699999998E-6</v>
      </c>
      <c r="G9" s="3">
        <f t="shared" si="0"/>
        <v>7.6881157938718664E-6</v>
      </c>
      <c r="K9" s="6" t="s">
        <v>43</v>
      </c>
      <c r="L9">
        <v>1.9556452960030229E-4</v>
      </c>
      <c r="M9">
        <v>1.0158722033320065E-5</v>
      </c>
      <c r="O9" s="4">
        <f t="shared" si="1"/>
        <v>7.6598852218989575E-6</v>
      </c>
      <c r="P9" s="5">
        <f t="shared" si="2"/>
        <v>3.9789753763346777E-7</v>
      </c>
      <c r="AH9" s="1"/>
      <c r="AI9" s="1"/>
      <c r="AJ9" s="1"/>
    </row>
    <row r="10" spans="1:36" x14ac:dyDescent="0.2">
      <c r="A10">
        <v>65.391999999999996</v>
      </c>
      <c r="B10" s="6" t="s">
        <v>46</v>
      </c>
      <c r="C10" s="7" t="s">
        <v>47</v>
      </c>
      <c r="D10" s="1" t="s">
        <v>48</v>
      </c>
      <c r="E10" s="1"/>
      <c r="F10" s="1">
        <v>1.5803118518000001E-5</v>
      </c>
      <c r="G10" s="3">
        <f t="shared" si="0"/>
        <v>4.4019828740947076E-5</v>
      </c>
      <c r="K10" s="6" t="s">
        <v>46</v>
      </c>
      <c r="L10">
        <v>2.8679746955733972E-3</v>
      </c>
      <c r="M10">
        <v>8.472346603292725E-5</v>
      </c>
      <c r="O10" s="4">
        <f t="shared" si="1"/>
        <v>4.3858189007422885E-5</v>
      </c>
      <c r="P10" s="5">
        <f t="shared" si="2"/>
        <v>1.2956243276383541E-6</v>
      </c>
      <c r="AH10" s="1"/>
      <c r="AI10" s="1"/>
      <c r="AJ10" s="1"/>
    </row>
    <row r="11" spans="1:36" x14ac:dyDescent="0.2">
      <c r="A11">
        <v>21.504999999999999</v>
      </c>
      <c r="B11" s="6" t="s">
        <v>49</v>
      </c>
      <c r="C11" s="7" t="s">
        <v>50</v>
      </c>
      <c r="D11" s="1" t="s">
        <v>51</v>
      </c>
      <c r="E11" s="1"/>
      <c r="F11" s="1">
        <v>1.8070649655E-5</v>
      </c>
      <c r="G11" s="3">
        <f t="shared" si="0"/>
        <v>5.0336071462395545E-5</v>
      </c>
      <c r="K11" s="6" t="s">
        <v>49</v>
      </c>
      <c r="L11">
        <v>1.0785023869237772E-3</v>
      </c>
      <c r="M11">
        <v>1.1151130582203634E-4</v>
      </c>
      <c r="O11" s="4">
        <f t="shared" si="1"/>
        <v>5.0151238638631813E-5</v>
      </c>
      <c r="P11" s="5">
        <f t="shared" si="2"/>
        <v>5.1853664646378207E-6</v>
      </c>
      <c r="AH11" s="1"/>
      <c r="AI11" s="1"/>
      <c r="AJ11" s="1"/>
    </row>
    <row r="12" spans="1:36" x14ac:dyDescent="0.2">
      <c r="A12">
        <v>55.399000000000001</v>
      </c>
      <c r="B12" s="6" t="s">
        <v>52</v>
      </c>
      <c r="C12" s="7" t="s">
        <v>53</v>
      </c>
      <c r="D12" s="1" t="s">
        <v>54</v>
      </c>
      <c r="E12" s="1"/>
      <c r="F12" s="1">
        <v>5.2600024360000004E-6</v>
      </c>
      <c r="G12" s="3">
        <f t="shared" si="0"/>
        <v>1.465181737047354E-5</v>
      </c>
      <c r="K12" s="6" t="s">
        <v>52</v>
      </c>
      <c r="L12">
        <v>7.9287245025600318E-4</v>
      </c>
      <c r="M12">
        <v>2.3581530127224962E-5</v>
      </c>
      <c r="O12" s="4">
        <f t="shared" si="1"/>
        <v>1.4312035420422808E-5</v>
      </c>
      <c r="P12" s="5">
        <f t="shared" si="2"/>
        <v>4.2566707209922493E-7</v>
      </c>
      <c r="AH12" s="1"/>
      <c r="AI12" s="1"/>
      <c r="AJ12" s="1"/>
    </row>
    <row r="13" spans="1:36" x14ac:dyDescent="0.2">
      <c r="A13">
        <v>26.266999999999999</v>
      </c>
      <c r="B13" s="6" t="s">
        <v>55</v>
      </c>
      <c r="C13" s="7" t="s">
        <v>56</v>
      </c>
      <c r="D13" s="1" t="s">
        <v>57</v>
      </c>
      <c r="E13" s="1"/>
      <c r="F13" s="1">
        <v>7.8843394500000004E-7</v>
      </c>
      <c r="G13" s="3">
        <f t="shared" si="0"/>
        <v>2.1961948328690809E-6</v>
      </c>
      <c r="K13" s="6" t="s">
        <v>55</v>
      </c>
      <c r="L13">
        <v>5.7848138963746799E-5</v>
      </c>
      <c r="M13">
        <v>2.5011255499599478E-6</v>
      </c>
      <c r="O13" s="4">
        <f t="shared" si="1"/>
        <v>2.2023123677521908E-6</v>
      </c>
      <c r="P13" s="5">
        <f t="shared" si="2"/>
        <v>9.5219307494572958E-8</v>
      </c>
      <c r="AH13" s="1"/>
      <c r="AI13" s="1"/>
      <c r="AJ13" s="1"/>
    </row>
    <row r="14" spans="1:36" x14ac:dyDescent="0.2">
      <c r="A14">
        <v>36.101999999999997</v>
      </c>
      <c r="B14" s="6" t="s">
        <v>58</v>
      </c>
      <c r="C14" s="7" t="s">
        <v>59</v>
      </c>
      <c r="D14" s="1" t="s">
        <v>60</v>
      </c>
      <c r="E14" s="1"/>
      <c r="F14" s="1">
        <v>7.9098812148999996E-5</v>
      </c>
      <c r="G14" s="3">
        <f t="shared" si="0"/>
        <v>2.2033095306128134E-4</v>
      </c>
      <c r="K14" s="6" t="s">
        <v>58</v>
      </c>
      <c r="L14">
        <v>7.9364915354332086E-3</v>
      </c>
      <c r="M14">
        <v>2.9107043559065555E-4</v>
      </c>
      <c r="O14" s="4">
        <f t="shared" si="1"/>
        <v>2.1983523171661431E-4</v>
      </c>
      <c r="P14" s="5">
        <f t="shared" si="2"/>
        <v>8.0624462797256548E-6</v>
      </c>
      <c r="AH14" s="1"/>
      <c r="AI14" s="1"/>
      <c r="AJ14" s="1"/>
    </row>
    <row r="15" spans="1:36" x14ac:dyDescent="0.2">
      <c r="A15">
        <v>41.387999999999998</v>
      </c>
      <c r="B15" s="6" t="s">
        <v>61</v>
      </c>
      <c r="C15" s="7" t="s">
        <v>62</v>
      </c>
      <c r="D15" s="1" t="s">
        <v>63</v>
      </c>
      <c r="E15" s="1"/>
      <c r="F15" s="1">
        <v>2.2472680318999999E-5</v>
      </c>
      <c r="G15" s="3">
        <f t="shared" si="0"/>
        <v>6.2597995317548741E-5</v>
      </c>
      <c r="K15" s="6" t="s">
        <v>61</v>
      </c>
      <c r="L15">
        <v>2.5849767353351601E-3</v>
      </c>
      <c r="M15">
        <v>5.2563526179080733E-5</v>
      </c>
      <c r="O15" s="4">
        <f t="shared" si="1"/>
        <v>6.2457155101361755E-5</v>
      </c>
      <c r="P15" s="5">
        <f t="shared" si="2"/>
        <v>1.2700185121069086E-6</v>
      </c>
      <c r="AH15" s="1"/>
      <c r="AI15" s="1"/>
      <c r="AJ15" s="1"/>
    </row>
    <row r="16" spans="1:36" x14ac:dyDescent="0.2">
      <c r="A16">
        <v>25.937999999999999</v>
      </c>
      <c r="B16" s="6" t="s">
        <v>64</v>
      </c>
      <c r="C16" s="7" t="s">
        <v>65</v>
      </c>
      <c r="D16" s="1" t="s">
        <v>66</v>
      </c>
      <c r="E16" s="1"/>
      <c r="F16" s="1">
        <v>2.4524836890999999E-5</v>
      </c>
      <c r="G16" s="3">
        <f t="shared" si="0"/>
        <v>6.8314308888579384E-5</v>
      </c>
      <c r="K16" s="6" t="s">
        <v>64</v>
      </c>
      <c r="L16">
        <v>1.7703521090390627E-3</v>
      </c>
      <c r="M16">
        <v>2.5653538810896839E-5</v>
      </c>
      <c r="O16" s="4">
        <f t="shared" si="1"/>
        <v>6.8253223418885916E-5</v>
      </c>
      <c r="P16" s="5">
        <f t="shared" si="2"/>
        <v>9.8903303303634984E-7</v>
      </c>
      <c r="AH16" s="1"/>
      <c r="AI16" s="1"/>
      <c r="AJ16" s="1"/>
    </row>
    <row r="17" spans="1:36" x14ac:dyDescent="0.2">
      <c r="A17">
        <v>45.743000000000002</v>
      </c>
      <c r="B17" s="6" t="s">
        <v>67</v>
      </c>
      <c r="C17" s="7" t="s">
        <v>68</v>
      </c>
      <c r="D17" s="1" t="s">
        <v>69</v>
      </c>
      <c r="E17" s="1"/>
      <c r="F17" s="1">
        <v>4.0173760151999997E-5</v>
      </c>
      <c r="G17" s="3">
        <f t="shared" si="0"/>
        <v>1.1190462437883008E-4</v>
      </c>
      <c r="K17" s="6" t="s">
        <v>67</v>
      </c>
      <c r="L17">
        <v>5.1142760432945624E-3</v>
      </c>
      <c r="M17">
        <v>1.9427640416297163E-4</v>
      </c>
      <c r="O17" s="4">
        <f t="shared" si="1"/>
        <v>1.1180456120706036E-4</v>
      </c>
      <c r="P17" s="5">
        <f t="shared" si="2"/>
        <v>4.2471286134047097E-6</v>
      </c>
      <c r="AH17" s="1"/>
      <c r="AI17" s="1"/>
      <c r="AJ17" s="1"/>
    </row>
    <row r="18" spans="1:36" x14ac:dyDescent="0.2">
      <c r="A18">
        <v>51.445</v>
      </c>
      <c r="B18" s="6" t="s">
        <v>70</v>
      </c>
      <c r="C18" s="7" t="s">
        <v>71</v>
      </c>
      <c r="D18" s="1" t="s">
        <v>72</v>
      </c>
      <c r="E18" s="1"/>
      <c r="F18" s="1">
        <v>5.3181378786E-5</v>
      </c>
      <c r="G18" s="3">
        <f t="shared" si="0"/>
        <v>1.4813754536490252E-4</v>
      </c>
      <c r="K18" s="6" t="s">
        <v>70</v>
      </c>
      <c r="L18">
        <v>7.6534367672090545E-3</v>
      </c>
      <c r="M18">
        <v>2.5661941267832855E-4</v>
      </c>
      <c r="O18" s="4">
        <f t="shared" si="1"/>
        <v>1.4876930250187686E-4</v>
      </c>
      <c r="P18" s="5">
        <f t="shared" si="2"/>
        <v>4.9882284513233268E-6</v>
      </c>
      <c r="AH18" s="1"/>
      <c r="AI18" s="1"/>
      <c r="AJ18" s="1"/>
    </row>
    <row r="19" spans="1:36" x14ac:dyDescent="0.2">
      <c r="A19">
        <v>60.926000000000002</v>
      </c>
      <c r="B19" s="6" t="s">
        <v>73</v>
      </c>
      <c r="C19" s="7" t="s">
        <v>74</v>
      </c>
      <c r="D19" s="1" t="s">
        <v>75</v>
      </c>
      <c r="E19" s="1"/>
      <c r="F19" s="1">
        <v>6.9518089391999995E-5</v>
      </c>
      <c r="G19" s="3">
        <f t="shared" si="0"/>
        <v>1.9364370304178271E-4</v>
      </c>
      <c r="K19" s="6" t="s">
        <v>73</v>
      </c>
      <c r="L19">
        <v>1.175475684914956E-2</v>
      </c>
      <c r="M19">
        <v>2.0380980611285361E-4</v>
      </c>
      <c r="O19" s="4">
        <f t="shared" si="1"/>
        <v>1.9293498422922166E-4</v>
      </c>
      <c r="P19" s="5">
        <f t="shared" si="2"/>
        <v>3.3452024769860749E-6</v>
      </c>
      <c r="AH19" s="1"/>
      <c r="AI19" s="1"/>
      <c r="AJ19" s="1"/>
    </row>
    <row r="20" spans="1:36" x14ac:dyDescent="0.2">
      <c r="A20">
        <v>36.122</v>
      </c>
      <c r="B20" s="6" t="s">
        <v>76</v>
      </c>
      <c r="C20" s="7" t="s">
        <v>77</v>
      </c>
      <c r="D20" s="1" t="s">
        <v>78</v>
      </c>
      <c r="E20" s="1"/>
      <c r="F20" s="1">
        <v>1.4189756657E-5</v>
      </c>
      <c r="G20" s="3">
        <f t="shared" si="0"/>
        <v>3.9525784559888578E-5</v>
      </c>
      <c r="K20" s="6" t="s">
        <v>76</v>
      </c>
      <c r="L20">
        <v>1.1882986526484123E-4</v>
      </c>
      <c r="M20">
        <v>7.0063939146987032E-6</v>
      </c>
      <c r="O20" s="4">
        <f t="shared" si="1"/>
        <v>3.2896812265334485E-6</v>
      </c>
      <c r="P20" s="5">
        <f t="shared" si="2"/>
        <v>1.9396472827359235E-7</v>
      </c>
      <c r="AH20" s="1"/>
      <c r="AI20" s="1"/>
      <c r="AJ20" s="1"/>
    </row>
    <row r="21" spans="1:36" x14ac:dyDescent="0.2">
      <c r="A21">
        <v>40.145000000000003</v>
      </c>
      <c r="B21" s="6" t="s">
        <v>79</v>
      </c>
      <c r="C21" s="7" t="s">
        <v>80</v>
      </c>
      <c r="D21" s="1"/>
      <c r="E21" s="1"/>
      <c r="F21" s="1" t="e">
        <v>#N/A</v>
      </c>
      <c r="G21" s="3" t="e">
        <f t="shared" si="0"/>
        <v>#N/A</v>
      </c>
      <c r="K21" s="6" t="s">
        <v>79</v>
      </c>
      <c r="L21">
        <v>2.8991671297659326E-3</v>
      </c>
      <c r="M21">
        <v>1.0513914294550844E-4</v>
      </c>
      <c r="O21" s="4">
        <f t="shared" si="1"/>
        <v>7.2217390204656431E-5</v>
      </c>
      <c r="P21" s="5">
        <f t="shared" si="2"/>
        <v>2.618984753904806E-6</v>
      </c>
      <c r="AH21" s="1"/>
      <c r="AI21" s="1"/>
      <c r="AJ21" s="1"/>
    </row>
    <row r="22" spans="1:36" x14ac:dyDescent="0.2">
      <c r="A22">
        <v>39.582999999999998</v>
      </c>
      <c r="B22" s="6" t="s">
        <v>81</v>
      </c>
      <c r="C22" s="7" t="s">
        <v>80</v>
      </c>
      <c r="D22" s="1"/>
      <c r="E22" s="1"/>
      <c r="F22" s="1" t="e">
        <v>#N/A</v>
      </c>
      <c r="G22" s="3" t="e">
        <f t="shared" si="0"/>
        <v>#N/A</v>
      </c>
      <c r="K22" s="6" t="s">
        <v>81</v>
      </c>
      <c r="L22">
        <v>1.3158698642703933E-4</v>
      </c>
      <c r="M22">
        <v>4.84926914892894E-6</v>
      </c>
      <c r="O22" s="4">
        <f t="shared" si="1"/>
        <v>3.324330809363599E-6</v>
      </c>
      <c r="P22" s="5">
        <f t="shared" si="2"/>
        <v>1.2250888383722658E-7</v>
      </c>
      <c r="AH22" s="1"/>
      <c r="AI22" s="1"/>
      <c r="AJ22" s="1"/>
    </row>
    <row r="23" spans="1:36" x14ac:dyDescent="0.2">
      <c r="A23">
        <v>70.307000000000002</v>
      </c>
      <c r="B23" s="6" t="s">
        <v>82</v>
      </c>
      <c r="C23" s="7" t="s">
        <v>83</v>
      </c>
      <c r="D23" s="1"/>
      <c r="E23" s="1"/>
      <c r="F23" s="1" t="e">
        <v>#N/A</v>
      </c>
      <c r="G23" s="3" t="e">
        <f t="shared" si="0"/>
        <v>#N/A</v>
      </c>
      <c r="H23" s="8" t="e">
        <f>(O23-G23)/O23</f>
        <v>#N/A</v>
      </c>
      <c r="K23" s="6" t="s">
        <v>82</v>
      </c>
      <c r="L23">
        <v>1.2723763700294297E-5</v>
      </c>
      <c r="M23">
        <v>8.4213966340878746E-7</v>
      </c>
      <c r="O23" s="4">
        <f t="shared" si="1"/>
        <v>1.8097435106453549E-7</v>
      </c>
      <c r="P23" s="5">
        <f t="shared" si="2"/>
        <v>1.1978034383614539E-8</v>
      </c>
      <c r="AH23" s="1"/>
      <c r="AI23" s="1"/>
      <c r="AJ23" s="1"/>
    </row>
    <row r="24" spans="1:36" x14ac:dyDescent="0.2">
      <c r="A24">
        <v>70.513999999999996</v>
      </c>
      <c r="B24" s="6" t="s">
        <v>84</v>
      </c>
      <c r="C24" s="7" t="s">
        <v>85</v>
      </c>
      <c r="D24" s="1"/>
      <c r="E24" s="1"/>
      <c r="F24" s="1">
        <v>2.2948906400000002E-6</v>
      </c>
      <c r="G24" s="3">
        <f t="shared" si="0"/>
        <v>6.3924530362117003E-6</v>
      </c>
      <c r="H24" s="8">
        <f>(SUM(O23:O24)-G24)/SUM(O23:O24)</f>
        <v>-0.70153114896709567</v>
      </c>
      <c r="I24" s="8">
        <f>G24/(SUM(O23:O24))</f>
        <v>1.7015311489670957</v>
      </c>
      <c r="K24" s="6" t="s">
        <v>84</v>
      </c>
      <c r="L24">
        <v>2.521516054255981E-4</v>
      </c>
      <c r="M24">
        <v>9.1077870869679429E-6</v>
      </c>
      <c r="O24" s="4">
        <f t="shared" si="1"/>
        <v>3.5759084072042163E-6</v>
      </c>
      <c r="P24" s="5">
        <f t="shared" si="2"/>
        <v>1.2916281996437508E-7</v>
      </c>
      <c r="AH24" s="1"/>
      <c r="AI24" s="1"/>
      <c r="AJ24" s="1"/>
    </row>
    <row r="25" spans="1:36" x14ac:dyDescent="0.2">
      <c r="A25">
        <v>41.857999999999997</v>
      </c>
      <c r="B25" s="6" t="s">
        <v>86</v>
      </c>
      <c r="C25" s="7" t="s">
        <v>87</v>
      </c>
      <c r="D25" s="1"/>
      <c r="E25" s="1"/>
      <c r="F25" s="1">
        <v>3.4035058640000002E-6</v>
      </c>
      <c r="G25" s="3">
        <f t="shared" si="0"/>
        <v>9.4805177270195001E-6</v>
      </c>
      <c r="H25" s="8">
        <f t="shared" ref="H25:H32" si="3">(O25-G25)/O25</f>
        <v>-0.70317109189788229</v>
      </c>
      <c r="I25" s="8">
        <f t="shared" ref="I25:I32" si="4">G25/O25</f>
        <v>1.7031710918978822</v>
      </c>
      <c r="K25" s="6" t="s">
        <v>86</v>
      </c>
      <c r="L25">
        <v>2.3299803108763395E-4</v>
      </c>
      <c r="M25">
        <v>7.3848104264098787E-6</v>
      </c>
      <c r="O25" s="4">
        <f t="shared" si="1"/>
        <v>5.5663918746149829E-6</v>
      </c>
      <c r="P25" s="5">
        <f t="shared" si="2"/>
        <v>1.7642530523221079E-7</v>
      </c>
      <c r="AH25" s="1"/>
      <c r="AI25" s="1"/>
      <c r="AJ25" s="1"/>
    </row>
    <row r="26" spans="1:36" x14ac:dyDescent="0.2">
      <c r="A26">
        <v>41.369</v>
      </c>
      <c r="B26" s="6" t="s">
        <v>88</v>
      </c>
      <c r="C26" s="7" t="s">
        <v>89</v>
      </c>
      <c r="D26" s="1"/>
      <c r="E26" s="1"/>
      <c r="F26" s="1">
        <v>3.5086179760000002E-6</v>
      </c>
      <c r="G26" s="3">
        <f t="shared" si="0"/>
        <v>9.7733091253481907E-6</v>
      </c>
      <c r="H26" s="8">
        <f t="shared" si="3"/>
        <v>-0.70317109190887428</v>
      </c>
      <c r="I26" s="8">
        <f t="shared" si="4"/>
        <v>1.7031710919088743</v>
      </c>
      <c r="K26" s="6" t="s">
        <v>88</v>
      </c>
      <c r="L26">
        <v>2.3738779217617287E-4</v>
      </c>
      <c r="M26">
        <v>7.4520024621489683E-6</v>
      </c>
      <c r="O26" s="4">
        <f t="shared" si="1"/>
        <v>5.7383014376990713E-6</v>
      </c>
      <c r="P26" s="5">
        <f t="shared" si="2"/>
        <v>1.8013494312526211E-7</v>
      </c>
      <c r="AH26" s="1"/>
      <c r="AI26" s="1"/>
      <c r="AJ26" s="1"/>
    </row>
    <row r="27" spans="1:36" x14ac:dyDescent="0.2">
      <c r="A27">
        <v>30.474</v>
      </c>
      <c r="B27" s="6" t="s">
        <v>90</v>
      </c>
      <c r="C27" s="7" t="s">
        <v>91</v>
      </c>
      <c r="D27" s="1"/>
      <c r="E27" s="1"/>
      <c r="F27" s="1">
        <v>8.5513738799999997E-7</v>
      </c>
      <c r="G27" s="3">
        <f t="shared" si="0"/>
        <v>2.3819982952646238E-6</v>
      </c>
      <c r="H27" s="8">
        <f t="shared" si="3"/>
        <v>-0.70317109265072619</v>
      </c>
      <c r="I27" s="8">
        <f t="shared" si="4"/>
        <v>1.7031710926507262</v>
      </c>
      <c r="K27" s="6" t="s">
        <v>90</v>
      </c>
      <c r="L27">
        <v>4.2619920196578962E-5</v>
      </c>
      <c r="M27">
        <v>1.9420757630582804E-6</v>
      </c>
      <c r="O27" s="4">
        <f t="shared" si="1"/>
        <v>1.3985666534284624E-6</v>
      </c>
      <c r="P27" s="5">
        <f t="shared" si="2"/>
        <v>6.3728941493019642E-8</v>
      </c>
      <c r="AH27" s="1"/>
      <c r="AI27" s="1"/>
      <c r="AJ27" s="1"/>
    </row>
    <row r="28" spans="1:36" x14ac:dyDescent="0.2">
      <c r="A28">
        <v>39.941000000000003</v>
      </c>
      <c r="B28" s="6" t="s">
        <v>92</v>
      </c>
      <c r="C28" s="7" t="s">
        <v>93</v>
      </c>
      <c r="D28" s="1"/>
      <c r="E28" s="1"/>
      <c r="F28" s="1">
        <v>7.0467822960000002E-6</v>
      </c>
      <c r="G28" s="3">
        <f t="shared" si="0"/>
        <v>1.9628920044568247E-5</v>
      </c>
      <c r="H28" s="8">
        <f t="shared" si="3"/>
        <v>-0.70317109173220793</v>
      </c>
      <c r="I28" s="8">
        <f t="shared" si="4"/>
        <v>1.703171091732208</v>
      </c>
      <c r="K28" s="6" t="s">
        <v>92</v>
      </c>
      <c r="L28">
        <v>4.6031705170778559E-4</v>
      </c>
      <c r="M28">
        <v>1.1282131489038944E-5</v>
      </c>
      <c r="O28" s="4">
        <f t="shared" si="1"/>
        <v>1.152492555789253E-5</v>
      </c>
      <c r="P28" s="5">
        <f t="shared" si="2"/>
        <v>2.8246993037327416E-7</v>
      </c>
      <c r="AH28" s="1"/>
      <c r="AI28" s="1"/>
      <c r="AJ28" s="1"/>
    </row>
    <row r="29" spans="1:36" x14ac:dyDescent="0.2">
      <c r="A29">
        <v>36.503999999999998</v>
      </c>
      <c r="B29" s="6" t="s">
        <v>94</v>
      </c>
      <c r="C29" s="7" t="s">
        <v>95</v>
      </c>
      <c r="D29" s="1"/>
      <c r="E29" s="1"/>
      <c r="F29" s="1">
        <v>1.3912740052999999E-5</v>
      </c>
      <c r="G29" s="3">
        <f t="shared" si="0"/>
        <v>3.8754150565459611E-5</v>
      </c>
      <c r="H29" s="8">
        <f t="shared" si="3"/>
        <v>-0.70317109163541525</v>
      </c>
      <c r="I29" s="8">
        <f t="shared" si="4"/>
        <v>1.7031710916354152</v>
      </c>
      <c r="K29" s="6" t="s">
        <v>94</v>
      </c>
      <c r="L29">
        <v>8.3061620713814198E-4</v>
      </c>
      <c r="M29">
        <v>1.4977680843132558E-5</v>
      </c>
      <c r="O29" s="4">
        <f>L29/A29</f>
        <v>2.2754114813120263E-5</v>
      </c>
      <c r="P29" s="5">
        <f t="shared" si="2"/>
        <v>4.1030245570711589E-7</v>
      </c>
      <c r="R29" t="s">
        <v>96</v>
      </c>
      <c r="AH29" s="1"/>
      <c r="AI29" s="1"/>
      <c r="AJ29" s="1"/>
    </row>
    <row r="30" spans="1:36" x14ac:dyDescent="0.2">
      <c r="A30">
        <v>31.189</v>
      </c>
      <c r="B30" s="9" t="s">
        <v>97</v>
      </c>
      <c r="C30" s="10" t="s">
        <v>98</v>
      </c>
      <c r="D30" s="1"/>
      <c r="E30" s="1"/>
      <c r="F30">
        <v>2.4119217059999999E-6</v>
      </c>
      <c r="G30" s="3">
        <f t="shared" si="0"/>
        <v>6.7184448635097492E-6</v>
      </c>
      <c r="H30" s="8">
        <f t="shared" si="3"/>
        <v>-0.55940100762887934</v>
      </c>
      <c r="I30" s="8">
        <f t="shared" si="4"/>
        <v>1.5594010076288793</v>
      </c>
      <c r="K30" s="9" t="s">
        <v>97</v>
      </c>
      <c r="L30">
        <v>1.3437311879554347E-4</v>
      </c>
      <c r="M30">
        <v>4.6027477844345979E-6</v>
      </c>
      <c r="O30" s="4">
        <f t="shared" ref="O30:O38" si="5">L30/A30</f>
        <v>4.3083497000719311E-6</v>
      </c>
      <c r="P30" s="5">
        <f t="shared" si="2"/>
        <v>1.4757599744892745E-7</v>
      </c>
      <c r="AH30" s="1"/>
      <c r="AI30" s="1"/>
      <c r="AJ30" s="1"/>
    </row>
    <row r="31" spans="1:36" x14ac:dyDescent="0.2">
      <c r="A31">
        <v>21.824999999999999</v>
      </c>
      <c r="B31" s="9" t="s">
        <v>99</v>
      </c>
      <c r="C31" s="10" t="s">
        <v>100</v>
      </c>
      <c r="D31" s="1"/>
      <c r="E31" s="1"/>
      <c r="F31">
        <v>1.27043743E-6</v>
      </c>
      <c r="G31" s="3">
        <f t="shared" si="0"/>
        <v>3.5388229247910865E-6</v>
      </c>
      <c r="H31" s="8">
        <f t="shared" si="3"/>
        <v>-2.4232476327488777</v>
      </c>
      <c r="I31" s="8">
        <f t="shared" si="4"/>
        <v>3.4232476327488777</v>
      </c>
      <c r="K31" s="9" t="s">
        <v>99</v>
      </c>
      <c r="L31">
        <v>2.2561853134634518E-5</v>
      </c>
      <c r="M31">
        <v>1.0968716671586267E-6</v>
      </c>
      <c r="O31" s="4">
        <f t="shared" si="5"/>
        <v>1.0337618847484315E-6</v>
      </c>
      <c r="P31" s="5">
        <f t="shared" si="2"/>
        <v>5.0257579251254371E-8</v>
      </c>
      <c r="AH31" s="1"/>
      <c r="AI31" s="1"/>
      <c r="AJ31" s="1"/>
    </row>
    <row r="32" spans="1:36" x14ac:dyDescent="0.2">
      <c r="A32">
        <v>12.662000000000001</v>
      </c>
      <c r="B32" s="11" t="s">
        <v>101</v>
      </c>
      <c r="C32" s="12" t="s">
        <v>102</v>
      </c>
      <c r="F32" s="2">
        <v>8.3541802840000005E-6</v>
      </c>
      <c r="G32" s="3">
        <f t="shared" si="0"/>
        <v>2.3270697169916438E-5</v>
      </c>
      <c r="H32" s="8">
        <f t="shared" si="3"/>
        <v>-0.35148319068883049</v>
      </c>
      <c r="I32" s="8">
        <f t="shared" si="4"/>
        <v>1.3514831906888305</v>
      </c>
      <c r="K32" s="11" t="s">
        <v>101</v>
      </c>
      <c r="L32">
        <v>2.1802236949414183E-4</v>
      </c>
      <c r="M32">
        <v>4.5004422028753396E-6</v>
      </c>
      <c r="O32" s="4">
        <f t="shared" si="5"/>
        <v>1.7218636036498328E-5</v>
      </c>
      <c r="P32" s="5">
        <f t="shared" si="2"/>
        <v>3.5542901618033006E-7</v>
      </c>
      <c r="AH32" s="1"/>
      <c r="AI32" s="1"/>
      <c r="AJ32" s="1"/>
    </row>
    <row r="33" spans="1:36" x14ac:dyDescent="0.2">
      <c r="A33">
        <v>9.9649999999999999</v>
      </c>
      <c r="B33" s="13" t="s">
        <v>103</v>
      </c>
      <c r="C33" t="s">
        <v>104</v>
      </c>
      <c r="F33" t="e">
        <v>#N/A</v>
      </c>
      <c r="G33" s="3" t="e">
        <f t="shared" si="0"/>
        <v>#N/A</v>
      </c>
      <c r="H33" s="8"/>
      <c r="K33" s="13" t="s">
        <v>103</v>
      </c>
      <c r="L33">
        <v>6.0723708412905434E-6</v>
      </c>
      <c r="M33">
        <v>3.276007152527668E-7</v>
      </c>
      <c r="O33" s="4">
        <f t="shared" si="5"/>
        <v>6.0936987870452012E-7</v>
      </c>
      <c r="P33" s="5">
        <f t="shared" si="2"/>
        <v>3.2875134496012725E-8</v>
      </c>
      <c r="AH33" s="1"/>
      <c r="AI33" s="1"/>
      <c r="AJ33" s="1"/>
    </row>
    <row r="34" spans="1:36" x14ac:dyDescent="0.2">
      <c r="A34">
        <v>23.779</v>
      </c>
      <c r="B34" s="13" t="s">
        <v>105</v>
      </c>
      <c r="C34" t="s">
        <v>104</v>
      </c>
      <c r="F34" t="e">
        <v>#N/A</v>
      </c>
      <c r="G34" s="3" t="e">
        <f t="shared" si="0"/>
        <v>#N/A</v>
      </c>
      <c r="H34" s="8"/>
      <c r="K34" s="13" t="s">
        <v>105</v>
      </c>
      <c r="L34">
        <v>1.2276069908162464E-5</v>
      </c>
      <c r="M34">
        <v>6.8282399415121016E-7</v>
      </c>
      <c r="O34" s="4">
        <f t="shared" si="5"/>
        <v>5.1625677733136231E-7</v>
      </c>
      <c r="P34" s="5">
        <f t="shared" si="2"/>
        <v>2.8715420923975363E-8</v>
      </c>
      <c r="AH34" s="1"/>
      <c r="AI34" s="1"/>
      <c r="AJ34" s="1"/>
    </row>
    <row r="35" spans="1:36" x14ac:dyDescent="0.2">
      <c r="A35">
        <v>25.721</v>
      </c>
      <c r="B35" s="13" t="s">
        <v>106</v>
      </c>
      <c r="C35" t="s">
        <v>104</v>
      </c>
      <c r="F35" t="e">
        <v>#N/A</v>
      </c>
      <c r="G35" s="3" t="e">
        <f t="shared" si="0"/>
        <v>#N/A</v>
      </c>
      <c r="H35" s="8"/>
      <c r="J35" s="2"/>
      <c r="K35" s="13" t="s">
        <v>106</v>
      </c>
      <c r="L35">
        <v>2.4789185736183079E-5</v>
      </c>
      <c r="M35">
        <v>1.2226908906238183E-6</v>
      </c>
      <c r="O35" s="4">
        <f t="shared" si="5"/>
        <v>9.6377223810050456E-7</v>
      </c>
      <c r="P35" s="5">
        <f t="shared" si="2"/>
        <v>4.7536677836157935E-8</v>
      </c>
      <c r="AH35" s="1"/>
      <c r="AI35" s="1"/>
      <c r="AJ35" s="1"/>
    </row>
    <row r="36" spans="1:36" x14ac:dyDescent="0.2">
      <c r="A36">
        <v>38.411999999999999</v>
      </c>
      <c r="B36" s="13" t="s">
        <v>107</v>
      </c>
      <c r="C36" t="s">
        <v>104</v>
      </c>
      <c r="F36" t="e">
        <v>#N/A</v>
      </c>
      <c r="G36" s="3" t="e">
        <f t="shared" si="0"/>
        <v>#N/A</v>
      </c>
      <c r="H36" s="8"/>
      <c r="K36" s="13" t="s">
        <v>107</v>
      </c>
      <c r="L36">
        <v>1.6417639765753983E-5</v>
      </c>
      <c r="M36">
        <v>9.4446367372077682E-7</v>
      </c>
      <c r="O36" s="4">
        <f t="shared" si="5"/>
        <v>4.274091368779023E-7</v>
      </c>
      <c r="P36" s="5">
        <f t="shared" si="2"/>
        <v>2.4587724505903801E-8</v>
      </c>
      <c r="AH36" s="1"/>
      <c r="AI36" s="1"/>
      <c r="AJ36" s="1"/>
    </row>
    <row r="37" spans="1:36" x14ac:dyDescent="0.2">
      <c r="A37">
        <v>52.136000000000003</v>
      </c>
      <c r="B37" s="13" t="s">
        <v>108</v>
      </c>
      <c r="C37" t="s">
        <v>104</v>
      </c>
      <c r="F37" t="e">
        <v>#N/A</v>
      </c>
      <c r="G37" s="3" t="e">
        <f t="shared" si="0"/>
        <v>#N/A</v>
      </c>
      <c r="H37" s="8"/>
      <c r="K37" s="13" t="s">
        <v>108</v>
      </c>
      <c r="L37">
        <v>7.0227210946584789E-5</v>
      </c>
      <c r="M37">
        <v>3.2266732930678812E-6</v>
      </c>
      <c r="O37" s="4">
        <f t="shared" si="5"/>
        <v>1.3470003634069508E-6</v>
      </c>
      <c r="P37" s="5">
        <f t="shared" si="2"/>
        <v>6.1889544519485208E-8</v>
      </c>
      <c r="AH37" s="1"/>
      <c r="AI37" s="1"/>
      <c r="AJ37" s="1"/>
    </row>
    <row r="38" spans="1:36" x14ac:dyDescent="0.2">
      <c r="A38">
        <v>22.757999999999999</v>
      </c>
      <c r="B38" s="13" t="s">
        <v>109</v>
      </c>
      <c r="C38" t="s">
        <v>104</v>
      </c>
      <c r="F38" t="e">
        <v>#N/A</v>
      </c>
      <c r="G38" s="3" t="e">
        <f t="shared" si="0"/>
        <v>#N/A</v>
      </c>
      <c r="H38" s="8"/>
      <c r="K38" s="13" t="s">
        <v>109</v>
      </c>
      <c r="L38">
        <v>1.5385960046332389E-5</v>
      </c>
      <c r="M38">
        <v>8.1393792288849254E-7</v>
      </c>
      <c r="O38" s="4">
        <f t="shared" si="5"/>
        <v>6.7606819783515206E-7</v>
      </c>
      <c r="P38" s="5">
        <f t="shared" si="2"/>
        <v>3.5764914442767053E-8</v>
      </c>
      <c r="AH38" s="1"/>
      <c r="AI38" s="1"/>
      <c r="AJ38" s="1"/>
    </row>
    <row r="39" spans="1:36" x14ac:dyDescent="0.2">
      <c r="A39">
        <v>20.85</v>
      </c>
      <c r="B39" s="13" t="s">
        <v>110</v>
      </c>
      <c r="C39" t="s">
        <v>104</v>
      </c>
      <c r="F39" t="e">
        <v>#N/A</v>
      </c>
      <c r="G39" s="3" t="e">
        <f t="shared" si="0"/>
        <v>#N/A</v>
      </c>
      <c r="H39" s="8"/>
      <c r="K39" s="13" t="s">
        <v>110</v>
      </c>
      <c r="L39">
        <v>7.8919826425829579E-5</v>
      </c>
      <c r="M39">
        <v>2.805616048166686E-6</v>
      </c>
      <c r="O39" s="4">
        <f>L39/A39</f>
        <v>3.7851235695841523E-6</v>
      </c>
      <c r="P39" s="5">
        <f t="shared" si="2"/>
        <v>1.3456192077538062E-7</v>
      </c>
      <c r="AH39" s="1"/>
      <c r="AI39" s="1"/>
      <c r="AJ39" s="1"/>
    </row>
    <row r="40" spans="1:36" x14ac:dyDescent="0.2">
      <c r="O40" s="2"/>
      <c r="AH40" s="1"/>
      <c r="AI40" s="1"/>
      <c r="AJ40" s="1"/>
    </row>
    <row r="41" spans="1:36" x14ac:dyDescent="0.2">
      <c r="O41" s="2"/>
      <c r="AH41" s="1"/>
      <c r="AI41" s="1"/>
      <c r="AJ41" s="1"/>
    </row>
    <row r="42" spans="1:36" x14ac:dyDescent="0.2">
      <c r="O42" s="2"/>
      <c r="AH42" s="1"/>
      <c r="AI42" s="1"/>
      <c r="AJ42" s="1"/>
    </row>
    <row r="43" spans="1:36" x14ac:dyDescent="0.2">
      <c r="O43" s="2"/>
      <c r="AH43" s="1"/>
      <c r="AI43" s="1"/>
      <c r="AJ43" s="1"/>
    </row>
    <row r="44" spans="1:36" x14ac:dyDescent="0.2">
      <c r="O44" s="2"/>
      <c r="AH44" s="1"/>
      <c r="AI44" s="1"/>
      <c r="AJ44" s="1"/>
    </row>
    <row r="45" spans="1:36" x14ac:dyDescent="0.2">
      <c r="O45" s="2"/>
      <c r="AH45" s="1"/>
      <c r="AI45" s="1"/>
      <c r="AJ45" s="1"/>
    </row>
    <row r="46" spans="1:36" x14ac:dyDescent="0.2">
      <c r="O46" s="2"/>
      <c r="AH46" s="1"/>
      <c r="AI46" s="1"/>
      <c r="AJ46" s="1"/>
    </row>
    <row r="47" spans="1:36" x14ac:dyDescent="0.2">
      <c r="O47" s="2"/>
      <c r="AH47" s="1"/>
      <c r="AI47" s="1"/>
      <c r="AJ47" s="1"/>
    </row>
    <row r="48" spans="1:36" x14ac:dyDescent="0.2">
      <c r="O48" s="2"/>
      <c r="AH48" s="1"/>
      <c r="AI48" s="1"/>
      <c r="AJ48" s="1"/>
    </row>
    <row r="49" spans="2:36" x14ac:dyDescent="0.2">
      <c r="O49" s="2"/>
      <c r="AH49" s="1"/>
      <c r="AI49" s="1"/>
      <c r="AJ49" s="1"/>
    </row>
    <row r="50" spans="2:36" x14ac:dyDescent="0.2">
      <c r="O50" s="2"/>
      <c r="AH50" s="1"/>
      <c r="AI50" s="1"/>
      <c r="AJ50" s="1"/>
    </row>
    <row r="51" spans="2:36" x14ac:dyDescent="0.2">
      <c r="G51" s="2"/>
      <c r="O51" s="2"/>
      <c r="AH51" s="1"/>
      <c r="AI51" s="1"/>
      <c r="AJ51" s="1"/>
    </row>
    <row r="52" spans="2:36" x14ac:dyDescent="0.2">
      <c r="E52" t="s">
        <v>29</v>
      </c>
      <c r="F52" s="16" t="s">
        <v>31</v>
      </c>
      <c r="G52" s="16"/>
      <c r="O52" s="2"/>
      <c r="AH52" s="1"/>
      <c r="AI52" s="1"/>
      <c r="AJ52" s="1"/>
    </row>
    <row r="53" spans="2:36" x14ac:dyDescent="0.2">
      <c r="B53" s="2"/>
      <c r="E53" t="s">
        <v>34</v>
      </c>
      <c r="F53" s="4" t="s">
        <v>35</v>
      </c>
      <c r="G53" s="5" t="s">
        <v>36</v>
      </c>
      <c r="O53" s="2"/>
      <c r="AH53" s="1"/>
      <c r="AI53" s="1"/>
      <c r="AJ53" s="1"/>
    </row>
    <row r="54" spans="2:36" x14ac:dyDescent="0.2">
      <c r="B54" s="8"/>
      <c r="D54" s="1" t="s">
        <v>39</v>
      </c>
      <c r="E54">
        <v>2.5259291966573819E-5</v>
      </c>
      <c r="F54">
        <v>2.5162826034217326E-5</v>
      </c>
      <c r="G54" s="2">
        <v>1.4395022274275469E-6</v>
      </c>
      <c r="O54" s="2"/>
      <c r="AH54" s="1"/>
      <c r="AI54" s="1"/>
      <c r="AJ54" s="1"/>
    </row>
    <row r="55" spans="2:36" x14ac:dyDescent="0.2">
      <c r="D55" s="1" t="s">
        <v>42</v>
      </c>
      <c r="E55">
        <v>4.6604957275766017E-5</v>
      </c>
      <c r="F55">
        <v>4.6433825013844236E-5</v>
      </c>
      <c r="G55" s="2">
        <v>2.3507037397174724E-6</v>
      </c>
      <c r="O55" s="2"/>
      <c r="AH55" s="1"/>
      <c r="AI55" s="1"/>
      <c r="AJ55" s="1"/>
    </row>
    <row r="56" spans="2:36" x14ac:dyDescent="0.2">
      <c r="D56" s="1" t="s">
        <v>45</v>
      </c>
      <c r="E56">
        <v>7.6881157938718664E-6</v>
      </c>
      <c r="F56">
        <v>7.6598852218989575E-6</v>
      </c>
      <c r="G56" s="2">
        <v>3.9789753763346777E-7</v>
      </c>
      <c r="O56" s="2"/>
      <c r="AH56" s="1"/>
      <c r="AI56" s="1"/>
      <c r="AJ56" s="1"/>
    </row>
    <row r="57" spans="2:36" x14ac:dyDescent="0.2">
      <c r="B57" s="2"/>
      <c r="D57" s="1" t="s">
        <v>48</v>
      </c>
      <c r="E57">
        <v>4.4019828740947076E-5</v>
      </c>
      <c r="F57">
        <v>4.3858189007422885E-5</v>
      </c>
      <c r="G57" s="2">
        <v>1.2956243276383541E-6</v>
      </c>
      <c r="O57" s="2"/>
      <c r="AH57" s="1"/>
      <c r="AI57" s="1"/>
      <c r="AJ57" s="1"/>
    </row>
    <row r="58" spans="2:36" x14ac:dyDescent="0.2">
      <c r="B58" s="8"/>
      <c r="D58" s="1" t="s">
        <v>51</v>
      </c>
      <c r="E58">
        <v>5.0336071462395545E-5</v>
      </c>
      <c r="F58">
        <v>5.0151238638631813E-5</v>
      </c>
      <c r="G58" s="2">
        <v>5.1853664646378207E-6</v>
      </c>
      <c r="O58" s="2"/>
      <c r="AH58" s="1"/>
      <c r="AI58" s="1"/>
      <c r="AJ58" s="1"/>
    </row>
    <row r="59" spans="2:36" x14ac:dyDescent="0.2">
      <c r="D59" s="1" t="s">
        <v>54</v>
      </c>
      <c r="E59">
        <v>1.465181737047354E-5</v>
      </c>
      <c r="F59">
        <v>1.4312035420422808E-5</v>
      </c>
      <c r="G59" s="2">
        <v>4.2566707209922493E-7</v>
      </c>
      <c r="O59" s="2"/>
      <c r="AH59" s="1"/>
      <c r="AI59" s="1"/>
      <c r="AJ59" s="1"/>
    </row>
    <row r="60" spans="2:36" x14ac:dyDescent="0.2">
      <c r="D60" s="1" t="s">
        <v>57</v>
      </c>
      <c r="E60">
        <v>2.1961948328690809E-6</v>
      </c>
      <c r="F60">
        <v>2.2023123677521908E-6</v>
      </c>
      <c r="G60" s="2">
        <v>9.5219307494572958E-8</v>
      </c>
      <c r="O60" s="2"/>
      <c r="AH60" s="1"/>
      <c r="AI60" s="1"/>
      <c r="AJ60" s="1"/>
    </row>
    <row r="61" spans="2:36" x14ac:dyDescent="0.2">
      <c r="D61" s="1" t="s">
        <v>60</v>
      </c>
      <c r="E61">
        <v>2.2033095306128134E-4</v>
      </c>
      <c r="F61">
        <v>2.1983523171661431E-4</v>
      </c>
      <c r="G61" s="2">
        <v>8.0624462797256548E-6</v>
      </c>
      <c r="O61" s="2"/>
      <c r="AH61" s="1"/>
      <c r="AI61" s="1"/>
      <c r="AJ61" s="1"/>
    </row>
    <row r="62" spans="2:36" x14ac:dyDescent="0.2">
      <c r="D62" s="1" t="s">
        <v>63</v>
      </c>
      <c r="E62">
        <v>6.2597995317548741E-5</v>
      </c>
      <c r="F62">
        <v>6.2457155101361755E-5</v>
      </c>
      <c r="G62" s="2">
        <v>1.2700185121069086E-6</v>
      </c>
      <c r="O62" s="2"/>
      <c r="AH62" s="1"/>
      <c r="AI62" s="1"/>
      <c r="AJ62" s="1"/>
    </row>
    <row r="63" spans="2:36" x14ac:dyDescent="0.2">
      <c r="D63" s="1" t="s">
        <v>66</v>
      </c>
      <c r="E63">
        <v>6.8314308888579384E-5</v>
      </c>
      <c r="F63">
        <v>6.8253223418885916E-5</v>
      </c>
      <c r="G63" s="2">
        <v>9.8903303303634984E-7</v>
      </c>
      <c r="O63" s="2"/>
      <c r="AH63" s="1"/>
      <c r="AI63" s="1"/>
      <c r="AJ63" s="1"/>
    </row>
    <row r="64" spans="2:36" x14ac:dyDescent="0.2">
      <c r="D64" s="1" t="s">
        <v>69</v>
      </c>
      <c r="E64">
        <v>1.1190462437883008E-4</v>
      </c>
      <c r="F64">
        <v>1.1180456120706036E-4</v>
      </c>
      <c r="G64" s="2">
        <v>4.2471286134047097E-6</v>
      </c>
      <c r="O64" s="2"/>
      <c r="AH64" s="1"/>
      <c r="AI64" s="1"/>
      <c r="AJ64" s="1"/>
    </row>
    <row r="65" spans="1:36" x14ac:dyDescent="0.2">
      <c r="D65" s="1" t="s">
        <v>72</v>
      </c>
      <c r="E65">
        <v>1.4813754536490252E-4</v>
      </c>
      <c r="F65">
        <v>1.4876930250187686E-4</v>
      </c>
      <c r="G65" s="2">
        <v>4.9882284513233268E-6</v>
      </c>
      <c r="O65" s="2"/>
      <c r="AH65" s="1"/>
      <c r="AI65" s="1"/>
      <c r="AJ65" s="1"/>
    </row>
    <row r="66" spans="1:36" x14ac:dyDescent="0.2">
      <c r="D66" s="1" t="s">
        <v>75</v>
      </c>
      <c r="E66">
        <v>1.9364370304178271E-4</v>
      </c>
      <c r="F66">
        <v>1.9293498422922166E-4</v>
      </c>
      <c r="G66" s="2">
        <v>3.3452024769860749E-6</v>
      </c>
      <c r="O66" s="2"/>
      <c r="AH66" s="1"/>
      <c r="AI66" s="1"/>
      <c r="AJ66" s="1"/>
    </row>
    <row r="67" spans="1:36" x14ac:dyDescent="0.2">
      <c r="D67" s="1" t="s">
        <v>78</v>
      </c>
      <c r="E67">
        <v>3.9525784559888578E-5</v>
      </c>
      <c r="F67" s="2">
        <v>7.5507071431189882E-5</v>
      </c>
      <c r="G67" s="2">
        <f>SUM(P20:P22)</f>
        <v>2.9354583660156249E-6</v>
      </c>
      <c r="O67" s="2"/>
      <c r="AH67" s="1"/>
      <c r="AI67" s="1"/>
      <c r="AJ67" s="1"/>
    </row>
    <row r="68" spans="1:36" x14ac:dyDescent="0.2">
      <c r="G68" s="2"/>
      <c r="O68" s="2"/>
      <c r="AH68" s="1"/>
      <c r="AI68" s="1"/>
      <c r="AJ68" s="1"/>
    </row>
    <row r="69" spans="1:36" x14ac:dyDescent="0.2">
      <c r="G69" s="2"/>
      <c r="O69" s="2"/>
      <c r="AH69" s="1"/>
      <c r="AI69" s="1"/>
      <c r="AJ69" s="1"/>
    </row>
    <row r="70" spans="1:36" x14ac:dyDescent="0.2">
      <c r="G70" s="2"/>
      <c r="O70" s="2"/>
      <c r="AH70" s="1"/>
      <c r="AI70" s="1"/>
      <c r="AJ70" s="1"/>
    </row>
    <row r="71" spans="1:36" x14ac:dyDescent="0.2">
      <c r="G71" s="2"/>
      <c r="O71" s="2"/>
      <c r="AH71" s="1"/>
      <c r="AI71" s="1"/>
      <c r="AJ71" s="1"/>
    </row>
    <row r="72" spans="1:36" x14ac:dyDescent="0.2">
      <c r="G72" s="2"/>
      <c r="O72" s="2"/>
      <c r="AH72" s="1"/>
      <c r="AI72" s="1"/>
      <c r="AJ72" s="1"/>
    </row>
    <row r="73" spans="1:36" x14ac:dyDescent="0.2">
      <c r="G73" s="2"/>
      <c r="O73" s="2"/>
      <c r="AH73" s="1"/>
      <c r="AI73" s="1"/>
      <c r="AJ73" s="1"/>
    </row>
    <row r="74" spans="1:36" x14ac:dyDescent="0.2">
      <c r="G74" s="2"/>
      <c r="O74" s="2"/>
      <c r="AH74" s="1"/>
      <c r="AI74" s="1"/>
      <c r="AJ74" s="1"/>
    </row>
    <row r="75" spans="1:36" x14ac:dyDescent="0.2">
      <c r="G75" s="2"/>
      <c r="O75" s="2"/>
      <c r="AH75" s="1"/>
      <c r="AI75" s="1"/>
      <c r="AJ75" s="1"/>
    </row>
    <row r="76" spans="1:36" x14ac:dyDescent="0.2">
      <c r="G76" s="2"/>
      <c r="O76" s="2"/>
      <c r="AH76" s="1"/>
      <c r="AI76" s="1"/>
      <c r="AJ76" s="1"/>
    </row>
    <row r="77" spans="1:36" x14ac:dyDescent="0.2">
      <c r="G77" s="2"/>
      <c r="O77" s="2"/>
      <c r="AH77" s="1"/>
      <c r="AI77" s="1"/>
      <c r="AJ77" s="1"/>
    </row>
    <row r="78" spans="1:36" x14ac:dyDescent="0.2">
      <c r="G78" s="2"/>
      <c r="O78" s="2"/>
      <c r="AH78" s="1"/>
    </row>
    <row r="79" spans="1:36" x14ac:dyDescent="0.2">
      <c r="A79" s="1"/>
      <c r="B79" s="1"/>
      <c r="C79" s="1"/>
      <c r="D79" s="1"/>
      <c r="E79" s="1"/>
      <c r="F79" s="1"/>
      <c r="G79" s="14"/>
      <c r="H79" s="1"/>
      <c r="I79" s="1"/>
      <c r="J79" s="1"/>
      <c r="K79" s="1"/>
      <c r="L79" s="1"/>
      <c r="M79" s="1"/>
      <c r="N79" s="1"/>
      <c r="O79" s="14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</row>
    <row r="80" spans="1:36" x14ac:dyDescent="0.2">
      <c r="A80" s="1"/>
      <c r="B80" s="1"/>
      <c r="C80" s="1"/>
      <c r="D80" s="1"/>
      <c r="E80" s="1"/>
      <c r="F80" s="1"/>
      <c r="G80" s="14"/>
      <c r="H80" s="1"/>
      <c r="I80" s="1"/>
      <c r="J80" s="1"/>
      <c r="K80" s="1"/>
      <c r="L80" s="1"/>
      <c r="M80" s="1"/>
      <c r="N80" s="1"/>
      <c r="O80" s="14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</row>
    <row r="81" spans="1:34" x14ac:dyDescent="0.2">
      <c r="A81" s="1"/>
      <c r="B81" s="1"/>
      <c r="C81" s="1"/>
      <c r="D81" s="1"/>
      <c r="E81" s="1"/>
      <c r="F81" s="1"/>
      <c r="G81" s="14"/>
      <c r="H81" s="1"/>
      <c r="I81" s="1"/>
      <c r="J81" s="1"/>
      <c r="K81" s="1"/>
      <c r="L81" s="1"/>
      <c r="M81" s="1"/>
      <c r="N81" s="1"/>
      <c r="O81" s="14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</row>
    <row r="82" spans="1:34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</row>
  </sheetData>
  <mergeCells count="4">
    <mergeCell ref="I5:J5"/>
    <mergeCell ref="L5:M5"/>
    <mergeCell ref="O5:P5"/>
    <mergeCell ref="F52:G5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Molar yields</vt:lpstr>
      <vt:lpstr>MEP Constraints</vt:lpstr>
      <vt:lpstr>No MEP Constraints</vt:lpstr>
      <vt:lpstr>No Protein Constraints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Kirsten Fisher</dc:creator>
  <cp:lastModifiedBy>Kirsten Fisher</cp:lastModifiedBy>
  <dcterms:created xsi:type="dcterms:W3CDTF">2026-03-17T15:25:10Z</dcterms:created>
  <dcterms:modified xsi:type="dcterms:W3CDTF">2026-04-15T19:23:42Z</dcterms:modified>
</cp:coreProperties>
</file>