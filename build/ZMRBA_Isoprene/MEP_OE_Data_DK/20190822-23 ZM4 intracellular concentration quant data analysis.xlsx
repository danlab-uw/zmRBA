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a\Dropbox\MEP paper\Figures\data for paper\"/>
    </mc:Choice>
  </mc:AlternateContent>
  <xr:revisionPtr revIDLastSave="0" documentId="13_ncr:1_{84029E7B-8F96-4A42-AB4B-B8F21DC91400}" xr6:coauthVersionLast="47" xr6:coauthVersionMax="47" xr10:uidLastSave="{00000000-0000-0000-0000-000000000000}"/>
  <bookViews>
    <workbookView xWindow="28680" yWindow="-2550" windowWidth="38640" windowHeight="21240" tabRatio="815" activeTab="5" xr2:uid="{521A1710-7B62-4E10-986F-D812C980ED78}"/>
  </bookViews>
  <sheets>
    <sheet name="Stock Concs. (08-22 &amp; 23)" sheetId="3" r:id="rId1"/>
    <sheet name="Raw Analysis (8-22 &amp; 23)" sheetId="1" r:id="rId2"/>
    <sheet name="Ri" sheetId="13" r:id="rId3"/>
    <sheet name="F" sheetId="18" r:id="rId4"/>
    <sheet name="Full Calulations" sheetId="26" r:id="rId5"/>
    <sheet name="Confidence Intervals" sheetId="2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T8" i="26" l="1"/>
  <c r="AT7" i="26"/>
  <c r="BF21" i="26"/>
  <c r="AY8" i="26"/>
  <c r="AY35" i="26"/>
  <c r="H8" i="27"/>
  <c r="H11" i="27"/>
  <c r="I11" i="27"/>
  <c r="J11" i="27"/>
  <c r="K11" i="27" s="1"/>
  <c r="J10" i="27"/>
  <c r="I10" i="27"/>
  <c r="I12" i="27"/>
  <c r="I5" i="27"/>
  <c r="I4" i="27"/>
  <c r="I3" i="27"/>
  <c r="I20" i="27" l="1"/>
  <c r="J20" i="27" s="1"/>
  <c r="H20" i="27"/>
  <c r="I19" i="27"/>
  <c r="J19" i="27" s="1"/>
  <c r="H19" i="27"/>
  <c r="I18" i="27"/>
  <c r="J18" i="27" s="1"/>
  <c r="H18" i="27"/>
  <c r="I17" i="27"/>
  <c r="J17" i="27" s="1"/>
  <c r="H17" i="27"/>
  <c r="I16" i="27"/>
  <c r="J16" i="27" s="1"/>
  <c r="H16" i="27"/>
  <c r="I15" i="27"/>
  <c r="J15" i="27" s="1"/>
  <c r="H15" i="27"/>
  <c r="I14" i="27"/>
  <c r="J14" i="27" s="1"/>
  <c r="H14" i="27"/>
  <c r="I13" i="27"/>
  <c r="J13" i="27" s="1"/>
  <c r="H13" i="27"/>
  <c r="J12" i="27"/>
  <c r="H12" i="27"/>
  <c r="H10" i="27"/>
  <c r="I9" i="27"/>
  <c r="J9" i="27" s="1"/>
  <c r="H9" i="27"/>
  <c r="I8" i="27"/>
  <c r="J8" i="27" s="1"/>
  <c r="I7" i="27"/>
  <c r="J7" i="27" s="1"/>
  <c r="H7" i="27"/>
  <c r="I6" i="27"/>
  <c r="J6" i="27" s="1"/>
  <c r="H6" i="27"/>
  <c r="J5" i="27"/>
  <c r="H5" i="27"/>
  <c r="J4" i="27"/>
  <c r="H4" i="27"/>
  <c r="J3" i="27"/>
  <c r="H3" i="27"/>
  <c r="K14" i="27" l="1"/>
  <c r="L13" i="27"/>
  <c r="L3" i="27"/>
  <c r="L8" i="27"/>
  <c r="K7" i="27"/>
  <c r="K19" i="27"/>
  <c r="K3" i="27"/>
  <c r="L7" i="27"/>
  <c r="L17" i="27"/>
  <c r="L19" i="27"/>
  <c r="L14" i="27"/>
  <c r="L10" i="27"/>
  <c r="L15" i="27"/>
  <c r="K13" i="27"/>
  <c r="K8" i="27"/>
  <c r="L11" i="27"/>
  <c r="L16" i="27"/>
  <c r="K16" i="27"/>
  <c r="L12" i="27"/>
  <c r="K9" i="27"/>
  <c r="L9" i="27"/>
  <c r="L4" i="27"/>
  <c r="K4" i="27"/>
  <c r="L5" i="27"/>
  <c r="L20" i="27"/>
  <c r="L6" i="27"/>
  <c r="K6" i="27"/>
  <c r="L18" i="27"/>
  <c r="K18" i="27"/>
  <c r="K15" i="27"/>
  <c r="K12" i="27"/>
  <c r="K5" i="27"/>
  <c r="K17" i="27"/>
  <c r="K10" i="27"/>
  <c r="K20" i="27"/>
  <c r="B20" i="1" l="1"/>
  <c r="B19" i="1"/>
  <c r="B18" i="1"/>
  <c r="B17" i="1"/>
  <c r="B16" i="1"/>
  <c r="B15" i="1"/>
  <c r="V54" i="26"/>
  <c r="U54" i="26"/>
  <c r="AE54" i="26" s="1"/>
  <c r="AP45" i="26" s="1"/>
  <c r="AV46" i="26" s="1"/>
  <c r="T54" i="26"/>
  <c r="V53" i="26"/>
  <c r="AC53" i="26" s="1"/>
  <c r="AN44" i="26" s="1"/>
  <c r="U53" i="26"/>
  <c r="T53" i="26"/>
  <c r="AA53" i="26" s="1"/>
  <c r="AL44" i="26" s="1"/>
  <c r="V52" i="26"/>
  <c r="Z52" i="26" s="1"/>
  <c r="AK43" i="26" s="1"/>
  <c r="U52" i="26"/>
  <c r="T52" i="26"/>
  <c r="AD52" i="26" s="1"/>
  <c r="AO43" i="26" s="1"/>
  <c r="V51" i="26"/>
  <c r="AF51" i="26" s="1"/>
  <c r="U51" i="26"/>
  <c r="T51" i="26"/>
  <c r="AD51" i="26" s="1"/>
  <c r="V50" i="26"/>
  <c r="Z50" i="26" s="1"/>
  <c r="U50" i="26"/>
  <c r="T50" i="26"/>
  <c r="AA50" i="26" s="1"/>
  <c r="V49" i="26"/>
  <c r="AF49" i="26" s="1"/>
  <c r="U49" i="26"/>
  <c r="T49" i="26"/>
  <c r="AA49" i="26" s="1"/>
  <c r="V48" i="26"/>
  <c r="Z48" i="26" s="1"/>
  <c r="U48" i="26"/>
  <c r="T48" i="26"/>
  <c r="AD48" i="26" s="1"/>
  <c r="V47" i="26"/>
  <c r="AF47" i="26" s="1"/>
  <c r="U47" i="26"/>
  <c r="T47" i="26"/>
  <c r="AD47" i="26" s="1"/>
  <c r="V46" i="26"/>
  <c r="Z46" i="26" s="1"/>
  <c r="U46" i="26"/>
  <c r="T46" i="26"/>
  <c r="AA46" i="26" s="1"/>
  <c r="V45" i="26"/>
  <c r="AC45" i="26" s="1"/>
  <c r="U45" i="26"/>
  <c r="T45" i="26"/>
  <c r="AD45" i="26" s="1"/>
  <c r="V44" i="26"/>
  <c r="AF44" i="26" s="1"/>
  <c r="U44" i="26"/>
  <c r="T44" i="26"/>
  <c r="AA44" i="26" s="1"/>
  <c r="V43" i="26"/>
  <c r="Z43" i="26" s="1"/>
  <c r="AK38" i="26" s="1"/>
  <c r="U43" i="26"/>
  <c r="T43" i="26"/>
  <c r="X43" i="26" s="1"/>
  <c r="AI38" i="26" s="1"/>
  <c r="V42" i="26"/>
  <c r="AF42" i="26" s="1"/>
  <c r="AQ37" i="26" s="1"/>
  <c r="U42" i="26"/>
  <c r="T42" i="26"/>
  <c r="X42" i="26" s="1"/>
  <c r="AI37" i="26" s="1"/>
  <c r="V41" i="26"/>
  <c r="AF41" i="26" s="1"/>
  <c r="U41" i="26"/>
  <c r="T41" i="26"/>
  <c r="X41" i="26" s="1"/>
  <c r="V40" i="26"/>
  <c r="AF40" i="26" s="1"/>
  <c r="U40" i="26"/>
  <c r="T40" i="26"/>
  <c r="AD40" i="26" s="1"/>
  <c r="V39" i="26"/>
  <c r="AF39" i="26" s="1"/>
  <c r="U39" i="26"/>
  <c r="T39" i="26"/>
  <c r="V38" i="26"/>
  <c r="AF38" i="26" s="1"/>
  <c r="U38" i="26"/>
  <c r="T38" i="26"/>
  <c r="X38" i="26" s="1"/>
  <c r="V37" i="26"/>
  <c r="U37" i="26"/>
  <c r="AB37" i="26" s="1"/>
  <c r="AM34" i="26" s="1"/>
  <c r="AU34" i="26" s="1"/>
  <c r="T37" i="26"/>
  <c r="V36" i="26"/>
  <c r="AF36" i="26" s="1"/>
  <c r="U36" i="26"/>
  <c r="T36" i="26"/>
  <c r="V35" i="26"/>
  <c r="AF35" i="26" s="1"/>
  <c r="U35" i="26"/>
  <c r="T35" i="26"/>
  <c r="AD35" i="26" s="1"/>
  <c r="V34" i="26"/>
  <c r="U34" i="26"/>
  <c r="T34" i="26"/>
  <c r="AD34" i="26" s="1"/>
  <c r="V33" i="26"/>
  <c r="Z33" i="26" s="1"/>
  <c r="U33" i="26"/>
  <c r="T33" i="26"/>
  <c r="AD33" i="26" s="1"/>
  <c r="AO32" i="26"/>
  <c r="V32" i="26"/>
  <c r="Z32" i="26" s="1"/>
  <c r="U32" i="26"/>
  <c r="T32" i="26"/>
  <c r="AA32" i="26" s="1"/>
  <c r="V31" i="26"/>
  <c r="AC31" i="26" s="1"/>
  <c r="U31" i="26"/>
  <c r="T31" i="26"/>
  <c r="X31" i="26" s="1"/>
  <c r="V30" i="26"/>
  <c r="AF30" i="26" s="1"/>
  <c r="U30" i="26"/>
  <c r="T30" i="26"/>
  <c r="V27" i="26"/>
  <c r="U27" i="26"/>
  <c r="AE27" i="26" s="1"/>
  <c r="AP18" i="26" s="1"/>
  <c r="AV19" i="26" s="1"/>
  <c r="T27" i="26"/>
  <c r="V26" i="26"/>
  <c r="U26" i="26"/>
  <c r="AB26" i="26" s="1"/>
  <c r="AM17" i="26" s="1"/>
  <c r="AU25" i="26" s="1"/>
  <c r="T26" i="26"/>
  <c r="AA26" i="26" s="1"/>
  <c r="AL17" i="26" s="1"/>
  <c r="V25" i="26"/>
  <c r="AC25" i="26" s="1"/>
  <c r="AN16" i="26" s="1"/>
  <c r="U25" i="26"/>
  <c r="T25" i="26"/>
  <c r="AA25" i="26" s="1"/>
  <c r="AL16" i="26" s="1"/>
  <c r="V24" i="26"/>
  <c r="AC24" i="26" s="1"/>
  <c r="U24" i="26"/>
  <c r="AE24" i="26" s="1"/>
  <c r="T24" i="26"/>
  <c r="AD24" i="26" s="1"/>
  <c r="V23" i="26"/>
  <c r="AC23" i="26" s="1"/>
  <c r="U23" i="26"/>
  <c r="AB23" i="26" s="1"/>
  <c r="T23" i="26"/>
  <c r="AA23" i="26" s="1"/>
  <c r="V22" i="26"/>
  <c r="Z22" i="26" s="1"/>
  <c r="U22" i="26"/>
  <c r="Y22" i="26" s="1"/>
  <c r="T22" i="26"/>
  <c r="AA22" i="26" s="1"/>
  <c r="V21" i="26"/>
  <c r="AC21" i="26" s="1"/>
  <c r="U21" i="26"/>
  <c r="AE21" i="26" s="1"/>
  <c r="T21" i="26"/>
  <c r="AD21" i="26" s="1"/>
  <c r="V20" i="26"/>
  <c r="AC20" i="26" s="1"/>
  <c r="U20" i="26"/>
  <c r="AB20" i="26" s="1"/>
  <c r="T20" i="26"/>
  <c r="AD20" i="26" s="1"/>
  <c r="V19" i="26"/>
  <c r="Z19" i="26" s="1"/>
  <c r="U19" i="26"/>
  <c r="Y19" i="26" s="1"/>
  <c r="T19" i="26"/>
  <c r="V18" i="26"/>
  <c r="AF18" i="26" s="1"/>
  <c r="U18" i="26"/>
  <c r="AB18" i="26" s="1"/>
  <c r="T18" i="26"/>
  <c r="AA18" i="26" s="1"/>
  <c r="V17" i="26"/>
  <c r="U17" i="26"/>
  <c r="AE17" i="26" s="1"/>
  <c r="T17" i="26"/>
  <c r="X17" i="26" s="1"/>
  <c r="V16" i="26"/>
  <c r="AC16" i="26" s="1"/>
  <c r="AN11" i="26" s="1"/>
  <c r="U16" i="26"/>
  <c r="AB16" i="26" s="1"/>
  <c r="AM11" i="26" s="1"/>
  <c r="T16" i="26"/>
  <c r="AA16" i="26" s="1"/>
  <c r="AL11" i="26" s="1"/>
  <c r="V15" i="26"/>
  <c r="AC15" i="26" s="1"/>
  <c r="AN10" i="26" s="1"/>
  <c r="U15" i="26"/>
  <c r="Y15" i="26" s="1"/>
  <c r="AJ10" i="26" s="1"/>
  <c r="T15" i="26"/>
  <c r="V14" i="26"/>
  <c r="Z14" i="26" s="1"/>
  <c r="U14" i="26"/>
  <c r="AB14" i="26" s="1"/>
  <c r="T14" i="26"/>
  <c r="AD14" i="26" s="1"/>
  <c r="V13" i="26"/>
  <c r="U13" i="26"/>
  <c r="AE13" i="26" s="1"/>
  <c r="T13" i="26"/>
  <c r="AA13" i="26" s="1"/>
  <c r="V12" i="26"/>
  <c r="AF12" i="26" s="1"/>
  <c r="U12" i="26"/>
  <c r="AE12" i="26" s="1"/>
  <c r="T12" i="26"/>
  <c r="AA12" i="26" s="1"/>
  <c r="V11" i="26"/>
  <c r="Z11" i="26" s="1"/>
  <c r="U11" i="26"/>
  <c r="AE11" i="26" s="1"/>
  <c r="T11" i="26"/>
  <c r="AA11" i="26" s="1"/>
  <c r="V10" i="26"/>
  <c r="U10" i="26"/>
  <c r="AE10" i="26" s="1"/>
  <c r="AP7" i="26" s="1"/>
  <c r="AV7" i="26" s="1"/>
  <c r="T10" i="26"/>
  <c r="V9" i="26"/>
  <c r="Z9" i="26" s="1"/>
  <c r="U9" i="26"/>
  <c r="Y9" i="26" s="1"/>
  <c r="T9" i="26"/>
  <c r="X9" i="26" s="1"/>
  <c r="V8" i="26"/>
  <c r="AF8" i="26" s="1"/>
  <c r="U8" i="26"/>
  <c r="AB8" i="26" s="1"/>
  <c r="T8" i="26"/>
  <c r="AD8" i="26" s="1"/>
  <c r="V7" i="26"/>
  <c r="Z7" i="26" s="1"/>
  <c r="AK5" i="26" s="1"/>
  <c r="U7" i="26"/>
  <c r="AB7" i="26" s="1"/>
  <c r="AM5" i="26" s="1"/>
  <c r="T7" i="26"/>
  <c r="X7" i="26" s="1"/>
  <c r="AI5" i="26" s="1"/>
  <c r="V6" i="26"/>
  <c r="AC6" i="26" s="1"/>
  <c r="U6" i="26"/>
  <c r="AE6" i="26" s="1"/>
  <c r="T6" i="26"/>
  <c r="X6" i="26" s="1"/>
  <c r="V5" i="26"/>
  <c r="Z5" i="26" s="1"/>
  <c r="U5" i="26"/>
  <c r="Y5" i="26" s="1"/>
  <c r="T5" i="26"/>
  <c r="X5" i="26" s="1"/>
  <c r="V4" i="26"/>
  <c r="AF4" i="26" s="1"/>
  <c r="U4" i="26"/>
  <c r="AB4" i="26" s="1"/>
  <c r="T4" i="26"/>
  <c r="X4" i="26" s="1"/>
  <c r="V3" i="26"/>
  <c r="Z3" i="26" s="1"/>
  <c r="U3" i="26"/>
  <c r="AB3" i="26" s="1"/>
  <c r="T3" i="26"/>
  <c r="X3" i="26" s="1"/>
  <c r="AI3" i="26" s="1"/>
  <c r="AU45" i="26" l="1"/>
  <c r="AA40" i="26"/>
  <c r="Z4" i="26"/>
  <c r="AP8" i="26"/>
  <c r="AF33" i="26"/>
  <c r="Z36" i="26"/>
  <c r="AV26" i="26"/>
  <c r="X40" i="26"/>
  <c r="AI36" i="26" s="1"/>
  <c r="AE5" i="26"/>
  <c r="AC48" i="26"/>
  <c r="AF5" i="26"/>
  <c r="X34" i="26"/>
  <c r="AI32" i="26" s="1"/>
  <c r="AF48" i="26"/>
  <c r="AQ41" i="26" s="1"/>
  <c r="AV23" i="26"/>
  <c r="AA34" i="26"/>
  <c r="AL32" i="26" s="1"/>
  <c r="AQ35" i="26"/>
  <c r="Y3" i="26"/>
  <c r="X13" i="26"/>
  <c r="AE16" i="26"/>
  <c r="AP11" i="26" s="1"/>
  <c r="AQ36" i="26"/>
  <c r="AF52" i="26"/>
  <c r="AQ43" i="26" s="1"/>
  <c r="AV44" i="26" s="1"/>
  <c r="AD16" i="26"/>
  <c r="AO11" i="26" s="1"/>
  <c r="AD13" i="26"/>
  <c r="AO9" i="26" s="1"/>
  <c r="AF23" i="26"/>
  <c r="AE20" i="26"/>
  <c r="Z38" i="26"/>
  <c r="AD7" i="26"/>
  <c r="AO5" i="26" s="1"/>
  <c r="AF20" i="26"/>
  <c r="AC36" i="26"/>
  <c r="AF11" i="26"/>
  <c r="AE23" i="26"/>
  <c r="AP15" i="26" s="1"/>
  <c r="AC52" i="26"/>
  <c r="AN43" i="26" s="1"/>
  <c r="X21" i="26"/>
  <c r="AA43" i="26"/>
  <c r="AL38" i="26" s="1"/>
  <c r="Y27" i="26"/>
  <c r="AJ18" i="26" s="1"/>
  <c r="AE8" i="26"/>
  <c r="AC19" i="26"/>
  <c r="AN13" i="26" s="1"/>
  <c r="AI4" i="26"/>
  <c r="AA17" i="26"/>
  <c r="AL12" i="26" s="1"/>
  <c r="AC38" i="26"/>
  <c r="AA41" i="26"/>
  <c r="AL36" i="26" s="1"/>
  <c r="AA24" i="26"/>
  <c r="AD41" i="26"/>
  <c r="AC44" i="26"/>
  <c r="AN39" i="26" s="1"/>
  <c r="AD53" i="26"/>
  <c r="AO44" i="26" s="1"/>
  <c r="AD32" i="26"/>
  <c r="AO31" i="26" s="1"/>
  <c r="AD4" i="26"/>
  <c r="AC14" i="26"/>
  <c r="AA6" i="26"/>
  <c r="AE19" i="26"/>
  <c r="AP13" i="26" s="1"/>
  <c r="AA35" i="26"/>
  <c r="AF6" i="26"/>
  <c r="X24" i="26"/>
  <c r="X53" i="26"/>
  <c r="AI44" i="26" s="1"/>
  <c r="AA5" i="26"/>
  <c r="AB22" i="26"/>
  <c r="AC46" i="26"/>
  <c r="AA9" i="26"/>
  <c r="AD17" i="26"/>
  <c r="AB5" i="26"/>
  <c r="AE22" i="26"/>
  <c r="AP14" i="26" s="1"/>
  <c r="AC4" i="26"/>
  <c r="AA21" i="26"/>
  <c r="AL14" i="26" s="1"/>
  <c r="AN15" i="26"/>
  <c r="AD5" i="26"/>
  <c r="AL8" i="26"/>
  <c r="AM3" i="26"/>
  <c r="AT5" i="26"/>
  <c r="AQ8" i="26"/>
  <c r="AU12" i="26"/>
  <c r="AQ4" i="26"/>
  <c r="AE7" i="26"/>
  <c r="AP5" i="26" s="1"/>
  <c r="AE14" i="26"/>
  <c r="AP9" i="26" s="1"/>
  <c r="Z25" i="26"/>
  <c r="AK16" i="26" s="1"/>
  <c r="Z41" i="26"/>
  <c r="AD44" i="26"/>
  <c r="AO39" i="26" s="1"/>
  <c r="AK3" i="26"/>
  <c r="Y4" i="26"/>
  <c r="AJ3" i="26" s="1"/>
  <c r="AT3" i="26" s="1"/>
  <c r="AF7" i="26"/>
  <c r="AQ5" i="26" s="1"/>
  <c r="AF14" i="26"/>
  <c r="AF25" i="26"/>
  <c r="AQ16" i="26" s="1"/>
  <c r="AC32" i="26"/>
  <c r="AO36" i="26"/>
  <c r="AV37" i="26" s="1"/>
  <c r="AC43" i="26"/>
  <c r="AN38" i="26" s="1"/>
  <c r="AC50" i="26"/>
  <c r="AC41" i="26"/>
  <c r="AF43" i="26"/>
  <c r="AQ38" i="26" s="1"/>
  <c r="AF22" i="26"/>
  <c r="AA38" i="26"/>
  <c r="AA3" i="26"/>
  <c r="Y26" i="26"/>
  <c r="AJ17" i="26" s="1"/>
  <c r="AT25" i="26" s="1"/>
  <c r="Y12" i="26"/>
  <c r="AD38" i="26"/>
  <c r="X49" i="26"/>
  <c r="AD3" i="26"/>
  <c r="Y8" i="26"/>
  <c r="AJ6" i="26" s="1"/>
  <c r="AT22" i="26" s="1"/>
  <c r="AE3" i="26"/>
  <c r="Y7" i="26"/>
  <c r="AJ5" i="26" s="1"/>
  <c r="Z8" i="26"/>
  <c r="AK6" i="26" s="1"/>
  <c r="AD9" i="26"/>
  <c r="AO6" i="26" s="1"/>
  <c r="AB11" i="26"/>
  <c r="AB12" i="26"/>
  <c r="X14" i="26"/>
  <c r="AE15" i="26"/>
  <c r="AP10" i="26" s="1"/>
  <c r="X23" i="26"/>
  <c r="AI15" i="26" s="1"/>
  <c r="AD26" i="26"/>
  <c r="AO17" i="26" s="1"/>
  <c r="AA31" i="26"/>
  <c r="X33" i="26"/>
  <c r="AC40" i="26"/>
  <c r="X45" i="26"/>
  <c r="AA47" i="26"/>
  <c r="AL40" i="26" s="1"/>
  <c r="AC49" i="26"/>
  <c r="AF53" i="26"/>
  <c r="AQ44" i="26" s="1"/>
  <c r="X8" i="26"/>
  <c r="AI6" i="26" s="1"/>
  <c r="Z12" i="26"/>
  <c r="AK8" i="26" s="1"/>
  <c r="X26" i="26"/>
  <c r="AI17" i="26" s="1"/>
  <c r="Z40" i="26"/>
  <c r="Z53" i="26"/>
  <c r="AK44" i="26" s="1"/>
  <c r="AT45" i="26" s="1"/>
  <c r="AE4" i="26"/>
  <c r="AC9" i="26"/>
  <c r="Z15" i="26"/>
  <c r="AK10" i="26" s="1"/>
  <c r="X47" i="26"/>
  <c r="AA7" i="26"/>
  <c r="AL5" i="26" s="1"/>
  <c r="AA8" i="26"/>
  <c r="AE9" i="26"/>
  <c r="AC11" i="26"/>
  <c r="AC12" i="26"/>
  <c r="Y14" i="26"/>
  <c r="AF15" i="26"/>
  <c r="AQ10" i="26" s="1"/>
  <c r="X20" i="26"/>
  <c r="Y23" i="26"/>
  <c r="AE26" i="26"/>
  <c r="AP17" i="26" s="1"/>
  <c r="AV25" i="26" s="1"/>
  <c r="AV27" i="26" s="1"/>
  <c r="AD31" i="26"/>
  <c r="AA33" i="26"/>
  <c r="AL31" i="26" s="1"/>
  <c r="AQ33" i="26"/>
  <c r="X44" i="26"/>
  <c r="AA45" i="26"/>
  <c r="AL39" i="26" s="1"/>
  <c r="AU40" i="26" s="1"/>
  <c r="AD49" i="26"/>
  <c r="AO41" i="26" s="1"/>
  <c r="X51" i="26"/>
  <c r="AB21" i="26"/>
  <c r="AM14" i="26" s="1"/>
  <c r="Z49" i="26"/>
  <c r="AK41" i="26" s="1"/>
  <c r="AP4" i="26"/>
  <c r="AF9" i="26"/>
  <c r="AQ6" i="26" s="1"/>
  <c r="AD11" i="26"/>
  <c r="Y20" i="26"/>
  <c r="AJ13" i="26" s="1"/>
  <c r="Z23" i="26"/>
  <c r="AF31" i="26"/>
  <c r="AQ30" i="26" s="1"/>
  <c r="AC33" i="26"/>
  <c r="X35" i="26"/>
  <c r="Z44" i="26"/>
  <c r="AB9" i="26"/>
  <c r="AM6" i="26" s="1"/>
  <c r="AU22" i="26" s="1"/>
  <c r="Y11" i="26"/>
  <c r="AJ8" i="26" s="1"/>
  <c r="AB24" i="26"/>
  <c r="AM15" i="26" s="1"/>
  <c r="AA51" i="26"/>
  <c r="AL42" i="26" s="1"/>
  <c r="AC7" i="26"/>
  <c r="AN5" i="26" s="1"/>
  <c r="AA14" i="26"/>
  <c r="AL9" i="26" s="1"/>
  <c r="AC18" i="26"/>
  <c r="Z20" i="26"/>
  <c r="AK13" i="26" s="1"/>
  <c r="AD23" i="26"/>
  <c r="AO15" i="26" s="1"/>
  <c r="Z35" i="26"/>
  <c r="AE37" i="26"/>
  <c r="AP34" i="26" s="1"/>
  <c r="AV34" i="26" s="1"/>
  <c r="AF45" i="26"/>
  <c r="AQ39" i="26" s="1"/>
  <c r="AF13" i="26"/>
  <c r="Z13" i="26"/>
  <c r="AK9" i="26" s="1"/>
  <c r="AA36" i="26"/>
  <c r="X36" i="26"/>
  <c r="AD36" i="26"/>
  <c r="AO33" i="26" s="1"/>
  <c r="AA4" i="26"/>
  <c r="AC5" i="26"/>
  <c r="AN4" i="26" s="1"/>
  <c r="AD18" i="26"/>
  <c r="AF19" i="26"/>
  <c r="AQ13" i="26" s="1"/>
  <c r="AF17" i="26"/>
  <c r="AQ12" i="26" s="1"/>
  <c r="Z17" i="26"/>
  <c r="AC26" i="26"/>
  <c r="AN17" i="26" s="1"/>
  <c r="AU18" i="26" s="1"/>
  <c r="AF26" i="26"/>
  <c r="AQ17" i="26" s="1"/>
  <c r="AD39" i="26"/>
  <c r="AA39" i="26"/>
  <c r="Y6" i="26"/>
  <c r="AJ4" i="26" s="1"/>
  <c r="Y10" i="26"/>
  <c r="AJ7" i="26" s="1"/>
  <c r="AB13" i="26"/>
  <c r="AM9" i="26" s="1"/>
  <c r="X15" i="26"/>
  <c r="AI10" i="26" s="1"/>
  <c r="AD15" i="26"/>
  <c r="AO10" i="26" s="1"/>
  <c r="AC3" i="26"/>
  <c r="Z6" i="26"/>
  <c r="AK4" i="26" s="1"/>
  <c r="AC13" i="26"/>
  <c r="X19" i="26"/>
  <c r="AD19" i="26"/>
  <c r="AO13" i="26" s="1"/>
  <c r="AT39" i="26"/>
  <c r="Y17" i="26"/>
  <c r="AC8" i="26"/>
  <c r="X11" i="26"/>
  <c r="AE18" i="26"/>
  <c r="AP12" i="26" s="1"/>
  <c r="Y18" i="26"/>
  <c r="Z26" i="26"/>
  <c r="AK17" i="26" s="1"/>
  <c r="X39" i="26"/>
  <c r="AI35" i="26" s="1"/>
  <c r="AT36" i="26" s="1"/>
  <c r="AB10" i="26"/>
  <c r="AM7" i="26" s="1"/>
  <c r="AD30" i="26"/>
  <c r="AA30" i="26"/>
  <c r="Y13" i="26"/>
  <c r="AB6" i="26"/>
  <c r="Y25" i="26"/>
  <c r="AJ16" i="26" s="1"/>
  <c r="AB25" i="26"/>
  <c r="AM16" i="26" s="1"/>
  <c r="AU17" i="26" s="1"/>
  <c r="AF3" i="26"/>
  <c r="AQ3" i="26" s="1"/>
  <c r="AD12" i="26"/>
  <c r="X12" i="26"/>
  <c r="AA15" i="26"/>
  <c r="AL10" i="26" s="1"/>
  <c r="X16" i="26"/>
  <c r="AI11" i="26" s="1"/>
  <c r="AC17" i="26"/>
  <c r="X18" i="26"/>
  <c r="AI12" i="26" s="1"/>
  <c r="X22" i="26"/>
  <c r="AD22" i="26"/>
  <c r="AO14" i="26" s="1"/>
  <c r="AK31" i="26"/>
  <c r="AL15" i="26"/>
  <c r="AD6" i="26"/>
  <c r="AO4" i="26" s="1"/>
  <c r="AB15" i="26"/>
  <c r="AM10" i="26" s="1"/>
  <c r="Y16" i="26"/>
  <c r="AJ11" i="26" s="1"/>
  <c r="Z18" i="26"/>
  <c r="AA19" i="26"/>
  <c r="AD42" i="26"/>
  <c r="AO37" i="26" s="1"/>
  <c r="AV38" i="26" s="1"/>
  <c r="AA42" i="26"/>
  <c r="AL37" i="26" s="1"/>
  <c r="Z16" i="26"/>
  <c r="AK11" i="26" s="1"/>
  <c r="AF16" i="26"/>
  <c r="AQ11" i="26" s="1"/>
  <c r="AB17" i="26"/>
  <c r="AM12" i="26" s="1"/>
  <c r="AB19" i="26"/>
  <c r="AM13" i="26" s="1"/>
  <c r="AF21" i="26"/>
  <c r="AQ14" i="26" s="1"/>
  <c r="Z21" i="26"/>
  <c r="AK14" i="26" s="1"/>
  <c r="AF24" i="26"/>
  <c r="Z24" i="26"/>
  <c r="AE25" i="26"/>
  <c r="AP16" i="26" s="1"/>
  <c r="X30" i="26"/>
  <c r="AI30" i="26" s="1"/>
  <c r="AF34" i="26"/>
  <c r="AQ32" i="26" s="1"/>
  <c r="AV32" i="26" s="1"/>
  <c r="AC34" i="26"/>
  <c r="AN32" i="26" s="1"/>
  <c r="AU32" i="26" s="1"/>
  <c r="Z34" i="26"/>
  <c r="AK32" i="26" s="1"/>
  <c r="Y21" i="26"/>
  <c r="AJ14" i="26" s="1"/>
  <c r="AC22" i="26"/>
  <c r="AN14" i="26" s="1"/>
  <c r="Y24" i="26"/>
  <c r="AB27" i="26"/>
  <c r="AM18" i="26" s="1"/>
  <c r="AF32" i="26"/>
  <c r="AQ31" i="26" s="1"/>
  <c r="Y37" i="26"/>
  <c r="AJ34" i="26" s="1"/>
  <c r="AT34" i="26" s="1"/>
  <c r="AD46" i="26"/>
  <c r="AO40" i="26" s="1"/>
  <c r="AD50" i="26"/>
  <c r="AO42" i="26" s="1"/>
  <c r="AD25" i="26"/>
  <c r="AO16" i="26" s="1"/>
  <c r="Z31" i="26"/>
  <c r="AD43" i="26"/>
  <c r="AO38" i="26" s="1"/>
  <c r="AV39" i="26" s="1"/>
  <c r="Z45" i="26"/>
  <c r="AF46" i="26"/>
  <c r="AQ40" i="26" s="1"/>
  <c r="AF50" i="26"/>
  <c r="AQ42" i="26" s="1"/>
  <c r="X48" i="26"/>
  <c r="X52" i="26"/>
  <c r="AI43" i="26" s="1"/>
  <c r="AT44" i="26" s="1"/>
  <c r="AA48" i="26"/>
  <c r="AL41" i="26" s="1"/>
  <c r="AA52" i="26"/>
  <c r="AL43" i="26" s="1"/>
  <c r="AU44" i="26" s="1"/>
  <c r="AA20" i="26"/>
  <c r="Z30" i="26"/>
  <c r="Z39" i="26"/>
  <c r="AK35" i="26" s="1"/>
  <c r="Z42" i="26"/>
  <c r="AK37" i="26" s="1"/>
  <c r="AT38" i="26" s="1"/>
  <c r="Z47" i="26"/>
  <c r="AK40" i="26" s="1"/>
  <c r="Z51" i="26"/>
  <c r="AK42" i="26" s="1"/>
  <c r="X25" i="26"/>
  <c r="AI16" i="26" s="1"/>
  <c r="X32" i="26"/>
  <c r="AC35" i="26"/>
  <c r="AN33" i="26" s="1"/>
  <c r="AC30" i="26"/>
  <c r="AN30" i="26" s="1"/>
  <c r="AC39" i="26"/>
  <c r="AN35" i="26" s="1"/>
  <c r="AC42" i="26"/>
  <c r="AN37" i="26" s="1"/>
  <c r="X46" i="26"/>
  <c r="AC47" i="26"/>
  <c r="X50" i="26"/>
  <c r="AC51" i="26"/>
  <c r="Y54" i="26"/>
  <c r="AJ45" i="26" s="1"/>
  <c r="AT46" i="26" s="1"/>
  <c r="AB54" i="26"/>
  <c r="AM45" i="26" s="1"/>
  <c r="AU46" i="26" s="1"/>
  <c r="AU47" i="26" s="1"/>
  <c r="AN6" i="26" l="1"/>
  <c r="AK33" i="26"/>
  <c r="AI39" i="26"/>
  <c r="AV12" i="26"/>
  <c r="AM4" i="26"/>
  <c r="AI14" i="26"/>
  <c r="AT15" i="26" s="1"/>
  <c r="AT6" i="26"/>
  <c r="AI9" i="26"/>
  <c r="AP6" i="26"/>
  <c r="AV22" i="26" s="1"/>
  <c r="AV24" i="26" s="1"/>
  <c r="AN41" i="26"/>
  <c r="AU42" i="26" s="1"/>
  <c r="AV17" i="26"/>
  <c r="AU5" i="26"/>
  <c r="BF18" i="26" s="1"/>
  <c r="AN40" i="26"/>
  <c r="AJ15" i="26"/>
  <c r="AI42" i="26"/>
  <c r="AT43" i="26" s="1"/>
  <c r="AO8" i="26"/>
  <c r="AV9" i="26" s="1"/>
  <c r="AT47" i="26"/>
  <c r="AI13" i="26"/>
  <c r="AV45" i="26"/>
  <c r="AV47" i="26" s="1"/>
  <c r="AT32" i="26"/>
  <c r="BC32" i="26" s="1"/>
  <c r="AZ25" i="26"/>
  <c r="BA25" i="26"/>
  <c r="BB25" i="26"/>
  <c r="AY25" i="26"/>
  <c r="BC25" i="26"/>
  <c r="AO12" i="26"/>
  <c r="AN31" i="26"/>
  <c r="AU31" i="26" s="1"/>
  <c r="AL6" i="26"/>
  <c r="AU23" i="26"/>
  <c r="AU24" i="26" s="1"/>
  <c r="AU7" i="26"/>
  <c r="AY46" i="26"/>
  <c r="AZ46" i="26"/>
  <c r="BA46" i="26"/>
  <c r="BB46" i="26"/>
  <c r="BC46" i="26"/>
  <c r="AL3" i="26"/>
  <c r="AY34" i="26"/>
  <c r="AQ15" i="26"/>
  <c r="AV16" i="26" s="1"/>
  <c r="AT23" i="26"/>
  <c r="AV33" i="26"/>
  <c r="AV35" i="26" s="1"/>
  <c r="AY45" i="26"/>
  <c r="AT19" i="26"/>
  <c r="AT26" i="26"/>
  <c r="AT27" i="26" s="1"/>
  <c r="AY44" i="26"/>
  <c r="AZ44" i="26"/>
  <c r="BA44" i="26"/>
  <c r="BB44" i="26"/>
  <c r="BC44" i="26"/>
  <c r="AU19" i="26"/>
  <c r="AU20" i="26" s="1"/>
  <c r="AU26" i="26"/>
  <c r="AU27" i="26" s="1"/>
  <c r="AZ22" i="26"/>
  <c r="BA22" i="26"/>
  <c r="BB22" i="26"/>
  <c r="BC22" i="26"/>
  <c r="AU39" i="26"/>
  <c r="BC39" i="26" s="1"/>
  <c r="AN3" i="26"/>
  <c r="AV42" i="26"/>
  <c r="AV4" i="26"/>
  <c r="AU16" i="26"/>
  <c r="AM8" i="26"/>
  <c r="AU9" i="26" s="1"/>
  <c r="AI31" i="26"/>
  <c r="AV5" i="26"/>
  <c r="AT17" i="26"/>
  <c r="AK39" i="26"/>
  <c r="AT40" i="26" s="1"/>
  <c r="AI33" i="26"/>
  <c r="AT33" i="26" s="1"/>
  <c r="AT35" i="26" s="1"/>
  <c r="AL30" i="26"/>
  <c r="AU30" i="26" s="1"/>
  <c r="AL33" i="26"/>
  <c r="AU33" i="26" s="1"/>
  <c r="AU15" i="26"/>
  <c r="AJ9" i="26"/>
  <c r="AL35" i="26"/>
  <c r="AU36" i="26" s="1"/>
  <c r="AO35" i="26"/>
  <c r="AV36" i="26" s="1"/>
  <c r="AL4" i="26"/>
  <c r="AU4" i="26" s="1"/>
  <c r="AN42" i="26"/>
  <c r="AI40" i="26"/>
  <c r="AT41" i="26" s="1"/>
  <c r="AL13" i="26"/>
  <c r="AU14" i="26" s="1"/>
  <c r="AU43" i="26"/>
  <c r="AN9" i="26"/>
  <c r="AU10" i="26" s="1"/>
  <c r="AK36" i="26"/>
  <c r="AV31" i="26"/>
  <c r="AT18" i="26"/>
  <c r="AO3" i="26"/>
  <c r="AV14" i="26"/>
  <c r="AN8" i="26"/>
  <c r="AT14" i="26"/>
  <c r="AU41" i="26"/>
  <c r="AY19" i="26"/>
  <c r="AT4" i="26"/>
  <c r="AV40" i="26"/>
  <c r="AI8" i="26"/>
  <c r="AT9" i="26" s="1"/>
  <c r="AV18" i="26"/>
  <c r="AK30" i="26"/>
  <c r="AV43" i="26"/>
  <c r="AV15" i="26"/>
  <c r="AI41" i="26"/>
  <c r="AT42" i="26" s="1"/>
  <c r="AN36" i="26"/>
  <c r="AU37" i="26" s="1"/>
  <c r="AP3" i="26"/>
  <c r="AK15" i="26"/>
  <c r="AT16" i="26" s="1"/>
  <c r="BF29" i="26" s="1"/>
  <c r="AV11" i="26"/>
  <c r="AQ9" i="26"/>
  <c r="AV10" i="26" s="1"/>
  <c r="AT37" i="26"/>
  <c r="AN12" i="26"/>
  <c r="AU13" i="26" s="1"/>
  <c r="AO30" i="26"/>
  <c r="AV30" i="26" s="1"/>
  <c r="AT11" i="26"/>
  <c r="BB32" i="26"/>
  <c r="BA32" i="26"/>
  <c r="AZ32" i="26"/>
  <c r="AU38" i="26"/>
  <c r="AY38" i="26" s="1"/>
  <c r="BA18" i="26"/>
  <c r="AZ18" i="26"/>
  <c r="AV41" i="26"/>
  <c r="AT30" i="26"/>
  <c r="AJ12" i="26"/>
  <c r="AU6" i="26"/>
  <c r="BC34" i="26"/>
  <c r="BB34" i="26"/>
  <c r="AZ34" i="26"/>
  <c r="BA34" i="26"/>
  <c r="AT31" i="26"/>
  <c r="AK12" i="26"/>
  <c r="AT12" i="26"/>
  <c r="BF25" i="26" s="1"/>
  <c r="AU11" i="26"/>
  <c r="AV13" i="26"/>
  <c r="BF28" i="26" l="1"/>
  <c r="BC19" i="26"/>
  <c r="BF32" i="26"/>
  <c r="BB7" i="26"/>
  <c r="BF20" i="26"/>
  <c r="BF17" i="26"/>
  <c r="BB19" i="26"/>
  <c r="BF24" i="26"/>
  <c r="BF27" i="26"/>
  <c r="BA7" i="26"/>
  <c r="BF22" i="26"/>
  <c r="BF31" i="26"/>
  <c r="BB17" i="26"/>
  <c r="BF30" i="26"/>
  <c r="AY32" i="26"/>
  <c r="BC7" i="26"/>
  <c r="AU8" i="26"/>
  <c r="BA19" i="26"/>
  <c r="AY22" i="26"/>
  <c r="AZ45" i="26"/>
  <c r="BC4" i="26"/>
  <c r="AY4" i="26"/>
  <c r="AV6" i="26"/>
  <c r="AV8" i="26" s="1"/>
  <c r="AZ19" i="26"/>
  <c r="AY5" i="26"/>
  <c r="AT10" i="26"/>
  <c r="AU3" i="26"/>
  <c r="BB39" i="26"/>
  <c r="AY7" i="26"/>
  <c r="BA39" i="26"/>
  <c r="AY17" i="26"/>
  <c r="AZ17" i="26"/>
  <c r="BA17" i="26"/>
  <c r="AU35" i="26"/>
  <c r="AZ36" i="26"/>
  <c r="BA36" i="26"/>
  <c r="BB36" i="26"/>
  <c r="BC36" i="26"/>
  <c r="AY36" i="26"/>
  <c r="AZ4" i="26"/>
  <c r="BC42" i="26"/>
  <c r="AY42" i="26"/>
  <c r="AZ42" i="26"/>
  <c r="BA42" i="26"/>
  <c r="BB42" i="26"/>
  <c r="BB35" i="26"/>
  <c r="BC35" i="26"/>
  <c r="AZ7" i="26"/>
  <c r="AZ39" i="26"/>
  <c r="BA40" i="26"/>
  <c r="BB40" i="26"/>
  <c r="BC40" i="26"/>
  <c r="AY40" i="26"/>
  <c r="AZ40" i="26"/>
  <c r="AY23" i="26"/>
  <c r="AZ23" i="26"/>
  <c r="BA23" i="26"/>
  <c r="BB23" i="26"/>
  <c r="BC23" i="26"/>
  <c r="AY39" i="26"/>
  <c r="BC17" i="26"/>
  <c r="BC38" i="26"/>
  <c r="AZ27" i="26"/>
  <c r="BA27" i="26"/>
  <c r="BB27" i="26"/>
  <c r="BC27" i="26"/>
  <c r="AY27" i="26"/>
  <c r="BB38" i="26"/>
  <c r="AY43" i="26"/>
  <c r="AZ43" i="26"/>
  <c r="BA43" i="26"/>
  <c r="BB43" i="26"/>
  <c r="BC43" i="26"/>
  <c r="BA38" i="26"/>
  <c r="BA45" i="26"/>
  <c r="AY37" i="26"/>
  <c r="AZ37" i="26"/>
  <c r="BA37" i="26"/>
  <c r="BB37" i="26"/>
  <c r="BC37" i="26"/>
  <c r="BC18" i="26"/>
  <c r="AV20" i="26"/>
  <c r="AT24" i="26"/>
  <c r="AZ38" i="26"/>
  <c r="BC45" i="26"/>
  <c r="AY41" i="26"/>
  <c r="AZ41" i="26"/>
  <c r="BA41" i="26"/>
  <c r="BB41" i="26"/>
  <c r="BC41" i="26"/>
  <c r="AT20" i="26"/>
  <c r="BC47" i="26"/>
  <c r="AZ47" i="26"/>
  <c r="BA47" i="26"/>
  <c r="BB47" i="26"/>
  <c r="AY47" i="26"/>
  <c r="AY26" i="26"/>
  <c r="AZ26" i="26"/>
  <c r="BA26" i="26"/>
  <c r="BB26" i="26"/>
  <c r="BC26" i="26"/>
  <c r="BB45" i="26"/>
  <c r="AY9" i="26"/>
  <c r="BC33" i="26"/>
  <c r="BB33" i="26"/>
  <c r="BA33" i="26"/>
  <c r="AZ33" i="26"/>
  <c r="AY33" i="26"/>
  <c r="AZ5" i="26"/>
  <c r="AY18" i="26"/>
  <c r="BB5" i="26"/>
  <c r="BC5" i="26"/>
  <c r="BA5" i="26"/>
  <c r="AZ14" i="26"/>
  <c r="AT13" i="26"/>
  <c r="BF26" i="26" s="1"/>
  <c r="BA14" i="26"/>
  <c r="BB18" i="26"/>
  <c r="AV3" i="26"/>
  <c r="BA3" i="26" s="1"/>
  <c r="BB4" i="26"/>
  <c r="BA16" i="26"/>
  <c r="BC16" i="26"/>
  <c r="BB16" i="26"/>
  <c r="AY16" i="26"/>
  <c r="AZ16" i="26"/>
  <c r="BB10" i="26"/>
  <c r="BA4" i="26"/>
  <c r="AZ11" i="26"/>
  <c r="BB14" i="26"/>
  <c r="BC14" i="26"/>
  <c r="AY14" i="26"/>
  <c r="BB11" i="26"/>
  <c r="BC11" i="26"/>
  <c r="AY11" i="26"/>
  <c r="BA15" i="26"/>
  <c r="AZ15" i="26"/>
  <c r="BB15" i="26"/>
  <c r="AY15" i="26"/>
  <c r="BC15" i="26"/>
  <c r="BA11" i="26"/>
  <c r="BC31" i="26"/>
  <c r="BB31" i="26"/>
  <c r="AZ31" i="26"/>
  <c r="AY31" i="26"/>
  <c r="BA31" i="26"/>
  <c r="AY10" i="26"/>
  <c r="AZ9" i="26"/>
  <c r="BA9" i="26"/>
  <c r="BC9" i="26"/>
  <c r="BB9" i="26"/>
  <c r="AZ12" i="26"/>
  <c r="BA12" i="26"/>
  <c r="BC12" i="26"/>
  <c r="BB12" i="26"/>
  <c r="AY12" i="26"/>
  <c r="BA30" i="26"/>
  <c r="AZ30" i="26"/>
  <c r="AY30" i="26"/>
  <c r="BC30" i="26"/>
  <c r="BB30" i="26"/>
  <c r="B14" i="13"/>
  <c r="E14" i="13"/>
  <c r="BF19" i="26" l="1"/>
  <c r="BA35" i="26"/>
  <c r="AZ10" i="26"/>
  <c r="BF23" i="26"/>
  <c r="BA6" i="26"/>
  <c r="BB6" i="26"/>
  <c r="BC6" i="26"/>
  <c r="BF33" i="26"/>
  <c r="AZ35" i="26"/>
  <c r="AY6" i="26"/>
  <c r="BC10" i="26"/>
  <c r="AZ13" i="26"/>
  <c r="BA10" i="26"/>
  <c r="BA13" i="26"/>
  <c r="BC13" i="26"/>
  <c r="AZ6" i="26"/>
  <c r="AZ20" i="26"/>
  <c r="BA20" i="26"/>
  <c r="BB20" i="26"/>
  <c r="BC20" i="26"/>
  <c r="AY20" i="26"/>
  <c r="BF16" i="26"/>
  <c r="BC3" i="26"/>
  <c r="AZ3" i="26"/>
  <c r="AY13" i="26"/>
  <c r="BB3" i="26"/>
  <c r="BA8" i="26"/>
  <c r="AZ8" i="26"/>
  <c r="BC8" i="26"/>
  <c r="BB8" i="26"/>
  <c r="AY3" i="26"/>
  <c r="BB13" i="26"/>
  <c r="AZ24" i="26"/>
  <c r="BA24" i="26"/>
  <c r="BB24" i="26"/>
  <c r="BC24" i="26"/>
  <c r="AY24" i="26"/>
  <c r="B7" i="18"/>
  <c r="B407" i="13" l="1"/>
  <c r="M407" i="13"/>
  <c r="L407" i="13"/>
  <c r="B263" i="13"/>
  <c r="B222" i="13"/>
  <c r="B95" i="13"/>
  <c r="B23" i="13"/>
  <c r="N407" i="13" l="1"/>
  <c r="V407" i="13" s="1"/>
  <c r="AK407" i="13" s="1"/>
  <c r="O407" i="13"/>
  <c r="P407" i="13"/>
  <c r="Q407" i="13"/>
  <c r="R407" i="13"/>
  <c r="X407" i="13" s="1"/>
  <c r="AM407" i="13" s="1"/>
  <c r="S407" i="13"/>
  <c r="T407" i="13"/>
  <c r="W407" i="13" l="1"/>
  <c r="AL407" i="13" s="1"/>
  <c r="C7" i="18" l="1"/>
  <c r="B8" i="18" s="1"/>
  <c r="D7" i="18"/>
  <c r="E7" i="18"/>
  <c r="F7" i="18"/>
  <c r="G7" i="18"/>
  <c r="E8" i="18" l="1"/>
  <c r="B46" i="1"/>
  <c r="C23" i="13"/>
  <c r="C30" i="1"/>
  <c r="D30" i="1"/>
  <c r="E30" i="1"/>
  <c r="F30" i="1"/>
  <c r="G30" i="1"/>
  <c r="B30" i="1"/>
  <c r="C29" i="1"/>
  <c r="D29" i="1"/>
  <c r="E29" i="1"/>
  <c r="F29" i="1"/>
  <c r="G29" i="1"/>
  <c r="B29" i="1"/>
  <c r="D546" i="13"/>
  <c r="C546" i="13"/>
  <c r="B546" i="13"/>
  <c r="C530" i="13"/>
  <c r="D530" i="13"/>
  <c r="B530" i="13"/>
  <c r="C154" i="13"/>
  <c r="B154" i="13"/>
  <c r="D154" i="13"/>
  <c r="C171" i="13"/>
  <c r="D171" i="13"/>
  <c r="B171" i="13"/>
  <c r="B347" i="13"/>
  <c r="C347" i="13"/>
  <c r="D347" i="13"/>
  <c r="E347" i="13"/>
  <c r="F347" i="13"/>
  <c r="G347" i="13"/>
  <c r="B323" i="13"/>
  <c r="C323" i="13"/>
  <c r="D323" i="13"/>
  <c r="E323" i="13"/>
  <c r="F323" i="13"/>
  <c r="G323" i="13"/>
  <c r="G538" i="13"/>
  <c r="F538" i="13"/>
  <c r="E538" i="13"/>
  <c r="D538" i="13"/>
  <c r="C538" i="13"/>
  <c r="B538" i="13"/>
  <c r="J522" i="13"/>
  <c r="I522" i="13"/>
  <c r="H522" i="13"/>
  <c r="G522" i="13"/>
  <c r="F522" i="13"/>
  <c r="E522" i="13"/>
  <c r="D522" i="13"/>
  <c r="C522" i="13"/>
  <c r="B522" i="13"/>
  <c r="G514" i="13"/>
  <c r="F514" i="13"/>
  <c r="E514" i="13"/>
  <c r="D514" i="13"/>
  <c r="C514" i="13"/>
  <c r="B514" i="13"/>
  <c r="J506" i="13"/>
  <c r="I506" i="13"/>
  <c r="H506" i="13"/>
  <c r="G506" i="13"/>
  <c r="F506" i="13"/>
  <c r="E506" i="13"/>
  <c r="D506" i="13"/>
  <c r="C506" i="13"/>
  <c r="B506" i="13"/>
  <c r="G498" i="13"/>
  <c r="F498" i="13"/>
  <c r="E498" i="13"/>
  <c r="D498" i="13"/>
  <c r="C498" i="13"/>
  <c r="B498" i="13"/>
  <c r="J486" i="13"/>
  <c r="I486" i="13"/>
  <c r="H486" i="13"/>
  <c r="G486" i="13"/>
  <c r="F486" i="13"/>
  <c r="E486" i="13"/>
  <c r="D486" i="13"/>
  <c r="C486" i="13"/>
  <c r="B486" i="13"/>
  <c r="G474" i="13"/>
  <c r="F474" i="13"/>
  <c r="E474" i="13"/>
  <c r="D474" i="13"/>
  <c r="C474" i="13"/>
  <c r="B474" i="13"/>
  <c r="J461" i="13"/>
  <c r="I461" i="13"/>
  <c r="H461" i="13"/>
  <c r="G461" i="13"/>
  <c r="F461" i="13"/>
  <c r="E461" i="13"/>
  <c r="D461" i="13"/>
  <c r="C461" i="13"/>
  <c r="B461" i="13"/>
  <c r="G449" i="13"/>
  <c r="F449" i="13"/>
  <c r="E449" i="13"/>
  <c r="D449" i="13"/>
  <c r="C449" i="13"/>
  <c r="B449" i="13"/>
  <c r="J434" i="13"/>
  <c r="I434" i="13"/>
  <c r="H434" i="13"/>
  <c r="G434" i="13"/>
  <c r="F434" i="13"/>
  <c r="E434" i="13"/>
  <c r="D434" i="13"/>
  <c r="C434" i="13"/>
  <c r="B434" i="13"/>
  <c r="G421" i="13"/>
  <c r="F421" i="13"/>
  <c r="E421" i="13"/>
  <c r="D421" i="13"/>
  <c r="C421" i="13"/>
  <c r="B421" i="13"/>
  <c r="J407" i="13"/>
  <c r="I407" i="13"/>
  <c r="H407" i="13"/>
  <c r="G407" i="13"/>
  <c r="F407" i="13"/>
  <c r="E407" i="13"/>
  <c r="D407" i="13"/>
  <c r="C407" i="13"/>
  <c r="G394" i="13"/>
  <c r="F394" i="13"/>
  <c r="E394" i="13"/>
  <c r="D394" i="13"/>
  <c r="C394" i="13"/>
  <c r="B394" i="13"/>
  <c r="J382" i="13"/>
  <c r="I382" i="13"/>
  <c r="H382" i="13"/>
  <c r="G382" i="13"/>
  <c r="F382" i="13"/>
  <c r="E382" i="13"/>
  <c r="D382" i="13"/>
  <c r="C382" i="13"/>
  <c r="B382" i="13"/>
  <c r="G371" i="13"/>
  <c r="F371" i="13"/>
  <c r="E371" i="13"/>
  <c r="D371" i="13"/>
  <c r="C371" i="13"/>
  <c r="B371" i="13"/>
  <c r="J359" i="13"/>
  <c r="I359" i="13"/>
  <c r="H359" i="13"/>
  <c r="G359" i="13"/>
  <c r="F359" i="13"/>
  <c r="E359" i="13"/>
  <c r="D359" i="13"/>
  <c r="C359" i="13"/>
  <c r="B359" i="13"/>
  <c r="J335" i="13"/>
  <c r="I335" i="13"/>
  <c r="H335" i="13"/>
  <c r="G335" i="13"/>
  <c r="F335" i="13"/>
  <c r="E335" i="13"/>
  <c r="D335" i="13"/>
  <c r="C335" i="13"/>
  <c r="B335" i="13"/>
  <c r="J310" i="13"/>
  <c r="I310" i="13"/>
  <c r="H310" i="13"/>
  <c r="G310" i="13"/>
  <c r="F310" i="13"/>
  <c r="E310" i="13"/>
  <c r="D310" i="13"/>
  <c r="C310" i="13"/>
  <c r="B310" i="13"/>
  <c r="G292" i="13"/>
  <c r="F292" i="13"/>
  <c r="E292" i="13"/>
  <c r="D292" i="13"/>
  <c r="C292" i="13"/>
  <c r="B292" i="13"/>
  <c r="J279" i="13"/>
  <c r="I279" i="13"/>
  <c r="H279" i="13"/>
  <c r="G279" i="13"/>
  <c r="F279" i="13"/>
  <c r="E279" i="13"/>
  <c r="D279" i="13"/>
  <c r="C279" i="13"/>
  <c r="B279" i="13"/>
  <c r="G263" i="13"/>
  <c r="F263" i="13"/>
  <c r="E263" i="13"/>
  <c r="D263" i="13"/>
  <c r="C263" i="13"/>
  <c r="J252" i="13"/>
  <c r="I252" i="13"/>
  <c r="H252" i="13"/>
  <c r="G252" i="13"/>
  <c r="F252" i="13"/>
  <c r="E252" i="13"/>
  <c r="D252" i="13"/>
  <c r="C252" i="13"/>
  <c r="B252" i="13"/>
  <c r="G241" i="13"/>
  <c r="F241" i="13"/>
  <c r="E241" i="13"/>
  <c r="D241" i="13"/>
  <c r="C241" i="13"/>
  <c r="B241" i="13"/>
  <c r="J232" i="13"/>
  <c r="I232" i="13"/>
  <c r="H232" i="13"/>
  <c r="G232" i="13"/>
  <c r="F232" i="13"/>
  <c r="E232" i="13"/>
  <c r="D232" i="13"/>
  <c r="C232" i="13"/>
  <c r="B232" i="13"/>
  <c r="G222" i="13"/>
  <c r="F222" i="13"/>
  <c r="E222" i="13"/>
  <c r="D222" i="13"/>
  <c r="C222" i="13"/>
  <c r="J213" i="13"/>
  <c r="I213" i="13"/>
  <c r="H213" i="13"/>
  <c r="G213" i="13"/>
  <c r="F213" i="13"/>
  <c r="E213" i="13"/>
  <c r="D213" i="13"/>
  <c r="C213" i="13"/>
  <c r="B213" i="13"/>
  <c r="G204" i="13"/>
  <c r="F204" i="13"/>
  <c r="E204" i="13"/>
  <c r="D204" i="13"/>
  <c r="C204" i="13"/>
  <c r="B204" i="13"/>
  <c r="J196" i="13"/>
  <c r="I196" i="13"/>
  <c r="H196" i="13"/>
  <c r="G196" i="13"/>
  <c r="F196" i="13"/>
  <c r="E196" i="13"/>
  <c r="D196" i="13"/>
  <c r="C196" i="13"/>
  <c r="B196" i="13"/>
  <c r="G188" i="13"/>
  <c r="F188" i="13"/>
  <c r="E188" i="13"/>
  <c r="D188" i="13"/>
  <c r="C188" i="13"/>
  <c r="B188" i="13"/>
  <c r="J180" i="13"/>
  <c r="I180" i="13"/>
  <c r="H180" i="13"/>
  <c r="G180" i="13"/>
  <c r="F180" i="13"/>
  <c r="E180" i="13"/>
  <c r="D180" i="13"/>
  <c r="C180" i="13"/>
  <c r="B180" i="13"/>
  <c r="G163" i="13"/>
  <c r="F163" i="13"/>
  <c r="E163" i="13"/>
  <c r="D163" i="13"/>
  <c r="C163" i="13"/>
  <c r="B163" i="13"/>
  <c r="J146" i="13"/>
  <c r="I146" i="13"/>
  <c r="H146" i="13"/>
  <c r="G146" i="13"/>
  <c r="F146" i="13"/>
  <c r="E146" i="13"/>
  <c r="D146" i="13"/>
  <c r="C146" i="13"/>
  <c r="B146" i="13"/>
  <c r="G136" i="13"/>
  <c r="F136" i="13"/>
  <c r="E136" i="13"/>
  <c r="D136" i="13"/>
  <c r="C136" i="13"/>
  <c r="B136" i="13"/>
  <c r="J127" i="13"/>
  <c r="I127" i="13"/>
  <c r="H127" i="13"/>
  <c r="G127" i="13"/>
  <c r="F127" i="13"/>
  <c r="E127" i="13"/>
  <c r="D127" i="13"/>
  <c r="C127" i="13"/>
  <c r="B127" i="13"/>
  <c r="G113" i="13"/>
  <c r="F113" i="13"/>
  <c r="E113" i="13"/>
  <c r="D113" i="13"/>
  <c r="C113" i="13"/>
  <c r="B113" i="13"/>
  <c r="J95" i="13"/>
  <c r="I95" i="13"/>
  <c r="H95" i="13"/>
  <c r="G95" i="13"/>
  <c r="F95" i="13"/>
  <c r="E95" i="13"/>
  <c r="D95" i="13"/>
  <c r="C95" i="13"/>
  <c r="G77" i="13"/>
  <c r="F77" i="13"/>
  <c r="E77" i="13"/>
  <c r="D77" i="13"/>
  <c r="C77" i="13"/>
  <c r="B77" i="13"/>
  <c r="J68" i="13"/>
  <c r="I68" i="13"/>
  <c r="H68" i="13"/>
  <c r="G68" i="13"/>
  <c r="F68" i="13"/>
  <c r="E68" i="13"/>
  <c r="D68" i="13"/>
  <c r="C68" i="13"/>
  <c r="B68" i="13"/>
  <c r="G60" i="13"/>
  <c r="F60" i="13"/>
  <c r="E60" i="13"/>
  <c r="D60" i="13"/>
  <c r="C60" i="13"/>
  <c r="B60" i="13"/>
  <c r="J52" i="13"/>
  <c r="I52" i="13"/>
  <c r="H52" i="13"/>
  <c r="G52" i="13"/>
  <c r="F52" i="13"/>
  <c r="E52" i="13"/>
  <c r="D52" i="13"/>
  <c r="C52" i="13"/>
  <c r="B52" i="13"/>
  <c r="G43" i="13"/>
  <c r="F43" i="13"/>
  <c r="E43" i="13"/>
  <c r="D43" i="13"/>
  <c r="C43" i="13"/>
  <c r="B43" i="13"/>
  <c r="J33" i="13"/>
  <c r="I33" i="13"/>
  <c r="H33" i="13"/>
  <c r="G33" i="13"/>
  <c r="F33" i="13"/>
  <c r="E33" i="13"/>
  <c r="D33" i="13"/>
  <c r="C33" i="13"/>
  <c r="B33" i="13"/>
  <c r="G23" i="13"/>
  <c r="F23" i="13"/>
  <c r="E23" i="13"/>
  <c r="D23" i="13"/>
  <c r="J14" i="13"/>
  <c r="I14" i="13"/>
  <c r="H14" i="13"/>
  <c r="G14" i="13"/>
  <c r="F14" i="13"/>
  <c r="D14" i="13"/>
  <c r="C14" i="13"/>
  <c r="B439" i="1" l="1"/>
  <c r="B440" i="1" s="1"/>
  <c r="B438" i="1"/>
  <c r="B337" i="1" l="1"/>
  <c r="B787" i="1" l="1"/>
  <c r="B845" i="1"/>
  <c r="B846" i="1" s="1"/>
  <c r="C844" i="1"/>
  <c r="B844" i="1"/>
  <c r="D845" i="1"/>
  <c r="D846" i="1" s="1"/>
  <c r="C845" i="1"/>
  <c r="D844" i="1"/>
  <c r="F832" i="1"/>
  <c r="G832" i="1"/>
  <c r="E832" i="1"/>
  <c r="C831" i="1"/>
  <c r="C832" i="1" s="1"/>
  <c r="D831" i="1"/>
  <c r="D832" i="1" s="1"/>
  <c r="E831" i="1"/>
  <c r="F831" i="1"/>
  <c r="G831" i="1"/>
  <c r="C830" i="1"/>
  <c r="D830" i="1"/>
  <c r="E830" i="1"/>
  <c r="F830" i="1"/>
  <c r="G830" i="1"/>
  <c r="B831" i="1"/>
  <c r="B832" i="1" s="1"/>
  <c r="B830" i="1"/>
  <c r="B788" i="1"/>
  <c r="B789" i="1" s="1"/>
  <c r="G788" i="1"/>
  <c r="G789" i="1" s="1"/>
  <c r="F788" i="1"/>
  <c r="F789" i="1" s="1"/>
  <c r="E788" i="1"/>
  <c r="E789" i="1" s="1"/>
  <c r="D788" i="1"/>
  <c r="D789" i="1" s="1"/>
  <c r="C788" i="1"/>
  <c r="C789" i="1" s="1"/>
  <c r="G787" i="1"/>
  <c r="F787" i="1"/>
  <c r="E787" i="1"/>
  <c r="D787" i="1"/>
  <c r="C787" i="1"/>
  <c r="C760" i="1"/>
  <c r="C761" i="1" s="1"/>
  <c r="D760" i="1"/>
  <c r="D761" i="1" s="1"/>
  <c r="E760" i="1"/>
  <c r="E761" i="1" s="1"/>
  <c r="F760" i="1"/>
  <c r="F761" i="1" s="1"/>
  <c r="G760" i="1"/>
  <c r="G761" i="1" s="1"/>
  <c r="B760" i="1"/>
  <c r="B761" i="1" s="1"/>
  <c r="C759" i="1"/>
  <c r="D759" i="1"/>
  <c r="E759" i="1"/>
  <c r="F759" i="1"/>
  <c r="G759" i="1"/>
  <c r="B759" i="1"/>
  <c r="C687" i="1"/>
  <c r="C688" i="1" s="1"/>
  <c r="D687" i="1"/>
  <c r="D688" i="1" s="1"/>
  <c r="E687" i="1"/>
  <c r="E688" i="1" s="1"/>
  <c r="F687" i="1"/>
  <c r="F688" i="1" s="1"/>
  <c r="G687" i="1"/>
  <c r="G688" i="1" s="1"/>
  <c r="B687" i="1"/>
  <c r="B688" i="1" s="1"/>
  <c r="C686" i="1"/>
  <c r="D686" i="1"/>
  <c r="E686" i="1"/>
  <c r="F686" i="1"/>
  <c r="G686" i="1"/>
  <c r="B686" i="1"/>
  <c r="B608" i="1"/>
  <c r="B609" i="1" s="1"/>
  <c r="C607" i="1"/>
  <c r="B607" i="1"/>
  <c r="G608" i="1"/>
  <c r="G609" i="1" s="1"/>
  <c r="F608" i="1"/>
  <c r="F609" i="1" s="1"/>
  <c r="E608" i="1"/>
  <c r="E609" i="1" s="1"/>
  <c r="D608" i="1"/>
  <c r="D609" i="1" s="1"/>
  <c r="C608" i="1"/>
  <c r="C609" i="1" s="1"/>
  <c r="G607" i="1"/>
  <c r="F607" i="1"/>
  <c r="E607" i="1"/>
  <c r="D607" i="1"/>
  <c r="C537" i="1"/>
  <c r="C538" i="1" s="1"/>
  <c r="D537" i="1"/>
  <c r="D538" i="1" s="1"/>
  <c r="E537" i="1"/>
  <c r="E538" i="1" s="1"/>
  <c r="F537" i="1"/>
  <c r="F538" i="1" s="1"/>
  <c r="G537" i="1"/>
  <c r="G538" i="1" s="1"/>
  <c r="B537" i="1"/>
  <c r="B538" i="1" s="1"/>
  <c r="C536" i="1"/>
  <c r="D536" i="1"/>
  <c r="E536" i="1"/>
  <c r="F536" i="1"/>
  <c r="G536" i="1"/>
  <c r="B536" i="1"/>
  <c r="B383" i="1"/>
  <c r="B384" i="1" s="1"/>
  <c r="B382" i="1"/>
  <c r="G383" i="1"/>
  <c r="G384" i="1" s="1"/>
  <c r="F383" i="1"/>
  <c r="F384" i="1" s="1"/>
  <c r="E383" i="1"/>
  <c r="E384" i="1" s="1"/>
  <c r="D383" i="1"/>
  <c r="D384" i="1" s="1"/>
  <c r="C383" i="1"/>
  <c r="C384" i="1" s="1"/>
  <c r="G382" i="1"/>
  <c r="F382" i="1"/>
  <c r="E382" i="1"/>
  <c r="D382" i="1"/>
  <c r="C382" i="1"/>
  <c r="B322" i="1"/>
  <c r="B323" i="1" s="1"/>
  <c r="B321" i="1"/>
  <c r="G322" i="1"/>
  <c r="G323" i="1" s="1"/>
  <c r="F322" i="1"/>
  <c r="F323" i="1" s="1"/>
  <c r="E322" i="1"/>
  <c r="E323" i="1" s="1"/>
  <c r="D322" i="1"/>
  <c r="D323" i="1" s="1"/>
  <c r="C322" i="1"/>
  <c r="C323" i="1" s="1"/>
  <c r="G321" i="1"/>
  <c r="F321" i="1"/>
  <c r="E321" i="1"/>
  <c r="D321" i="1"/>
  <c r="C321" i="1"/>
  <c r="B264" i="1"/>
  <c r="B265" i="1" s="1"/>
  <c r="B263" i="1"/>
  <c r="D264" i="1"/>
  <c r="D265" i="1" s="1"/>
  <c r="C264" i="1"/>
  <c r="D263" i="1"/>
  <c r="C263" i="1"/>
  <c r="C250" i="1"/>
  <c r="C251" i="1" s="1"/>
  <c r="D250" i="1"/>
  <c r="D251" i="1" s="1"/>
  <c r="E250" i="1"/>
  <c r="E251" i="1" s="1"/>
  <c r="F250" i="1"/>
  <c r="F251" i="1" s="1"/>
  <c r="G250" i="1"/>
  <c r="G251" i="1" s="1"/>
  <c r="B250" i="1"/>
  <c r="B251" i="1" s="1"/>
  <c r="B249" i="1"/>
  <c r="G249" i="1"/>
  <c r="F249" i="1"/>
  <c r="E249" i="1"/>
  <c r="D249" i="1"/>
  <c r="C249" i="1"/>
  <c r="B121" i="1"/>
  <c r="B122" i="1" s="1"/>
  <c r="B120" i="1"/>
  <c r="G121" i="1"/>
  <c r="G122" i="1" s="1"/>
  <c r="F121" i="1"/>
  <c r="F122" i="1" s="1"/>
  <c r="E121" i="1"/>
  <c r="E122" i="1" s="1"/>
  <c r="D121" i="1"/>
  <c r="D122" i="1" s="1"/>
  <c r="C121" i="1"/>
  <c r="C122" i="1" s="1"/>
  <c r="G120" i="1"/>
  <c r="F120" i="1"/>
  <c r="E120" i="1"/>
  <c r="D120" i="1"/>
  <c r="C120" i="1"/>
  <c r="B63" i="1"/>
  <c r="B64" i="1" s="1"/>
  <c r="B62" i="1"/>
  <c r="G63" i="1"/>
  <c r="G64" i="1" s="1"/>
  <c r="F63" i="1"/>
  <c r="F64" i="1" s="1"/>
  <c r="E63" i="1"/>
  <c r="E64" i="1" s="1"/>
  <c r="D63" i="1"/>
  <c r="D64" i="1" s="1"/>
  <c r="C63" i="1"/>
  <c r="C64" i="1" s="1"/>
  <c r="G62" i="1"/>
  <c r="F62" i="1"/>
  <c r="E62" i="1"/>
  <c r="D62" i="1"/>
  <c r="C62" i="1"/>
  <c r="B816" i="1"/>
  <c r="B817" i="1" s="1"/>
  <c r="B815" i="1"/>
  <c r="D816" i="1"/>
  <c r="D817" i="1" s="1"/>
  <c r="C816" i="1"/>
  <c r="C817" i="1" s="1"/>
  <c r="D815" i="1"/>
  <c r="C815" i="1"/>
  <c r="C234" i="1"/>
  <c r="C235" i="1" s="1"/>
  <c r="D234" i="1"/>
  <c r="D235" i="1" s="1"/>
  <c r="B234" i="1"/>
  <c r="B235" i="1" s="1"/>
  <c r="C233" i="1"/>
  <c r="D233" i="1"/>
  <c r="B233" i="1"/>
  <c r="B236" i="1" s="1"/>
  <c r="B802" i="1"/>
  <c r="B803" i="1" s="1"/>
  <c r="B801" i="1"/>
  <c r="J802" i="1"/>
  <c r="J803" i="1" s="1"/>
  <c r="I802" i="1"/>
  <c r="I803" i="1" s="1"/>
  <c r="H802" i="1"/>
  <c r="H803" i="1" s="1"/>
  <c r="G802" i="1"/>
  <c r="G803" i="1" s="1"/>
  <c r="F802" i="1"/>
  <c r="F803" i="1" s="1"/>
  <c r="E802" i="1"/>
  <c r="E803" i="1" s="1"/>
  <c r="D802" i="1"/>
  <c r="D803" i="1" s="1"/>
  <c r="C802" i="1"/>
  <c r="C803" i="1" s="1"/>
  <c r="J801" i="1"/>
  <c r="I801" i="1"/>
  <c r="H801" i="1"/>
  <c r="G801" i="1"/>
  <c r="F801" i="1"/>
  <c r="E801" i="1"/>
  <c r="D801" i="1"/>
  <c r="C801" i="1"/>
  <c r="D236" i="1" l="1"/>
  <c r="C236" i="1"/>
  <c r="C237" i="1"/>
  <c r="C238" i="1" s="1"/>
  <c r="B237" i="1"/>
  <c r="B238" i="1" s="1"/>
  <c r="D237" i="1"/>
  <c r="D238" i="1" s="1"/>
  <c r="E834" i="1"/>
  <c r="E791" i="1"/>
  <c r="D848" i="1"/>
  <c r="D849" i="1" s="1"/>
  <c r="B848" i="1"/>
  <c r="B849" i="1" s="1"/>
  <c r="B847" i="1"/>
  <c r="B834" i="1"/>
  <c r="B833" i="1"/>
  <c r="B791" i="1"/>
  <c r="E833" i="1"/>
  <c r="C846" i="1"/>
  <c r="C848" i="1" s="1"/>
  <c r="C849" i="1" s="1"/>
  <c r="E790" i="1"/>
  <c r="D847" i="1"/>
  <c r="B790" i="1"/>
  <c r="E763" i="1"/>
  <c r="B763" i="1"/>
  <c r="B762" i="1"/>
  <c r="E762" i="1"/>
  <c r="E539" i="1"/>
  <c r="B689" i="1"/>
  <c r="E689" i="1"/>
  <c r="B690" i="1"/>
  <c r="E690" i="1"/>
  <c r="E611" i="1"/>
  <c r="B610" i="1"/>
  <c r="B611" i="1"/>
  <c r="E610" i="1"/>
  <c r="D267" i="1"/>
  <c r="D268" i="1" s="1"/>
  <c r="B540" i="1"/>
  <c r="B539" i="1"/>
  <c r="B385" i="1"/>
  <c r="E540" i="1"/>
  <c r="B819" i="1"/>
  <c r="B820" i="1" s="1"/>
  <c r="E385" i="1"/>
  <c r="B386" i="1"/>
  <c r="E386" i="1"/>
  <c r="B325" i="1"/>
  <c r="B324" i="1"/>
  <c r="E324" i="1"/>
  <c r="B267" i="1"/>
  <c r="B268" i="1" s="1"/>
  <c r="B252" i="1"/>
  <c r="E325" i="1"/>
  <c r="E252" i="1"/>
  <c r="C818" i="1"/>
  <c r="D266" i="1"/>
  <c r="C265" i="1"/>
  <c r="C267" i="1" s="1"/>
  <c r="C268" i="1" s="1"/>
  <c r="B266" i="1"/>
  <c r="E253" i="1"/>
  <c r="B253" i="1"/>
  <c r="B818" i="1"/>
  <c r="B123" i="1"/>
  <c r="E123" i="1"/>
  <c r="B124" i="1"/>
  <c r="E124" i="1"/>
  <c r="D818" i="1"/>
  <c r="D819" i="1"/>
  <c r="D820" i="1" s="1"/>
  <c r="C819" i="1"/>
  <c r="C820" i="1" s="1"/>
  <c r="E66" i="1"/>
  <c r="E65" i="1"/>
  <c r="B66" i="1"/>
  <c r="B65" i="1"/>
  <c r="H804" i="1"/>
  <c r="H805" i="1"/>
  <c r="E804" i="1"/>
  <c r="E805" i="1"/>
  <c r="B804" i="1"/>
  <c r="B805" i="1"/>
  <c r="B239" i="1" l="1"/>
  <c r="B850" i="1"/>
  <c r="C847" i="1"/>
  <c r="B821" i="1"/>
  <c r="B793" i="1"/>
  <c r="B792" i="1"/>
  <c r="B836" i="1"/>
  <c r="B835" i="1"/>
  <c r="B851" i="1"/>
  <c r="B269" i="1"/>
  <c r="B541" i="1"/>
  <c r="B765" i="1"/>
  <c r="B764" i="1"/>
  <c r="B692" i="1"/>
  <c r="B691" i="1"/>
  <c r="C266" i="1"/>
  <c r="B612" i="1"/>
  <c r="B613" i="1"/>
  <c r="B542" i="1"/>
  <c r="B240" i="1"/>
  <c r="B388" i="1"/>
  <c r="B387" i="1"/>
  <c r="B326" i="1"/>
  <c r="B270" i="1"/>
  <c r="B327" i="1"/>
  <c r="B255" i="1"/>
  <c r="B254" i="1"/>
  <c r="B126" i="1"/>
  <c r="B125" i="1"/>
  <c r="B807" i="1"/>
  <c r="B68" i="1"/>
  <c r="B67" i="1"/>
  <c r="B822" i="1"/>
  <c r="B806" i="1"/>
  <c r="C774" i="1" l="1"/>
  <c r="C775" i="1" s="1"/>
  <c r="D774" i="1"/>
  <c r="D775" i="1" s="1"/>
  <c r="E774" i="1"/>
  <c r="E775" i="1" s="1"/>
  <c r="F774" i="1"/>
  <c r="F775" i="1" s="1"/>
  <c r="G774" i="1"/>
  <c r="G775" i="1" s="1"/>
  <c r="H774" i="1"/>
  <c r="H775" i="1" s="1"/>
  <c r="I774" i="1"/>
  <c r="I775" i="1" s="1"/>
  <c r="J774" i="1"/>
  <c r="J775" i="1" s="1"/>
  <c r="B774" i="1"/>
  <c r="B775" i="1" s="1"/>
  <c r="C773" i="1"/>
  <c r="D773" i="1"/>
  <c r="E773" i="1"/>
  <c r="F773" i="1"/>
  <c r="G773" i="1"/>
  <c r="H773" i="1"/>
  <c r="I773" i="1"/>
  <c r="J773" i="1"/>
  <c r="B773" i="1"/>
  <c r="B742" i="1"/>
  <c r="B743" i="1" s="1"/>
  <c r="B741" i="1"/>
  <c r="J742" i="1"/>
  <c r="J743" i="1" s="1"/>
  <c r="I742" i="1"/>
  <c r="I743" i="1" s="1"/>
  <c r="H742" i="1"/>
  <c r="H743" i="1" s="1"/>
  <c r="G742" i="1"/>
  <c r="G743" i="1" s="1"/>
  <c r="F742" i="1"/>
  <c r="F743" i="1" s="1"/>
  <c r="E742" i="1"/>
  <c r="E743" i="1" s="1"/>
  <c r="D742" i="1"/>
  <c r="D743" i="1" s="1"/>
  <c r="C742" i="1"/>
  <c r="C743" i="1" s="1"/>
  <c r="J741" i="1"/>
  <c r="I741" i="1"/>
  <c r="H741" i="1"/>
  <c r="G741" i="1"/>
  <c r="F741" i="1"/>
  <c r="E741" i="1"/>
  <c r="D741" i="1"/>
  <c r="C741" i="1"/>
  <c r="C666" i="1"/>
  <c r="C667" i="1" s="1"/>
  <c r="D666" i="1"/>
  <c r="D667" i="1" s="1"/>
  <c r="E666" i="1"/>
  <c r="E667" i="1" s="1"/>
  <c r="F666" i="1"/>
  <c r="F667" i="1" s="1"/>
  <c r="G666" i="1"/>
  <c r="G667" i="1" s="1"/>
  <c r="H666" i="1"/>
  <c r="H667" i="1" s="1"/>
  <c r="I666" i="1"/>
  <c r="I667" i="1" s="1"/>
  <c r="J666" i="1"/>
  <c r="J667" i="1" s="1"/>
  <c r="B666" i="1"/>
  <c r="B667" i="1" s="1"/>
  <c r="C665" i="1"/>
  <c r="D665" i="1"/>
  <c r="E665" i="1"/>
  <c r="F665" i="1"/>
  <c r="G665" i="1"/>
  <c r="H665" i="1"/>
  <c r="I665" i="1"/>
  <c r="J665" i="1"/>
  <c r="B665" i="1"/>
  <c r="B590" i="1"/>
  <c r="B591" i="1" s="1"/>
  <c r="C590" i="1"/>
  <c r="C591" i="1" s="1"/>
  <c r="D590" i="1"/>
  <c r="D591" i="1" s="1"/>
  <c r="E590" i="1"/>
  <c r="E591" i="1" s="1"/>
  <c r="F590" i="1"/>
  <c r="F591" i="1" s="1"/>
  <c r="G590" i="1"/>
  <c r="G591" i="1" s="1"/>
  <c r="H590" i="1"/>
  <c r="H591" i="1" s="1"/>
  <c r="I590" i="1"/>
  <c r="I591" i="1" s="1"/>
  <c r="J590" i="1"/>
  <c r="J591" i="1" s="1"/>
  <c r="C589" i="1"/>
  <c r="D589" i="1"/>
  <c r="E589" i="1"/>
  <c r="F589" i="1"/>
  <c r="G589" i="1"/>
  <c r="H589" i="1"/>
  <c r="I589" i="1"/>
  <c r="J589" i="1"/>
  <c r="B589" i="1"/>
  <c r="C519" i="1"/>
  <c r="C520" i="1" s="1"/>
  <c r="D519" i="1"/>
  <c r="D520" i="1" s="1"/>
  <c r="E519" i="1"/>
  <c r="E520" i="1" s="1"/>
  <c r="F519" i="1"/>
  <c r="F520" i="1" s="1"/>
  <c r="G519" i="1"/>
  <c r="G520" i="1" s="1"/>
  <c r="H519" i="1"/>
  <c r="H520" i="1" s="1"/>
  <c r="I519" i="1"/>
  <c r="I520" i="1" s="1"/>
  <c r="J519" i="1"/>
  <c r="J520" i="1" s="1"/>
  <c r="B519" i="1"/>
  <c r="B520" i="1" s="1"/>
  <c r="C518" i="1"/>
  <c r="D518" i="1"/>
  <c r="E518" i="1"/>
  <c r="F518" i="1"/>
  <c r="G518" i="1"/>
  <c r="H518" i="1"/>
  <c r="I518" i="1"/>
  <c r="J518" i="1"/>
  <c r="B518" i="1"/>
  <c r="C368" i="1"/>
  <c r="C369" i="1" s="1"/>
  <c r="D368" i="1"/>
  <c r="D369" i="1" s="1"/>
  <c r="E368" i="1"/>
  <c r="E369" i="1" s="1"/>
  <c r="F368" i="1"/>
  <c r="F369" i="1" s="1"/>
  <c r="G368" i="1"/>
  <c r="G369" i="1" s="1"/>
  <c r="H368" i="1"/>
  <c r="H369" i="1" s="1"/>
  <c r="I368" i="1"/>
  <c r="I369" i="1" s="1"/>
  <c r="J368" i="1"/>
  <c r="J369" i="1" s="1"/>
  <c r="B368" i="1"/>
  <c r="B369" i="1" s="1"/>
  <c r="C367" i="1"/>
  <c r="D367" i="1"/>
  <c r="E367" i="1"/>
  <c r="F367" i="1"/>
  <c r="G367" i="1"/>
  <c r="H367" i="1"/>
  <c r="I367" i="1"/>
  <c r="J367" i="1"/>
  <c r="B367" i="1"/>
  <c r="B308" i="1"/>
  <c r="B309" i="1" s="1"/>
  <c r="B307" i="1"/>
  <c r="C308" i="1"/>
  <c r="C309" i="1" s="1"/>
  <c r="D308" i="1"/>
  <c r="D309" i="1" s="1"/>
  <c r="E308" i="1"/>
  <c r="E309" i="1" s="1"/>
  <c r="F308" i="1"/>
  <c r="F309" i="1" s="1"/>
  <c r="G308" i="1"/>
  <c r="G309" i="1" s="1"/>
  <c r="H308" i="1"/>
  <c r="H309" i="1" s="1"/>
  <c r="I308" i="1"/>
  <c r="I309" i="1" s="1"/>
  <c r="J308" i="1"/>
  <c r="J309" i="1" s="1"/>
  <c r="C307" i="1"/>
  <c r="D307" i="1"/>
  <c r="E307" i="1"/>
  <c r="F307" i="1"/>
  <c r="G307" i="1"/>
  <c r="H307" i="1"/>
  <c r="I307" i="1"/>
  <c r="J307" i="1"/>
  <c r="B220" i="1"/>
  <c r="B221" i="1" s="1"/>
  <c r="B219" i="1"/>
  <c r="J220" i="1"/>
  <c r="J221" i="1" s="1"/>
  <c r="I220" i="1"/>
  <c r="I221" i="1" s="1"/>
  <c r="H220" i="1"/>
  <c r="H221" i="1" s="1"/>
  <c r="G220" i="1"/>
  <c r="G221" i="1" s="1"/>
  <c r="F220" i="1"/>
  <c r="F221" i="1" s="1"/>
  <c r="E220" i="1"/>
  <c r="E221" i="1" s="1"/>
  <c r="D220" i="1"/>
  <c r="D221" i="1" s="1"/>
  <c r="C220" i="1"/>
  <c r="C221" i="1" s="1"/>
  <c r="J219" i="1"/>
  <c r="I219" i="1"/>
  <c r="H219" i="1"/>
  <c r="G219" i="1"/>
  <c r="F219" i="1"/>
  <c r="E219" i="1"/>
  <c r="D219" i="1"/>
  <c r="C219" i="1"/>
  <c r="C106" i="1"/>
  <c r="C107" i="1" s="1"/>
  <c r="D106" i="1"/>
  <c r="D107" i="1" s="1"/>
  <c r="E106" i="1"/>
  <c r="E107" i="1" s="1"/>
  <c r="F106" i="1"/>
  <c r="F107" i="1" s="1"/>
  <c r="G106" i="1"/>
  <c r="G107" i="1" s="1"/>
  <c r="H106" i="1"/>
  <c r="H107" i="1" s="1"/>
  <c r="I106" i="1"/>
  <c r="I107" i="1" s="1"/>
  <c r="J106" i="1"/>
  <c r="J107" i="1" s="1"/>
  <c r="B106" i="1"/>
  <c r="B107" i="1" s="1"/>
  <c r="C105" i="1"/>
  <c r="D105" i="1"/>
  <c r="E105" i="1"/>
  <c r="F105" i="1"/>
  <c r="G105" i="1"/>
  <c r="H105" i="1"/>
  <c r="I105" i="1"/>
  <c r="J105" i="1"/>
  <c r="B105" i="1"/>
  <c r="B47" i="1"/>
  <c r="B48" i="1" s="1"/>
  <c r="B31" i="1"/>
  <c r="J47" i="1"/>
  <c r="J48" i="1" s="1"/>
  <c r="I47" i="1"/>
  <c r="I48" i="1" s="1"/>
  <c r="H47" i="1"/>
  <c r="H48" i="1" s="1"/>
  <c r="G47" i="1"/>
  <c r="G48" i="1" s="1"/>
  <c r="F47" i="1"/>
  <c r="F48" i="1" s="1"/>
  <c r="E47" i="1"/>
  <c r="E48" i="1" s="1"/>
  <c r="D47" i="1"/>
  <c r="D48" i="1" s="1"/>
  <c r="C47" i="1"/>
  <c r="C48" i="1" s="1"/>
  <c r="J46" i="1"/>
  <c r="I46" i="1"/>
  <c r="H46" i="1"/>
  <c r="G46" i="1"/>
  <c r="F46" i="1"/>
  <c r="E46" i="1"/>
  <c r="D46" i="1"/>
  <c r="C46" i="1"/>
  <c r="B724" i="1"/>
  <c r="B725" i="1" s="1"/>
  <c r="C724" i="1"/>
  <c r="C725" i="1" s="1"/>
  <c r="D724" i="1"/>
  <c r="D725" i="1" s="1"/>
  <c r="E724" i="1"/>
  <c r="E725" i="1" s="1"/>
  <c r="F724" i="1"/>
  <c r="F725" i="1" s="1"/>
  <c r="G724" i="1"/>
  <c r="G725" i="1" s="1"/>
  <c r="C723" i="1"/>
  <c r="D723" i="1"/>
  <c r="E723" i="1"/>
  <c r="F723" i="1"/>
  <c r="G723" i="1"/>
  <c r="B723" i="1"/>
  <c r="C647" i="1"/>
  <c r="C648" i="1" s="1"/>
  <c r="D647" i="1"/>
  <c r="D648" i="1" s="1"/>
  <c r="E647" i="1"/>
  <c r="E648" i="1" s="1"/>
  <c r="F647" i="1"/>
  <c r="F648" i="1" s="1"/>
  <c r="G647" i="1"/>
  <c r="G648" i="1" s="1"/>
  <c r="B647" i="1"/>
  <c r="B648" i="1" s="1"/>
  <c r="C646" i="1"/>
  <c r="D646" i="1"/>
  <c r="E646" i="1"/>
  <c r="F646" i="1"/>
  <c r="G646" i="1"/>
  <c r="B646" i="1"/>
  <c r="B573" i="1"/>
  <c r="B574" i="1" s="1"/>
  <c r="B572" i="1"/>
  <c r="B501" i="1"/>
  <c r="B502" i="1" s="1"/>
  <c r="B500" i="1"/>
  <c r="C458" i="1"/>
  <c r="C459" i="1" s="1"/>
  <c r="D458" i="1"/>
  <c r="D459" i="1" s="1"/>
  <c r="E458" i="1"/>
  <c r="E459" i="1" s="1"/>
  <c r="F458" i="1"/>
  <c r="F459" i="1" s="1"/>
  <c r="G458" i="1"/>
  <c r="G459" i="1" s="1"/>
  <c r="B458" i="1"/>
  <c r="B459" i="1" s="1"/>
  <c r="C457" i="1"/>
  <c r="D457" i="1"/>
  <c r="E457" i="1"/>
  <c r="F457" i="1"/>
  <c r="G457" i="1"/>
  <c r="B457" i="1"/>
  <c r="B417" i="1"/>
  <c r="B418" i="1" s="1"/>
  <c r="B416" i="1"/>
  <c r="B352" i="1"/>
  <c r="B353" i="1" s="1"/>
  <c r="B351" i="1"/>
  <c r="B294" i="1"/>
  <c r="B295" i="1" s="1"/>
  <c r="B293" i="1"/>
  <c r="B204" i="1"/>
  <c r="B205" i="1" s="1"/>
  <c r="B203" i="1"/>
  <c r="B169" i="1"/>
  <c r="B170" i="1" s="1"/>
  <c r="B168" i="1"/>
  <c r="B92" i="1"/>
  <c r="B93" i="1" s="1"/>
  <c r="B91" i="1"/>
  <c r="H592" i="1" l="1"/>
  <c r="B777" i="1"/>
  <c r="B745" i="1"/>
  <c r="B744" i="1"/>
  <c r="E776" i="1"/>
  <c r="B776" i="1"/>
  <c r="H776" i="1"/>
  <c r="H777" i="1"/>
  <c r="E777" i="1"/>
  <c r="E744" i="1"/>
  <c r="H745" i="1"/>
  <c r="H744" i="1"/>
  <c r="E745" i="1"/>
  <c r="B669" i="1"/>
  <c r="B668" i="1"/>
  <c r="H668" i="1"/>
  <c r="H669" i="1"/>
  <c r="E668" i="1"/>
  <c r="E669" i="1"/>
  <c r="E592" i="1"/>
  <c r="B592" i="1"/>
  <c r="B593" i="1"/>
  <c r="H593" i="1"/>
  <c r="E593" i="1"/>
  <c r="H521" i="1"/>
  <c r="H522" i="1"/>
  <c r="B521" i="1"/>
  <c r="E521" i="1"/>
  <c r="E522" i="1"/>
  <c r="B522" i="1"/>
  <c r="E370" i="1"/>
  <c r="H371" i="1"/>
  <c r="H370" i="1"/>
  <c r="B370" i="1"/>
  <c r="B371" i="1"/>
  <c r="E371" i="1"/>
  <c r="H310" i="1"/>
  <c r="E310" i="1"/>
  <c r="E222" i="1"/>
  <c r="B310" i="1"/>
  <c r="B311" i="1"/>
  <c r="H311" i="1"/>
  <c r="E311" i="1"/>
  <c r="H222" i="1"/>
  <c r="B222" i="1"/>
  <c r="B223" i="1"/>
  <c r="H223" i="1"/>
  <c r="E223" i="1"/>
  <c r="H109" i="1"/>
  <c r="B108" i="1"/>
  <c r="H108" i="1"/>
  <c r="E109" i="1"/>
  <c r="B109" i="1"/>
  <c r="E108" i="1"/>
  <c r="B460" i="1"/>
  <c r="E49" i="1"/>
  <c r="H49" i="1"/>
  <c r="H50" i="1"/>
  <c r="B50" i="1"/>
  <c r="B49" i="1"/>
  <c r="E50" i="1"/>
  <c r="C31" i="1"/>
  <c r="D31" i="1"/>
  <c r="E31" i="1"/>
  <c r="F31" i="1"/>
  <c r="G31" i="1"/>
  <c r="B224" i="1" l="1"/>
  <c r="B779" i="1"/>
  <c r="B778" i="1"/>
  <c r="B747" i="1"/>
  <c r="B746" i="1"/>
  <c r="B671" i="1"/>
  <c r="B670" i="1"/>
  <c r="B594" i="1"/>
  <c r="B595" i="1"/>
  <c r="B523" i="1"/>
  <c r="B524" i="1"/>
  <c r="B372" i="1"/>
  <c r="B373" i="1"/>
  <c r="B312" i="1"/>
  <c r="B313" i="1"/>
  <c r="B225" i="1"/>
  <c r="B32" i="1"/>
  <c r="B111" i="1"/>
  <c r="B110" i="1"/>
  <c r="B51" i="1"/>
  <c r="B52" i="1"/>
  <c r="B33" i="1"/>
  <c r="E32" i="1"/>
  <c r="E33" i="1"/>
  <c r="C705" i="1"/>
  <c r="C706" i="1" s="1"/>
  <c r="D705" i="1"/>
  <c r="D706" i="1" s="1"/>
  <c r="E705" i="1"/>
  <c r="E706" i="1" s="1"/>
  <c r="F705" i="1"/>
  <c r="F706" i="1" s="1"/>
  <c r="G705" i="1"/>
  <c r="G706" i="1" s="1"/>
  <c r="H705" i="1"/>
  <c r="H706" i="1" s="1"/>
  <c r="I705" i="1"/>
  <c r="I706" i="1" s="1"/>
  <c r="J705" i="1"/>
  <c r="J706" i="1" s="1"/>
  <c r="B705" i="1"/>
  <c r="B706" i="1" s="1"/>
  <c r="B35" i="1" l="1"/>
  <c r="B34" i="1"/>
  <c r="B707" i="1"/>
  <c r="E708" i="1"/>
  <c r="E707" i="1"/>
  <c r="H707" i="1"/>
  <c r="H708" i="1"/>
  <c r="B726" i="1"/>
  <c r="B708" i="1"/>
  <c r="E727" i="1"/>
  <c r="E726" i="1"/>
  <c r="B727" i="1"/>
  <c r="C704" i="1"/>
  <c r="D704" i="1"/>
  <c r="E704" i="1"/>
  <c r="F704" i="1"/>
  <c r="G704" i="1"/>
  <c r="H704" i="1"/>
  <c r="I704" i="1"/>
  <c r="J704" i="1"/>
  <c r="B704" i="1"/>
  <c r="C627" i="1"/>
  <c r="C628" i="1" s="1"/>
  <c r="D627" i="1"/>
  <c r="D628" i="1" s="1"/>
  <c r="E627" i="1"/>
  <c r="E628" i="1" s="1"/>
  <c r="F627" i="1"/>
  <c r="F628" i="1" s="1"/>
  <c r="G627" i="1"/>
  <c r="G628" i="1" s="1"/>
  <c r="H627" i="1"/>
  <c r="H628" i="1" s="1"/>
  <c r="I627" i="1"/>
  <c r="I628" i="1" s="1"/>
  <c r="J627" i="1"/>
  <c r="J628" i="1" s="1"/>
  <c r="B627" i="1"/>
  <c r="B628" i="1" s="1"/>
  <c r="C626" i="1"/>
  <c r="D626" i="1"/>
  <c r="E626" i="1"/>
  <c r="F626" i="1"/>
  <c r="G626" i="1"/>
  <c r="H626" i="1"/>
  <c r="I626" i="1"/>
  <c r="J626" i="1"/>
  <c r="B626" i="1"/>
  <c r="G573" i="1"/>
  <c r="G574" i="1" s="1"/>
  <c r="F573" i="1"/>
  <c r="F574" i="1" s="1"/>
  <c r="E573" i="1"/>
  <c r="E574" i="1" s="1"/>
  <c r="D573" i="1"/>
  <c r="D574" i="1" s="1"/>
  <c r="C573" i="1"/>
  <c r="C574" i="1" s="1"/>
  <c r="G572" i="1"/>
  <c r="F572" i="1"/>
  <c r="E572" i="1"/>
  <c r="D572" i="1"/>
  <c r="C572" i="1"/>
  <c r="C555" i="1"/>
  <c r="C556" i="1" s="1"/>
  <c r="D555" i="1"/>
  <c r="D556" i="1" s="1"/>
  <c r="E555" i="1"/>
  <c r="E556" i="1" s="1"/>
  <c r="F555" i="1"/>
  <c r="F556" i="1" s="1"/>
  <c r="G555" i="1"/>
  <c r="G556" i="1" s="1"/>
  <c r="H555" i="1"/>
  <c r="H556" i="1" s="1"/>
  <c r="I555" i="1"/>
  <c r="I556" i="1" s="1"/>
  <c r="J555" i="1"/>
  <c r="J556" i="1" s="1"/>
  <c r="B555" i="1"/>
  <c r="B556" i="1" s="1"/>
  <c r="C554" i="1"/>
  <c r="D554" i="1"/>
  <c r="E554" i="1"/>
  <c r="F554" i="1"/>
  <c r="G554" i="1"/>
  <c r="H554" i="1"/>
  <c r="I554" i="1"/>
  <c r="J554" i="1"/>
  <c r="B554" i="1"/>
  <c r="G501" i="1"/>
  <c r="G502" i="1" s="1"/>
  <c r="F501" i="1"/>
  <c r="F502" i="1" s="1"/>
  <c r="E501" i="1"/>
  <c r="E502" i="1" s="1"/>
  <c r="D501" i="1"/>
  <c r="D502" i="1" s="1"/>
  <c r="C501" i="1"/>
  <c r="C502" i="1" s="1"/>
  <c r="G500" i="1"/>
  <c r="F500" i="1"/>
  <c r="E500" i="1"/>
  <c r="D500" i="1"/>
  <c r="C500" i="1"/>
  <c r="C482" i="1"/>
  <c r="C483" i="1" s="1"/>
  <c r="D482" i="1"/>
  <c r="D483" i="1" s="1"/>
  <c r="E482" i="1"/>
  <c r="E483" i="1" s="1"/>
  <c r="F482" i="1"/>
  <c r="F483" i="1" s="1"/>
  <c r="G482" i="1"/>
  <c r="G483" i="1" s="1"/>
  <c r="H482" i="1"/>
  <c r="H483" i="1" s="1"/>
  <c r="I482" i="1"/>
  <c r="I483" i="1" s="1"/>
  <c r="J482" i="1"/>
  <c r="J483" i="1" s="1"/>
  <c r="B482" i="1"/>
  <c r="B483" i="1" s="1"/>
  <c r="C481" i="1"/>
  <c r="D481" i="1"/>
  <c r="E481" i="1"/>
  <c r="F481" i="1"/>
  <c r="G481" i="1"/>
  <c r="H481" i="1"/>
  <c r="I481" i="1"/>
  <c r="J481" i="1"/>
  <c r="B481" i="1"/>
  <c r="B729" i="1" l="1"/>
  <c r="B728" i="1"/>
  <c r="B709" i="1"/>
  <c r="B710" i="1"/>
  <c r="B557" i="1"/>
  <c r="H630" i="1"/>
  <c r="H629" i="1"/>
  <c r="E630" i="1"/>
  <c r="E629" i="1"/>
  <c r="B629" i="1"/>
  <c r="B630" i="1"/>
  <c r="B649" i="1"/>
  <c r="B650" i="1"/>
  <c r="E649" i="1"/>
  <c r="E650" i="1"/>
  <c r="E557" i="1"/>
  <c r="H485" i="1"/>
  <c r="H557" i="1"/>
  <c r="H558" i="1"/>
  <c r="B484" i="1"/>
  <c r="B485" i="1"/>
  <c r="E558" i="1"/>
  <c r="B575" i="1"/>
  <c r="B558" i="1"/>
  <c r="E484" i="1"/>
  <c r="B576" i="1"/>
  <c r="E576" i="1"/>
  <c r="E575" i="1"/>
  <c r="E504" i="1"/>
  <c r="E503" i="1"/>
  <c r="B503" i="1"/>
  <c r="B504" i="1"/>
  <c r="H484" i="1"/>
  <c r="E485" i="1"/>
  <c r="B506" i="1" l="1"/>
  <c r="B505" i="1"/>
  <c r="B652" i="1"/>
  <c r="B651" i="1"/>
  <c r="B578" i="1"/>
  <c r="B577" i="1"/>
  <c r="B560" i="1"/>
  <c r="B559" i="1"/>
  <c r="B632" i="1"/>
  <c r="B631" i="1"/>
  <c r="B487" i="1"/>
  <c r="B486" i="1"/>
  <c r="C439" i="1" l="1"/>
  <c r="C440" i="1" s="1"/>
  <c r="D439" i="1"/>
  <c r="D440" i="1" s="1"/>
  <c r="E439" i="1"/>
  <c r="E440" i="1" s="1"/>
  <c r="F439" i="1"/>
  <c r="F440" i="1" s="1"/>
  <c r="G439" i="1"/>
  <c r="G440" i="1" s="1"/>
  <c r="H439" i="1"/>
  <c r="H440" i="1" s="1"/>
  <c r="I439" i="1"/>
  <c r="I440" i="1" s="1"/>
  <c r="J439" i="1"/>
  <c r="J440" i="1" s="1"/>
  <c r="C438" i="1"/>
  <c r="D438" i="1"/>
  <c r="E438" i="1"/>
  <c r="F438" i="1"/>
  <c r="G438" i="1"/>
  <c r="H438" i="1"/>
  <c r="I438" i="1"/>
  <c r="J438" i="1"/>
  <c r="G417" i="1"/>
  <c r="G418" i="1" s="1"/>
  <c r="F417" i="1"/>
  <c r="F418" i="1" s="1"/>
  <c r="E417" i="1"/>
  <c r="E418" i="1" s="1"/>
  <c r="D417" i="1"/>
  <c r="D418" i="1" s="1"/>
  <c r="C417" i="1"/>
  <c r="C418" i="1" s="1"/>
  <c r="G416" i="1"/>
  <c r="F416" i="1"/>
  <c r="E416" i="1"/>
  <c r="D416" i="1"/>
  <c r="C416" i="1"/>
  <c r="H441" i="1" l="1"/>
  <c r="E441" i="1"/>
  <c r="B441" i="1"/>
  <c r="B420" i="1"/>
  <c r="E419" i="1"/>
  <c r="E420" i="1"/>
  <c r="E442" i="1"/>
  <c r="H442" i="1"/>
  <c r="B442" i="1"/>
  <c r="E461" i="1"/>
  <c r="E460" i="1"/>
  <c r="B461" i="1"/>
  <c r="B419" i="1"/>
  <c r="B463" i="1" l="1"/>
  <c r="B462" i="1"/>
  <c r="B422" i="1"/>
  <c r="B421" i="1"/>
  <c r="B444" i="1"/>
  <c r="B443" i="1"/>
  <c r="C400" i="1" l="1"/>
  <c r="C401" i="1" s="1"/>
  <c r="D400" i="1"/>
  <c r="D401" i="1" s="1"/>
  <c r="E400" i="1"/>
  <c r="E401" i="1" s="1"/>
  <c r="F400" i="1"/>
  <c r="F401" i="1" s="1"/>
  <c r="G400" i="1"/>
  <c r="G401" i="1" s="1"/>
  <c r="H400" i="1"/>
  <c r="H401" i="1" s="1"/>
  <c r="I400" i="1"/>
  <c r="I401" i="1" s="1"/>
  <c r="J400" i="1"/>
  <c r="J401" i="1" s="1"/>
  <c r="B400" i="1"/>
  <c r="B401" i="1" s="1"/>
  <c r="C399" i="1"/>
  <c r="D399" i="1"/>
  <c r="E399" i="1"/>
  <c r="F399" i="1"/>
  <c r="G399" i="1"/>
  <c r="H399" i="1"/>
  <c r="I399" i="1"/>
  <c r="J399" i="1"/>
  <c r="B399" i="1"/>
  <c r="G352" i="1"/>
  <c r="G353" i="1" s="1"/>
  <c r="F352" i="1"/>
  <c r="F353" i="1" s="1"/>
  <c r="E352" i="1"/>
  <c r="E353" i="1" s="1"/>
  <c r="D352" i="1"/>
  <c r="D353" i="1" s="1"/>
  <c r="C352" i="1"/>
  <c r="C353" i="1" s="1"/>
  <c r="G351" i="1"/>
  <c r="F351" i="1"/>
  <c r="E351" i="1"/>
  <c r="D351" i="1"/>
  <c r="C351" i="1"/>
  <c r="C337" i="1"/>
  <c r="C338" i="1" s="1"/>
  <c r="D337" i="1"/>
  <c r="D338" i="1" s="1"/>
  <c r="E337" i="1"/>
  <c r="E338" i="1" s="1"/>
  <c r="F337" i="1"/>
  <c r="F338" i="1" s="1"/>
  <c r="G337" i="1"/>
  <c r="G338" i="1" s="1"/>
  <c r="H337" i="1"/>
  <c r="H338" i="1" s="1"/>
  <c r="I337" i="1"/>
  <c r="I338" i="1" s="1"/>
  <c r="J337" i="1"/>
  <c r="J338" i="1" s="1"/>
  <c r="B338" i="1"/>
  <c r="C336" i="1"/>
  <c r="D336" i="1"/>
  <c r="E336" i="1"/>
  <c r="F336" i="1"/>
  <c r="G336" i="1"/>
  <c r="H336" i="1"/>
  <c r="I336" i="1"/>
  <c r="J336" i="1"/>
  <c r="B336" i="1"/>
  <c r="G294" i="1"/>
  <c r="G295" i="1" s="1"/>
  <c r="F294" i="1"/>
  <c r="F295" i="1" s="1"/>
  <c r="E294" i="1"/>
  <c r="E295" i="1" s="1"/>
  <c r="D294" i="1"/>
  <c r="D295" i="1" s="1"/>
  <c r="C294" i="1"/>
  <c r="C295" i="1" s="1"/>
  <c r="G293" i="1"/>
  <c r="F293" i="1"/>
  <c r="E293" i="1"/>
  <c r="D293" i="1"/>
  <c r="C293" i="1"/>
  <c r="C280" i="1"/>
  <c r="C281" i="1" s="1"/>
  <c r="D280" i="1"/>
  <c r="D281" i="1" s="1"/>
  <c r="E280" i="1"/>
  <c r="E281" i="1" s="1"/>
  <c r="F280" i="1"/>
  <c r="F281" i="1" s="1"/>
  <c r="G280" i="1"/>
  <c r="G281" i="1" s="1"/>
  <c r="H280" i="1"/>
  <c r="H281" i="1" s="1"/>
  <c r="I280" i="1"/>
  <c r="I281" i="1" s="1"/>
  <c r="J280" i="1"/>
  <c r="J281" i="1" s="1"/>
  <c r="B280" i="1"/>
  <c r="B281" i="1" s="1"/>
  <c r="C279" i="1"/>
  <c r="D279" i="1"/>
  <c r="E279" i="1"/>
  <c r="F279" i="1"/>
  <c r="G279" i="1"/>
  <c r="H279" i="1"/>
  <c r="I279" i="1"/>
  <c r="J279" i="1"/>
  <c r="B279" i="1"/>
  <c r="G204" i="1"/>
  <c r="G205" i="1" s="1"/>
  <c r="F204" i="1"/>
  <c r="F205" i="1" s="1"/>
  <c r="E204" i="1"/>
  <c r="E205" i="1" s="1"/>
  <c r="D204" i="1"/>
  <c r="D205" i="1" s="1"/>
  <c r="C204" i="1"/>
  <c r="C205" i="1" s="1"/>
  <c r="G203" i="1"/>
  <c r="F203" i="1"/>
  <c r="E203" i="1"/>
  <c r="D203" i="1"/>
  <c r="C203" i="1"/>
  <c r="B297" i="1" l="1"/>
  <c r="B355" i="1"/>
  <c r="B354" i="1"/>
  <c r="E354" i="1"/>
  <c r="B207" i="1"/>
  <c r="B206" i="1"/>
  <c r="E283" i="1"/>
  <c r="E403" i="1"/>
  <c r="B296" i="1"/>
  <c r="B403" i="1"/>
  <c r="B402" i="1"/>
  <c r="H340" i="1"/>
  <c r="H339" i="1"/>
  <c r="H403" i="1"/>
  <c r="H402" i="1"/>
  <c r="E340" i="1"/>
  <c r="E339" i="1"/>
  <c r="B340" i="1"/>
  <c r="B283" i="1"/>
  <c r="B282" i="1"/>
  <c r="H283" i="1"/>
  <c r="H282" i="1"/>
  <c r="B339" i="1"/>
  <c r="E402" i="1"/>
  <c r="E282" i="1"/>
  <c r="E355" i="1"/>
  <c r="E297" i="1"/>
  <c r="E296" i="1"/>
  <c r="E207" i="1"/>
  <c r="E206" i="1"/>
  <c r="B298" i="1" l="1"/>
  <c r="B299" i="1"/>
  <c r="B356" i="1"/>
  <c r="B357" i="1"/>
  <c r="B209" i="1"/>
  <c r="B208" i="1"/>
  <c r="B404" i="1"/>
  <c r="B341" i="1"/>
  <c r="B284" i="1"/>
  <c r="B285" i="1"/>
  <c r="B342" i="1"/>
  <c r="B405" i="1"/>
  <c r="C189" i="1" l="1"/>
  <c r="C190" i="1" s="1"/>
  <c r="D189" i="1"/>
  <c r="D190" i="1" s="1"/>
  <c r="E189" i="1"/>
  <c r="E190" i="1" s="1"/>
  <c r="F189" i="1"/>
  <c r="F190" i="1" s="1"/>
  <c r="G189" i="1"/>
  <c r="G190" i="1" s="1"/>
  <c r="H189" i="1"/>
  <c r="H190" i="1" s="1"/>
  <c r="I189" i="1"/>
  <c r="I190" i="1" s="1"/>
  <c r="J189" i="1"/>
  <c r="J190" i="1" s="1"/>
  <c r="B189" i="1"/>
  <c r="B190" i="1" s="1"/>
  <c r="C188" i="1"/>
  <c r="D188" i="1"/>
  <c r="E188" i="1"/>
  <c r="F188" i="1"/>
  <c r="G188" i="1"/>
  <c r="H188" i="1"/>
  <c r="I188" i="1"/>
  <c r="J188" i="1"/>
  <c r="B188" i="1"/>
  <c r="G169" i="1"/>
  <c r="G170" i="1" s="1"/>
  <c r="F169" i="1"/>
  <c r="F170" i="1" s="1"/>
  <c r="E169" i="1"/>
  <c r="E170" i="1" s="1"/>
  <c r="D169" i="1"/>
  <c r="D170" i="1" s="1"/>
  <c r="C169" i="1"/>
  <c r="C170" i="1" s="1"/>
  <c r="G168" i="1"/>
  <c r="F168" i="1"/>
  <c r="E168" i="1"/>
  <c r="D168" i="1"/>
  <c r="C168" i="1"/>
  <c r="C78" i="1"/>
  <c r="C79" i="1" s="1"/>
  <c r="D78" i="1"/>
  <c r="D79" i="1" s="1"/>
  <c r="C145" i="1"/>
  <c r="C146" i="1" s="1"/>
  <c r="D145" i="1"/>
  <c r="D146" i="1" s="1"/>
  <c r="E145" i="1"/>
  <c r="E146" i="1" s="1"/>
  <c r="F145" i="1"/>
  <c r="F146" i="1" s="1"/>
  <c r="G145" i="1"/>
  <c r="G146" i="1" s="1"/>
  <c r="H145" i="1"/>
  <c r="H146" i="1" s="1"/>
  <c r="I145" i="1"/>
  <c r="I146" i="1" s="1"/>
  <c r="J145" i="1"/>
  <c r="J146" i="1" s="1"/>
  <c r="B145" i="1"/>
  <c r="B146" i="1" s="1"/>
  <c r="C144" i="1"/>
  <c r="D144" i="1"/>
  <c r="E144" i="1"/>
  <c r="F144" i="1"/>
  <c r="G144" i="1"/>
  <c r="H144" i="1"/>
  <c r="I144" i="1"/>
  <c r="J144" i="1"/>
  <c r="B144" i="1"/>
  <c r="G92" i="1"/>
  <c r="G93" i="1" s="1"/>
  <c r="F92" i="1"/>
  <c r="F93" i="1" s="1"/>
  <c r="E92" i="1"/>
  <c r="E93" i="1" s="1"/>
  <c r="D92" i="1"/>
  <c r="D93" i="1" s="1"/>
  <c r="C92" i="1"/>
  <c r="C93" i="1" s="1"/>
  <c r="G91" i="1"/>
  <c r="F91" i="1"/>
  <c r="E91" i="1"/>
  <c r="D91" i="1"/>
  <c r="C91" i="1"/>
  <c r="E78" i="1"/>
  <c r="E79" i="1" s="1"/>
  <c r="F78" i="1"/>
  <c r="F79" i="1" s="1"/>
  <c r="G78" i="1"/>
  <c r="G79" i="1" s="1"/>
  <c r="H78" i="1"/>
  <c r="H79" i="1" s="1"/>
  <c r="I78" i="1"/>
  <c r="I79" i="1" s="1"/>
  <c r="J78" i="1"/>
  <c r="J79" i="1" s="1"/>
  <c r="B78" i="1"/>
  <c r="B79" i="1" s="1"/>
  <c r="C77" i="1"/>
  <c r="D77" i="1"/>
  <c r="E77" i="1"/>
  <c r="F77" i="1"/>
  <c r="G77" i="1"/>
  <c r="H77" i="1"/>
  <c r="I77" i="1"/>
  <c r="J77" i="1"/>
  <c r="B77" i="1"/>
  <c r="E94" i="1" l="1"/>
  <c r="B95" i="1"/>
  <c r="B94" i="1"/>
  <c r="E192" i="1"/>
  <c r="E191" i="1"/>
  <c r="H192" i="1"/>
  <c r="H191" i="1"/>
  <c r="B191" i="1"/>
  <c r="B192" i="1"/>
  <c r="H148" i="1"/>
  <c r="B171" i="1"/>
  <c r="E148" i="1"/>
  <c r="E147" i="1"/>
  <c r="B147" i="1"/>
  <c r="B148" i="1"/>
  <c r="H147" i="1"/>
  <c r="B172" i="1"/>
  <c r="E172" i="1"/>
  <c r="E171" i="1"/>
  <c r="E95" i="1"/>
  <c r="B80" i="1"/>
  <c r="B81" i="1"/>
  <c r="E81" i="1"/>
  <c r="E80" i="1"/>
  <c r="H81" i="1"/>
  <c r="H80" i="1"/>
  <c r="B193" i="1" l="1"/>
  <c r="B174" i="1"/>
  <c r="B173" i="1"/>
  <c r="B97" i="1"/>
  <c r="B96" i="1"/>
  <c r="B82" i="1"/>
  <c r="B194" i="1"/>
  <c r="B149" i="1"/>
  <c r="B150" i="1"/>
  <c r="B83" i="1"/>
  <c r="C14" i="1" l="1"/>
  <c r="D14" i="1"/>
  <c r="E14" i="1"/>
  <c r="F14" i="1"/>
  <c r="G14" i="1"/>
  <c r="H14" i="1"/>
  <c r="I14" i="1"/>
  <c r="J14" i="1"/>
  <c r="B14" i="1"/>
  <c r="C15" i="1" l="1"/>
  <c r="C16" i="1" s="1"/>
  <c r="D15" i="1"/>
  <c r="D16" i="1" s="1"/>
  <c r="E15" i="1"/>
  <c r="E16" i="1" s="1"/>
  <c r="F15" i="1"/>
  <c r="F16" i="1" s="1"/>
  <c r="G15" i="1"/>
  <c r="G16" i="1" s="1"/>
  <c r="H15" i="1"/>
  <c r="H16" i="1" s="1"/>
  <c r="I15" i="1"/>
  <c r="I16" i="1" s="1"/>
  <c r="J15" i="1"/>
  <c r="J16" i="1" s="1"/>
  <c r="H18" i="1" l="1"/>
  <c r="H17" i="1"/>
  <c r="E18" i="1"/>
  <c r="E17" i="1"/>
</calcChain>
</file>

<file path=xl/sharedStrings.xml><?xml version="1.0" encoding="utf-8"?>
<sst xmlns="http://schemas.openxmlformats.org/spreadsheetml/2006/main" count="2626" uniqueCount="136">
  <si>
    <t>DXP</t>
  </si>
  <si>
    <t>MEP_0_2X_1_1</t>
  </si>
  <si>
    <t>MEP_0_2X_2_1</t>
  </si>
  <si>
    <t>MEP_0_2X_3_1</t>
  </si>
  <si>
    <t>MEP_1X_1_1</t>
  </si>
  <si>
    <t>MEP_1X_2_1</t>
  </si>
  <si>
    <t>MEP_1X_3_1</t>
  </si>
  <si>
    <t>MEP_5X_1_1</t>
  </si>
  <si>
    <t>MEP_5X_2_1</t>
  </si>
  <si>
    <t>MEP_5X_3_1</t>
  </si>
  <si>
    <t>C12 PARENT</t>
  </si>
  <si>
    <t>C13-label-1</t>
  </si>
  <si>
    <t>C13-label-2</t>
  </si>
  <si>
    <t>C13-label-3</t>
  </si>
  <si>
    <t>C13-label-4</t>
  </si>
  <si>
    <t>C13-label-5</t>
  </si>
  <si>
    <t>Unlabeled/Total</t>
  </si>
  <si>
    <t>Labeled:Unlabeled</t>
  </si>
  <si>
    <t>Metabolite</t>
  </si>
  <si>
    <t>0.2X</t>
  </si>
  <si>
    <t>1X</t>
  </si>
  <si>
    <t>5X</t>
  </si>
  <si>
    <t>MEP</t>
  </si>
  <si>
    <t>CDP-ME</t>
  </si>
  <si>
    <t>MEcDP</t>
  </si>
  <si>
    <t>HMBDP</t>
  </si>
  <si>
    <t>DMADP</t>
  </si>
  <si>
    <t>IPP</t>
  </si>
  <si>
    <t>GPP</t>
  </si>
  <si>
    <t>FPP</t>
  </si>
  <si>
    <t>GAP</t>
  </si>
  <si>
    <t>PYR</t>
  </si>
  <si>
    <t>CMP</t>
  </si>
  <si>
    <t>ATP</t>
  </si>
  <si>
    <t>ADP</t>
  </si>
  <si>
    <t>CTP</t>
  </si>
  <si>
    <t>20190823 Metabolite Concs. (mM)</t>
  </si>
  <si>
    <t>20190822 Metabolite Concs. (mM)</t>
  </si>
  <si>
    <t>Concentration (mM)</t>
  </si>
  <si>
    <t>20190823 Met. Concs. in Solvents (mM)</t>
  </si>
  <si>
    <t>C13-label-6</t>
  </si>
  <si>
    <t>C13-label-7</t>
  </si>
  <si>
    <t>C13-label-8</t>
  </si>
  <si>
    <t>C13-label-9</t>
  </si>
  <si>
    <t>C13-label-10</t>
  </si>
  <si>
    <t>C13-label-11</t>
  </si>
  <si>
    <t>C13-label-12</t>
  </si>
  <si>
    <t>C13-label-13</t>
  </si>
  <si>
    <t>C13-label-14</t>
  </si>
  <si>
    <t>cMEPP</t>
  </si>
  <si>
    <t>HMBPP</t>
  </si>
  <si>
    <t>Averages (separate)</t>
  </si>
  <si>
    <t>SD (Separate)</t>
  </si>
  <si>
    <t>Average (of sep avgs)</t>
  </si>
  <si>
    <t>SD (of sep avgs)</t>
  </si>
  <si>
    <t>DMAPP/IPP</t>
  </si>
  <si>
    <t>C13-label-15</t>
  </si>
  <si>
    <t>REG_0_2X_1_1</t>
  </si>
  <si>
    <t>REG_0_2X_2_1</t>
  </si>
  <si>
    <t>REG_0_2X_3_1</t>
  </si>
  <si>
    <t>REG_1X_1_1</t>
  </si>
  <si>
    <t>REG_1X_2_1</t>
  </si>
  <si>
    <t>REG_1X_3_1</t>
  </si>
  <si>
    <t>REG_5X_1_1</t>
  </si>
  <si>
    <t>REG_5X_2_1</t>
  </si>
  <si>
    <t>REG_5X_3_1</t>
  </si>
  <si>
    <t>20190823 Experiment MEP method</t>
  </si>
  <si>
    <t>20190822 Experiment MEP method</t>
  </si>
  <si>
    <t>20190823 Experiment Regular method</t>
  </si>
  <si>
    <t>20190822 Experiment Regular method</t>
  </si>
  <si>
    <t>Unreliable peaks for this method</t>
  </si>
  <si>
    <t>No peaks for this method</t>
  </si>
  <si>
    <t>Glyceraldeyde-3-Phosphate</t>
  </si>
  <si>
    <t>Pyruvate</t>
  </si>
  <si>
    <t>REG_EC_1_1</t>
  </si>
  <si>
    <t>REG_EC_2_1</t>
  </si>
  <si>
    <t>REG_EC_3_1</t>
  </si>
  <si>
    <t>Unlabeled</t>
  </si>
  <si>
    <t>Labeled</t>
  </si>
  <si>
    <t>Adjusted Labeled</t>
  </si>
  <si>
    <t>Correction Factor (refer to "Correction Calcs. For EC" sheet to see derivation of value</t>
  </si>
  <si>
    <t>Average</t>
  </si>
  <si>
    <t>SD</t>
  </si>
  <si>
    <t>cMEPP (extracellular)</t>
  </si>
  <si>
    <t>Pyruvate (extracellular)</t>
  </si>
  <si>
    <t>These metabolites were adjusted between experiments</t>
  </si>
  <si>
    <t>NA</t>
  </si>
  <si>
    <t>Rep1</t>
  </si>
  <si>
    <t>Rep2</t>
  </si>
  <si>
    <t>Rep3</t>
  </si>
  <si>
    <t>Exp. Method &amp; Date</t>
  </si>
  <si>
    <t>Unlabeled/Total Signal</t>
  </si>
  <si>
    <t>Extraction OD600s</t>
  </si>
  <si>
    <t>Ri (Labeled:Unlabeled)</t>
  </si>
  <si>
    <t>08/22 Experiment</t>
  </si>
  <si>
    <t>08/23 Experiment</t>
  </si>
  <si>
    <t>g/L * OD (cell dry weight)</t>
  </si>
  <si>
    <t>Ratio of aqueous vol. to CDW (L/g)</t>
  </si>
  <si>
    <t>Total Cellular Volume (F)</t>
  </si>
  <si>
    <t>Extraction Volume (L)</t>
  </si>
  <si>
    <t>F (08/23)</t>
  </si>
  <si>
    <t>F (08/22)</t>
  </si>
  <si>
    <r>
      <t>V</t>
    </r>
    <r>
      <rPr>
        <b/>
        <vertAlign val="subscript"/>
        <sz val="11"/>
        <color theme="1"/>
        <rFont val="Calibri"/>
        <family val="2"/>
        <scheme val="minor"/>
      </rPr>
      <t xml:space="preserve">1 </t>
    </r>
    <r>
      <rPr>
        <b/>
        <sz val="11"/>
        <color theme="1"/>
        <rFont val="Calibri"/>
        <family val="2"/>
        <scheme val="minor"/>
      </rPr>
      <t>(L)</t>
    </r>
  </si>
  <si>
    <t>S (mM)</t>
  </si>
  <si>
    <r>
      <t>(S x V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)/F</t>
    </r>
  </si>
  <si>
    <t>PYR (extracellular)</t>
  </si>
  <si>
    <t>ravg</t>
  </si>
  <si>
    <t>lavg</t>
  </si>
  <si>
    <t>cavg</t>
  </si>
  <si>
    <t>s*v/f</t>
  </si>
  <si>
    <t>zavg</t>
  </si>
  <si>
    <t xml:space="preserve">I = 0.9893^(number of carbons) which represents natural abundance of C12. This was NOT accounted for in the equation. </t>
  </si>
  <si>
    <t>Biological Rep 1</t>
  </si>
  <si>
    <t>Biological Rep 2</t>
  </si>
  <si>
    <t>Biological Rep 3</t>
  </si>
  <si>
    <t>AVG (between methods)</t>
  </si>
  <si>
    <t>AVG (within biol. reps)</t>
  </si>
  <si>
    <t>AVG (across biol. reps)</t>
  </si>
  <si>
    <t>Stdev.S</t>
  </si>
  <si>
    <t>Average for both days</t>
  </si>
  <si>
    <t>Var.S</t>
  </si>
  <si>
    <t>*8/23 experiment was excluded from this calculation because the unlabeled:total ratio was way off.</t>
  </si>
  <si>
    <t>Stdev.P</t>
  </si>
  <si>
    <t>Var.P</t>
  </si>
  <si>
    <t>cMEPP (intracellular)</t>
  </si>
  <si>
    <t>cMEPP (total)</t>
  </si>
  <si>
    <t>PYR (intracellular)</t>
  </si>
  <si>
    <t>PYR (total)</t>
  </si>
  <si>
    <t>1X ONLY</t>
  </si>
  <si>
    <t>Day 1 Experiments</t>
  </si>
  <si>
    <t>Day 2 Experiments</t>
  </si>
  <si>
    <t>95% CONF. INT.</t>
  </si>
  <si>
    <t>Lower Bound</t>
  </si>
  <si>
    <t>Upper Bound</t>
  </si>
  <si>
    <t>Average (mM)</t>
  </si>
  <si>
    <t>AVG (across biol. reps)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</si>
</sst>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Liberation Sans"/>
    </font>
    <font>
      <sz val="1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30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 applyFill="1" applyBorder="1"/>
    <xf numFmtId="0" fontId="1" fillId="3" borderId="9" xfId="0" applyFont="1" applyFill="1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5" xfId="0" applyFill="1" applyBorder="1" applyAlignment="1">
      <alignment wrapText="1"/>
    </xf>
    <xf numFmtId="0" fontId="2" fillId="0" borderId="0" xfId="0" applyFont="1" applyBorder="1"/>
    <xf numFmtId="0" fontId="2" fillId="0" borderId="2" xfId="0" applyFont="1" applyBorder="1"/>
    <xf numFmtId="0" fontId="3" fillId="4" borderId="1" xfId="0" applyFont="1" applyFill="1" applyBorder="1"/>
    <xf numFmtId="0" fontId="1" fillId="5" borderId="1" xfId="0" applyFont="1" applyFill="1" applyBorder="1"/>
    <xf numFmtId="0" fontId="1" fillId="5" borderId="9" xfId="0" applyFont="1" applyFill="1" applyBorder="1"/>
    <xf numFmtId="0" fontId="4" fillId="0" borderId="0" xfId="0" applyFont="1"/>
    <xf numFmtId="0" fontId="2" fillId="0" borderId="0" xfId="0" applyFont="1"/>
    <xf numFmtId="0" fontId="0" fillId="0" borderId="0" xfId="0" applyFill="1" applyBorder="1" applyAlignment="1"/>
    <xf numFmtId="0" fontId="0" fillId="0" borderId="1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4" xfId="0" applyFont="1" applyBorder="1" applyAlignment="1">
      <alignment vertical="center"/>
    </xf>
    <xf numFmtId="0" fontId="1" fillId="0" borderId="6" xfId="0" applyFont="1" applyBorder="1"/>
    <xf numFmtId="0" fontId="0" fillId="0" borderId="2" xfId="0" applyFill="1" applyBorder="1" applyAlignment="1"/>
    <xf numFmtId="0" fontId="7" fillId="0" borderId="7" xfId="0" applyFont="1" applyBorder="1"/>
    <xf numFmtId="0" fontId="2" fillId="0" borderId="7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Fill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NumberFormat="1" applyFont="1"/>
    <xf numFmtId="0" fontId="0" fillId="0" borderId="0" xfId="0" applyFill="1" applyBorder="1"/>
    <xf numFmtId="0" fontId="1" fillId="2" borderId="0" xfId="0" applyFont="1" applyFill="1" applyBorder="1"/>
    <xf numFmtId="0" fontId="3" fillId="4" borderId="0" xfId="0" applyFont="1" applyFill="1" applyBorder="1"/>
    <xf numFmtId="0" fontId="1" fillId="3" borderId="0" xfId="0" applyFont="1" applyFill="1" applyBorder="1"/>
    <xf numFmtId="0" fontId="1" fillId="5" borderId="0" xfId="0" applyFont="1" applyFill="1" applyBorder="1"/>
    <xf numFmtId="0" fontId="7" fillId="0" borderId="0" xfId="0" applyFont="1" applyBorder="1"/>
    <xf numFmtId="0" fontId="1" fillId="0" borderId="1" xfId="0" applyFont="1" applyFill="1" applyBorder="1"/>
    <xf numFmtId="0" fontId="1" fillId="0" borderId="4" xfId="0" applyFont="1" applyFill="1" applyBorder="1"/>
    <xf numFmtId="0" fontId="7" fillId="0" borderId="5" xfId="0" applyFont="1" applyBorder="1"/>
    <xf numFmtId="0" fontId="1" fillId="0" borderId="6" xfId="0" applyFont="1" applyFill="1" applyBorder="1"/>
    <xf numFmtId="14" fontId="0" fillId="0" borderId="7" xfId="0" applyNumberFormat="1" applyBorder="1" applyAlignment="1"/>
    <xf numFmtId="0" fontId="1" fillId="0" borderId="2" xfId="0" applyFont="1" applyFill="1" applyBorder="1"/>
    <xf numFmtId="0" fontId="1" fillId="0" borderId="3" xfId="0" applyFont="1" applyFill="1" applyBorder="1"/>
    <xf numFmtId="11" fontId="0" fillId="0" borderId="5" xfId="0" applyNumberFormat="1" applyBorder="1"/>
    <xf numFmtId="0" fontId="1" fillId="0" borderId="5" xfId="0" applyFont="1" applyFill="1" applyBorder="1"/>
    <xf numFmtId="11" fontId="0" fillId="0" borderId="0" xfId="0" applyNumberFormat="1" applyBorder="1"/>
    <xf numFmtId="11" fontId="9" fillId="0" borderId="0" xfId="0" applyNumberFormat="1" applyFont="1" applyBorder="1"/>
    <xf numFmtId="0" fontId="9" fillId="0" borderId="0" xfId="0" applyFont="1" applyAlignment="1">
      <alignment vertical="center"/>
    </xf>
    <xf numFmtId="0" fontId="0" fillId="0" borderId="5" xfId="0" applyFill="1" applyBorder="1"/>
    <xf numFmtId="11" fontId="0" fillId="0" borderId="8" xfId="0" applyNumberFormat="1" applyBorder="1"/>
    <xf numFmtId="0" fontId="0" fillId="0" borderId="0" xfId="0" applyBorder="1" applyAlignment="1"/>
    <xf numFmtId="164" fontId="0" fillId="0" borderId="0" xfId="0" applyNumberFormat="1" applyBorder="1"/>
    <xf numFmtId="0" fontId="0" fillId="0" borderId="0" xfId="0" applyAlignment="1">
      <alignment horizontal="center"/>
    </xf>
    <xf numFmtId="165" fontId="0" fillId="0" borderId="4" xfId="0" applyNumberFormat="1" applyBorder="1"/>
    <xf numFmtId="165" fontId="0" fillId="0" borderId="0" xfId="0" applyNumberFormat="1"/>
    <xf numFmtId="165" fontId="0" fillId="0" borderId="5" xfId="0" applyNumberFormat="1" applyBorder="1"/>
    <xf numFmtId="11" fontId="0" fillId="0" borderId="0" xfId="0" applyNumberFormat="1"/>
    <xf numFmtId="165" fontId="2" fillId="0" borderId="0" xfId="0" applyNumberFormat="1" applyFont="1"/>
    <xf numFmtId="165" fontId="2" fillId="0" borderId="5" xfId="0" applyNumberFormat="1" applyFon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1" fontId="2" fillId="0" borderId="5" xfId="0" applyNumberFormat="1" applyFont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4" borderId="0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5" borderId="6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0" fontId="0" fillId="5" borderId="8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0" fillId="3" borderId="0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0" xfId="0" applyFill="1" applyBorder="1" applyAlignment="1">
      <alignment horizontal="center" vertical="top"/>
    </xf>
    <xf numFmtId="0" fontId="0" fillId="4" borderId="5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0" fontId="4" fillId="0" borderId="3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 wrapText="1"/>
    </xf>
    <xf numFmtId="0" fontId="4" fillId="0" borderId="8" xfId="0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</cellXfs>
  <cellStyles count="2">
    <cellStyle name="Normal" xfId="0" builtinId="0"/>
    <cellStyle name="Normal 2" xfId="1" xr:uid="{75943C46-0463-447B-8C58-F14B07536430}"/>
  </cellStyles>
  <dxfs count="0"/>
  <tableStyles count="0" defaultTableStyle="TableStyleMedium2" defaultPivotStyle="PivotStyleLight16"/>
  <colors>
    <mruColors>
      <color rgb="FFFF5050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352425</xdr:colOff>
      <xdr:row>5</xdr:row>
      <xdr:rowOff>185737</xdr:rowOff>
    </xdr:from>
    <xdr:ext cx="5181600" cy="10148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C663F1C-94EF-4A55-BD38-74BF0A137DE8}"/>
                </a:ext>
              </a:extLst>
            </xdr:cNvPr>
            <xdr:cNvSpPr txBox="1"/>
          </xdr:nvSpPr>
          <xdr:spPr>
            <a:xfrm>
              <a:off x="11506200" y="1147762"/>
              <a:ext cx="5181600" cy="10148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28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2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p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𝑛𝑜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. 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𝑜𝑓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𝑐𝑎𝑟𝑏𝑜𝑛𝑠</m:t>
                        </m:r>
                      </m:sup>
                    </m:sSup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×(</m:t>
                    </m:r>
                    <m:f>
                      <m:fPr>
                        <m:ctrlP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𝑙𝑎𝑏𝑒𝑙𝑒𝑑</m:t>
                            </m:r>
                          </m:sup>
                        </m:sSubSup>
                      </m:num>
                      <m:den>
                        <m:sSubSup>
                          <m:sSubSupPr>
                            <m:ctrlP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𝑢𝑛𝑙𝑎𝑏𝑒𝑙𝑒𝑑</m:t>
                            </m:r>
                          </m:sup>
                        </m:sSubSup>
                      </m:den>
                    </m:f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28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C663F1C-94EF-4A55-BD38-74BF0A137DE8}"/>
                </a:ext>
              </a:extLst>
            </xdr:cNvPr>
            <xdr:cNvSpPr txBox="1"/>
          </xdr:nvSpPr>
          <xdr:spPr>
            <a:xfrm>
              <a:off x="11506200" y="1147762"/>
              <a:ext cx="5181600" cy="10148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2800" b="0" i="0">
                  <a:latin typeface="Cambria Math" panose="02040503050406030204" pitchFamily="18" charset="0"/>
                </a:rPr>
                <a:t>𝑅_𝑖=𝐼^(𝑛𝑜. 𝑜𝑓 𝑐𝑎𝑟𝑏𝑜𝑛𝑠)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×((𝑃_𝑖^𝑙𝑎𝑏𝑒𝑙𝑒𝑑)/(𝑃_𝑖^𝑢𝑛𝑙𝑎𝑏𝑒𝑙𝑒𝑑 ))</a:t>
              </a:r>
              <a:endParaRPr lang="en-US" sz="28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209550</xdr:colOff>
      <xdr:row>6</xdr:row>
      <xdr:rowOff>128587</xdr:rowOff>
    </xdr:from>
    <xdr:ext cx="4987712" cy="7661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2484571-9818-48EA-8914-60D61E4D5450}"/>
                </a:ext>
              </a:extLst>
            </xdr:cNvPr>
            <xdr:cNvSpPr txBox="1"/>
          </xdr:nvSpPr>
          <xdr:spPr>
            <a:xfrm>
              <a:off x="11401425" y="1271587"/>
              <a:ext cx="4987712" cy="7661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𝑑𝑟𝑦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𝑤𝑒𝑖𝑔h𝑡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𝑣𝑜𝑙𝑢𝑚𝑒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/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𝑐𝑒𝑙𝑙</m:t>
                        </m:r>
                      </m:num>
                      <m:den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𝑑𝑟𝑦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𝑤𝑒𝑖𝑔h𝑡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𝑐𝑒𝑙𝑙</m:t>
                        </m:r>
                      </m:den>
                    </m:f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2484571-9818-48EA-8914-60D61E4D5450}"/>
                </a:ext>
              </a:extLst>
            </xdr:cNvPr>
            <xdr:cNvSpPr txBox="1"/>
          </xdr:nvSpPr>
          <xdr:spPr>
            <a:xfrm>
              <a:off x="11401425" y="1271587"/>
              <a:ext cx="4987712" cy="7661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400" b="0" i="0">
                  <a:latin typeface="Cambria Math" panose="02040503050406030204" pitchFamily="18" charset="0"/>
                </a:rPr>
                <a:t>𝐹=(𝑡𝑜𝑡𝑎𝑙 𝑑𝑟𝑦 𝑤𝑒𝑖𝑔ℎ𝑡</a:t>
              </a:r>
              <a:r>
                <a:rPr lang="en-U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×𝑣𝑜𝑙𝑢𝑚𝑒/𝑐𝑒𝑙𝑙)/(</a:t>
              </a:r>
              <a:r>
                <a:rPr lang="en-US" sz="2400" b="0" i="0">
                  <a:latin typeface="Cambria Math" panose="02040503050406030204" pitchFamily="18" charset="0"/>
                </a:rPr>
                <a:t>𝑑𝑟𝑦 𝑤𝑒𝑖𝑔ℎ𝑡/𝑐𝑒𝑙𝑙)</a:t>
              </a:r>
              <a:endParaRPr lang="en-US" sz="2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DADD-677C-4FBB-8193-286649638FDF}">
  <dimension ref="A1:J19"/>
  <sheetViews>
    <sheetView workbookViewId="0">
      <selection sqref="A1:D1"/>
    </sheetView>
  </sheetViews>
  <sheetFormatPr defaultRowHeight="15"/>
  <cols>
    <col min="1" max="1" width="10.85546875" bestFit="1" customWidth="1"/>
    <col min="2" max="4" width="12" bestFit="1" customWidth="1"/>
    <col min="7" max="7" width="11" bestFit="1" customWidth="1"/>
    <col min="8" max="10" width="12" bestFit="1" customWidth="1"/>
  </cols>
  <sheetData>
    <row r="1" spans="1:10">
      <c r="A1" s="79" t="s">
        <v>37</v>
      </c>
      <c r="B1" s="79"/>
      <c r="C1" s="79"/>
      <c r="D1" s="79"/>
      <c r="G1" s="79" t="s">
        <v>36</v>
      </c>
      <c r="H1" s="79"/>
      <c r="I1" s="79"/>
      <c r="J1" s="79"/>
    </row>
    <row r="2" spans="1:10">
      <c r="A2" s="1" t="s">
        <v>18</v>
      </c>
      <c r="B2" s="1" t="s">
        <v>19</v>
      </c>
      <c r="C2" s="1" t="s">
        <v>20</v>
      </c>
      <c r="D2" s="1" t="s">
        <v>21</v>
      </c>
      <c r="G2" s="1" t="s">
        <v>18</v>
      </c>
      <c r="H2" s="1" t="s">
        <v>19</v>
      </c>
      <c r="I2" s="1" t="s">
        <v>20</v>
      </c>
      <c r="J2" s="1" t="s">
        <v>21</v>
      </c>
    </row>
    <row r="3" spans="1:10">
      <c r="A3" s="1" t="s">
        <v>0</v>
      </c>
      <c r="B3">
        <v>2.7411167512690355E-4</v>
      </c>
      <c r="C3">
        <v>1.3705583756345177E-3</v>
      </c>
      <c r="D3">
        <v>6.852791878172588E-3</v>
      </c>
      <c r="G3" s="1" t="s">
        <v>0</v>
      </c>
      <c r="H3">
        <v>2.7411167512690355E-4</v>
      </c>
      <c r="I3">
        <v>1.3705583756345177E-3</v>
      </c>
      <c r="J3">
        <v>6.852791878172588E-3</v>
      </c>
    </row>
    <row r="4" spans="1:10">
      <c r="A4" s="1" t="s">
        <v>22</v>
      </c>
      <c r="B4">
        <v>1.1849744319274097E-5</v>
      </c>
      <c r="C4">
        <v>5.9248721596370485E-5</v>
      </c>
      <c r="D4">
        <v>2.9624360798185243E-4</v>
      </c>
      <c r="G4" s="1" t="s">
        <v>22</v>
      </c>
      <c r="H4">
        <v>1.1849744319274097E-5</v>
      </c>
      <c r="I4">
        <v>5.9248721596370485E-5</v>
      </c>
      <c r="J4">
        <v>2.9624360798185243E-4</v>
      </c>
    </row>
    <row r="5" spans="1:10">
      <c r="A5" s="1" t="s">
        <v>23</v>
      </c>
      <c r="B5">
        <v>1.1851345025027909E-5</v>
      </c>
      <c r="C5">
        <v>5.9256725125139536E-5</v>
      </c>
      <c r="D5">
        <v>2.9628362562569767E-4</v>
      </c>
      <c r="G5" s="1" t="s">
        <v>23</v>
      </c>
      <c r="H5">
        <v>1.1851345025027909E-5</v>
      </c>
      <c r="I5">
        <v>5.9256725125139536E-5</v>
      </c>
      <c r="J5">
        <v>2.9628362562569767E-4</v>
      </c>
    </row>
    <row r="6" spans="1:10">
      <c r="A6" s="1" t="s">
        <v>49</v>
      </c>
      <c r="B6">
        <v>3.5239468204388914E-5</v>
      </c>
      <c r="C6">
        <v>1.7619734102194455E-4</v>
      </c>
      <c r="D6">
        <v>8.8098670510972272E-4</v>
      </c>
      <c r="G6" s="1" t="s">
        <v>49</v>
      </c>
      <c r="H6">
        <v>3.5239468204388914E-5</v>
      </c>
      <c r="I6">
        <v>1.7619734102194455E-4</v>
      </c>
      <c r="J6">
        <v>8.8098670510972272E-4</v>
      </c>
    </row>
    <row r="7" spans="1:10">
      <c r="A7" s="1" t="s">
        <v>25</v>
      </c>
      <c r="B7">
        <v>4.0168593141324472E-6</v>
      </c>
      <c r="C7">
        <v>2.0084296570662233E-5</v>
      </c>
      <c r="D7">
        <v>1.0042148285331116E-4</v>
      </c>
      <c r="G7" s="1" t="s">
        <v>25</v>
      </c>
      <c r="H7">
        <v>4.0168593141324472E-6</v>
      </c>
      <c r="I7">
        <v>2.0084296570662233E-5</v>
      </c>
      <c r="J7">
        <v>1.0042148285331116E-4</v>
      </c>
    </row>
    <row r="8" spans="1:10">
      <c r="A8" s="1" t="s">
        <v>26</v>
      </c>
      <c r="B8">
        <v>2.2343360926038096E-5</v>
      </c>
      <c r="C8">
        <v>1.1171680463019048E-4</v>
      </c>
      <c r="D8">
        <v>5.5858402315095239E-4</v>
      </c>
      <c r="G8" s="28" t="s">
        <v>26</v>
      </c>
      <c r="H8">
        <v>1.118514031899859E-5</v>
      </c>
      <c r="I8">
        <v>5.5925701594992949E-5</v>
      </c>
      <c r="J8">
        <v>2.7962850797496474E-4</v>
      </c>
    </row>
    <row r="9" spans="1:10">
      <c r="A9" s="1" t="s">
        <v>27</v>
      </c>
      <c r="B9">
        <v>2.2343360926038096E-5</v>
      </c>
      <c r="C9">
        <v>1.1171680463019048E-4</v>
      </c>
      <c r="D9">
        <v>5.5858402315095239E-4</v>
      </c>
      <c r="G9" s="28" t="s">
        <v>27</v>
      </c>
      <c r="H9">
        <v>1.118514031899859E-5</v>
      </c>
      <c r="I9">
        <v>5.5925701594992949E-5</v>
      </c>
      <c r="J9">
        <v>2.7962850797496474E-4</v>
      </c>
    </row>
    <row r="10" spans="1:10">
      <c r="A10" s="1" t="s">
        <v>28</v>
      </c>
      <c r="B10">
        <v>3.5477689570216265E-6</v>
      </c>
      <c r="C10">
        <v>1.7738844785108131E-5</v>
      </c>
      <c r="D10">
        <v>8.8694223925540655E-5</v>
      </c>
      <c r="G10" s="28" t="s">
        <v>28</v>
      </c>
      <c r="H10">
        <v>1.7738844785108131E-4</v>
      </c>
      <c r="I10">
        <v>8.8694223925540644E-4</v>
      </c>
      <c r="J10">
        <v>4.434711196277032E-3</v>
      </c>
    </row>
    <row r="11" spans="1:10">
      <c r="A11" s="1" t="s">
        <v>29</v>
      </c>
      <c r="B11">
        <v>1.0508849557522125E-5</v>
      </c>
      <c r="C11">
        <v>5.2544247787610617E-5</v>
      </c>
      <c r="D11">
        <v>2.6272123893805309E-4</v>
      </c>
      <c r="G11" s="1" t="s">
        <v>29</v>
      </c>
      <c r="H11">
        <v>1.0508849557522125E-5</v>
      </c>
      <c r="I11">
        <v>5.2544247787610617E-5</v>
      </c>
      <c r="J11">
        <v>2.6272123893805309E-4</v>
      </c>
    </row>
    <row r="12" spans="1:10">
      <c r="A12" s="1" t="s">
        <v>30</v>
      </c>
      <c r="B12">
        <v>4.762083970363401E-4</v>
      </c>
      <c r="C12">
        <v>2.3810419851817005E-3</v>
      </c>
      <c r="D12">
        <v>1.1905209925908503E-2</v>
      </c>
      <c r="G12" s="1" t="s">
        <v>30</v>
      </c>
      <c r="H12">
        <v>4.762083970363401E-4</v>
      </c>
      <c r="I12">
        <v>2.3810419851817005E-3</v>
      </c>
      <c r="J12">
        <v>1.1905209925908503E-2</v>
      </c>
    </row>
    <row r="13" spans="1:10">
      <c r="A13" s="1" t="s">
        <v>31</v>
      </c>
      <c r="B13">
        <v>4.4670593569088E-3</v>
      </c>
      <c r="C13">
        <v>2.2335296784544E-2</v>
      </c>
      <c r="D13">
        <v>0.11167648392272</v>
      </c>
      <c r="G13" s="1" t="s">
        <v>31</v>
      </c>
      <c r="H13">
        <v>4.4670593569088E-3</v>
      </c>
      <c r="I13">
        <v>2.2335296784544E-2</v>
      </c>
      <c r="J13">
        <v>0.11167648392272</v>
      </c>
    </row>
    <row r="14" spans="1:10">
      <c r="A14" s="1" t="s">
        <v>35</v>
      </c>
      <c r="B14">
        <v>4.1736227045075126E-4</v>
      </c>
      <c r="C14">
        <v>2.0868113522537562E-3</v>
      </c>
      <c r="D14">
        <v>1.0434056761268781E-2</v>
      </c>
      <c r="G14" s="1" t="s">
        <v>35</v>
      </c>
      <c r="H14">
        <v>4.1736227045075126E-4</v>
      </c>
      <c r="I14">
        <v>2.0868113522537562E-3</v>
      </c>
      <c r="J14">
        <v>1.0434056761268781E-2</v>
      </c>
    </row>
    <row r="15" spans="1:10">
      <c r="A15" s="1" t="s">
        <v>32</v>
      </c>
      <c r="B15">
        <v>1.9999701760000001E-5</v>
      </c>
      <c r="C15">
        <v>9.9998508799999989E-5</v>
      </c>
      <c r="D15">
        <v>4.9999254399999999E-4</v>
      </c>
      <c r="G15" s="1" t="s">
        <v>32</v>
      </c>
      <c r="H15">
        <v>1.9999701760000001E-5</v>
      </c>
      <c r="I15">
        <v>9.9998508799999989E-5</v>
      </c>
      <c r="J15">
        <v>4.9999254399999999E-4</v>
      </c>
    </row>
    <row r="16" spans="1:10">
      <c r="A16" s="1" t="s">
        <v>33</v>
      </c>
      <c r="B16">
        <v>8.1269150917416013E-4</v>
      </c>
      <c r="C16">
        <v>4.0634575458708003E-3</v>
      </c>
      <c r="D16">
        <v>2.0317287729354001E-2</v>
      </c>
      <c r="G16" s="1" t="s">
        <v>33</v>
      </c>
      <c r="H16">
        <v>8.1269150917416013E-4</v>
      </c>
      <c r="I16">
        <v>4.0634575458708003E-3</v>
      </c>
      <c r="J16">
        <v>2.0317287729354001E-2</v>
      </c>
    </row>
    <row r="17" spans="1:10">
      <c r="A17" s="1" t="s">
        <v>34</v>
      </c>
      <c r="B17">
        <v>2.532140586768E-4</v>
      </c>
      <c r="C17">
        <v>1.266070293384E-3</v>
      </c>
      <c r="D17">
        <v>6.3303514669200006E-3</v>
      </c>
      <c r="G17" s="1" t="s">
        <v>34</v>
      </c>
      <c r="H17">
        <v>2.532140586768E-4</v>
      </c>
      <c r="I17">
        <v>1.266070293384E-3</v>
      </c>
      <c r="J17">
        <v>6.3303514669200006E-3</v>
      </c>
    </row>
    <row r="19" spans="1:10">
      <c r="G19" s="29" t="s">
        <v>85</v>
      </c>
    </row>
  </sheetData>
  <mergeCells count="2">
    <mergeCell ref="A1:D1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423D-EA2A-4A1F-8734-4770C91159C9}">
  <dimension ref="A1:Y851"/>
  <sheetViews>
    <sheetView topLeftCell="A4" zoomScale="90" zoomScaleNormal="90" workbookViewId="0">
      <selection activeCell="C20" sqref="C20"/>
    </sheetView>
  </sheetViews>
  <sheetFormatPr defaultRowHeight="15"/>
  <cols>
    <col min="1" max="1" width="26.28515625" bestFit="1" customWidth="1"/>
    <col min="2" max="2" width="17" bestFit="1" customWidth="1"/>
    <col min="3" max="4" width="17.5703125" bestFit="1" customWidth="1"/>
    <col min="5" max="5" width="14.7109375" bestFit="1" customWidth="1"/>
    <col min="6" max="7" width="14.85546875" bestFit="1" customWidth="1"/>
    <col min="8" max="8" width="14.7109375" bestFit="1" customWidth="1"/>
    <col min="9" max="10" width="14.85546875" bestFit="1" customWidth="1"/>
    <col min="11" max="11" width="11" style="9" bestFit="1" customWidth="1"/>
    <col min="12" max="13" width="9.140625" style="5"/>
    <col min="14" max="14" width="9.140625" style="6"/>
    <col min="15" max="15" width="11" customWidth="1"/>
    <col min="16" max="16" width="13" bestFit="1" customWidth="1"/>
    <col min="17" max="17" width="13" customWidth="1"/>
    <col min="18" max="21" width="13" bestFit="1" customWidth="1"/>
  </cols>
  <sheetData>
    <row r="1" spans="1:25">
      <c r="A1" s="88" t="s">
        <v>66</v>
      </c>
      <c r="B1" s="88"/>
      <c r="C1" s="5"/>
      <c r="K1" s="31"/>
      <c r="L1" s="12"/>
      <c r="M1" s="12"/>
      <c r="N1" s="13"/>
      <c r="O1" s="102" t="s">
        <v>66</v>
      </c>
      <c r="P1" s="103"/>
      <c r="Q1" s="104"/>
    </row>
    <row r="2" spans="1:25">
      <c r="A2" s="87" t="s">
        <v>67</v>
      </c>
      <c r="B2" s="87"/>
      <c r="C2" s="5"/>
      <c r="O2" s="96" t="s">
        <v>68</v>
      </c>
      <c r="P2" s="97"/>
      <c r="Q2" s="98"/>
    </row>
    <row r="3" spans="1:25">
      <c r="A3" s="90" t="s">
        <v>68</v>
      </c>
      <c r="B3" s="90"/>
      <c r="C3" s="5"/>
      <c r="O3" s="99" t="s">
        <v>67</v>
      </c>
      <c r="P3" s="100"/>
      <c r="Q3" s="101"/>
    </row>
    <row r="4" spans="1:25" ht="15.75" thickBot="1">
      <c r="A4" s="89" t="s">
        <v>69</v>
      </c>
      <c r="B4" s="89"/>
      <c r="C4" s="5"/>
      <c r="O4" s="93" t="s">
        <v>69</v>
      </c>
      <c r="P4" s="94"/>
      <c r="Q4" s="95"/>
    </row>
    <row r="5" spans="1:25" ht="15.75" thickBot="1"/>
    <row r="6" spans="1:25" ht="15.75" thickBot="1">
      <c r="A6" s="14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3" t="s">
        <v>9</v>
      </c>
      <c r="K6" s="80" t="s">
        <v>39</v>
      </c>
      <c r="L6" s="81"/>
      <c r="M6" s="81"/>
      <c r="N6" s="82"/>
      <c r="O6" s="105" t="s">
        <v>91</v>
      </c>
      <c r="P6" s="106"/>
      <c r="Q6" s="106"/>
      <c r="R6" s="106"/>
      <c r="S6" s="106"/>
      <c r="T6" s="106"/>
      <c r="U6" s="106"/>
      <c r="V6" s="106"/>
      <c r="W6" s="106"/>
      <c r="X6" s="106"/>
      <c r="Y6" s="107"/>
    </row>
    <row r="7" spans="1:25" ht="15.75" customHeight="1" thickBot="1">
      <c r="A7" s="9" t="s">
        <v>10</v>
      </c>
      <c r="B7" s="61">
        <v>3869248</v>
      </c>
      <c r="C7" s="61">
        <v>4241572.5</v>
      </c>
      <c r="D7" s="61">
        <v>4298409</v>
      </c>
      <c r="E7" s="61">
        <v>16071940</v>
      </c>
      <c r="F7" s="61">
        <v>16527732</v>
      </c>
      <c r="G7" s="61">
        <v>18302438</v>
      </c>
      <c r="H7" s="61">
        <v>64121264</v>
      </c>
      <c r="I7" s="61">
        <v>71409480</v>
      </c>
      <c r="J7" s="59">
        <v>68870560</v>
      </c>
      <c r="K7" s="2" t="s">
        <v>18</v>
      </c>
      <c r="L7" s="3" t="s">
        <v>19</v>
      </c>
      <c r="M7" s="3" t="s">
        <v>20</v>
      </c>
      <c r="N7" s="4" t="s">
        <v>21</v>
      </c>
      <c r="O7" s="108" t="s">
        <v>18</v>
      </c>
      <c r="P7" s="109" t="s">
        <v>90</v>
      </c>
      <c r="Q7" s="111" t="s">
        <v>19</v>
      </c>
      <c r="R7" s="112"/>
      <c r="S7" s="113"/>
      <c r="T7" s="111" t="s">
        <v>20</v>
      </c>
      <c r="U7" s="112"/>
      <c r="V7" s="113"/>
      <c r="W7" s="111" t="s">
        <v>21</v>
      </c>
      <c r="X7" s="112"/>
      <c r="Y7" s="113"/>
    </row>
    <row r="8" spans="1:25" ht="15.75" thickBot="1">
      <c r="A8" s="9" t="s">
        <v>11</v>
      </c>
      <c r="B8" s="61">
        <v>201457.08</v>
      </c>
      <c r="C8" s="61">
        <v>225355.45</v>
      </c>
      <c r="D8" s="61">
        <v>244166.08</v>
      </c>
      <c r="E8" s="61">
        <v>888458.75</v>
      </c>
      <c r="F8" s="61">
        <v>909608</v>
      </c>
      <c r="G8" s="61">
        <v>983626.25</v>
      </c>
      <c r="H8" s="61">
        <v>3571890.25</v>
      </c>
      <c r="I8" s="61">
        <v>3918675.25</v>
      </c>
      <c r="J8" s="59">
        <v>3826657.25</v>
      </c>
      <c r="K8" s="2" t="s">
        <v>0</v>
      </c>
      <c r="L8" s="5">
        <v>2.7411167512690355E-4</v>
      </c>
      <c r="M8" s="5">
        <v>1.3705583756345177E-3</v>
      </c>
      <c r="N8" s="6">
        <v>6.852791878172588E-3</v>
      </c>
      <c r="O8" s="92"/>
      <c r="P8" s="110"/>
      <c r="Q8" s="32" t="s">
        <v>87</v>
      </c>
      <c r="R8" s="33" t="s">
        <v>88</v>
      </c>
      <c r="S8" s="33" t="s">
        <v>89</v>
      </c>
      <c r="T8" s="33" t="s">
        <v>87</v>
      </c>
      <c r="U8" s="33" t="s">
        <v>88</v>
      </c>
      <c r="V8" s="33" t="s">
        <v>89</v>
      </c>
      <c r="W8" s="33" t="s">
        <v>87</v>
      </c>
      <c r="X8" s="33" t="s">
        <v>88</v>
      </c>
      <c r="Y8" s="34" t="s">
        <v>89</v>
      </c>
    </row>
    <row r="9" spans="1:25" ht="15.75" thickBot="1">
      <c r="A9" s="9" t="s">
        <v>12</v>
      </c>
      <c r="B9" s="61">
        <v>991.93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59">
        <v>0</v>
      </c>
      <c r="K9" s="2"/>
      <c r="O9" s="91" t="s">
        <v>0</v>
      </c>
      <c r="P9" s="14"/>
      <c r="Q9" s="12">
        <v>0.35176462720625101</v>
      </c>
      <c r="R9" s="12">
        <v>0.34796983908010387</v>
      </c>
      <c r="S9" s="12">
        <v>0.35223857542853315</v>
      </c>
      <c r="T9" s="12">
        <v>0.72753767145891357</v>
      </c>
      <c r="U9" s="12">
        <v>0.70404211736608047</v>
      </c>
      <c r="V9" s="12">
        <v>0.71055802138373358</v>
      </c>
      <c r="W9" s="12">
        <v>0.93258618464468956</v>
      </c>
      <c r="X9" s="12">
        <v>0.92875051786537843</v>
      </c>
      <c r="Y9" s="13">
        <v>0.92744953236806127</v>
      </c>
    </row>
    <row r="10" spans="1:25" ht="15.75" thickBot="1">
      <c r="A10" s="9" t="s">
        <v>13</v>
      </c>
      <c r="B10" s="61">
        <v>5829.82</v>
      </c>
      <c r="C10" s="61">
        <v>6413.99</v>
      </c>
      <c r="D10" s="61">
        <v>3874.18</v>
      </c>
      <c r="E10" s="61">
        <v>1960.91</v>
      </c>
      <c r="F10" s="61">
        <v>1911.04</v>
      </c>
      <c r="G10" s="61">
        <v>0</v>
      </c>
      <c r="H10" s="61">
        <v>0</v>
      </c>
      <c r="I10" s="61">
        <v>0</v>
      </c>
      <c r="J10" s="59">
        <v>0</v>
      </c>
      <c r="K10" s="2"/>
      <c r="O10" s="91"/>
      <c r="P10" s="15"/>
      <c r="Q10" s="5">
        <v>0.35455852061027149</v>
      </c>
      <c r="R10" s="5">
        <v>0.35529141787305757</v>
      </c>
      <c r="S10" s="5">
        <v>0.35215884408783621</v>
      </c>
      <c r="T10" s="5">
        <v>0.74789709476549227</v>
      </c>
      <c r="U10" s="5">
        <v>0.72584917748658906</v>
      </c>
      <c r="V10" s="5">
        <v>0.72265884855518669</v>
      </c>
      <c r="W10" s="5">
        <v>0.93756578707819982</v>
      </c>
      <c r="X10" s="5">
        <v>0.93754459303910964</v>
      </c>
      <c r="Y10" s="6">
        <v>0.933180744347194</v>
      </c>
    </row>
    <row r="11" spans="1:25" ht="15.75" thickBot="1">
      <c r="A11" s="9" t="s">
        <v>14</v>
      </c>
      <c r="B11" s="61">
        <v>302822.28000000003</v>
      </c>
      <c r="C11" s="61">
        <v>338840</v>
      </c>
      <c r="D11" s="61">
        <v>345222.84</v>
      </c>
      <c r="E11" s="61">
        <v>246120.58</v>
      </c>
      <c r="F11" s="61">
        <v>297817.59000000003</v>
      </c>
      <c r="G11" s="61">
        <v>324383.78000000003</v>
      </c>
      <c r="H11" s="61">
        <v>192579.48</v>
      </c>
      <c r="I11" s="61">
        <v>220320.25</v>
      </c>
      <c r="J11" s="59">
        <v>227186.88</v>
      </c>
      <c r="K11" s="2"/>
      <c r="O11" s="91"/>
      <c r="P11" s="25"/>
      <c r="Q11" s="5">
        <v>0.2572212269001381</v>
      </c>
      <c r="R11" s="5">
        <v>0.24981166735517221</v>
      </c>
      <c r="S11" s="5">
        <v>0.30343699215269626</v>
      </c>
      <c r="T11" s="5"/>
      <c r="U11" s="5"/>
      <c r="V11" s="5"/>
      <c r="W11" s="5">
        <v>0.86810436011306424</v>
      </c>
      <c r="X11" s="5">
        <v>0.86280629376567652</v>
      </c>
      <c r="Y11" s="6">
        <v>0.85477179508184853</v>
      </c>
    </row>
    <row r="12" spans="1:25" ht="15.75" thickBot="1">
      <c r="A12" s="9" t="s">
        <v>15</v>
      </c>
      <c r="B12" s="61">
        <v>7191892</v>
      </c>
      <c r="C12" s="61">
        <v>8024930.5</v>
      </c>
      <c r="D12" s="61">
        <v>8004630</v>
      </c>
      <c r="E12" s="61">
        <v>6103575.5</v>
      </c>
      <c r="F12" s="61">
        <v>7030398.5</v>
      </c>
      <c r="G12" s="61">
        <v>7531690.5</v>
      </c>
      <c r="H12" s="61">
        <v>4700752.5</v>
      </c>
      <c r="I12" s="61">
        <v>5558510.5</v>
      </c>
      <c r="J12" s="59">
        <v>5459610</v>
      </c>
      <c r="K12" s="2"/>
      <c r="O12" s="91"/>
      <c r="P12" s="27"/>
      <c r="Q12" s="7">
        <v>0.39987929667478189</v>
      </c>
      <c r="R12" s="7">
        <v>0.41422362546465896</v>
      </c>
      <c r="S12" s="7">
        <v>0.474215724483882</v>
      </c>
      <c r="T12" s="7"/>
      <c r="U12" s="7"/>
      <c r="V12" s="7"/>
      <c r="W12" s="7">
        <v>0.93657219055914231</v>
      </c>
      <c r="X12" s="7">
        <v>0.94191685885426679</v>
      </c>
      <c r="Y12" s="8">
        <v>0.9379101357875973</v>
      </c>
    </row>
    <row r="13" spans="1:25" ht="15.75" thickBot="1">
      <c r="A13" s="9"/>
      <c r="B13" s="5"/>
      <c r="C13" s="5"/>
      <c r="D13" s="5"/>
      <c r="E13" s="5"/>
      <c r="F13" s="5"/>
      <c r="G13" s="5"/>
      <c r="H13" s="5"/>
      <c r="I13" s="5"/>
      <c r="J13" s="6"/>
      <c r="K13" s="2"/>
      <c r="O13" s="35"/>
      <c r="P13" s="5"/>
      <c r="Q13" s="5"/>
      <c r="R13" s="5"/>
      <c r="S13" s="5"/>
      <c r="T13" s="5"/>
      <c r="U13" s="5"/>
      <c r="V13" s="5"/>
      <c r="W13" s="5"/>
      <c r="X13" s="5"/>
      <c r="Y13" s="6"/>
    </row>
    <row r="14" spans="1:25" ht="15.75" thickBot="1">
      <c r="A14" s="9" t="s">
        <v>16</v>
      </c>
      <c r="B14" s="5">
        <f>SUM(B7:B8)/SUM(B7:B12)</f>
        <v>0.35176462720625085</v>
      </c>
      <c r="C14" s="5">
        <f t="shared" ref="C14:J14" si="0">SUM(C7:C8)/SUM(C7:C12)</f>
        <v>0.34796983908010387</v>
      </c>
      <c r="D14" s="5">
        <f t="shared" si="0"/>
        <v>0.35223857542853315</v>
      </c>
      <c r="E14" s="5">
        <f t="shared" si="0"/>
        <v>0.72753767145891357</v>
      </c>
      <c r="F14" s="5">
        <f t="shared" si="0"/>
        <v>0.70404211736608047</v>
      </c>
      <c r="G14" s="5">
        <f t="shared" si="0"/>
        <v>0.71055802138373358</v>
      </c>
      <c r="H14" s="5">
        <f t="shared" si="0"/>
        <v>0.93258618464468956</v>
      </c>
      <c r="I14" s="5">
        <f t="shared" si="0"/>
        <v>0.92875051786537843</v>
      </c>
      <c r="J14" s="6">
        <f t="shared" si="0"/>
        <v>0.92744953236806127</v>
      </c>
      <c r="K14" s="2"/>
      <c r="O14" s="91" t="s">
        <v>22</v>
      </c>
      <c r="P14" s="14"/>
      <c r="Q14" s="12">
        <v>0.24685159136631762</v>
      </c>
      <c r="R14" s="12">
        <v>0.2158994670047949</v>
      </c>
      <c r="S14" s="12">
        <v>0.20891002905946299</v>
      </c>
      <c r="T14" s="12">
        <v>0.62881949410506799</v>
      </c>
      <c r="U14" s="12">
        <v>0.604210107064166</v>
      </c>
      <c r="V14" s="12">
        <v>0.59895179401035148</v>
      </c>
      <c r="W14" s="12">
        <v>0.88868961005566582</v>
      </c>
      <c r="X14" s="12">
        <v>0.882677467408293</v>
      </c>
      <c r="Y14" s="13">
        <v>0.87989301165883838</v>
      </c>
    </row>
    <row r="15" spans="1:25" ht="15.75" thickBot="1">
      <c r="A15" s="9" t="s">
        <v>17</v>
      </c>
      <c r="B15" s="61">
        <f>(SUM(B9:B12))/(SUM(B7:B8))</f>
        <v>1.8428100003746772</v>
      </c>
      <c r="C15" s="5">
        <f t="shared" ref="C15:J15" si="1">(SUM(C9:C12))/(SUM(C7:C8))</f>
        <v>1.8738122897191569</v>
      </c>
      <c r="D15" s="5">
        <f t="shared" si="1"/>
        <v>1.8389849089737003</v>
      </c>
      <c r="E15" s="5">
        <f t="shared" si="1"/>
        <v>0.37449927231221497</v>
      </c>
      <c r="F15" s="5">
        <f t="shared" si="1"/>
        <v>0.42036957070287095</v>
      </c>
      <c r="G15" s="5">
        <f t="shared" si="1"/>
        <v>0.4073446079077539</v>
      </c>
      <c r="H15" s="5">
        <f t="shared" si="1"/>
        <v>7.2286954777262435E-2</v>
      </c>
      <c r="I15" s="5">
        <f t="shared" si="1"/>
        <v>7.6715415780741564E-2</v>
      </c>
      <c r="J15" s="6">
        <f t="shared" si="1"/>
        <v>7.8225784907881055E-2</v>
      </c>
      <c r="K15" s="2"/>
      <c r="O15" s="91"/>
      <c r="P15" s="15"/>
      <c r="Q15" s="5">
        <v>0.2341485968954797</v>
      </c>
      <c r="R15" s="5">
        <v>0.19305379994740798</v>
      </c>
      <c r="S15" s="5">
        <v>0.21270768772437382</v>
      </c>
      <c r="T15" s="5">
        <v>0.62765512573757332</v>
      </c>
      <c r="U15" s="5">
        <v>0.56969565784307241</v>
      </c>
      <c r="V15" s="5">
        <v>0.61924411436037408</v>
      </c>
      <c r="W15" s="5">
        <v>0.89250366149196991</v>
      </c>
      <c r="X15" s="5">
        <v>0.88057719400272128</v>
      </c>
      <c r="Y15" s="6">
        <v>0.88933030321074702</v>
      </c>
    </row>
    <row r="16" spans="1:25" ht="15.75" thickBot="1">
      <c r="A16" s="9" t="s">
        <v>38</v>
      </c>
      <c r="B16" s="61">
        <f>B15*$L$8</f>
        <v>5.0513573614331252E-4</v>
      </c>
      <c r="C16" s="5">
        <f>C15*$L$8</f>
        <v>5.1363382560829678E-4</v>
      </c>
      <c r="D16" s="5">
        <f>D15*$L$8</f>
        <v>5.0408723393187719E-4</v>
      </c>
      <c r="E16" s="5">
        <f>E15*$M$8</f>
        <v>5.1327311433653825E-4</v>
      </c>
      <c r="F16" s="5">
        <f>F15*$M$8</f>
        <v>5.7614103598870633E-4</v>
      </c>
      <c r="G16" s="5">
        <f>G15*$M$8</f>
        <v>5.5828956413753064E-4</v>
      </c>
      <c r="H16" s="5">
        <f>H15*$N$8</f>
        <v>4.9536745659545321E-4</v>
      </c>
      <c r="I16" s="5">
        <f>I15*$N$8</f>
        <v>5.2571477819289894E-4</v>
      </c>
      <c r="J16" s="6">
        <f>J15*$N$8</f>
        <v>5.3606502348040313E-4</v>
      </c>
      <c r="K16" s="2"/>
      <c r="O16" s="91"/>
      <c r="P16" s="25"/>
      <c r="Q16" s="5">
        <v>0.22507509781767496</v>
      </c>
      <c r="R16" s="5">
        <v>0.27867683641986346</v>
      </c>
      <c r="S16" s="5">
        <v>0.29233717051836999</v>
      </c>
      <c r="T16" s="5"/>
      <c r="U16" s="5"/>
      <c r="V16" s="5"/>
      <c r="W16" s="5">
        <v>0.88817167003583397</v>
      </c>
      <c r="X16" s="5">
        <v>0.8787763690165642</v>
      </c>
      <c r="Y16" s="6">
        <v>0.88192829182679555</v>
      </c>
    </row>
    <row r="17" spans="1:25" ht="15.75" thickBot="1">
      <c r="A17" s="9" t="s">
        <v>51</v>
      </c>
      <c r="B17" s="61">
        <f>AVERAGE(B16:D16)</f>
        <v>5.0761893189449553E-4</v>
      </c>
      <c r="C17" s="5"/>
      <c r="D17" s="5"/>
      <c r="E17" s="5">
        <f>AVERAGE(E16:G16)</f>
        <v>5.4923457148759174E-4</v>
      </c>
      <c r="F17" s="5"/>
      <c r="G17" s="5"/>
      <c r="H17" s="5">
        <f>AVERAGE(H16:J16)</f>
        <v>5.1904908608958516E-4</v>
      </c>
      <c r="I17" s="5"/>
      <c r="J17" s="6"/>
      <c r="K17" s="2"/>
      <c r="O17" s="91"/>
      <c r="P17" s="27"/>
      <c r="Q17" s="7">
        <v>0.19473103076841525</v>
      </c>
      <c r="R17" s="7">
        <v>0.24806666542171693</v>
      </c>
      <c r="S17" s="7">
        <v>0.26809737964784069</v>
      </c>
      <c r="T17" s="7"/>
      <c r="U17" s="7"/>
      <c r="V17" s="7"/>
      <c r="W17" s="7">
        <v>0.87769722687263896</v>
      </c>
      <c r="X17" s="7">
        <v>0.89643831124306339</v>
      </c>
      <c r="Y17" s="8">
        <v>0.88433890439082552</v>
      </c>
    </row>
    <row r="18" spans="1:25" ht="15.75" thickBot="1">
      <c r="A18" s="9" t="s">
        <v>52</v>
      </c>
      <c r="B18" s="5">
        <f>_xlfn.STDEV.P(B16:D16)</f>
        <v>4.2746578040891838E-6</v>
      </c>
      <c r="C18" s="5"/>
      <c r="D18" s="5"/>
      <c r="E18" s="5">
        <f>_xlfn.STDEV.P(E16:G16)</f>
        <v>2.6452328972872716E-5</v>
      </c>
      <c r="F18" s="5"/>
      <c r="G18" s="5"/>
      <c r="H18" s="5">
        <f>_xlfn.STDEV.P(H16:J16)</f>
        <v>1.7270332480892938E-5</v>
      </c>
      <c r="I18" s="5"/>
      <c r="J18" s="6"/>
      <c r="K18" s="2"/>
      <c r="O18" s="35"/>
      <c r="P18" s="5"/>
      <c r="Q18" s="5"/>
      <c r="R18" s="5"/>
      <c r="S18" s="5"/>
      <c r="T18" s="5"/>
      <c r="U18" s="5"/>
      <c r="V18" s="5"/>
      <c r="W18" s="5"/>
      <c r="X18" s="5"/>
      <c r="Y18" s="6"/>
    </row>
    <row r="19" spans="1:25" ht="15.75" thickBot="1">
      <c r="A19" s="9" t="s">
        <v>53</v>
      </c>
      <c r="B19" s="61">
        <f>AVERAGE(B17,E17,H17)</f>
        <v>5.2530086315722422E-4</v>
      </c>
      <c r="C19" s="5"/>
      <c r="D19" s="5"/>
      <c r="E19" s="5"/>
      <c r="F19" s="5"/>
      <c r="G19" s="5"/>
      <c r="H19" s="5"/>
      <c r="I19" s="5"/>
      <c r="J19" s="6"/>
      <c r="K19" s="2"/>
      <c r="O19" s="91" t="s">
        <v>23</v>
      </c>
      <c r="P19" s="14"/>
      <c r="Q19" s="12">
        <v>9.4350909179737652E-2</v>
      </c>
      <c r="R19" s="12">
        <v>8.5940758679051335E-2</v>
      </c>
      <c r="S19" s="12">
        <v>9.7948307525715747E-2</v>
      </c>
      <c r="T19" s="12">
        <v>0.3402886411625653</v>
      </c>
      <c r="U19" s="12">
        <v>0.31645977684179705</v>
      </c>
      <c r="V19" s="12">
        <v>0.31131001009899389</v>
      </c>
      <c r="W19" s="12">
        <v>0.68064027278922956</v>
      </c>
      <c r="X19" s="12">
        <v>0.70236331479058223</v>
      </c>
      <c r="Y19" s="13">
        <v>0.69968227224758173</v>
      </c>
    </row>
    <row r="20" spans="1:25" ht="15.75" thickBot="1">
      <c r="A20" s="10" t="s">
        <v>54</v>
      </c>
      <c r="B20" s="7">
        <f>_xlfn.STDEV.P(B17,E17,H17)</f>
        <v>1.7555225282200389E-5</v>
      </c>
      <c r="C20" s="7"/>
      <c r="D20" s="7"/>
      <c r="E20" s="7"/>
      <c r="F20" s="7"/>
      <c r="G20" s="7"/>
      <c r="H20" s="7"/>
      <c r="I20" s="7"/>
      <c r="J20" s="8"/>
      <c r="K20" s="2"/>
      <c r="O20" s="91"/>
      <c r="P20" s="17"/>
      <c r="Q20" s="5" t="s">
        <v>86</v>
      </c>
      <c r="R20" s="5"/>
      <c r="S20" s="5"/>
      <c r="T20" s="5"/>
      <c r="U20" s="5"/>
      <c r="V20" s="5"/>
      <c r="W20" s="5"/>
      <c r="X20" s="5"/>
      <c r="Y20" s="6"/>
    </row>
    <row r="21" spans="1:25" ht="15.75" thickBot="1">
      <c r="K21" s="2"/>
      <c r="O21" s="91"/>
      <c r="P21" s="25"/>
      <c r="Q21" s="5">
        <v>0.13460814783617889</v>
      </c>
      <c r="R21" s="5">
        <v>0.15415490147718655</v>
      </c>
      <c r="S21" s="5">
        <v>0.18527186552489022</v>
      </c>
      <c r="T21" s="5"/>
      <c r="U21" s="5"/>
      <c r="V21" s="5"/>
      <c r="W21" s="5">
        <v>0.75716781777742381</v>
      </c>
      <c r="X21" s="5">
        <v>0.7769654987216893</v>
      </c>
      <c r="Y21" s="6">
        <v>0.80010344951265311</v>
      </c>
    </row>
    <row r="22" spans="1:25" ht="15.75" thickBot="1">
      <c r="A22" s="25" t="s">
        <v>0</v>
      </c>
      <c r="B22" s="12" t="s">
        <v>1</v>
      </c>
      <c r="C22" s="12" t="s">
        <v>2</v>
      </c>
      <c r="D22" s="12" t="s">
        <v>3</v>
      </c>
      <c r="E22" s="12" t="s">
        <v>7</v>
      </c>
      <c r="F22" s="12" t="s">
        <v>8</v>
      </c>
      <c r="G22" s="12" t="s">
        <v>9</v>
      </c>
      <c r="H22" s="12"/>
      <c r="I22" s="12"/>
      <c r="J22" s="13"/>
      <c r="K22" s="80" t="s">
        <v>37</v>
      </c>
      <c r="L22" s="81"/>
      <c r="M22" s="81"/>
      <c r="N22" s="82"/>
      <c r="O22" s="91"/>
      <c r="P22" s="27"/>
      <c r="Q22" s="7" t="s">
        <v>86</v>
      </c>
      <c r="R22" s="7"/>
      <c r="S22" s="7"/>
      <c r="T22" s="7"/>
      <c r="U22" s="7"/>
      <c r="V22" s="7"/>
      <c r="W22" s="7"/>
      <c r="X22" s="7"/>
      <c r="Y22" s="8"/>
    </row>
    <row r="23" spans="1:25" ht="15.75" thickBot="1">
      <c r="A23" s="9" t="s">
        <v>10</v>
      </c>
      <c r="B23" s="61">
        <v>4985332</v>
      </c>
      <c r="C23" s="61">
        <v>4857663.5</v>
      </c>
      <c r="D23" s="61">
        <v>6904756</v>
      </c>
      <c r="E23" s="61">
        <v>72750976</v>
      </c>
      <c r="F23" s="61">
        <v>73105560</v>
      </c>
      <c r="G23" s="61">
        <v>72396328</v>
      </c>
      <c r="H23" s="5"/>
      <c r="I23" s="5"/>
      <c r="J23" s="6"/>
      <c r="K23" s="2" t="s">
        <v>18</v>
      </c>
      <c r="L23" s="3" t="s">
        <v>19</v>
      </c>
      <c r="M23" s="3"/>
      <c r="N23" s="4" t="s">
        <v>21</v>
      </c>
      <c r="O23" s="35"/>
      <c r="P23" s="5"/>
      <c r="Q23" s="5"/>
      <c r="R23" s="5"/>
      <c r="S23" s="5"/>
      <c r="T23" s="5"/>
      <c r="U23" s="5"/>
      <c r="V23" s="5"/>
      <c r="W23" s="5"/>
      <c r="X23" s="5"/>
      <c r="Y23" s="6"/>
    </row>
    <row r="24" spans="1:25" ht="15.75" thickBot="1">
      <c r="A24" s="9" t="s">
        <v>11</v>
      </c>
      <c r="B24" s="61">
        <v>267691.34000000003</v>
      </c>
      <c r="C24" s="61">
        <v>262140.33</v>
      </c>
      <c r="D24" s="61">
        <v>390233.88</v>
      </c>
      <c r="E24" s="61">
        <v>4103740</v>
      </c>
      <c r="F24" s="61">
        <v>3936698.25</v>
      </c>
      <c r="G24" s="61">
        <v>3988737</v>
      </c>
      <c r="H24" s="5"/>
      <c r="I24" s="5"/>
      <c r="J24" s="6"/>
      <c r="K24" s="2" t="s">
        <v>0</v>
      </c>
      <c r="L24" s="5">
        <v>2.7411167512690399E-4</v>
      </c>
      <c r="N24" s="6">
        <v>6.852791878172588E-3</v>
      </c>
      <c r="O24" s="91" t="s">
        <v>49</v>
      </c>
      <c r="P24" s="14"/>
      <c r="Q24" s="12">
        <v>6.4591104978603014E-2</v>
      </c>
      <c r="R24" s="12">
        <v>6.3919669669172952E-2</v>
      </c>
      <c r="S24" s="12">
        <v>6.7557527779886911E-2</v>
      </c>
      <c r="T24" s="12">
        <v>0.27220492271933627</v>
      </c>
      <c r="U24" s="12">
        <v>0.23810197688082646</v>
      </c>
      <c r="V24" s="12">
        <v>0.24024665920718993</v>
      </c>
      <c r="W24" s="12">
        <v>0.65167978675819616</v>
      </c>
      <c r="X24" s="12">
        <v>0.64487876733381622</v>
      </c>
      <c r="Y24" s="13">
        <v>0.63513730365763232</v>
      </c>
    </row>
    <row r="25" spans="1:25" ht="15.75" thickBot="1">
      <c r="A25" s="9" t="s">
        <v>13</v>
      </c>
      <c r="B25" s="61">
        <v>4686.16</v>
      </c>
      <c r="C25" s="61">
        <v>4015.77</v>
      </c>
      <c r="D25" s="61">
        <v>6551.65</v>
      </c>
      <c r="E25" s="61">
        <v>0</v>
      </c>
      <c r="F25" s="61">
        <v>0</v>
      </c>
      <c r="G25" s="61">
        <v>0</v>
      </c>
      <c r="H25" s="5"/>
      <c r="I25" s="5"/>
      <c r="J25" s="6"/>
      <c r="O25" s="91"/>
      <c r="P25" s="15"/>
      <c r="Q25" s="5">
        <v>6.0310215331923704E-2</v>
      </c>
      <c r="R25" s="5">
        <v>5.5312595150321969E-2</v>
      </c>
      <c r="S25" s="5">
        <v>6.068765588821079E-2</v>
      </c>
      <c r="T25" s="5">
        <v>0.26395309613653212</v>
      </c>
      <c r="U25" s="5">
        <v>0.24229266554641654</v>
      </c>
      <c r="V25" s="5">
        <v>0.22740089127664073</v>
      </c>
      <c r="W25" s="5">
        <v>0.66717953921329576</v>
      </c>
      <c r="X25" s="5">
        <v>0.65801653632138513</v>
      </c>
      <c r="Y25" s="6">
        <v>0.63984584545577639</v>
      </c>
    </row>
    <row r="26" spans="1:25" ht="15.75" thickBot="1">
      <c r="A26" s="9" t="s">
        <v>14</v>
      </c>
      <c r="B26" s="61">
        <v>306784</v>
      </c>
      <c r="C26" s="61">
        <v>296394.96999999997</v>
      </c>
      <c r="D26" s="61">
        <v>356581.5</v>
      </c>
      <c r="E26" s="61">
        <v>230995.33</v>
      </c>
      <c r="F26" s="61">
        <v>223338.25</v>
      </c>
      <c r="G26" s="61">
        <v>195653.39</v>
      </c>
      <c r="H26" s="5"/>
      <c r="I26" s="5"/>
      <c r="J26" s="6"/>
      <c r="O26" s="91"/>
      <c r="P26" s="25"/>
      <c r="Q26" s="5">
        <v>0.10899153862219375</v>
      </c>
      <c r="R26" s="5">
        <v>9.1883193241864045E-2</v>
      </c>
      <c r="S26" s="5">
        <v>0.13231603075649609</v>
      </c>
      <c r="T26" s="5"/>
      <c r="U26" s="5"/>
      <c r="V26" s="5"/>
      <c r="W26" s="5">
        <v>0.70797496261444515</v>
      </c>
      <c r="X26" s="5">
        <v>0.69239387749021797</v>
      </c>
      <c r="Y26" s="6">
        <v>0.73509925063644832</v>
      </c>
    </row>
    <row r="27" spans="1:25" ht="15.75" thickBot="1">
      <c r="A27" s="9" t="s">
        <v>15</v>
      </c>
      <c r="B27" s="61">
        <v>7665814.5</v>
      </c>
      <c r="C27" s="61">
        <v>7049509.5</v>
      </c>
      <c r="D27" s="61">
        <v>8378448.5</v>
      </c>
      <c r="E27" s="61">
        <v>5342368.5</v>
      </c>
      <c r="F27" s="61">
        <v>4996652.5</v>
      </c>
      <c r="G27" s="61">
        <v>5250700</v>
      </c>
      <c r="H27" s="5"/>
      <c r="I27" s="5"/>
      <c r="J27" s="6"/>
      <c r="O27" s="91"/>
      <c r="P27" s="27"/>
      <c r="Q27" s="7">
        <v>0.10534430965851542</v>
      </c>
      <c r="R27" s="7">
        <v>6.9819210760905109E-2</v>
      </c>
      <c r="S27" s="7">
        <v>0.1168418974082068</v>
      </c>
      <c r="T27" s="7"/>
      <c r="U27" s="7"/>
      <c r="V27" s="7"/>
      <c r="W27" s="7">
        <v>0.71545801304610279</v>
      </c>
      <c r="X27" s="7">
        <v>0.70526827980850482</v>
      </c>
      <c r="Y27" s="8">
        <v>0.74453660821611178</v>
      </c>
    </row>
    <row r="28" spans="1:25" ht="15.75" thickBot="1">
      <c r="A28" s="9"/>
      <c r="B28" s="5"/>
      <c r="C28" s="5"/>
      <c r="D28" s="5"/>
      <c r="E28" s="5"/>
      <c r="F28" s="5"/>
      <c r="G28" s="5"/>
      <c r="H28" s="5"/>
      <c r="I28" s="5"/>
      <c r="J28" s="6"/>
      <c r="O28" s="35"/>
      <c r="P28" s="5"/>
      <c r="Q28" s="5"/>
      <c r="R28" s="5"/>
      <c r="S28" s="5"/>
      <c r="T28" s="5"/>
      <c r="U28" s="5"/>
      <c r="V28" s="5"/>
      <c r="W28" s="5"/>
      <c r="X28" s="5"/>
      <c r="Y28" s="6"/>
    </row>
    <row r="29" spans="1:25" ht="15.75" thickBot="1">
      <c r="A29" s="9" t="s">
        <v>16</v>
      </c>
      <c r="B29" s="5">
        <f>SUM(B23:B24)/SUM(B23:B27)</f>
        <v>0.39704467499925172</v>
      </c>
      <c r="C29" s="5">
        <f t="shared" ref="C29:G29" si="2">SUM(C23:C24)/SUM(C23:C27)</f>
        <v>0.4105787587006326</v>
      </c>
      <c r="D29" s="5">
        <f t="shared" si="2"/>
        <v>0.45489709981669624</v>
      </c>
      <c r="E29" s="5">
        <f t="shared" si="2"/>
        <v>0.93238513087415686</v>
      </c>
      <c r="F29" s="5">
        <f t="shared" si="2"/>
        <v>0.93654451691443541</v>
      </c>
      <c r="G29" s="5">
        <f t="shared" si="2"/>
        <v>0.93344422598123311</v>
      </c>
      <c r="H29" s="5"/>
      <c r="I29" s="5"/>
      <c r="J29" s="6"/>
      <c r="O29" s="91" t="s">
        <v>50</v>
      </c>
      <c r="P29" s="14"/>
      <c r="Q29" s="12">
        <v>0.15954312932181955</v>
      </c>
      <c r="R29" s="12">
        <v>0.14020426532564362</v>
      </c>
      <c r="S29" s="12">
        <v>0.14149838033908593</v>
      </c>
      <c r="T29" s="12">
        <v>0.48780823423081615</v>
      </c>
      <c r="U29" s="12">
        <v>0.46142580864350996</v>
      </c>
      <c r="V29" s="12">
        <v>0.45984885899128891</v>
      </c>
      <c r="W29" s="12">
        <v>0.82985613021949145</v>
      </c>
      <c r="X29" s="12">
        <v>0.80905797846535421</v>
      </c>
      <c r="Y29" s="13">
        <v>0.822852700831184</v>
      </c>
    </row>
    <row r="30" spans="1:25" ht="15.75" thickBot="1">
      <c r="A30" s="9" t="s">
        <v>17</v>
      </c>
      <c r="B30" s="5">
        <f>(SUM(B25:B27))/(SUM(B23:B24))</f>
        <v>1.5186082649311055</v>
      </c>
      <c r="C30" s="5">
        <f t="shared" ref="C30:G30" si="3">(SUM(C25:C27))/(SUM(C23:C24))</f>
        <v>1.4355863005790204</v>
      </c>
      <c r="D30" s="5">
        <f t="shared" si="3"/>
        <v>1.1982993525413912</v>
      </c>
      <c r="E30" s="5">
        <f t="shared" si="3"/>
        <v>7.2518176112966182E-2</v>
      </c>
      <c r="F30" s="5">
        <f t="shared" si="3"/>
        <v>6.7754903199504793E-2</v>
      </c>
      <c r="G30" s="5">
        <f t="shared" si="3"/>
        <v>7.1301286318208923E-2</v>
      </c>
      <c r="H30" s="5"/>
      <c r="I30" s="5"/>
      <c r="J30" s="6"/>
      <c r="O30" s="91"/>
      <c r="P30" s="15"/>
      <c r="Q30" s="5">
        <v>0.21414521618193041</v>
      </c>
      <c r="R30" s="5">
        <v>8.8404271923059441E-2</v>
      </c>
      <c r="S30" s="5">
        <v>9.314176422761522E-2</v>
      </c>
      <c r="T30" s="5">
        <v>0.4125285866515061</v>
      </c>
      <c r="U30" s="5">
        <v>0.4114544944939566</v>
      </c>
      <c r="V30" s="5">
        <v>0.46585128674457588</v>
      </c>
      <c r="W30" s="5">
        <v>0.83761447895276331</v>
      </c>
      <c r="X30" s="5">
        <v>0.84291927955072399</v>
      </c>
      <c r="Y30" s="6">
        <v>0.83835794801752406</v>
      </c>
    </row>
    <row r="31" spans="1:25" ht="15.75" thickBot="1">
      <c r="A31" s="9" t="s">
        <v>38</v>
      </c>
      <c r="B31" s="5">
        <f>B30*$L$24</f>
        <v>4.1626825536182654E-4</v>
      </c>
      <c r="C31" s="5">
        <f t="shared" ref="C31:D31" si="4">C30*$L$24</f>
        <v>3.9351096564095036E-4</v>
      </c>
      <c r="D31" s="5">
        <f t="shared" si="4"/>
        <v>3.2846784282860523E-4</v>
      </c>
      <c r="E31" s="5">
        <f>E30*$N$24</f>
        <v>4.9695196828682402E-4</v>
      </c>
      <c r="F31" s="5">
        <f t="shared" ref="F31:G31" si="5">F30*$N$24</f>
        <v>4.6431025035193634E-4</v>
      </c>
      <c r="G31" s="5">
        <f t="shared" si="5"/>
        <v>4.8861287578468038E-4</v>
      </c>
      <c r="H31" s="5"/>
      <c r="I31" s="5"/>
      <c r="J31" s="6"/>
      <c r="O31" s="91"/>
      <c r="P31" s="25"/>
      <c r="Q31" s="5">
        <v>0.19865524323252268</v>
      </c>
      <c r="R31" s="5">
        <v>0.17437555244653191</v>
      </c>
      <c r="S31" s="5">
        <v>0.26286153587997851</v>
      </c>
      <c r="T31" s="5"/>
      <c r="U31" s="5"/>
      <c r="V31" s="5"/>
      <c r="W31" s="5">
        <v>0.85525106183708943</v>
      </c>
      <c r="X31" s="5">
        <v>0.81460923890963743</v>
      </c>
      <c r="Y31" s="6">
        <v>0.87790108158698299</v>
      </c>
    </row>
    <row r="32" spans="1:25" ht="15.75" thickBot="1">
      <c r="A32" s="9" t="s">
        <v>51</v>
      </c>
      <c r="B32" s="5">
        <f>AVERAGE(B31:D31)</f>
        <v>3.7941568794379408E-4</v>
      </c>
      <c r="C32" s="5"/>
      <c r="D32" s="5"/>
      <c r="E32" s="5">
        <f>AVERAGE(E31:G31)</f>
        <v>4.8329169814114689E-4</v>
      </c>
      <c r="F32" s="5"/>
      <c r="G32" s="5"/>
      <c r="H32" s="5"/>
      <c r="I32" s="5"/>
      <c r="J32" s="6"/>
      <c r="O32" s="91"/>
      <c r="P32" s="27"/>
      <c r="Q32" s="7">
        <v>0.25727545029227622</v>
      </c>
      <c r="R32" s="7">
        <v>0.14304743416261545</v>
      </c>
      <c r="S32" s="7">
        <v>0.21013490947019223</v>
      </c>
      <c r="T32" s="7"/>
      <c r="U32" s="7"/>
      <c r="V32" s="7"/>
      <c r="W32" s="7">
        <v>0.88079790044344675</v>
      </c>
      <c r="X32" s="7">
        <v>0.83583758944651709</v>
      </c>
      <c r="Y32" s="8">
        <v>0.87405215569316841</v>
      </c>
    </row>
    <row r="33" spans="1:25" ht="15.75" thickBot="1">
      <c r="A33" s="9" t="s">
        <v>52</v>
      </c>
      <c r="B33" s="5">
        <f>_xlfn.STDEV.P(B31:D31)</f>
        <v>3.7204262751024692E-5</v>
      </c>
      <c r="C33" s="5"/>
      <c r="D33" s="5"/>
      <c r="E33" s="5">
        <f>_xlfn.STDEV.P(E31:G31)</f>
        <v>1.3846940361700176E-5</v>
      </c>
      <c r="F33" s="5"/>
      <c r="G33" s="5"/>
      <c r="H33" s="5"/>
      <c r="I33" s="5"/>
      <c r="J33" s="6"/>
      <c r="O33" s="35"/>
      <c r="P33" s="5"/>
      <c r="Q33" s="5"/>
      <c r="R33" s="5"/>
      <c r="S33" s="5"/>
      <c r="T33" s="5"/>
      <c r="U33" s="5"/>
      <c r="V33" s="5"/>
      <c r="W33" s="5"/>
      <c r="X33" s="5"/>
      <c r="Y33" s="6"/>
    </row>
    <row r="34" spans="1:25" ht="15.75" thickBot="1">
      <c r="A34" s="9" t="s">
        <v>53</v>
      </c>
      <c r="B34" s="5">
        <f>AVERAGE(B32,E32)</f>
        <v>4.3135369304247051E-4</v>
      </c>
      <c r="C34" s="5"/>
      <c r="D34" s="5"/>
      <c r="E34" s="5"/>
      <c r="F34" s="5"/>
      <c r="G34" s="5"/>
      <c r="H34" s="5"/>
      <c r="I34" s="5"/>
      <c r="J34" s="6"/>
      <c r="O34" s="91" t="s">
        <v>55</v>
      </c>
      <c r="P34" s="14"/>
      <c r="Q34" s="12">
        <v>0.3586627753404677</v>
      </c>
      <c r="R34" s="12">
        <v>0.3373504345860614</v>
      </c>
      <c r="S34" s="12">
        <v>0.36995004219929734</v>
      </c>
      <c r="T34" s="12">
        <v>0.73580054081347646</v>
      </c>
      <c r="U34" s="12">
        <v>0.71096881198596706</v>
      </c>
      <c r="V34" s="12">
        <v>0.72101349497205336</v>
      </c>
      <c r="W34" s="12">
        <v>0.92990771348261902</v>
      </c>
      <c r="X34" s="12">
        <v>0.92641735614776222</v>
      </c>
      <c r="Y34" s="13">
        <v>0.92838062104403751</v>
      </c>
    </row>
    <row r="35" spans="1:25" ht="15.75" thickBot="1">
      <c r="A35" s="10" t="s">
        <v>54</v>
      </c>
      <c r="B35" s="7">
        <f>_xlfn.STDEV.P(B32,E32)</f>
        <v>5.1938005098676408E-5</v>
      </c>
      <c r="C35" s="7"/>
      <c r="D35" s="7"/>
      <c r="E35" s="7"/>
      <c r="F35" s="7"/>
      <c r="G35" s="7"/>
      <c r="H35" s="7"/>
      <c r="I35" s="7"/>
      <c r="J35" s="8"/>
      <c r="O35" s="91"/>
      <c r="P35" s="15"/>
      <c r="Q35" s="5">
        <v>0.35606299061846558</v>
      </c>
      <c r="R35" s="5">
        <v>0.33369216355649123</v>
      </c>
      <c r="S35" s="5">
        <v>0.35272282030835472</v>
      </c>
      <c r="T35" s="5">
        <v>0.75758934369747366</v>
      </c>
      <c r="U35" s="5">
        <v>0.74196061341707764</v>
      </c>
      <c r="V35" s="5">
        <v>0.73356289879021053</v>
      </c>
      <c r="W35" s="5">
        <v>0.94295499313575992</v>
      </c>
      <c r="X35" s="5">
        <v>0.93344119353051447</v>
      </c>
      <c r="Y35" s="6">
        <v>0.93668081624332034</v>
      </c>
    </row>
    <row r="36" spans="1:25" ht="15.75" thickBot="1">
      <c r="O36" s="91"/>
      <c r="P36" s="25"/>
      <c r="Q36" s="5">
        <v>0.5420799281294354</v>
      </c>
      <c r="R36" s="5">
        <v>0.49911401268649708</v>
      </c>
      <c r="S36" s="5">
        <v>0.64068324679148581</v>
      </c>
      <c r="T36" s="5"/>
      <c r="U36" s="5"/>
      <c r="V36" s="5"/>
      <c r="W36" s="5">
        <v>0.96515374094460149</v>
      </c>
      <c r="X36" s="5">
        <v>0.95214790981548747</v>
      </c>
      <c r="Y36" s="6">
        <v>0.96982957562018646</v>
      </c>
    </row>
    <row r="37" spans="1:25" ht="15.75" thickBot="1">
      <c r="A37" s="5"/>
      <c r="B37" s="5"/>
      <c r="C37" s="5"/>
      <c r="D37" s="5"/>
      <c r="E37" s="5"/>
      <c r="F37" s="5"/>
      <c r="G37" s="5"/>
      <c r="H37" s="5"/>
      <c r="I37" s="5"/>
      <c r="J37" s="5"/>
      <c r="O37" s="91"/>
      <c r="P37" s="27"/>
      <c r="Q37" s="7">
        <v>0.5703865123828411</v>
      </c>
      <c r="R37" s="7">
        <v>0.51455815589613163</v>
      </c>
      <c r="S37" s="7">
        <v>0.64941504631221425</v>
      </c>
      <c r="T37" s="7"/>
      <c r="U37" s="7"/>
      <c r="V37" s="7"/>
      <c r="W37" s="7">
        <v>0.97038154928643283</v>
      </c>
      <c r="X37" s="7">
        <v>0.96226333543208287</v>
      </c>
      <c r="Y37" s="8">
        <v>0.971005098267958</v>
      </c>
    </row>
    <row r="38" spans="1:25" ht="15.75" thickBot="1">
      <c r="A38" s="15" t="s">
        <v>0</v>
      </c>
      <c r="B38" s="12" t="s">
        <v>57</v>
      </c>
      <c r="C38" s="12" t="s">
        <v>58</v>
      </c>
      <c r="D38" s="12" t="s">
        <v>59</v>
      </c>
      <c r="E38" s="12" t="s">
        <v>60</v>
      </c>
      <c r="F38" s="12" t="s">
        <v>61</v>
      </c>
      <c r="G38" s="12" t="s">
        <v>62</v>
      </c>
      <c r="H38" s="12" t="s">
        <v>63</v>
      </c>
      <c r="I38" s="12" t="s">
        <v>64</v>
      </c>
      <c r="J38" s="13" t="s">
        <v>65</v>
      </c>
      <c r="K38" s="80" t="s">
        <v>39</v>
      </c>
      <c r="L38" s="81"/>
      <c r="M38" s="81"/>
      <c r="N38" s="82"/>
      <c r="O38" s="35"/>
      <c r="P38" s="5"/>
      <c r="Q38" s="5"/>
      <c r="R38" s="5"/>
      <c r="S38" s="5"/>
      <c r="T38" s="5"/>
      <c r="U38" s="5"/>
      <c r="V38" s="5"/>
      <c r="W38" s="5"/>
      <c r="X38" s="5"/>
      <c r="Y38" s="6"/>
    </row>
    <row r="39" spans="1:25" ht="15.75" thickBot="1">
      <c r="A39" s="9" t="s">
        <v>10</v>
      </c>
      <c r="B39" s="5">
        <v>3009208.75</v>
      </c>
      <c r="C39" s="5">
        <v>2933488.75</v>
      </c>
      <c r="D39" s="5">
        <v>2778584.25</v>
      </c>
      <c r="E39" s="5">
        <v>12960205</v>
      </c>
      <c r="F39" s="5">
        <v>13565112</v>
      </c>
      <c r="G39" s="5">
        <v>12966887</v>
      </c>
      <c r="H39" s="5">
        <v>56159296</v>
      </c>
      <c r="I39" s="5">
        <v>52826444</v>
      </c>
      <c r="J39" s="6">
        <v>59562052</v>
      </c>
      <c r="K39" s="2" t="s">
        <v>18</v>
      </c>
      <c r="L39" s="3" t="s">
        <v>19</v>
      </c>
      <c r="M39" s="3" t="s">
        <v>20</v>
      </c>
      <c r="N39" s="4" t="s">
        <v>21</v>
      </c>
      <c r="O39" s="91" t="s">
        <v>28</v>
      </c>
      <c r="P39" s="14"/>
      <c r="Q39" s="12">
        <v>0.91537030659709095</v>
      </c>
      <c r="R39" s="12">
        <v>0.91484247931920504</v>
      </c>
      <c r="S39" s="12">
        <v>0.91889604064280106</v>
      </c>
      <c r="T39" s="12">
        <v>0.9782901987763255</v>
      </c>
      <c r="U39" s="12">
        <v>0.97251445177336826</v>
      </c>
      <c r="V39" s="12">
        <v>0.97307872305230969</v>
      </c>
      <c r="W39" s="12">
        <v>0.99667090863294439</v>
      </c>
      <c r="X39" s="12">
        <v>0.99354089469608498</v>
      </c>
      <c r="Y39" s="13">
        <v>0.99650501989537632</v>
      </c>
    </row>
    <row r="40" spans="1:25" ht="15.75" thickBot="1">
      <c r="A40" s="9" t="s">
        <v>11</v>
      </c>
      <c r="B40" s="5">
        <v>142837.51999999999</v>
      </c>
      <c r="C40" s="5">
        <v>133720.91</v>
      </c>
      <c r="D40" s="5">
        <v>131244.38</v>
      </c>
      <c r="E40" s="5">
        <v>619968.81000000006</v>
      </c>
      <c r="F40" s="5">
        <v>589322</v>
      </c>
      <c r="G40" s="5">
        <v>611575</v>
      </c>
      <c r="H40" s="5">
        <v>2900245.25</v>
      </c>
      <c r="I40" s="5">
        <v>2639828</v>
      </c>
      <c r="J40" s="6">
        <v>3024293.25</v>
      </c>
      <c r="K40" s="2" t="s">
        <v>0</v>
      </c>
      <c r="L40" s="5">
        <v>2.7411167512690355E-4</v>
      </c>
      <c r="M40" s="5">
        <v>1.3705583756345177E-3</v>
      </c>
      <c r="N40" s="6">
        <v>6.852791878172588E-3</v>
      </c>
      <c r="O40" s="91"/>
      <c r="P40" s="17"/>
      <c r="Q40" s="5" t="s">
        <v>86</v>
      </c>
      <c r="R40" s="5"/>
      <c r="S40" s="5"/>
      <c r="T40" s="5"/>
      <c r="U40" s="5"/>
      <c r="V40" s="5"/>
      <c r="W40" s="5"/>
      <c r="X40" s="5"/>
      <c r="Y40" s="6"/>
    </row>
    <row r="41" spans="1:25" ht="15.75" thickBot="1">
      <c r="A41" s="9" t="s">
        <v>12</v>
      </c>
      <c r="B41" s="5">
        <v>2669.82</v>
      </c>
      <c r="C41" s="5">
        <v>0</v>
      </c>
      <c r="D41" s="5">
        <v>0</v>
      </c>
      <c r="E41" s="5">
        <v>10567.12</v>
      </c>
      <c r="F41" s="5">
        <v>11277.1</v>
      </c>
      <c r="G41" s="5">
        <v>11262.01</v>
      </c>
      <c r="H41" s="5">
        <v>21698.31</v>
      </c>
      <c r="I41" s="5">
        <v>28367.85</v>
      </c>
      <c r="J41" s="6">
        <v>16775.93</v>
      </c>
      <c r="O41" s="91"/>
      <c r="P41" s="25"/>
      <c r="Q41" s="5">
        <v>0.27182164269721065</v>
      </c>
      <c r="R41" s="5">
        <v>0.3265253568581587</v>
      </c>
      <c r="S41" s="5">
        <v>0.34713719128038828</v>
      </c>
      <c r="T41" s="5"/>
      <c r="U41" s="5"/>
      <c r="V41" s="5"/>
      <c r="W41" s="5">
        <v>0.89398987183734768</v>
      </c>
      <c r="X41" s="5">
        <v>0.88833459902651657</v>
      </c>
      <c r="Y41" s="6">
        <v>0.90457343987748451</v>
      </c>
    </row>
    <row r="42" spans="1:25" ht="15.75" thickBot="1">
      <c r="A42" s="9" t="s">
        <v>13</v>
      </c>
      <c r="B42" s="5">
        <v>5367.7</v>
      </c>
      <c r="C42" s="5">
        <v>0</v>
      </c>
      <c r="D42" s="5">
        <v>2812.33</v>
      </c>
      <c r="E42" s="5">
        <v>3144.83</v>
      </c>
      <c r="F42" s="5">
        <v>4176.28</v>
      </c>
      <c r="G42" s="5">
        <v>3651.57</v>
      </c>
      <c r="H42" s="5">
        <v>0</v>
      </c>
      <c r="I42" s="5">
        <v>0</v>
      </c>
      <c r="J42" s="6">
        <v>0</v>
      </c>
      <c r="O42" s="91"/>
      <c r="P42" s="27"/>
      <c r="Q42" s="7" t="s">
        <v>86</v>
      </c>
      <c r="R42" s="7"/>
      <c r="S42" s="7"/>
      <c r="T42" s="7"/>
      <c r="U42" s="7"/>
      <c r="V42" s="7"/>
      <c r="W42" s="7"/>
      <c r="X42" s="7"/>
      <c r="Y42" s="8"/>
    </row>
    <row r="43" spans="1:25" ht="15.75" thickBot="1">
      <c r="A43" s="9" t="s">
        <v>14</v>
      </c>
      <c r="B43" s="5">
        <v>193993</v>
      </c>
      <c r="C43" s="5">
        <v>201630.31</v>
      </c>
      <c r="D43" s="5">
        <v>190594.95</v>
      </c>
      <c r="E43" s="5">
        <v>165986.85999999999</v>
      </c>
      <c r="F43" s="5">
        <v>209776.81</v>
      </c>
      <c r="G43" s="5">
        <v>207720.38</v>
      </c>
      <c r="H43" s="5">
        <v>148778.82999999999</v>
      </c>
      <c r="I43" s="5">
        <v>157561.31</v>
      </c>
      <c r="J43" s="6">
        <v>160868.59</v>
      </c>
      <c r="O43" s="35"/>
      <c r="P43" s="5"/>
      <c r="Q43" s="5"/>
      <c r="R43" s="5"/>
      <c r="S43" s="5"/>
      <c r="T43" s="5"/>
      <c r="U43" s="5"/>
      <c r="V43" s="5"/>
      <c r="W43" s="5"/>
      <c r="X43" s="5"/>
      <c r="Y43" s="6"/>
    </row>
    <row r="44" spans="1:25" ht="15.75" thickBot="1">
      <c r="A44" s="9" t="s">
        <v>15</v>
      </c>
      <c r="B44" s="5">
        <v>5535982.5</v>
      </c>
      <c r="C44" s="5">
        <v>5364100.5</v>
      </c>
      <c r="D44" s="5">
        <v>5159594</v>
      </c>
      <c r="E44" s="5">
        <v>4397938</v>
      </c>
      <c r="F44" s="5">
        <v>5120852.5</v>
      </c>
      <c r="G44" s="5">
        <v>4988492</v>
      </c>
      <c r="H44" s="5">
        <v>3762405.25</v>
      </c>
      <c r="I44" s="5">
        <v>3509008.25</v>
      </c>
      <c r="J44" s="6">
        <v>4303773.5</v>
      </c>
      <c r="O44" s="91" t="s">
        <v>29</v>
      </c>
      <c r="P44" s="14"/>
      <c r="Q44" s="12">
        <v>0.13725571101575104</v>
      </c>
      <c r="R44" s="12">
        <v>0.19390828878099917</v>
      </c>
      <c r="S44" s="12">
        <v>0.19234338856113267</v>
      </c>
      <c r="T44" s="12">
        <v>0.40576380290580666</v>
      </c>
      <c r="U44" s="12">
        <v>0.39319007903959258</v>
      </c>
      <c r="V44" s="12">
        <v>0.38930439192934829</v>
      </c>
      <c r="W44" s="12">
        <v>0.76614461586029647</v>
      </c>
      <c r="X44" s="12">
        <v>0.75405832633951875</v>
      </c>
      <c r="Y44" s="13">
        <v>0.7548778504508058</v>
      </c>
    </row>
    <row r="45" spans="1:25" ht="15.75" thickBot="1">
      <c r="A45" s="9"/>
      <c r="B45" s="5"/>
      <c r="C45" s="5"/>
      <c r="D45" s="5"/>
      <c r="E45" s="5"/>
      <c r="F45" s="5"/>
      <c r="G45" s="5"/>
      <c r="H45" s="5"/>
      <c r="I45" s="5"/>
      <c r="J45" s="6"/>
      <c r="O45" s="91"/>
      <c r="P45" s="17"/>
      <c r="Q45" s="5" t="s">
        <v>86</v>
      </c>
      <c r="R45" s="5"/>
      <c r="S45" s="5"/>
      <c r="T45" s="5"/>
      <c r="U45" s="5"/>
      <c r="V45" s="5"/>
      <c r="W45" s="5"/>
      <c r="X45" s="5"/>
      <c r="Y45" s="6"/>
    </row>
    <row r="46" spans="1:25" ht="15.75" thickBot="1">
      <c r="A46" s="9" t="s">
        <v>16</v>
      </c>
      <c r="B46" s="5">
        <f>SUM(B39:B40)/SUM(B39:B44)</f>
        <v>0.35455852061027149</v>
      </c>
      <c r="C46" s="5">
        <f t="shared" ref="C46:J46" si="6">SUM(C39:C40)/SUM(C39:C44)</f>
        <v>0.35529141787305757</v>
      </c>
      <c r="D46" s="5">
        <f t="shared" si="6"/>
        <v>0.35215884408783621</v>
      </c>
      <c r="E46" s="5">
        <f t="shared" si="6"/>
        <v>0.74789709476549227</v>
      </c>
      <c r="F46" s="5">
        <f t="shared" si="6"/>
        <v>0.72584917748658906</v>
      </c>
      <c r="G46" s="5">
        <f t="shared" si="6"/>
        <v>0.72265884855518669</v>
      </c>
      <c r="H46" s="5">
        <f t="shared" si="6"/>
        <v>0.93756578707819982</v>
      </c>
      <c r="I46" s="5">
        <f t="shared" si="6"/>
        <v>0.93754459303910964</v>
      </c>
      <c r="J46" s="6">
        <f t="shared" si="6"/>
        <v>0.933180744347194</v>
      </c>
      <c r="O46" s="91"/>
      <c r="P46" s="25"/>
      <c r="Q46" s="5">
        <v>0.12298286399968629</v>
      </c>
      <c r="R46" s="5">
        <v>0.19055530280164451</v>
      </c>
      <c r="S46" s="5">
        <v>0.21385217559678044</v>
      </c>
      <c r="T46" s="5"/>
      <c r="U46" s="5"/>
      <c r="V46" s="5"/>
      <c r="W46" s="5">
        <v>0.74381000512320061</v>
      </c>
      <c r="X46" s="5">
        <v>0.73427463781777269</v>
      </c>
      <c r="Y46" s="6">
        <v>0.78296013312753188</v>
      </c>
    </row>
    <row r="47" spans="1:25" ht="15.75" thickBot="1">
      <c r="A47" s="9" t="s">
        <v>17</v>
      </c>
      <c r="B47" s="5">
        <f>(SUM(B41:B44))/(SUM(B39:B40))</f>
        <v>1.8204088799749756</v>
      </c>
      <c r="C47" s="5">
        <f t="shared" ref="C47:J47" si="7">(SUM(C41:C44))/(SUM(C39:C40))</f>
        <v>1.8145909236605624</v>
      </c>
      <c r="D47" s="5">
        <f t="shared" si="7"/>
        <v>1.8396276759432395</v>
      </c>
      <c r="E47" s="5">
        <f t="shared" si="7"/>
        <v>0.33708234327819692</v>
      </c>
      <c r="F47" s="5">
        <f t="shared" si="7"/>
        <v>0.3776966772390899</v>
      </c>
      <c r="G47" s="5">
        <f t="shared" si="7"/>
        <v>0.38377880793863106</v>
      </c>
      <c r="H47" s="5">
        <f t="shared" si="7"/>
        <v>6.6591820843173249E-2</v>
      </c>
      <c r="I47" s="5">
        <f t="shared" si="7"/>
        <v>6.6615932110959258E-2</v>
      </c>
      <c r="J47" s="6">
        <f t="shared" si="7"/>
        <v>7.1603765998782293E-2</v>
      </c>
      <c r="O47" s="91"/>
      <c r="P47" s="27"/>
      <c r="Q47" s="7" t="s">
        <v>86</v>
      </c>
      <c r="R47" s="7"/>
      <c r="S47" s="7"/>
      <c r="T47" s="7"/>
      <c r="U47" s="7"/>
      <c r="V47" s="7"/>
      <c r="W47" s="7"/>
      <c r="X47" s="7"/>
      <c r="Y47" s="8"/>
    </row>
    <row r="48" spans="1:25" ht="15.75" thickBot="1">
      <c r="A48" s="9" t="s">
        <v>38</v>
      </c>
      <c r="B48" s="5">
        <f>B47*$L$40</f>
        <v>4.9899532750583085E-4</v>
      </c>
      <c r="C48" s="5">
        <f t="shared" ref="C48:D48" si="8">C47*$L$40</f>
        <v>4.9740055775467193E-4</v>
      </c>
      <c r="D48" s="5">
        <f t="shared" si="8"/>
        <v>5.0426342386261386E-4</v>
      </c>
      <c r="E48" s="5">
        <f>E47*$M$40</f>
        <v>4.6199102885844241E-4</v>
      </c>
      <c r="F48" s="5">
        <f t="shared" ref="F48:G48" si="9">F47*$M$40</f>
        <v>5.1765534443936169E-4</v>
      </c>
      <c r="G48" s="5">
        <f t="shared" si="9"/>
        <v>5.2599125961132176E-4</v>
      </c>
      <c r="H48" s="5">
        <f>H47*$N$40</f>
        <v>4.5633988902682172E-4</v>
      </c>
      <c r="I48" s="5">
        <f>I47*$N$8</f>
        <v>4.565051185268781E-4</v>
      </c>
      <c r="J48" s="6">
        <f>J47*$N$8</f>
        <v>4.9068570608302585E-4</v>
      </c>
      <c r="O48" s="35"/>
      <c r="P48" s="5"/>
      <c r="Q48" s="5"/>
      <c r="R48" s="5"/>
      <c r="S48" s="5"/>
      <c r="T48" s="5"/>
      <c r="U48" s="5"/>
      <c r="V48" s="5"/>
      <c r="W48" s="5"/>
      <c r="X48" s="5"/>
      <c r="Y48" s="6"/>
    </row>
    <row r="49" spans="1:25" ht="15.75" thickBot="1">
      <c r="A49" s="9" t="s">
        <v>51</v>
      </c>
      <c r="B49" s="5">
        <f>AVERAGE(B48:D48)</f>
        <v>5.0021976970770555E-4</v>
      </c>
      <c r="C49" s="5"/>
      <c r="D49" s="5"/>
      <c r="E49" s="5">
        <f>AVERAGE(E48:G48)</f>
        <v>5.0187921096970861E-4</v>
      </c>
      <c r="F49" s="5"/>
      <c r="G49" s="5"/>
      <c r="H49" s="5">
        <f>AVERAGE(H48:J48)</f>
        <v>4.6784357121224191E-4</v>
      </c>
      <c r="I49" s="5"/>
      <c r="J49" s="6"/>
      <c r="O49" s="91" t="s">
        <v>35</v>
      </c>
      <c r="P49" s="14"/>
      <c r="Q49" s="12">
        <v>0.12453382321048312</v>
      </c>
      <c r="R49" s="12">
        <v>0.13161992301239739</v>
      </c>
      <c r="S49" s="12">
        <v>0.13524865117180604</v>
      </c>
      <c r="T49" s="12">
        <v>0.40776355968198708</v>
      </c>
      <c r="U49" s="12">
        <v>0.38475830689504192</v>
      </c>
      <c r="V49" s="12">
        <v>0.3895860710730919</v>
      </c>
      <c r="W49" s="12">
        <v>0.76168261147556204</v>
      </c>
      <c r="X49" s="12">
        <v>0.73921483430083978</v>
      </c>
      <c r="Y49" s="13">
        <v>0.7658008210799766</v>
      </c>
    </row>
    <row r="50" spans="1:25" ht="15.75" thickBot="1">
      <c r="A50" s="9" t="s">
        <v>52</v>
      </c>
      <c r="B50" s="5">
        <f>_xlfn.STDEV.P(B48:D48)</f>
        <v>2.9324820923787797E-6</v>
      </c>
      <c r="C50" s="5"/>
      <c r="D50" s="5"/>
      <c r="E50" s="5">
        <f>_xlfn.STDEV.P(E48:G48)</f>
        <v>2.8409765627857403E-5</v>
      </c>
      <c r="F50" s="5"/>
      <c r="G50" s="5"/>
      <c r="H50" s="5">
        <f>_xlfn.STDEV.P(H48:J48)</f>
        <v>1.6151969318285118E-5</v>
      </c>
      <c r="I50" s="5"/>
      <c r="J50" s="6"/>
      <c r="O50" s="91"/>
      <c r="P50" s="15"/>
      <c r="Q50" s="5">
        <v>0.12529094868238394</v>
      </c>
      <c r="R50" s="5">
        <v>0.12907955108942357</v>
      </c>
      <c r="S50" s="5">
        <v>0.13434246979121323</v>
      </c>
      <c r="T50" s="5">
        <v>0.41168059583278771</v>
      </c>
      <c r="U50" s="5">
        <v>0.38060781702750729</v>
      </c>
      <c r="V50" s="5">
        <v>0.40118487436241784</v>
      </c>
      <c r="W50" s="5">
        <v>0.77459375608072445</v>
      </c>
      <c r="X50" s="5">
        <v>0.75492995943033292</v>
      </c>
      <c r="Y50" s="6">
        <v>0.7778197346603688</v>
      </c>
    </row>
    <row r="51" spans="1:25" ht="15.75" thickBot="1">
      <c r="A51" s="9" t="s">
        <v>53</v>
      </c>
      <c r="B51" s="5">
        <f>AVERAGE(B49,E49,H49)</f>
        <v>4.8998085062988532E-4</v>
      </c>
      <c r="C51" s="5"/>
      <c r="D51" s="5"/>
      <c r="E51" s="5"/>
      <c r="F51" s="5"/>
      <c r="G51" s="5"/>
      <c r="H51" s="5"/>
      <c r="I51" s="5"/>
      <c r="J51" s="6"/>
      <c r="O51" s="91"/>
      <c r="P51" s="25"/>
      <c r="Q51" s="5">
        <v>0.11990462461834747</v>
      </c>
      <c r="R51" s="5">
        <v>0.10314349904352438</v>
      </c>
      <c r="S51" s="5">
        <v>0.17527220173585403</v>
      </c>
      <c r="T51" s="5"/>
      <c r="U51" s="5"/>
      <c r="V51" s="5"/>
      <c r="W51" s="5">
        <v>0.72975146144139824</v>
      </c>
      <c r="X51" s="5">
        <v>0.74129565953998333</v>
      </c>
      <c r="Y51" s="6">
        <v>0.79959891667338479</v>
      </c>
    </row>
    <row r="52" spans="1:25" ht="15.75" thickBot="1">
      <c r="A52" s="10" t="s">
        <v>54</v>
      </c>
      <c r="B52" s="7">
        <f>_xlfn.STDEV.P(B49,E49,H49)</f>
        <v>1.5668073511371774E-5</v>
      </c>
      <c r="C52" s="7"/>
      <c r="D52" s="7"/>
      <c r="E52" s="7"/>
      <c r="F52" s="7"/>
      <c r="G52" s="7"/>
      <c r="H52" s="7"/>
      <c r="I52" s="7"/>
      <c r="J52" s="8"/>
      <c r="O52" s="91"/>
      <c r="P52" s="27"/>
      <c r="Q52" s="7">
        <v>0.11806071130746919</v>
      </c>
      <c r="R52" s="7">
        <v>9.8420197162753034E-2</v>
      </c>
      <c r="S52" s="7">
        <v>0.16768209953412563</v>
      </c>
      <c r="T52" s="7"/>
      <c r="U52" s="7"/>
      <c r="V52" s="7"/>
      <c r="W52" s="7">
        <v>0.73981271625264866</v>
      </c>
      <c r="X52" s="7">
        <v>0.76627918493276526</v>
      </c>
      <c r="Y52" s="8">
        <v>0.8090728149236569</v>
      </c>
    </row>
    <row r="53" spans="1:25" ht="15.75" thickBot="1">
      <c r="A53" s="5"/>
      <c r="B53" s="5"/>
      <c r="C53" s="5"/>
      <c r="D53" s="5"/>
      <c r="E53" s="5"/>
      <c r="F53" s="5"/>
      <c r="G53" s="5"/>
      <c r="H53" s="5"/>
      <c r="I53" s="5"/>
      <c r="J53" s="5"/>
      <c r="O53" s="35"/>
      <c r="P53" s="5"/>
      <c r="Q53" s="5"/>
      <c r="R53" s="5"/>
      <c r="S53" s="5"/>
      <c r="T53" s="5"/>
      <c r="U53" s="5"/>
      <c r="V53" s="5"/>
      <c r="W53" s="5"/>
      <c r="X53" s="5"/>
      <c r="Y53" s="6"/>
    </row>
    <row r="54" spans="1:25" ht="15.75" thickBot="1">
      <c r="A54" s="26" t="s">
        <v>0</v>
      </c>
      <c r="B54" s="12" t="s">
        <v>57</v>
      </c>
      <c r="C54" s="12" t="s">
        <v>58</v>
      </c>
      <c r="D54" s="12" t="s">
        <v>59</v>
      </c>
      <c r="E54" s="12" t="s">
        <v>63</v>
      </c>
      <c r="F54" s="12" t="s">
        <v>64</v>
      </c>
      <c r="G54" s="12" t="s">
        <v>65</v>
      </c>
      <c r="H54" s="12"/>
      <c r="I54" s="12"/>
      <c r="J54" s="13"/>
      <c r="K54" s="80" t="s">
        <v>37</v>
      </c>
      <c r="L54" s="81"/>
      <c r="M54" s="81"/>
      <c r="N54" s="82"/>
      <c r="O54" s="91" t="s">
        <v>32</v>
      </c>
      <c r="P54" s="14"/>
      <c r="Q54" s="12">
        <v>0.1800018889861579</v>
      </c>
      <c r="R54" s="12">
        <v>0.17661609219080737</v>
      </c>
      <c r="S54" s="12">
        <v>0.18067238034885441</v>
      </c>
      <c r="T54" s="12">
        <v>0.51733023551678858</v>
      </c>
      <c r="U54" s="12">
        <v>0.48224395807832049</v>
      </c>
      <c r="V54" s="12">
        <v>0.49486258721390369</v>
      </c>
      <c r="W54" s="12">
        <v>0.8385422511034667</v>
      </c>
      <c r="X54" s="12">
        <v>0.832371872449442</v>
      </c>
      <c r="Y54" s="13">
        <v>0.82657605327210804</v>
      </c>
    </row>
    <row r="55" spans="1:25" ht="15.75" thickBot="1">
      <c r="A55" s="9" t="s">
        <v>10</v>
      </c>
      <c r="B55" s="5">
        <v>3451183.25</v>
      </c>
      <c r="C55" s="5">
        <v>3122259</v>
      </c>
      <c r="D55" s="5">
        <v>4487263.5</v>
      </c>
      <c r="E55" s="5">
        <v>49510628</v>
      </c>
      <c r="F55" s="5">
        <v>53731216</v>
      </c>
      <c r="G55" s="5">
        <v>51968020</v>
      </c>
      <c r="H55" s="5"/>
      <c r="I55" s="5"/>
      <c r="J55" s="6"/>
      <c r="K55" s="2" t="s">
        <v>18</v>
      </c>
      <c r="L55" s="3" t="s">
        <v>19</v>
      </c>
      <c r="M55" s="3"/>
      <c r="N55" s="4" t="s">
        <v>21</v>
      </c>
      <c r="O55" s="91"/>
      <c r="P55" s="15"/>
      <c r="Q55" s="5">
        <v>0.1814712283922065</v>
      </c>
      <c r="R55" s="5">
        <v>0.14194131779813748</v>
      </c>
      <c r="S55" s="5">
        <v>0.15989830642404435</v>
      </c>
      <c r="T55" s="5">
        <v>0.49157283314964417</v>
      </c>
      <c r="U55" s="5">
        <v>0.46225981347443307</v>
      </c>
      <c r="V55" s="5">
        <v>0.47018478348173431</v>
      </c>
      <c r="W55" s="5">
        <v>0.84744919771341332</v>
      </c>
      <c r="X55" s="5">
        <v>0.8420506864734244</v>
      </c>
      <c r="Y55" s="6">
        <v>0.83511771230715071</v>
      </c>
    </row>
    <row r="56" spans="1:25" ht="15.75" thickBot="1">
      <c r="A56" s="9" t="s">
        <v>11</v>
      </c>
      <c r="B56" s="5">
        <v>168502.61</v>
      </c>
      <c r="C56" s="5">
        <v>141643.64000000001</v>
      </c>
      <c r="D56" s="5">
        <v>197990.67</v>
      </c>
      <c r="E56" s="5">
        <v>2715825.25</v>
      </c>
      <c r="F56" s="5">
        <v>2831240.75</v>
      </c>
      <c r="G56" s="5">
        <v>2642569.5</v>
      </c>
      <c r="H56" s="5"/>
      <c r="I56" s="5"/>
      <c r="J56" s="6"/>
      <c r="K56" s="2" t="s">
        <v>0</v>
      </c>
      <c r="L56" s="5">
        <v>2.7411167512690399E-4</v>
      </c>
      <c r="N56" s="6">
        <v>6.852791878172588E-3</v>
      </c>
      <c r="O56" s="91"/>
      <c r="P56" s="25"/>
      <c r="Q56" s="5">
        <v>0.18982614456258973</v>
      </c>
      <c r="R56" s="5">
        <v>0.18845214709358987</v>
      </c>
      <c r="S56" s="5">
        <v>0.24370872657998141</v>
      </c>
      <c r="T56" s="5"/>
      <c r="U56" s="5"/>
      <c r="V56" s="5"/>
      <c r="W56" s="5">
        <v>0.83504490724343416</v>
      </c>
      <c r="X56" s="5">
        <v>0.85139553991165851</v>
      </c>
      <c r="Y56" s="6">
        <v>0.8383272943609017</v>
      </c>
    </row>
    <row r="57" spans="1:25" ht="15.75" thickBot="1">
      <c r="A57" s="9" t="s">
        <v>12</v>
      </c>
      <c r="B57" s="5">
        <v>2805.62</v>
      </c>
      <c r="C57" s="5">
        <v>0</v>
      </c>
      <c r="D57" s="5">
        <v>2473.9299999999998</v>
      </c>
      <c r="E57" s="5">
        <v>20536.73</v>
      </c>
      <c r="F57" s="5">
        <v>32437.5</v>
      </c>
      <c r="G57" s="5">
        <v>10834.86</v>
      </c>
      <c r="H57" s="5"/>
      <c r="I57" s="5"/>
      <c r="J57" s="6"/>
      <c r="O57" s="91"/>
      <c r="P57" s="27"/>
      <c r="Q57" s="7">
        <v>0.1673703991944715</v>
      </c>
      <c r="R57" s="7">
        <v>0.17372100971667107</v>
      </c>
      <c r="S57" s="7">
        <v>0.22673705986494994</v>
      </c>
      <c r="T57" s="7"/>
      <c r="U57" s="7"/>
      <c r="V57" s="7"/>
      <c r="W57" s="7">
        <v>0.83872282563360401</v>
      </c>
      <c r="X57" s="7">
        <v>0.84351760232194051</v>
      </c>
      <c r="Y57" s="8">
        <v>0.84526181135112155</v>
      </c>
    </row>
    <row r="58" spans="1:25" ht="15.75" thickBot="1">
      <c r="A58" s="9" t="s">
        <v>13</v>
      </c>
      <c r="B58" s="5">
        <v>0</v>
      </c>
      <c r="C58" s="5">
        <v>0</v>
      </c>
      <c r="D58" s="5">
        <v>0</v>
      </c>
      <c r="E58" s="5">
        <v>5518.03</v>
      </c>
      <c r="F58" s="5">
        <v>5652.26</v>
      </c>
      <c r="G58" s="5">
        <v>5676.27</v>
      </c>
      <c r="H58" s="5"/>
      <c r="I58" s="5"/>
      <c r="J58" s="6"/>
      <c r="O58" s="35"/>
      <c r="P58" s="5"/>
      <c r="Q58" s="5"/>
      <c r="R58" s="5"/>
      <c r="S58" s="5"/>
      <c r="T58" s="5"/>
      <c r="U58" s="5"/>
      <c r="V58" s="5"/>
      <c r="W58" s="5"/>
      <c r="X58" s="5"/>
      <c r="Y58" s="6"/>
    </row>
    <row r="59" spans="1:25" ht="15.75" thickBot="1">
      <c r="A59" s="9" t="s">
        <v>14</v>
      </c>
      <c r="B59" s="5">
        <v>192751.17</v>
      </c>
      <c r="C59" s="5">
        <v>167649.45000000001</v>
      </c>
      <c r="D59" s="5">
        <v>190239.33</v>
      </c>
      <c r="E59" s="5">
        <v>111946.04</v>
      </c>
      <c r="F59" s="5">
        <v>123325.66</v>
      </c>
      <c r="G59" s="5">
        <v>122050.31</v>
      </c>
      <c r="H59" s="5"/>
      <c r="I59" s="5"/>
      <c r="J59" s="6"/>
      <c r="O59" s="91" t="s">
        <v>33</v>
      </c>
      <c r="P59" s="14"/>
      <c r="Q59" s="12">
        <v>9.4501198888781474E-2</v>
      </c>
      <c r="R59" s="12">
        <v>0.10137991019344722</v>
      </c>
      <c r="S59" s="12">
        <v>9.7761262152684297E-2</v>
      </c>
      <c r="T59" s="12">
        <v>0.34982518549717173</v>
      </c>
      <c r="U59" s="12">
        <v>0.31768346693653765</v>
      </c>
      <c r="V59" s="12">
        <v>0.31630393580572896</v>
      </c>
      <c r="W59" s="12">
        <v>0.70627407189512681</v>
      </c>
      <c r="X59" s="12">
        <v>0.67744957009733675</v>
      </c>
      <c r="Y59" s="13">
        <v>0.68525752844090604</v>
      </c>
    </row>
    <row r="60" spans="1:25" ht="15.75" thickBot="1">
      <c r="A60" s="9" t="s">
        <v>15</v>
      </c>
      <c r="B60" s="5">
        <v>5236703.5</v>
      </c>
      <c r="C60" s="5">
        <v>4448014.5</v>
      </c>
      <c r="D60" s="5">
        <v>5002038.5</v>
      </c>
      <c r="E60" s="5">
        <v>3398949.75</v>
      </c>
      <c r="F60" s="5">
        <v>3326498.75</v>
      </c>
      <c r="G60" s="5">
        <v>3476672</v>
      </c>
      <c r="H60" s="5"/>
      <c r="I60" s="5"/>
      <c r="J60" s="6"/>
      <c r="O60" s="91"/>
      <c r="P60" s="15"/>
      <c r="Q60" s="5">
        <v>0.10155971474417763</v>
      </c>
      <c r="R60" s="5">
        <v>9.5700706687556272E-2</v>
      </c>
      <c r="S60" s="5">
        <v>9.003223874244648E-2</v>
      </c>
      <c r="T60" s="5">
        <v>0.36007621342357721</v>
      </c>
      <c r="U60" s="5">
        <v>0.31182088150538595</v>
      </c>
      <c r="V60" s="5">
        <v>0.31846209040442108</v>
      </c>
      <c r="W60" s="5">
        <v>0.71581180981363646</v>
      </c>
      <c r="X60" s="5">
        <v>0.69572513601774311</v>
      </c>
      <c r="Y60" s="6">
        <v>0.6941007878517933</v>
      </c>
    </row>
    <row r="61" spans="1:25" ht="15.75" thickBot="1">
      <c r="A61" s="9"/>
      <c r="B61" s="5"/>
      <c r="C61" s="5"/>
      <c r="D61" s="5"/>
      <c r="E61" s="5"/>
      <c r="F61" s="5"/>
      <c r="G61" s="5"/>
      <c r="H61" s="5"/>
      <c r="I61" s="5"/>
      <c r="J61" s="6"/>
      <c r="O61" s="91"/>
      <c r="P61" s="25"/>
      <c r="Q61" s="5">
        <v>0.10787531737200835</v>
      </c>
      <c r="R61" s="5">
        <v>8.8147166798794085E-2</v>
      </c>
      <c r="S61" s="5">
        <v>0.14383053063099258</v>
      </c>
      <c r="T61" s="5"/>
      <c r="U61" s="5"/>
      <c r="V61" s="5"/>
      <c r="W61" s="5">
        <v>0.71290251373959002</v>
      </c>
      <c r="X61" s="5">
        <v>0.68998046401067137</v>
      </c>
      <c r="Y61" s="6">
        <v>0.7448081846259752</v>
      </c>
    </row>
    <row r="62" spans="1:25" ht="15.75" thickBot="1">
      <c r="A62" s="9" t="s">
        <v>16</v>
      </c>
      <c r="B62" s="5">
        <f t="shared" ref="B62:G62" si="10">SUM(B55:B56)/SUM(B55:B60)</f>
        <v>0.39987929667478189</v>
      </c>
      <c r="C62" s="5">
        <f t="shared" si="10"/>
        <v>0.41422362546465896</v>
      </c>
      <c r="D62" s="5">
        <f t="shared" si="10"/>
        <v>0.474215724483882</v>
      </c>
      <c r="E62" s="5">
        <f t="shared" si="10"/>
        <v>0.93657219055914231</v>
      </c>
      <c r="F62" s="5">
        <f t="shared" si="10"/>
        <v>0.94191685885426679</v>
      </c>
      <c r="G62" s="5">
        <f t="shared" si="10"/>
        <v>0.9379101357875973</v>
      </c>
      <c r="H62" s="5"/>
      <c r="I62" s="5"/>
      <c r="J62" s="6"/>
      <c r="O62" s="91"/>
      <c r="P62" s="27"/>
      <c r="Q62" s="7">
        <v>0.10852695135721895</v>
      </c>
      <c r="R62" s="7">
        <v>8.7598880253831501E-2</v>
      </c>
      <c r="S62" s="7">
        <v>0.13898734166919566</v>
      </c>
      <c r="T62" s="7"/>
      <c r="U62" s="7"/>
      <c r="V62" s="7"/>
      <c r="W62" s="7">
        <v>0.72579814225192396</v>
      </c>
      <c r="X62" s="7">
        <v>0.70501069078389234</v>
      </c>
      <c r="Y62" s="8">
        <v>0.75465477744078402</v>
      </c>
    </row>
    <row r="63" spans="1:25" ht="15.75" thickBot="1">
      <c r="A63" s="9" t="s">
        <v>17</v>
      </c>
      <c r="B63" s="5">
        <f>(SUM(B57:B60))/(SUM(B55:B56))</f>
        <v>1.5007546234965263</v>
      </c>
      <c r="C63" s="5">
        <f>(SUM(C57:C60))/(SUM(C55:C56))</f>
        <v>1.4141549118021486</v>
      </c>
      <c r="D63" s="5">
        <f t="shared" ref="D63:G63" si="11">(SUM(D57:D60))/(SUM(D55:D56))</f>
        <v>1.1087449200221298</v>
      </c>
      <c r="E63" s="5">
        <f t="shared" si="11"/>
        <v>6.7723353394670727E-2</v>
      </c>
      <c r="F63" s="5">
        <f t="shared" si="11"/>
        <v>6.1664828057525982E-2</v>
      </c>
      <c r="G63" s="5">
        <f t="shared" si="11"/>
        <v>6.6200227338692255E-2</v>
      </c>
      <c r="H63" s="5"/>
      <c r="I63" s="5"/>
      <c r="J63" s="6"/>
      <c r="O63" s="35"/>
      <c r="P63" s="5"/>
      <c r="Q63" s="5"/>
      <c r="R63" s="5"/>
      <c r="S63" s="5"/>
      <c r="T63" s="5"/>
      <c r="U63" s="5"/>
      <c r="V63" s="5"/>
      <c r="W63" s="5"/>
      <c r="X63" s="5"/>
      <c r="Y63" s="6"/>
    </row>
    <row r="64" spans="1:25" ht="15.75" thickBot="1">
      <c r="A64" s="9" t="s">
        <v>38</v>
      </c>
      <c r="B64" s="5">
        <f>B63*$L$56</f>
        <v>4.1137436380107894E-4</v>
      </c>
      <c r="C64" s="5">
        <f t="shared" ref="C64:D64" si="12">C63*$L$56</f>
        <v>3.8763637176302608E-4</v>
      </c>
      <c r="D64" s="5">
        <f t="shared" si="12"/>
        <v>3.0391992731571119E-4</v>
      </c>
      <c r="E64" s="5">
        <f>E63*$N$56</f>
        <v>4.6409404610561154E-4</v>
      </c>
      <c r="F64" s="5">
        <f t="shared" ref="F64:G64" si="13">F63*$N$56</f>
        <v>4.2257623288152318E-4</v>
      </c>
      <c r="G64" s="5">
        <f t="shared" si="13"/>
        <v>4.5365638023976923E-4</v>
      </c>
      <c r="H64" s="5"/>
      <c r="I64" s="5"/>
      <c r="J64" s="6"/>
      <c r="O64" s="91" t="s">
        <v>34</v>
      </c>
      <c r="P64" s="14"/>
      <c r="Q64" s="12">
        <v>7.3619975708517804E-2</v>
      </c>
      <c r="R64" s="12">
        <v>7.6795483284404845E-2</v>
      </c>
      <c r="S64" s="12">
        <v>7.190048313856022E-2</v>
      </c>
      <c r="T64" s="12">
        <v>0.24970071271255598</v>
      </c>
      <c r="U64" s="12">
        <v>0.25003026671040074</v>
      </c>
      <c r="V64" s="12">
        <v>0.24535504017660351</v>
      </c>
      <c r="W64" s="12">
        <v>0.6426436284505449</v>
      </c>
      <c r="X64" s="12">
        <v>0.65474390809032856</v>
      </c>
      <c r="Y64" s="13">
        <v>0.64398474892216395</v>
      </c>
    </row>
    <row r="65" spans="1:25" ht="15.75" thickBot="1">
      <c r="A65" s="9" t="s">
        <v>51</v>
      </c>
      <c r="B65" s="5">
        <f>AVERAGE(B64:D64)</f>
        <v>3.6764355429327205E-4</v>
      </c>
      <c r="C65" s="5"/>
      <c r="D65" s="5"/>
      <c r="E65" s="5">
        <f>AVERAGE(E64:G64)</f>
        <v>4.4677555307563467E-4</v>
      </c>
      <c r="F65" s="5"/>
      <c r="G65" s="5"/>
      <c r="H65" s="5"/>
      <c r="I65" s="5"/>
      <c r="J65" s="6"/>
      <c r="O65" s="91"/>
      <c r="P65" s="15"/>
      <c r="Q65" s="5">
        <v>6.8315735983390594E-2</v>
      </c>
      <c r="R65" s="5">
        <v>7.0163161870375176E-2</v>
      </c>
      <c r="S65" s="5">
        <v>6.5333968973762854E-2</v>
      </c>
      <c r="T65" s="5">
        <v>0.25211787478110304</v>
      </c>
      <c r="U65" s="5">
        <v>0.23926067630676609</v>
      </c>
      <c r="V65" s="5">
        <v>0.24835893117112987</v>
      </c>
      <c r="W65" s="5">
        <v>0.66190095374885138</v>
      </c>
      <c r="X65" s="5">
        <v>0.66962511936643909</v>
      </c>
      <c r="Y65" s="6">
        <v>0.67108287413410905</v>
      </c>
    </row>
    <row r="66" spans="1:25" ht="15.75" thickBot="1">
      <c r="A66" s="9" t="s">
        <v>52</v>
      </c>
      <c r="B66" s="5">
        <f>_xlfn.STDEV.P(B64:D64)</f>
        <v>4.6089756945053491E-5</v>
      </c>
      <c r="C66" s="5"/>
      <c r="D66" s="5"/>
      <c r="E66" s="5">
        <f>_xlfn.STDEV.P(E64:G64)</f>
        <v>1.7634087077297969E-5</v>
      </c>
      <c r="F66" s="5"/>
      <c r="G66" s="5"/>
      <c r="H66" s="5"/>
      <c r="I66" s="5"/>
      <c r="J66" s="6"/>
      <c r="O66" s="91"/>
      <c r="P66" s="25"/>
      <c r="Q66" s="5">
        <v>7.2599732664641065E-2</v>
      </c>
      <c r="R66" s="5">
        <v>6.9558057451052549E-2</v>
      </c>
      <c r="S66" s="5">
        <v>9.204854770596449E-2</v>
      </c>
      <c r="T66" s="5"/>
      <c r="U66" s="5"/>
      <c r="V66" s="5"/>
      <c r="W66" s="5">
        <v>0.59345884384214131</v>
      </c>
      <c r="X66" s="5">
        <v>0.61729961101583053</v>
      </c>
      <c r="Y66" s="6">
        <v>0.62742894233000623</v>
      </c>
    </row>
    <row r="67" spans="1:25" ht="15.75" thickBot="1">
      <c r="A67" s="9" t="s">
        <v>53</v>
      </c>
      <c r="B67" s="5">
        <f>AVERAGE(B65,E65)</f>
        <v>4.0720955368445339E-4</v>
      </c>
      <c r="C67" s="5"/>
      <c r="D67" s="5"/>
      <c r="E67" s="5"/>
      <c r="F67" s="5"/>
      <c r="G67" s="5"/>
      <c r="H67" s="5"/>
      <c r="I67" s="5"/>
      <c r="J67" s="6"/>
      <c r="O67" s="91"/>
      <c r="P67" s="27"/>
      <c r="Q67" s="7">
        <v>7.1752425899051384E-2</v>
      </c>
      <c r="R67" s="7">
        <v>6.0831274112068838E-2</v>
      </c>
      <c r="S67" s="7">
        <v>8.2428904102751319E-2</v>
      </c>
      <c r="T67" s="7"/>
      <c r="U67" s="7"/>
      <c r="V67" s="7"/>
      <c r="W67" s="7">
        <v>0.61274542126235054</v>
      </c>
      <c r="X67" s="7">
        <v>0.6320670530035597</v>
      </c>
      <c r="Y67" s="8">
        <v>0.64860905494221399</v>
      </c>
    </row>
    <row r="68" spans="1:25" ht="15.75" thickBot="1">
      <c r="A68" s="10" t="s">
        <v>54</v>
      </c>
      <c r="B68" s="7">
        <f>_xlfn.STDEV.P(B65,E65)</f>
        <v>3.9565999391181307E-5</v>
      </c>
      <c r="C68" s="7"/>
      <c r="D68" s="7"/>
      <c r="E68" s="7"/>
      <c r="F68" s="7"/>
      <c r="G68" s="7"/>
      <c r="H68" s="7"/>
      <c r="I68" s="7"/>
      <c r="J68" s="8"/>
      <c r="O68" s="35"/>
      <c r="P68" s="5"/>
      <c r="Q68" s="5"/>
      <c r="R68" s="5"/>
      <c r="S68" s="5"/>
      <c r="T68" s="5"/>
      <c r="U68" s="5"/>
      <c r="V68" s="5"/>
      <c r="W68" s="5"/>
      <c r="X68" s="5"/>
      <c r="Y68" s="6"/>
    </row>
    <row r="69" spans="1:25" ht="15.75" thickBot="1">
      <c r="A69" s="5"/>
      <c r="B69" s="5"/>
      <c r="C69" s="5"/>
      <c r="D69" s="5"/>
      <c r="E69" s="5"/>
      <c r="F69" s="5"/>
      <c r="G69" s="5"/>
      <c r="H69" s="5"/>
      <c r="I69" s="5"/>
      <c r="J69" s="5"/>
      <c r="O69" s="91" t="s">
        <v>30</v>
      </c>
      <c r="P69" s="14"/>
      <c r="Q69" s="12" t="s">
        <v>86</v>
      </c>
      <c r="R69" s="12"/>
      <c r="S69" s="12"/>
      <c r="T69" s="12"/>
      <c r="U69" s="12"/>
      <c r="V69" s="12"/>
      <c r="W69" s="12"/>
      <c r="X69" s="12"/>
      <c r="Y69" s="13"/>
    </row>
    <row r="70" spans="1:25" ht="15.75" thickBot="1">
      <c r="A70" s="14" t="s">
        <v>22</v>
      </c>
      <c r="B70" s="12" t="s">
        <v>1</v>
      </c>
      <c r="C70" s="12" t="s">
        <v>2</v>
      </c>
      <c r="D70" s="12" t="s">
        <v>3</v>
      </c>
      <c r="E70" s="12" t="s">
        <v>4</v>
      </c>
      <c r="F70" s="12" t="s">
        <v>5</v>
      </c>
      <c r="G70" s="12" t="s">
        <v>6</v>
      </c>
      <c r="H70" s="12" t="s">
        <v>7</v>
      </c>
      <c r="I70" s="12" t="s">
        <v>8</v>
      </c>
      <c r="J70" s="13" t="s">
        <v>9</v>
      </c>
      <c r="K70" s="80" t="s">
        <v>39</v>
      </c>
      <c r="L70" s="81"/>
      <c r="M70" s="81"/>
      <c r="N70" s="82"/>
      <c r="O70" s="91"/>
      <c r="P70" s="15"/>
      <c r="Q70" s="12">
        <v>9.3343439192754021E-2</v>
      </c>
      <c r="R70" s="12">
        <v>0.10117645913653947</v>
      </c>
      <c r="S70" s="12">
        <v>9.6794735992747488E-2</v>
      </c>
      <c r="T70" s="12">
        <v>0.30549194229313015</v>
      </c>
      <c r="U70" s="12">
        <v>0.31914448263685741</v>
      </c>
      <c r="V70" s="12">
        <v>0.34990695508336273</v>
      </c>
      <c r="W70" s="12">
        <v>0.77343917062986933</v>
      </c>
      <c r="X70" s="12">
        <v>0.77334317449417656</v>
      </c>
      <c r="Y70" s="13">
        <v>0.76673096564284526</v>
      </c>
    </row>
    <row r="71" spans="1:25" ht="15.75" thickBot="1">
      <c r="A71" s="9" t="s">
        <v>10</v>
      </c>
      <c r="B71" s="5">
        <v>165374.14000000001</v>
      </c>
      <c r="C71" s="5">
        <v>185485.64</v>
      </c>
      <c r="D71" s="5">
        <v>174330.39</v>
      </c>
      <c r="E71" s="5">
        <v>786400.81</v>
      </c>
      <c r="F71" s="5">
        <v>795168.56</v>
      </c>
      <c r="G71" s="5">
        <v>822054.5</v>
      </c>
      <c r="H71" s="5">
        <v>4021321.75</v>
      </c>
      <c r="I71" s="5">
        <v>4141820.25</v>
      </c>
      <c r="J71" s="6">
        <v>4304332.5</v>
      </c>
      <c r="K71" s="2" t="s">
        <v>18</v>
      </c>
      <c r="L71" s="3" t="s">
        <v>19</v>
      </c>
      <c r="M71" s="3" t="s">
        <v>20</v>
      </c>
      <c r="N71" s="4" t="s">
        <v>21</v>
      </c>
      <c r="O71" s="91"/>
      <c r="P71" s="25"/>
      <c r="Q71" s="5" t="s">
        <v>86</v>
      </c>
      <c r="R71" s="5"/>
      <c r="S71" s="5"/>
      <c r="T71" s="5"/>
      <c r="U71" s="5"/>
      <c r="V71" s="5"/>
      <c r="W71" s="5"/>
      <c r="X71" s="5"/>
      <c r="Y71" s="6"/>
    </row>
    <row r="72" spans="1:25" ht="15.75" thickBot="1">
      <c r="A72" s="9" t="s">
        <v>11</v>
      </c>
      <c r="B72" s="5">
        <v>8717.93</v>
      </c>
      <c r="C72" s="5">
        <v>0</v>
      </c>
      <c r="D72" s="5">
        <v>6954.53</v>
      </c>
      <c r="E72" s="5">
        <v>41970.96</v>
      </c>
      <c r="F72" s="5">
        <v>43042.43</v>
      </c>
      <c r="G72" s="5">
        <v>44938.41</v>
      </c>
      <c r="H72" s="5">
        <v>204958.42</v>
      </c>
      <c r="I72" s="5">
        <v>229475.95</v>
      </c>
      <c r="J72" s="6">
        <v>222761.33</v>
      </c>
      <c r="K72" s="2" t="s">
        <v>22</v>
      </c>
      <c r="L72" s="5">
        <v>1.1849744319274097E-5</v>
      </c>
      <c r="M72" s="5">
        <v>5.9248721596370485E-5</v>
      </c>
      <c r="N72" s="6">
        <v>2.9624360798185243E-4</v>
      </c>
      <c r="O72" s="91"/>
      <c r="P72" s="27"/>
      <c r="Q72" s="7">
        <v>0.31862390458821549</v>
      </c>
      <c r="R72" s="7">
        <v>0.29768745388385759</v>
      </c>
      <c r="S72" s="7">
        <v>0.30467810781034088</v>
      </c>
      <c r="T72" s="7"/>
      <c r="U72" s="7"/>
      <c r="V72" s="7"/>
      <c r="W72" s="7">
        <v>0.90084636034299936</v>
      </c>
      <c r="X72" s="7">
        <v>0.88295904927971236</v>
      </c>
      <c r="Y72" s="8">
        <v>0.91037628425141204</v>
      </c>
    </row>
    <row r="73" spans="1:25" ht="15.75" thickBot="1">
      <c r="A73" s="9" t="s">
        <v>12</v>
      </c>
      <c r="B73" s="5">
        <v>0</v>
      </c>
      <c r="C73" s="5">
        <v>0</v>
      </c>
      <c r="D73" s="5">
        <v>0</v>
      </c>
      <c r="E73" s="5">
        <v>1815.14</v>
      </c>
      <c r="F73" s="5">
        <v>0</v>
      </c>
      <c r="G73" s="5">
        <v>0</v>
      </c>
      <c r="H73" s="5">
        <v>1089.71</v>
      </c>
      <c r="I73" s="5">
        <v>0</v>
      </c>
      <c r="J73" s="6">
        <v>1275.23</v>
      </c>
      <c r="O73" s="9"/>
      <c r="P73" s="5"/>
      <c r="Q73" s="5"/>
      <c r="R73" s="5"/>
      <c r="S73" s="5"/>
      <c r="T73" s="5"/>
      <c r="U73" s="5"/>
      <c r="V73" s="5"/>
      <c r="W73" s="5"/>
      <c r="X73" s="5"/>
      <c r="Y73" s="6"/>
    </row>
    <row r="74" spans="1:25" ht="15.75" thickBot="1">
      <c r="A74" s="9" t="s">
        <v>14</v>
      </c>
      <c r="B74" s="5">
        <v>22212.65</v>
      </c>
      <c r="C74" s="5">
        <v>30344.04</v>
      </c>
      <c r="D74" s="5">
        <v>27219.54</v>
      </c>
      <c r="E74" s="5">
        <v>19841.72</v>
      </c>
      <c r="F74" s="5">
        <v>21933.22</v>
      </c>
      <c r="G74" s="5">
        <v>23414.79</v>
      </c>
      <c r="H74" s="5">
        <v>19421.439999999999</v>
      </c>
      <c r="I74" s="5">
        <v>23551.61</v>
      </c>
      <c r="J74" s="6">
        <v>26820.83</v>
      </c>
      <c r="K74" s="2"/>
      <c r="O74" s="91" t="s">
        <v>31</v>
      </c>
      <c r="P74" s="14"/>
      <c r="Q74" s="12" t="s">
        <v>86</v>
      </c>
      <c r="R74" s="12"/>
      <c r="S74" s="12"/>
      <c r="T74" s="12"/>
      <c r="U74" s="12"/>
      <c r="V74" s="12"/>
      <c r="W74" s="12"/>
      <c r="X74" s="12"/>
      <c r="Y74" s="13"/>
    </row>
    <row r="75" spans="1:25" ht="15.75" thickBot="1">
      <c r="A75" s="9" t="s">
        <v>15</v>
      </c>
      <c r="B75" s="5">
        <v>508945.22</v>
      </c>
      <c r="C75" s="5">
        <v>643300</v>
      </c>
      <c r="D75" s="5">
        <v>659261.06000000006</v>
      </c>
      <c r="E75" s="5">
        <v>467315.66</v>
      </c>
      <c r="F75" s="5">
        <v>527139.75</v>
      </c>
      <c r="G75" s="5">
        <v>557109.31000000006</v>
      </c>
      <c r="H75" s="5">
        <v>508840.03</v>
      </c>
      <c r="I75" s="5">
        <v>557466.43999999994</v>
      </c>
      <c r="J75" s="6">
        <v>589860.43999999994</v>
      </c>
      <c r="K75" s="2"/>
      <c r="O75" s="91"/>
      <c r="P75" s="15"/>
      <c r="Q75" s="12">
        <v>9.489293472300421E-2</v>
      </c>
      <c r="R75" s="12">
        <v>0.10020634264619196</v>
      </c>
      <c r="S75" s="12">
        <v>0.12916458172969994</v>
      </c>
      <c r="T75" s="12">
        <v>0.35968707086913609</v>
      </c>
      <c r="U75" s="12">
        <v>0.34065038234762596</v>
      </c>
      <c r="V75" s="12">
        <v>0.36145356837252596</v>
      </c>
      <c r="W75" s="12">
        <v>0.72771975808579015</v>
      </c>
      <c r="X75" s="12">
        <v>0.73208618106972645</v>
      </c>
      <c r="Y75" s="13">
        <v>0.75530797560891982</v>
      </c>
    </row>
    <row r="76" spans="1:25" ht="15.75" thickBot="1">
      <c r="A76" s="9"/>
      <c r="B76" s="5"/>
      <c r="C76" s="5"/>
      <c r="D76" s="5"/>
      <c r="E76" s="5"/>
      <c r="F76" s="5"/>
      <c r="G76" s="5"/>
      <c r="H76" s="5"/>
      <c r="I76" s="5"/>
      <c r="J76" s="6"/>
      <c r="K76" s="2"/>
      <c r="O76" s="91"/>
      <c r="P76" s="25"/>
      <c r="Q76" s="5" t="s">
        <v>86</v>
      </c>
      <c r="R76" s="5"/>
      <c r="S76" s="5"/>
      <c r="T76" s="5"/>
      <c r="U76" s="5"/>
      <c r="V76" s="5"/>
      <c r="W76" s="5"/>
      <c r="X76" s="5"/>
      <c r="Y76" s="6"/>
    </row>
    <row r="77" spans="1:25" ht="15.75" thickBot="1">
      <c r="A77" s="9" t="s">
        <v>16</v>
      </c>
      <c r="B77" s="5">
        <f>SUM(B71:B72)/SUM(B71:B75)</f>
        <v>0.24685159136631762</v>
      </c>
      <c r="C77" s="5">
        <f t="shared" ref="C77:J77" si="14">SUM(C71:C72)/SUM(C71:C75)</f>
        <v>0.2158994670047949</v>
      </c>
      <c r="D77" s="5">
        <f t="shared" si="14"/>
        <v>0.20891002905946299</v>
      </c>
      <c r="E77" s="5">
        <f t="shared" si="14"/>
        <v>0.62881949410506799</v>
      </c>
      <c r="F77" s="5">
        <f t="shared" si="14"/>
        <v>0.604210107064166</v>
      </c>
      <c r="G77" s="5">
        <f t="shared" si="14"/>
        <v>0.59895179401035148</v>
      </c>
      <c r="H77" s="5">
        <f t="shared" si="14"/>
        <v>0.88868961005566582</v>
      </c>
      <c r="I77" s="5">
        <f t="shared" si="14"/>
        <v>0.882677467408293</v>
      </c>
      <c r="J77" s="6">
        <f t="shared" si="14"/>
        <v>0.87989301165883838</v>
      </c>
      <c r="K77" s="2"/>
      <c r="O77" s="92"/>
      <c r="P77" s="27"/>
      <c r="Q77" s="7">
        <v>0.12519565753428272</v>
      </c>
      <c r="R77" s="7">
        <v>9.7956243021816575E-2</v>
      </c>
      <c r="S77" s="7">
        <v>0.17758669514428302</v>
      </c>
      <c r="T77" s="7"/>
      <c r="U77" s="7"/>
      <c r="V77" s="7"/>
      <c r="W77" s="7">
        <v>0.73073495024311719</v>
      </c>
      <c r="X77" s="7">
        <v>0.6806618534811697</v>
      </c>
      <c r="Y77" s="8">
        <v>0.77697296107872083</v>
      </c>
    </row>
    <row r="78" spans="1:25">
      <c r="A78" s="9" t="s">
        <v>17</v>
      </c>
      <c r="B78" s="5">
        <f>SUM(B73:B75)/SUM(B71:B72)</f>
        <v>3.051017027943892</v>
      </c>
      <c r="C78" s="5">
        <f t="shared" ref="C78:D78" si="15">SUM(C73:C75)/SUM(C71:C72)</f>
        <v>3.631785403980599</v>
      </c>
      <c r="D78" s="5">
        <f t="shared" si="15"/>
        <v>3.7867496093993922</v>
      </c>
      <c r="E78" s="5">
        <f t="shared" ref="E78:J78" si="16">SUM(E73:E75)/SUM(E71:E72)</f>
        <v>0.59028148677736803</v>
      </c>
      <c r="F78" s="5">
        <f t="shared" si="16"/>
        <v>0.65505341322236765</v>
      </c>
      <c r="G78" s="5">
        <f t="shared" si="16"/>
        <v>0.66958344561318273</v>
      </c>
      <c r="H78" s="5">
        <f t="shared" si="16"/>
        <v>0.12525226882911553</v>
      </c>
      <c r="I78" s="5">
        <f t="shared" si="16"/>
        <v>0.13291665067217359</v>
      </c>
      <c r="J78" s="6">
        <f t="shared" si="16"/>
        <v>0.13650180959469974</v>
      </c>
      <c r="K78" s="2"/>
    </row>
    <row r="79" spans="1:25">
      <c r="A79" s="9" t="s">
        <v>38</v>
      </c>
      <c r="B79" s="5">
        <f>B78*$L$72</f>
        <v>3.6153771694886673E-5</v>
      </c>
      <c r="C79" s="5">
        <f>C78*$L$72</f>
        <v>4.3035728459641685E-5</v>
      </c>
      <c r="D79" s="5">
        <f>D78*$L$72</f>
        <v>4.4872014672493851E-5</v>
      </c>
      <c r="E79" s="5">
        <f>E78*$M$72</f>
        <v>3.4973423473563926E-5</v>
      </c>
      <c r="F79" s="5">
        <f t="shared" ref="F79:G79" si="17">F78*$M$72</f>
        <v>3.8811077310764295E-5</v>
      </c>
      <c r="G79" s="5">
        <f t="shared" si="17"/>
        <v>3.9671963154673943E-5</v>
      </c>
      <c r="H79" s="5">
        <f>H78*$N$72</f>
        <v>3.7105184025850098E-5</v>
      </c>
      <c r="I79" s="5">
        <f t="shared" ref="I79:J79" si="18">I78*$N$72</f>
        <v>3.9375708155988217E-5</v>
      </c>
      <c r="J79" s="6">
        <f t="shared" si="18"/>
        <v>4.0437788570385693E-5</v>
      </c>
      <c r="K79" s="2"/>
    </row>
    <row r="80" spans="1:25">
      <c r="A80" s="9" t="s">
        <v>51</v>
      </c>
      <c r="B80" s="5">
        <f>AVERAGE(B79:D79)</f>
        <v>4.135383827567407E-5</v>
      </c>
      <c r="C80" s="5"/>
      <c r="D80" s="5"/>
      <c r="E80" s="5">
        <f>AVERAGE(E79:G79)</f>
        <v>3.7818821313000726E-5</v>
      </c>
      <c r="F80" s="5"/>
      <c r="G80" s="5"/>
      <c r="H80" s="5">
        <f>AVERAGE(H79:J79)</f>
        <v>3.8972893584074667E-5</v>
      </c>
      <c r="I80" s="5"/>
      <c r="J80" s="6"/>
      <c r="K80" s="2"/>
    </row>
    <row r="81" spans="1:14">
      <c r="A81" s="9" t="s">
        <v>52</v>
      </c>
      <c r="B81" s="5">
        <f>_xlfn.STDEV.P(B79:D79)</f>
        <v>3.7526440542941794E-6</v>
      </c>
      <c r="C81" s="5"/>
      <c r="D81" s="5"/>
      <c r="E81" s="5">
        <f>_xlfn.STDEV.P(E79:G79)</f>
        <v>2.0424654640188647E-6</v>
      </c>
      <c r="F81" s="5"/>
      <c r="G81" s="5"/>
      <c r="H81" s="5">
        <f>_xlfn.STDEV.P(H79:J79)</f>
        <v>1.3900258863475039E-6</v>
      </c>
      <c r="I81" s="5"/>
      <c r="J81" s="6"/>
      <c r="K81" s="2"/>
    </row>
    <row r="82" spans="1:14">
      <c r="A82" s="9" t="s">
        <v>53</v>
      </c>
      <c r="B82" s="5">
        <f>AVERAGE(B80,E80,H80)</f>
        <v>3.9381851057583159E-5</v>
      </c>
      <c r="C82" s="5"/>
      <c r="D82" s="5"/>
      <c r="E82" s="5"/>
      <c r="F82" s="5"/>
      <c r="G82" s="5"/>
      <c r="H82" s="5"/>
      <c r="I82" s="5"/>
      <c r="J82" s="6"/>
      <c r="K82" s="2"/>
    </row>
    <row r="83" spans="1:14" ht="15.75" thickBot="1">
      <c r="A83" s="10" t="s">
        <v>54</v>
      </c>
      <c r="B83" s="7">
        <f>_xlfn.STDEV.P(B80,E80,H80)</f>
        <v>1.4718516440073939E-6</v>
      </c>
      <c r="C83" s="7"/>
      <c r="D83" s="7"/>
      <c r="E83" s="7"/>
      <c r="F83" s="7"/>
      <c r="G83" s="7"/>
      <c r="H83" s="7"/>
      <c r="I83" s="7"/>
      <c r="J83" s="8"/>
      <c r="K83" s="2"/>
    </row>
    <row r="84" spans="1:14" ht="15.75" thickBot="1">
      <c r="K84" s="2"/>
    </row>
    <row r="85" spans="1:14">
      <c r="A85" s="25" t="s">
        <v>22</v>
      </c>
      <c r="B85" s="12" t="s">
        <v>1</v>
      </c>
      <c r="C85" s="12" t="s">
        <v>2</v>
      </c>
      <c r="D85" s="12" t="s">
        <v>3</v>
      </c>
      <c r="E85" s="12" t="s">
        <v>7</v>
      </c>
      <c r="F85" s="12" t="s">
        <v>8</v>
      </c>
      <c r="G85" s="12" t="s">
        <v>9</v>
      </c>
      <c r="H85" s="12"/>
      <c r="I85" s="12"/>
      <c r="J85" s="13"/>
      <c r="K85" s="80" t="s">
        <v>37</v>
      </c>
      <c r="L85" s="81"/>
      <c r="M85" s="81"/>
      <c r="N85" s="82"/>
    </row>
    <row r="86" spans="1:14">
      <c r="A86" s="9" t="s">
        <v>10</v>
      </c>
      <c r="B86" s="5">
        <v>160011.64000000001</v>
      </c>
      <c r="C86" s="5">
        <v>159888.89000000001</v>
      </c>
      <c r="D86" s="5">
        <v>235377.88</v>
      </c>
      <c r="E86" s="5">
        <v>3029598</v>
      </c>
      <c r="F86" s="5">
        <v>2891667</v>
      </c>
      <c r="G86" s="5">
        <v>3246171.25</v>
      </c>
      <c r="H86" s="5"/>
      <c r="I86" s="5"/>
      <c r="J86" s="6"/>
      <c r="K86" s="2" t="s">
        <v>18</v>
      </c>
      <c r="L86" s="3" t="s">
        <v>19</v>
      </c>
      <c r="M86" s="3"/>
      <c r="N86" s="4" t="s">
        <v>21</v>
      </c>
    </row>
    <row r="87" spans="1:14">
      <c r="A87" s="9" t="s">
        <v>11</v>
      </c>
      <c r="B87" s="5">
        <v>4530.9799999999996</v>
      </c>
      <c r="C87" s="5">
        <v>9233.6</v>
      </c>
      <c r="D87" s="5">
        <v>13399.95</v>
      </c>
      <c r="E87" s="5">
        <v>173197.11</v>
      </c>
      <c r="F87" s="5">
        <v>148191.98000000001</v>
      </c>
      <c r="G87" s="5">
        <v>176078.11</v>
      </c>
      <c r="H87" s="5"/>
      <c r="I87" s="5"/>
      <c r="J87" s="6"/>
      <c r="K87" s="2" t="s">
        <v>22</v>
      </c>
      <c r="L87" s="5">
        <v>1.1849744319274097E-5</v>
      </c>
      <c r="N87" s="6">
        <v>2.9624360798185243E-4</v>
      </c>
    </row>
    <row r="88" spans="1:14">
      <c r="A88" s="9" t="s">
        <v>14</v>
      </c>
      <c r="B88" s="5">
        <v>24524.16</v>
      </c>
      <c r="C88" s="5">
        <v>18798</v>
      </c>
      <c r="D88" s="5">
        <v>26542.959999999999</v>
      </c>
      <c r="E88" s="5">
        <v>18000.849999999999</v>
      </c>
      <c r="F88" s="5">
        <v>20172.11</v>
      </c>
      <c r="G88" s="5">
        <v>19281.939999999999</v>
      </c>
      <c r="H88" s="5"/>
      <c r="I88" s="5"/>
      <c r="J88" s="6"/>
    </row>
    <row r="89" spans="1:14">
      <c r="A89" s="9" t="s">
        <v>15</v>
      </c>
      <c r="B89" s="5">
        <v>541989.75</v>
      </c>
      <c r="C89" s="5">
        <v>418956.25</v>
      </c>
      <c r="D89" s="5">
        <v>575675.43999999994</v>
      </c>
      <c r="E89" s="5">
        <v>385258.16</v>
      </c>
      <c r="F89" s="5">
        <v>399164.09</v>
      </c>
      <c r="G89" s="5">
        <v>438885.5</v>
      </c>
      <c r="H89" s="5"/>
      <c r="I89" s="5"/>
      <c r="J89" s="6"/>
    </row>
    <row r="90" spans="1:14">
      <c r="A90" s="9"/>
      <c r="B90" s="5"/>
      <c r="C90" s="5"/>
      <c r="D90" s="5"/>
      <c r="E90" s="5"/>
      <c r="F90" s="5"/>
      <c r="G90" s="5"/>
      <c r="H90" s="5"/>
      <c r="I90" s="5"/>
      <c r="J90" s="6"/>
    </row>
    <row r="91" spans="1:14">
      <c r="A91" s="9" t="s">
        <v>16</v>
      </c>
      <c r="B91" s="5">
        <f t="shared" ref="B91:G91" si="19">SUM(B86:B87)/SUM(B86:B89)</f>
        <v>0.22507509781767496</v>
      </c>
      <c r="C91" s="5">
        <f t="shared" si="19"/>
        <v>0.27867683641986346</v>
      </c>
      <c r="D91" s="5">
        <f t="shared" si="19"/>
        <v>0.29233717051836999</v>
      </c>
      <c r="E91" s="5">
        <f t="shared" si="19"/>
        <v>0.88817167003583397</v>
      </c>
      <c r="F91" s="5">
        <f t="shared" si="19"/>
        <v>0.8787763690165642</v>
      </c>
      <c r="G91" s="5">
        <f t="shared" si="19"/>
        <v>0.88192829182679555</v>
      </c>
      <c r="H91" s="5"/>
      <c r="I91" s="5"/>
      <c r="J91" s="6"/>
    </row>
    <row r="92" spans="1:14">
      <c r="A92" s="9" t="s">
        <v>17</v>
      </c>
      <c r="B92" s="5">
        <f t="shared" ref="B92:G92" si="20">SUM(B88:B89)/SUM(B86:B87)</f>
        <v>3.4429615257129123</v>
      </c>
      <c r="C92" s="5">
        <f t="shared" si="20"/>
        <v>2.5883857906775138</v>
      </c>
      <c r="D92" s="5">
        <f t="shared" si="20"/>
        <v>2.4207076651484574</v>
      </c>
      <c r="E92" s="5">
        <f t="shared" si="20"/>
        <v>0.12590846312363702</v>
      </c>
      <c r="F92" s="5">
        <f t="shared" si="20"/>
        <v>0.13794593853166176</v>
      </c>
      <c r="G92" s="5">
        <f t="shared" si="20"/>
        <v>0.13387903446053973</v>
      </c>
      <c r="H92" s="5"/>
      <c r="I92" s="5"/>
      <c r="J92" s="6"/>
    </row>
    <row r="93" spans="1:14">
      <c r="A93" s="9" t="s">
        <v>38</v>
      </c>
      <c r="B93" s="5">
        <f>B92*$L$87</f>
        <v>4.0798213780795859E-5</v>
      </c>
      <c r="C93" s="5">
        <f t="shared" ref="C93:D93" si="21">C92*$L$87</f>
        <v>3.0671709819170664E-5</v>
      </c>
      <c r="D93" s="5">
        <f t="shared" si="21"/>
        <v>2.8684766903716196E-5</v>
      </c>
      <c r="E93" s="5">
        <f>E92*$N$87</f>
        <v>3.7299577391196246E-5</v>
      </c>
      <c r="F93" s="5">
        <f t="shared" ref="F93:G93" si="22">F92*$N$87</f>
        <v>4.086560253706232E-5</v>
      </c>
      <c r="G93" s="5">
        <f t="shared" si="22"/>
        <v>3.9660808201717041E-5</v>
      </c>
      <c r="H93" s="5"/>
      <c r="I93" s="5"/>
      <c r="J93" s="6"/>
    </row>
    <row r="94" spans="1:14">
      <c r="A94" s="9" t="s">
        <v>51</v>
      </c>
      <c r="B94" s="5">
        <f>AVERAGE(B93:D93)</f>
        <v>3.3384896834560904E-5</v>
      </c>
      <c r="C94" s="5"/>
      <c r="D94" s="5"/>
      <c r="E94" s="5">
        <f>AVERAGE(E93:G93)</f>
        <v>3.9275329376658536E-5</v>
      </c>
      <c r="F94" s="5"/>
      <c r="G94" s="5"/>
      <c r="H94" s="5"/>
      <c r="I94" s="5"/>
      <c r="J94" s="6"/>
    </row>
    <row r="95" spans="1:14">
      <c r="A95" s="9" t="s">
        <v>52</v>
      </c>
      <c r="B95" s="5">
        <f>_xlfn.STDEV.P(B93:D93)</f>
        <v>5.3043967075323107E-6</v>
      </c>
      <c r="C95" s="5"/>
      <c r="D95" s="5"/>
      <c r="E95" s="5">
        <f>_xlfn.STDEV.P(E93:G93)</f>
        <v>1.4811210345914011E-6</v>
      </c>
      <c r="F95" s="5"/>
      <c r="G95" s="5"/>
      <c r="H95" s="5"/>
      <c r="I95" s="5"/>
      <c r="J95" s="6"/>
    </row>
    <row r="96" spans="1:14">
      <c r="A96" s="9" t="s">
        <v>53</v>
      </c>
      <c r="B96" s="5">
        <f>AVERAGE(B94,E94)</f>
        <v>3.6330113105609716E-5</v>
      </c>
      <c r="C96" s="5"/>
      <c r="D96" s="5"/>
      <c r="E96" s="5"/>
      <c r="F96" s="5"/>
      <c r="G96" s="5"/>
      <c r="H96" s="5"/>
      <c r="I96" s="5"/>
      <c r="J96" s="6"/>
    </row>
    <row r="97" spans="1:14" ht="15.75" thickBot="1">
      <c r="A97" s="10" t="s">
        <v>54</v>
      </c>
      <c r="B97" s="7">
        <f>_xlfn.STDEV.P(B94,E94)</f>
        <v>2.9452162710488158E-6</v>
      </c>
      <c r="C97" s="7"/>
      <c r="D97" s="7"/>
      <c r="E97" s="7"/>
      <c r="F97" s="7"/>
      <c r="G97" s="7"/>
      <c r="H97" s="7"/>
      <c r="I97" s="7"/>
      <c r="J97" s="8"/>
    </row>
    <row r="98" spans="1:14" ht="15.75" thickBo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4">
      <c r="A99" s="15" t="s">
        <v>22</v>
      </c>
      <c r="B99" s="12" t="s">
        <v>57</v>
      </c>
      <c r="C99" s="12" t="s">
        <v>58</v>
      </c>
      <c r="D99" s="12" t="s">
        <v>59</v>
      </c>
      <c r="E99" s="12" t="s">
        <v>60</v>
      </c>
      <c r="F99" s="12" t="s">
        <v>61</v>
      </c>
      <c r="G99" s="12" t="s">
        <v>62</v>
      </c>
      <c r="H99" s="12" t="s">
        <v>63</v>
      </c>
      <c r="I99" s="12" t="s">
        <v>64</v>
      </c>
      <c r="J99" s="13" t="s">
        <v>65</v>
      </c>
      <c r="K99" s="80" t="s">
        <v>39</v>
      </c>
      <c r="L99" s="81"/>
      <c r="M99" s="81"/>
      <c r="N99" s="82"/>
    </row>
    <row r="100" spans="1:14">
      <c r="A100" s="9" t="s">
        <v>10</v>
      </c>
      <c r="B100" s="5">
        <v>98932.76</v>
      </c>
      <c r="C100" s="5">
        <v>84165.1</v>
      </c>
      <c r="D100" s="5">
        <v>96473.81</v>
      </c>
      <c r="E100" s="5">
        <v>481036.59</v>
      </c>
      <c r="F100" s="5">
        <v>429424.47</v>
      </c>
      <c r="G100" s="5">
        <v>494256</v>
      </c>
      <c r="H100" s="5">
        <v>2240246.75</v>
      </c>
      <c r="I100" s="5">
        <v>2530184.25</v>
      </c>
      <c r="J100" s="6">
        <v>2561308.75</v>
      </c>
      <c r="K100" s="2" t="s">
        <v>18</v>
      </c>
      <c r="L100" s="3" t="s">
        <v>19</v>
      </c>
      <c r="M100" s="3" t="s">
        <v>20</v>
      </c>
      <c r="N100" s="4" t="s">
        <v>21</v>
      </c>
    </row>
    <row r="101" spans="1:14">
      <c r="A101" s="9" t="s">
        <v>11</v>
      </c>
      <c r="B101" s="5">
        <v>4193.92</v>
      </c>
      <c r="C101" s="5">
        <v>4293.3500000000004</v>
      </c>
      <c r="D101" s="5">
        <v>0</v>
      </c>
      <c r="E101" s="5">
        <v>22641.66</v>
      </c>
      <c r="F101" s="5">
        <v>17844.849999999999</v>
      </c>
      <c r="G101" s="5">
        <v>25672.35</v>
      </c>
      <c r="H101" s="5">
        <v>118866.32</v>
      </c>
      <c r="I101" s="5">
        <v>96869.66</v>
      </c>
      <c r="J101" s="6">
        <v>119382.41</v>
      </c>
      <c r="K101" s="2" t="s">
        <v>22</v>
      </c>
      <c r="L101" s="5">
        <v>1.1849744319274097E-5</v>
      </c>
      <c r="M101" s="5">
        <v>5.9248721596370485E-5</v>
      </c>
      <c r="N101" s="6">
        <v>2.9624360798185243E-4</v>
      </c>
    </row>
    <row r="102" spans="1:14">
      <c r="A102" s="9" t="s">
        <v>14</v>
      </c>
      <c r="B102" s="5">
        <v>11282.97</v>
      </c>
      <c r="C102" s="5">
        <v>8209.73</v>
      </c>
      <c r="D102" s="5">
        <v>15507.4</v>
      </c>
      <c r="E102" s="5">
        <v>5123.68</v>
      </c>
      <c r="F102" s="5">
        <v>9960.7999999999993</v>
      </c>
      <c r="G102" s="5">
        <v>10211.49</v>
      </c>
      <c r="H102" s="5">
        <v>6281.75</v>
      </c>
      <c r="I102" s="5">
        <v>7327.97</v>
      </c>
      <c r="J102" s="6">
        <v>11841.31</v>
      </c>
    </row>
    <row r="103" spans="1:14">
      <c r="A103" s="9" t="s">
        <v>15</v>
      </c>
      <c r="B103" s="5">
        <v>326022.96999999997</v>
      </c>
      <c r="C103" s="5">
        <v>361538.03</v>
      </c>
      <c r="D103" s="5">
        <v>341569.91</v>
      </c>
      <c r="E103" s="5">
        <v>293674.19</v>
      </c>
      <c r="F103" s="5">
        <v>327872.09000000003</v>
      </c>
      <c r="G103" s="5">
        <v>309477.90999999997</v>
      </c>
      <c r="H103" s="5">
        <v>277858.28000000003</v>
      </c>
      <c r="I103" s="5">
        <v>348949.88</v>
      </c>
      <c r="J103" s="6">
        <v>321748.21999999997</v>
      </c>
    </row>
    <row r="104" spans="1:14">
      <c r="A104" s="9"/>
      <c r="B104" s="5"/>
      <c r="C104" s="5"/>
      <c r="D104" s="5"/>
      <c r="E104" s="5"/>
      <c r="F104" s="5"/>
      <c r="G104" s="5"/>
      <c r="H104" s="5"/>
      <c r="I104" s="5"/>
      <c r="J104" s="6"/>
    </row>
    <row r="105" spans="1:14">
      <c r="A105" s="9" t="s">
        <v>16</v>
      </c>
      <c r="B105" s="5">
        <f>SUM(B100:B101)/SUM(B100:B103)</f>
        <v>0.2341485968954797</v>
      </c>
      <c r="C105" s="5">
        <f t="shared" ref="C105:J105" si="23">SUM(C100:C101)/SUM(C100:C103)</f>
        <v>0.19305379994740798</v>
      </c>
      <c r="D105" s="5">
        <f t="shared" si="23"/>
        <v>0.21270768772437382</v>
      </c>
      <c r="E105" s="5">
        <f t="shared" si="23"/>
        <v>0.62765512573757332</v>
      </c>
      <c r="F105" s="5">
        <f t="shared" si="23"/>
        <v>0.56969565784307241</v>
      </c>
      <c r="G105" s="5">
        <f t="shared" si="23"/>
        <v>0.61924411436037408</v>
      </c>
      <c r="H105" s="5">
        <f t="shared" si="23"/>
        <v>0.89250366149196991</v>
      </c>
      <c r="I105" s="5">
        <f t="shared" si="23"/>
        <v>0.88057719400272128</v>
      </c>
      <c r="J105" s="6">
        <f t="shared" si="23"/>
        <v>0.88933030321074702</v>
      </c>
    </row>
    <row r="106" spans="1:14">
      <c r="A106" s="9" t="s">
        <v>17</v>
      </c>
      <c r="B106" s="5">
        <f>SUM(B102:B103)/SUM(B100:B101)</f>
        <v>3.270792194609581</v>
      </c>
      <c r="C106" s="5">
        <f t="shared" ref="C106:J106" si="24">SUM(C102:C103)/SUM(C100:C101)</f>
        <v>4.17990322009938</v>
      </c>
      <c r="D106" s="5">
        <f t="shared" si="24"/>
        <v>3.7012875307816704</v>
      </c>
      <c r="E106" s="5">
        <f t="shared" si="24"/>
        <v>0.5932316315028493</v>
      </c>
      <c r="F106" s="5">
        <f t="shared" si="24"/>
        <v>0.75532319095796696</v>
      </c>
      <c r="G106" s="5">
        <f t="shared" si="24"/>
        <v>0.61487202996335932</v>
      </c>
      <c r="H106" s="5">
        <f t="shared" si="24"/>
        <v>0.12044358263845321</v>
      </c>
      <c r="I106" s="5">
        <f t="shared" si="24"/>
        <v>0.13561878142043912</v>
      </c>
      <c r="J106" s="6">
        <f t="shared" si="24"/>
        <v>0.12444161228927242</v>
      </c>
    </row>
    <row r="107" spans="1:14">
      <c r="A107" s="9" t="s">
        <v>38</v>
      </c>
      <c r="B107" s="5">
        <f>B106*$L$101</f>
        <v>3.8758051227600941E-5</v>
      </c>
      <c r="C107" s="5">
        <f t="shared" ref="C107:D107" si="25">C106*$L$101</f>
        <v>4.9530784437488133E-5</v>
      </c>
      <c r="D107" s="5">
        <f t="shared" si="25"/>
        <v>4.3859310891880146E-5</v>
      </c>
      <c r="E107" s="5">
        <f>E106*$M$101</f>
        <v>3.5148215777072963E-5</v>
      </c>
      <c r="F107" s="5">
        <f t="shared" ref="F107:G107" si="26">F106*$M$101</f>
        <v>4.4751933456350769E-5</v>
      </c>
      <c r="G107" s="5">
        <f t="shared" si="26"/>
        <v>3.6430381720694247E-5</v>
      </c>
      <c r="H107" s="5">
        <f>H106*$N$101</f>
        <v>3.5680641479075781E-5</v>
      </c>
      <c r="I107" s="5">
        <f t="shared" ref="I107:J107" si="27">I106*$N$101</f>
        <v>4.0176197118093098E-5</v>
      </c>
      <c r="J107" s="6">
        <f t="shared" si="27"/>
        <v>3.6865032207652886E-5</v>
      </c>
    </row>
    <row r="108" spans="1:14">
      <c r="A108" s="9" t="s">
        <v>51</v>
      </c>
      <c r="B108" s="5">
        <f>AVERAGE(B107:D107)</f>
        <v>4.4049382185656411E-5</v>
      </c>
      <c r="C108" s="5"/>
      <c r="D108" s="5"/>
      <c r="E108" s="5">
        <f>AVERAGE(E107:G107)</f>
        <v>3.8776843651372662E-5</v>
      </c>
      <c r="F108" s="5"/>
      <c r="G108" s="5"/>
      <c r="H108" s="5">
        <f>AVERAGE(H107:J107)</f>
        <v>3.7573956934940584E-5</v>
      </c>
      <c r="I108" s="5"/>
      <c r="J108" s="6"/>
    </row>
    <row r="109" spans="1:14">
      <c r="A109" s="9" t="s">
        <v>52</v>
      </c>
      <c r="B109" s="5">
        <f>_xlfn.STDEV.P(B107:D107)</f>
        <v>4.4000030701042271E-6</v>
      </c>
      <c r="C109" s="5"/>
      <c r="D109" s="5"/>
      <c r="E109" s="5">
        <f>_xlfn.STDEV.P(E107:G107)</f>
        <v>4.2573278794654411E-6</v>
      </c>
      <c r="F109" s="5"/>
      <c r="G109" s="5"/>
      <c r="H109" s="5">
        <f>_xlfn.STDEV.P(H107:J107)</f>
        <v>1.902530915665596E-6</v>
      </c>
      <c r="I109" s="5"/>
      <c r="J109" s="6"/>
    </row>
    <row r="110" spans="1:14">
      <c r="A110" s="9" t="s">
        <v>53</v>
      </c>
      <c r="B110" s="5">
        <f>AVERAGE(B108,E108,H108)</f>
        <v>4.0133394257323217E-5</v>
      </c>
      <c r="C110" s="5"/>
      <c r="D110" s="5"/>
      <c r="E110" s="5"/>
      <c r="F110" s="5"/>
      <c r="G110" s="5"/>
      <c r="H110" s="5"/>
      <c r="I110" s="5"/>
      <c r="J110" s="6"/>
    </row>
    <row r="111" spans="1:14" ht="15.75" thickBot="1">
      <c r="A111" s="10" t="s">
        <v>54</v>
      </c>
      <c r="B111" s="7">
        <f>_xlfn.STDEV.P(B108,E108,H108)</f>
        <v>2.8122298630897452E-6</v>
      </c>
      <c r="C111" s="7"/>
      <c r="D111" s="7"/>
      <c r="E111" s="7"/>
      <c r="F111" s="7"/>
      <c r="G111" s="7"/>
      <c r="H111" s="7"/>
      <c r="I111" s="7"/>
      <c r="J111" s="8"/>
    </row>
    <row r="112" spans="1:14" ht="15.75" thickBo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4">
      <c r="A113" s="26" t="s">
        <v>22</v>
      </c>
      <c r="B113" s="12" t="s">
        <v>57</v>
      </c>
      <c r="C113" s="12" t="s">
        <v>58</v>
      </c>
      <c r="D113" s="12" t="s">
        <v>59</v>
      </c>
      <c r="E113" s="12" t="s">
        <v>63</v>
      </c>
      <c r="F113" s="12" t="s">
        <v>64</v>
      </c>
      <c r="G113" s="12" t="s">
        <v>65</v>
      </c>
      <c r="H113" s="12"/>
      <c r="I113" s="12"/>
      <c r="J113" s="13"/>
      <c r="K113" s="80" t="s">
        <v>37</v>
      </c>
      <c r="L113" s="81"/>
      <c r="M113" s="81"/>
      <c r="N113" s="82"/>
    </row>
    <row r="114" spans="1:14">
      <c r="A114" s="9" t="s">
        <v>10</v>
      </c>
      <c r="B114" s="5">
        <v>95221.48</v>
      </c>
      <c r="C114" s="5">
        <v>74811.789999999994</v>
      </c>
      <c r="D114" s="5">
        <v>113025</v>
      </c>
      <c r="E114" s="5">
        <v>1700325.62</v>
      </c>
      <c r="F114" s="5">
        <v>1698852.62</v>
      </c>
      <c r="G114" s="5">
        <v>1641994.38</v>
      </c>
      <c r="H114" s="5"/>
      <c r="I114" s="5"/>
      <c r="J114" s="6"/>
      <c r="K114" s="2" t="s">
        <v>18</v>
      </c>
      <c r="L114" s="3" t="s">
        <v>19</v>
      </c>
      <c r="M114" s="3"/>
      <c r="N114" s="4" t="s">
        <v>21</v>
      </c>
    </row>
    <row r="115" spans="1:14">
      <c r="A115" s="9" t="s">
        <v>11</v>
      </c>
      <c r="B115" s="5">
        <v>0</v>
      </c>
      <c r="C115" s="5">
        <v>4094.53</v>
      </c>
      <c r="D115" s="5">
        <v>4316.3999999999996</v>
      </c>
      <c r="E115" s="5">
        <v>100569.72</v>
      </c>
      <c r="F115" s="5">
        <v>85245.46</v>
      </c>
      <c r="G115" s="5">
        <v>77192.87</v>
      </c>
      <c r="H115" s="5"/>
      <c r="I115" s="5"/>
      <c r="J115" s="6"/>
      <c r="K115" s="2" t="s">
        <v>22</v>
      </c>
      <c r="L115" s="5">
        <v>1.1849744319274097E-5</v>
      </c>
      <c r="N115" s="6">
        <v>2.9624360798185243E-4</v>
      </c>
    </row>
    <row r="116" spans="1:14">
      <c r="A116" s="9" t="s">
        <v>12</v>
      </c>
      <c r="B116" s="5">
        <v>0</v>
      </c>
      <c r="C116" s="5">
        <v>0</v>
      </c>
      <c r="D116" s="5">
        <v>0</v>
      </c>
      <c r="E116" s="5">
        <v>4141.29</v>
      </c>
      <c r="F116" s="5">
        <v>0</v>
      </c>
      <c r="G116" s="5">
        <v>0</v>
      </c>
      <c r="H116" s="5"/>
      <c r="I116" s="5"/>
      <c r="J116" s="6"/>
    </row>
    <row r="117" spans="1:14">
      <c r="A117" s="9" t="s">
        <v>14</v>
      </c>
      <c r="B117" s="5">
        <v>8109.44</v>
      </c>
      <c r="C117" s="5">
        <v>5462.2</v>
      </c>
      <c r="D117" s="5">
        <v>12032.2</v>
      </c>
      <c r="E117" s="5">
        <v>13518.96</v>
      </c>
      <c r="F117" s="5">
        <v>0</v>
      </c>
      <c r="G117" s="5">
        <v>9785.6</v>
      </c>
      <c r="H117" s="5"/>
      <c r="I117" s="5"/>
      <c r="J117" s="6"/>
    </row>
    <row r="118" spans="1:14">
      <c r="A118" s="9" t="s">
        <v>15</v>
      </c>
      <c r="B118" s="5">
        <v>385658.84</v>
      </c>
      <c r="C118" s="5">
        <v>233716.62</v>
      </c>
      <c r="D118" s="5">
        <v>308308.40999999997</v>
      </c>
      <c r="E118" s="5">
        <v>233285.62</v>
      </c>
      <c r="F118" s="5">
        <v>206109.23</v>
      </c>
      <c r="G118" s="5">
        <v>215063.81</v>
      </c>
      <c r="H118" s="5"/>
      <c r="I118" s="5"/>
      <c r="J118" s="6"/>
    </row>
    <row r="119" spans="1:14">
      <c r="A119" s="9"/>
      <c r="B119" s="5"/>
      <c r="C119" s="5"/>
      <c r="D119" s="5"/>
      <c r="E119" s="5"/>
      <c r="F119" s="5"/>
      <c r="G119" s="5"/>
      <c r="H119" s="5"/>
      <c r="I119" s="5"/>
      <c r="J119" s="6"/>
    </row>
    <row r="120" spans="1:14">
      <c r="A120" s="9" t="s">
        <v>16</v>
      </c>
      <c r="B120" s="5">
        <f>SUM(B114:B115)/SUM(B114:B118)</f>
        <v>0.19473103076841525</v>
      </c>
      <c r="C120" s="5">
        <f t="shared" ref="C120:G120" si="28">SUM(C114:C115)/SUM(C114:C118)</f>
        <v>0.24806666542171693</v>
      </c>
      <c r="D120" s="5">
        <f t="shared" si="28"/>
        <v>0.26809737964784069</v>
      </c>
      <c r="E120" s="5">
        <f t="shared" si="28"/>
        <v>0.87769722687263896</v>
      </c>
      <c r="F120" s="5">
        <f t="shared" si="28"/>
        <v>0.89643831124306339</v>
      </c>
      <c r="G120" s="5">
        <f t="shared" si="28"/>
        <v>0.88433890439082552</v>
      </c>
      <c r="H120" s="5"/>
      <c r="I120" s="5"/>
      <c r="J120" s="6"/>
    </row>
    <row r="121" spans="1:14">
      <c r="A121" s="9" t="s">
        <v>17</v>
      </c>
      <c r="B121" s="5">
        <f>SUM(B116:B118)/SUM(B114:B115)</f>
        <v>4.1352883824111961</v>
      </c>
      <c r="C121" s="5">
        <f t="shared" ref="C121:D121" si="29">SUM(C116:C118)/SUM(C114:C115)</f>
        <v>3.0311744357106001</v>
      </c>
      <c r="D121" s="5">
        <f t="shared" si="29"/>
        <v>2.729987966736378</v>
      </c>
      <c r="E121" s="5">
        <f t="shared" ref="E121:G121" si="30">SUM(E116:E118)/SUM(E114:E115)</f>
        <v>0.13934506044088046</v>
      </c>
      <c r="F121" s="5">
        <f t="shared" si="30"/>
        <v>0.11552572827162058</v>
      </c>
      <c r="G121" s="5">
        <f t="shared" si="30"/>
        <v>0.13078820239040279</v>
      </c>
      <c r="H121" s="5"/>
      <c r="I121" s="5"/>
      <c r="J121" s="6"/>
    </row>
    <row r="122" spans="1:14">
      <c r="A122" s="9" t="s">
        <v>38</v>
      </c>
      <c r="B122" s="5">
        <f>B121*$L$115</f>
        <v>4.9002110018037238E-5</v>
      </c>
      <c r="C122" s="5">
        <f t="shared" ref="C122:D122" si="31">C121*$L$115</f>
        <v>3.5918642050290549E-5</v>
      </c>
      <c r="D122" s="5">
        <f t="shared" si="31"/>
        <v>3.2349659400521041E-5</v>
      </c>
      <c r="E122" s="5">
        <f>E121*$N$115</f>
        <v>4.1280083459455727E-5</v>
      </c>
      <c r="F122" s="5">
        <f t="shared" ref="F122:G122" si="32">F121*$N$115</f>
        <v>3.4223758557915972E-5</v>
      </c>
      <c r="G122" s="5">
        <f t="shared" si="32"/>
        <v>3.874516895759366E-5</v>
      </c>
      <c r="H122" s="5"/>
      <c r="I122" s="5"/>
      <c r="J122" s="6"/>
    </row>
    <row r="123" spans="1:14">
      <c r="A123" s="9" t="s">
        <v>51</v>
      </c>
      <c r="B123" s="5">
        <f>AVERAGE(B122:D122)</f>
        <v>3.909013715628294E-5</v>
      </c>
      <c r="C123" s="5"/>
      <c r="D123" s="5"/>
      <c r="E123" s="5">
        <f>AVERAGE(E122:G122)</f>
        <v>3.8083003658321782E-5</v>
      </c>
      <c r="F123" s="5"/>
      <c r="G123" s="5"/>
      <c r="H123" s="5"/>
      <c r="I123" s="5"/>
      <c r="J123" s="6"/>
    </row>
    <row r="124" spans="1:14">
      <c r="A124" s="9" t="s">
        <v>52</v>
      </c>
      <c r="B124" s="5">
        <f>_xlfn.STDEV.P(B122:D122)</f>
        <v>7.15866904751175E-6</v>
      </c>
      <c r="C124" s="5"/>
      <c r="D124" s="5"/>
      <c r="E124" s="5">
        <f>_xlfn.STDEV.P(E122:G122)</f>
        <v>2.9185358705684794E-6</v>
      </c>
      <c r="F124" s="5"/>
      <c r="G124" s="5"/>
      <c r="H124" s="5"/>
      <c r="I124" s="5"/>
      <c r="J124" s="6"/>
    </row>
    <row r="125" spans="1:14">
      <c r="A125" s="9" t="s">
        <v>53</v>
      </c>
      <c r="B125" s="5">
        <f>AVERAGE(B123,E123,H123)</f>
        <v>3.8586570407302364E-5</v>
      </c>
      <c r="C125" s="5"/>
      <c r="D125" s="5"/>
      <c r="E125" s="5"/>
      <c r="F125" s="5"/>
      <c r="G125" s="5"/>
      <c r="H125" s="5"/>
      <c r="I125" s="5"/>
      <c r="J125" s="6"/>
    </row>
    <row r="126" spans="1:14" ht="15.75" thickBot="1">
      <c r="A126" s="10" t="s">
        <v>54</v>
      </c>
      <c r="B126" s="7">
        <f>_xlfn.STDEV.P(B123,E123,H123)</f>
        <v>5.0356674898057935E-7</v>
      </c>
      <c r="C126" s="7"/>
      <c r="D126" s="7"/>
      <c r="E126" s="7"/>
      <c r="F126" s="7"/>
      <c r="G126" s="7"/>
      <c r="H126" s="7"/>
      <c r="I126" s="7"/>
      <c r="J126" s="8"/>
    </row>
    <row r="127" spans="1:14" ht="15.75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4">
      <c r="A128" s="14" t="s">
        <v>23</v>
      </c>
      <c r="B128" s="12" t="s">
        <v>1</v>
      </c>
      <c r="C128" s="12" t="s">
        <v>2</v>
      </c>
      <c r="D128" s="12" t="s">
        <v>3</v>
      </c>
      <c r="E128" s="12" t="s">
        <v>4</v>
      </c>
      <c r="F128" s="12" t="s">
        <v>5</v>
      </c>
      <c r="G128" s="12" t="s">
        <v>6</v>
      </c>
      <c r="H128" s="12" t="s">
        <v>7</v>
      </c>
      <c r="I128" s="12" t="s">
        <v>8</v>
      </c>
      <c r="J128" s="13" t="s">
        <v>9</v>
      </c>
      <c r="K128" s="80" t="s">
        <v>39</v>
      </c>
      <c r="L128" s="81"/>
      <c r="M128" s="81"/>
      <c r="N128" s="82"/>
    </row>
    <row r="129" spans="1:14">
      <c r="A129" s="9" t="s">
        <v>10</v>
      </c>
      <c r="B129" s="5">
        <v>50541.5</v>
      </c>
      <c r="C129" s="5">
        <v>48615.03</v>
      </c>
      <c r="D129" s="5">
        <v>54050.080000000002</v>
      </c>
      <c r="E129" s="5">
        <v>241601.77</v>
      </c>
      <c r="F129" s="5">
        <v>227256.05</v>
      </c>
      <c r="G129" s="5">
        <v>218328.42</v>
      </c>
      <c r="H129" s="5">
        <v>1133014.6200000001</v>
      </c>
      <c r="I129" s="5">
        <v>1323394.8799999999</v>
      </c>
      <c r="J129" s="6">
        <v>1356868</v>
      </c>
      <c r="K129" s="2" t="s">
        <v>18</v>
      </c>
      <c r="L129" s="3" t="s">
        <v>19</v>
      </c>
      <c r="M129" s="3" t="s">
        <v>20</v>
      </c>
      <c r="N129" s="4" t="s">
        <v>21</v>
      </c>
    </row>
    <row r="130" spans="1:14">
      <c r="A130" s="9" t="s">
        <v>11</v>
      </c>
      <c r="B130" s="5">
        <v>6854.23</v>
      </c>
      <c r="C130" s="5">
        <v>8428.69</v>
      </c>
      <c r="D130" s="5">
        <v>8645.66</v>
      </c>
      <c r="E130" s="5">
        <v>38638.19</v>
      </c>
      <c r="F130" s="5">
        <v>38549.33</v>
      </c>
      <c r="G130" s="5">
        <v>35969.379999999997</v>
      </c>
      <c r="H130" s="5">
        <v>182130.12</v>
      </c>
      <c r="I130" s="5">
        <v>212196.56</v>
      </c>
      <c r="J130" s="6">
        <v>214738.33</v>
      </c>
      <c r="K130" s="2" t="s">
        <v>23</v>
      </c>
      <c r="L130" s="5">
        <v>1.1851345025027909E-5</v>
      </c>
      <c r="M130" s="5">
        <v>5.9256725125139536E-5</v>
      </c>
      <c r="N130" s="6">
        <v>2.9628362562569767E-4</v>
      </c>
    </row>
    <row r="131" spans="1:14">
      <c r="A131" s="9" t="s">
        <v>12</v>
      </c>
      <c r="B131" s="5">
        <v>1559.01</v>
      </c>
      <c r="C131" s="5">
        <v>1043.1099999999999</v>
      </c>
      <c r="D131" s="5">
        <v>1738.65</v>
      </c>
      <c r="E131" s="5">
        <v>8547.33</v>
      </c>
      <c r="F131" s="5">
        <v>10533.07</v>
      </c>
      <c r="G131" s="5">
        <v>8986.86</v>
      </c>
      <c r="H131" s="5">
        <v>48642.01</v>
      </c>
      <c r="I131" s="5">
        <v>46367.35</v>
      </c>
      <c r="J131" s="6">
        <v>48444.5</v>
      </c>
    </row>
    <row r="132" spans="1:14">
      <c r="A132" s="9" t="s">
        <v>13</v>
      </c>
      <c r="B132" s="5">
        <v>0</v>
      </c>
      <c r="C132" s="5">
        <v>0</v>
      </c>
      <c r="D132" s="5">
        <v>0</v>
      </c>
      <c r="E132" s="5">
        <v>757.37</v>
      </c>
      <c r="F132" s="5">
        <v>829.23</v>
      </c>
      <c r="G132" s="5">
        <v>937.43</v>
      </c>
      <c r="H132" s="5">
        <v>5583.52</v>
      </c>
      <c r="I132" s="5">
        <v>6892.62</v>
      </c>
      <c r="J132" s="6">
        <v>3894.25</v>
      </c>
    </row>
    <row r="133" spans="1:14">
      <c r="A133" s="9" t="s">
        <v>15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1606.18</v>
      </c>
      <c r="I133" s="5">
        <v>948.42</v>
      </c>
      <c r="J133" s="6">
        <v>0</v>
      </c>
    </row>
    <row r="134" spans="1:14">
      <c r="A134" s="9" t="s">
        <v>40</v>
      </c>
      <c r="B134" s="5">
        <v>0</v>
      </c>
      <c r="C134" s="5">
        <v>0</v>
      </c>
      <c r="D134" s="5">
        <v>0</v>
      </c>
      <c r="E134" s="5">
        <v>658.32</v>
      </c>
      <c r="F134" s="5">
        <v>0</v>
      </c>
      <c r="G134" s="5">
        <v>0</v>
      </c>
      <c r="H134" s="5">
        <v>0</v>
      </c>
      <c r="I134" s="5">
        <v>0</v>
      </c>
      <c r="J134" s="6">
        <v>0</v>
      </c>
    </row>
    <row r="135" spans="1:14">
      <c r="A135" s="9" t="s">
        <v>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592.4</v>
      </c>
      <c r="I135" s="5">
        <v>790.81</v>
      </c>
      <c r="J135" s="6">
        <v>859.38</v>
      </c>
    </row>
    <row r="136" spans="1:14">
      <c r="A136" s="9" t="s">
        <v>42</v>
      </c>
      <c r="B136" s="5">
        <v>0</v>
      </c>
      <c r="C136" s="5">
        <v>0</v>
      </c>
      <c r="D136" s="5">
        <v>0</v>
      </c>
      <c r="E136" s="5">
        <v>1018.66</v>
      </c>
      <c r="F136" s="5">
        <v>653.54999999999995</v>
      </c>
      <c r="G136" s="5">
        <v>761.77</v>
      </c>
      <c r="H136" s="5">
        <v>3966.77</v>
      </c>
      <c r="I136" s="5">
        <v>3379.59</v>
      </c>
      <c r="J136" s="6">
        <v>3291.7</v>
      </c>
    </row>
    <row r="137" spans="1:14">
      <c r="A137" s="9" t="s">
        <v>43</v>
      </c>
      <c r="B137" s="5">
        <v>0</v>
      </c>
      <c r="C137" s="5">
        <v>0</v>
      </c>
      <c r="D137" s="5">
        <v>0</v>
      </c>
      <c r="E137" s="5">
        <v>1598.43</v>
      </c>
      <c r="F137" s="5">
        <v>1726.91</v>
      </c>
      <c r="G137" s="5">
        <v>1730.24</v>
      </c>
      <c r="H137" s="5">
        <v>5863.04</v>
      </c>
      <c r="I137" s="5">
        <v>4479.95</v>
      </c>
      <c r="J137" s="6">
        <v>3821.36</v>
      </c>
    </row>
    <row r="138" spans="1:14">
      <c r="A138" s="9" t="s">
        <v>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6">
        <v>749.53</v>
      </c>
    </row>
    <row r="139" spans="1:14">
      <c r="A139" s="9" t="s">
        <v>45</v>
      </c>
      <c r="B139" s="5">
        <v>5818.46</v>
      </c>
      <c r="C139" s="5">
        <v>6326.09</v>
      </c>
      <c r="D139" s="5">
        <v>5896.69</v>
      </c>
      <c r="E139" s="5">
        <v>5773.8</v>
      </c>
      <c r="F139" s="5">
        <v>5163.9799999999996</v>
      </c>
      <c r="G139" s="5">
        <v>5786.11</v>
      </c>
      <c r="H139" s="5">
        <v>6984.68</v>
      </c>
      <c r="I139" s="5">
        <v>4903.91</v>
      </c>
      <c r="J139" s="6">
        <v>6861.52</v>
      </c>
    </row>
    <row r="140" spans="1:14">
      <c r="A140" s="9" t="s">
        <v>46</v>
      </c>
      <c r="B140" s="5">
        <v>69584.479999999996</v>
      </c>
      <c r="C140" s="5">
        <v>69146.38</v>
      </c>
      <c r="D140" s="5">
        <v>64908.86</v>
      </c>
      <c r="E140" s="5">
        <v>60238.28</v>
      </c>
      <c r="F140" s="5">
        <v>56547.75</v>
      </c>
      <c r="G140" s="5">
        <v>63112.82</v>
      </c>
      <c r="H140" s="5">
        <v>64560.88</v>
      </c>
      <c r="I140" s="5">
        <v>66136.05</v>
      </c>
      <c r="J140" s="6">
        <v>67576.27</v>
      </c>
    </row>
    <row r="141" spans="1:14">
      <c r="A141" s="9" t="s">
        <v>47</v>
      </c>
      <c r="B141" s="5">
        <v>220544.73</v>
      </c>
      <c r="C141" s="5">
        <v>244179.38</v>
      </c>
      <c r="D141" s="5">
        <v>229654.05</v>
      </c>
      <c r="E141" s="5">
        <v>209365.33</v>
      </c>
      <c r="F141" s="5">
        <v>229263.39</v>
      </c>
      <c r="G141" s="5">
        <v>222618.52</v>
      </c>
      <c r="H141" s="5">
        <v>228134.39</v>
      </c>
      <c r="I141" s="5">
        <v>237688.42</v>
      </c>
      <c r="J141" s="6">
        <v>250246.5</v>
      </c>
    </row>
    <row r="142" spans="1:14">
      <c r="A142" s="9" t="s">
        <v>48</v>
      </c>
      <c r="B142" s="5">
        <v>253419.55</v>
      </c>
      <c r="C142" s="5">
        <v>286017.62</v>
      </c>
      <c r="D142" s="5">
        <v>275196.09000000003</v>
      </c>
      <c r="E142" s="5">
        <v>255338.56</v>
      </c>
      <c r="F142" s="5">
        <v>269410.90999999997</v>
      </c>
      <c r="G142" s="5">
        <v>258632</v>
      </c>
      <c r="H142" s="5">
        <v>251138.44</v>
      </c>
      <c r="I142" s="5">
        <v>279142.12</v>
      </c>
      <c r="J142" s="6">
        <v>288820.09000000003</v>
      </c>
    </row>
    <row r="143" spans="1:14">
      <c r="A143" s="9"/>
      <c r="B143" s="5"/>
      <c r="C143" s="5"/>
      <c r="D143" s="5"/>
      <c r="E143" s="5"/>
      <c r="F143" s="5"/>
      <c r="G143" s="5"/>
      <c r="H143" s="5"/>
      <c r="I143" s="5"/>
      <c r="J143" s="6"/>
    </row>
    <row r="144" spans="1:14">
      <c r="A144" s="9" t="s">
        <v>16</v>
      </c>
      <c r="B144" s="5">
        <f>SUM(B129:B130)/SUM(B129:B142)</f>
        <v>9.4350909179737652E-2</v>
      </c>
      <c r="C144" s="5">
        <f t="shared" ref="C144:J144" si="33">SUM(C129:C130)/SUM(C129:C142)</f>
        <v>8.5940758679051335E-2</v>
      </c>
      <c r="D144" s="5">
        <f t="shared" si="33"/>
        <v>9.7948307525715747E-2</v>
      </c>
      <c r="E144" s="5">
        <f t="shared" si="33"/>
        <v>0.3402886411625653</v>
      </c>
      <c r="F144" s="5">
        <f t="shared" si="33"/>
        <v>0.31645977684179705</v>
      </c>
      <c r="G144" s="5">
        <f t="shared" si="33"/>
        <v>0.31131001009899389</v>
      </c>
      <c r="H144" s="5">
        <f t="shared" si="33"/>
        <v>0.68064027278922956</v>
      </c>
      <c r="I144" s="5">
        <f t="shared" si="33"/>
        <v>0.70236331479058223</v>
      </c>
      <c r="J144" s="6">
        <f t="shared" si="33"/>
        <v>0.69968227224758173</v>
      </c>
    </row>
    <row r="145" spans="1:14">
      <c r="A145" s="9" t="s">
        <v>17</v>
      </c>
      <c r="B145" s="5">
        <f>SUM(B131:B142)/SUM(B129:B130)</f>
        <v>9.5987319962652276</v>
      </c>
      <c r="C145" s="5">
        <f t="shared" ref="C145:J145" si="34">SUM(C131:C142)/SUM(C129:C130)</f>
        <v>10.635922411792219</v>
      </c>
      <c r="D145" s="5">
        <f t="shared" si="34"/>
        <v>9.2094668632988466</v>
      </c>
      <c r="E145" s="5">
        <f t="shared" si="34"/>
        <v>1.9386816926465453</v>
      </c>
      <c r="F145" s="5">
        <f t="shared" si="34"/>
        <v>2.1599592528939784</v>
      </c>
      <c r="G145" s="5">
        <f t="shared" si="34"/>
        <v>2.212232075936166</v>
      </c>
      <c r="H145" s="5">
        <f t="shared" si="34"/>
        <v>0.46920486485768853</v>
      </c>
      <c r="I145" s="5">
        <f t="shared" si="34"/>
        <v>0.42376456591865347</v>
      </c>
      <c r="J145" s="6">
        <f t="shared" si="34"/>
        <v>0.4292201470071707</v>
      </c>
    </row>
    <row r="146" spans="1:14">
      <c r="A146" s="9" t="s">
        <v>38</v>
      </c>
      <c r="B146" s="5">
        <f>B145*$L$130</f>
        <v>1.1375788469051411E-4</v>
      </c>
      <c r="C146" s="5">
        <f t="shared" ref="C146:D146" si="35">C145*$L$130</f>
        <v>1.2604998616157654E-4</v>
      </c>
      <c r="D146" s="5">
        <f t="shared" si="35"/>
        <v>1.0914456929351616E-4</v>
      </c>
      <c r="E146" s="5">
        <f>E145*$M$130</f>
        <v>1.1487992816629658E-4</v>
      </c>
      <c r="F146" s="5">
        <f t="shared" ref="F146:G146" si="36">F145*$M$130</f>
        <v>1.2799211173024024E-4</v>
      </c>
      <c r="G146" s="5">
        <f t="shared" si="36"/>
        <v>1.3108962803676621E-4</v>
      </c>
      <c r="H146" s="5">
        <f>H145*$N$130</f>
        <v>1.3901771852125146E-4</v>
      </c>
      <c r="I146" s="5">
        <f t="shared" ref="I146:J146" si="37">I145*$N$130</f>
        <v>1.255545020020786E-4</v>
      </c>
      <c r="J146" s="6">
        <f t="shared" si="37"/>
        <v>1.2717090134687948E-4</v>
      </c>
    </row>
    <row r="147" spans="1:14">
      <c r="A147" s="9" t="s">
        <v>51</v>
      </c>
      <c r="B147" s="5">
        <f>AVERAGE(B146:D146)</f>
        <v>1.1631748004853561E-4</v>
      </c>
      <c r="C147" s="5"/>
      <c r="D147" s="5"/>
      <c r="E147" s="5">
        <f>AVERAGE(E146:G146)</f>
        <v>1.2465388931110101E-4</v>
      </c>
      <c r="F147" s="5"/>
      <c r="G147" s="5"/>
      <c r="H147" s="5">
        <f>AVERAGE(H146:J146)</f>
        <v>1.3058104062340319E-4</v>
      </c>
      <c r="I147" s="5"/>
      <c r="J147" s="6"/>
    </row>
    <row r="148" spans="1:14">
      <c r="A148" s="9" t="s">
        <v>52</v>
      </c>
      <c r="B148" s="5">
        <f>_xlfn.STDEV.P(B146:D146)</f>
        <v>7.1349807833578627E-6</v>
      </c>
      <c r="C148" s="5"/>
      <c r="D148" s="5"/>
      <c r="E148" s="5">
        <f>_xlfn.STDEV.P(E146:G146)</f>
        <v>7.0259703558729669E-6</v>
      </c>
      <c r="F148" s="5"/>
      <c r="G148" s="5"/>
      <c r="H148" s="5">
        <f>_xlfn.STDEV.P(H146:J146)</f>
        <v>6.0020183924243052E-6</v>
      </c>
      <c r="I148" s="5"/>
      <c r="J148" s="6"/>
    </row>
    <row r="149" spans="1:14">
      <c r="A149" s="9" t="s">
        <v>53</v>
      </c>
      <c r="B149" s="5">
        <f>AVERAGE(B147,E147,H147)</f>
        <v>1.2385080332767993E-4</v>
      </c>
      <c r="C149" s="5"/>
      <c r="D149" s="5"/>
      <c r="E149" s="5"/>
      <c r="F149" s="5"/>
      <c r="G149" s="5"/>
      <c r="H149" s="5"/>
      <c r="I149" s="5"/>
      <c r="J149" s="6"/>
    </row>
    <row r="150" spans="1:14" ht="15.75" thickBot="1">
      <c r="A150" s="10" t="s">
        <v>54</v>
      </c>
      <c r="B150" s="7">
        <f>_xlfn.STDEV.P(B147,E147,H147)</f>
        <v>5.8506979863263464E-6</v>
      </c>
      <c r="C150" s="7"/>
      <c r="D150" s="7"/>
      <c r="E150" s="7"/>
      <c r="F150" s="7"/>
      <c r="G150" s="7"/>
      <c r="H150" s="7"/>
      <c r="I150" s="7"/>
      <c r="J150" s="8"/>
    </row>
    <row r="151" spans="1:14" ht="15.75" thickBot="1"/>
    <row r="152" spans="1:14">
      <c r="A152" s="25" t="s">
        <v>23</v>
      </c>
      <c r="B152" s="12" t="s">
        <v>1</v>
      </c>
      <c r="C152" s="12" t="s">
        <v>2</v>
      </c>
      <c r="D152" s="12" t="s">
        <v>3</v>
      </c>
      <c r="E152" s="12" t="s">
        <v>7</v>
      </c>
      <c r="F152" s="12" t="s">
        <v>8</v>
      </c>
      <c r="G152" s="12" t="s">
        <v>9</v>
      </c>
      <c r="H152" s="12"/>
      <c r="I152" s="12"/>
      <c r="J152" s="13"/>
      <c r="K152" s="80" t="s">
        <v>37</v>
      </c>
      <c r="L152" s="81"/>
      <c r="M152" s="81"/>
      <c r="N152" s="82"/>
    </row>
    <row r="153" spans="1:14">
      <c r="A153" s="9" t="s">
        <v>10</v>
      </c>
      <c r="B153" s="5">
        <v>90197.66</v>
      </c>
      <c r="C153" s="5">
        <v>79976.100000000006</v>
      </c>
      <c r="D153" s="5">
        <v>105217.27</v>
      </c>
      <c r="E153" s="5">
        <v>1765556.12</v>
      </c>
      <c r="F153" s="5">
        <v>1717317.38</v>
      </c>
      <c r="G153" s="5">
        <v>1778314.5</v>
      </c>
      <c r="H153" s="5"/>
      <c r="I153" s="5"/>
      <c r="J153" s="6"/>
      <c r="K153" s="2" t="s">
        <v>18</v>
      </c>
      <c r="L153" s="3" t="s">
        <v>19</v>
      </c>
      <c r="M153" s="3"/>
      <c r="N153" s="4" t="s">
        <v>21</v>
      </c>
    </row>
    <row r="154" spans="1:14">
      <c r="A154" s="9" t="s">
        <v>11</v>
      </c>
      <c r="B154" s="5">
        <v>15757.57</v>
      </c>
      <c r="C154" s="5">
        <v>14303.86</v>
      </c>
      <c r="D154" s="5">
        <v>18329.28</v>
      </c>
      <c r="E154" s="5">
        <v>275343.21999999997</v>
      </c>
      <c r="F154" s="5">
        <v>281867.34000000003</v>
      </c>
      <c r="G154" s="5">
        <v>279333.88</v>
      </c>
      <c r="H154" s="5"/>
      <c r="I154" s="5"/>
      <c r="J154" s="6"/>
      <c r="K154" s="2" t="s">
        <v>23</v>
      </c>
      <c r="L154" s="5">
        <v>1.1851345025027909E-5</v>
      </c>
      <c r="N154" s="6">
        <v>2.9628362562569767E-4</v>
      </c>
    </row>
    <row r="155" spans="1:14">
      <c r="A155" s="9" t="s">
        <v>12</v>
      </c>
      <c r="B155" s="5">
        <v>1122.78</v>
      </c>
      <c r="C155" s="5">
        <v>3410.26</v>
      </c>
      <c r="D155" s="5">
        <v>2750.54</v>
      </c>
      <c r="E155" s="5">
        <v>69654.009999999995</v>
      </c>
      <c r="F155" s="5">
        <v>67473.7</v>
      </c>
      <c r="G155" s="5">
        <v>67836.55</v>
      </c>
      <c r="H155" s="5"/>
      <c r="I155" s="5"/>
      <c r="J155" s="6"/>
    </row>
    <row r="156" spans="1:14">
      <c r="A156" s="9" t="s">
        <v>13</v>
      </c>
      <c r="B156" s="5">
        <v>0</v>
      </c>
      <c r="C156" s="5">
        <v>0</v>
      </c>
      <c r="D156" s="5">
        <v>0</v>
      </c>
      <c r="E156" s="5">
        <v>8474.92</v>
      </c>
      <c r="F156" s="5">
        <v>3222.6</v>
      </c>
      <c r="G156" s="5">
        <v>7168.33</v>
      </c>
      <c r="H156" s="5"/>
      <c r="I156" s="5"/>
      <c r="J156" s="6"/>
    </row>
    <row r="157" spans="1:14">
      <c r="A157" s="9" t="s">
        <v>14</v>
      </c>
      <c r="B157" s="5">
        <v>0</v>
      </c>
      <c r="C157" s="5">
        <v>0</v>
      </c>
      <c r="D157" s="5">
        <v>0</v>
      </c>
      <c r="E157" s="5">
        <v>1215.28</v>
      </c>
      <c r="F157" s="5">
        <v>782.08</v>
      </c>
      <c r="G157" s="5">
        <v>0</v>
      </c>
      <c r="H157" s="5"/>
      <c r="I157" s="5"/>
      <c r="J157" s="6"/>
    </row>
    <row r="158" spans="1:14">
      <c r="A158" s="9" t="s">
        <v>15</v>
      </c>
      <c r="B158" s="5">
        <v>0</v>
      </c>
      <c r="C158" s="5">
        <v>0</v>
      </c>
      <c r="D158" s="5">
        <v>0</v>
      </c>
      <c r="E158" s="5">
        <v>3574.6</v>
      </c>
      <c r="F158" s="5">
        <v>704.54</v>
      </c>
      <c r="G158" s="5">
        <v>680.04</v>
      </c>
      <c r="H158" s="5"/>
      <c r="I158" s="5"/>
      <c r="J158" s="6"/>
    </row>
    <row r="159" spans="1:14">
      <c r="A159" s="9" t="s">
        <v>41</v>
      </c>
      <c r="B159" s="5">
        <v>0</v>
      </c>
      <c r="C159" s="5">
        <v>0</v>
      </c>
      <c r="D159" s="5">
        <v>0</v>
      </c>
      <c r="E159" s="5">
        <v>799.12</v>
      </c>
      <c r="F159" s="5">
        <v>769.46</v>
      </c>
      <c r="G159" s="5">
        <v>0</v>
      </c>
      <c r="H159" s="5"/>
      <c r="I159" s="5"/>
      <c r="J159" s="6"/>
    </row>
    <row r="160" spans="1:14">
      <c r="A160" s="9" t="s">
        <v>42</v>
      </c>
      <c r="B160" s="5">
        <v>0</v>
      </c>
      <c r="C160" s="5">
        <v>0</v>
      </c>
      <c r="D160" s="5">
        <v>0</v>
      </c>
      <c r="E160" s="5">
        <v>5939.06</v>
      </c>
      <c r="F160" s="5">
        <v>2843.13</v>
      </c>
      <c r="G160" s="5">
        <v>0</v>
      </c>
      <c r="H160" s="5"/>
      <c r="I160" s="5"/>
      <c r="J160" s="6"/>
    </row>
    <row r="161" spans="1:10">
      <c r="A161" s="9" t="s">
        <v>43</v>
      </c>
      <c r="B161" s="5">
        <v>764.26</v>
      </c>
      <c r="C161" s="5">
        <v>0</v>
      </c>
      <c r="D161" s="5">
        <v>0</v>
      </c>
      <c r="E161" s="5">
        <v>9927.69</v>
      </c>
      <c r="F161" s="5">
        <v>5886.05</v>
      </c>
      <c r="G161" s="5">
        <v>1777.96</v>
      </c>
      <c r="H161" s="5"/>
      <c r="I161" s="5"/>
      <c r="J161" s="6"/>
    </row>
    <row r="162" spans="1:10">
      <c r="A162" s="9" t="s">
        <v>44</v>
      </c>
      <c r="B162" s="5">
        <v>0</v>
      </c>
      <c r="C162" s="5">
        <v>0</v>
      </c>
      <c r="D162" s="5">
        <v>0</v>
      </c>
      <c r="E162" s="5">
        <v>699.94</v>
      </c>
      <c r="F162" s="5">
        <v>0</v>
      </c>
      <c r="G162" s="5">
        <v>0</v>
      </c>
      <c r="H162" s="5"/>
      <c r="I162" s="5"/>
      <c r="J162" s="6"/>
    </row>
    <row r="163" spans="1:10">
      <c r="A163" s="9" t="s">
        <v>45</v>
      </c>
      <c r="B163" s="5">
        <v>3602.95</v>
      </c>
      <c r="C163" s="5">
        <v>3871.26</v>
      </c>
      <c r="D163" s="5">
        <v>5304.3</v>
      </c>
      <c r="E163" s="5">
        <v>3787.54</v>
      </c>
      <c r="F163" s="5">
        <v>4095.97</v>
      </c>
      <c r="G163" s="5">
        <v>2830.61</v>
      </c>
      <c r="H163" s="5"/>
      <c r="I163" s="5"/>
      <c r="J163" s="6"/>
    </row>
    <row r="164" spans="1:10">
      <c r="A164" s="9" t="s">
        <v>46</v>
      </c>
      <c r="B164" s="5">
        <v>54715.1</v>
      </c>
      <c r="C164" s="5">
        <v>46147.14</v>
      </c>
      <c r="D164" s="5">
        <v>47129.760000000002</v>
      </c>
      <c r="E164" s="5">
        <v>47974.68</v>
      </c>
      <c r="F164" s="5">
        <v>43504.65</v>
      </c>
      <c r="G164" s="5">
        <v>39563.86</v>
      </c>
      <c r="H164" s="5"/>
      <c r="I164" s="5"/>
      <c r="J164" s="6"/>
    </row>
    <row r="165" spans="1:10">
      <c r="A165" s="9" t="s">
        <v>47</v>
      </c>
      <c r="B165" s="5">
        <v>254830.61</v>
      </c>
      <c r="C165" s="5">
        <v>190920.62</v>
      </c>
      <c r="D165" s="5">
        <v>194584.5</v>
      </c>
      <c r="E165" s="5">
        <v>186884.86</v>
      </c>
      <c r="F165" s="5">
        <v>180619.69</v>
      </c>
      <c r="G165" s="5">
        <v>158764.57999999999</v>
      </c>
      <c r="H165" s="5"/>
      <c r="I165" s="5"/>
      <c r="J165" s="6"/>
    </row>
    <row r="166" spans="1:10">
      <c r="A166" s="9" t="s">
        <v>48</v>
      </c>
      <c r="B166" s="5">
        <v>366147.38</v>
      </c>
      <c r="C166" s="5">
        <v>272963.12</v>
      </c>
      <c r="D166" s="5">
        <v>293523.59000000003</v>
      </c>
      <c r="E166" s="5">
        <v>315607.53000000003</v>
      </c>
      <c r="F166" s="5">
        <v>263980.96999999997</v>
      </c>
      <c r="G166" s="5">
        <v>235457.61</v>
      </c>
      <c r="H166" s="5"/>
      <c r="I166" s="5"/>
      <c r="J166" s="6"/>
    </row>
    <row r="167" spans="1:10">
      <c r="A167" s="9"/>
      <c r="B167" s="5"/>
      <c r="C167" s="5"/>
      <c r="D167" s="5"/>
      <c r="E167" s="5"/>
      <c r="F167" s="5"/>
      <c r="G167" s="5"/>
      <c r="H167" s="5"/>
      <c r="I167" s="5"/>
      <c r="J167" s="6"/>
    </row>
    <row r="168" spans="1:10">
      <c r="A168" s="9" t="s">
        <v>16</v>
      </c>
      <c r="B168" s="5">
        <f>SUM(B153:B154)/SUM(B153:B166)</f>
        <v>0.13460814783617889</v>
      </c>
      <c r="C168" s="5">
        <f t="shared" ref="C168:G168" si="38">SUM(C153:C154)/SUM(C153:C166)</f>
        <v>0.15415490147718655</v>
      </c>
      <c r="D168" s="5">
        <f t="shared" si="38"/>
        <v>0.18527186552489022</v>
      </c>
      <c r="E168" s="5">
        <f t="shared" si="38"/>
        <v>0.75716781777742381</v>
      </c>
      <c r="F168" s="5">
        <f t="shared" si="38"/>
        <v>0.7769654987216893</v>
      </c>
      <c r="G168" s="5">
        <f t="shared" si="38"/>
        <v>0.80010344951265311</v>
      </c>
      <c r="H168" s="5"/>
      <c r="I168" s="5"/>
      <c r="J168" s="6"/>
    </row>
    <row r="169" spans="1:10">
      <c r="A169" s="9" t="s">
        <v>17</v>
      </c>
      <c r="B169" s="5">
        <f>SUM(B155:B166)/SUM(B153:B154)</f>
        <v>6.4289708021019809</v>
      </c>
      <c r="C169" s="5">
        <f t="shared" ref="C169:G169" si="39">SUM(C155:C166)/SUM(C153:C154)</f>
        <v>5.4869815388127021</v>
      </c>
      <c r="D169" s="5">
        <f t="shared" si="39"/>
        <v>4.3974735838434986</v>
      </c>
      <c r="E169" s="5">
        <f t="shared" si="39"/>
        <v>0.32071117725972703</v>
      </c>
      <c r="F169" s="5">
        <f t="shared" si="39"/>
        <v>0.28705843650105528</v>
      </c>
      <c r="G169" s="5">
        <f t="shared" si="39"/>
        <v>0.24983838103573361</v>
      </c>
      <c r="H169" s="5"/>
      <c r="I169" s="5"/>
      <c r="J169" s="6"/>
    </row>
    <row r="170" spans="1:10">
      <c r="A170" s="9" t="s">
        <v>38</v>
      </c>
      <c r="B170" s="5">
        <f>B169*$L$154</f>
        <v>7.6191951131540989E-5</v>
      </c>
      <c r="C170" s="5">
        <f t="shared" ref="C170:D170" si="40">C169*$L$154</f>
        <v>6.5028111362427893E-5</v>
      </c>
      <c r="D170" s="5">
        <f t="shared" si="40"/>
        <v>5.2115976680575294E-5</v>
      </c>
      <c r="E170" s="5">
        <f>E169*$N$154</f>
        <v>9.5021470377197733E-5</v>
      </c>
      <c r="F170" s="5">
        <f t="shared" ref="F170:G170" si="41">F169*$N$154</f>
        <v>8.505071433297677E-5</v>
      </c>
      <c r="G170" s="5">
        <f t="shared" si="41"/>
        <v>7.4023021353721708E-5</v>
      </c>
      <c r="H170" s="5"/>
      <c r="I170" s="5"/>
      <c r="J170" s="6"/>
    </row>
    <row r="171" spans="1:10">
      <c r="A171" s="9" t="s">
        <v>51</v>
      </c>
      <c r="B171" s="5">
        <f>AVERAGE(B170:D170)</f>
        <v>6.4445346391514726E-5</v>
      </c>
      <c r="C171" s="5"/>
      <c r="D171" s="5"/>
      <c r="E171" s="5">
        <f>AVERAGE(E170:G170)</f>
        <v>8.4698402021298719E-5</v>
      </c>
      <c r="F171" s="5"/>
      <c r="G171" s="5"/>
      <c r="H171" s="5"/>
      <c r="I171" s="5"/>
      <c r="J171" s="6"/>
    </row>
    <row r="172" spans="1:10">
      <c r="A172" s="9" t="s">
        <v>52</v>
      </c>
      <c r="B172" s="5">
        <f>_xlfn.STDEV.P(B170:D170)</f>
        <v>9.8376097266012998E-6</v>
      </c>
      <c r="C172" s="5"/>
      <c r="D172" s="5"/>
      <c r="E172" s="5">
        <f>_xlfn.STDEV.P(E170:G170)</f>
        <v>8.576199947980079E-6</v>
      </c>
      <c r="F172" s="5"/>
      <c r="G172" s="5"/>
      <c r="H172" s="5"/>
      <c r="I172" s="5"/>
      <c r="J172" s="6"/>
    </row>
    <row r="173" spans="1:10">
      <c r="A173" s="9" t="s">
        <v>53</v>
      </c>
      <c r="B173" s="5">
        <f>AVERAGE(B171,E171)</f>
        <v>7.4571874206406729E-5</v>
      </c>
      <c r="C173" s="5"/>
      <c r="D173" s="5"/>
      <c r="E173" s="5"/>
      <c r="F173" s="5"/>
      <c r="G173" s="5"/>
      <c r="H173" s="5"/>
      <c r="I173" s="5"/>
      <c r="J173" s="6"/>
    </row>
    <row r="174" spans="1:10" ht="15.75" thickBot="1">
      <c r="A174" s="10" t="s">
        <v>54</v>
      </c>
      <c r="B174" s="7">
        <f>_xlfn.STDEV.P(B171,E171)</f>
        <v>1.0126527814891997E-5</v>
      </c>
      <c r="C174" s="7"/>
      <c r="D174" s="7"/>
      <c r="E174" s="7"/>
      <c r="F174" s="7"/>
      <c r="G174" s="7"/>
      <c r="H174" s="7"/>
      <c r="I174" s="7"/>
      <c r="J174" s="8"/>
    </row>
    <row r="175" spans="1:10" ht="15.75" thickBo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5.75" thickBot="1">
      <c r="A176" s="17" t="s">
        <v>23</v>
      </c>
      <c r="B176" s="83" t="s">
        <v>70</v>
      </c>
      <c r="C176" s="83"/>
      <c r="D176" s="83"/>
      <c r="E176" s="83"/>
      <c r="F176" s="83"/>
      <c r="G176" s="83"/>
      <c r="H176" s="83"/>
      <c r="I176" s="83"/>
      <c r="J176" s="84"/>
    </row>
    <row r="177" spans="1:14" ht="15.75" thickBot="1">
      <c r="A177" s="16"/>
      <c r="B177" s="18"/>
      <c r="C177" s="18"/>
      <c r="D177" s="18"/>
      <c r="E177" s="18"/>
      <c r="F177" s="18"/>
      <c r="G177" s="18"/>
      <c r="H177" s="18"/>
      <c r="I177" s="18"/>
      <c r="J177" s="18"/>
    </row>
    <row r="178" spans="1:14" ht="15.75" thickBot="1">
      <c r="A178" s="27" t="s">
        <v>23</v>
      </c>
      <c r="B178" s="83" t="s">
        <v>70</v>
      </c>
      <c r="C178" s="83"/>
      <c r="D178" s="83"/>
      <c r="E178" s="83"/>
      <c r="F178" s="83"/>
      <c r="G178" s="83"/>
      <c r="H178" s="83"/>
      <c r="I178" s="83"/>
      <c r="J178" s="84"/>
    </row>
    <row r="179" spans="1:14" ht="15.75" thickBot="1"/>
    <row r="180" spans="1:14">
      <c r="A180" s="14" t="s">
        <v>49</v>
      </c>
      <c r="B180" s="12" t="s">
        <v>1</v>
      </c>
      <c r="C180" s="12" t="s">
        <v>2</v>
      </c>
      <c r="D180" s="12" t="s">
        <v>3</v>
      </c>
      <c r="E180" s="12" t="s">
        <v>4</v>
      </c>
      <c r="F180" s="12" t="s">
        <v>5</v>
      </c>
      <c r="G180" s="12" t="s">
        <v>6</v>
      </c>
      <c r="H180" s="12" t="s">
        <v>7</v>
      </c>
      <c r="I180" s="12" t="s">
        <v>8</v>
      </c>
      <c r="J180" s="13" t="s">
        <v>9</v>
      </c>
      <c r="K180" s="80" t="s">
        <v>39</v>
      </c>
      <c r="L180" s="81"/>
      <c r="M180" s="81"/>
      <c r="N180" s="82"/>
    </row>
    <row r="181" spans="1:14">
      <c r="A181" s="9" t="s">
        <v>10</v>
      </c>
      <c r="B181" s="5">
        <v>451014.91</v>
      </c>
      <c r="C181" s="5">
        <v>483862.16</v>
      </c>
      <c r="D181" s="5">
        <v>511939.88</v>
      </c>
      <c r="E181" s="5">
        <v>2611337.25</v>
      </c>
      <c r="F181" s="5">
        <v>2291691.75</v>
      </c>
      <c r="G181" s="5">
        <v>2393430.75</v>
      </c>
      <c r="H181" s="5">
        <v>12071844</v>
      </c>
      <c r="I181" s="5">
        <v>12137517</v>
      </c>
      <c r="J181" s="6">
        <v>13166075</v>
      </c>
      <c r="K181" s="2" t="s">
        <v>18</v>
      </c>
      <c r="L181" s="3" t="s">
        <v>19</v>
      </c>
      <c r="M181" s="3" t="s">
        <v>20</v>
      </c>
      <c r="N181" s="4" t="s">
        <v>21</v>
      </c>
    </row>
    <row r="182" spans="1:14">
      <c r="A182" s="9" t="s">
        <v>11</v>
      </c>
      <c r="B182" s="5">
        <v>25349.61</v>
      </c>
      <c r="C182" s="5">
        <v>28170.400000000001</v>
      </c>
      <c r="D182" s="5">
        <v>28359.91</v>
      </c>
      <c r="E182" s="5">
        <v>134235.10999999999</v>
      </c>
      <c r="F182" s="5">
        <v>129633</v>
      </c>
      <c r="G182" s="5">
        <v>141937.62</v>
      </c>
      <c r="H182" s="5">
        <v>699984.06</v>
      </c>
      <c r="I182" s="5">
        <v>668592.56000000006</v>
      </c>
      <c r="J182" s="6">
        <v>753851.06</v>
      </c>
      <c r="K182" s="2" t="s">
        <v>24</v>
      </c>
      <c r="L182" s="5">
        <v>3.5239468204388914E-5</v>
      </c>
      <c r="M182" s="5">
        <v>1.7619734102194455E-4</v>
      </c>
      <c r="N182" s="6">
        <v>8.8098670510972272E-4</v>
      </c>
    </row>
    <row r="183" spans="1:14">
      <c r="A183" s="9" t="s">
        <v>12</v>
      </c>
      <c r="B183" s="5">
        <v>0</v>
      </c>
      <c r="C183" s="5">
        <v>3254.99</v>
      </c>
      <c r="D183" s="5">
        <v>0</v>
      </c>
      <c r="E183" s="5">
        <v>0</v>
      </c>
      <c r="F183" s="5">
        <v>9586.92</v>
      </c>
      <c r="G183" s="5">
        <v>0</v>
      </c>
      <c r="H183" s="5">
        <v>0</v>
      </c>
      <c r="I183" s="5">
        <v>0</v>
      </c>
      <c r="J183" s="6">
        <v>0</v>
      </c>
    </row>
    <row r="184" spans="1:14">
      <c r="A184" s="9" t="s">
        <v>13</v>
      </c>
      <c r="B184" s="5">
        <v>3772.98</v>
      </c>
      <c r="C184" s="5">
        <v>2998.09</v>
      </c>
      <c r="D184" s="5">
        <v>6450.37</v>
      </c>
      <c r="E184" s="5">
        <v>6128.73</v>
      </c>
      <c r="F184" s="5">
        <v>3456.8</v>
      </c>
      <c r="G184" s="5">
        <v>0</v>
      </c>
      <c r="H184" s="5">
        <v>11747.16</v>
      </c>
      <c r="I184" s="5">
        <v>6048.11</v>
      </c>
      <c r="J184" s="6">
        <v>6938.35</v>
      </c>
    </row>
    <row r="185" spans="1:14">
      <c r="A185" s="9" t="s">
        <v>14</v>
      </c>
      <c r="B185" s="5">
        <v>286457.28000000003</v>
      </c>
      <c r="C185" s="5">
        <v>311410.15999999997</v>
      </c>
      <c r="D185" s="5">
        <v>314031.09000000003</v>
      </c>
      <c r="E185" s="5">
        <v>308377.40999999997</v>
      </c>
      <c r="F185" s="5">
        <v>319415.65999999997</v>
      </c>
      <c r="G185" s="5">
        <v>341273</v>
      </c>
      <c r="H185" s="5">
        <v>264251.34000000003</v>
      </c>
      <c r="I185" s="5">
        <v>299227.75</v>
      </c>
      <c r="J185" s="6">
        <v>342957.59</v>
      </c>
    </row>
    <row r="186" spans="1:14">
      <c r="A186" s="9" t="s">
        <v>15</v>
      </c>
      <c r="B186" s="5">
        <v>6608484.5</v>
      </c>
      <c r="C186" s="5">
        <v>7180867.5</v>
      </c>
      <c r="D186" s="5">
        <v>7136844</v>
      </c>
      <c r="E186" s="5">
        <v>7026338.5</v>
      </c>
      <c r="F186" s="5">
        <v>7415492</v>
      </c>
      <c r="G186" s="5">
        <v>7676547.5</v>
      </c>
      <c r="H186" s="5">
        <v>6550492</v>
      </c>
      <c r="I186" s="5">
        <v>6746780.5</v>
      </c>
      <c r="J186" s="6">
        <v>7646582.5</v>
      </c>
    </row>
    <row r="187" spans="1:14">
      <c r="A187" s="9"/>
      <c r="B187" s="5"/>
      <c r="C187" s="5"/>
      <c r="D187" s="5"/>
      <c r="E187" s="5"/>
      <c r="F187" s="5"/>
      <c r="G187" s="5"/>
      <c r="H187" s="5"/>
      <c r="I187" s="5"/>
      <c r="J187" s="6"/>
    </row>
    <row r="188" spans="1:14">
      <c r="A188" s="9" t="s">
        <v>16</v>
      </c>
      <c r="B188" s="5">
        <f>SUM(B181:B182)/SUM(B181:B186)</f>
        <v>6.4591104978603014E-2</v>
      </c>
      <c r="C188" s="5">
        <f t="shared" ref="C188:J188" si="42">SUM(C181:C182)/SUM(C181:C186)</f>
        <v>6.3919669669172952E-2</v>
      </c>
      <c r="D188" s="5">
        <f t="shared" si="42"/>
        <v>6.7557527779886911E-2</v>
      </c>
      <c r="E188" s="5">
        <f t="shared" si="42"/>
        <v>0.27220492271933627</v>
      </c>
      <c r="F188" s="5">
        <f t="shared" si="42"/>
        <v>0.23810197688082646</v>
      </c>
      <c r="G188" s="5">
        <f t="shared" si="42"/>
        <v>0.24024665920718993</v>
      </c>
      <c r="H188" s="5">
        <f t="shared" si="42"/>
        <v>0.65167978675819616</v>
      </c>
      <c r="I188" s="5">
        <f t="shared" si="42"/>
        <v>0.64487876733381622</v>
      </c>
      <c r="J188" s="6">
        <f t="shared" si="42"/>
        <v>0.63513730365763232</v>
      </c>
    </row>
    <row r="189" spans="1:14">
      <c r="A189" s="9" t="s">
        <v>17</v>
      </c>
      <c r="B189" s="5">
        <f>SUM(B183:B186)/SUM(B181:B182)</f>
        <v>14.482007937954743</v>
      </c>
      <c r="C189" s="5">
        <f t="shared" ref="C189:J189" si="43">SUM(C183:C186)/SUM(C181:C182)</f>
        <v>14.644636544207268</v>
      </c>
      <c r="D189" s="5">
        <f t="shared" si="43"/>
        <v>13.802199441906131</v>
      </c>
      <c r="E189" s="5">
        <f t="shared" si="43"/>
        <v>2.6737028486111361</v>
      </c>
      <c r="F189" s="5">
        <f t="shared" si="43"/>
        <v>3.199881131186554</v>
      </c>
      <c r="G189" s="5">
        <f t="shared" si="43"/>
        <v>3.1623887853424626</v>
      </c>
      <c r="H189" s="5">
        <f t="shared" si="43"/>
        <v>0.53449596000903254</v>
      </c>
      <c r="I189" s="5">
        <f t="shared" si="43"/>
        <v>0.55067905884759583</v>
      </c>
      <c r="J189" s="6">
        <f t="shared" si="43"/>
        <v>0.5744627094664323</v>
      </c>
    </row>
    <row r="190" spans="1:14">
      <c r="A190" s="9" t="s">
        <v>38</v>
      </c>
      <c r="B190" s="5">
        <f>B189*$L$182</f>
        <v>5.1033825826526404E-4</v>
      </c>
      <c r="C190" s="5">
        <f t="shared" ref="C190:D190" si="44">C189*$L$182</f>
        <v>5.1606920386442401E-4</v>
      </c>
      <c r="D190" s="5">
        <f t="shared" si="44"/>
        <v>4.8638216838368551E-4</v>
      </c>
      <c r="E190" s="5">
        <f>E189*$M$182</f>
        <v>4.7109933260808094E-4</v>
      </c>
      <c r="F190" s="5">
        <f t="shared" ref="F190:G190" si="45">F189*$M$182</f>
        <v>5.6381054690136294E-4</v>
      </c>
      <c r="G190" s="5">
        <f t="shared" si="45"/>
        <v>5.5720449525495884E-4</v>
      </c>
      <c r="H190" s="5">
        <f>H189*$N$182</f>
        <v>4.7088383470281572E-4</v>
      </c>
      <c r="I190" s="5">
        <f t="shared" ref="I190:J190" si="46">I189*$N$182</f>
        <v>4.8514092962706658E-4</v>
      </c>
      <c r="J190" s="6">
        <f t="shared" si="46"/>
        <v>5.0609400962123611E-4</v>
      </c>
    </row>
    <row r="191" spans="1:14">
      <c r="A191" s="9" t="s">
        <v>51</v>
      </c>
      <c r="B191" s="5">
        <f>AVERAGE(B190:D190)</f>
        <v>5.0426321017112456E-4</v>
      </c>
      <c r="C191" s="5"/>
      <c r="D191" s="5"/>
      <c r="E191" s="5">
        <f>AVERAGE(E190:G190)</f>
        <v>5.3070479158813424E-4</v>
      </c>
      <c r="F191" s="5"/>
      <c r="G191" s="5"/>
      <c r="H191" s="5">
        <f>AVERAGE(H190:J190)</f>
        <v>4.8737292465037284E-4</v>
      </c>
      <c r="I191" s="5"/>
      <c r="J191" s="6"/>
    </row>
    <row r="192" spans="1:14">
      <c r="A192" s="9" t="s">
        <v>52</v>
      </c>
      <c r="B192" s="5">
        <f>_xlfn.STDEV.P(B190:D190)</f>
        <v>1.2858451848706041E-5</v>
      </c>
      <c r="C192" s="5"/>
      <c r="D192" s="5"/>
      <c r="E192" s="5">
        <f>_xlfn.STDEV.P(E190:G190)</f>
        <v>4.2233620373314372E-5</v>
      </c>
      <c r="F192" s="5"/>
      <c r="G192" s="5"/>
      <c r="H192" s="5">
        <f>_xlfn.STDEV.P(H190:J190)</f>
        <v>1.4460877239054064E-5</v>
      </c>
      <c r="I192" s="5"/>
      <c r="J192" s="6"/>
    </row>
    <row r="193" spans="1:14">
      <c r="A193" s="9" t="s">
        <v>53</v>
      </c>
      <c r="B193" s="5">
        <f>AVERAGE(B191,E191,H191)</f>
        <v>5.0744697546987723E-4</v>
      </c>
      <c r="C193" s="5"/>
      <c r="D193" s="5"/>
      <c r="E193" s="5"/>
      <c r="F193" s="5"/>
      <c r="G193" s="5"/>
      <c r="H193" s="5"/>
      <c r="I193" s="5"/>
      <c r="J193" s="6"/>
    </row>
    <row r="194" spans="1:14" ht="15.75" thickBot="1">
      <c r="A194" s="10" t="s">
        <v>54</v>
      </c>
      <c r="B194" s="7">
        <f>_xlfn.STDEV.P(B191,E191,H191)</f>
        <v>1.7832833840720532E-5</v>
      </c>
      <c r="C194" s="7"/>
      <c r="D194" s="7"/>
      <c r="E194" s="7"/>
      <c r="F194" s="7"/>
      <c r="G194" s="7"/>
      <c r="H194" s="7"/>
      <c r="I194" s="7"/>
      <c r="J194" s="8"/>
    </row>
    <row r="195" spans="1:14" ht="15.75" thickBot="1"/>
    <row r="196" spans="1:14">
      <c r="A196" s="25" t="s">
        <v>49</v>
      </c>
      <c r="B196" s="12" t="s">
        <v>1</v>
      </c>
      <c r="C196" s="12" t="s">
        <v>2</v>
      </c>
      <c r="D196" s="12" t="s">
        <v>3</v>
      </c>
      <c r="E196" s="12" t="s">
        <v>7</v>
      </c>
      <c r="F196" s="12" t="s">
        <v>8</v>
      </c>
      <c r="G196" s="12" t="s">
        <v>9</v>
      </c>
      <c r="H196" s="12"/>
      <c r="I196" s="12"/>
      <c r="J196" s="13"/>
      <c r="K196" s="80" t="s">
        <v>37</v>
      </c>
      <c r="L196" s="81"/>
      <c r="M196" s="81"/>
      <c r="N196" s="82"/>
    </row>
    <row r="197" spans="1:14">
      <c r="A197" s="9" t="s">
        <v>10</v>
      </c>
      <c r="B197" s="5">
        <v>818070.5</v>
      </c>
      <c r="C197" s="5">
        <v>755307.81</v>
      </c>
      <c r="D197" s="5">
        <v>963196</v>
      </c>
      <c r="E197" s="5">
        <v>16288131</v>
      </c>
      <c r="F197" s="5">
        <v>15989117</v>
      </c>
      <c r="G197" s="5">
        <v>17236458</v>
      </c>
      <c r="H197" s="5"/>
      <c r="I197" s="5"/>
      <c r="J197" s="6"/>
      <c r="K197" s="2" t="s">
        <v>18</v>
      </c>
      <c r="L197" s="3" t="s">
        <v>19</v>
      </c>
      <c r="M197" s="3"/>
      <c r="N197" s="4" t="s">
        <v>21</v>
      </c>
    </row>
    <row r="198" spans="1:14">
      <c r="A198" s="9" t="s">
        <v>11</v>
      </c>
      <c r="B198" s="5">
        <v>54746.32</v>
      </c>
      <c r="C198" s="5">
        <v>37712.11</v>
      </c>
      <c r="D198" s="5">
        <v>47264.01</v>
      </c>
      <c r="E198" s="5">
        <v>956252.69</v>
      </c>
      <c r="F198" s="5">
        <v>920564.06</v>
      </c>
      <c r="G198" s="5">
        <v>981897.25</v>
      </c>
      <c r="H198" s="5"/>
      <c r="I198" s="5"/>
      <c r="J198" s="6"/>
      <c r="K198" s="2" t="s">
        <v>24</v>
      </c>
      <c r="L198" s="5">
        <v>3.5239468204388914E-5</v>
      </c>
      <c r="N198" s="6">
        <v>8.8098670510972272E-4</v>
      </c>
    </row>
    <row r="199" spans="1:14">
      <c r="A199" s="9" t="s">
        <v>13</v>
      </c>
      <c r="B199" s="5">
        <v>3652.21</v>
      </c>
      <c r="C199" s="5">
        <v>4092.27</v>
      </c>
      <c r="D199" s="5">
        <v>3370.01</v>
      </c>
      <c r="E199" s="5">
        <v>2153.5300000000002</v>
      </c>
      <c r="F199" s="5">
        <v>16439.48</v>
      </c>
      <c r="G199" s="5">
        <v>0</v>
      </c>
      <c r="H199" s="5"/>
      <c r="I199" s="5"/>
      <c r="J199" s="6"/>
    </row>
    <row r="200" spans="1:14">
      <c r="A200" s="9" t="s">
        <v>14</v>
      </c>
      <c r="B200" s="5">
        <v>300164.88</v>
      </c>
      <c r="C200" s="5">
        <v>337598.97</v>
      </c>
      <c r="D200" s="5">
        <v>279554.44</v>
      </c>
      <c r="E200" s="5">
        <v>277503.78000000003</v>
      </c>
      <c r="F200" s="5">
        <v>303556.53000000003</v>
      </c>
      <c r="G200" s="5">
        <v>279055.5</v>
      </c>
      <c r="H200" s="5"/>
      <c r="I200" s="5"/>
      <c r="J200" s="6"/>
    </row>
    <row r="201" spans="1:14">
      <c r="A201" s="9" t="s">
        <v>15</v>
      </c>
      <c r="B201" s="5">
        <v>6831481.5</v>
      </c>
      <c r="C201" s="5">
        <v>7496028.5</v>
      </c>
      <c r="D201" s="5">
        <v>6343332</v>
      </c>
      <c r="E201" s="5">
        <v>6833294.5</v>
      </c>
      <c r="F201" s="5">
        <v>7192377.5</v>
      </c>
      <c r="G201" s="5">
        <v>6286120.5</v>
      </c>
      <c r="H201" s="5"/>
      <c r="I201" s="5"/>
      <c r="J201" s="6"/>
    </row>
    <row r="202" spans="1:14">
      <c r="A202" s="9"/>
      <c r="B202" s="5"/>
      <c r="C202" s="5"/>
      <c r="D202" s="5"/>
      <c r="E202" s="5"/>
      <c r="F202" s="5"/>
      <c r="G202" s="5"/>
      <c r="H202" s="5"/>
      <c r="I202" s="5"/>
      <c r="J202" s="6"/>
    </row>
    <row r="203" spans="1:14">
      <c r="A203" s="9" t="s">
        <v>16</v>
      </c>
      <c r="B203" s="5">
        <f t="shared" ref="B203:G203" si="47">SUM(B197:B198)/SUM(B197:B201)</f>
        <v>0.10899153862219375</v>
      </c>
      <c r="C203" s="5">
        <f t="shared" si="47"/>
        <v>9.1883193241864045E-2</v>
      </c>
      <c r="D203" s="5">
        <f t="shared" si="47"/>
        <v>0.13231603075649609</v>
      </c>
      <c r="E203" s="5">
        <f t="shared" si="47"/>
        <v>0.70797496261444515</v>
      </c>
      <c r="F203" s="5">
        <f t="shared" si="47"/>
        <v>0.69239387749021797</v>
      </c>
      <c r="G203" s="5">
        <f t="shared" si="47"/>
        <v>0.73509925063644832</v>
      </c>
      <c r="H203" s="5"/>
      <c r="I203" s="5"/>
      <c r="J203" s="6"/>
    </row>
    <row r="204" spans="1:14">
      <c r="A204" s="9" t="s">
        <v>17</v>
      </c>
      <c r="B204" s="5">
        <f t="shared" ref="B204:G204" si="48">SUM(B199:B201)/SUM(B197:B198)</f>
        <v>8.175024159135706</v>
      </c>
      <c r="C204" s="5">
        <f t="shared" si="48"/>
        <v>9.8833831815977575</v>
      </c>
      <c r="D204" s="5">
        <f t="shared" si="48"/>
        <v>6.5576632270682342</v>
      </c>
      <c r="E204" s="5">
        <f t="shared" si="48"/>
        <v>0.4124793287987899</v>
      </c>
      <c r="F204" s="5">
        <f t="shared" si="48"/>
        <v>0.44426464835996143</v>
      </c>
      <c r="G204" s="5">
        <f t="shared" si="48"/>
        <v>0.36036052156793902</v>
      </c>
      <c r="H204" s="5"/>
      <c r="I204" s="5"/>
      <c r="J204" s="6"/>
    </row>
    <row r="205" spans="1:14">
      <c r="A205" s="9" t="s">
        <v>38</v>
      </c>
      <c r="B205" s="5">
        <f>B204*$L$198</f>
        <v>2.8808350392597393E-4</v>
      </c>
      <c r="C205" s="5">
        <f t="shared" ref="C205:D205" si="49">C204*$L$198</f>
        <v>3.4828516737970633E-4</v>
      </c>
      <c r="D205" s="5">
        <f t="shared" si="49"/>
        <v>2.3108856478536144E-4</v>
      </c>
      <c r="E205" s="5">
        <f>E204*$N$198</f>
        <v>3.6338880480431588E-4</v>
      </c>
      <c r="F205" s="5">
        <f t="shared" ref="F205:G205" si="50">F204*$N$198</f>
        <v>3.9139124875537198E-4</v>
      </c>
      <c r="G205" s="5">
        <f t="shared" si="50"/>
        <v>3.1747282854775976E-4</v>
      </c>
      <c r="H205" s="5"/>
      <c r="I205" s="5"/>
      <c r="J205" s="6"/>
    </row>
    <row r="206" spans="1:14">
      <c r="A206" s="9" t="s">
        <v>51</v>
      </c>
      <c r="B206" s="5">
        <f>AVERAGE(B205:D205)</f>
        <v>2.8915241203034727E-4</v>
      </c>
      <c r="C206" s="5"/>
      <c r="D206" s="5"/>
      <c r="E206" s="5">
        <f>AVERAGE(E205:G205)</f>
        <v>3.5741762736914915E-4</v>
      </c>
      <c r="F206" s="5"/>
      <c r="G206" s="5"/>
      <c r="H206" s="5"/>
      <c r="I206" s="5"/>
      <c r="J206" s="6"/>
    </row>
    <row r="207" spans="1:14">
      <c r="A207" s="9" t="s">
        <v>52</v>
      </c>
      <c r="B207" s="5">
        <f>_xlfn.STDEV.P(B205:D205)</f>
        <v>4.7851282381394255E-5</v>
      </c>
      <c r="C207" s="5"/>
      <c r="D207" s="5"/>
      <c r="E207" s="5">
        <f>_xlfn.STDEV.P(E205:G205)</f>
        <v>3.0471018268391428E-5</v>
      </c>
      <c r="F207" s="5"/>
      <c r="G207" s="5"/>
      <c r="H207" s="5"/>
      <c r="I207" s="5"/>
      <c r="J207" s="6"/>
    </row>
    <row r="208" spans="1:14">
      <c r="A208" s="9" t="s">
        <v>53</v>
      </c>
      <c r="B208" s="5">
        <f>AVERAGE(B206,E206)</f>
        <v>3.2328501969974821E-4</v>
      </c>
      <c r="C208" s="5"/>
      <c r="D208" s="5"/>
      <c r="E208" s="5"/>
      <c r="F208" s="5"/>
      <c r="G208" s="5"/>
      <c r="H208" s="5"/>
      <c r="I208" s="5"/>
      <c r="J208" s="6"/>
    </row>
    <row r="209" spans="1:14" ht="15.75" thickBot="1">
      <c r="A209" s="10" t="s">
        <v>54</v>
      </c>
      <c r="B209" s="7">
        <f>_xlfn.STDEV.P(B206,E206)</f>
        <v>3.4132607669400941E-5</v>
      </c>
      <c r="C209" s="7"/>
      <c r="D209" s="7"/>
      <c r="E209" s="7"/>
      <c r="F209" s="7"/>
      <c r="G209" s="7"/>
      <c r="H209" s="7"/>
      <c r="I209" s="7"/>
      <c r="J209" s="8"/>
    </row>
    <row r="210" spans="1:14" ht="15.75" thickBo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4">
      <c r="A211" s="15" t="s">
        <v>49</v>
      </c>
      <c r="B211" s="12" t="s">
        <v>57</v>
      </c>
      <c r="C211" s="12" t="s">
        <v>58</v>
      </c>
      <c r="D211" s="12" t="s">
        <v>59</v>
      </c>
      <c r="E211" s="12" t="s">
        <v>60</v>
      </c>
      <c r="F211" s="12" t="s">
        <v>61</v>
      </c>
      <c r="G211" s="12" t="s">
        <v>62</v>
      </c>
      <c r="H211" s="12" t="s">
        <v>63</v>
      </c>
      <c r="I211" s="12" t="s">
        <v>64</v>
      </c>
      <c r="J211" s="13" t="s">
        <v>65</v>
      </c>
      <c r="K211" s="80" t="s">
        <v>39</v>
      </c>
      <c r="L211" s="81"/>
      <c r="M211" s="81"/>
      <c r="N211" s="82"/>
    </row>
    <row r="212" spans="1:14">
      <c r="A212" s="9" t="s">
        <v>10</v>
      </c>
      <c r="B212" s="5">
        <v>224382.56</v>
      </c>
      <c r="C212" s="5">
        <v>241685.2</v>
      </c>
      <c r="D212" s="5">
        <v>250692.55</v>
      </c>
      <c r="E212" s="5">
        <v>1248916</v>
      </c>
      <c r="F212" s="5">
        <v>1263116.8799999999</v>
      </c>
      <c r="G212" s="5">
        <v>1234925.6200000001</v>
      </c>
      <c r="H212" s="5">
        <v>6665648.5</v>
      </c>
      <c r="I212" s="5">
        <v>6940637.5</v>
      </c>
      <c r="J212" s="6">
        <v>6608896.5</v>
      </c>
      <c r="K212" s="2" t="s">
        <v>18</v>
      </c>
      <c r="L212" s="3" t="s">
        <v>19</v>
      </c>
      <c r="M212" s="3" t="s">
        <v>20</v>
      </c>
      <c r="N212" s="4" t="s">
        <v>21</v>
      </c>
    </row>
    <row r="213" spans="1:14">
      <c r="A213" s="9" t="s">
        <v>11</v>
      </c>
      <c r="B213" s="5">
        <v>13525.32</v>
      </c>
      <c r="C213" s="5">
        <v>5676.51</v>
      </c>
      <c r="D213" s="5">
        <v>10227.17</v>
      </c>
      <c r="E213" s="5">
        <v>58123.839999999997</v>
      </c>
      <c r="F213" s="5">
        <v>65792.39</v>
      </c>
      <c r="G213" s="5">
        <v>65372.11</v>
      </c>
      <c r="H213" s="5">
        <v>327228.71999999997</v>
      </c>
      <c r="I213" s="5">
        <v>350954.47</v>
      </c>
      <c r="J213" s="6">
        <v>324103.5</v>
      </c>
      <c r="K213" s="2" t="s">
        <v>24</v>
      </c>
      <c r="L213" s="5">
        <v>3.5239468204388914E-5</v>
      </c>
      <c r="M213" s="5">
        <v>1.7619734102194455E-4</v>
      </c>
      <c r="N213" s="6">
        <v>8.8098670510972272E-4</v>
      </c>
    </row>
    <row r="214" spans="1:14">
      <c r="A214" s="9" t="s">
        <v>12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6">
        <v>2521.41</v>
      </c>
    </row>
    <row r="215" spans="1:14">
      <c r="A215" s="9" t="s">
        <v>13</v>
      </c>
      <c r="B215" s="5">
        <v>2354.9699999999998</v>
      </c>
      <c r="C215" s="5">
        <v>2680.71</v>
      </c>
      <c r="D215" s="5">
        <v>0</v>
      </c>
      <c r="E215" s="5">
        <v>0</v>
      </c>
      <c r="F215" s="5">
        <v>3910.99</v>
      </c>
      <c r="G215" s="5">
        <v>0</v>
      </c>
      <c r="H215" s="5">
        <v>0</v>
      </c>
      <c r="I215" s="5">
        <v>0</v>
      </c>
      <c r="J215" s="6">
        <v>0</v>
      </c>
    </row>
    <row r="216" spans="1:14">
      <c r="A216" s="9" t="s">
        <v>14</v>
      </c>
      <c r="B216" s="5">
        <v>150132.94</v>
      </c>
      <c r="C216" s="5">
        <v>147607.75</v>
      </c>
      <c r="D216" s="5">
        <v>166254.54999999999</v>
      </c>
      <c r="E216" s="5">
        <v>130278.16</v>
      </c>
      <c r="F216" s="5">
        <v>153698.59</v>
      </c>
      <c r="G216" s="5">
        <v>153168.23000000001</v>
      </c>
      <c r="H216" s="5">
        <v>127440.04</v>
      </c>
      <c r="I216" s="5">
        <v>129116.06</v>
      </c>
      <c r="J216" s="6">
        <v>133677.23000000001</v>
      </c>
    </row>
    <row r="217" spans="1:14">
      <c r="A217" s="9" t="s">
        <v>15</v>
      </c>
      <c r="B217" s="5">
        <v>3554340.25</v>
      </c>
      <c r="C217" s="5">
        <v>4074418.25</v>
      </c>
      <c r="D217" s="5">
        <v>3872212.75</v>
      </c>
      <c r="E217" s="5">
        <v>3514470.25</v>
      </c>
      <c r="F217" s="5">
        <v>3998208.75</v>
      </c>
      <c r="G217" s="5">
        <v>4264619.5</v>
      </c>
      <c r="H217" s="5">
        <v>3360935.25</v>
      </c>
      <c r="I217" s="5">
        <v>3660460.25</v>
      </c>
      <c r="J217" s="6">
        <v>3766223.75</v>
      </c>
    </row>
    <row r="218" spans="1:14">
      <c r="A218" s="9"/>
      <c r="B218" s="5"/>
      <c r="C218" s="5"/>
      <c r="D218" s="5"/>
      <c r="E218" s="5"/>
      <c r="F218" s="5"/>
      <c r="G218" s="5"/>
      <c r="H218" s="5"/>
      <c r="I218" s="5"/>
      <c r="J218" s="6"/>
    </row>
    <row r="219" spans="1:14">
      <c r="A219" s="9" t="s">
        <v>16</v>
      </c>
      <c r="B219" s="5">
        <f>SUM(B212:B213)/SUM(B212:B217)</f>
        <v>6.0310215331923704E-2</v>
      </c>
      <c r="C219" s="5">
        <f t="shared" ref="C219:J219" si="51">SUM(C212:C213)/SUM(C212:C217)</f>
        <v>5.5312595150321969E-2</v>
      </c>
      <c r="D219" s="5">
        <f t="shared" si="51"/>
        <v>6.068765588821079E-2</v>
      </c>
      <c r="E219" s="5">
        <f t="shared" si="51"/>
        <v>0.26395309613653212</v>
      </c>
      <c r="F219" s="5">
        <f t="shared" si="51"/>
        <v>0.24229266554641654</v>
      </c>
      <c r="G219" s="5">
        <f t="shared" si="51"/>
        <v>0.22740089127664073</v>
      </c>
      <c r="H219" s="5">
        <f t="shared" si="51"/>
        <v>0.66717953921329576</v>
      </c>
      <c r="I219" s="5">
        <f t="shared" si="51"/>
        <v>0.65801653632138513</v>
      </c>
      <c r="J219" s="6">
        <f t="shared" si="51"/>
        <v>0.63984584545577639</v>
      </c>
    </row>
    <row r="220" spans="1:14">
      <c r="A220" s="9" t="s">
        <v>17</v>
      </c>
      <c r="B220" s="5">
        <f>SUM(B214:B217)/SUM(B212:B213)</f>
        <v>15.580938975203344</v>
      </c>
      <c r="C220" s="5">
        <f t="shared" ref="C220:J220" si="52">SUM(C214:C217)/SUM(C212:C213)</f>
        <v>17.079064945015134</v>
      </c>
      <c r="D220" s="5">
        <f t="shared" si="52"/>
        <v>15.477815551848668</v>
      </c>
      <c r="E220" s="5">
        <f t="shared" si="52"/>
        <v>2.7885518853044293</v>
      </c>
      <c r="F220" s="5">
        <f t="shared" si="52"/>
        <v>3.1272400786247814</v>
      </c>
      <c r="G220" s="5">
        <f t="shared" si="52"/>
        <v>3.3975201433290203</v>
      </c>
      <c r="H220" s="5">
        <f t="shared" si="52"/>
        <v>0.49884692384174312</v>
      </c>
      <c r="I220" s="5">
        <f t="shared" si="52"/>
        <v>0.51971864657149769</v>
      </c>
      <c r="J220" s="6">
        <f t="shared" si="52"/>
        <v>0.56287644454060293</v>
      </c>
    </row>
    <row r="221" spans="1:14">
      <c r="A221" s="9" t="s">
        <v>38</v>
      </c>
      <c r="B221" s="5">
        <f>B220*$L$213</f>
        <v>5.490640036112022E-4</v>
      </c>
      <c r="C221" s="5">
        <f t="shared" ref="C221:D221" si="53">C220*$L$213</f>
        <v>6.0185716609055409E-4</v>
      </c>
      <c r="D221" s="5">
        <f t="shared" si="53"/>
        <v>5.4542998901276735E-4</v>
      </c>
      <c r="E221" s="5">
        <f>E220*$M$213</f>
        <v>4.913354274923709E-4</v>
      </c>
      <c r="F221" s="5">
        <f t="shared" ref="F221:G221" si="54">F220*$M$213</f>
        <v>5.510113865909433E-4</v>
      </c>
      <c r="G221" s="5">
        <f t="shared" si="54"/>
        <v>5.9863401532306933E-4</v>
      </c>
      <c r="H221" s="5">
        <f>H220*$N$213</f>
        <v>4.3947750778945807E-4</v>
      </c>
      <c r="I221" s="5">
        <f t="shared" ref="I221:J221" si="55">I220*$N$213</f>
        <v>4.5786521802710826E-4</v>
      </c>
      <c r="J221" s="6">
        <f t="shared" si="55"/>
        <v>4.9588666425970135E-4</v>
      </c>
    </row>
    <row r="222" spans="1:14">
      <c r="A222" s="9" t="s">
        <v>51</v>
      </c>
      <c r="B222" s="5">
        <f>AVERAGE(B221:D221)</f>
        <v>5.6545038623817448E-4</v>
      </c>
      <c r="C222" s="5"/>
      <c r="D222" s="5"/>
      <c r="E222" s="5">
        <f>AVERAGE(E221:G221)</f>
        <v>5.4699360980212791E-4</v>
      </c>
      <c r="F222" s="5"/>
      <c r="G222" s="5"/>
      <c r="H222" s="5">
        <f>AVERAGE(H221:J221)</f>
        <v>4.6440979669208924E-4</v>
      </c>
      <c r="I222" s="5"/>
      <c r="J222" s="6"/>
    </row>
    <row r="223" spans="1:14">
      <c r="A223" s="9" t="s">
        <v>52</v>
      </c>
      <c r="B223" s="5">
        <f>_xlfn.STDEV.P(B221:D221)</f>
        <v>2.5786194367531002E-5</v>
      </c>
      <c r="C223" s="5"/>
      <c r="D223" s="5"/>
      <c r="E223" s="5">
        <f>_xlfn.STDEV.P(E221:G221)</f>
        <v>4.3896496711841628E-5</v>
      </c>
      <c r="F223" s="5"/>
      <c r="G223" s="5"/>
      <c r="H223" s="5">
        <f>_xlfn.STDEV.P(H221:J221)</f>
        <v>2.3489314816850806E-5</v>
      </c>
      <c r="I223" s="5"/>
      <c r="J223" s="6"/>
    </row>
    <row r="224" spans="1:14">
      <c r="A224" s="9" t="s">
        <v>53</v>
      </c>
      <c r="B224" s="5">
        <f>AVERAGE(B222,E222,H222)</f>
        <v>5.2561793091079727E-4</v>
      </c>
      <c r="C224" s="5"/>
      <c r="D224" s="5"/>
      <c r="E224" s="5"/>
      <c r="F224" s="5"/>
      <c r="G224" s="5"/>
      <c r="H224" s="5"/>
      <c r="I224" s="5"/>
      <c r="J224" s="6"/>
    </row>
    <row r="225" spans="1:14" ht="15.75" thickBot="1">
      <c r="A225" s="10" t="s">
        <v>54</v>
      </c>
      <c r="B225" s="7">
        <f>_xlfn.STDEV.P(B222,E222,H222)</f>
        <v>4.3931688790697754E-5</v>
      </c>
      <c r="C225" s="7"/>
      <c r="D225" s="7"/>
      <c r="E225" s="7"/>
      <c r="F225" s="7"/>
      <c r="G225" s="7"/>
      <c r="H225" s="7"/>
      <c r="I225" s="7"/>
      <c r="J225" s="8"/>
    </row>
    <row r="226" spans="1:14" ht="15.75" thickBo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4" ht="15" customHeight="1">
      <c r="A227" s="15" t="s">
        <v>83</v>
      </c>
      <c r="B227" s="12" t="s">
        <v>74</v>
      </c>
      <c r="C227" s="12" t="s">
        <v>75</v>
      </c>
      <c r="D227" s="12" t="s">
        <v>76</v>
      </c>
      <c r="E227" s="12"/>
      <c r="F227" s="20"/>
      <c r="G227" s="20"/>
      <c r="H227" s="20"/>
      <c r="I227" s="20"/>
      <c r="J227" s="21"/>
      <c r="K227" s="80" t="s">
        <v>39</v>
      </c>
      <c r="L227" s="81"/>
      <c r="M227" s="81"/>
      <c r="N227" s="82"/>
    </row>
    <row r="228" spans="1:14">
      <c r="A228" s="9" t="s">
        <v>10</v>
      </c>
      <c r="B228" s="5">
        <v>1321095.3799999999</v>
      </c>
      <c r="C228" s="5">
        <v>1281915.8799999999</v>
      </c>
      <c r="D228" s="5">
        <v>1220675</v>
      </c>
      <c r="E228" s="5"/>
      <c r="F228" s="19"/>
      <c r="G228" s="19"/>
      <c r="H228" s="19"/>
      <c r="I228" s="19"/>
      <c r="J228" s="22"/>
      <c r="K228" s="2" t="s">
        <v>18</v>
      </c>
      <c r="L228" s="3"/>
      <c r="M228" s="3" t="s">
        <v>19</v>
      </c>
      <c r="N228" s="4"/>
    </row>
    <row r="229" spans="1:14">
      <c r="A229" s="9" t="s">
        <v>11</v>
      </c>
      <c r="B229" s="5">
        <v>59397.86</v>
      </c>
      <c r="C229" s="5">
        <v>70852.98</v>
      </c>
      <c r="D229" s="5">
        <v>57185.41</v>
      </c>
      <c r="E229" s="5"/>
      <c r="F229" s="3"/>
      <c r="G229" s="5"/>
      <c r="H229" s="5"/>
      <c r="I229" s="5"/>
      <c r="J229" s="6"/>
      <c r="K229" s="2" t="s">
        <v>24</v>
      </c>
      <c r="M229" s="5">
        <v>3.5239468204388914E-5</v>
      </c>
    </row>
    <row r="230" spans="1:14">
      <c r="A230" s="9" t="s">
        <v>14</v>
      </c>
      <c r="B230" s="5">
        <v>22382.52</v>
      </c>
      <c r="C230" s="5">
        <v>23636.85</v>
      </c>
      <c r="D230" s="5">
        <v>24028.69</v>
      </c>
      <c r="E230" s="5"/>
      <c r="F230" s="5"/>
      <c r="G230" s="5"/>
      <c r="H230" s="5"/>
      <c r="I230" s="5"/>
      <c r="J230" s="6"/>
    </row>
    <row r="231" spans="1:14">
      <c r="A231" s="9" t="s">
        <v>15</v>
      </c>
      <c r="B231" s="5">
        <v>605903.06000000006</v>
      </c>
      <c r="C231" s="5">
        <v>480739.72</v>
      </c>
      <c r="D231" s="5">
        <v>420327.84</v>
      </c>
      <c r="E231" s="5"/>
      <c r="F231" s="5"/>
      <c r="G231" s="5"/>
      <c r="H231" s="5"/>
      <c r="I231" s="5"/>
      <c r="J231" s="6"/>
    </row>
    <row r="232" spans="1:14">
      <c r="A232" s="9"/>
      <c r="B232" s="5"/>
      <c r="C232" s="5"/>
      <c r="D232" s="5"/>
      <c r="E232" s="5"/>
      <c r="F232" s="5"/>
      <c r="G232" s="5"/>
      <c r="H232" s="5"/>
      <c r="I232" s="5"/>
      <c r="J232" s="6"/>
    </row>
    <row r="233" spans="1:14">
      <c r="A233" s="9" t="s">
        <v>77</v>
      </c>
      <c r="B233" s="5">
        <f>SUM(B228:B229)</f>
        <v>1380493.24</v>
      </c>
      <c r="C233" s="5">
        <f t="shared" ref="C233:D233" si="56">SUM(C228:C229)</f>
        <v>1352768.8599999999</v>
      </c>
      <c r="D233" s="5">
        <f t="shared" si="56"/>
        <v>1277860.4099999999</v>
      </c>
      <c r="E233" s="5"/>
      <c r="F233" s="5"/>
      <c r="G233" s="5"/>
      <c r="H233" s="5"/>
      <c r="I233" s="5"/>
      <c r="J233" s="6"/>
    </row>
    <row r="234" spans="1:14">
      <c r="A234" s="9" t="s">
        <v>78</v>
      </c>
      <c r="B234" s="5">
        <f>SUM(B230:B231)</f>
        <v>628285.58000000007</v>
      </c>
      <c r="C234" s="5">
        <f t="shared" ref="C234:D234" si="57">SUM(C230:C231)</f>
        <v>504376.56999999995</v>
      </c>
      <c r="D234" s="5">
        <f t="shared" si="57"/>
        <v>444356.53</v>
      </c>
      <c r="E234" s="5"/>
      <c r="F234" s="5"/>
      <c r="G234" s="5"/>
      <c r="H234" s="5"/>
      <c r="I234" s="5"/>
      <c r="J234" s="6"/>
    </row>
    <row r="235" spans="1:14">
      <c r="A235" s="9" t="s">
        <v>79</v>
      </c>
      <c r="B235" s="5">
        <f>B234-(F229*B234)</f>
        <v>628285.58000000007</v>
      </c>
      <c r="C235" s="5">
        <f>C234-(F229*C234)</f>
        <v>504376.56999999995</v>
      </c>
      <c r="D235" s="5">
        <f>D234-(F229*D234)</f>
        <v>444356.53</v>
      </c>
      <c r="E235" s="5"/>
      <c r="F235" s="5"/>
      <c r="G235" s="5"/>
      <c r="H235" s="5"/>
      <c r="I235" s="5"/>
      <c r="J235" s="6"/>
    </row>
    <row r="236" spans="1:14">
      <c r="A236" s="9" t="s">
        <v>16</v>
      </c>
      <c r="B236" s="5">
        <f>B233/(SUM(B233,B235))</f>
        <v>0.68723008539088437</v>
      </c>
      <c r="C236" s="5">
        <f t="shared" ref="C236:D236" si="58">C233/(SUM(C233,C235))</f>
        <v>0.7284129924063083</v>
      </c>
      <c r="D236" s="5">
        <f t="shared" si="58"/>
        <v>0.74198573961303615</v>
      </c>
      <c r="E236" s="5"/>
      <c r="F236" s="5"/>
      <c r="G236" s="5"/>
      <c r="H236" s="5"/>
      <c r="I236" s="5"/>
      <c r="J236" s="6"/>
    </row>
    <row r="237" spans="1:14">
      <c r="A237" s="9" t="s">
        <v>17</v>
      </c>
      <c r="B237" s="5">
        <f>B235/B233</f>
        <v>0.45511673784074458</v>
      </c>
      <c r="C237" s="5">
        <f t="shared" ref="C237:D237" si="59">C235/C233</f>
        <v>0.37284756096470167</v>
      </c>
      <c r="D237" s="5">
        <f t="shared" si="59"/>
        <v>0.34773479679208469</v>
      </c>
      <c r="E237" s="5"/>
      <c r="F237" s="5"/>
      <c r="G237" s="5"/>
      <c r="H237" s="5"/>
      <c r="I237" s="5"/>
      <c r="J237" s="6"/>
    </row>
    <row r="238" spans="1:14">
      <c r="A238" s="9" t="s">
        <v>38</v>
      </c>
      <c r="B238" s="5">
        <f>B237*$M$229</f>
        <v>1.6038071812424125E-5</v>
      </c>
      <c r="C238" s="5">
        <f t="shared" ref="C238:D238" si="60">C237*$M$229</f>
        <v>1.3138949769699562E-5</v>
      </c>
      <c r="D238" s="5">
        <f t="shared" si="60"/>
        <v>1.2253989315114308E-5</v>
      </c>
      <c r="E238" s="5"/>
      <c r="F238" s="5"/>
      <c r="G238" s="5"/>
      <c r="H238" s="5"/>
      <c r="I238" s="5"/>
      <c r="J238" s="6"/>
    </row>
    <row r="239" spans="1:14">
      <c r="A239" s="9" t="s">
        <v>81</v>
      </c>
      <c r="B239" s="5">
        <f>AVERAGE(B238:D238)</f>
        <v>1.3810336965746E-5</v>
      </c>
      <c r="C239" s="5"/>
      <c r="D239" s="5"/>
      <c r="E239" s="5"/>
      <c r="F239" s="5"/>
      <c r="G239" s="5"/>
      <c r="H239" s="5"/>
      <c r="I239" s="5"/>
      <c r="J239" s="6"/>
    </row>
    <row r="240" spans="1:14" ht="15.75" thickBot="1">
      <c r="A240" s="10" t="s">
        <v>82</v>
      </c>
      <c r="B240" s="7">
        <f>_xlfn.STDEV.P(B238:D238)</f>
        <v>1.6161457570142917E-6</v>
      </c>
      <c r="C240" s="7"/>
      <c r="D240" s="7"/>
      <c r="E240" s="7"/>
      <c r="F240" s="7"/>
      <c r="G240" s="7"/>
      <c r="H240" s="7"/>
      <c r="I240" s="7"/>
      <c r="J240" s="8"/>
    </row>
    <row r="241" spans="1:14" ht="15.75" thickBo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4">
      <c r="A242" s="26" t="s">
        <v>49</v>
      </c>
      <c r="B242" s="12" t="s">
        <v>57</v>
      </c>
      <c r="C242" s="12" t="s">
        <v>58</v>
      </c>
      <c r="D242" s="12" t="s">
        <v>59</v>
      </c>
      <c r="E242" s="12" t="s">
        <v>63</v>
      </c>
      <c r="F242" s="12" t="s">
        <v>64</v>
      </c>
      <c r="G242" s="12" t="s">
        <v>65</v>
      </c>
      <c r="H242" s="12"/>
      <c r="I242" s="12"/>
      <c r="J242" s="13"/>
      <c r="K242" s="80" t="s">
        <v>37</v>
      </c>
      <c r="L242" s="81"/>
      <c r="M242" s="81"/>
      <c r="N242" s="82"/>
    </row>
    <row r="243" spans="1:14">
      <c r="A243" s="9" t="s">
        <v>10</v>
      </c>
      <c r="B243" s="5">
        <v>464765.78</v>
      </c>
      <c r="C243" s="5">
        <v>297548.03000000003</v>
      </c>
      <c r="D243" s="5">
        <v>466118.59</v>
      </c>
      <c r="E243" s="5">
        <v>8672435</v>
      </c>
      <c r="F243" s="5">
        <v>8817429</v>
      </c>
      <c r="G243" s="5">
        <v>8985385</v>
      </c>
      <c r="H243" s="5"/>
      <c r="I243" s="5"/>
      <c r="J243" s="6"/>
      <c r="K243" s="2" t="s">
        <v>18</v>
      </c>
      <c r="L243" s="3" t="s">
        <v>19</v>
      </c>
      <c r="M243" s="3"/>
      <c r="N243" s="4" t="s">
        <v>21</v>
      </c>
    </row>
    <row r="244" spans="1:14">
      <c r="A244" s="9" t="s">
        <v>11</v>
      </c>
      <c r="B244" s="5">
        <v>15385.04</v>
      </c>
      <c r="C244" s="5">
        <v>16065.32</v>
      </c>
      <c r="D244" s="5">
        <v>20604.79</v>
      </c>
      <c r="E244" s="5">
        <v>442899.97</v>
      </c>
      <c r="F244" s="5">
        <v>462935.38</v>
      </c>
      <c r="G244" s="5">
        <v>432060.25</v>
      </c>
      <c r="H244" s="5"/>
      <c r="I244" s="5"/>
      <c r="J244" s="6"/>
      <c r="K244" s="2" t="s">
        <v>24</v>
      </c>
      <c r="L244" s="5">
        <v>3.5239468204388914E-5</v>
      </c>
      <c r="N244" s="6">
        <v>8.8098670510972272E-4</v>
      </c>
    </row>
    <row r="245" spans="1:14">
      <c r="A245" s="9" t="s">
        <v>13</v>
      </c>
      <c r="B245" s="5">
        <v>3136.03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/>
      <c r="I245" s="5"/>
      <c r="J245" s="6"/>
    </row>
    <row r="246" spans="1:14">
      <c r="A246" s="9" t="s">
        <v>14</v>
      </c>
      <c r="B246" s="5">
        <v>164283.29999999999</v>
      </c>
      <c r="C246" s="5">
        <v>153183.07999999999</v>
      </c>
      <c r="D246" s="5">
        <v>154291.32999999999</v>
      </c>
      <c r="E246" s="5">
        <v>154211.20000000001</v>
      </c>
      <c r="F246" s="5">
        <v>155468.67000000001</v>
      </c>
      <c r="G246" s="5">
        <v>114135.4</v>
      </c>
      <c r="H246" s="5"/>
      <c r="I246" s="5"/>
      <c r="J246" s="6"/>
    </row>
    <row r="247" spans="1:14">
      <c r="A247" s="9" t="s">
        <v>15</v>
      </c>
      <c r="B247" s="5">
        <v>3910348.75</v>
      </c>
      <c r="C247" s="5">
        <v>4024995.25</v>
      </c>
      <c r="D247" s="5">
        <v>3524643.25</v>
      </c>
      <c r="E247" s="5">
        <v>3471012.75</v>
      </c>
      <c r="F247" s="5">
        <v>3722797</v>
      </c>
      <c r="G247" s="5">
        <v>3117153</v>
      </c>
      <c r="H247" s="5"/>
      <c r="I247" s="5"/>
      <c r="J247" s="6"/>
    </row>
    <row r="248" spans="1:14">
      <c r="A248" s="9"/>
      <c r="B248" s="5"/>
      <c r="C248" s="5"/>
      <c r="D248" s="5"/>
      <c r="E248" s="5"/>
      <c r="F248" s="5"/>
      <c r="G248" s="5"/>
      <c r="H248" s="5"/>
      <c r="I248" s="5"/>
      <c r="J248" s="6"/>
    </row>
    <row r="249" spans="1:14">
      <c r="A249" s="9" t="s">
        <v>16</v>
      </c>
      <c r="B249" s="5">
        <f t="shared" ref="B249:G249" si="61">SUM(B243:B244)/SUM(B243:B247)</f>
        <v>0.10534430965851542</v>
      </c>
      <c r="C249" s="5">
        <f t="shared" si="61"/>
        <v>6.9819210760905109E-2</v>
      </c>
      <c r="D249" s="5">
        <f t="shared" si="61"/>
        <v>0.1168418974082068</v>
      </c>
      <c r="E249" s="5">
        <f t="shared" si="61"/>
        <v>0.71545801304610279</v>
      </c>
      <c r="F249" s="5">
        <f t="shared" si="61"/>
        <v>0.70526827980850482</v>
      </c>
      <c r="G249" s="5">
        <f t="shared" si="61"/>
        <v>0.74453660821611178</v>
      </c>
      <c r="H249" s="5"/>
      <c r="I249" s="5"/>
      <c r="J249" s="6"/>
    </row>
    <row r="250" spans="1:14">
      <c r="A250" s="9" t="s">
        <v>17</v>
      </c>
      <c r="B250" s="5">
        <f>SUM(B245:B247)/SUM(B243:B244)</f>
        <v>8.4926816953056541</v>
      </c>
      <c r="C250" s="5">
        <f t="shared" ref="C250:G250" si="62">SUM(C245:C247)/SUM(C243:C244)</f>
        <v>13.322705586353386</v>
      </c>
      <c r="D250" s="5">
        <f t="shared" si="62"/>
        <v>7.5585737837372839</v>
      </c>
      <c r="E250" s="5">
        <f t="shared" si="62"/>
        <v>0.39770605928703462</v>
      </c>
      <c r="F250" s="5">
        <f t="shared" si="62"/>
        <v>0.41790015038181072</v>
      </c>
      <c r="G250" s="5">
        <f t="shared" si="62"/>
        <v>0.34311730137215291</v>
      </c>
      <c r="H250" s="5"/>
      <c r="I250" s="5"/>
      <c r="J250" s="6"/>
    </row>
    <row r="251" spans="1:14">
      <c r="A251" s="9" t="s">
        <v>38</v>
      </c>
      <c r="B251" s="5">
        <f>B250*$L$244</f>
        <v>2.9927758657171934E-4</v>
      </c>
      <c r="C251" s="5">
        <f t="shared" ref="C251:D251" si="63">C250*$L$244</f>
        <v>4.6948505990673475E-4</v>
      </c>
      <c r="D251" s="5">
        <f t="shared" si="63"/>
        <v>2.6636012052253763E-4</v>
      </c>
      <c r="E251" s="5">
        <f>E250*$N$244</f>
        <v>3.5037375077345666E-4</v>
      </c>
      <c r="F251" s="5">
        <f t="shared" ref="F251:G251" si="64">F250*$N$244</f>
        <v>3.6816447654972907E-4</v>
      </c>
      <c r="G251" s="5">
        <f t="shared" si="64"/>
        <v>3.0228178080199272E-4</v>
      </c>
      <c r="H251" s="5"/>
      <c r="I251" s="5"/>
      <c r="J251" s="6"/>
    </row>
    <row r="252" spans="1:14">
      <c r="A252" s="9" t="s">
        <v>51</v>
      </c>
      <c r="B252" s="5">
        <f>AVERAGE(B251:D251)</f>
        <v>3.4504092233366389E-4</v>
      </c>
      <c r="C252" s="5"/>
      <c r="D252" s="5"/>
      <c r="E252" s="5">
        <f>AVERAGE(E251:G251)</f>
        <v>3.4027333604172617E-4</v>
      </c>
      <c r="F252" s="5"/>
      <c r="G252" s="5"/>
      <c r="H252" s="5"/>
      <c r="I252" s="5"/>
      <c r="J252" s="6"/>
    </row>
    <row r="253" spans="1:14">
      <c r="A253" s="9" t="s">
        <v>52</v>
      </c>
      <c r="B253" s="5">
        <f>_xlfn.STDEV.P(B251:D251)</f>
        <v>8.9015532071670103E-5</v>
      </c>
      <c r="C253" s="5"/>
      <c r="D253" s="5"/>
      <c r="E253" s="5">
        <f>_xlfn.STDEV.P(E251:G251)</f>
        <v>2.7828596599684032E-5</v>
      </c>
      <c r="F253" s="5"/>
      <c r="G253" s="5"/>
      <c r="H253" s="5"/>
      <c r="I253" s="5"/>
      <c r="J253" s="6"/>
    </row>
    <row r="254" spans="1:14">
      <c r="A254" s="9" t="s">
        <v>53</v>
      </c>
      <c r="B254" s="5">
        <f>AVERAGE(B252,E252)</f>
        <v>3.4265712918769506E-4</v>
      </c>
      <c r="C254" s="5"/>
      <c r="D254" s="5"/>
      <c r="E254" s="5"/>
      <c r="F254" s="5"/>
      <c r="G254" s="5"/>
      <c r="H254" s="5"/>
      <c r="I254" s="5"/>
      <c r="J254" s="6"/>
    </row>
    <row r="255" spans="1:14" ht="15.75" thickBot="1">
      <c r="A255" s="10" t="s">
        <v>54</v>
      </c>
      <c r="B255" s="7">
        <f>_xlfn.STDEV.P(B252,E252)</f>
        <v>2.3837931459688591E-6</v>
      </c>
      <c r="C255" s="7"/>
      <c r="D255" s="7"/>
      <c r="E255" s="7"/>
      <c r="F255" s="7"/>
      <c r="G255" s="7"/>
      <c r="H255" s="7"/>
      <c r="I255" s="7"/>
      <c r="J255" s="8"/>
    </row>
    <row r="256" spans="1:14" ht="15.75" thickBo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4">
      <c r="A257" s="26" t="s">
        <v>83</v>
      </c>
      <c r="B257" s="12" t="s">
        <v>74</v>
      </c>
      <c r="C257" s="24" t="s">
        <v>75</v>
      </c>
      <c r="D257" s="12" t="s">
        <v>76</v>
      </c>
      <c r="E257" s="12"/>
      <c r="F257" s="85" t="s">
        <v>80</v>
      </c>
      <c r="G257" s="85"/>
      <c r="H257" s="85"/>
      <c r="I257" s="12"/>
      <c r="J257" s="13"/>
      <c r="K257" s="80" t="s">
        <v>37</v>
      </c>
      <c r="L257" s="81"/>
      <c r="M257" s="81"/>
      <c r="N257" s="82"/>
    </row>
    <row r="258" spans="1:14">
      <c r="A258" s="9" t="s">
        <v>10</v>
      </c>
      <c r="B258" s="5">
        <v>2043780.88</v>
      </c>
      <c r="C258" s="23">
        <v>1688723.62</v>
      </c>
      <c r="D258" s="5">
        <v>1876833.5</v>
      </c>
      <c r="E258" s="5"/>
      <c r="F258" s="86"/>
      <c r="G258" s="86"/>
      <c r="H258" s="86"/>
      <c r="I258" s="5"/>
      <c r="J258" s="6"/>
      <c r="K258" s="2" t="s">
        <v>18</v>
      </c>
      <c r="M258" s="3" t="s">
        <v>19</v>
      </c>
      <c r="N258" s="4"/>
    </row>
    <row r="259" spans="1:14">
      <c r="A259" s="9" t="s">
        <v>11</v>
      </c>
      <c r="B259" s="5">
        <v>107022.59</v>
      </c>
      <c r="C259" s="23">
        <v>84235.06</v>
      </c>
      <c r="D259" s="5">
        <v>96052.56</v>
      </c>
      <c r="E259" s="5"/>
      <c r="F259" s="3">
        <v>7.95835605135497E-2</v>
      </c>
      <c r="G259" s="5"/>
      <c r="H259" s="5"/>
      <c r="I259" s="5"/>
      <c r="J259" s="6"/>
      <c r="K259" s="2" t="s">
        <v>24</v>
      </c>
      <c r="M259" s="5">
        <v>3.5239468204388914E-5</v>
      </c>
    </row>
    <row r="260" spans="1:14">
      <c r="A260" s="9" t="s">
        <v>14</v>
      </c>
      <c r="B260" s="5">
        <v>26333.33</v>
      </c>
      <c r="C260" s="23">
        <v>63240.02</v>
      </c>
      <c r="D260" s="5">
        <v>27042.6</v>
      </c>
      <c r="E260" s="5"/>
      <c r="F260" s="5"/>
      <c r="G260" s="5"/>
      <c r="H260" s="5"/>
      <c r="I260" s="5"/>
      <c r="J260" s="6"/>
    </row>
    <row r="261" spans="1:14">
      <c r="A261" s="9" t="s">
        <v>15</v>
      </c>
      <c r="B261" s="5">
        <v>544386.18999999994</v>
      </c>
      <c r="C261" s="23">
        <v>1629602.5</v>
      </c>
      <c r="D261" s="5">
        <v>607163.06000000006</v>
      </c>
      <c r="E261" s="5"/>
      <c r="F261" s="5"/>
      <c r="G261" s="5"/>
      <c r="H261" s="5"/>
      <c r="I261" s="5"/>
      <c r="J261" s="6"/>
    </row>
    <row r="262" spans="1:14">
      <c r="A262" s="9"/>
      <c r="B262" s="5"/>
      <c r="C262" s="23"/>
      <c r="D262" s="5"/>
      <c r="E262" s="5"/>
      <c r="F262" s="5"/>
      <c r="G262" s="5"/>
      <c r="H262" s="5"/>
      <c r="I262" s="5"/>
      <c r="J262" s="6"/>
    </row>
    <row r="263" spans="1:14">
      <c r="A263" s="9" t="s">
        <v>77</v>
      </c>
      <c r="B263" s="5">
        <f>SUM(B258:B259)</f>
        <v>2150803.4699999997</v>
      </c>
      <c r="C263" s="23">
        <f t="shared" ref="C263:D263" si="65">SUM(C258:C259)</f>
        <v>1772958.6800000002</v>
      </c>
      <c r="D263" s="5">
        <f t="shared" si="65"/>
        <v>1972886.06</v>
      </c>
      <c r="E263" s="5"/>
      <c r="F263" s="5"/>
      <c r="G263" s="5"/>
      <c r="H263" s="5"/>
      <c r="I263" s="5"/>
      <c r="J263" s="6"/>
    </row>
    <row r="264" spans="1:14">
      <c r="A264" s="9" t="s">
        <v>78</v>
      </c>
      <c r="B264" s="5">
        <f>SUM(B260:B261)</f>
        <v>570719.5199999999</v>
      </c>
      <c r="C264" s="23">
        <f t="shared" ref="C264:D264" si="66">SUM(C260:C261)</f>
        <v>1692842.52</v>
      </c>
      <c r="D264" s="5">
        <f t="shared" si="66"/>
        <v>634205.66</v>
      </c>
      <c r="E264" s="5"/>
      <c r="F264" s="5"/>
      <c r="G264" s="5"/>
      <c r="H264" s="5"/>
      <c r="I264" s="5"/>
      <c r="J264" s="6"/>
    </row>
    <row r="265" spans="1:14">
      <c r="A265" s="9" t="s">
        <v>79</v>
      </c>
      <c r="B265" s="5">
        <f>B264-(F259*B264)</f>
        <v>525299.62854381592</v>
      </c>
      <c r="C265" s="23">
        <f>C264-(F259*C264)</f>
        <v>1558120.08486967</v>
      </c>
      <c r="D265" s="5">
        <f>D264-(F259*D264)</f>
        <v>583733.31547935435</v>
      </c>
      <c r="E265" s="5"/>
      <c r="F265" s="5"/>
      <c r="G265" s="5"/>
      <c r="H265" s="5"/>
      <c r="I265" s="5"/>
      <c r="J265" s="6"/>
    </row>
    <row r="266" spans="1:14">
      <c r="A266" s="9" t="s">
        <v>16</v>
      </c>
      <c r="B266" s="5">
        <f>B263/(SUM(B263,B265))</f>
        <v>0.80370725297181023</v>
      </c>
      <c r="C266" s="23">
        <f t="shared" ref="C266" si="67">C263/(SUM(C263,C265))</f>
        <v>0.53224760059654963</v>
      </c>
      <c r="D266" s="5">
        <f t="shared" ref="D266" si="68">D263/(SUM(D263,D265))</f>
        <v>0.77167766110279634</v>
      </c>
      <c r="E266" s="5"/>
      <c r="F266" s="5"/>
      <c r="G266" s="5"/>
      <c r="H266" s="5"/>
      <c r="I266" s="5"/>
      <c r="J266" s="6"/>
    </row>
    <row r="267" spans="1:14">
      <c r="A267" s="9" t="s">
        <v>17</v>
      </c>
      <c r="B267" s="5">
        <f>B265/B263</f>
        <v>0.24423413662421514</v>
      </c>
      <c r="C267" s="23">
        <f t="shared" ref="C267:D267" si="69">C265/C263</f>
        <v>0.87882481551666491</v>
      </c>
      <c r="D267" s="5">
        <f t="shared" si="69"/>
        <v>0.29587786508023395</v>
      </c>
      <c r="E267" s="5"/>
      <c r="F267" s="5"/>
      <c r="G267" s="5"/>
      <c r="H267" s="5"/>
      <c r="I267" s="5"/>
      <c r="J267" s="6"/>
    </row>
    <row r="268" spans="1:14">
      <c r="A268" s="9" t="s">
        <v>38</v>
      </c>
      <c r="B268" s="5">
        <f>B267*$M$259</f>
        <v>8.6066810919954079E-6</v>
      </c>
      <c r="C268" s="23">
        <f>C267*$M$259</f>
        <v>3.0969319143627467E-5</v>
      </c>
      <c r="D268" s="5">
        <f>D267*$M$259</f>
        <v>1.0426578618877377E-5</v>
      </c>
      <c r="E268" s="5"/>
      <c r="F268" s="5"/>
      <c r="G268" s="5"/>
      <c r="H268" s="5"/>
      <c r="I268" s="5"/>
      <c r="J268" s="6"/>
    </row>
    <row r="269" spans="1:14">
      <c r="A269" s="9" t="s">
        <v>81</v>
      </c>
      <c r="B269" s="5">
        <f>AVERAGE(B268,D268)</f>
        <v>9.5166298554363923E-6</v>
      </c>
      <c r="C269" s="5"/>
      <c r="D269" s="5"/>
      <c r="E269" s="5"/>
      <c r="F269" s="5"/>
      <c r="G269" s="5"/>
      <c r="H269" s="5"/>
      <c r="I269" s="5"/>
      <c r="J269" s="6"/>
    </row>
    <row r="270" spans="1:14" ht="15.75" thickBot="1">
      <c r="A270" s="10" t="s">
        <v>82</v>
      </c>
      <c r="B270" s="7">
        <f>_xlfn.STDEV.P(B268,D268)</f>
        <v>9.0994876344098434E-7</v>
      </c>
      <c r="C270" s="7"/>
      <c r="D270" s="7"/>
      <c r="E270" s="7"/>
      <c r="F270" s="7"/>
      <c r="G270" s="7"/>
      <c r="H270" s="7"/>
      <c r="I270" s="7"/>
      <c r="J270" s="8"/>
    </row>
    <row r="271" spans="1:14" ht="15.75" thickBot="1"/>
    <row r="272" spans="1:14">
      <c r="A272" s="14" t="s">
        <v>50</v>
      </c>
      <c r="B272" s="12" t="s">
        <v>1</v>
      </c>
      <c r="C272" s="12" t="s">
        <v>2</v>
      </c>
      <c r="D272" s="12" t="s">
        <v>3</v>
      </c>
      <c r="E272" s="12" t="s">
        <v>4</v>
      </c>
      <c r="F272" s="12" t="s">
        <v>5</v>
      </c>
      <c r="G272" s="12" t="s">
        <v>6</v>
      </c>
      <c r="H272" s="12" t="s">
        <v>7</v>
      </c>
      <c r="I272" s="12" t="s">
        <v>8</v>
      </c>
      <c r="J272" s="13" t="s">
        <v>9</v>
      </c>
      <c r="K272" s="80" t="s">
        <v>39</v>
      </c>
      <c r="L272" s="81"/>
      <c r="M272" s="81"/>
      <c r="N272" s="82"/>
    </row>
    <row r="273" spans="1:14">
      <c r="A273" s="9" t="s">
        <v>10</v>
      </c>
      <c r="B273" s="5">
        <v>40714.36</v>
      </c>
      <c r="C273" s="5">
        <v>51866.95</v>
      </c>
      <c r="D273" s="5">
        <v>45806.15</v>
      </c>
      <c r="E273" s="5">
        <v>192874.11</v>
      </c>
      <c r="F273" s="5">
        <v>216625.2</v>
      </c>
      <c r="G273" s="5">
        <v>218968.02</v>
      </c>
      <c r="H273" s="5">
        <v>946027.19</v>
      </c>
      <c r="I273" s="5">
        <v>1075875.5</v>
      </c>
      <c r="J273" s="6">
        <v>1179887.8799999999</v>
      </c>
      <c r="K273" s="2" t="s">
        <v>18</v>
      </c>
      <c r="L273" s="3" t="s">
        <v>19</v>
      </c>
      <c r="M273" s="3" t="s">
        <v>20</v>
      </c>
      <c r="N273" s="4" t="s">
        <v>21</v>
      </c>
    </row>
    <row r="274" spans="1:14">
      <c r="A274" s="9" t="s">
        <v>11</v>
      </c>
      <c r="B274" s="5">
        <v>0</v>
      </c>
      <c r="C274" s="5">
        <v>0</v>
      </c>
      <c r="D274" s="5">
        <v>0</v>
      </c>
      <c r="E274" s="5">
        <v>4406.74</v>
      </c>
      <c r="F274" s="5">
        <v>10214.209999999999</v>
      </c>
      <c r="G274" s="5">
        <v>10859.34</v>
      </c>
      <c r="H274" s="5">
        <v>56472.5</v>
      </c>
      <c r="I274" s="5">
        <v>50505.77</v>
      </c>
      <c r="J274" s="6">
        <v>58665.71</v>
      </c>
      <c r="K274" s="2" t="s">
        <v>25</v>
      </c>
      <c r="L274" s="5">
        <v>4.0168593141324472E-6</v>
      </c>
      <c r="M274" s="5">
        <v>2.0084296570662233E-5</v>
      </c>
      <c r="N274" s="6">
        <v>1.0042148285331116E-4</v>
      </c>
    </row>
    <row r="275" spans="1:14">
      <c r="A275" s="9" t="s">
        <v>13</v>
      </c>
      <c r="B275" s="5">
        <v>0</v>
      </c>
      <c r="C275" s="5">
        <v>2514.7199999999998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6">
        <v>0</v>
      </c>
    </row>
    <row r="276" spans="1:14">
      <c r="A276" s="9" t="s">
        <v>14</v>
      </c>
      <c r="B276" s="5">
        <v>0</v>
      </c>
      <c r="C276" s="5">
        <v>48194.95</v>
      </c>
      <c r="D276" s="5">
        <v>29062.76</v>
      </c>
      <c r="E276" s="5">
        <v>0</v>
      </c>
      <c r="F276" s="5">
        <v>19057.66</v>
      </c>
      <c r="G276" s="5">
        <v>25298</v>
      </c>
      <c r="H276" s="5">
        <v>14902.74</v>
      </c>
      <c r="I276" s="5">
        <v>17337.330000000002</v>
      </c>
      <c r="J276" s="6">
        <v>32358.36</v>
      </c>
    </row>
    <row r="277" spans="1:14">
      <c r="A277" s="9" t="s">
        <v>15</v>
      </c>
      <c r="B277" s="5">
        <v>214479.08</v>
      </c>
      <c r="C277" s="5">
        <v>267361.84000000003</v>
      </c>
      <c r="D277" s="5">
        <v>248853.17</v>
      </c>
      <c r="E277" s="5">
        <v>207142.11</v>
      </c>
      <c r="F277" s="5">
        <v>245708.31</v>
      </c>
      <c r="G277" s="5">
        <v>244663.55</v>
      </c>
      <c r="H277" s="5">
        <v>190637.92</v>
      </c>
      <c r="I277" s="5">
        <v>248494.69</v>
      </c>
      <c r="J277" s="6">
        <v>234282.83</v>
      </c>
    </row>
    <row r="278" spans="1:14">
      <c r="A278" s="9"/>
      <c r="B278" s="5"/>
      <c r="C278" s="5"/>
      <c r="D278" s="5"/>
      <c r="E278" s="5"/>
      <c r="F278" s="5"/>
      <c r="G278" s="5"/>
      <c r="H278" s="5"/>
      <c r="I278" s="5"/>
      <c r="J278" s="6"/>
    </row>
    <row r="279" spans="1:14">
      <c r="A279" s="9" t="s">
        <v>16</v>
      </c>
      <c r="B279" s="5">
        <f>SUM(B273:B274)/SUM(B273:B277)</f>
        <v>0.15954312932181955</v>
      </c>
      <c r="C279" s="5">
        <f t="shared" ref="C279:J279" si="70">SUM(C273:C274)/SUM(C273:C277)</f>
        <v>0.14020426532564362</v>
      </c>
      <c r="D279" s="5">
        <f t="shared" si="70"/>
        <v>0.14149838033908593</v>
      </c>
      <c r="E279" s="5">
        <f t="shared" si="70"/>
        <v>0.48780823423081615</v>
      </c>
      <c r="F279" s="5">
        <f t="shared" si="70"/>
        <v>0.46142580864350996</v>
      </c>
      <c r="G279" s="5">
        <f t="shared" si="70"/>
        <v>0.45984885899128891</v>
      </c>
      <c r="H279" s="5">
        <f t="shared" si="70"/>
        <v>0.82985613021949145</v>
      </c>
      <c r="I279" s="5">
        <f t="shared" si="70"/>
        <v>0.80905797846535421</v>
      </c>
      <c r="J279" s="6">
        <f t="shared" si="70"/>
        <v>0.822852700831184</v>
      </c>
    </row>
    <row r="280" spans="1:14">
      <c r="A280" s="9" t="s">
        <v>17</v>
      </c>
      <c r="B280" s="5">
        <f>SUM(B275:B277)/SUM(B273:B274)</f>
        <v>5.267897616467506</v>
      </c>
      <c r="C280" s="5">
        <f t="shared" ref="C280:J280" si="71">SUM(C275:C277)/SUM(C273:C274)</f>
        <v>6.1324506260730587</v>
      </c>
      <c r="D280" s="5">
        <f t="shared" si="71"/>
        <v>6.0672187031654046</v>
      </c>
      <c r="E280" s="5">
        <f t="shared" si="71"/>
        <v>1.0499858957420347</v>
      </c>
      <c r="F280" s="5">
        <f t="shared" si="71"/>
        <v>1.1671956385356494</v>
      </c>
      <c r="G280" s="5">
        <f t="shared" si="71"/>
        <v>1.17462755522232</v>
      </c>
      <c r="H280" s="5">
        <f t="shared" si="71"/>
        <v>0.20502815317578804</v>
      </c>
      <c r="I280" s="5">
        <f t="shared" si="71"/>
        <v>0.23600536255365825</v>
      </c>
      <c r="J280" s="6">
        <f t="shared" si="71"/>
        <v>0.21528433824167434</v>
      </c>
    </row>
    <row r="281" spans="1:14">
      <c r="A281" s="9" t="s">
        <v>38</v>
      </c>
      <c r="B281" s="5">
        <f>B280*$L$274</f>
        <v>2.1160403606603621E-5</v>
      </c>
      <c r="C281" s="5">
        <f t="shared" ref="C281:D281" si="72">C280*$L$274</f>
        <v>2.4633191415798921E-5</v>
      </c>
      <c r="D281" s="5">
        <f t="shared" si="72"/>
        <v>2.4371163958688543E-5</v>
      </c>
      <c r="E281" s="5">
        <f>E280*$M$274</f>
        <v>2.1088228125095463E-5</v>
      </c>
      <c r="F281" s="5">
        <f t="shared" ref="F281:G281" si="73">F280*$M$274</f>
        <v>2.3442303360333459E-5</v>
      </c>
      <c r="G281" s="5">
        <f t="shared" si="73"/>
        <v>2.3591568179157005E-5</v>
      </c>
      <c r="H281" s="5">
        <f>H280*$N$274</f>
        <v>2.0589231168588451E-5</v>
      </c>
      <c r="I281" s="5">
        <f>I280*$N$274</f>
        <v>2.3700008468971675E-5</v>
      </c>
      <c r="J281" s="6">
        <f>J280*$N$274</f>
        <v>2.161917248132274E-5</v>
      </c>
    </row>
    <row r="282" spans="1:14">
      <c r="A282" s="9" t="s">
        <v>51</v>
      </c>
      <c r="B282" s="5">
        <f>AVERAGE(B281:D281)</f>
        <v>2.3388252993697027E-5</v>
      </c>
      <c r="C282" s="5"/>
      <c r="D282" s="5"/>
      <c r="E282" s="5">
        <f>AVERAGE(E281:G281)</f>
        <v>2.2707366554861972E-5</v>
      </c>
      <c r="F282" s="5"/>
      <c r="G282" s="5"/>
      <c r="H282" s="5">
        <f>AVERAGE(H281:J281)</f>
        <v>2.1969470706294291E-5</v>
      </c>
      <c r="I282" s="5"/>
      <c r="J282" s="6"/>
    </row>
    <row r="283" spans="1:14">
      <c r="A283" s="9" t="s">
        <v>52</v>
      </c>
      <c r="B283" s="5">
        <f>_xlfn.STDEV.P(B281:D281)</f>
        <v>1.5789551958493073E-6</v>
      </c>
      <c r="C283" s="5"/>
      <c r="D283" s="5"/>
      <c r="E283" s="5">
        <f>_xlfn.STDEV.P(E281:G281)</f>
        <v>1.1465242947257836E-6</v>
      </c>
      <c r="F283" s="5"/>
      <c r="G283" s="5"/>
      <c r="H283" s="5">
        <f>_xlfn.STDEV.P(H281:J281)</f>
        <v>1.2938999157478778E-6</v>
      </c>
      <c r="I283" s="5"/>
      <c r="J283" s="6"/>
    </row>
    <row r="284" spans="1:14">
      <c r="A284" s="9" t="s">
        <v>53</v>
      </c>
      <c r="B284" s="5">
        <f>AVERAGE(B282,E282,H282)</f>
        <v>2.2688363418284432E-5</v>
      </c>
      <c r="C284" s="5"/>
      <c r="D284" s="5"/>
      <c r="E284" s="5"/>
      <c r="F284" s="5"/>
      <c r="G284" s="5"/>
      <c r="H284" s="5"/>
      <c r="I284" s="5"/>
      <c r="J284" s="6"/>
    </row>
    <row r="285" spans="1:14" ht="15.75" thickBot="1">
      <c r="A285" s="10" t="s">
        <v>54</v>
      </c>
      <c r="B285" s="7">
        <f>_xlfn.STDEV.P(B282,E282,H282)</f>
        <v>5.7937128807111439E-7</v>
      </c>
      <c r="C285" s="7"/>
      <c r="D285" s="7"/>
      <c r="E285" s="7"/>
      <c r="F285" s="7"/>
      <c r="G285" s="7"/>
      <c r="H285" s="7"/>
      <c r="I285" s="7"/>
      <c r="J285" s="8"/>
    </row>
    <row r="286" spans="1:14" ht="15.75" thickBot="1"/>
    <row r="287" spans="1:14">
      <c r="A287" s="25" t="s">
        <v>50</v>
      </c>
      <c r="B287" s="12" t="s">
        <v>1</v>
      </c>
      <c r="C287" s="12" t="s">
        <v>2</v>
      </c>
      <c r="D287" s="12" t="s">
        <v>3</v>
      </c>
      <c r="E287" s="12" t="s">
        <v>7</v>
      </c>
      <c r="F287" s="12" t="s">
        <v>8</v>
      </c>
      <c r="G287" s="12" t="s">
        <v>9</v>
      </c>
      <c r="H287" s="12"/>
      <c r="I287" s="12"/>
      <c r="J287" s="13"/>
      <c r="K287" s="80" t="s">
        <v>37</v>
      </c>
      <c r="L287" s="81"/>
      <c r="M287" s="81"/>
      <c r="N287" s="82"/>
    </row>
    <row r="288" spans="1:14">
      <c r="A288" s="9" t="s">
        <v>10</v>
      </c>
      <c r="B288" s="5">
        <v>65785.53</v>
      </c>
      <c r="C288" s="5">
        <v>67008.91</v>
      </c>
      <c r="D288" s="5">
        <v>102217.77</v>
      </c>
      <c r="E288" s="5">
        <v>1332037.25</v>
      </c>
      <c r="F288" s="5">
        <v>1361878</v>
      </c>
      <c r="G288" s="5">
        <v>1399144.38</v>
      </c>
      <c r="H288" s="5"/>
      <c r="I288" s="5"/>
      <c r="J288" s="6"/>
      <c r="K288" s="2" t="s">
        <v>18</v>
      </c>
      <c r="L288" s="3" t="s">
        <v>19</v>
      </c>
      <c r="M288" s="3"/>
      <c r="N288" s="4" t="s">
        <v>21</v>
      </c>
    </row>
    <row r="289" spans="1:14">
      <c r="A289" s="9" t="s">
        <v>11</v>
      </c>
      <c r="B289" s="5">
        <v>3788.29</v>
      </c>
      <c r="C289" s="5">
        <v>0</v>
      </c>
      <c r="D289" s="5">
        <v>3521.24</v>
      </c>
      <c r="E289" s="5">
        <v>71623.320000000007</v>
      </c>
      <c r="F289" s="5">
        <v>80876.7</v>
      </c>
      <c r="G289" s="5">
        <v>81110.759999999995</v>
      </c>
      <c r="H289" s="5"/>
      <c r="I289" s="5"/>
      <c r="J289" s="6"/>
      <c r="K289" s="2" t="s">
        <v>25</v>
      </c>
      <c r="L289" s="5">
        <v>4.0168593141324472E-6</v>
      </c>
      <c r="N289" s="6">
        <v>1.0042148285331116E-4</v>
      </c>
    </row>
    <row r="290" spans="1:14">
      <c r="A290" s="9" t="s">
        <v>14</v>
      </c>
      <c r="B290" s="5">
        <v>29952.28</v>
      </c>
      <c r="C290" s="5">
        <v>23777.33</v>
      </c>
      <c r="D290" s="5">
        <v>30363.33</v>
      </c>
      <c r="E290" s="5">
        <v>7733.75</v>
      </c>
      <c r="F290" s="5">
        <v>22893.23</v>
      </c>
      <c r="G290" s="5">
        <v>6510.23</v>
      </c>
      <c r="H290" s="5"/>
      <c r="I290" s="5"/>
      <c r="J290" s="6"/>
    </row>
    <row r="291" spans="1:14">
      <c r="A291" s="9" t="s">
        <v>15</v>
      </c>
      <c r="B291" s="5">
        <v>250697.83</v>
      </c>
      <c r="C291" s="5">
        <v>293493.03000000003</v>
      </c>
      <c r="D291" s="5">
        <v>266158.90999999997</v>
      </c>
      <c r="E291" s="5">
        <v>229832.02</v>
      </c>
      <c r="F291" s="5">
        <v>305452.40999999997</v>
      </c>
      <c r="G291" s="5">
        <v>199364.39</v>
      </c>
      <c r="H291" s="5"/>
      <c r="I291" s="5"/>
      <c r="J291" s="6"/>
    </row>
    <row r="292" spans="1:14">
      <c r="A292" s="9"/>
      <c r="B292" s="5"/>
      <c r="C292" s="5"/>
      <c r="D292" s="5"/>
      <c r="E292" s="5"/>
      <c r="F292" s="5"/>
      <c r="G292" s="5"/>
      <c r="H292" s="5"/>
      <c r="I292" s="5"/>
      <c r="J292" s="6"/>
    </row>
    <row r="293" spans="1:14">
      <c r="A293" s="9" t="s">
        <v>16</v>
      </c>
      <c r="B293" s="5">
        <f t="shared" ref="B293:G293" si="74">SUM(B288:B289)/SUM(B288:B291)</f>
        <v>0.19865524323252268</v>
      </c>
      <c r="C293" s="5">
        <f t="shared" si="74"/>
        <v>0.17437555244653191</v>
      </c>
      <c r="D293" s="5">
        <f t="shared" si="74"/>
        <v>0.26286153587997851</v>
      </c>
      <c r="E293" s="5">
        <f t="shared" si="74"/>
        <v>0.85525106183708943</v>
      </c>
      <c r="F293" s="5">
        <f t="shared" si="74"/>
        <v>0.81460923890963743</v>
      </c>
      <c r="G293" s="5">
        <f t="shared" si="74"/>
        <v>0.87790108158698299</v>
      </c>
      <c r="H293" s="5"/>
      <c r="I293" s="5"/>
      <c r="J293" s="6"/>
    </row>
    <row r="294" spans="1:14">
      <c r="A294" s="9" t="s">
        <v>17</v>
      </c>
      <c r="B294" s="5">
        <f t="shared" ref="B294:G294" si="75">SUM(B290:B291)/SUM(B288:B289)</f>
        <v>4.0338464957077251</v>
      </c>
      <c r="C294" s="5">
        <f t="shared" si="75"/>
        <v>4.7347488565326614</v>
      </c>
      <c r="D294" s="5">
        <f t="shared" si="75"/>
        <v>2.8042842466559876</v>
      </c>
      <c r="E294" s="5">
        <f t="shared" si="75"/>
        <v>0.16924730599221718</v>
      </c>
      <c r="F294" s="5">
        <f t="shared" si="75"/>
        <v>0.22758244350200346</v>
      </c>
      <c r="G294" s="5">
        <f t="shared" si="75"/>
        <v>0.1390804966230349</v>
      </c>
      <c r="H294" s="5"/>
      <c r="I294" s="5"/>
      <c r="J294" s="6"/>
    </row>
    <row r="295" spans="1:14">
      <c r="A295" s="9" t="s">
        <v>38</v>
      </c>
      <c r="B295" s="5">
        <f>B294*$L$289</f>
        <v>1.6203393868064107E-5</v>
      </c>
      <c r="C295" s="5">
        <f t="shared" ref="C295:D295" si="76">C294*$L$289</f>
        <v>1.9018820044441176E-5</v>
      </c>
      <c r="D295" s="5">
        <f t="shared" si="76"/>
        <v>1.1264415295654996E-5</v>
      </c>
      <c r="E295" s="5">
        <f>E294*$N$289</f>
        <v>1.6996065436666544E-5</v>
      </c>
      <c r="F295" s="5">
        <f t="shared" ref="F295:G295" si="77">F294*$N$289</f>
        <v>2.2854166447851096E-5</v>
      </c>
      <c r="G295" s="5">
        <f t="shared" si="77"/>
        <v>1.3966669706860101E-5</v>
      </c>
      <c r="H295" s="5"/>
      <c r="I295" s="5"/>
      <c r="J295" s="6"/>
    </row>
    <row r="296" spans="1:14">
      <c r="A296" s="9" t="s">
        <v>51</v>
      </c>
      <c r="B296" s="5">
        <f>AVERAGE(B295:D295)</f>
        <v>1.5495543069386759E-5</v>
      </c>
      <c r="C296" s="5"/>
      <c r="D296" s="5"/>
      <c r="E296" s="5">
        <f>AVERAGE(E295:G295)</f>
        <v>1.7938967197125914E-5</v>
      </c>
      <c r="F296" s="5"/>
      <c r="G296" s="5"/>
      <c r="H296" s="5"/>
      <c r="I296" s="5"/>
      <c r="J296" s="6"/>
    </row>
    <row r="297" spans="1:14">
      <c r="A297" s="9" t="s">
        <v>52</v>
      </c>
      <c r="B297" s="5">
        <f>_xlfn.STDEV.P(B295:D295)</f>
        <v>3.2050468344878136E-6</v>
      </c>
      <c r="C297" s="5"/>
      <c r="D297" s="5"/>
      <c r="E297" s="5">
        <f>_xlfn.STDEV.P(E295:G295)</f>
        <v>3.6890556495024959E-6</v>
      </c>
      <c r="F297" s="5"/>
      <c r="G297" s="5"/>
      <c r="H297" s="5"/>
      <c r="I297" s="5"/>
      <c r="J297" s="6"/>
    </row>
    <row r="298" spans="1:14">
      <c r="A298" s="9" t="s">
        <v>53</v>
      </c>
      <c r="B298" s="5">
        <f>AVERAGE(B296,E296)</f>
        <v>1.6717255133256335E-5</v>
      </c>
      <c r="C298" s="5"/>
      <c r="D298" s="5"/>
      <c r="E298" s="5"/>
      <c r="F298" s="5"/>
      <c r="G298" s="5"/>
      <c r="H298" s="5"/>
      <c r="I298" s="5"/>
      <c r="J298" s="6"/>
    </row>
    <row r="299" spans="1:14" ht="15.75" thickBot="1">
      <c r="A299" s="10" t="s">
        <v>54</v>
      </c>
      <c r="B299" s="7">
        <f>_xlfn.STDEV.P(B296,E296)</f>
        <v>1.2217120638695775E-6</v>
      </c>
      <c r="C299" s="7"/>
      <c r="D299" s="7"/>
      <c r="E299" s="7"/>
      <c r="F299" s="7"/>
      <c r="G299" s="7"/>
      <c r="H299" s="7"/>
      <c r="I299" s="7"/>
      <c r="J299" s="8"/>
    </row>
    <row r="300" spans="1:14" ht="15.75" thickBo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4">
      <c r="A301" s="15" t="s">
        <v>50</v>
      </c>
      <c r="B301" s="12" t="s">
        <v>57</v>
      </c>
      <c r="C301" s="12" t="s">
        <v>58</v>
      </c>
      <c r="D301" s="12" t="s">
        <v>59</v>
      </c>
      <c r="E301" s="12" t="s">
        <v>60</v>
      </c>
      <c r="F301" s="12" t="s">
        <v>61</v>
      </c>
      <c r="G301" s="12" t="s">
        <v>62</v>
      </c>
      <c r="H301" s="12" t="s">
        <v>63</v>
      </c>
      <c r="I301" s="12" t="s">
        <v>64</v>
      </c>
      <c r="J301" s="13" t="s">
        <v>65</v>
      </c>
      <c r="K301" s="80" t="s">
        <v>39</v>
      </c>
      <c r="L301" s="81"/>
      <c r="M301" s="81"/>
      <c r="N301" s="82"/>
    </row>
    <row r="302" spans="1:14">
      <c r="A302" s="9" t="s">
        <v>10</v>
      </c>
      <c r="B302" s="5">
        <v>30245.29</v>
      </c>
      <c r="C302" s="5">
        <v>12546.1</v>
      </c>
      <c r="D302" s="5">
        <v>10913.93</v>
      </c>
      <c r="E302" s="5">
        <v>97886</v>
      </c>
      <c r="F302" s="5">
        <v>113931.12</v>
      </c>
      <c r="G302" s="5">
        <v>101565.3</v>
      </c>
      <c r="H302" s="5">
        <v>460530.09</v>
      </c>
      <c r="I302" s="5">
        <v>418659.62</v>
      </c>
      <c r="J302" s="6">
        <v>521543.53</v>
      </c>
      <c r="K302" s="2" t="s">
        <v>18</v>
      </c>
      <c r="L302" s="3" t="s">
        <v>19</v>
      </c>
      <c r="M302" s="3" t="s">
        <v>20</v>
      </c>
      <c r="N302" s="4" t="s">
        <v>21</v>
      </c>
    </row>
    <row r="303" spans="1:14">
      <c r="A303" s="9" t="s">
        <v>11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6998.51</v>
      </c>
      <c r="H303" s="5">
        <v>16730.88</v>
      </c>
      <c r="I303" s="5">
        <v>17515.89</v>
      </c>
      <c r="J303" s="6">
        <v>29252.05</v>
      </c>
      <c r="K303" s="2" t="s">
        <v>25</v>
      </c>
      <c r="L303" s="5">
        <v>4.0168593141324472E-6</v>
      </c>
      <c r="M303" s="5">
        <v>2.0084296570662233E-5</v>
      </c>
      <c r="N303" s="6">
        <v>1.0042148285331116E-4</v>
      </c>
    </row>
    <row r="304" spans="1:14">
      <c r="A304" s="9" t="s">
        <v>14</v>
      </c>
      <c r="B304" s="5">
        <v>0</v>
      </c>
      <c r="C304" s="5">
        <v>12738.27</v>
      </c>
      <c r="D304" s="5">
        <v>0</v>
      </c>
      <c r="E304" s="5">
        <v>11523.45</v>
      </c>
      <c r="F304" s="5">
        <v>12352.93</v>
      </c>
      <c r="G304" s="5">
        <v>12555.1</v>
      </c>
      <c r="H304" s="5">
        <v>8575.81</v>
      </c>
      <c r="I304" s="5">
        <v>11494.3</v>
      </c>
      <c r="J304" s="6">
        <v>0</v>
      </c>
    </row>
    <row r="305" spans="1:14">
      <c r="A305" s="9" t="s">
        <v>15</v>
      </c>
      <c r="B305" s="5">
        <v>110992</v>
      </c>
      <c r="C305" s="5">
        <v>116632.98</v>
      </c>
      <c r="D305" s="5">
        <v>106261.54</v>
      </c>
      <c r="E305" s="5">
        <v>127873.5</v>
      </c>
      <c r="F305" s="5">
        <v>150614.42000000001</v>
      </c>
      <c r="G305" s="5">
        <v>111925.01</v>
      </c>
      <c r="H305" s="5">
        <v>83949.18</v>
      </c>
      <c r="I305" s="5">
        <v>69788.41</v>
      </c>
      <c r="J305" s="6">
        <v>106197.75</v>
      </c>
    </row>
    <row r="306" spans="1:14">
      <c r="A306" s="9"/>
      <c r="B306" s="5"/>
      <c r="C306" s="5"/>
      <c r="D306" s="5"/>
      <c r="E306" s="5"/>
      <c r="F306" s="5"/>
      <c r="G306" s="5"/>
      <c r="H306" s="5"/>
      <c r="I306" s="5"/>
      <c r="J306" s="6"/>
    </row>
    <row r="307" spans="1:14">
      <c r="A307" s="9" t="s">
        <v>16</v>
      </c>
      <c r="B307" s="5">
        <f>SUM(B302:B303)/SUM(B302:B305)</f>
        <v>0.21414521618193041</v>
      </c>
      <c r="C307" s="5">
        <f t="shared" ref="C307:J307" si="78">SUM(C302:C303)/SUM(C302:C305)</f>
        <v>8.8404271923059441E-2</v>
      </c>
      <c r="D307" s="5">
        <f t="shared" si="78"/>
        <v>9.314176422761522E-2</v>
      </c>
      <c r="E307" s="5">
        <f t="shared" si="78"/>
        <v>0.4125285866515061</v>
      </c>
      <c r="F307" s="5">
        <f t="shared" si="78"/>
        <v>0.4114544944939566</v>
      </c>
      <c r="G307" s="5">
        <f t="shared" si="78"/>
        <v>0.46585128674457588</v>
      </c>
      <c r="H307" s="5">
        <f t="shared" si="78"/>
        <v>0.83761447895276331</v>
      </c>
      <c r="I307" s="5">
        <f t="shared" si="78"/>
        <v>0.84291927955072399</v>
      </c>
      <c r="J307" s="6">
        <f t="shared" si="78"/>
        <v>0.83835794801752406</v>
      </c>
    </row>
    <row r="308" spans="1:14">
      <c r="A308" s="9" t="s">
        <v>17</v>
      </c>
      <c r="B308" s="5">
        <f>SUM(B304:B305)/SUM(B302:B303)</f>
        <v>3.66972841060542</v>
      </c>
      <c r="C308" s="5">
        <f t="shared" ref="C308:J308" si="79">SUM(C304:C305)/SUM(C302:C303)</f>
        <v>10.311670558978488</v>
      </c>
      <c r="D308" s="5">
        <f t="shared" si="79"/>
        <v>9.7363222963680354</v>
      </c>
      <c r="E308" s="5">
        <f t="shared" si="79"/>
        <v>1.4240744335247126</v>
      </c>
      <c r="F308" s="5">
        <f t="shared" si="79"/>
        <v>1.4304024220950344</v>
      </c>
      <c r="G308" s="5">
        <f t="shared" si="79"/>
        <v>1.1466077876227816</v>
      </c>
      <c r="H308" s="5">
        <f t="shared" si="79"/>
        <v>0.19386665957620625</v>
      </c>
      <c r="I308" s="5">
        <f t="shared" si="79"/>
        <v>0.18635321822630529</v>
      </c>
      <c r="J308" s="6">
        <f t="shared" si="79"/>
        <v>0.19280791977306713</v>
      </c>
    </row>
    <row r="309" spans="1:14">
      <c r="A309" s="9" t="s">
        <v>38</v>
      </c>
      <c r="B309" s="5">
        <f>B308*$L$303</f>
        <v>1.4740782746476843E-5</v>
      </c>
      <c r="C309" s="5">
        <f t="shared" ref="C309:D309" si="80">C308*$L$303</f>
        <v>4.142052992909808E-5</v>
      </c>
      <c r="D309" s="5">
        <f t="shared" si="80"/>
        <v>3.9109436901561358E-5</v>
      </c>
      <c r="E309" s="5">
        <f>E308*$M$303</f>
        <v>2.8601533261608149E-5</v>
      </c>
      <c r="F309" s="5">
        <f>F308*$M$303</f>
        <v>2.8728626460750252E-5</v>
      </c>
      <c r="G309" s="5">
        <f>G308*$M$303</f>
        <v>2.3028810856846843E-5</v>
      </c>
      <c r="H309" s="5">
        <f>H308*$N$303</f>
        <v>1.9468377430460706E-5</v>
      </c>
      <c r="I309" s="5">
        <f>I308*$N$303</f>
        <v>1.8713866508772268E-5</v>
      </c>
      <c r="J309" s="6">
        <f>J308*$N$303</f>
        <v>1.9362057209473655E-5</v>
      </c>
    </row>
    <row r="310" spans="1:14">
      <c r="A310" s="9" t="s">
        <v>51</v>
      </c>
      <c r="B310" s="5">
        <f>AVERAGE(B309:D309)</f>
        <v>3.1756916525712094E-5</v>
      </c>
      <c r="C310" s="5"/>
      <c r="D310" s="5"/>
      <c r="E310" s="5">
        <f>AVERAGE(E309:G309)</f>
        <v>2.6786323526401748E-5</v>
      </c>
      <c r="F310" s="5"/>
      <c r="G310" s="5"/>
      <c r="H310" s="5">
        <f>AVERAGE(H309:J309)</f>
        <v>1.9181433716235542E-5</v>
      </c>
      <c r="I310" s="5"/>
      <c r="J310" s="6"/>
    </row>
    <row r="311" spans="1:14">
      <c r="A311" s="9" t="s">
        <v>52</v>
      </c>
      <c r="B311" s="5">
        <f>_xlfn.STDEV.P(B309:D309)</f>
        <v>1.2069158886464994E-5</v>
      </c>
      <c r="C311" s="5"/>
      <c r="D311" s="5"/>
      <c r="E311" s="5">
        <f>_xlfn.STDEV.P(E309:G309)</f>
        <v>2.6574692556034414E-6</v>
      </c>
      <c r="F311" s="5"/>
      <c r="G311" s="5"/>
      <c r="H311" s="5">
        <f>_xlfn.STDEV.P(H309:J309)</f>
        <v>3.3345696120982632E-7</v>
      </c>
      <c r="I311" s="5"/>
      <c r="J311" s="6"/>
    </row>
    <row r="312" spans="1:14">
      <c r="A312" s="9" t="s">
        <v>53</v>
      </c>
      <c r="B312" s="5">
        <f>AVERAGE(B310,E310,H310)</f>
        <v>2.5908224589449794E-5</v>
      </c>
      <c r="C312" s="5"/>
      <c r="D312" s="5"/>
      <c r="E312" s="5"/>
      <c r="F312" s="5"/>
      <c r="G312" s="5"/>
      <c r="H312" s="5"/>
      <c r="I312" s="5"/>
      <c r="J312" s="6"/>
    </row>
    <row r="313" spans="1:14" ht="15.75" thickBot="1">
      <c r="A313" s="10" t="s">
        <v>54</v>
      </c>
      <c r="B313" s="7">
        <f>_xlfn.STDEV.P(B310,E310,H310)</f>
        <v>5.1713302788977599E-6</v>
      </c>
      <c r="C313" s="7"/>
      <c r="D313" s="7"/>
      <c r="E313" s="7"/>
      <c r="F313" s="7"/>
      <c r="G313" s="7"/>
      <c r="H313" s="7"/>
      <c r="I313" s="7"/>
      <c r="J313" s="8"/>
    </row>
    <row r="314" spans="1:14" ht="15.75" thickBo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4">
      <c r="A315" s="26" t="s">
        <v>50</v>
      </c>
      <c r="B315" s="12" t="s">
        <v>57</v>
      </c>
      <c r="C315" s="12" t="s">
        <v>58</v>
      </c>
      <c r="D315" s="12" t="s">
        <v>59</v>
      </c>
      <c r="E315" s="12" t="s">
        <v>63</v>
      </c>
      <c r="F315" s="12" t="s">
        <v>64</v>
      </c>
      <c r="G315" s="12" t="s">
        <v>65</v>
      </c>
      <c r="H315" s="12"/>
      <c r="I315" s="12"/>
      <c r="J315" s="13"/>
      <c r="K315" s="80" t="s">
        <v>37</v>
      </c>
      <c r="L315" s="81"/>
      <c r="M315" s="81"/>
      <c r="N315" s="82"/>
    </row>
    <row r="316" spans="1:14">
      <c r="A316" s="9" t="s">
        <v>10</v>
      </c>
      <c r="B316" s="5">
        <v>50792.49</v>
      </c>
      <c r="C316" s="5">
        <v>22011.69</v>
      </c>
      <c r="D316" s="5">
        <v>39493.4</v>
      </c>
      <c r="E316" s="5">
        <v>600220.56000000006</v>
      </c>
      <c r="F316" s="5">
        <v>701975.25</v>
      </c>
      <c r="G316" s="5">
        <v>708933.31</v>
      </c>
      <c r="H316" s="5"/>
      <c r="I316" s="5"/>
      <c r="J316" s="6"/>
      <c r="K316" s="2" t="s">
        <v>18</v>
      </c>
      <c r="L316" s="3" t="s">
        <v>19</v>
      </c>
      <c r="M316" s="3"/>
      <c r="N316" s="4" t="s">
        <v>21</v>
      </c>
    </row>
    <row r="317" spans="1:14">
      <c r="A317" s="9" t="s">
        <v>11</v>
      </c>
      <c r="B317" s="5">
        <v>0</v>
      </c>
      <c r="C317" s="5">
        <v>0</v>
      </c>
      <c r="D317" s="5">
        <v>0</v>
      </c>
      <c r="E317" s="5">
        <v>27231.3</v>
      </c>
      <c r="F317" s="5">
        <v>22357.15</v>
      </c>
      <c r="G317" s="5">
        <v>23818.84</v>
      </c>
      <c r="H317" s="5"/>
      <c r="I317" s="5"/>
      <c r="J317" s="6"/>
      <c r="K317" s="2" t="s">
        <v>25</v>
      </c>
      <c r="L317" s="5">
        <v>4.0168593141324472E-6</v>
      </c>
      <c r="N317" s="6">
        <v>1.0042148285331116E-4</v>
      </c>
    </row>
    <row r="318" spans="1:14">
      <c r="A318" s="9" t="s">
        <v>14</v>
      </c>
      <c r="B318" s="5">
        <v>8396.75</v>
      </c>
      <c r="C318" s="5">
        <v>0</v>
      </c>
      <c r="D318" s="5">
        <v>19946.400000000001</v>
      </c>
      <c r="E318" s="5">
        <v>7784.71</v>
      </c>
      <c r="F318" s="5">
        <v>8860.89</v>
      </c>
      <c r="G318" s="5">
        <v>5548.97</v>
      </c>
      <c r="H318" s="5"/>
      <c r="I318" s="5"/>
      <c r="J318" s="6"/>
    </row>
    <row r="319" spans="1:14">
      <c r="A319" s="9" t="s">
        <v>15</v>
      </c>
      <c r="B319" s="5">
        <v>138235.31</v>
      </c>
      <c r="C319" s="5">
        <v>131865.17000000001</v>
      </c>
      <c r="D319" s="5">
        <v>128503.27</v>
      </c>
      <c r="E319" s="5">
        <v>77131</v>
      </c>
      <c r="F319" s="5">
        <v>133401.38</v>
      </c>
      <c r="G319" s="5">
        <v>100038.04</v>
      </c>
      <c r="H319" s="5"/>
      <c r="I319" s="5"/>
      <c r="J319" s="6"/>
    </row>
    <row r="320" spans="1:14">
      <c r="A320" s="9"/>
      <c r="B320" s="5"/>
      <c r="C320" s="5"/>
      <c r="D320" s="5"/>
      <c r="E320" s="5"/>
      <c r="F320" s="5"/>
      <c r="G320" s="5"/>
      <c r="H320" s="5"/>
      <c r="I320" s="5"/>
      <c r="J320" s="6"/>
    </row>
    <row r="321" spans="1:14">
      <c r="A321" s="9" t="s">
        <v>16</v>
      </c>
      <c r="B321" s="5">
        <f t="shared" ref="B321:G321" si="81">SUM(B316:B317)/SUM(B316:B319)</f>
        <v>0.25727545029227622</v>
      </c>
      <c r="C321" s="5">
        <f t="shared" si="81"/>
        <v>0.14304743416261545</v>
      </c>
      <c r="D321" s="5">
        <f t="shared" si="81"/>
        <v>0.21013490947019223</v>
      </c>
      <c r="E321" s="5">
        <f t="shared" si="81"/>
        <v>0.88079790044344675</v>
      </c>
      <c r="F321" s="5">
        <f t="shared" si="81"/>
        <v>0.83583758944651709</v>
      </c>
      <c r="G321" s="5">
        <f t="shared" si="81"/>
        <v>0.87405215569316841</v>
      </c>
      <c r="H321" s="5"/>
      <c r="I321" s="5"/>
      <c r="J321" s="6"/>
    </row>
    <row r="322" spans="1:14">
      <c r="A322" s="9" t="s">
        <v>17</v>
      </c>
      <c r="B322" s="5">
        <f t="shared" ref="B322:G322" si="82">SUM(B318:B319)/SUM(B316:B317)</f>
        <v>2.8868846555858947</v>
      </c>
      <c r="C322" s="5">
        <f t="shared" si="82"/>
        <v>5.9906881298073893</v>
      </c>
      <c r="D322" s="5">
        <f t="shared" si="82"/>
        <v>3.7588475542748916</v>
      </c>
      <c r="E322" s="5">
        <f t="shared" si="82"/>
        <v>0.13533422309083598</v>
      </c>
      <c r="F322" s="5">
        <f t="shared" si="82"/>
        <v>0.19640467553294594</v>
      </c>
      <c r="G322" s="5">
        <f t="shared" si="82"/>
        <v>0.14409648610379375</v>
      </c>
      <c r="H322" s="5"/>
      <c r="I322" s="5"/>
      <c r="J322" s="6"/>
    </row>
    <row r="323" spans="1:14">
      <c r="A323" s="9" t="s">
        <v>38</v>
      </c>
      <c r="B323" s="5">
        <f>B322*$L$317</f>
        <v>1.1596209517616242E-5</v>
      </c>
      <c r="C323" s="5">
        <f t="shared" ref="C323:D323" si="83">C322*$L$317</f>
        <v>2.4063751412279502E-5</v>
      </c>
      <c r="D323" s="5">
        <f t="shared" si="83"/>
        <v>1.5098761808793067E-5</v>
      </c>
      <c r="E323" s="5">
        <f>E322*$N$317</f>
        <v>1.3590463363582572E-5</v>
      </c>
      <c r="F323" s="5">
        <f t="shared" ref="F323:G323" si="84">F322*$N$317</f>
        <v>1.9723248756341874E-5</v>
      </c>
      <c r="G323" s="5">
        <f t="shared" si="84"/>
        <v>1.4470382808494514E-5</v>
      </c>
      <c r="H323" s="5"/>
      <c r="I323" s="5"/>
      <c r="J323" s="6"/>
    </row>
    <row r="324" spans="1:14">
      <c r="A324" s="9" t="s">
        <v>51</v>
      </c>
      <c r="B324" s="5">
        <f>AVERAGE(B323:D323)</f>
        <v>1.6919574246229603E-5</v>
      </c>
      <c r="C324" s="5"/>
      <c r="D324" s="5"/>
      <c r="E324" s="5">
        <f>AVERAGE(E323:G323)</f>
        <v>1.5928031642806319E-5</v>
      </c>
      <c r="F324" s="5"/>
      <c r="G324" s="5"/>
      <c r="H324" s="5"/>
      <c r="I324" s="5"/>
      <c r="J324" s="6"/>
    </row>
    <row r="325" spans="1:14">
      <c r="A325" s="9" t="s">
        <v>52</v>
      </c>
      <c r="B325" s="5">
        <f>_xlfn.STDEV.P(B323:D323)</f>
        <v>5.2501694368238291E-6</v>
      </c>
      <c r="C325" s="5"/>
      <c r="D325" s="5"/>
      <c r="E325" s="5">
        <f>_xlfn.STDEV.P(E323:G323)</f>
        <v>2.7075596960533042E-6</v>
      </c>
      <c r="F325" s="5"/>
      <c r="G325" s="5"/>
      <c r="H325" s="5"/>
      <c r="I325" s="5"/>
      <c r="J325" s="6"/>
    </row>
    <row r="326" spans="1:14">
      <c r="A326" s="9" t="s">
        <v>53</v>
      </c>
      <c r="B326" s="5">
        <f>AVERAGE(B324,E324)</f>
        <v>1.6423802944517961E-5</v>
      </c>
      <c r="C326" s="5"/>
      <c r="D326" s="5"/>
      <c r="E326" s="5"/>
      <c r="F326" s="5"/>
      <c r="G326" s="5"/>
      <c r="H326" s="5"/>
      <c r="I326" s="5"/>
      <c r="J326" s="6"/>
    </row>
    <row r="327" spans="1:14" ht="15.75" thickBot="1">
      <c r="A327" s="10" t="s">
        <v>54</v>
      </c>
      <c r="B327" s="7">
        <f>_xlfn.STDEV.P(B324,E324)</f>
        <v>4.9577130171164188E-7</v>
      </c>
      <c r="C327" s="7"/>
      <c r="D327" s="7"/>
      <c r="E327" s="7"/>
      <c r="F327" s="7"/>
      <c r="G327" s="7"/>
      <c r="H327" s="7"/>
      <c r="I327" s="7"/>
      <c r="J327" s="8"/>
    </row>
    <row r="328" spans="1:14" ht="15.75" thickBot="1"/>
    <row r="329" spans="1:14">
      <c r="A329" s="14" t="s">
        <v>55</v>
      </c>
      <c r="B329" s="12" t="s">
        <v>1</v>
      </c>
      <c r="C329" s="12" t="s">
        <v>2</v>
      </c>
      <c r="D329" s="12" t="s">
        <v>3</v>
      </c>
      <c r="E329" s="12" t="s">
        <v>4</v>
      </c>
      <c r="F329" s="12" t="s">
        <v>5</v>
      </c>
      <c r="G329" s="12" t="s">
        <v>6</v>
      </c>
      <c r="H329" s="12" t="s">
        <v>7</v>
      </c>
      <c r="I329" s="12" t="s">
        <v>8</v>
      </c>
      <c r="J329" s="13" t="s">
        <v>9</v>
      </c>
      <c r="K329" s="80" t="s">
        <v>39</v>
      </c>
      <c r="L329" s="81"/>
      <c r="M329" s="81"/>
      <c r="N329" s="82"/>
    </row>
    <row r="330" spans="1:14">
      <c r="A330" s="9" t="s">
        <v>10</v>
      </c>
      <c r="B330" s="5">
        <v>714646.5</v>
      </c>
      <c r="C330" s="5">
        <v>748011.06</v>
      </c>
      <c r="D330" s="5">
        <v>717060.56</v>
      </c>
      <c r="E330" s="5">
        <v>3343070.25</v>
      </c>
      <c r="F330" s="5">
        <v>3598669.25</v>
      </c>
      <c r="G330" s="5">
        <v>3768035.75</v>
      </c>
      <c r="H330" s="5">
        <v>18677222</v>
      </c>
      <c r="I330" s="5">
        <v>20251902</v>
      </c>
      <c r="J330" s="6">
        <v>21008960</v>
      </c>
      <c r="K330" s="2" t="s">
        <v>18</v>
      </c>
      <c r="L330" s="3" t="s">
        <v>19</v>
      </c>
      <c r="M330" s="3" t="s">
        <v>20</v>
      </c>
      <c r="N330" s="4" t="s">
        <v>21</v>
      </c>
    </row>
    <row r="331" spans="1:14">
      <c r="A331" s="9" t="s">
        <v>11</v>
      </c>
      <c r="B331" s="5">
        <v>43729.11</v>
      </c>
      <c r="C331" s="5">
        <v>41838.5</v>
      </c>
      <c r="D331" s="5">
        <v>43791.19</v>
      </c>
      <c r="E331" s="5">
        <v>184967.33</v>
      </c>
      <c r="F331" s="5">
        <v>201132.95</v>
      </c>
      <c r="G331" s="5">
        <v>199338.67</v>
      </c>
      <c r="H331" s="5">
        <v>1025329.81</v>
      </c>
      <c r="I331" s="5">
        <v>1132104.3799999999</v>
      </c>
      <c r="J331" s="6">
        <v>1182187.1200000001</v>
      </c>
      <c r="K331" s="2" t="s">
        <v>26</v>
      </c>
      <c r="L331" s="5">
        <v>1.118514031899859E-5</v>
      </c>
      <c r="M331" s="5">
        <v>5.5925701594992949E-5</v>
      </c>
      <c r="N331" s="6">
        <v>2.7962850797496474E-4</v>
      </c>
    </row>
    <row r="332" spans="1:14">
      <c r="A332" s="9" t="s">
        <v>13</v>
      </c>
      <c r="B332" s="5">
        <v>847.79</v>
      </c>
      <c r="C332" s="5">
        <v>740.39</v>
      </c>
      <c r="D332" s="5">
        <v>980.02</v>
      </c>
      <c r="E332" s="5">
        <v>2020.43</v>
      </c>
      <c r="F332" s="5">
        <v>1707</v>
      </c>
      <c r="G332" s="5">
        <v>0</v>
      </c>
      <c r="H332" s="5">
        <v>0</v>
      </c>
      <c r="I332" s="5">
        <v>0</v>
      </c>
      <c r="J332" s="6">
        <v>0</v>
      </c>
      <c r="K332" s="2" t="s">
        <v>27</v>
      </c>
      <c r="L332" s="5">
        <v>1.118514031899859E-5</v>
      </c>
      <c r="M332" s="5">
        <v>5.5925701594992949E-5</v>
      </c>
      <c r="N332" s="6">
        <v>2.7962850797496474E-4</v>
      </c>
    </row>
    <row r="333" spans="1:14">
      <c r="A333" s="9" t="s">
        <v>14</v>
      </c>
      <c r="B333" s="5">
        <v>51492.68</v>
      </c>
      <c r="C333" s="5">
        <v>65548.12</v>
      </c>
      <c r="D333" s="5">
        <v>53627.12</v>
      </c>
      <c r="E333" s="5">
        <v>52850.11</v>
      </c>
      <c r="F333" s="5">
        <v>66872.009999999995</v>
      </c>
      <c r="G333" s="5">
        <v>68573.22</v>
      </c>
      <c r="H333" s="5">
        <v>58123.28</v>
      </c>
      <c r="I333" s="5">
        <v>71976.61</v>
      </c>
      <c r="J333" s="6">
        <v>69663.66</v>
      </c>
    </row>
    <row r="334" spans="1:14">
      <c r="A334" s="9" t="s">
        <v>15</v>
      </c>
      <c r="B334" s="5">
        <v>1303737</v>
      </c>
      <c r="C334" s="5">
        <v>1485194.5</v>
      </c>
      <c r="D334" s="5">
        <v>1241174.8799999999</v>
      </c>
      <c r="E334" s="5">
        <v>1211920.6200000001</v>
      </c>
      <c r="F334" s="5">
        <v>1476160.12</v>
      </c>
      <c r="G334" s="5">
        <v>1466549.12</v>
      </c>
      <c r="H334" s="5">
        <v>1426967</v>
      </c>
      <c r="I334" s="5">
        <v>1626493</v>
      </c>
      <c r="J334" s="6">
        <v>1642259.38</v>
      </c>
    </row>
    <row r="335" spans="1:14">
      <c r="A335" s="9"/>
      <c r="B335" s="5"/>
      <c r="C335" s="5"/>
      <c r="D335" s="5"/>
      <c r="E335" s="5"/>
      <c r="F335" s="5"/>
      <c r="G335" s="5"/>
      <c r="H335" s="5"/>
      <c r="I335" s="5"/>
      <c r="J335" s="6"/>
    </row>
    <row r="336" spans="1:14">
      <c r="A336" s="9" t="s">
        <v>16</v>
      </c>
      <c r="B336" s="5">
        <f>SUM(B330:B331)/SUM(B330:B334)</f>
        <v>0.3586627753404677</v>
      </c>
      <c r="C336" s="5">
        <f t="shared" ref="C336:J336" si="85">SUM(C330:C331)/SUM(C330:C334)</f>
        <v>0.3373504345860614</v>
      </c>
      <c r="D336" s="5">
        <f t="shared" si="85"/>
        <v>0.36995004219929734</v>
      </c>
      <c r="E336" s="5">
        <f t="shared" si="85"/>
        <v>0.73580054081347646</v>
      </c>
      <c r="F336" s="5">
        <f t="shared" si="85"/>
        <v>0.71096881198596706</v>
      </c>
      <c r="G336" s="5">
        <f t="shared" si="85"/>
        <v>0.72101349497205336</v>
      </c>
      <c r="H336" s="5">
        <f t="shared" si="85"/>
        <v>0.92990771348261902</v>
      </c>
      <c r="I336" s="5">
        <f t="shared" si="85"/>
        <v>0.92641735614776222</v>
      </c>
      <c r="J336" s="6">
        <f t="shared" si="85"/>
        <v>0.92838062104403751</v>
      </c>
    </row>
    <row r="337" spans="1:14">
      <c r="A337" s="9" t="s">
        <v>17</v>
      </c>
      <c r="B337" s="5">
        <f>SUM(B332:B334)/SUM(B330:B331)</f>
        <v>1.7881343388667259</v>
      </c>
      <c r="C337" s="5">
        <f t="shared" ref="C337:J337" si="86">SUM(C332:C334)/SUM(C330:C331)</f>
        <v>1.9642766022430904</v>
      </c>
      <c r="D337" s="5">
        <f t="shared" si="86"/>
        <v>1.7030676738273911</v>
      </c>
      <c r="E337" s="5">
        <f t="shared" si="86"/>
        <v>0.35906396439235211</v>
      </c>
      <c r="F337" s="5">
        <f t="shared" si="86"/>
        <v>0.40653145840065047</v>
      </c>
      <c r="G337" s="5">
        <f t="shared" si="86"/>
        <v>0.38693659268993325</v>
      </c>
      <c r="H337" s="5">
        <f t="shared" si="86"/>
        <v>7.5375529744641748E-2</v>
      </c>
      <c r="I337" s="5">
        <f t="shared" si="86"/>
        <v>7.942709985293224E-2</v>
      </c>
      <c r="J337" s="6">
        <f t="shared" si="86"/>
        <v>7.7144413974756243E-2</v>
      </c>
    </row>
    <row r="338" spans="1:14">
      <c r="A338" s="9" t="s">
        <v>38</v>
      </c>
      <c r="B338" s="5">
        <f>B337*$L$331</f>
        <v>2.0000533489444104E-5</v>
      </c>
      <c r="C338" s="5">
        <f t="shared" ref="C338:D338" si="87">C337*$L$331</f>
        <v>2.1970709421414745E-5</v>
      </c>
      <c r="D338" s="5">
        <f t="shared" si="87"/>
        <v>1.9049050904509893E-5</v>
      </c>
      <c r="E338" s="5">
        <f>E337*$M$331</f>
        <v>2.0080904126121858E-5</v>
      </c>
      <c r="F338" s="5">
        <f t="shared" ref="F338:G338" si="88">F337*$M$331</f>
        <v>2.2735557031492067E-5</v>
      </c>
      <c r="G338" s="5">
        <f t="shared" si="88"/>
        <v>2.1639700418960536E-5</v>
      </c>
      <c r="H338" s="5">
        <f>H337*$N$331</f>
        <v>2.1077146920316748E-5</v>
      </c>
      <c r="I338" s="5">
        <f t="shared" ref="I338:J338" si="89">I337*$N$331</f>
        <v>2.2210081424653985E-5</v>
      </c>
      <c r="J338" s="6">
        <f t="shared" si="89"/>
        <v>2.1571777378364108E-5</v>
      </c>
    </row>
    <row r="339" spans="1:14">
      <c r="A339" s="9" t="s">
        <v>51</v>
      </c>
      <c r="B339" s="5">
        <f>AVERAGE(B338:D338)</f>
        <v>2.0340097938456249E-5</v>
      </c>
      <c r="C339" s="5"/>
      <c r="D339" s="5"/>
      <c r="E339" s="5">
        <f>AVERAGE(E338:G338)</f>
        <v>2.1485387192191488E-5</v>
      </c>
      <c r="F339" s="5"/>
      <c r="G339" s="5"/>
      <c r="H339" s="5">
        <f>AVERAGE(H338:J338)</f>
        <v>2.1619668574444949E-5</v>
      </c>
      <c r="I339" s="5"/>
      <c r="J339" s="6"/>
    </row>
    <row r="340" spans="1:14">
      <c r="A340" s="9" t="s">
        <v>52</v>
      </c>
      <c r="B340" s="5">
        <f>_xlfn.STDEV.P(B338:D338)</f>
        <v>1.2166895341116829E-6</v>
      </c>
      <c r="C340" s="5"/>
      <c r="D340" s="5"/>
      <c r="E340" s="5">
        <f>_xlfn.STDEV.P(E338:G338)</f>
        <v>1.0892367177568366E-6</v>
      </c>
      <c r="F340" s="5"/>
      <c r="G340" s="5"/>
      <c r="H340" s="5">
        <f>_xlfn.STDEV.P(H338:J338)</f>
        <v>4.6375663357412325E-7</v>
      </c>
      <c r="I340" s="5"/>
      <c r="J340" s="6"/>
    </row>
    <row r="341" spans="1:14">
      <c r="A341" s="9" t="s">
        <v>53</v>
      </c>
      <c r="B341" s="5">
        <f>AVERAGE(B339,E339,H339)</f>
        <v>2.1148384568364226E-5</v>
      </c>
      <c r="C341" s="5"/>
      <c r="D341" s="5"/>
      <c r="E341" s="5"/>
      <c r="F341" s="5"/>
      <c r="G341" s="5"/>
      <c r="H341" s="5"/>
      <c r="I341" s="5"/>
      <c r="J341" s="6"/>
    </row>
    <row r="342" spans="1:14" ht="15.75" thickBot="1">
      <c r="A342" s="10" t="s">
        <v>54</v>
      </c>
      <c r="B342" s="7">
        <f>_xlfn.STDEV.P(B339,E339,H339)</f>
        <v>5.7416799485340781E-7</v>
      </c>
      <c r="C342" s="7"/>
      <c r="D342" s="7"/>
      <c r="E342" s="7"/>
      <c r="F342" s="7"/>
      <c r="G342" s="7"/>
      <c r="H342" s="7"/>
      <c r="I342" s="7"/>
      <c r="J342" s="8"/>
    </row>
    <row r="343" spans="1:14" ht="15.75" thickBot="1"/>
    <row r="344" spans="1:14">
      <c r="A344" s="25" t="s">
        <v>55</v>
      </c>
      <c r="B344" s="12" t="s">
        <v>1</v>
      </c>
      <c r="C344" s="12" t="s">
        <v>2</v>
      </c>
      <c r="D344" s="12" t="s">
        <v>3</v>
      </c>
      <c r="E344" s="12" t="s">
        <v>7</v>
      </c>
      <c r="F344" s="12" t="s">
        <v>8</v>
      </c>
      <c r="G344" s="12" t="s">
        <v>9</v>
      </c>
      <c r="H344" s="12"/>
      <c r="I344" s="12"/>
      <c r="J344" s="13"/>
      <c r="K344" s="80" t="s">
        <v>37</v>
      </c>
      <c r="L344" s="81"/>
      <c r="M344" s="81"/>
      <c r="N344" s="82"/>
    </row>
    <row r="345" spans="1:14">
      <c r="A345" s="9" t="s">
        <v>10</v>
      </c>
      <c r="B345" s="5">
        <v>1757141.38</v>
      </c>
      <c r="C345" s="5">
        <v>1925091.12</v>
      </c>
      <c r="D345" s="5">
        <v>2562394</v>
      </c>
      <c r="E345" s="5">
        <v>44013924</v>
      </c>
      <c r="F345" s="5">
        <v>44371580</v>
      </c>
      <c r="G345" s="5">
        <v>47253600</v>
      </c>
      <c r="H345" s="5"/>
      <c r="I345" s="5"/>
      <c r="J345" s="6"/>
      <c r="K345" s="2" t="s">
        <v>18</v>
      </c>
      <c r="L345" s="3" t="s">
        <v>19</v>
      </c>
      <c r="M345" s="3"/>
      <c r="N345" s="4" t="s">
        <v>21</v>
      </c>
    </row>
    <row r="346" spans="1:14">
      <c r="A346" s="9" t="s">
        <v>11</v>
      </c>
      <c r="B346" s="5">
        <v>88839.35</v>
      </c>
      <c r="C346" s="5">
        <v>107016.46</v>
      </c>
      <c r="D346" s="5">
        <v>141506.98000000001</v>
      </c>
      <c r="E346" s="5">
        <v>2478504.75</v>
      </c>
      <c r="F346" s="5">
        <v>2481290.25</v>
      </c>
      <c r="G346" s="5">
        <v>2706785.75</v>
      </c>
      <c r="H346" s="5"/>
      <c r="I346" s="5"/>
      <c r="J346" s="6"/>
      <c r="K346" s="2" t="s">
        <v>26</v>
      </c>
      <c r="L346" s="5">
        <v>2.2343360926038096E-5</v>
      </c>
      <c r="N346" s="6">
        <v>5.5858402315095239E-4</v>
      </c>
    </row>
    <row r="347" spans="1:14">
      <c r="A347" s="9" t="s">
        <v>13</v>
      </c>
      <c r="B347" s="5">
        <v>765.97</v>
      </c>
      <c r="C347" s="5">
        <v>2308.9699999999998</v>
      </c>
      <c r="D347" s="5">
        <v>1318.14</v>
      </c>
      <c r="E347" s="5">
        <v>0</v>
      </c>
      <c r="F347" s="5">
        <v>0</v>
      </c>
      <c r="G347" s="5">
        <v>0</v>
      </c>
      <c r="H347" s="5"/>
      <c r="I347" s="5"/>
      <c r="J347" s="6"/>
      <c r="K347" s="2" t="s">
        <v>27</v>
      </c>
      <c r="L347" s="5">
        <v>2.2343360926038096E-5</v>
      </c>
      <c r="N347" s="6">
        <v>5.5858402315095239E-4</v>
      </c>
    </row>
    <row r="348" spans="1:14">
      <c r="A348" s="9" t="s">
        <v>14</v>
      </c>
      <c r="B348" s="5">
        <v>70846</v>
      </c>
      <c r="C348" s="5">
        <v>83101.58</v>
      </c>
      <c r="D348" s="5">
        <v>64029.64</v>
      </c>
      <c r="E348" s="5">
        <v>64949.81</v>
      </c>
      <c r="F348" s="5">
        <v>92918.59</v>
      </c>
      <c r="G348" s="5">
        <v>57135.82</v>
      </c>
      <c r="H348" s="5"/>
      <c r="I348" s="5"/>
      <c r="J348" s="6"/>
    </row>
    <row r="349" spans="1:14">
      <c r="A349" s="9" t="s">
        <v>15</v>
      </c>
      <c r="B349" s="5">
        <v>1487773.62</v>
      </c>
      <c r="C349" s="5">
        <v>1953911.5</v>
      </c>
      <c r="D349" s="5">
        <v>1451091</v>
      </c>
      <c r="E349" s="5">
        <v>1613629.62</v>
      </c>
      <c r="F349" s="5">
        <v>2261765.75</v>
      </c>
      <c r="G349" s="5">
        <v>1497081.62</v>
      </c>
      <c r="H349" s="5"/>
      <c r="I349" s="5"/>
      <c r="J349" s="6"/>
    </row>
    <row r="350" spans="1:14">
      <c r="A350" s="9"/>
      <c r="B350" s="5"/>
      <c r="C350" s="5"/>
      <c r="D350" s="5"/>
      <c r="E350" s="5"/>
      <c r="F350" s="5"/>
      <c r="G350" s="5"/>
      <c r="H350" s="5"/>
      <c r="I350" s="5"/>
      <c r="J350" s="6"/>
    </row>
    <row r="351" spans="1:14">
      <c r="A351" s="9" t="s">
        <v>16</v>
      </c>
      <c r="B351" s="5">
        <f>SUM(B345:B346)/SUM(B345:B349)</f>
        <v>0.5420799281294354</v>
      </c>
      <c r="C351" s="5">
        <f t="shared" ref="C351:G351" si="90">SUM(C345:C346)/SUM(C345:C349)</f>
        <v>0.49911401268649708</v>
      </c>
      <c r="D351" s="5">
        <f t="shared" si="90"/>
        <v>0.64068324679148581</v>
      </c>
      <c r="E351" s="5">
        <f t="shared" si="90"/>
        <v>0.96515374094460149</v>
      </c>
      <c r="F351" s="5">
        <f t="shared" si="90"/>
        <v>0.95214790981548747</v>
      </c>
      <c r="G351" s="5">
        <f t="shared" si="90"/>
        <v>0.96982957562018646</v>
      </c>
      <c r="H351" s="5"/>
      <c r="I351" s="5"/>
      <c r="J351" s="6"/>
    </row>
    <row r="352" spans="1:14">
      <c r="A352" s="9" t="s">
        <v>17</v>
      </c>
      <c r="B352" s="5">
        <f>SUM(B347:B349)/SUM(B345:B346)</f>
        <v>0.8447464075098986</v>
      </c>
      <c r="C352" s="5">
        <f t="shared" ref="C352:G352" si="91">SUM(C347:C349)/SUM(C345:C346)</f>
        <v>1.0035502401895475</v>
      </c>
      <c r="D352" s="5">
        <f t="shared" si="91"/>
        <v>0.56083369591441179</v>
      </c>
      <c r="E352" s="5">
        <f t="shared" si="91"/>
        <v>3.6104360970817213E-2</v>
      </c>
      <c r="F352" s="5">
        <f t="shared" si="91"/>
        <v>5.0256992313080326E-2</v>
      </c>
      <c r="G352" s="5">
        <f t="shared" si="91"/>
        <v>3.1108995990888646E-2</v>
      </c>
      <c r="H352" s="5"/>
      <c r="I352" s="5"/>
      <c r="J352" s="6"/>
    </row>
    <row r="353" spans="1:14">
      <c r="A353" s="9" t="s">
        <v>38</v>
      </c>
      <c r="B353" s="5">
        <f>B352*$L$346</f>
        <v>1.8874473873967724E-5</v>
      </c>
      <c r="C353" s="5">
        <f t="shared" ref="C353:D353" si="92">C352*$L$346</f>
        <v>2.2422685223967282E-5</v>
      </c>
      <c r="D353" s="5">
        <f t="shared" si="92"/>
        <v>1.25309096872996E-5</v>
      </c>
      <c r="E353" s="5">
        <f>E352*$N$346</f>
        <v>2.0167319204373303E-5</v>
      </c>
      <c r="F353" s="5">
        <f t="shared" ref="F353:G353" si="93">F352*$N$346</f>
        <v>2.8072752957706898E-5</v>
      </c>
      <c r="G353" s="5">
        <f t="shared" si="93"/>
        <v>1.7376988136777427E-5</v>
      </c>
      <c r="H353" s="5"/>
      <c r="I353" s="5"/>
      <c r="J353" s="6"/>
    </row>
    <row r="354" spans="1:14">
      <c r="A354" s="9" t="s">
        <v>51</v>
      </c>
      <c r="B354" s="5">
        <f>AVERAGE(B353:D353)</f>
        <v>1.79426895950782E-5</v>
      </c>
      <c r="C354" s="5"/>
      <c r="D354" s="5"/>
      <c r="E354" s="5">
        <f>AVERAGE(E353:G353)</f>
        <v>2.1872353432952542E-5</v>
      </c>
      <c r="F354" s="5"/>
      <c r="G354" s="5"/>
      <c r="H354" s="5"/>
      <c r="I354" s="5"/>
      <c r="J354" s="6"/>
    </row>
    <row r="355" spans="1:14">
      <c r="A355" s="9" t="s">
        <v>52</v>
      </c>
      <c r="B355" s="5">
        <f>_xlfn.STDEV.P(B353:D353)</f>
        <v>4.0916966549133422E-6</v>
      </c>
      <c r="C355" s="5"/>
      <c r="D355" s="5"/>
      <c r="E355" s="5">
        <f>_xlfn.STDEV.P(E353:G353)</f>
        <v>4.5299155670297883E-6</v>
      </c>
      <c r="F355" s="5"/>
      <c r="G355" s="5"/>
      <c r="H355" s="5"/>
      <c r="I355" s="5"/>
      <c r="J355" s="6"/>
    </row>
    <row r="356" spans="1:14">
      <c r="A356" s="9" t="s">
        <v>53</v>
      </c>
      <c r="B356" s="5">
        <f>AVERAGE(B354,E354)</f>
        <v>1.9907521514015371E-5</v>
      </c>
      <c r="C356" s="5"/>
      <c r="D356" s="5"/>
      <c r="E356" s="5"/>
      <c r="F356" s="5"/>
      <c r="G356" s="5"/>
      <c r="H356" s="5"/>
      <c r="I356" s="5"/>
      <c r="J356" s="6"/>
    </row>
    <row r="357" spans="1:14" ht="15.75" thickBot="1">
      <c r="A357" s="10" t="s">
        <v>54</v>
      </c>
      <c r="B357" s="7">
        <f>_xlfn.STDEV.P(B354,E354)</f>
        <v>1.964831918937171E-6</v>
      </c>
      <c r="C357" s="7"/>
      <c r="D357" s="7"/>
      <c r="E357" s="7"/>
      <c r="F357" s="7"/>
      <c r="G357" s="7"/>
      <c r="H357" s="7"/>
      <c r="I357" s="7"/>
      <c r="J357" s="8"/>
    </row>
    <row r="358" spans="1:14" ht="15.75" thickBo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4">
      <c r="A359" s="15" t="s">
        <v>55</v>
      </c>
      <c r="B359" s="12" t="s">
        <v>57</v>
      </c>
      <c r="C359" s="12" t="s">
        <v>58</v>
      </c>
      <c r="D359" s="12" t="s">
        <v>59</v>
      </c>
      <c r="E359" s="12" t="s">
        <v>60</v>
      </c>
      <c r="F359" s="12" t="s">
        <v>61</v>
      </c>
      <c r="G359" s="12" t="s">
        <v>62</v>
      </c>
      <c r="H359" s="12" t="s">
        <v>63</v>
      </c>
      <c r="I359" s="12" t="s">
        <v>64</v>
      </c>
      <c r="J359" s="13" t="s">
        <v>65</v>
      </c>
      <c r="K359" s="80" t="s">
        <v>39</v>
      </c>
      <c r="L359" s="81"/>
      <c r="M359" s="81"/>
      <c r="N359" s="82"/>
    </row>
    <row r="360" spans="1:14">
      <c r="A360" s="9" t="s">
        <v>10</v>
      </c>
      <c r="B360" s="5">
        <v>345149.53</v>
      </c>
      <c r="C360" s="5">
        <v>324006.88</v>
      </c>
      <c r="D360" s="5">
        <v>275561.90999999997</v>
      </c>
      <c r="E360" s="5">
        <v>1815826.62</v>
      </c>
      <c r="F360" s="5">
        <v>1793461.12</v>
      </c>
      <c r="G360" s="5">
        <v>1849088.88</v>
      </c>
      <c r="H360" s="5">
        <v>10266164</v>
      </c>
      <c r="I360" s="5">
        <v>9865158</v>
      </c>
      <c r="J360" s="6">
        <v>10241503</v>
      </c>
      <c r="K360" s="2" t="s">
        <v>18</v>
      </c>
      <c r="L360" s="3" t="s">
        <v>19</v>
      </c>
      <c r="M360" s="3" t="s">
        <v>20</v>
      </c>
      <c r="N360" s="4" t="s">
        <v>21</v>
      </c>
    </row>
    <row r="361" spans="1:14">
      <c r="A361" s="9" t="s">
        <v>11</v>
      </c>
      <c r="B361" s="5">
        <v>17506.59</v>
      </c>
      <c r="C361" s="5">
        <v>13634.24</v>
      </c>
      <c r="D361" s="5">
        <v>11821.23</v>
      </c>
      <c r="E361" s="5">
        <v>90828.3</v>
      </c>
      <c r="F361" s="5">
        <v>82984.62</v>
      </c>
      <c r="G361" s="5">
        <v>88407.19</v>
      </c>
      <c r="H361" s="5">
        <v>524241.84</v>
      </c>
      <c r="I361" s="5">
        <v>484844.88</v>
      </c>
      <c r="J361" s="6">
        <v>514847.09</v>
      </c>
      <c r="K361" s="2" t="s">
        <v>26</v>
      </c>
      <c r="L361" s="5">
        <v>1.118514031899859E-5</v>
      </c>
      <c r="M361" s="5">
        <v>5.5925701594992949E-5</v>
      </c>
      <c r="N361" s="6">
        <v>2.7962850797496474E-4</v>
      </c>
    </row>
    <row r="362" spans="1:14">
      <c r="A362" s="9" t="s">
        <v>12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8487.91</v>
      </c>
      <c r="I362" s="5">
        <v>12650.95</v>
      </c>
      <c r="J362" s="6">
        <v>3997.24</v>
      </c>
      <c r="K362" s="2" t="s">
        <v>27</v>
      </c>
      <c r="L362" s="5">
        <v>1.118514031899859E-5</v>
      </c>
      <c r="M362" s="5">
        <v>5.5925701594992949E-5</v>
      </c>
      <c r="N362" s="6">
        <v>2.7962850797496474E-4</v>
      </c>
    </row>
    <row r="363" spans="1:14">
      <c r="A363" s="9" t="s">
        <v>13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2363.9</v>
      </c>
      <c r="H363" s="5">
        <v>0</v>
      </c>
      <c r="I363" s="5">
        <v>0</v>
      </c>
      <c r="J363" s="6">
        <v>0</v>
      </c>
    </row>
    <row r="364" spans="1:14">
      <c r="A364" s="9" t="s">
        <v>14</v>
      </c>
      <c r="B364" s="5">
        <v>21279.19</v>
      </c>
      <c r="C364" s="5">
        <v>29003.01</v>
      </c>
      <c r="D364" s="5">
        <v>24463.13</v>
      </c>
      <c r="E364" s="5">
        <v>24128.5</v>
      </c>
      <c r="F364" s="5">
        <v>31828.18</v>
      </c>
      <c r="G364" s="5">
        <v>25291.75</v>
      </c>
      <c r="H364" s="5">
        <v>29674.25</v>
      </c>
      <c r="I364" s="5">
        <v>30447.34</v>
      </c>
      <c r="J364" s="6">
        <v>30570.48</v>
      </c>
    </row>
    <row r="365" spans="1:14">
      <c r="A365" s="9" t="s">
        <v>15</v>
      </c>
      <c r="B365" s="5">
        <v>634581.43999999994</v>
      </c>
      <c r="C365" s="5">
        <v>645190</v>
      </c>
      <c r="D365" s="5">
        <v>502910.03</v>
      </c>
      <c r="E365" s="5">
        <v>585955.93999999994</v>
      </c>
      <c r="F365" s="5">
        <v>620762.93999999994</v>
      </c>
      <c r="G365" s="5">
        <v>676061.56</v>
      </c>
      <c r="H365" s="5">
        <v>614614.25</v>
      </c>
      <c r="I365" s="5">
        <v>694906.25</v>
      </c>
      <c r="J365" s="6">
        <v>692556.5</v>
      </c>
    </row>
    <row r="366" spans="1:14">
      <c r="A366" s="9"/>
      <c r="B366" s="5"/>
      <c r="C366" s="5"/>
      <c r="D366" s="5"/>
      <c r="E366" s="5"/>
      <c r="F366" s="5"/>
      <c r="G366" s="5"/>
      <c r="H366" s="5"/>
      <c r="I366" s="5"/>
      <c r="J366" s="6"/>
    </row>
    <row r="367" spans="1:14">
      <c r="A367" s="9" t="s">
        <v>16</v>
      </c>
      <c r="B367" s="5">
        <f>SUM(B360:B361)/SUM(B360:B365)</f>
        <v>0.35606299061846558</v>
      </c>
      <c r="C367" s="5">
        <f t="shared" ref="C367:J367" si="94">SUM(C360:C361)/SUM(C360:C365)</f>
        <v>0.33369216355649123</v>
      </c>
      <c r="D367" s="5">
        <f t="shared" si="94"/>
        <v>0.35272282030835472</v>
      </c>
      <c r="E367" s="5">
        <f t="shared" si="94"/>
        <v>0.75758934369747366</v>
      </c>
      <c r="F367" s="5">
        <f t="shared" si="94"/>
        <v>0.74196061341707764</v>
      </c>
      <c r="G367" s="5">
        <f t="shared" si="94"/>
        <v>0.73356289879021053</v>
      </c>
      <c r="H367" s="5">
        <f t="shared" si="94"/>
        <v>0.94295499313575992</v>
      </c>
      <c r="I367" s="5">
        <f t="shared" si="94"/>
        <v>0.93344119353051447</v>
      </c>
      <c r="J367" s="6">
        <f t="shared" si="94"/>
        <v>0.93668081624332034</v>
      </c>
    </row>
    <row r="368" spans="1:14">
      <c r="A368" s="9" t="s">
        <v>17</v>
      </c>
      <c r="B368" s="5">
        <f>SUM(B362:B365)/SUM(B360:B361)</f>
        <v>1.8084918296704873</v>
      </c>
      <c r="C368" s="5">
        <f t="shared" ref="C368:J368" si="95">SUM(C362:C365)/SUM(C360:C361)</f>
        <v>1.9967740007496717</v>
      </c>
      <c r="D368" s="5">
        <f t="shared" si="95"/>
        <v>1.8350873332374338</v>
      </c>
      <c r="E368" s="5">
        <f t="shared" si="95"/>
        <v>0.31997632796604847</v>
      </c>
      <c r="F368" s="5">
        <f t="shared" si="95"/>
        <v>0.34778043728565255</v>
      </c>
      <c r="G368" s="5">
        <f t="shared" si="95"/>
        <v>0.36320961931035045</v>
      </c>
      <c r="H368" s="5">
        <f t="shared" si="95"/>
        <v>6.049600169626243E-2</v>
      </c>
      <c r="I368" s="5">
        <f t="shared" si="95"/>
        <v>7.1304766632103583E-2</v>
      </c>
      <c r="J368" s="6">
        <f t="shared" si="95"/>
        <v>6.7599530873952804E-2</v>
      </c>
    </row>
    <row r="369" spans="1:14">
      <c r="A369" s="9" t="s">
        <v>38</v>
      </c>
      <c r="B369" s="5">
        <f>B368*$L$361</f>
        <v>2.0228234880626898E-5</v>
      </c>
      <c r="C369" s="5">
        <f t="shared" ref="C369:D369" si="96">C368*$L$361</f>
        <v>2.2334197383713273E-5</v>
      </c>
      <c r="D369" s="5">
        <f t="shared" si="96"/>
        <v>2.0525709319877622E-5</v>
      </c>
      <c r="E369" s="5">
        <f>E368*$M$361</f>
        <v>1.7894900635290825E-5</v>
      </c>
      <c r="F369" s="5">
        <f t="shared" ref="F369:G369" si="97">F368*$M$361</f>
        <v>1.9449864956213563E-5</v>
      </c>
      <c r="G369" s="5">
        <f t="shared" si="97"/>
        <v>2.0312752785981647E-5</v>
      </c>
      <c r="H369" s="5">
        <f>H368*$N$361</f>
        <v>1.6916406692776798E-5</v>
      </c>
      <c r="I369" s="5">
        <f t="shared" ref="I369:J369" si="98">I368*$N$361</f>
        <v>1.9938845504838178E-5</v>
      </c>
      <c r="J369" s="6">
        <f t="shared" si="98"/>
        <v>1.8902755958090986E-5</v>
      </c>
    </row>
    <row r="370" spans="1:14">
      <c r="A370" s="9" t="s">
        <v>51</v>
      </c>
      <c r="B370" s="5">
        <f>AVERAGE(B369:D369)</f>
        <v>2.1029380528072599E-5</v>
      </c>
      <c r="C370" s="5"/>
      <c r="D370" s="5"/>
      <c r="E370" s="5">
        <f>AVERAGE(E369:G369)</f>
        <v>1.9219172792495346E-5</v>
      </c>
      <c r="F370" s="5"/>
      <c r="G370" s="5"/>
      <c r="H370" s="5">
        <f>AVERAGE(H369:J369)</f>
        <v>1.8586002718568654E-5</v>
      </c>
      <c r="I370" s="5"/>
      <c r="J370" s="6"/>
    </row>
    <row r="371" spans="1:14">
      <c r="A371" s="9" t="s">
        <v>52</v>
      </c>
      <c r="B371" s="5">
        <f>_xlfn.STDEV.P(B369:D369)</f>
        <v>9.3060304124973978E-7</v>
      </c>
      <c r="C371" s="5"/>
      <c r="D371" s="5"/>
      <c r="E371" s="5">
        <f>_xlfn.STDEV.P(E369:G369)</f>
        <v>1.0004720257461152E-6</v>
      </c>
      <c r="F371" s="5"/>
      <c r="G371" s="5"/>
      <c r="H371" s="5">
        <f>_xlfn.STDEV.P(H369:J369)</f>
        <v>1.2540689917822625E-6</v>
      </c>
      <c r="I371" s="5"/>
      <c r="J371" s="6"/>
    </row>
    <row r="372" spans="1:14">
      <c r="A372" s="9" t="s">
        <v>53</v>
      </c>
      <c r="B372" s="5">
        <f>AVERAGE(B370,E370,H370)</f>
        <v>1.96115186797122E-5</v>
      </c>
      <c r="C372" s="5"/>
      <c r="D372" s="5"/>
      <c r="E372" s="5"/>
      <c r="F372" s="5"/>
      <c r="G372" s="5"/>
      <c r="H372" s="5"/>
      <c r="I372" s="5"/>
      <c r="J372" s="6"/>
    </row>
    <row r="373" spans="1:14" ht="15.75" thickBot="1">
      <c r="A373" s="10" t="s">
        <v>54</v>
      </c>
      <c r="B373" s="7">
        <f>_xlfn.STDEV.P(B370,E370,H370)</f>
        <v>1.03536636073294E-6</v>
      </c>
      <c r="C373" s="7"/>
      <c r="D373" s="7"/>
      <c r="E373" s="7"/>
      <c r="F373" s="7"/>
      <c r="G373" s="7"/>
      <c r="H373" s="7"/>
      <c r="I373" s="7"/>
      <c r="J373" s="8"/>
    </row>
    <row r="374" spans="1:14" ht="15.75" thickBo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4">
      <c r="A375" s="26" t="s">
        <v>55</v>
      </c>
      <c r="B375" s="12" t="s">
        <v>57</v>
      </c>
      <c r="C375" s="12" t="s">
        <v>58</v>
      </c>
      <c r="D375" s="12" t="s">
        <v>59</v>
      </c>
      <c r="E375" s="12" t="s">
        <v>63</v>
      </c>
      <c r="F375" s="12" t="s">
        <v>64</v>
      </c>
      <c r="G375" s="12" t="s">
        <v>65</v>
      </c>
      <c r="H375" s="12"/>
      <c r="I375" s="12"/>
      <c r="J375" s="13"/>
      <c r="K375" s="80" t="s">
        <v>37</v>
      </c>
      <c r="L375" s="81"/>
      <c r="M375" s="81"/>
      <c r="N375" s="82"/>
    </row>
    <row r="376" spans="1:14">
      <c r="A376" s="9" t="s">
        <v>10</v>
      </c>
      <c r="B376" s="5">
        <v>1099032</v>
      </c>
      <c r="C376" s="5">
        <v>935604.94</v>
      </c>
      <c r="D376" s="5">
        <v>1092287</v>
      </c>
      <c r="E376" s="5">
        <v>24554214</v>
      </c>
      <c r="F376" s="5">
        <v>22366846</v>
      </c>
      <c r="G376" s="5">
        <v>26457114</v>
      </c>
      <c r="H376" s="5"/>
      <c r="I376" s="5"/>
      <c r="J376" s="6"/>
      <c r="K376" s="2" t="s">
        <v>18</v>
      </c>
      <c r="L376" s="3" t="s">
        <v>19</v>
      </c>
      <c r="M376" s="3"/>
      <c r="N376" s="4" t="s">
        <v>21</v>
      </c>
    </row>
    <row r="377" spans="1:14">
      <c r="A377" s="9" t="s">
        <v>11</v>
      </c>
      <c r="B377" s="5">
        <v>54976.57</v>
      </c>
      <c r="C377" s="5">
        <v>42074.6</v>
      </c>
      <c r="D377" s="5">
        <v>52317.15</v>
      </c>
      <c r="E377" s="5">
        <v>1220739.3799999999</v>
      </c>
      <c r="F377" s="5">
        <v>1146236.6200000001</v>
      </c>
      <c r="G377" s="5">
        <v>1368564.88</v>
      </c>
      <c r="H377" s="5"/>
      <c r="I377" s="5"/>
      <c r="J377" s="6"/>
      <c r="K377" s="2" t="s">
        <v>26</v>
      </c>
      <c r="L377" s="5">
        <v>2.2343360926038096E-5</v>
      </c>
      <c r="N377" s="6">
        <v>5.5858402315095239E-4</v>
      </c>
    </row>
    <row r="378" spans="1:14">
      <c r="A378" s="9" t="s">
        <v>12</v>
      </c>
      <c r="B378" s="5">
        <v>0</v>
      </c>
      <c r="C378" s="5">
        <v>0</v>
      </c>
      <c r="D378" s="5">
        <v>0</v>
      </c>
      <c r="E378" s="5">
        <v>11306.84</v>
      </c>
      <c r="F378" s="5">
        <v>5614.49</v>
      </c>
      <c r="G378" s="5">
        <v>14714.31</v>
      </c>
      <c r="H378" s="5"/>
      <c r="I378" s="5"/>
      <c r="J378" s="6"/>
      <c r="K378" s="2" t="s">
        <v>27</v>
      </c>
      <c r="L378" s="5">
        <v>2.2343360926038096E-5</v>
      </c>
      <c r="N378" s="6">
        <v>5.5858402315095239E-4</v>
      </c>
    </row>
    <row r="379" spans="1:14">
      <c r="A379" s="9" t="s">
        <v>14</v>
      </c>
      <c r="B379" s="5">
        <v>30537.26</v>
      </c>
      <c r="C379" s="5">
        <v>27803.16</v>
      </c>
      <c r="D379" s="5">
        <v>24190.7</v>
      </c>
      <c r="E379" s="5">
        <v>28934.39</v>
      </c>
      <c r="F379" s="5">
        <v>43176.639999999999</v>
      </c>
      <c r="G379" s="5">
        <v>47314.91</v>
      </c>
      <c r="H379" s="5"/>
      <c r="I379" s="5"/>
      <c r="J379" s="6"/>
    </row>
    <row r="380" spans="1:14">
      <c r="A380" s="9" t="s">
        <v>15</v>
      </c>
      <c r="B380" s="5">
        <v>838658.69</v>
      </c>
      <c r="C380" s="5">
        <v>894554.31</v>
      </c>
      <c r="D380" s="5">
        <v>593720.75</v>
      </c>
      <c r="E380" s="5">
        <v>746474.25</v>
      </c>
      <c r="F380" s="5">
        <v>873311.25</v>
      </c>
      <c r="G380" s="5">
        <v>768865.31</v>
      </c>
      <c r="H380" s="5"/>
      <c r="I380" s="5"/>
      <c r="J380" s="6"/>
    </row>
    <row r="381" spans="1:14">
      <c r="A381" s="9"/>
      <c r="B381" s="5"/>
      <c r="C381" s="5"/>
      <c r="D381" s="5"/>
      <c r="E381" s="5"/>
      <c r="F381" s="5"/>
      <c r="G381" s="5"/>
      <c r="H381" s="5"/>
      <c r="I381" s="5"/>
      <c r="J381" s="6"/>
    </row>
    <row r="382" spans="1:14">
      <c r="A382" s="9" t="s">
        <v>16</v>
      </c>
      <c r="B382" s="5">
        <f>SUM(B376:B377)/SUM(B376:B380)</f>
        <v>0.5703865123828411</v>
      </c>
      <c r="C382" s="5">
        <f t="shared" ref="C382:G382" si="99">SUM(C376:C377)/SUM(C376:C380)</f>
        <v>0.51455815589613163</v>
      </c>
      <c r="D382" s="5">
        <f t="shared" si="99"/>
        <v>0.64941504631221425</v>
      </c>
      <c r="E382" s="5">
        <f t="shared" si="99"/>
        <v>0.97038154928643283</v>
      </c>
      <c r="F382" s="5">
        <f t="shared" si="99"/>
        <v>0.96226333543208287</v>
      </c>
      <c r="G382" s="5">
        <f t="shared" si="99"/>
        <v>0.971005098267958</v>
      </c>
      <c r="H382" s="5"/>
      <c r="I382" s="5"/>
      <c r="J382" s="6"/>
    </row>
    <row r="383" spans="1:14">
      <c r="A383" s="9" t="s">
        <v>17</v>
      </c>
      <c r="B383" s="5">
        <f>SUM(B378:B380)/SUM(B376:B377)</f>
        <v>0.75319713613565276</v>
      </c>
      <c r="C383" s="5">
        <f t="shared" ref="C383:G383" si="100">SUM(C378:C380)/SUM(C376:C377)</f>
        <v>0.9434149250990771</v>
      </c>
      <c r="D383" s="5">
        <f t="shared" si="100"/>
        <v>0.53984729131027531</v>
      </c>
      <c r="E383" s="5">
        <f t="shared" si="100"/>
        <v>3.0522479261221463E-2</v>
      </c>
      <c r="F383" s="5">
        <f t="shared" si="100"/>
        <v>3.9216567002391622E-2</v>
      </c>
      <c r="G383" s="5">
        <f t="shared" si="100"/>
        <v>2.98607100866536E-2</v>
      </c>
      <c r="H383" s="5"/>
      <c r="I383" s="5"/>
      <c r="J383" s="6"/>
    </row>
    <row r="384" spans="1:14">
      <c r="A384" s="9" t="s">
        <v>38</v>
      </c>
      <c r="B384" s="5">
        <f>B383*$L$377</f>
        <v>1.6828955461137142E-5</v>
      </c>
      <c r="C384" s="5">
        <f t="shared" ref="C384:D384" si="101">C383*$L$377</f>
        <v>2.1079060174499877E-5</v>
      </c>
      <c r="D384" s="5">
        <f t="shared" si="101"/>
        <v>1.2062002874689511E-5</v>
      </c>
      <c r="E384" s="5">
        <f>E383*$N$377</f>
        <v>1.7049369262274592E-5</v>
      </c>
      <c r="F384" s="5">
        <f t="shared" ref="F384:G384" si="102">F383*$N$377</f>
        <v>2.1905747770364798E-5</v>
      </c>
      <c r="G384" s="5">
        <f t="shared" si="102"/>
        <v>1.6679715574347193E-5</v>
      </c>
      <c r="H384" s="5"/>
      <c r="I384" s="5"/>
      <c r="J384" s="6"/>
    </row>
    <row r="385" spans="1:14">
      <c r="A385" s="9" t="s">
        <v>51</v>
      </c>
      <c r="B385" s="5">
        <f>AVERAGE(B384:D384)</f>
        <v>1.665667283677551E-5</v>
      </c>
      <c r="C385" s="5"/>
      <c r="D385" s="5"/>
      <c r="E385" s="5">
        <f>AVERAGE(E384:G384)</f>
        <v>1.8544944202328862E-5</v>
      </c>
      <c r="F385" s="5"/>
      <c r="G385" s="5"/>
      <c r="H385" s="5"/>
      <c r="I385" s="5"/>
      <c r="J385" s="6"/>
    </row>
    <row r="386" spans="1:14">
      <c r="A386" s="9" t="s">
        <v>52</v>
      </c>
      <c r="B386" s="5">
        <f>_xlfn.STDEV.P(B384:D384)</f>
        <v>3.6832134125885737E-6</v>
      </c>
      <c r="C386" s="5"/>
      <c r="D386" s="5"/>
      <c r="E386" s="5">
        <f>_xlfn.STDEV.P(E384:G384)</f>
        <v>2.3812337739698296E-6</v>
      </c>
      <c r="F386" s="5"/>
      <c r="G386" s="5"/>
      <c r="H386" s="5"/>
      <c r="I386" s="5"/>
      <c r="J386" s="6"/>
    </row>
    <row r="387" spans="1:14">
      <c r="A387" s="9" t="s">
        <v>53</v>
      </c>
      <c r="B387" s="5">
        <f>AVERAGE(B385,E385)</f>
        <v>1.7600808519552186E-5</v>
      </c>
      <c r="C387" s="5"/>
      <c r="D387" s="5"/>
      <c r="E387" s="5"/>
      <c r="F387" s="5"/>
      <c r="G387" s="5"/>
      <c r="H387" s="5"/>
      <c r="I387" s="5"/>
      <c r="J387" s="6"/>
    </row>
    <row r="388" spans="1:14" ht="15.75" thickBot="1">
      <c r="A388" s="10" t="s">
        <v>54</v>
      </c>
      <c r="B388" s="7">
        <f>_xlfn.STDEV.P(B385,E385)</f>
        <v>9.4413568277667632E-7</v>
      </c>
      <c r="C388" s="7"/>
      <c r="D388" s="7"/>
      <c r="E388" s="7"/>
      <c r="F388" s="7"/>
      <c r="G388" s="7"/>
      <c r="H388" s="7"/>
      <c r="I388" s="7"/>
      <c r="J388" s="8"/>
    </row>
    <row r="389" spans="1:14" ht="15.75" thickBo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4">
      <c r="A390" s="14" t="s">
        <v>28</v>
      </c>
      <c r="B390" s="12" t="s">
        <v>1</v>
      </c>
      <c r="C390" s="12" t="s">
        <v>2</v>
      </c>
      <c r="D390" s="12" t="s">
        <v>3</v>
      </c>
      <c r="E390" s="12" t="s">
        <v>4</v>
      </c>
      <c r="F390" s="12" t="s">
        <v>5</v>
      </c>
      <c r="G390" s="12" t="s">
        <v>6</v>
      </c>
      <c r="H390" s="12" t="s">
        <v>7</v>
      </c>
      <c r="I390" s="12" t="s">
        <v>8</v>
      </c>
      <c r="J390" s="13" t="s">
        <v>9</v>
      </c>
      <c r="K390" s="80" t="s">
        <v>39</v>
      </c>
      <c r="L390" s="81"/>
      <c r="M390" s="81"/>
      <c r="N390" s="82"/>
    </row>
    <row r="391" spans="1:14">
      <c r="A391" s="9" t="s">
        <v>10</v>
      </c>
      <c r="B391" s="5">
        <v>7372915.5</v>
      </c>
      <c r="C391" s="5">
        <v>8943460</v>
      </c>
      <c r="D391" s="5">
        <v>8659691</v>
      </c>
      <c r="E391" s="5">
        <v>36153516</v>
      </c>
      <c r="F391" s="5">
        <v>39731212</v>
      </c>
      <c r="G391" s="5">
        <v>38431596</v>
      </c>
      <c r="H391" s="5">
        <v>122538456</v>
      </c>
      <c r="I391" s="5">
        <v>128091240</v>
      </c>
      <c r="J391" s="6">
        <v>132995624</v>
      </c>
      <c r="K391" s="2" t="s">
        <v>18</v>
      </c>
      <c r="L391" s="3" t="s">
        <v>19</v>
      </c>
      <c r="M391" s="3" t="s">
        <v>20</v>
      </c>
      <c r="N391" s="4" t="s">
        <v>21</v>
      </c>
    </row>
    <row r="392" spans="1:14">
      <c r="A392" s="9" t="s">
        <v>11</v>
      </c>
      <c r="B392" s="5">
        <v>819110.25</v>
      </c>
      <c r="C392" s="5">
        <v>969928.19</v>
      </c>
      <c r="D392" s="5">
        <v>951928.56</v>
      </c>
      <c r="E392" s="5">
        <v>3993804</v>
      </c>
      <c r="F392" s="5">
        <v>4382254.5</v>
      </c>
      <c r="G392" s="5">
        <v>4250466</v>
      </c>
      <c r="H392" s="5">
        <v>13408521</v>
      </c>
      <c r="I392" s="5">
        <v>14190895</v>
      </c>
      <c r="J392" s="6">
        <v>14639488</v>
      </c>
      <c r="K392" s="2" t="s">
        <v>28</v>
      </c>
      <c r="L392" s="5">
        <v>1.7738844785108131E-4</v>
      </c>
      <c r="M392" s="5">
        <v>8.8694223925540644E-4</v>
      </c>
      <c r="N392" s="6">
        <v>4.434711196277032E-3</v>
      </c>
    </row>
    <row r="393" spans="1:14">
      <c r="A393" s="9" t="s">
        <v>12</v>
      </c>
      <c r="B393" s="5">
        <v>118408.13</v>
      </c>
      <c r="C393" s="5">
        <v>150936.12</v>
      </c>
      <c r="D393" s="5">
        <v>132490.06</v>
      </c>
      <c r="E393" s="5">
        <v>207807.77</v>
      </c>
      <c r="F393" s="5">
        <v>450171</v>
      </c>
      <c r="G393" s="5">
        <v>424698.16</v>
      </c>
      <c r="H393" s="5">
        <v>0</v>
      </c>
      <c r="I393" s="5">
        <v>497984.47</v>
      </c>
      <c r="J393" s="6">
        <v>0</v>
      </c>
    </row>
    <row r="394" spans="1:14">
      <c r="A394" s="9" t="s">
        <v>13</v>
      </c>
      <c r="B394" s="5">
        <v>3379.9</v>
      </c>
      <c r="C394" s="5">
        <v>3934.46</v>
      </c>
      <c r="D394" s="5">
        <v>8689.41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6">
        <v>0</v>
      </c>
    </row>
    <row r="395" spans="1:14">
      <c r="A395" s="9" t="s">
        <v>42</v>
      </c>
      <c r="B395" s="5">
        <v>0</v>
      </c>
      <c r="C395" s="5">
        <v>0</v>
      </c>
      <c r="D395" s="5">
        <v>1345.51</v>
      </c>
      <c r="E395" s="5">
        <v>0</v>
      </c>
      <c r="F395" s="5">
        <v>3095.19</v>
      </c>
      <c r="G395" s="5">
        <v>0</v>
      </c>
      <c r="H395" s="5">
        <v>0</v>
      </c>
      <c r="I395" s="5">
        <v>0</v>
      </c>
      <c r="J395" s="6">
        <v>0</v>
      </c>
    </row>
    <row r="396" spans="1:14">
      <c r="A396" s="9" t="s">
        <v>43</v>
      </c>
      <c r="B396" s="5">
        <v>49087.38</v>
      </c>
      <c r="C396" s="5">
        <v>60340.5</v>
      </c>
      <c r="D396" s="5">
        <v>59372.959999999999</v>
      </c>
      <c r="E396" s="5">
        <v>56877.53</v>
      </c>
      <c r="F396" s="5">
        <v>60255.05</v>
      </c>
      <c r="G396" s="5">
        <v>54453.26</v>
      </c>
      <c r="H396" s="5">
        <v>32330.78</v>
      </c>
      <c r="I396" s="5">
        <v>28073.31</v>
      </c>
      <c r="J396" s="6">
        <v>39093.040000000001</v>
      </c>
    </row>
    <row r="397" spans="1:14">
      <c r="A397" s="9" t="s">
        <v>44</v>
      </c>
      <c r="B397" s="5">
        <v>586510.56000000006</v>
      </c>
      <c r="C397" s="5">
        <v>707570.25</v>
      </c>
      <c r="D397" s="5">
        <v>646446.56000000006</v>
      </c>
      <c r="E397" s="5">
        <v>626247</v>
      </c>
      <c r="F397" s="5">
        <v>733229.19</v>
      </c>
      <c r="G397" s="5">
        <v>701694.06</v>
      </c>
      <c r="H397" s="5">
        <v>421760.84</v>
      </c>
      <c r="I397" s="5">
        <v>398932.12</v>
      </c>
      <c r="J397" s="6">
        <v>478698.41</v>
      </c>
    </row>
    <row r="398" spans="1:14">
      <c r="A398" s="9"/>
      <c r="B398" s="5"/>
      <c r="C398" s="5"/>
      <c r="D398" s="5"/>
      <c r="E398" s="5"/>
      <c r="F398" s="5"/>
      <c r="G398" s="5"/>
      <c r="H398" s="5"/>
      <c r="I398" s="5"/>
      <c r="J398" s="6"/>
    </row>
    <row r="399" spans="1:14">
      <c r="A399" s="9" t="s">
        <v>16</v>
      </c>
      <c r="B399" s="5">
        <f>SUM(B391:B392)/SUM(B391:B397)</f>
        <v>0.91537030659709095</v>
      </c>
      <c r="C399" s="5">
        <f t="shared" ref="C399:J399" si="103">SUM(C391:C392)/SUM(C391:C397)</f>
        <v>0.91484247931920504</v>
      </c>
      <c r="D399" s="5">
        <f t="shared" si="103"/>
        <v>0.91889604064280106</v>
      </c>
      <c r="E399" s="5">
        <f t="shared" si="103"/>
        <v>0.9782901987763255</v>
      </c>
      <c r="F399" s="5">
        <f t="shared" si="103"/>
        <v>0.97251445177336826</v>
      </c>
      <c r="G399" s="5">
        <f t="shared" si="103"/>
        <v>0.97307872305230969</v>
      </c>
      <c r="H399" s="5">
        <f t="shared" si="103"/>
        <v>0.99667090863294439</v>
      </c>
      <c r="I399" s="5">
        <f t="shared" si="103"/>
        <v>0.99354089469608498</v>
      </c>
      <c r="J399" s="6">
        <f t="shared" si="103"/>
        <v>0.99650501989537632</v>
      </c>
    </row>
    <row r="400" spans="1:14">
      <c r="A400" s="9" t="s">
        <v>17</v>
      </c>
      <c r="B400" s="5">
        <f>SUM(B393:B397)/SUM(B391:B392)</f>
        <v>9.2454051429220682E-2</v>
      </c>
      <c r="C400" s="5">
        <f t="shared" ref="C400:J400" si="104">SUM(C393:C397)/SUM(C391:C392)</f>
        <v>9.308435343335425E-2</v>
      </c>
      <c r="D400" s="5">
        <f t="shared" si="104"/>
        <v>8.8262388529243868E-2</v>
      </c>
      <c r="E400" s="5">
        <f t="shared" si="104"/>
        <v>2.2191575925865039E-2</v>
      </c>
      <c r="F400" s="5">
        <f t="shared" si="104"/>
        <v>2.8262354535207517E-2</v>
      </c>
      <c r="G400" s="5">
        <f t="shared" si="104"/>
        <v>2.7666083236559658E-2</v>
      </c>
      <c r="H400" s="5">
        <f t="shared" si="104"/>
        <v>3.3402112354436538E-3</v>
      </c>
      <c r="I400" s="5">
        <f t="shared" si="104"/>
        <v>6.5010965712596312E-3</v>
      </c>
      <c r="J400" s="6">
        <f t="shared" si="104"/>
        <v>3.5072378310655526E-3</v>
      </c>
    </row>
    <row r="401" spans="1:14">
      <c r="A401" s="9" t="s">
        <v>38</v>
      </c>
      <c r="B401" s="5">
        <f>B400*$L$392</f>
        <v>1.6400280680573502E-5</v>
      </c>
      <c r="C401" s="5">
        <f t="shared" ref="C401:D401" si="105">C400*$L$392</f>
        <v>1.6512088974764182E-5</v>
      </c>
      <c r="D401" s="5">
        <f t="shared" si="105"/>
        <v>1.5656728104831652E-5</v>
      </c>
      <c r="E401" s="5">
        <f>E400*$M$392</f>
        <v>1.9682646044293107E-5</v>
      </c>
      <c r="F401" s="5">
        <f t="shared" ref="F401:G401" si="106">F400*$M$392</f>
        <v>2.5067076018087145E-5</v>
      </c>
      <c r="G401" s="5">
        <f t="shared" si="106"/>
        <v>2.4538217817260686E-5</v>
      </c>
      <c r="H401" s="5">
        <f>H400*$N$392</f>
        <v>1.4812872163752309E-5</v>
      </c>
      <c r="I401" s="5">
        <f t="shared" ref="I401:J401" si="107">I400*$N$392</f>
        <v>2.8830485752643309E-5</v>
      </c>
      <c r="J401" s="6">
        <f t="shared" si="107"/>
        <v>1.5553586877432778E-5</v>
      </c>
    </row>
    <row r="402" spans="1:14">
      <c r="A402" s="9" t="s">
        <v>51</v>
      </c>
      <c r="B402" s="5">
        <f>AVERAGE(B401:D401)</f>
        <v>1.6189699253389777E-5</v>
      </c>
      <c r="C402" s="5"/>
      <c r="D402" s="5"/>
      <c r="E402" s="5">
        <f>AVERAGE(E401:G401)</f>
        <v>2.3095979959880314E-5</v>
      </c>
      <c r="F402" s="5"/>
      <c r="G402" s="5"/>
      <c r="H402" s="5">
        <f>AVERAGE(H401:J401)</f>
        <v>1.9732314931276133E-5</v>
      </c>
      <c r="I402" s="5"/>
      <c r="J402" s="6"/>
    </row>
    <row r="403" spans="1:14">
      <c r="A403" s="9" t="s">
        <v>52</v>
      </c>
      <c r="B403" s="5">
        <f>_xlfn.STDEV.P(B401:D401)</f>
        <v>3.7962170429607401E-7</v>
      </c>
      <c r="C403" s="5"/>
      <c r="D403" s="5"/>
      <c r="E403" s="5">
        <f>_xlfn.STDEV.P(E401:G401)</f>
        <v>2.4232291215949521E-6</v>
      </c>
      <c r="F403" s="5"/>
      <c r="G403" s="5"/>
      <c r="H403" s="5">
        <f>_xlfn.STDEV.P(H401:J401)</f>
        <v>6.4404812859934885E-6</v>
      </c>
      <c r="I403" s="5"/>
      <c r="J403" s="6"/>
    </row>
    <row r="404" spans="1:14">
      <c r="A404" s="9" t="s">
        <v>53</v>
      </c>
      <c r="B404" s="5">
        <f>AVERAGE(B402,E402,H402)</f>
        <v>1.967266471484874E-5</v>
      </c>
      <c r="C404" s="5"/>
      <c r="D404" s="5"/>
      <c r="E404" s="5"/>
      <c r="F404" s="5"/>
      <c r="G404" s="5"/>
      <c r="H404" s="5"/>
      <c r="I404" s="5"/>
      <c r="J404" s="6"/>
    </row>
    <row r="405" spans="1:14" ht="15.75" thickBot="1">
      <c r="A405" s="10" t="s">
        <v>54</v>
      </c>
      <c r="B405" s="7">
        <f>_xlfn.STDEV.P(B402,E402,H402)</f>
        <v>2.8197927713989595E-6</v>
      </c>
      <c r="C405" s="7"/>
      <c r="D405" s="7"/>
      <c r="E405" s="7"/>
      <c r="F405" s="7"/>
      <c r="G405" s="7"/>
      <c r="H405" s="7"/>
      <c r="I405" s="7"/>
      <c r="J405" s="8"/>
    </row>
    <row r="406" spans="1:14" ht="15.75" thickBot="1"/>
    <row r="407" spans="1:14">
      <c r="A407" s="25" t="s">
        <v>28</v>
      </c>
      <c r="B407" s="12" t="s">
        <v>1</v>
      </c>
      <c r="C407" s="12" t="s">
        <v>2</v>
      </c>
      <c r="D407" s="12" t="s">
        <v>3</v>
      </c>
      <c r="E407" s="12" t="s">
        <v>7</v>
      </c>
      <c r="F407" s="12" t="s">
        <v>8</v>
      </c>
      <c r="G407" s="12" t="s">
        <v>9</v>
      </c>
      <c r="H407" s="12"/>
      <c r="I407" s="12"/>
      <c r="J407" s="13"/>
      <c r="K407" s="80" t="s">
        <v>37</v>
      </c>
      <c r="L407" s="81"/>
      <c r="M407" s="81"/>
      <c r="N407" s="82"/>
    </row>
    <row r="408" spans="1:14">
      <c r="A408" s="9" t="s">
        <v>10</v>
      </c>
      <c r="B408" s="5">
        <v>185289.08</v>
      </c>
      <c r="C408" s="5">
        <v>311224.59000000003</v>
      </c>
      <c r="D408" s="5">
        <v>392469.88</v>
      </c>
      <c r="E408" s="5">
        <v>6477743.5</v>
      </c>
      <c r="F408" s="5">
        <v>7409269.5</v>
      </c>
      <c r="G408" s="5">
        <v>7714801.5</v>
      </c>
      <c r="H408" s="5"/>
      <c r="I408" s="5"/>
      <c r="J408" s="6"/>
      <c r="K408" s="2" t="s">
        <v>18</v>
      </c>
      <c r="L408" s="3" t="s">
        <v>19</v>
      </c>
      <c r="M408" s="3"/>
      <c r="N408" s="4" t="s">
        <v>21</v>
      </c>
    </row>
    <row r="409" spans="1:14">
      <c r="A409" s="9" t="s">
        <v>11</v>
      </c>
      <c r="B409" s="5">
        <v>20075.490000000002</v>
      </c>
      <c r="C409" s="5">
        <v>34619.94</v>
      </c>
      <c r="D409" s="5">
        <v>39385.15</v>
      </c>
      <c r="E409" s="5">
        <v>710119.75</v>
      </c>
      <c r="F409" s="5">
        <v>855976.19</v>
      </c>
      <c r="G409" s="5">
        <v>841653.25</v>
      </c>
      <c r="H409" s="5"/>
      <c r="I409" s="5"/>
      <c r="J409" s="6"/>
      <c r="K409" s="2" t="s">
        <v>28</v>
      </c>
      <c r="L409" s="5">
        <v>3.5477689570216265E-6</v>
      </c>
      <c r="N409" s="6">
        <v>8.8694223925540655E-5</v>
      </c>
    </row>
    <row r="410" spans="1:14">
      <c r="A410" s="9" t="s">
        <v>12</v>
      </c>
      <c r="B410" s="5">
        <v>2121.6</v>
      </c>
      <c r="C410" s="5">
        <v>0</v>
      </c>
      <c r="D410" s="5">
        <v>3485.33</v>
      </c>
      <c r="E410" s="5">
        <v>0</v>
      </c>
      <c r="F410" s="5">
        <v>0</v>
      </c>
      <c r="G410" s="5">
        <v>0</v>
      </c>
      <c r="H410" s="5"/>
      <c r="I410" s="5"/>
      <c r="J410" s="6"/>
    </row>
    <row r="411" spans="1:14">
      <c r="A411" s="9" t="s">
        <v>15</v>
      </c>
      <c r="B411" s="5">
        <v>0</v>
      </c>
      <c r="C411" s="5">
        <v>0</v>
      </c>
      <c r="D411" s="5">
        <v>0</v>
      </c>
      <c r="E411" s="5">
        <v>12068.55</v>
      </c>
      <c r="F411" s="5">
        <v>8264.8700000000008</v>
      </c>
      <c r="G411" s="5">
        <v>14414.63</v>
      </c>
      <c r="H411" s="5"/>
      <c r="I411" s="5"/>
      <c r="J411" s="6"/>
    </row>
    <row r="412" spans="1:14">
      <c r="A412" s="9" t="s">
        <v>42</v>
      </c>
      <c r="B412" s="5">
        <v>0</v>
      </c>
      <c r="C412" s="5">
        <v>2515.5700000000002</v>
      </c>
      <c r="D412" s="5">
        <v>1756.37</v>
      </c>
      <c r="E412" s="5">
        <v>2018.07</v>
      </c>
      <c r="F412" s="5">
        <v>0</v>
      </c>
      <c r="G412" s="5">
        <v>1626.58</v>
      </c>
      <c r="H412" s="5"/>
      <c r="I412" s="5"/>
      <c r="J412" s="6"/>
    </row>
    <row r="413" spans="1:14">
      <c r="A413" s="9" t="s">
        <v>43</v>
      </c>
      <c r="B413" s="5">
        <v>41872.76</v>
      </c>
      <c r="C413" s="5">
        <v>62091.76</v>
      </c>
      <c r="D413" s="5">
        <v>64784.41</v>
      </c>
      <c r="E413" s="5">
        <v>65230.400000000001</v>
      </c>
      <c r="F413" s="5">
        <v>82018.78</v>
      </c>
      <c r="G413" s="5">
        <v>78620.289999999994</v>
      </c>
      <c r="H413" s="5"/>
      <c r="I413" s="5"/>
      <c r="J413" s="6"/>
    </row>
    <row r="414" spans="1:14">
      <c r="A414" s="9" t="s">
        <v>44</v>
      </c>
      <c r="B414" s="5">
        <v>506153.28</v>
      </c>
      <c r="C414" s="5">
        <v>648714.06000000006</v>
      </c>
      <c r="D414" s="5">
        <v>742166</v>
      </c>
      <c r="E414" s="5">
        <v>773026.31</v>
      </c>
      <c r="F414" s="5">
        <v>948673.94</v>
      </c>
      <c r="G414" s="5">
        <v>807988.31</v>
      </c>
      <c r="H414" s="5"/>
      <c r="I414" s="5"/>
      <c r="J414" s="6"/>
    </row>
    <row r="415" spans="1:14">
      <c r="A415" s="9"/>
      <c r="B415" s="5"/>
      <c r="C415" s="5"/>
      <c r="D415" s="5"/>
      <c r="E415" s="5"/>
      <c r="F415" s="5"/>
      <c r="G415" s="5"/>
      <c r="H415" s="5"/>
      <c r="I415" s="5"/>
      <c r="J415" s="6"/>
    </row>
    <row r="416" spans="1:14">
      <c r="A416" s="9" t="s">
        <v>16</v>
      </c>
      <c r="B416" s="5">
        <f>SUM(B408:B409)/SUM(B408:B414)</f>
        <v>0.27182164269721065</v>
      </c>
      <c r="C416" s="5">
        <f t="shared" ref="C416:G416" si="108">SUM(C408:C409)/SUM(C408:C414)</f>
        <v>0.3265253568581587</v>
      </c>
      <c r="D416" s="5">
        <f t="shared" si="108"/>
        <v>0.34713719128038828</v>
      </c>
      <c r="E416" s="5">
        <f t="shared" si="108"/>
        <v>0.89398987183734768</v>
      </c>
      <c r="F416" s="5">
        <f t="shared" si="108"/>
        <v>0.88833459902651657</v>
      </c>
      <c r="G416" s="5">
        <f t="shared" si="108"/>
        <v>0.90457343987748451</v>
      </c>
      <c r="H416" s="5"/>
      <c r="I416" s="5"/>
      <c r="J416" s="6"/>
    </row>
    <row r="417" spans="1:14">
      <c r="A417" s="9" t="s">
        <v>17</v>
      </c>
      <c r="B417" s="5">
        <f>SUM(B410:B414)/SUM(B408:B409)</f>
        <v>2.6788829251316333</v>
      </c>
      <c r="C417" s="5">
        <f t="shared" ref="C417:G417" si="109">SUM(C410:C414)/SUM(C408:C409)</f>
        <v>2.0625492905728477</v>
      </c>
      <c r="D417" s="5">
        <f t="shared" si="109"/>
        <v>1.8807054534018046</v>
      </c>
      <c r="E417" s="5">
        <f t="shared" si="109"/>
        <v>0.11858090511112605</v>
      </c>
      <c r="F417" s="5">
        <f t="shared" si="109"/>
        <v>0.12570196083306026</v>
      </c>
      <c r="G417" s="5">
        <f t="shared" si="109"/>
        <v>0.10549343581814653</v>
      </c>
      <c r="H417" s="5"/>
      <c r="I417" s="5"/>
      <c r="J417" s="6"/>
    </row>
    <row r="418" spans="1:14">
      <c r="A418" s="9" t="s">
        <v>38</v>
      </c>
      <c r="B418" s="5">
        <f>B417*$L$409</f>
        <v>9.5040576812772986E-6</v>
      </c>
      <c r="C418" s="5">
        <f>C417*$L$409</f>
        <v>7.3174483454213277E-6</v>
      </c>
      <c r="D418" s="5">
        <f>D417*$L$409</f>
        <v>6.6723084248802058E-6</v>
      </c>
      <c r="E418" s="5">
        <f>E417*$N$409</f>
        <v>1.0517441351219502E-5</v>
      </c>
      <c r="F418" s="5">
        <f>F417*$N$409</f>
        <v>1.1149037862006988E-5</v>
      </c>
      <c r="G418" s="5">
        <f>G417*$N$409</f>
        <v>9.3566584191293391E-6</v>
      </c>
      <c r="H418" s="5"/>
      <c r="I418" s="5"/>
      <c r="J418" s="6"/>
    </row>
    <row r="419" spans="1:14">
      <c r="A419" s="9" t="s">
        <v>51</v>
      </c>
      <c r="B419" s="5">
        <f>AVERAGE(B418:D418)</f>
        <v>7.8312714838596104E-6</v>
      </c>
      <c r="C419" s="5"/>
      <c r="D419" s="5"/>
      <c r="E419" s="5">
        <f>AVERAGE(E418:G418)</f>
        <v>1.0341045877451943E-5</v>
      </c>
      <c r="F419" s="5"/>
      <c r="G419" s="5"/>
      <c r="H419" s="5"/>
      <c r="I419" s="5"/>
      <c r="J419" s="6"/>
    </row>
    <row r="420" spans="1:14">
      <c r="A420" s="9" t="s">
        <v>52</v>
      </c>
      <c r="B420" s="5">
        <f>_xlfn.STDEV.P(B418:D418)</f>
        <v>1.2118062622857108E-6</v>
      </c>
      <c r="C420" s="5"/>
      <c r="D420" s="5"/>
      <c r="E420" s="5">
        <f>_xlfn.STDEV.P(E418:G418)</f>
        <v>7.4229039204651741E-7</v>
      </c>
      <c r="F420" s="5"/>
      <c r="G420" s="5"/>
      <c r="H420" s="5"/>
      <c r="I420" s="5"/>
      <c r="J420" s="6"/>
    </row>
    <row r="421" spans="1:14">
      <c r="A421" s="9" t="s">
        <v>53</v>
      </c>
      <c r="B421" s="5">
        <f>AVERAGE(B419,E419)</f>
        <v>9.0861586806557775E-6</v>
      </c>
      <c r="C421" s="5"/>
      <c r="D421" s="5"/>
      <c r="E421" s="5"/>
      <c r="F421" s="5"/>
      <c r="G421" s="5"/>
      <c r="H421" s="5"/>
      <c r="I421" s="5"/>
      <c r="J421" s="6"/>
    </row>
    <row r="422" spans="1:14" ht="15.75" thickBot="1">
      <c r="A422" s="10" t="s">
        <v>54</v>
      </c>
      <c r="B422" s="7">
        <f>_xlfn.STDEV.P(B419,E419)</f>
        <v>1.2548871967961663E-6</v>
      </c>
      <c r="C422" s="7"/>
      <c r="D422" s="7"/>
      <c r="E422" s="7"/>
      <c r="F422" s="7"/>
      <c r="G422" s="7"/>
      <c r="H422" s="7"/>
      <c r="I422" s="7"/>
      <c r="J422" s="8"/>
    </row>
    <row r="423" spans="1:14" ht="15.75" thickBo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4" ht="15.75" thickBot="1">
      <c r="A424" s="17" t="s">
        <v>28</v>
      </c>
      <c r="B424" s="83" t="s">
        <v>70</v>
      </c>
      <c r="C424" s="83"/>
      <c r="D424" s="83"/>
      <c r="E424" s="83"/>
      <c r="F424" s="83"/>
      <c r="G424" s="83"/>
      <c r="H424" s="83"/>
      <c r="I424" s="83"/>
      <c r="J424" s="84"/>
    </row>
    <row r="425" spans="1:14" ht="15.75" thickBot="1">
      <c r="A425" s="16"/>
      <c r="B425" s="18"/>
      <c r="C425" s="18"/>
      <c r="D425" s="18"/>
      <c r="E425" s="18"/>
      <c r="F425" s="18"/>
      <c r="G425" s="18"/>
      <c r="H425" s="18"/>
      <c r="I425" s="18"/>
      <c r="J425" s="18"/>
    </row>
    <row r="426" spans="1:14" ht="15.75" thickBot="1">
      <c r="A426" s="27" t="s">
        <v>28</v>
      </c>
      <c r="B426" s="83" t="s">
        <v>70</v>
      </c>
      <c r="C426" s="83"/>
      <c r="D426" s="83"/>
      <c r="E426" s="83"/>
      <c r="F426" s="83"/>
      <c r="G426" s="83"/>
      <c r="H426" s="83"/>
      <c r="I426" s="83"/>
      <c r="J426" s="84"/>
    </row>
    <row r="427" spans="1:14" ht="15.75" thickBot="1"/>
    <row r="428" spans="1:14">
      <c r="A428" s="14" t="s">
        <v>29</v>
      </c>
      <c r="B428" s="12" t="s">
        <v>1</v>
      </c>
      <c r="C428" s="12" t="s">
        <v>2</v>
      </c>
      <c r="D428" s="12" t="s">
        <v>3</v>
      </c>
      <c r="E428" s="12" t="s">
        <v>4</v>
      </c>
      <c r="F428" s="12" t="s">
        <v>5</v>
      </c>
      <c r="G428" s="12" t="s">
        <v>6</v>
      </c>
      <c r="H428" s="12" t="s">
        <v>7</v>
      </c>
      <c r="I428" s="12" t="s">
        <v>8</v>
      </c>
      <c r="J428" s="13" t="s">
        <v>9</v>
      </c>
      <c r="K428" s="80" t="s">
        <v>39</v>
      </c>
      <c r="L428" s="81"/>
      <c r="M428" s="81"/>
      <c r="N428" s="82"/>
    </row>
    <row r="429" spans="1:14">
      <c r="A429" s="9" t="s">
        <v>10</v>
      </c>
      <c r="B429" s="5">
        <v>343156.34</v>
      </c>
      <c r="C429" s="5">
        <v>590602.31000000006</v>
      </c>
      <c r="D429" s="5">
        <v>630860.68999999994</v>
      </c>
      <c r="E429" s="5">
        <v>1502059</v>
      </c>
      <c r="F429" s="5">
        <v>1864276.12</v>
      </c>
      <c r="G429" s="5">
        <v>1914357.88</v>
      </c>
      <c r="H429" s="5">
        <v>9319925</v>
      </c>
      <c r="I429" s="5">
        <v>9906521</v>
      </c>
      <c r="J429" s="6">
        <v>11158827</v>
      </c>
      <c r="K429" s="2" t="s">
        <v>18</v>
      </c>
      <c r="L429" s="3" t="s">
        <v>19</v>
      </c>
      <c r="M429" s="3" t="s">
        <v>20</v>
      </c>
      <c r="N429" s="4" t="s">
        <v>21</v>
      </c>
    </row>
    <row r="430" spans="1:14">
      <c r="A430" s="9" t="s">
        <v>11</v>
      </c>
      <c r="B430" s="5">
        <v>58546.89</v>
      </c>
      <c r="C430" s="5">
        <v>102623.4</v>
      </c>
      <c r="D430" s="5">
        <v>101099.09</v>
      </c>
      <c r="E430" s="5">
        <v>263052.78000000003</v>
      </c>
      <c r="F430" s="5">
        <v>301774.62</v>
      </c>
      <c r="G430" s="5">
        <v>333945.71999999997</v>
      </c>
      <c r="H430" s="5">
        <v>1556760.62</v>
      </c>
      <c r="I430" s="5">
        <v>1634817.88</v>
      </c>
      <c r="J430" s="6">
        <v>1850175</v>
      </c>
      <c r="K430" s="2" t="s">
        <v>29</v>
      </c>
      <c r="L430" s="5">
        <v>1.0508849557522125E-5</v>
      </c>
      <c r="M430" s="5">
        <v>5.2544247787610617E-5</v>
      </c>
      <c r="N430" s="6">
        <v>2.6272123893805309E-4</v>
      </c>
    </row>
    <row r="431" spans="1:14">
      <c r="A431" s="9" t="s">
        <v>12</v>
      </c>
      <c r="B431" s="5">
        <v>9710.27</v>
      </c>
      <c r="C431" s="5">
        <v>14424.48</v>
      </c>
      <c r="D431" s="5">
        <v>14669.05</v>
      </c>
      <c r="E431" s="5">
        <v>33529.43</v>
      </c>
      <c r="F431" s="5">
        <v>45712.6</v>
      </c>
      <c r="G431" s="5">
        <v>43968.82</v>
      </c>
      <c r="H431" s="5">
        <v>208507.92</v>
      </c>
      <c r="I431" s="5">
        <v>240360.36</v>
      </c>
      <c r="J431" s="6">
        <v>248893.67</v>
      </c>
    </row>
    <row r="432" spans="1:14">
      <c r="A432" s="9" t="s">
        <v>13</v>
      </c>
      <c r="B432" s="5">
        <v>0</v>
      </c>
      <c r="C432" s="5">
        <v>0</v>
      </c>
      <c r="D432" s="5">
        <v>0</v>
      </c>
      <c r="E432" s="5">
        <v>2061.61</v>
      </c>
      <c r="F432" s="5">
        <v>0</v>
      </c>
      <c r="G432" s="5">
        <v>2621.42</v>
      </c>
      <c r="H432" s="5">
        <v>24179.55</v>
      </c>
      <c r="I432" s="5">
        <v>24361.65</v>
      </c>
      <c r="J432" s="6">
        <v>26094.959999999999</v>
      </c>
    </row>
    <row r="433" spans="1:14">
      <c r="A433" s="9" t="s">
        <v>45</v>
      </c>
      <c r="B433" s="5">
        <v>0</v>
      </c>
      <c r="C433" s="5">
        <v>0</v>
      </c>
      <c r="D433" s="5">
        <v>0</v>
      </c>
      <c r="E433" s="5">
        <v>1904.18</v>
      </c>
      <c r="F433" s="5">
        <v>0</v>
      </c>
      <c r="G433" s="5">
        <v>0</v>
      </c>
      <c r="H433" s="5">
        <v>0</v>
      </c>
      <c r="I433" s="5">
        <v>0</v>
      </c>
      <c r="J433" s="6">
        <v>0</v>
      </c>
    </row>
    <row r="434" spans="1:14">
      <c r="A434" s="9" t="s">
        <v>47</v>
      </c>
      <c r="B434" s="5">
        <v>16173.96</v>
      </c>
      <c r="C434" s="5">
        <v>21392.76</v>
      </c>
      <c r="D434" s="5">
        <v>22945.9</v>
      </c>
      <c r="E434" s="5">
        <v>21065.23</v>
      </c>
      <c r="F434" s="5">
        <v>25211.73</v>
      </c>
      <c r="G434" s="5">
        <v>30602.95</v>
      </c>
      <c r="H434" s="5">
        <v>25653.82</v>
      </c>
      <c r="I434" s="5">
        <v>33888</v>
      </c>
      <c r="J434" s="6">
        <v>39365.94</v>
      </c>
    </row>
    <row r="435" spans="1:14">
      <c r="A435" s="9" t="s">
        <v>48</v>
      </c>
      <c r="B435" s="5">
        <v>291630.25</v>
      </c>
      <c r="C435" s="5">
        <v>336825.25</v>
      </c>
      <c r="D435" s="5">
        <v>353337.5</v>
      </c>
      <c r="E435" s="5">
        <v>295608.71999999997</v>
      </c>
      <c r="F435" s="5">
        <v>383899.97</v>
      </c>
      <c r="G435" s="5">
        <v>398210.91</v>
      </c>
      <c r="H435" s="5">
        <v>345687.34</v>
      </c>
      <c r="I435" s="5">
        <v>405750.62</v>
      </c>
      <c r="J435" s="6">
        <v>440307.03</v>
      </c>
    </row>
    <row r="436" spans="1:14">
      <c r="A436" s="9" t="s">
        <v>56</v>
      </c>
      <c r="B436" s="5">
        <v>2207460</v>
      </c>
      <c r="C436" s="5">
        <v>2509150.25</v>
      </c>
      <c r="D436" s="5">
        <v>2682572.25</v>
      </c>
      <c r="E436" s="5">
        <v>2230815.75</v>
      </c>
      <c r="F436" s="5">
        <v>2888040</v>
      </c>
      <c r="G436" s="5">
        <v>3051474</v>
      </c>
      <c r="H436" s="5">
        <v>2715934</v>
      </c>
      <c r="I436" s="5">
        <v>3059932</v>
      </c>
      <c r="J436" s="6">
        <v>3469590.75</v>
      </c>
    </row>
    <row r="437" spans="1:14">
      <c r="A437" s="9"/>
      <c r="B437" s="5"/>
      <c r="C437" s="5"/>
      <c r="D437" s="5"/>
      <c r="E437" s="5"/>
      <c r="F437" s="5"/>
      <c r="G437" s="5"/>
      <c r="H437" s="5"/>
      <c r="I437" s="5"/>
      <c r="J437" s="6"/>
    </row>
    <row r="438" spans="1:14">
      <c r="A438" s="9" t="s">
        <v>16</v>
      </c>
      <c r="B438" s="5">
        <f>SUM(B429:B430)/SUM(B429:B436)</f>
        <v>0.13725571101575104</v>
      </c>
      <c r="C438" s="5">
        <f t="shared" ref="C438:J438" si="110">SUM(C429:C430)/SUM(C429:C436)</f>
        <v>0.19390828878099917</v>
      </c>
      <c r="D438" s="5">
        <f t="shared" si="110"/>
        <v>0.19234338856113267</v>
      </c>
      <c r="E438" s="5">
        <f t="shared" si="110"/>
        <v>0.40576380290580666</v>
      </c>
      <c r="F438" s="5">
        <f t="shared" si="110"/>
        <v>0.39319007903959258</v>
      </c>
      <c r="G438" s="5">
        <f t="shared" si="110"/>
        <v>0.38930439192934829</v>
      </c>
      <c r="H438" s="5">
        <f t="shared" si="110"/>
        <v>0.76614461586029647</v>
      </c>
      <c r="I438" s="5">
        <f t="shared" si="110"/>
        <v>0.75405832633951875</v>
      </c>
      <c r="J438" s="6">
        <f t="shared" si="110"/>
        <v>0.7548778504508058</v>
      </c>
    </row>
    <row r="439" spans="1:14">
      <c r="A439" s="9" t="s">
        <v>17</v>
      </c>
      <c r="B439" s="5">
        <f>SUM(B431:B436)/SUM(B429:B430)</f>
        <v>6.2856713400088911</v>
      </c>
      <c r="C439" s="5">
        <f t="shared" ref="C439:J439" si="111">SUM(C431:C436)/SUM(C429:C430)</f>
        <v>4.1570771228320424</v>
      </c>
      <c r="D439" s="5">
        <f t="shared" si="111"/>
        <v>4.1990349524396002</v>
      </c>
      <c r="E439" s="5">
        <f t="shared" si="111"/>
        <v>1.4644879430808624</v>
      </c>
      <c r="F439" s="5">
        <f t="shared" si="111"/>
        <v>1.5432991657434578</v>
      </c>
      <c r="G439" s="5">
        <f t="shared" si="111"/>
        <v>1.5686840958667685</v>
      </c>
      <c r="H439" s="5">
        <f t="shared" si="111"/>
        <v>0.3052366084660264</v>
      </c>
      <c r="I439" s="5">
        <f t="shared" si="111"/>
        <v>0.32615736086938296</v>
      </c>
      <c r="J439" s="6">
        <f t="shared" si="111"/>
        <v>0.32471763398914072</v>
      </c>
    </row>
    <row r="440" spans="1:14">
      <c r="A440" s="9" t="s">
        <v>38</v>
      </c>
      <c r="B440" s="5">
        <f>B439*$L$430</f>
        <v>6.6055174480181934E-5</v>
      </c>
      <c r="C440" s="5">
        <f t="shared" ref="C440:D440" si="112">C439*$L$430</f>
        <v>4.368609808285886E-5</v>
      </c>
      <c r="D440" s="5">
        <f t="shared" si="112"/>
        <v>4.4127026601964832E-5</v>
      </c>
      <c r="E440" s="5">
        <f>E439*$M$430</f>
        <v>7.695041736320903E-5</v>
      </c>
      <c r="F440" s="5">
        <f t="shared" ref="F440:G440" si="113">F439*$M$430</f>
        <v>8.1091493775236993E-5</v>
      </c>
      <c r="G440" s="5">
        <f t="shared" si="113"/>
        <v>8.2425325833707412E-5</v>
      </c>
      <c r="H440" s="5">
        <f>H439*$N$430</f>
        <v>8.0192139945443885E-5</v>
      </c>
      <c r="I440" s="5">
        <f t="shared" ref="I440:J440" si="114">I439*$N$430</f>
        <v>8.5688465936369968E-5</v>
      </c>
      <c r="J440" s="6">
        <f t="shared" si="114"/>
        <v>8.5310219106660314E-5</v>
      </c>
    </row>
    <row r="441" spans="1:14">
      <c r="A441" s="9" t="s">
        <v>51</v>
      </c>
      <c r="B441" s="5">
        <f>AVERAGE(B440:D440)</f>
        <v>5.1289433055001875E-5</v>
      </c>
      <c r="C441" s="5"/>
      <c r="D441" s="5"/>
      <c r="E441" s="5">
        <f>AVERAGE(E440:G440)</f>
        <v>8.0155745657384478E-5</v>
      </c>
      <c r="F441" s="5"/>
      <c r="G441" s="5"/>
      <c r="H441" s="5">
        <f>AVERAGE(H440:J440)</f>
        <v>8.373027499615806E-5</v>
      </c>
      <c r="I441" s="5"/>
      <c r="J441" s="6"/>
    </row>
    <row r="442" spans="1:14">
      <c r="A442" s="9" t="s">
        <v>52</v>
      </c>
      <c r="B442" s="5">
        <f>_xlfn.STDEV.P(B440:D440)</f>
        <v>1.0442507501112911E-5</v>
      </c>
      <c r="C442" s="5"/>
      <c r="D442" s="5"/>
      <c r="E442" s="5">
        <f>_xlfn.STDEV.P(E440:G440)</f>
        <v>2.331004661103895E-6</v>
      </c>
      <c r="F442" s="5"/>
      <c r="G442" s="5"/>
      <c r="H442" s="5">
        <f>_xlfn.STDEV.P(H440:J440)</f>
        <v>2.5066002731276579E-6</v>
      </c>
      <c r="I442" s="5"/>
      <c r="J442" s="6"/>
    </row>
    <row r="443" spans="1:14">
      <c r="A443" s="9" t="s">
        <v>53</v>
      </c>
      <c r="B443" s="5">
        <f>AVERAGE(B441,E441,H441)</f>
        <v>7.1725151236181478E-5</v>
      </c>
      <c r="C443" s="5"/>
      <c r="D443" s="5"/>
      <c r="E443" s="5"/>
      <c r="F443" s="5"/>
      <c r="G443" s="5"/>
      <c r="H443" s="5"/>
      <c r="I443" s="5"/>
      <c r="J443" s="6"/>
    </row>
    <row r="444" spans="1:14" ht="15.75" thickBot="1">
      <c r="A444" s="10" t="s">
        <v>54</v>
      </c>
      <c r="B444" s="7">
        <f>_xlfn.STDEV.P(B441,E441,H441)</f>
        <v>1.4523733408548553E-5</v>
      </c>
      <c r="C444" s="7"/>
      <c r="D444" s="7"/>
      <c r="E444" s="7"/>
      <c r="F444" s="7"/>
      <c r="G444" s="7"/>
      <c r="H444" s="7"/>
      <c r="I444" s="7"/>
      <c r="J444" s="8"/>
    </row>
    <row r="445" spans="1:14" ht="15.75" thickBot="1"/>
    <row r="446" spans="1:14">
      <c r="A446" s="25" t="s">
        <v>29</v>
      </c>
      <c r="B446" s="12" t="s">
        <v>1</v>
      </c>
      <c r="C446" s="12" t="s">
        <v>2</v>
      </c>
      <c r="D446" s="12" t="s">
        <v>3</v>
      </c>
      <c r="E446" s="12" t="s">
        <v>7</v>
      </c>
      <c r="F446" s="12" t="s">
        <v>8</v>
      </c>
      <c r="G446" s="12" t="s">
        <v>9</v>
      </c>
      <c r="H446" s="12"/>
      <c r="I446" s="12"/>
      <c r="J446" s="13"/>
      <c r="K446" s="80" t="s">
        <v>37</v>
      </c>
      <c r="L446" s="81"/>
      <c r="M446" s="81"/>
      <c r="N446" s="82"/>
    </row>
    <row r="447" spans="1:14">
      <c r="A447" s="9" t="s">
        <v>10</v>
      </c>
      <c r="B447" s="5">
        <v>304286.81</v>
      </c>
      <c r="C447" s="5">
        <v>679938.88</v>
      </c>
      <c r="D447" s="5">
        <v>798156.75</v>
      </c>
      <c r="E447" s="5">
        <v>9113532</v>
      </c>
      <c r="F447" s="5">
        <v>9887388</v>
      </c>
      <c r="G447" s="5">
        <v>11433685</v>
      </c>
      <c r="H447" s="5"/>
      <c r="I447" s="5"/>
      <c r="J447" s="6"/>
      <c r="K447" s="2" t="s">
        <v>18</v>
      </c>
      <c r="L447" s="3" t="s">
        <v>19</v>
      </c>
      <c r="M447" s="3"/>
      <c r="N447" s="4" t="s">
        <v>21</v>
      </c>
    </row>
    <row r="448" spans="1:14">
      <c r="A448" s="9" t="s">
        <v>11</v>
      </c>
      <c r="B448" s="5">
        <v>51779.22</v>
      </c>
      <c r="C448" s="5">
        <v>107032.5</v>
      </c>
      <c r="D448" s="5">
        <v>121332.59</v>
      </c>
      <c r="E448" s="5">
        <v>1495951.38</v>
      </c>
      <c r="F448" s="5">
        <v>1648725.88</v>
      </c>
      <c r="G448" s="5">
        <v>1907342</v>
      </c>
      <c r="H448" s="5"/>
      <c r="I448" s="5"/>
      <c r="J448" s="6"/>
      <c r="K448" s="2" t="s">
        <v>29</v>
      </c>
      <c r="L448" s="5">
        <v>1.0508849557522125E-5</v>
      </c>
      <c r="N448" s="6">
        <v>2.6272123893805309E-4</v>
      </c>
    </row>
    <row r="449" spans="1:10">
      <c r="A449" s="9" t="s">
        <v>12</v>
      </c>
      <c r="B449" s="5">
        <v>3659.62</v>
      </c>
      <c r="C449" s="5">
        <v>13169.3</v>
      </c>
      <c r="D449" s="5">
        <v>21558.62</v>
      </c>
      <c r="E449" s="5">
        <v>218795.12</v>
      </c>
      <c r="F449" s="5">
        <v>244737.44</v>
      </c>
      <c r="G449" s="5">
        <v>263723</v>
      </c>
      <c r="H449" s="5"/>
      <c r="I449" s="5"/>
      <c r="J449" s="6"/>
    </row>
    <row r="450" spans="1:10">
      <c r="A450" s="9" t="s">
        <v>13</v>
      </c>
      <c r="B450" s="5">
        <v>0</v>
      </c>
      <c r="C450" s="5">
        <v>0</v>
      </c>
      <c r="D450" s="5">
        <v>0</v>
      </c>
      <c r="E450" s="5">
        <v>15728.52</v>
      </c>
      <c r="F450" s="5">
        <v>18982.05</v>
      </c>
      <c r="G450" s="5">
        <v>32223.200000000001</v>
      </c>
      <c r="H450" s="5"/>
      <c r="I450" s="5"/>
      <c r="J450" s="6"/>
    </row>
    <row r="451" spans="1:10">
      <c r="A451" s="9" t="s">
        <v>15</v>
      </c>
      <c r="B451" s="5">
        <v>2245.31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/>
      <c r="I451" s="5"/>
      <c r="J451" s="6"/>
    </row>
    <row r="452" spans="1:10">
      <c r="A452" s="9" t="s">
        <v>44</v>
      </c>
      <c r="B452" s="5">
        <v>0</v>
      </c>
      <c r="C452" s="5">
        <v>0</v>
      </c>
      <c r="D452" s="5">
        <v>0</v>
      </c>
      <c r="E452" s="5">
        <v>2672.29</v>
      </c>
      <c r="F452" s="5">
        <v>2675.81</v>
      </c>
      <c r="G452" s="5">
        <v>1985.01</v>
      </c>
      <c r="H452" s="5"/>
      <c r="I452" s="5"/>
      <c r="J452" s="6"/>
    </row>
    <row r="453" spans="1:10">
      <c r="A453" s="9" t="s">
        <v>47</v>
      </c>
      <c r="B453" s="5">
        <v>16122.89</v>
      </c>
      <c r="C453" s="5">
        <v>29899.1</v>
      </c>
      <c r="D453" s="5">
        <v>30938.14</v>
      </c>
      <c r="E453" s="5">
        <v>25826.26</v>
      </c>
      <c r="F453" s="5">
        <v>27665.83</v>
      </c>
      <c r="G453" s="5">
        <v>30659.42</v>
      </c>
      <c r="H453" s="5"/>
      <c r="I453" s="5"/>
      <c r="J453" s="6"/>
    </row>
    <row r="454" spans="1:10">
      <c r="A454" s="9" t="s">
        <v>48</v>
      </c>
      <c r="B454" s="5">
        <v>287915.03000000003</v>
      </c>
      <c r="C454" s="5">
        <v>395251.91</v>
      </c>
      <c r="D454" s="5">
        <v>367363.12</v>
      </c>
      <c r="E454" s="5">
        <v>390510.5</v>
      </c>
      <c r="F454" s="5">
        <v>447239.66</v>
      </c>
      <c r="G454" s="5">
        <v>418582.59</v>
      </c>
      <c r="H454" s="5"/>
      <c r="I454" s="5"/>
      <c r="J454" s="6"/>
    </row>
    <row r="455" spans="1:10">
      <c r="A455" s="9" t="s">
        <v>56</v>
      </c>
      <c r="B455" s="5">
        <v>2229240.25</v>
      </c>
      <c r="C455" s="5">
        <v>2904592.75</v>
      </c>
      <c r="D455" s="5">
        <v>2960300</v>
      </c>
      <c r="E455" s="5">
        <v>3000684.75</v>
      </c>
      <c r="F455" s="5">
        <v>3433483.25</v>
      </c>
      <c r="G455" s="5">
        <v>2951016</v>
      </c>
      <c r="H455" s="5"/>
      <c r="I455" s="5"/>
      <c r="J455" s="6"/>
    </row>
    <row r="456" spans="1:10">
      <c r="A456" s="9"/>
      <c r="B456" s="5"/>
      <c r="C456" s="5"/>
      <c r="D456" s="5"/>
      <c r="E456" s="5"/>
      <c r="F456" s="5"/>
      <c r="G456" s="5"/>
      <c r="H456" s="5"/>
      <c r="I456" s="5"/>
      <c r="J456" s="6"/>
    </row>
    <row r="457" spans="1:10">
      <c r="A457" s="9" t="s">
        <v>16</v>
      </c>
      <c r="B457" s="5">
        <f>SUM(B447:B448)/SUM(B447:B455)</f>
        <v>0.12298286399968629</v>
      </c>
      <c r="C457" s="5">
        <f t="shared" ref="C457:G457" si="115">SUM(C447:C448)/SUM(C447:C455)</f>
        <v>0.19055530280164451</v>
      </c>
      <c r="D457" s="5">
        <f t="shared" si="115"/>
        <v>0.21385217559678044</v>
      </c>
      <c r="E457" s="5">
        <f t="shared" si="115"/>
        <v>0.74381000512320061</v>
      </c>
      <c r="F457" s="5">
        <f t="shared" si="115"/>
        <v>0.73427463781777269</v>
      </c>
      <c r="G457" s="5">
        <f t="shared" si="115"/>
        <v>0.78296013312753188</v>
      </c>
      <c r="H457" s="5"/>
      <c r="I457" s="5"/>
      <c r="J457" s="6"/>
    </row>
    <row r="458" spans="1:10">
      <c r="A458" s="9" t="s">
        <v>17</v>
      </c>
      <c r="B458" s="5">
        <f>SUM(B449:B455)/SUM(B447:B448)</f>
        <v>7.1312141177859623</v>
      </c>
      <c r="C458" s="5">
        <f t="shared" ref="C458:G458" si="116">SUM(C449:C455)/SUM(C447:C448)</f>
        <v>4.2478203718158083</v>
      </c>
      <c r="D458" s="5">
        <f t="shared" si="116"/>
        <v>3.676127316495045</v>
      </c>
      <c r="E458" s="5">
        <f t="shared" si="116"/>
        <v>0.34442934769930339</v>
      </c>
      <c r="F458" s="5">
        <f t="shared" si="116"/>
        <v>0.36188824793397412</v>
      </c>
      <c r="G458" s="5">
        <f t="shared" si="116"/>
        <v>0.27720423772472685</v>
      </c>
      <c r="H458" s="5"/>
      <c r="I458" s="5"/>
      <c r="J458" s="6"/>
    </row>
    <row r="459" spans="1:10">
      <c r="A459" s="9" t="s">
        <v>38</v>
      </c>
      <c r="B459" s="5">
        <f>B458*$L$448</f>
        <v>7.4940856326290541E-5</v>
      </c>
      <c r="C459" s="5">
        <f t="shared" ref="C459:D459" si="117">C458*$L$448</f>
        <v>4.4639705234790024E-5</v>
      </c>
      <c r="D459" s="5">
        <f t="shared" si="117"/>
        <v>3.8631868923343952E-5</v>
      </c>
      <c r="E459" s="5">
        <f>E458*$N$448</f>
        <v>9.0488904954186448E-5</v>
      </c>
      <c r="F459" s="5">
        <f t="shared" ref="F459" si="118">F458*$N$448</f>
        <v>9.5075728854335007E-5</v>
      </c>
      <c r="G459" s="5">
        <f>G458*$N$448</f>
        <v>7.2827440773918841E-5</v>
      </c>
      <c r="H459" s="5"/>
      <c r="I459" s="5"/>
      <c r="J459" s="6"/>
    </row>
    <row r="460" spans="1:10">
      <c r="A460" s="9" t="s">
        <v>51</v>
      </c>
      <c r="B460" s="5">
        <f>AVERAGE(B459:D459)</f>
        <v>5.2737476828141499E-5</v>
      </c>
      <c r="C460" s="5"/>
      <c r="D460" s="5"/>
      <c r="E460" s="5">
        <f>AVERAGE(E459:G459)</f>
        <v>8.6130691527480099E-5</v>
      </c>
      <c r="F460" s="5"/>
      <c r="G460" s="5"/>
      <c r="H460" s="5"/>
      <c r="I460" s="5"/>
      <c r="J460" s="6"/>
    </row>
    <row r="461" spans="1:10">
      <c r="A461" s="9" t="s">
        <v>52</v>
      </c>
      <c r="B461" s="5">
        <f>_xlfn.STDEV.P(B459:D459)</f>
        <v>1.5890585685459619E-5</v>
      </c>
      <c r="C461" s="5"/>
      <c r="D461" s="5"/>
      <c r="E461" s="5">
        <f>_xlfn.STDEV.P(E459:G459)</f>
        <v>9.591388458120114E-6</v>
      </c>
      <c r="F461" s="5"/>
      <c r="G461" s="5"/>
      <c r="H461" s="5"/>
      <c r="I461" s="5"/>
      <c r="J461" s="6"/>
    </row>
    <row r="462" spans="1:10">
      <c r="A462" s="9" t="s">
        <v>53</v>
      </c>
      <c r="B462" s="5">
        <f>AVERAGE(B460,E460)</f>
        <v>6.9434084177810799E-5</v>
      </c>
      <c r="C462" s="5"/>
      <c r="D462" s="5"/>
      <c r="E462" s="5"/>
      <c r="F462" s="5"/>
      <c r="G462" s="5"/>
      <c r="H462" s="5"/>
      <c r="I462" s="5"/>
      <c r="J462" s="6"/>
    </row>
    <row r="463" spans="1:10" ht="15.75" thickBot="1">
      <c r="A463" s="10" t="s">
        <v>54</v>
      </c>
      <c r="B463" s="7">
        <f>_xlfn.STDEV.P(B460,E460)</f>
        <v>1.66966073496693E-5</v>
      </c>
      <c r="C463" s="7"/>
      <c r="D463" s="7"/>
      <c r="E463" s="7"/>
      <c r="F463" s="7"/>
      <c r="G463" s="7"/>
      <c r="H463" s="7"/>
      <c r="I463" s="7"/>
      <c r="J463" s="8"/>
    </row>
    <row r="464" spans="1:10" ht="15.75" thickBo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4" ht="15.75" thickBot="1">
      <c r="A465" s="17" t="s">
        <v>29</v>
      </c>
      <c r="B465" s="83" t="s">
        <v>71</v>
      </c>
      <c r="C465" s="83"/>
      <c r="D465" s="83"/>
      <c r="E465" s="83"/>
      <c r="F465" s="83"/>
      <c r="G465" s="83"/>
      <c r="H465" s="83"/>
      <c r="I465" s="83"/>
      <c r="J465" s="84"/>
    </row>
    <row r="466" spans="1:14" ht="15.75" thickBot="1">
      <c r="A466" s="16"/>
      <c r="B466" s="18"/>
      <c r="C466" s="18"/>
      <c r="D466" s="18"/>
      <c r="E466" s="18"/>
      <c r="F466" s="18"/>
      <c r="G466" s="18"/>
      <c r="H466" s="18"/>
      <c r="I466" s="18"/>
      <c r="J466" s="18"/>
    </row>
    <row r="467" spans="1:14" ht="15.75" thickBot="1">
      <c r="A467" s="27" t="s">
        <v>29</v>
      </c>
      <c r="B467" s="83" t="s">
        <v>71</v>
      </c>
      <c r="C467" s="83"/>
      <c r="D467" s="83"/>
      <c r="E467" s="83"/>
      <c r="F467" s="83"/>
      <c r="G467" s="83"/>
      <c r="H467" s="83"/>
      <c r="I467" s="83"/>
      <c r="J467" s="84"/>
    </row>
    <row r="468" spans="1:14" ht="15.75" thickBot="1"/>
    <row r="469" spans="1:14">
      <c r="A469" s="14" t="s">
        <v>35</v>
      </c>
      <c r="B469" s="12" t="s">
        <v>1</v>
      </c>
      <c r="C469" s="12" t="s">
        <v>2</v>
      </c>
      <c r="D469" s="12" t="s">
        <v>3</v>
      </c>
      <c r="E469" s="12" t="s">
        <v>4</v>
      </c>
      <c r="F469" s="12" t="s">
        <v>5</v>
      </c>
      <c r="G469" s="12" t="s">
        <v>6</v>
      </c>
      <c r="H469" s="12" t="s">
        <v>7</v>
      </c>
      <c r="I469" s="12" t="s">
        <v>8</v>
      </c>
      <c r="J469" s="13" t="s">
        <v>9</v>
      </c>
      <c r="K469" s="80" t="s">
        <v>39</v>
      </c>
      <c r="L469" s="81"/>
      <c r="M469" s="81"/>
      <c r="N469" s="82"/>
    </row>
    <row r="470" spans="1:14">
      <c r="A470" s="9" t="s">
        <v>10</v>
      </c>
      <c r="B470" s="5">
        <v>5352590</v>
      </c>
      <c r="C470" s="5">
        <v>5640318.5</v>
      </c>
      <c r="D470" s="5">
        <v>5316858.5</v>
      </c>
      <c r="E470" s="5">
        <v>24442330</v>
      </c>
      <c r="F470" s="5">
        <v>23887240</v>
      </c>
      <c r="G470" s="5">
        <v>26873506</v>
      </c>
      <c r="H470" s="5">
        <v>99635240</v>
      </c>
      <c r="I470" s="5">
        <v>101919848</v>
      </c>
      <c r="J470" s="6">
        <v>109327560</v>
      </c>
      <c r="K470" s="2" t="s">
        <v>18</v>
      </c>
      <c r="L470" s="3" t="s">
        <v>19</v>
      </c>
      <c r="M470" s="3" t="s">
        <v>20</v>
      </c>
      <c r="N470" s="4" t="s">
        <v>21</v>
      </c>
    </row>
    <row r="471" spans="1:14">
      <c r="A471" s="9" t="s">
        <v>11</v>
      </c>
      <c r="B471" s="5">
        <v>555620.31000000006</v>
      </c>
      <c r="C471" s="5">
        <v>575575.06000000006</v>
      </c>
      <c r="D471" s="5">
        <v>559388.31000000006</v>
      </c>
      <c r="E471" s="5">
        <v>2578802.75</v>
      </c>
      <c r="F471" s="5">
        <v>2344808.25</v>
      </c>
      <c r="G471" s="5">
        <v>2838057.25</v>
      </c>
      <c r="H471" s="5">
        <v>10314993</v>
      </c>
      <c r="I471" s="5">
        <v>10434548</v>
      </c>
      <c r="J471" s="6">
        <v>11418632</v>
      </c>
      <c r="K471" s="2" t="s">
        <v>35</v>
      </c>
      <c r="L471" s="5">
        <v>4.1736227045075126E-4</v>
      </c>
      <c r="M471" s="5">
        <v>2.0868113522537562E-3</v>
      </c>
      <c r="N471" s="6">
        <v>1.0434056761268781E-2</v>
      </c>
    </row>
    <row r="472" spans="1:14">
      <c r="A472" s="9" t="s">
        <v>12</v>
      </c>
      <c r="B472" s="5">
        <v>166240.95000000001</v>
      </c>
      <c r="C472" s="5">
        <v>182107.31</v>
      </c>
      <c r="D472" s="5">
        <v>169042.52</v>
      </c>
      <c r="E472" s="5">
        <v>780256.81</v>
      </c>
      <c r="F472" s="5">
        <v>786359.31</v>
      </c>
      <c r="G472" s="5">
        <v>864259.19</v>
      </c>
      <c r="H472" s="5">
        <v>3218918</v>
      </c>
      <c r="I472" s="5">
        <v>3409456.75</v>
      </c>
      <c r="J472" s="6">
        <v>3448731.25</v>
      </c>
    </row>
    <row r="473" spans="1:14">
      <c r="A473" s="9" t="s">
        <v>13</v>
      </c>
      <c r="B473" s="5">
        <v>7999.28</v>
      </c>
      <c r="C473" s="5">
        <v>22389.99</v>
      </c>
      <c r="D473" s="5">
        <v>15226.44</v>
      </c>
      <c r="E473" s="5">
        <v>48559.54</v>
      </c>
      <c r="F473" s="5">
        <v>73382.41</v>
      </c>
      <c r="G473" s="5">
        <v>77020.899999999994</v>
      </c>
      <c r="H473" s="5">
        <v>324078.84000000003</v>
      </c>
      <c r="I473" s="5">
        <v>318566.71999999997</v>
      </c>
      <c r="J473" s="6">
        <v>354437.5</v>
      </c>
    </row>
    <row r="474" spans="1:14">
      <c r="A474" s="9" t="s">
        <v>14</v>
      </c>
      <c r="B474" s="5">
        <v>0</v>
      </c>
      <c r="C474" s="5">
        <v>0</v>
      </c>
      <c r="D474" s="5">
        <v>5890.7</v>
      </c>
      <c r="E474" s="5">
        <v>7920.49</v>
      </c>
      <c r="F474" s="5">
        <v>7297.47</v>
      </c>
      <c r="G474" s="5">
        <v>6484.14</v>
      </c>
      <c r="H474" s="5">
        <v>5690.2</v>
      </c>
      <c r="I474" s="5">
        <v>3931.58</v>
      </c>
      <c r="J474" s="6">
        <v>13620.92</v>
      </c>
    </row>
    <row r="475" spans="1:14">
      <c r="A475" s="9" t="s">
        <v>15</v>
      </c>
      <c r="B475" s="5">
        <v>5043.6099999999997</v>
      </c>
      <c r="C475" s="5">
        <v>4402.62</v>
      </c>
      <c r="D475" s="5">
        <v>0</v>
      </c>
      <c r="E475" s="5">
        <v>0</v>
      </c>
      <c r="F475" s="5">
        <v>4552.8500000000004</v>
      </c>
      <c r="G475" s="5">
        <v>3255.5</v>
      </c>
      <c r="H475" s="5">
        <v>0</v>
      </c>
      <c r="I475" s="5">
        <v>0</v>
      </c>
      <c r="J475" s="6">
        <v>0</v>
      </c>
    </row>
    <row r="476" spans="1:14">
      <c r="A476" s="9" t="s">
        <v>40</v>
      </c>
      <c r="B476" s="5">
        <v>231042</v>
      </c>
      <c r="C476" s="5">
        <v>228569.92</v>
      </c>
      <c r="D476" s="5">
        <v>221338.02</v>
      </c>
      <c r="E476" s="5">
        <v>221652.69</v>
      </c>
      <c r="F476" s="5">
        <v>230088.36</v>
      </c>
      <c r="G476" s="5">
        <v>245371.77</v>
      </c>
      <c r="H476" s="5">
        <v>188148.77</v>
      </c>
      <c r="I476" s="5">
        <v>188503.36</v>
      </c>
      <c r="J476" s="6">
        <v>184280.67</v>
      </c>
    </row>
    <row r="477" spans="1:14">
      <c r="A477" s="9" t="s">
        <v>41</v>
      </c>
      <c r="B477" s="5">
        <v>4370819.5</v>
      </c>
      <c r="C477" s="5">
        <v>4077453.75</v>
      </c>
      <c r="D477" s="5">
        <v>3714175</v>
      </c>
      <c r="E477" s="5">
        <v>4276048.5</v>
      </c>
      <c r="F477" s="5">
        <v>3965318</v>
      </c>
      <c r="G477" s="5">
        <v>4586742.5</v>
      </c>
      <c r="H477" s="5">
        <v>3459818</v>
      </c>
      <c r="I477" s="5">
        <v>3487110.75</v>
      </c>
      <c r="J477" s="6">
        <v>3515902</v>
      </c>
    </row>
    <row r="478" spans="1:14">
      <c r="A478" s="9" t="s">
        <v>42</v>
      </c>
      <c r="B478" s="5">
        <v>17039030</v>
      </c>
      <c r="C478" s="5">
        <v>16353395</v>
      </c>
      <c r="D478" s="5">
        <v>14874580</v>
      </c>
      <c r="E478" s="5">
        <v>15694232</v>
      </c>
      <c r="F478" s="5">
        <v>17237574</v>
      </c>
      <c r="G478" s="5">
        <v>18059206</v>
      </c>
      <c r="H478" s="5">
        <v>12389875</v>
      </c>
      <c r="I478" s="5">
        <v>14208464</v>
      </c>
      <c r="J478" s="6">
        <v>13340040</v>
      </c>
    </row>
    <row r="479" spans="1:14">
      <c r="A479" s="9" t="s">
        <v>43</v>
      </c>
      <c r="B479" s="5">
        <v>19714230</v>
      </c>
      <c r="C479" s="5">
        <v>20141872</v>
      </c>
      <c r="D479" s="5">
        <v>18571230</v>
      </c>
      <c r="E479" s="5">
        <v>18216866</v>
      </c>
      <c r="F479" s="5">
        <v>19641370</v>
      </c>
      <c r="G479" s="5">
        <v>22710536</v>
      </c>
      <c r="H479" s="5">
        <v>14815008</v>
      </c>
      <c r="I479" s="5">
        <v>18021104</v>
      </c>
      <c r="J479" s="6">
        <v>16069899</v>
      </c>
    </row>
    <row r="480" spans="1:14">
      <c r="A480" s="9"/>
      <c r="B480" s="5"/>
      <c r="C480" s="5"/>
      <c r="D480" s="5"/>
      <c r="E480" s="5"/>
      <c r="F480" s="5"/>
      <c r="G480" s="5"/>
      <c r="H480" s="5"/>
      <c r="I480" s="5"/>
      <c r="J480" s="6"/>
    </row>
    <row r="481" spans="1:14">
      <c r="A481" s="9" t="s">
        <v>16</v>
      </c>
      <c r="B481" s="5">
        <f>SUM(B470:B471)/SUM(B470:B479)</f>
        <v>0.12453382321048312</v>
      </c>
      <c r="C481" s="5">
        <f t="shared" ref="C481:J481" si="119">SUM(C470:C471)/SUM(C470:C479)</f>
        <v>0.13161992301239739</v>
      </c>
      <c r="D481" s="5">
        <f t="shared" si="119"/>
        <v>0.13524865117180604</v>
      </c>
      <c r="E481" s="5">
        <f t="shared" si="119"/>
        <v>0.40776355968198708</v>
      </c>
      <c r="F481" s="5">
        <f t="shared" si="119"/>
        <v>0.38475830689504192</v>
      </c>
      <c r="G481" s="5">
        <f t="shared" si="119"/>
        <v>0.3895860710730919</v>
      </c>
      <c r="H481" s="5">
        <f t="shared" si="119"/>
        <v>0.76168261147556204</v>
      </c>
      <c r="I481" s="5">
        <f t="shared" si="119"/>
        <v>0.73921483430083978</v>
      </c>
      <c r="J481" s="6">
        <f t="shared" si="119"/>
        <v>0.7658008210799766</v>
      </c>
    </row>
    <row r="482" spans="1:14">
      <c r="A482" s="9" t="s">
        <v>17</v>
      </c>
      <c r="B482" s="5">
        <f>SUM(B472:B479)/SUM(B470:B471)</f>
        <v>7.0299469992969836</v>
      </c>
      <c r="C482" s="5">
        <f t="shared" ref="C482:J482" si="120">SUM(C472:C479)/SUM(C470:C471)</f>
        <v>6.5976339836166691</v>
      </c>
      <c r="D482" s="5">
        <f t="shared" si="120"/>
        <v>6.3937890791214054</v>
      </c>
      <c r="E482" s="5">
        <f t="shared" si="120"/>
        <v>1.4524015848299328</v>
      </c>
      <c r="F482" s="5">
        <f t="shared" si="120"/>
        <v>1.599034204277205</v>
      </c>
      <c r="G482" s="5">
        <f t="shared" si="120"/>
        <v>1.5668268817865045</v>
      </c>
      <c r="H482" s="5">
        <f t="shared" si="120"/>
        <v>0.31288280043935879</v>
      </c>
      <c r="I482" s="5">
        <f t="shared" si="120"/>
        <v>0.35278670502576503</v>
      </c>
      <c r="J482" s="6">
        <f t="shared" si="120"/>
        <v>0.30582257484360253</v>
      </c>
    </row>
    <row r="483" spans="1:14">
      <c r="A483" s="9" t="s">
        <v>38</v>
      </c>
      <c r="B483" s="5">
        <f>B482*$L$471</f>
        <v>2.9340346407750349E-3</v>
      </c>
      <c r="C483" s="5">
        <f>C482*$L$471</f>
        <v>2.7536034990052875E-3</v>
      </c>
      <c r="D483" s="5">
        <f>D482*$L$471</f>
        <v>2.6685263268453278E-3</v>
      </c>
      <c r="E483" s="5">
        <f>E482*$M$471</f>
        <v>3.0308881152544503E-3</v>
      </c>
      <c r="F483" s="5">
        <f>F482*$M$471</f>
        <v>3.3368827301277233E-3</v>
      </c>
      <c r="G483" s="5">
        <f>G482*$M$471</f>
        <v>3.2696721239284317E-3</v>
      </c>
      <c r="H483" s="5">
        <f>H482*$N$471</f>
        <v>3.2646368994090021E-3</v>
      </c>
      <c r="I483" s="5">
        <f>I482*$N$471</f>
        <v>3.6809965048598186E-3</v>
      </c>
      <c r="J483" s="6">
        <f>J482*$N$471</f>
        <v>3.1909701047955191E-3</v>
      </c>
    </row>
    <row r="484" spans="1:14">
      <c r="A484" s="9" t="s">
        <v>51</v>
      </c>
      <c r="B484" s="5">
        <f>AVERAGE(B483:D483)</f>
        <v>2.7853881555418834E-3</v>
      </c>
      <c r="C484" s="5"/>
      <c r="D484" s="5"/>
      <c r="E484" s="5">
        <f>AVERAGE(E483:G483)</f>
        <v>3.2124809897702018E-3</v>
      </c>
      <c r="F484" s="5"/>
      <c r="G484" s="5"/>
      <c r="H484" s="5">
        <f>AVERAGE(H483:J483)</f>
        <v>3.3788678363547799E-3</v>
      </c>
      <c r="I484" s="5"/>
      <c r="J484" s="6"/>
    </row>
    <row r="485" spans="1:14">
      <c r="A485" s="9" t="s">
        <v>52</v>
      </c>
      <c r="B485" s="5">
        <f>_xlfn.STDEV.P(B483:D483)</f>
        <v>1.1069888432081871E-4</v>
      </c>
      <c r="C485" s="5"/>
      <c r="D485" s="5"/>
      <c r="E485" s="5">
        <f>_xlfn.STDEV.P(E483:G483)</f>
        <v>1.3130446921205474E-4</v>
      </c>
      <c r="F485" s="5"/>
      <c r="G485" s="5"/>
      <c r="H485" s="5">
        <f>_xlfn.STDEV.P(H483:J483)</f>
        <v>2.1574367260961474E-4</v>
      </c>
      <c r="I485" s="5"/>
      <c r="J485" s="6"/>
    </row>
    <row r="486" spans="1:14">
      <c r="A486" s="9" t="s">
        <v>53</v>
      </c>
      <c r="B486" s="5">
        <f>AVERAGE(B484,E484,H484)</f>
        <v>3.1255789938889546E-3</v>
      </c>
      <c r="C486" s="5"/>
      <c r="D486" s="5"/>
      <c r="E486" s="5"/>
      <c r="F486" s="5"/>
      <c r="G486" s="5"/>
      <c r="H486" s="5"/>
      <c r="I486" s="5"/>
      <c r="J486" s="6"/>
    </row>
    <row r="487" spans="1:14" ht="15.75" thickBot="1">
      <c r="A487" s="10" t="s">
        <v>54</v>
      </c>
      <c r="B487" s="7">
        <f>_xlfn.STDEV.P(B484,E484,H484)</f>
        <v>2.4995799720560063E-4</v>
      </c>
      <c r="C487" s="7"/>
      <c r="D487" s="7"/>
      <c r="E487" s="7"/>
      <c r="F487" s="7"/>
      <c r="G487" s="7"/>
      <c r="H487" s="7"/>
      <c r="I487" s="7"/>
      <c r="J487" s="8"/>
    </row>
    <row r="488" spans="1:14" ht="15.75" thickBot="1"/>
    <row r="489" spans="1:14">
      <c r="A489" s="25" t="s">
        <v>35</v>
      </c>
      <c r="B489" s="12" t="s">
        <v>1</v>
      </c>
      <c r="C489" s="12" t="s">
        <v>2</v>
      </c>
      <c r="D489" s="12" t="s">
        <v>3</v>
      </c>
      <c r="E489" s="12" t="s">
        <v>7</v>
      </c>
      <c r="F489" s="12" t="s">
        <v>8</v>
      </c>
      <c r="G489" s="12" t="s">
        <v>9</v>
      </c>
      <c r="H489" s="12"/>
      <c r="I489" s="12"/>
      <c r="J489" s="13"/>
      <c r="K489" s="80" t="s">
        <v>37</v>
      </c>
      <c r="L489" s="81"/>
      <c r="M489" s="81"/>
      <c r="N489" s="82"/>
    </row>
    <row r="490" spans="1:14">
      <c r="A490" s="9" t="s">
        <v>10</v>
      </c>
      <c r="B490" s="5">
        <v>6154695.5</v>
      </c>
      <c r="C490" s="5">
        <v>5582825</v>
      </c>
      <c r="D490" s="5">
        <v>8432492</v>
      </c>
      <c r="E490" s="5">
        <v>110072552</v>
      </c>
      <c r="F490" s="5">
        <v>103662080</v>
      </c>
      <c r="G490" s="5">
        <v>117010816</v>
      </c>
      <c r="H490" s="5"/>
      <c r="I490" s="5"/>
      <c r="J490" s="6"/>
      <c r="K490" s="2" t="s">
        <v>18</v>
      </c>
      <c r="L490" s="3" t="s">
        <v>19</v>
      </c>
      <c r="M490" s="3"/>
      <c r="N490" s="4" t="s">
        <v>21</v>
      </c>
    </row>
    <row r="491" spans="1:14">
      <c r="A491" s="9" t="s">
        <v>11</v>
      </c>
      <c r="B491" s="5">
        <v>597190.56000000006</v>
      </c>
      <c r="C491" s="5">
        <v>580851.75</v>
      </c>
      <c r="D491" s="5">
        <v>843322.69</v>
      </c>
      <c r="E491" s="5">
        <v>11467333</v>
      </c>
      <c r="F491" s="5">
        <v>10793055</v>
      </c>
      <c r="G491" s="5">
        <v>12139215</v>
      </c>
      <c r="H491" s="5"/>
      <c r="I491" s="5"/>
      <c r="J491" s="6"/>
      <c r="K491" s="2" t="s">
        <v>35</v>
      </c>
      <c r="L491" s="5">
        <v>4.1736227045075126E-4</v>
      </c>
      <c r="N491" s="6">
        <v>1.0434056761268781E-2</v>
      </c>
    </row>
    <row r="492" spans="1:14">
      <c r="A492" s="9" t="s">
        <v>12</v>
      </c>
      <c r="B492" s="5">
        <v>193182.17</v>
      </c>
      <c r="C492" s="5">
        <v>170408.61</v>
      </c>
      <c r="D492" s="5">
        <v>273348.28000000003</v>
      </c>
      <c r="E492" s="5">
        <v>3623558</v>
      </c>
      <c r="F492" s="5">
        <v>3407012</v>
      </c>
      <c r="G492" s="5">
        <v>3601102.25</v>
      </c>
      <c r="H492" s="5"/>
      <c r="I492" s="5"/>
      <c r="J492" s="6"/>
    </row>
    <row r="493" spans="1:14">
      <c r="A493" s="9" t="s">
        <v>13</v>
      </c>
      <c r="B493" s="5">
        <v>15727.29</v>
      </c>
      <c r="C493" s="5">
        <v>8356.8799999999992</v>
      </c>
      <c r="D493" s="5">
        <v>11099.08</v>
      </c>
      <c r="E493" s="5">
        <v>83664.149999999994</v>
      </c>
      <c r="F493" s="5">
        <v>19546.48</v>
      </c>
      <c r="G493" s="5">
        <v>134624.79999999999</v>
      </c>
      <c r="H493" s="5"/>
      <c r="I493" s="5"/>
      <c r="J493" s="6"/>
    </row>
    <row r="494" spans="1:14">
      <c r="A494" s="9" t="s">
        <v>15</v>
      </c>
      <c r="B494" s="5">
        <v>8448.42</v>
      </c>
      <c r="C494" s="5">
        <v>7543.4</v>
      </c>
      <c r="D494" s="5">
        <v>0</v>
      </c>
      <c r="E494" s="5">
        <v>0</v>
      </c>
      <c r="F494" s="5">
        <v>0</v>
      </c>
      <c r="G494" s="5">
        <v>0</v>
      </c>
      <c r="H494" s="5"/>
      <c r="I494" s="5"/>
      <c r="J494" s="6"/>
    </row>
    <row r="495" spans="1:14">
      <c r="A495" s="9" t="s">
        <v>40</v>
      </c>
      <c r="B495" s="5">
        <v>189191.25</v>
      </c>
      <c r="C495" s="5">
        <v>227784.31</v>
      </c>
      <c r="D495" s="5">
        <v>191548.88</v>
      </c>
      <c r="E495" s="5">
        <v>155089.39000000001</v>
      </c>
      <c r="F495" s="5">
        <v>141468.17000000001</v>
      </c>
      <c r="G495" s="5">
        <v>131037.18</v>
      </c>
      <c r="H495" s="5"/>
      <c r="I495" s="5"/>
      <c r="J495" s="6"/>
    </row>
    <row r="496" spans="1:14">
      <c r="A496" s="9" t="s">
        <v>41</v>
      </c>
      <c r="B496" s="5">
        <v>3610189.25</v>
      </c>
      <c r="C496" s="5">
        <v>4202597</v>
      </c>
      <c r="D496" s="5">
        <v>3275426</v>
      </c>
      <c r="E496" s="5">
        <v>2962481.75</v>
      </c>
      <c r="F496" s="5">
        <v>2944059.25</v>
      </c>
      <c r="G496" s="5">
        <v>2110959.5</v>
      </c>
      <c r="H496" s="5"/>
      <c r="I496" s="5"/>
      <c r="J496" s="6"/>
    </row>
    <row r="497" spans="1:14">
      <c r="A497" s="9" t="s">
        <v>42</v>
      </c>
      <c r="B497" s="5">
        <v>17509338</v>
      </c>
      <c r="C497" s="5">
        <v>19295494</v>
      </c>
      <c r="D497" s="5">
        <v>15606215</v>
      </c>
      <c r="E497" s="5">
        <v>14425517</v>
      </c>
      <c r="F497" s="5">
        <v>13339941</v>
      </c>
      <c r="G497" s="5">
        <v>10449407</v>
      </c>
      <c r="H497" s="5"/>
      <c r="I497" s="5"/>
      <c r="J497" s="6"/>
    </row>
    <row r="498" spans="1:14">
      <c r="A498" s="9" t="s">
        <v>43</v>
      </c>
      <c r="B498" s="5">
        <v>28032510</v>
      </c>
      <c r="C498" s="5">
        <v>29682406</v>
      </c>
      <c r="D498" s="5">
        <v>24288886</v>
      </c>
      <c r="E498" s="5">
        <v>23759502</v>
      </c>
      <c r="F498" s="5">
        <v>20091604</v>
      </c>
      <c r="G498" s="5">
        <v>15941355</v>
      </c>
      <c r="H498" s="5"/>
      <c r="I498" s="5"/>
      <c r="J498" s="6"/>
    </row>
    <row r="499" spans="1:14">
      <c r="A499" s="9"/>
      <c r="B499" s="5"/>
      <c r="C499" s="5"/>
      <c r="D499" s="5"/>
      <c r="E499" s="5"/>
      <c r="F499" s="5"/>
      <c r="G499" s="5"/>
      <c r="H499" s="5"/>
      <c r="I499" s="5"/>
      <c r="J499" s="6"/>
    </row>
    <row r="500" spans="1:14">
      <c r="A500" s="9" t="s">
        <v>16</v>
      </c>
      <c r="B500" s="5">
        <f t="shared" ref="B500:G500" si="121">SUM(B490:B491)/SUM(B490:B498)</f>
        <v>0.11990462461834747</v>
      </c>
      <c r="C500" s="5">
        <f t="shared" si="121"/>
        <v>0.10314349904352438</v>
      </c>
      <c r="D500" s="5">
        <f t="shared" si="121"/>
        <v>0.17527220173585403</v>
      </c>
      <c r="E500" s="5">
        <f t="shared" si="121"/>
        <v>0.72975146144139824</v>
      </c>
      <c r="F500" s="5">
        <f t="shared" si="121"/>
        <v>0.74129565953998333</v>
      </c>
      <c r="G500" s="5">
        <f t="shared" si="121"/>
        <v>0.79959891667338479</v>
      </c>
      <c r="H500" s="5"/>
      <c r="I500" s="5"/>
      <c r="J500" s="6"/>
    </row>
    <row r="501" spans="1:14">
      <c r="A501" s="9" t="s">
        <v>17</v>
      </c>
      <c r="B501" s="5">
        <f t="shared" ref="B501:G501" si="122">SUM(B492:B498)/SUM(B490:B491)</f>
        <v>7.3399618920701979</v>
      </c>
      <c r="C501" s="5">
        <f t="shared" si="122"/>
        <v>8.6952305212955885</v>
      </c>
      <c r="D501" s="5">
        <f t="shared" si="122"/>
        <v>4.7054112979482134</v>
      </c>
      <c r="E501" s="5">
        <f t="shared" si="122"/>
        <v>0.37032956127941047</v>
      </c>
      <c r="F501" s="5">
        <f t="shared" si="122"/>
        <v>0.34898941755649493</v>
      </c>
      <c r="G501" s="5">
        <f t="shared" si="122"/>
        <v>0.25062700705042806</v>
      </c>
      <c r="H501" s="5"/>
      <c r="I501" s="5"/>
      <c r="J501" s="6"/>
    </row>
    <row r="502" spans="1:14">
      <c r="A502" s="9" t="s">
        <v>38</v>
      </c>
      <c r="B502" s="5">
        <f>B501*$L$491</f>
        <v>3.0634231602964098E-3</v>
      </c>
      <c r="C502" s="5">
        <f t="shared" ref="C502:D502" si="123">C501*$L$491</f>
        <v>3.6290611524605965E-3</v>
      </c>
      <c r="D502" s="5">
        <f t="shared" si="123"/>
        <v>1.9638611427162827E-3</v>
      </c>
      <c r="E502" s="5">
        <f>E501*$N$491</f>
        <v>3.8640396627651341E-3</v>
      </c>
      <c r="F502" s="5">
        <f t="shared" ref="F502:G502" si="124">F501*$N$491</f>
        <v>3.6413753918666E-3</v>
      </c>
      <c r="G502" s="5">
        <f t="shared" si="124"/>
        <v>2.6150564174710774E-3</v>
      </c>
      <c r="H502" s="5"/>
      <c r="I502" s="5"/>
      <c r="J502" s="6"/>
    </row>
    <row r="503" spans="1:14">
      <c r="A503" s="9" t="s">
        <v>51</v>
      </c>
      <c r="B503" s="5">
        <f>AVERAGE(B502:D502)</f>
        <v>2.885448485157763E-3</v>
      </c>
      <c r="C503" s="5"/>
      <c r="D503" s="5"/>
      <c r="E503" s="5">
        <f>AVERAGE(E502:G502)</f>
        <v>3.3734904907009376E-3</v>
      </c>
      <c r="F503" s="5"/>
      <c r="G503" s="5"/>
      <c r="H503" s="5"/>
      <c r="I503" s="5"/>
      <c r="J503" s="6"/>
    </row>
    <row r="504" spans="1:14">
      <c r="A504" s="9" t="s">
        <v>52</v>
      </c>
      <c r="B504" s="5">
        <f>_xlfn.STDEV.P(B502:D502)</f>
        <v>6.9136531918426733E-4</v>
      </c>
      <c r="C504" s="5"/>
      <c r="D504" s="5"/>
      <c r="E504" s="5">
        <f>_xlfn.STDEV.P(E502:G502)</f>
        <v>5.4394333464722906E-4</v>
      </c>
      <c r="F504" s="5"/>
      <c r="G504" s="5"/>
      <c r="H504" s="5"/>
      <c r="I504" s="5"/>
      <c r="J504" s="6"/>
    </row>
    <row r="505" spans="1:14">
      <c r="A505" s="9" t="s">
        <v>53</v>
      </c>
      <c r="B505" s="5">
        <f>AVERAGE(B503,E503)</f>
        <v>3.1294694879293503E-3</v>
      </c>
      <c r="C505" s="5"/>
      <c r="D505" s="5"/>
      <c r="E505" s="5"/>
      <c r="F505" s="5"/>
      <c r="G505" s="5"/>
      <c r="H505" s="5"/>
      <c r="I505" s="5"/>
      <c r="J505" s="6"/>
    </row>
    <row r="506" spans="1:14" ht="15.75" thickBot="1">
      <c r="A506" s="10" t="s">
        <v>54</v>
      </c>
      <c r="B506" s="7">
        <f>_xlfn.STDEV.P(B503,E503)</f>
        <v>2.4402100277158729E-4</v>
      </c>
      <c r="C506" s="7"/>
      <c r="D506" s="7"/>
      <c r="E506" s="7"/>
      <c r="F506" s="7"/>
      <c r="G506" s="7"/>
      <c r="H506" s="7"/>
      <c r="I506" s="7"/>
      <c r="J506" s="8"/>
    </row>
    <row r="507" spans="1:14" ht="15.75" thickBo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4">
      <c r="A508" s="15" t="s">
        <v>35</v>
      </c>
      <c r="B508" s="12" t="s">
        <v>57</v>
      </c>
      <c r="C508" s="12" t="s">
        <v>58</v>
      </c>
      <c r="D508" s="12" t="s">
        <v>59</v>
      </c>
      <c r="E508" s="12" t="s">
        <v>60</v>
      </c>
      <c r="F508" s="12" t="s">
        <v>61</v>
      </c>
      <c r="G508" s="12" t="s">
        <v>62</v>
      </c>
      <c r="H508" s="12" t="s">
        <v>63</v>
      </c>
      <c r="I508" s="12" t="s">
        <v>64</v>
      </c>
      <c r="J508" s="13" t="s">
        <v>65</v>
      </c>
      <c r="K508" s="80" t="s">
        <v>39</v>
      </c>
      <c r="L508" s="81"/>
      <c r="M508" s="81"/>
      <c r="N508" s="82"/>
    </row>
    <row r="509" spans="1:14">
      <c r="A509" s="9" t="s">
        <v>10</v>
      </c>
      <c r="B509" s="5">
        <v>1755580.12</v>
      </c>
      <c r="C509" s="5">
        <v>1618618.62</v>
      </c>
      <c r="D509" s="5">
        <v>1430398.12</v>
      </c>
      <c r="E509" s="5">
        <v>7751455.5</v>
      </c>
      <c r="F509" s="5">
        <v>7833566.5</v>
      </c>
      <c r="G509" s="5">
        <v>7369709.5</v>
      </c>
      <c r="H509" s="5">
        <v>37886620</v>
      </c>
      <c r="I509" s="5">
        <v>37666740</v>
      </c>
      <c r="J509" s="6">
        <v>42253068</v>
      </c>
      <c r="K509" s="2" t="s">
        <v>18</v>
      </c>
      <c r="L509" s="3" t="s">
        <v>19</v>
      </c>
      <c r="M509" s="3" t="s">
        <v>20</v>
      </c>
      <c r="N509" s="4" t="s">
        <v>21</v>
      </c>
    </row>
    <row r="510" spans="1:14">
      <c r="A510" s="9" t="s">
        <v>11</v>
      </c>
      <c r="B510" s="5">
        <v>156701.82999999999</v>
      </c>
      <c r="C510" s="5">
        <v>141798.19</v>
      </c>
      <c r="D510" s="5">
        <v>127746.94</v>
      </c>
      <c r="E510" s="5">
        <v>687996.06</v>
      </c>
      <c r="F510" s="5">
        <v>636496.31000000006</v>
      </c>
      <c r="G510" s="5">
        <v>691108.38</v>
      </c>
      <c r="H510" s="5">
        <v>3508007.25</v>
      </c>
      <c r="I510" s="5">
        <v>3625268</v>
      </c>
      <c r="J510" s="6">
        <v>3982733</v>
      </c>
      <c r="K510" s="2" t="s">
        <v>35</v>
      </c>
      <c r="L510" s="5">
        <v>4.1736227045075126E-4</v>
      </c>
      <c r="M510" s="5">
        <v>2.0868113522537562E-3</v>
      </c>
      <c r="N510" s="6">
        <v>1.0434056761268781E-2</v>
      </c>
    </row>
    <row r="511" spans="1:14">
      <c r="A511" s="9" t="s">
        <v>12</v>
      </c>
      <c r="B511" s="5">
        <v>43195.64</v>
      </c>
      <c r="C511" s="5">
        <v>42033.31</v>
      </c>
      <c r="D511" s="5">
        <v>31223.57</v>
      </c>
      <c r="E511" s="5">
        <v>212461.3</v>
      </c>
      <c r="F511" s="5">
        <v>198656.55</v>
      </c>
      <c r="G511" s="5">
        <v>149615.92000000001</v>
      </c>
      <c r="H511" s="5">
        <v>1040599.81</v>
      </c>
      <c r="I511" s="5">
        <v>1024549.06</v>
      </c>
      <c r="J511" s="6">
        <v>1175472.1200000001</v>
      </c>
    </row>
    <row r="512" spans="1:14">
      <c r="A512" s="9" t="s">
        <v>13</v>
      </c>
      <c r="B512" s="5">
        <v>8409.75</v>
      </c>
      <c r="C512" s="5">
        <v>5417.08</v>
      </c>
      <c r="D512" s="5">
        <v>0</v>
      </c>
      <c r="E512" s="5">
        <v>24394.57</v>
      </c>
      <c r="F512" s="5">
        <v>7273.58</v>
      </c>
      <c r="G512" s="5">
        <v>6536.72</v>
      </c>
      <c r="H512" s="5">
        <v>94828.69</v>
      </c>
      <c r="I512" s="5">
        <v>90965</v>
      </c>
      <c r="J512" s="6">
        <v>102861.01</v>
      </c>
    </row>
    <row r="513" spans="1:14">
      <c r="A513" s="9" t="s">
        <v>40</v>
      </c>
      <c r="B513" s="5">
        <v>78618.509999999995</v>
      </c>
      <c r="C513" s="5">
        <v>45799.5</v>
      </c>
      <c r="D513" s="5">
        <v>52441.71</v>
      </c>
      <c r="E513" s="5">
        <v>64339.6</v>
      </c>
      <c r="F513" s="5">
        <v>67048.160000000003</v>
      </c>
      <c r="G513" s="5">
        <v>67594.5</v>
      </c>
      <c r="H513" s="5">
        <v>67130.34</v>
      </c>
      <c r="I513" s="5">
        <v>69259.899999999994</v>
      </c>
      <c r="J513" s="6">
        <v>43680.86</v>
      </c>
    </row>
    <row r="514" spans="1:14">
      <c r="A514" s="9" t="s">
        <v>41</v>
      </c>
      <c r="B514" s="5">
        <v>1369629.88</v>
      </c>
      <c r="C514" s="5">
        <v>1089932.3799999999</v>
      </c>
      <c r="D514" s="5">
        <v>987065.06</v>
      </c>
      <c r="E514" s="5">
        <v>1214299.8799999999</v>
      </c>
      <c r="F514" s="5">
        <v>1226187.6200000001</v>
      </c>
      <c r="G514" s="5">
        <v>1135027.3799999999</v>
      </c>
      <c r="H514" s="5">
        <v>1151993.3799999999</v>
      </c>
      <c r="I514" s="5">
        <v>1134050</v>
      </c>
      <c r="J514" s="6">
        <v>1166533.25</v>
      </c>
    </row>
    <row r="515" spans="1:14">
      <c r="A515" s="9" t="s">
        <v>42</v>
      </c>
      <c r="B515" s="5">
        <v>5517501</v>
      </c>
      <c r="C515" s="5">
        <v>4731048.5</v>
      </c>
      <c r="D515" s="5">
        <v>3980502</v>
      </c>
      <c r="E515" s="5">
        <v>4852187.5</v>
      </c>
      <c r="F515" s="5">
        <v>5404348.5</v>
      </c>
      <c r="G515" s="5">
        <v>4738510.5</v>
      </c>
      <c r="H515" s="5">
        <v>4433323</v>
      </c>
      <c r="I515" s="5">
        <v>4955538</v>
      </c>
      <c r="J515" s="6">
        <v>4898141.5</v>
      </c>
    </row>
    <row r="516" spans="1:14">
      <c r="A516" s="9" t="s">
        <v>43</v>
      </c>
      <c r="B516" s="5">
        <v>6333093.5</v>
      </c>
      <c r="C516" s="5">
        <v>5963584</v>
      </c>
      <c r="D516" s="5">
        <v>4988928.5</v>
      </c>
      <c r="E516" s="5">
        <v>5692864</v>
      </c>
      <c r="F516" s="5">
        <v>6880466</v>
      </c>
      <c r="G516" s="5">
        <v>5934424</v>
      </c>
      <c r="H516" s="5">
        <v>5257932.5</v>
      </c>
      <c r="I516" s="5">
        <v>6130105.5</v>
      </c>
      <c r="J516" s="6">
        <v>5820333.5</v>
      </c>
    </row>
    <row r="517" spans="1:14">
      <c r="A517" s="9"/>
      <c r="B517" s="5"/>
      <c r="C517" s="5"/>
      <c r="D517" s="5"/>
      <c r="E517" s="5"/>
      <c r="F517" s="5"/>
      <c r="G517" s="5"/>
      <c r="H517" s="5"/>
      <c r="I517" s="5"/>
      <c r="J517" s="6"/>
    </row>
    <row r="518" spans="1:14">
      <c r="A518" s="9" t="s">
        <v>16</v>
      </c>
      <c r="B518" s="5">
        <f>SUM(B509:B510)/SUM(B509:B516)</f>
        <v>0.12529094868238394</v>
      </c>
      <c r="C518" s="5">
        <f t="shared" ref="C518:J518" si="125">SUM(C509:C510)/SUM(C509:C516)</f>
        <v>0.12907955108942357</v>
      </c>
      <c r="D518" s="5">
        <f t="shared" si="125"/>
        <v>0.13434246979121323</v>
      </c>
      <c r="E518" s="5">
        <f t="shared" si="125"/>
        <v>0.41168059583278771</v>
      </c>
      <c r="F518" s="5">
        <f t="shared" si="125"/>
        <v>0.38060781702750729</v>
      </c>
      <c r="G518" s="5">
        <f t="shared" si="125"/>
        <v>0.40118487436241784</v>
      </c>
      <c r="H518" s="5">
        <f t="shared" si="125"/>
        <v>0.77459375608072445</v>
      </c>
      <c r="I518" s="5">
        <f t="shared" si="125"/>
        <v>0.75492995943033292</v>
      </c>
      <c r="J518" s="6">
        <f t="shared" si="125"/>
        <v>0.7778197346603688</v>
      </c>
    </row>
    <row r="519" spans="1:14">
      <c r="A519" s="9" t="s">
        <v>17</v>
      </c>
      <c r="B519" s="5">
        <f>SUM(B511:B516)/SUM(B509:B510)</f>
        <v>6.9814225250622686</v>
      </c>
      <c r="C519" s="5">
        <f t="shared" ref="C519:J519" si="126">SUM(C511:C516)/SUM(C509:C510)</f>
        <v>6.7471605034264579</v>
      </c>
      <c r="D519" s="5">
        <f t="shared" si="126"/>
        <v>6.4436624661891235</v>
      </c>
      <c r="E519" s="5">
        <f t="shared" si="126"/>
        <v>1.429067607563826</v>
      </c>
      <c r="F519" s="5">
        <f t="shared" si="126"/>
        <v>1.6273764102110595</v>
      </c>
      <c r="G519" s="5">
        <f t="shared" si="126"/>
        <v>1.4926164068105705</v>
      </c>
      <c r="H519" s="5">
        <f t="shared" si="126"/>
        <v>0.2909993040219972</v>
      </c>
      <c r="I519" s="5">
        <f t="shared" si="126"/>
        <v>0.32462619546135901</v>
      </c>
      <c r="J519" s="6">
        <f t="shared" si="126"/>
        <v>0.28564493215982134</v>
      </c>
    </row>
    <row r="520" spans="1:14">
      <c r="A520" s="9" t="s">
        <v>38</v>
      </c>
      <c r="B520" s="5">
        <f>B519*$L$510</f>
        <v>2.9137823560360055E-3</v>
      </c>
      <c r="C520" s="5">
        <f t="shared" ref="C520:D520" si="127">C519*$L$510</f>
        <v>2.8160102268057004E-3</v>
      </c>
      <c r="D520" s="5">
        <f t="shared" si="127"/>
        <v>2.68934159690698E-3</v>
      </c>
      <c r="E520" s="5">
        <f>E519*$M$510</f>
        <v>2.9821945066023079E-3</v>
      </c>
      <c r="F520" s="5">
        <f t="shared" ref="F520:G520" si="128">F519*$M$510</f>
        <v>3.3960275672184044E-3</v>
      </c>
      <c r="G520" s="5">
        <f t="shared" si="128"/>
        <v>3.1148088622925093E-3</v>
      </c>
      <c r="H520" s="5">
        <f>H519*$N$510</f>
        <v>3.0363032556552294E-3</v>
      </c>
      <c r="I520" s="5">
        <f t="shared" ref="I520:J520" si="129">I519*$N$510</f>
        <v>3.387168149638554E-3</v>
      </c>
      <c r="J520" s="6">
        <f t="shared" si="129"/>
        <v>2.9804354357243464E-3</v>
      </c>
    </row>
    <row r="521" spans="1:14">
      <c r="A521" s="9" t="s">
        <v>51</v>
      </c>
      <c r="B521" s="5">
        <f>AVERAGE(B520:D520)</f>
        <v>2.8063780599162287E-3</v>
      </c>
      <c r="C521" s="5"/>
      <c r="D521" s="5"/>
      <c r="E521" s="5">
        <f>AVERAGE(E520:G520)</f>
        <v>3.1643436453710739E-3</v>
      </c>
      <c r="F521" s="5"/>
      <c r="G521" s="5"/>
      <c r="H521" s="5">
        <f>AVERAGE(H520:J520)</f>
        <v>3.1346356136727101E-3</v>
      </c>
      <c r="I521" s="5"/>
      <c r="J521" s="6"/>
    </row>
    <row r="522" spans="1:14">
      <c r="A522" s="9" t="s">
        <v>52</v>
      </c>
      <c r="B522" s="5">
        <f>_xlfn.STDEV.P(B520:D520)</f>
        <v>9.1880348166671947E-5</v>
      </c>
      <c r="C522" s="5"/>
      <c r="D522" s="5"/>
      <c r="E522" s="5">
        <f>_xlfn.STDEV.P(E520:G520)</f>
        <v>1.7253931255552899E-4</v>
      </c>
      <c r="F522" s="5"/>
      <c r="G522" s="5"/>
      <c r="H522" s="5">
        <f>_xlfn.STDEV.P(H520:J520)</f>
        <v>1.8001817429908319E-4</v>
      </c>
      <c r="I522" s="5"/>
      <c r="J522" s="6"/>
    </row>
    <row r="523" spans="1:14">
      <c r="A523" s="9" t="s">
        <v>53</v>
      </c>
      <c r="B523" s="5">
        <f>AVERAGE(B521,E521,H521)</f>
        <v>3.0351191063200042E-3</v>
      </c>
      <c r="C523" s="5"/>
      <c r="D523" s="5"/>
      <c r="E523" s="5"/>
      <c r="F523" s="5"/>
      <c r="G523" s="5"/>
      <c r="H523" s="5"/>
      <c r="I523" s="5"/>
      <c r="J523" s="6"/>
    </row>
    <row r="524" spans="1:14" ht="15.75" thickBot="1">
      <c r="A524" s="10" t="s">
        <v>54</v>
      </c>
      <c r="B524" s="7">
        <f>_xlfn.STDEV.P(B521,E521,H521)</f>
        <v>1.6219842070597438E-4</v>
      </c>
      <c r="C524" s="7"/>
      <c r="D524" s="7"/>
      <c r="E524" s="7"/>
      <c r="F524" s="7"/>
      <c r="G524" s="7"/>
      <c r="H524" s="7"/>
      <c r="I524" s="7"/>
      <c r="J524" s="8"/>
    </row>
    <row r="525" spans="1:14" ht="15.75" thickBo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4">
      <c r="A526" s="26" t="s">
        <v>35</v>
      </c>
      <c r="B526" s="12" t="s">
        <v>57</v>
      </c>
      <c r="C526" s="12" t="s">
        <v>58</v>
      </c>
      <c r="D526" s="12" t="s">
        <v>59</v>
      </c>
      <c r="E526" s="12" t="s">
        <v>63</v>
      </c>
      <c r="F526" s="12" t="s">
        <v>64</v>
      </c>
      <c r="G526" s="12" t="s">
        <v>65</v>
      </c>
      <c r="H526" s="12"/>
      <c r="I526" s="12"/>
      <c r="J526" s="13"/>
      <c r="K526" s="80" t="s">
        <v>37</v>
      </c>
      <c r="L526" s="81"/>
      <c r="M526" s="81"/>
      <c r="N526" s="82"/>
    </row>
    <row r="527" spans="1:14">
      <c r="A527" s="9" t="s">
        <v>10</v>
      </c>
      <c r="B527" s="5">
        <v>1716063.12</v>
      </c>
      <c r="C527" s="5">
        <v>1444670.38</v>
      </c>
      <c r="D527" s="5">
        <v>2166044.25</v>
      </c>
      <c r="E527" s="5">
        <v>36200944</v>
      </c>
      <c r="F527" s="5">
        <v>38196212</v>
      </c>
      <c r="G527" s="5">
        <v>37925744</v>
      </c>
      <c r="H527" s="5"/>
      <c r="I527" s="5"/>
      <c r="J527" s="6"/>
      <c r="K527" s="2" t="s">
        <v>18</v>
      </c>
      <c r="L527" s="3" t="s">
        <v>19</v>
      </c>
      <c r="M527" s="3"/>
      <c r="N527" s="4" t="s">
        <v>21</v>
      </c>
    </row>
    <row r="528" spans="1:14">
      <c r="A528" s="9" t="s">
        <v>11</v>
      </c>
      <c r="B528" s="5">
        <v>171713.64</v>
      </c>
      <c r="C528" s="5">
        <v>128202.78</v>
      </c>
      <c r="D528" s="5">
        <v>200266.5</v>
      </c>
      <c r="E528" s="5">
        <v>3380086.75</v>
      </c>
      <c r="F528" s="5">
        <v>3303578</v>
      </c>
      <c r="G528" s="5">
        <v>3217074.25</v>
      </c>
      <c r="H528" s="5"/>
      <c r="I528" s="5"/>
      <c r="J528" s="6"/>
      <c r="K528" s="2" t="s">
        <v>35</v>
      </c>
      <c r="L528" s="5">
        <v>4.1736227045075126E-4</v>
      </c>
      <c r="N528" s="6">
        <v>1.0434056761268781E-2</v>
      </c>
    </row>
    <row r="529" spans="1:14">
      <c r="A529" s="9" t="s">
        <v>12</v>
      </c>
      <c r="B529" s="5">
        <v>48276.36</v>
      </c>
      <c r="C529" s="5">
        <v>39283.29</v>
      </c>
      <c r="D529" s="5">
        <v>64871.49</v>
      </c>
      <c r="E529" s="5">
        <v>1005198.19</v>
      </c>
      <c r="F529" s="5">
        <v>913165</v>
      </c>
      <c r="G529" s="5">
        <v>1036296.19</v>
      </c>
      <c r="H529" s="5"/>
      <c r="I529" s="5"/>
      <c r="J529" s="6"/>
    </row>
    <row r="530" spans="1:14">
      <c r="A530" s="9" t="s">
        <v>13</v>
      </c>
      <c r="B530" s="5">
        <v>0</v>
      </c>
      <c r="C530" s="5">
        <v>0</v>
      </c>
      <c r="D530" s="5">
        <v>0</v>
      </c>
      <c r="E530" s="5">
        <v>87857.31</v>
      </c>
      <c r="F530" s="5">
        <v>85429.86</v>
      </c>
      <c r="G530" s="5">
        <v>89967.07</v>
      </c>
      <c r="H530" s="5"/>
      <c r="I530" s="5"/>
      <c r="J530" s="6"/>
    </row>
    <row r="531" spans="1:14">
      <c r="A531" s="9" t="s">
        <v>40</v>
      </c>
      <c r="B531" s="5">
        <v>52141.74</v>
      </c>
      <c r="C531" s="5">
        <v>54517.46</v>
      </c>
      <c r="D531" s="5">
        <v>48031.72</v>
      </c>
      <c r="E531" s="5">
        <v>32526.55</v>
      </c>
      <c r="F531" s="5">
        <v>31832.76</v>
      </c>
      <c r="G531" s="5">
        <v>23781.77</v>
      </c>
      <c r="H531" s="5"/>
      <c r="I531" s="5"/>
      <c r="J531" s="6"/>
    </row>
    <row r="532" spans="1:14">
      <c r="A532" s="9" t="s">
        <v>41</v>
      </c>
      <c r="B532" s="5">
        <v>888155.94</v>
      </c>
      <c r="C532" s="5">
        <v>992465.19</v>
      </c>
      <c r="D532" s="5">
        <v>826992.75</v>
      </c>
      <c r="E532" s="5">
        <v>834601.06</v>
      </c>
      <c r="F532" s="5">
        <v>864757.56</v>
      </c>
      <c r="G532" s="5">
        <v>624367.68999999994</v>
      </c>
      <c r="H532" s="5"/>
      <c r="I532" s="5"/>
      <c r="J532" s="6"/>
    </row>
    <row r="533" spans="1:14">
      <c r="A533" s="9" t="s">
        <v>42</v>
      </c>
      <c r="B533" s="5">
        <v>4708147.5</v>
      </c>
      <c r="C533" s="5">
        <v>5148316.5</v>
      </c>
      <c r="D533" s="5">
        <v>4121694.25</v>
      </c>
      <c r="E533" s="5">
        <v>4363738</v>
      </c>
      <c r="F533" s="5">
        <v>4142052</v>
      </c>
      <c r="G533" s="5">
        <v>3107156</v>
      </c>
      <c r="H533" s="5"/>
      <c r="I533" s="5"/>
      <c r="J533" s="6"/>
    </row>
    <row r="534" spans="1:14">
      <c r="A534" s="9" t="s">
        <v>43</v>
      </c>
      <c r="B534" s="5">
        <v>8405383</v>
      </c>
      <c r="C534" s="5">
        <v>8173747.5</v>
      </c>
      <c r="D534" s="5">
        <v>6683985.5</v>
      </c>
      <c r="E534" s="5">
        <v>7596468</v>
      </c>
      <c r="F534" s="5">
        <v>6620505.5</v>
      </c>
      <c r="G534" s="5">
        <v>4827424.5</v>
      </c>
      <c r="H534" s="5"/>
      <c r="I534" s="5"/>
      <c r="J534" s="6"/>
    </row>
    <row r="535" spans="1:14">
      <c r="A535" s="9"/>
      <c r="B535" s="5"/>
      <c r="C535" s="5"/>
      <c r="D535" s="5"/>
      <c r="E535" s="5"/>
      <c r="F535" s="5"/>
      <c r="G535" s="5"/>
      <c r="H535" s="5"/>
      <c r="I535" s="5"/>
      <c r="J535" s="6"/>
    </row>
    <row r="536" spans="1:14">
      <c r="A536" s="9" t="s">
        <v>16</v>
      </c>
      <c r="B536" s="5">
        <f>SUM(B527:B528)/SUM(B527:B534)</f>
        <v>0.11806071130746919</v>
      </c>
      <c r="C536" s="5">
        <f t="shared" ref="C536:G536" si="130">SUM(C527:C528)/SUM(C527:C534)</f>
        <v>9.8420197162753034E-2</v>
      </c>
      <c r="D536" s="5">
        <f t="shared" si="130"/>
        <v>0.16768209953412563</v>
      </c>
      <c r="E536" s="5">
        <f t="shared" si="130"/>
        <v>0.73981271625264866</v>
      </c>
      <c r="F536" s="5">
        <f t="shared" si="130"/>
        <v>0.76627918493276526</v>
      </c>
      <c r="G536" s="5">
        <f t="shared" si="130"/>
        <v>0.8090728149236569</v>
      </c>
      <c r="H536" s="5"/>
      <c r="I536" s="5"/>
      <c r="J536" s="6"/>
    </row>
    <row r="537" spans="1:14">
      <c r="A537" s="9" t="s">
        <v>17</v>
      </c>
      <c r="B537" s="5">
        <f>SUM(B529:B534)/SUM(B527:B528)</f>
        <v>7.4702183217892761</v>
      </c>
      <c r="C537" s="5">
        <f t="shared" ref="C537:G537" si="131">SUM(C529:C534)/SUM(C527:C528)</f>
        <v>9.1605161219738793</v>
      </c>
      <c r="D537" s="5">
        <f t="shared" si="131"/>
        <v>4.9636657864990896</v>
      </c>
      <c r="E537" s="5">
        <f t="shared" si="131"/>
        <v>0.35169344623497456</v>
      </c>
      <c r="F537" s="5">
        <f t="shared" si="131"/>
        <v>0.30500739112173819</v>
      </c>
      <c r="G537" s="5">
        <f t="shared" si="131"/>
        <v>0.23598269717461562</v>
      </c>
      <c r="H537" s="5"/>
      <c r="I537" s="5"/>
      <c r="J537" s="6"/>
    </row>
    <row r="538" spans="1:14">
      <c r="A538" s="9" t="s">
        <v>38</v>
      </c>
      <c r="B538" s="5">
        <f>B537*$L$528</f>
        <v>3.1177872795447731E-3</v>
      </c>
      <c r="C538" s="5">
        <f t="shared" ref="C538:D538" si="132">C537*$L$528</f>
        <v>3.8232538071677293E-3</v>
      </c>
      <c r="D538" s="5">
        <f t="shared" si="132"/>
        <v>2.0716468224119739E-3</v>
      </c>
      <c r="E538" s="5">
        <f>E537*$N$528</f>
        <v>3.6695893805819549E-3</v>
      </c>
      <c r="F538" s="5">
        <f t="shared" ref="F538:G538" si="133">F537*$N$528</f>
        <v>3.1824644315707239E-3</v>
      </c>
      <c r="G538" s="5">
        <f t="shared" si="133"/>
        <v>2.4622568569972413E-3</v>
      </c>
      <c r="H538" s="5"/>
      <c r="I538" s="5"/>
      <c r="J538" s="6"/>
    </row>
    <row r="539" spans="1:14">
      <c r="A539" s="9" t="s">
        <v>51</v>
      </c>
      <c r="B539" s="5">
        <f>AVERAGE(B538:D538)</f>
        <v>3.0042293030414918E-3</v>
      </c>
      <c r="C539" s="5"/>
      <c r="D539" s="5"/>
      <c r="E539" s="5">
        <f>AVERAGE(E538:G538)</f>
        <v>3.1047702230499736E-3</v>
      </c>
      <c r="F539" s="5"/>
      <c r="G539" s="5"/>
      <c r="H539" s="5"/>
      <c r="I539" s="5"/>
      <c r="J539" s="6"/>
    </row>
    <row r="540" spans="1:14">
      <c r="A540" s="9" t="s">
        <v>52</v>
      </c>
      <c r="B540" s="5">
        <f>_xlfn.STDEV.P(B538:D538)</f>
        <v>7.1958474959841806E-4</v>
      </c>
      <c r="C540" s="5"/>
      <c r="D540" s="5"/>
      <c r="E540" s="5">
        <f>_xlfn.STDEV.P(E538:G538)</f>
        <v>4.9594371196377222E-4</v>
      </c>
      <c r="F540" s="5"/>
      <c r="G540" s="5"/>
      <c r="H540" s="5"/>
      <c r="I540" s="5"/>
      <c r="J540" s="6"/>
    </row>
    <row r="541" spans="1:14">
      <c r="A541" s="9" t="s">
        <v>53</v>
      </c>
      <c r="B541" s="5">
        <f>AVERAGE(B539,E539)</f>
        <v>3.054499763045733E-3</v>
      </c>
      <c r="C541" s="5"/>
      <c r="D541" s="5"/>
      <c r="E541" s="5"/>
      <c r="F541" s="5"/>
      <c r="G541" s="5"/>
      <c r="H541" s="5"/>
      <c r="I541" s="5"/>
      <c r="J541" s="6"/>
    </row>
    <row r="542" spans="1:14" ht="15.75" thickBot="1">
      <c r="A542" s="10" t="s">
        <v>54</v>
      </c>
      <c r="B542" s="7">
        <f>_xlfn.STDEV.P(B539,E539)</f>
        <v>5.0270460004240907E-5</v>
      </c>
      <c r="C542" s="7"/>
      <c r="D542" s="7"/>
      <c r="E542" s="7"/>
      <c r="F542" s="7"/>
      <c r="G542" s="7"/>
      <c r="H542" s="7"/>
      <c r="I542" s="7"/>
      <c r="J542" s="8"/>
    </row>
    <row r="543" spans="1:14" ht="15.75" thickBot="1"/>
    <row r="544" spans="1:14">
      <c r="A544" s="14" t="s">
        <v>32</v>
      </c>
      <c r="B544" s="12" t="s">
        <v>1</v>
      </c>
      <c r="C544" s="12" t="s">
        <v>2</v>
      </c>
      <c r="D544" s="12" t="s">
        <v>3</v>
      </c>
      <c r="E544" s="12" t="s">
        <v>4</v>
      </c>
      <c r="F544" s="12" t="s">
        <v>5</v>
      </c>
      <c r="G544" s="12" t="s">
        <v>6</v>
      </c>
      <c r="H544" s="12" t="s">
        <v>7</v>
      </c>
      <c r="I544" s="12" t="s">
        <v>8</v>
      </c>
      <c r="J544" s="13" t="s">
        <v>9</v>
      </c>
      <c r="K544" s="80" t="s">
        <v>39</v>
      </c>
      <c r="L544" s="81"/>
      <c r="M544" s="81"/>
      <c r="N544" s="82"/>
    </row>
    <row r="545" spans="1:14">
      <c r="A545" s="9" t="s">
        <v>10</v>
      </c>
      <c r="B545" s="5">
        <v>426388.53</v>
      </c>
      <c r="C545" s="5">
        <v>463890.38</v>
      </c>
      <c r="D545" s="5">
        <v>461663.53</v>
      </c>
      <c r="E545" s="5">
        <v>1900819</v>
      </c>
      <c r="F545" s="5">
        <v>2043603.38</v>
      </c>
      <c r="G545" s="5">
        <v>2000791.62</v>
      </c>
      <c r="H545" s="5">
        <v>9091928</v>
      </c>
      <c r="I545" s="5">
        <v>8833749</v>
      </c>
      <c r="J545" s="6">
        <v>9712311</v>
      </c>
      <c r="K545" s="2" t="s">
        <v>18</v>
      </c>
      <c r="L545" s="3" t="s">
        <v>19</v>
      </c>
      <c r="M545" s="3" t="s">
        <v>20</v>
      </c>
      <c r="N545" s="4" t="s">
        <v>21</v>
      </c>
    </row>
    <row r="546" spans="1:14">
      <c r="A546" s="9" t="s">
        <v>11</v>
      </c>
      <c r="B546" s="5">
        <v>37636.68</v>
      </c>
      <c r="C546" s="5">
        <v>38928.07</v>
      </c>
      <c r="D546" s="5">
        <v>44256.76</v>
      </c>
      <c r="E546" s="5">
        <v>178604.31</v>
      </c>
      <c r="F546" s="5">
        <v>185125.7</v>
      </c>
      <c r="G546" s="5">
        <v>199581.55</v>
      </c>
      <c r="H546" s="5">
        <v>886940</v>
      </c>
      <c r="I546" s="5">
        <v>843945.25</v>
      </c>
      <c r="J546" s="6">
        <v>939567.69</v>
      </c>
      <c r="K546" s="2" t="s">
        <v>32</v>
      </c>
      <c r="L546" s="5">
        <v>1.9999701760000001E-5</v>
      </c>
      <c r="M546" s="5">
        <v>9.9998508799999989E-5</v>
      </c>
      <c r="N546" s="6">
        <v>4.9999254399999999E-4</v>
      </c>
    </row>
    <row r="547" spans="1:14">
      <c r="A547" s="9" t="s">
        <v>12</v>
      </c>
      <c r="B547" s="5">
        <v>3939.14</v>
      </c>
      <c r="C547" s="5">
        <v>12689.07</v>
      </c>
      <c r="D547" s="5">
        <v>6549.31</v>
      </c>
      <c r="E547" s="5">
        <v>16353.41</v>
      </c>
      <c r="F547" s="5">
        <v>24753.26</v>
      </c>
      <c r="G547" s="5">
        <v>37579.910000000003</v>
      </c>
      <c r="H547" s="5">
        <v>151802.47</v>
      </c>
      <c r="I547" s="5">
        <v>145239.67000000001</v>
      </c>
      <c r="J547" s="6">
        <v>162708.70000000001</v>
      </c>
    </row>
    <row r="548" spans="1:14">
      <c r="A548" s="9" t="s">
        <v>13</v>
      </c>
      <c r="B548" s="5">
        <v>1078.92</v>
      </c>
      <c r="C548" s="5">
        <v>2273.98</v>
      </c>
      <c r="D548" s="5">
        <v>0</v>
      </c>
      <c r="E548" s="5">
        <v>4011.5</v>
      </c>
      <c r="F548" s="5">
        <v>2828.42</v>
      </c>
      <c r="G548" s="5">
        <v>4743.75</v>
      </c>
      <c r="H548" s="5">
        <v>16214.52</v>
      </c>
      <c r="I548" s="5">
        <v>17362.46</v>
      </c>
      <c r="J548" s="6">
        <v>18350.52</v>
      </c>
    </row>
    <row r="549" spans="1:14">
      <c r="A549" s="9" t="s">
        <v>40</v>
      </c>
      <c r="B549" s="5">
        <v>12469.13</v>
      </c>
      <c r="C549" s="5">
        <v>12895.91</v>
      </c>
      <c r="D549" s="5">
        <v>11800.29</v>
      </c>
      <c r="E549" s="5">
        <v>13366.23</v>
      </c>
      <c r="F549" s="5">
        <v>12172.8</v>
      </c>
      <c r="G549" s="5">
        <v>11890.7</v>
      </c>
      <c r="H549" s="5">
        <v>14962.65</v>
      </c>
      <c r="I549" s="5">
        <v>7714.1</v>
      </c>
      <c r="J549" s="6">
        <v>11830.07</v>
      </c>
    </row>
    <row r="550" spans="1:14">
      <c r="A550" s="9" t="s">
        <v>41</v>
      </c>
      <c r="B550" s="5">
        <v>224949.38</v>
      </c>
      <c r="C550" s="5">
        <v>244952.38</v>
      </c>
      <c r="D550" s="5">
        <v>226315.55</v>
      </c>
      <c r="E550" s="5">
        <v>206153.38</v>
      </c>
      <c r="F550" s="5">
        <v>239866.11</v>
      </c>
      <c r="G550" s="5">
        <v>228963.56</v>
      </c>
      <c r="H550" s="5">
        <v>179337.2</v>
      </c>
      <c r="I550" s="5">
        <v>174177.53</v>
      </c>
      <c r="J550" s="6">
        <v>214936.45</v>
      </c>
    </row>
    <row r="551" spans="1:14">
      <c r="A551" s="9" t="s">
        <v>42</v>
      </c>
      <c r="B551" s="5">
        <v>897246.25</v>
      </c>
      <c r="C551" s="5">
        <v>906560.5</v>
      </c>
      <c r="D551" s="5">
        <v>919606.81</v>
      </c>
      <c r="E551" s="5">
        <v>783761.81</v>
      </c>
      <c r="F551" s="5">
        <v>924985.31</v>
      </c>
      <c r="G551" s="5">
        <v>872056.69</v>
      </c>
      <c r="H551" s="5">
        <v>727715</v>
      </c>
      <c r="I551" s="5">
        <v>701085.81</v>
      </c>
      <c r="J551" s="6">
        <v>826147.06</v>
      </c>
    </row>
    <row r="552" spans="1:14">
      <c r="A552" s="9" t="s">
        <v>43</v>
      </c>
      <c r="B552" s="5">
        <v>974182.75</v>
      </c>
      <c r="C552" s="5">
        <v>1164766.8799999999</v>
      </c>
      <c r="D552" s="5">
        <v>1130016</v>
      </c>
      <c r="E552" s="5">
        <v>916458.25</v>
      </c>
      <c r="F552" s="5">
        <v>1188245.1200000001</v>
      </c>
      <c r="G552" s="5">
        <v>1090824.8799999999</v>
      </c>
      <c r="H552" s="5">
        <v>831356.81</v>
      </c>
      <c r="I552" s="5">
        <v>903373.56</v>
      </c>
      <c r="J552" s="6">
        <v>1000898.19</v>
      </c>
    </row>
    <row r="553" spans="1:14">
      <c r="A553" s="9"/>
      <c r="B553" s="5"/>
      <c r="C553" s="5"/>
      <c r="D553" s="5"/>
      <c r="E553" s="5"/>
      <c r="F553" s="5"/>
      <c r="G553" s="5"/>
      <c r="H553" s="5"/>
      <c r="I553" s="5"/>
      <c r="J553" s="6"/>
    </row>
    <row r="554" spans="1:14">
      <c r="A554" s="9" t="s">
        <v>16</v>
      </c>
      <c r="B554" s="5">
        <f>SUM(B545:B546)/SUM(B545:B552)</f>
        <v>0.1800018889861579</v>
      </c>
      <c r="C554" s="5">
        <f t="shared" ref="C554:J554" si="134">SUM(C545:C546)/SUM(C545:C552)</f>
        <v>0.17661609219080737</v>
      </c>
      <c r="D554" s="5">
        <f t="shared" si="134"/>
        <v>0.18067238034885441</v>
      </c>
      <c r="E554" s="5">
        <f t="shared" si="134"/>
        <v>0.51733023551678858</v>
      </c>
      <c r="F554" s="5">
        <f t="shared" si="134"/>
        <v>0.48224395807832049</v>
      </c>
      <c r="G554" s="5">
        <f t="shared" si="134"/>
        <v>0.49486258721390369</v>
      </c>
      <c r="H554" s="5">
        <f t="shared" si="134"/>
        <v>0.8385422511034667</v>
      </c>
      <c r="I554" s="5">
        <f t="shared" si="134"/>
        <v>0.832371872449442</v>
      </c>
      <c r="J554" s="6">
        <f t="shared" si="134"/>
        <v>0.82657605327210804</v>
      </c>
    </row>
    <row r="555" spans="1:14">
      <c r="A555" s="9" t="s">
        <v>17</v>
      </c>
      <c r="B555" s="5">
        <f>SUM(B547:B552)/SUM(B545:B546)</f>
        <v>4.5554972541254823</v>
      </c>
      <c r="C555" s="5">
        <f t="shared" ref="C555:J555" si="135">SUM(C547:C552)/SUM(C545:C546)</f>
        <v>4.6619982222211611</v>
      </c>
      <c r="D555" s="5">
        <f t="shared" si="135"/>
        <v>4.5348803069353076</v>
      </c>
      <c r="E555" s="5">
        <f t="shared" si="135"/>
        <v>0.93300126562493912</v>
      </c>
      <c r="F555" s="5">
        <f t="shared" si="135"/>
        <v>1.0736392509402712</v>
      </c>
      <c r="G555" s="5">
        <f t="shared" si="135"/>
        <v>1.020762987216391</v>
      </c>
      <c r="H555" s="5">
        <f t="shared" si="135"/>
        <v>0.19254575268457302</v>
      </c>
      <c r="I555" s="5">
        <f t="shared" si="135"/>
        <v>0.20138610289325892</v>
      </c>
      <c r="J555" s="6">
        <f t="shared" si="135"/>
        <v>0.20981003023420655</v>
      </c>
    </row>
    <row r="556" spans="1:14">
      <c r="A556" s="9" t="s">
        <v>38</v>
      </c>
      <c r="B556" s="5">
        <f>B555*$L$546</f>
        <v>9.1108586451008573E-5</v>
      </c>
      <c r="C556" s="5">
        <f t="shared" ref="C556:D556" si="136">C555*$L$546</f>
        <v>9.3238574050073431E-5</v>
      </c>
      <c r="D556" s="5">
        <f t="shared" si="136"/>
        <v>9.0696253656003415E-5</v>
      </c>
      <c r="E556" s="5">
        <f>E555*$M$546</f>
        <v>9.3298735271006596E-5</v>
      </c>
      <c r="F556" s="5">
        <f t="shared" ref="F556:G556" si="137">F555*$M$546</f>
        <v>1.0736232408317611E-4</v>
      </c>
      <c r="G556" s="5">
        <f t="shared" si="137"/>
        <v>1.0207477655987256E-4</v>
      </c>
      <c r="H556" s="5">
        <f>H555*$N$546</f>
        <v>9.6271440721154491E-5</v>
      </c>
      <c r="I556" s="5">
        <f t="shared" ref="I556:J556" si="138">I555*$N$546</f>
        <v>1.0069154991184629E-4</v>
      </c>
      <c r="J556" s="6">
        <f t="shared" si="138"/>
        <v>1.0490345077351785E-4</v>
      </c>
    </row>
    <row r="557" spans="1:14">
      <c r="A557" s="9" t="s">
        <v>51</v>
      </c>
      <c r="B557" s="5">
        <f>AVERAGE(B556:D556)</f>
        <v>9.1681138052361797E-5</v>
      </c>
      <c r="C557" s="5"/>
      <c r="D557" s="5"/>
      <c r="E557" s="5">
        <f>AVERAGE(E556:G556)</f>
        <v>1.0091194530468508E-4</v>
      </c>
      <c r="F557" s="5"/>
      <c r="G557" s="5"/>
      <c r="H557" s="5">
        <f>AVERAGE(H556:J556)</f>
        <v>1.0062214713550621E-4</v>
      </c>
      <c r="I557" s="5"/>
      <c r="J557" s="6"/>
    </row>
    <row r="558" spans="1:14">
      <c r="A558" s="9" t="s">
        <v>52</v>
      </c>
      <c r="B558" s="5">
        <f>_xlfn.STDEV.P(B556:D556)</f>
        <v>1.1140645548875504E-6</v>
      </c>
      <c r="C558" s="5"/>
      <c r="D558" s="5"/>
      <c r="E558" s="5">
        <f>_xlfn.STDEV.P(E556:G556)</f>
        <v>5.8000152278809039E-6</v>
      </c>
      <c r="F558" s="5"/>
      <c r="G558" s="5"/>
      <c r="H558" s="5">
        <f>_xlfn.STDEV.P(H556:J556)</f>
        <v>3.5243450403394846E-6</v>
      </c>
      <c r="I558" s="5"/>
      <c r="J558" s="6"/>
    </row>
    <row r="559" spans="1:14">
      <c r="A559" s="9" t="s">
        <v>53</v>
      </c>
      <c r="B559" s="5">
        <f>AVERAGE(B557,E557,H557)</f>
        <v>9.773841016418436E-5</v>
      </c>
      <c r="C559" s="5"/>
      <c r="D559" s="5"/>
      <c r="E559" s="5"/>
      <c r="F559" s="5"/>
      <c r="G559" s="5"/>
      <c r="H559" s="5"/>
      <c r="I559" s="5"/>
      <c r="J559" s="6"/>
    </row>
    <row r="560" spans="1:14" ht="15.75" thickBot="1">
      <c r="A560" s="10" t="s">
        <v>54</v>
      </c>
      <c r="B560" s="7">
        <f>_xlfn.STDEV.P(B557,E557,H557)</f>
        <v>4.2847718587428837E-6</v>
      </c>
      <c r="C560" s="7"/>
      <c r="D560" s="7"/>
      <c r="E560" s="7"/>
      <c r="F560" s="7"/>
      <c r="G560" s="7"/>
      <c r="H560" s="7"/>
      <c r="I560" s="7"/>
      <c r="J560" s="8"/>
    </row>
    <row r="561" spans="1:14" ht="15.75" thickBot="1"/>
    <row r="562" spans="1:14">
      <c r="A562" s="25" t="s">
        <v>32</v>
      </c>
      <c r="B562" s="12" t="s">
        <v>1</v>
      </c>
      <c r="C562" s="12" t="s">
        <v>2</v>
      </c>
      <c r="D562" s="12" t="s">
        <v>3</v>
      </c>
      <c r="E562" s="12" t="s">
        <v>7</v>
      </c>
      <c r="F562" s="12" t="s">
        <v>8</v>
      </c>
      <c r="G562" s="12" t="s">
        <v>9</v>
      </c>
      <c r="H562" s="12"/>
      <c r="I562" s="12"/>
      <c r="J562" s="13"/>
      <c r="K562" s="80" t="s">
        <v>37</v>
      </c>
      <c r="L562" s="81"/>
      <c r="M562" s="81"/>
      <c r="N562" s="82"/>
    </row>
    <row r="563" spans="1:14">
      <c r="A563" s="9" t="s">
        <v>10</v>
      </c>
      <c r="B563" s="5">
        <v>521756.88</v>
      </c>
      <c r="C563" s="5">
        <v>498964.97</v>
      </c>
      <c r="D563" s="5">
        <v>732712.56</v>
      </c>
      <c r="E563" s="5">
        <v>8794251</v>
      </c>
      <c r="F563" s="5">
        <v>8781096</v>
      </c>
      <c r="G563" s="5">
        <v>9167053</v>
      </c>
      <c r="H563" s="5"/>
      <c r="I563" s="5"/>
      <c r="J563" s="6"/>
      <c r="K563" s="2" t="s">
        <v>18</v>
      </c>
      <c r="L563" s="3" t="s">
        <v>19</v>
      </c>
      <c r="M563" s="3"/>
      <c r="N563" s="4" t="s">
        <v>21</v>
      </c>
    </row>
    <row r="564" spans="1:14">
      <c r="A564" s="9" t="s">
        <v>11</v>
      </c>
      <c r="B564" s="5">
        <v>50971.14</v>
      </c>
      <c r="C564" s="5">
        <v>46775.9</v>
      </c>
      <c r="D564" s="5">
        <v>78201.7</v>
      </c>
      <c r="E564" s="5">
        <v>852813</v>
      </c>
      <c r="F564" s="5">
        <v>756435.06</v>
      </c>
      <c r="G564" s="5">
        <v>870049.94</v>
      </c>
      <c r="H564" s="5"/>
      <c r="I564" s="5"/>
      <c r="J564" s="6"/>
      <c r="K564" s="2" t="s">
        <v>32</v>
      </c>
      <c r="L564" s="5">
        <v>1.9999701760000001E-5</v>
      </c>
      <c r="N564" s="6">
        <v>4.9999254399999999E-4</v>
      </c>
    </row>
    <row r="565" spans="1:14">
      <c r="A565" s="9" t="s">
        <v>12</v>
      </c>
      <c r="B565" s="5">
        <v>2103.5</v>
      </c>
      <c r="C565" s="5">
        <v>2775.2</v>
      </c>
      <c r="D565" s="5">
        <v>0</v>
      </c>
      <c r="E565" s="5">
        <v>0</v>
      </c>
      <c r="F565" s="5">
        <v>32350.18</v>
      </c>
      <c r="G565" s="5">
        <v>0</v>
      </c>
      <c r="H565" s="5"/>
      <c r="I565" s="5"/>
      <c r="J565" s="6"/>
    </row>
    <row r="566" spans="1:14">
      <c r="A566" s="9" t="s">
        <v>13</v>
      </c>
      <c r="B566" s="5">
        <v>0</v>
      </c>
      <c r="C566" s="5">
        <v>0</v>
      </c>
      <c r="D566" s="5">
        <v>0</v>
      </c>
      <c r="E566" s="5">
        <v>11177.83</v>
      </c>
      <c r="F566" s="5">
        <v>4657.47</v>
      </c>
      <c r="G566" s="5">
        <v>5918.93</v>
      </c>
      <c r="H566" s="5"/>
      <c r="I566" s="5"/>
      <c r="J566" s="6"/>
    </row>
    <row r="567" spans="1:14">
      <c r="A567" s="9" t="s">
        <v>40</v>
      </c>
      <c r="B567" s="5">
        <v>8016.25</v>
      </c>
      <c r="C567" s="5">
        <v>11522.74</v>
      </c>
      <c r="D567" s="5">
        <v>11365.81</v>
      </c>
      <c r="E567" s="5">
        <v>6826.69</v>
      </c>
      <c r="F567" s="5">
        <v>11917.36</v>
      </c>
      <c r="G567" s="5">
        <v>7237.38</v>
      </c>
      <c r="H567" s="5"/>
      <c r="I567" s="5"/>
      <c r="J567" s="6"/>
    </row>
    <row r="568" spans="1:14">
      <c r="A568" s="9" t="s">
        <v>41</v>
      </c>
      <c r="B568" s="5">
        <v>173141.17</v>
      </c>
      <c r="C568" s="5">
        <v>183324.69</v>
      </c>
      <c r="D568" s="5">
        <v>193441.02</v>
      </c>
      <c r="E568" s="5">
        <v>141276.98000000001</v>
      </c>
      <c r="F568" s="5">
        <v>128237.44</v>
      </c>
      <c r="G568" s="5">
        <v>141943.22</v>
      </c>
      <c r="H568" s="5"/>
      <c r="I568" s="5"/>
      <c r="J568" s="6"/>
    </row>
    <row r="569" spans="1:14">
      <c r="A569" s="9" t="s">
        <v>42</v>
      </c>
      <c r="B569" s="5">
        <v>858270.81</v>
      </c>
      <c r="C569" s="5">
        <v>867236.19</v>
      </c>
      <c r="D569" s="5">
        <v>901907.56</v>
      </c>
      <c r="E569" s="5">
        <v>666087.12</v>
      </c>
      <c r="F569" s="5">
        <v>612402.31000000006</v>
      </c>
      <c r="G569" s="5">
        <v>669656.56000000006</v>
      </c>
      <c r="H569" s="5"/>
      <c r="I569" s="5"/>
      <c r="J569" s="6"/>
    </row>
    <row r="570" spans="1:14">
      <c r="A570" s="9" t="s">
        <v>43</v>
      </c>
      <c r="B570" s="5">
        <v>1402859</v>
      </c>
      <c r="C570" s="5">
        <v>1285312.5</v>
      </c>
      <c r="D570" s="5">
        <v>1409762.5</v>
      </c>
      <c r="E570" s="5">
        <v>1080316.1200000001</v>
      </c>
      <c r="F570" s="5">
        <v>875137</v>
      </c>
      <c r="G570" s="5">
        <v>1110914.6200000001</v>
      </c>
      <c r="H570" s="5"/>
      <c r="I570" s="5"/>
      <c r="J570" s="6"/>
    </row>
    <row r="571" spans="1:14">
      <c r="A571" s="9"/>
      <c r="B571" s="5"/>
      <c r="C571" s="5"/>
      <c r="D571" s="5"/>
      <c r="E571" s="5"/>
      <c r="F571" s="5"/>
      <c r="G571" s="5"/>
      <c r="H571" s="5"/>
      <c r="I571" s="5"/>
      <c r="J571" s="6"/>
    </row>
    <row r="572" spans="1:14">
      <c r="A572" s="9" t="s">
        <v>16</v>
      </c>
      <c r="B572" s="5">
        <f>SUM(B563:B564)/SUM(B563:B570)</f>
        <v>0.18982614456258973</v>
      </c>
      <c r="C572" s="5">
        <f t="shared" ref="C572:G572" si="139">SUM(C563:C564)/SUM(C563:C570)</f>
        <v>0.18845214709358987</v>
      </c>
      <c r="D572" s="5">
        <f t="shared" si="139"/>
        <v>0.24370872657998141</v>
      </c>
      <c r="E572" s="5">
        <f t="shared" si="139"/>
        <v>0.83504490724343416</v>
      </c>
      <c r="F572" s="5">
        <f t="shared" si="139"/>
        <v>0.85139553991165851</v>
      </c>
      <c r="G572" s="5">
        <f t="shared" si="139"/>
        <v>0.8383272943609017</v>
      </c>
      <c r="H572" s="5"/>
      <c r="I572" s="5"/>
      <c r="J572" s="6"/>
    </row>
    <row r="573" spans="1:14">
      <c r="A573" s="9" t="s">
        <v>17</v>
      </c>
      <c r="B573" s="5">
        <f>SUM(B565:B570)/SUM(B563:B564)</f>
        <v>4.2679782455902888</v>
      </c>
      <c r="C573" s="5">
        <f t="shared" ref="C573:G573" si="140">SUM(C565:C570)/SUM(C563:C564)</f>
        <v>4.3063868755147476</v>
      </c>
      <c r="D573" s="5">
        <f t="shared" si="140"/>
        <v>3.1032588944730115</v>
      </c>
      <c r="E573" s="5">
        <f t="shared" si="140"/>
        <v>0.1975403853441835</v>
      </c>
      <c r="F573" s="5">
        <f t="shared" si="140"/>
        <v>0.1745422111369774</v>
      </c>
      <c r="G573" s="5">
        <f t="shared" si="140"/>
        <v>0.19285153510640396</v>
      </c>
      <c r="H573" s="5"/>
      <c r="I573" s="5"/>
      <c r="J573" s="6"/>
    </row>
    <row r="574" spans="1:14">
      <c r="A574" s="9" t="s">
        <v>38</v>
      </c>
      <c r="B574" s="5">
        <f>B573*$L$564</f>
        <v>8.5358292029973816E-5</v>
      </c>
      <c r="C574" s="5">
        <f t="shared" ref="C574:D574" si="141">C573*$L$564</f>
        <v>8.6126453173473202E-5</v>
      </c>
      <c r="D574" s="5">
        <f t="shared" si="141"/>
        <v>6.2064252373527547E-5</v>
      </c>
      <c r="E574" s="5">
        <f>E573*$N$564</f>
        <v>9.8768719810978618E-5</v>
      </c>
      <c r="F574" s="5">
        <f t="shared" ref="F574:G574" si="142">F573*$N$564</f>
        <v>8.7269804181762462E-5</v>
      </c>
      <c r="G574" s="5">
        <f t="shared" si="142"/>
        <v>9.6424329652156223E-5</v>
      </c>
      <c r="H574" s="5"/>
      <c r="I574" s="5"/>
      <c r="J574" s="6"/>
    </row>
    <row r="575" spans="1:14">
      <c r="A575" s="9" t="s">
        <v>51</v>
      </c>
      <c r="B575" s="5">
        <f>AVERAGE(B574:D574)</f>
        <v>7.7849665858991526E-5</v>
      </c>
      <c r="C575" s="5"/>
      <c r="D575" s="5"/>
      <c r="E575" s="5">
        <f>AVERAGE(E574:G574)</f>
        <v>9.4154284548299101E-5</v>
      </c>
      <c r="F575" s="5"/>
      <c r="G575" s="5"/>
      <c r="H575" s="5"/>
      <c r="I575" s="5"/>
      <c r="J575" s="6"/>
    </row>
    <row r="576" spans="1:14">
      <c r="A576" s="9" t="s">
        <v>52</v>
      </c>
      <c r="B576" s="5">
        <f>_xlfn.STDEV.P(B574:D574)</f>
        <v>1.1166377421106528E-5</v>
      </c>
      <c r="C576" s="5"/>
      <c r="D576" s="5"/>
      <c r="E576" s="5">
        <f>_xlfn.STDEV.P(E574:G574)</f>
        <v>4.9612561408119996E-6</v>
      </c>
      <c r="F576" s="5"/>
      <c r="G576" s="5"/>
      <c r="H576" s="5"/>
      <c r="I576" s="5"/>
      <c r="J576" s="6"/>
    </row>
    <row r="577" spans="1:14">
      <c r="A577" s="9" t="s">
        <v>53</v>
      </c>
      <c r="B577" s="5">
        <f>AVERAGE(B575,E575)</f>
        <v>8.6001975203645314E-5</v>
      </c>
      <c r="C577" s="5"/>
      <c r="D577" s="5"/>
      <c r="E577" s="5"/>
      <c r="F577" s="5"/>
      <c r="G577" s="5"/>
      <c r="H577" s="5"/>
      <c r="I577" s="5"/>
      <c r="J577" s="6"/>
    </row>
    <row r="578" spans="1:14" ht="15.75" thickBot="1">
      <c r="A578" s="10" t="s">
        <v>54</v>
      </c>
      <c r="B578" s="7">
        <f>_xlfn.STDEV.P(B575,E575)</f>
        <v>8.1523093446537873E-6</v>
      </c>
      <c r="C578" s="7"/>
      <c r="D578" s="7"/>
      <c r="E578" s="7"/>
      <c r="F578" s="7"/>
      <c r="G578" s="7"/>
      <c r="H578" s="7"/>
      <c r="I578" s="7"/>
      <c r="J578" s="8"/>
    </row>
    <row r="579" spans="1:14" ht="15.75" thickBo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4">
      <c r="A580" s="15" t="s">
        <v>32</v>
      </c>
      <c r="B580" s="12" t="s">
        <v>57</v>
      </c>
      <c r="C580" s="12" t="s">
        <v>58</v>
      </c>
      <c r="D580" s="12" t="s">
        <v>59</v>
      </c>
      <c r="E580" s="12" t="s">
        <v>60</v>
      </c>
      <c r="F580" s="12" t="s">
        <v>61</v>
      </c>
      <c r="G580" s="12" t="s">
        <v>62</v>
      </c>
      <c r="H580" s="12" t="s">
        <v>63</v>
      </c>
      <c r="I580" s="12" t="s">
        <v>64</v>
      </c>
      <c r="J580" s="13" t="s">
        <v>65</v>
      </c>
      <c r="K580" s="80" t="s">
        <v>39</v>
      </c>
      <c r="L580" s="81"/>
      <c r="M580" s="81"/>
      <c r="N580" s="82"/>
    </row>
    <row r="581" spans="1:14">
      <c r="A581" s="9" t="s">
        <v>10</v>
      </c>
      <c r="B581" s="5">
        <v>160724.5</v>
      </c>
      <c r="C581" s="5">
        <v>137139.01999999999</v>
      </c>
      <c r="D581" s="5">
        <v>149932.29999999999</v>
      </c>
      <c r="E581" s="5">
        <v>697449.06</v>
      </c>
      <c r="F581" s="5">
        <v>746616.31</v>
      </c>
      <c r="G581" s="5">
        <v>686684.94</v>
      </c>
      <c r="H581" s="5">
        <v>3538764.25</v>
      </c>
      <c r="I581" s="5">
        <v>3438212.75</v>
      </c>
      <c r="J581" s="6">
        <v>3508656</v>
      </c>
      <c r="K581" s="2" t="s">
        <v>18</v>
      </c>
      <c r="L581" s="3" t="s">
        <v>19</v>
      </c>
      <c r="M581" s="3" t="s">
        <v>20</v>
      </c>
      <c r="N581" s="4" t="s">
        <v>21</v>
      </c>
    </row>
    <row r="582" spans="1:14">
      <c r="A582" s="9" t="s">
        <v>11</v>
      </c>
      <c r="B582" s="5">
        <v>8517.64</v>
      </c>
      <c r="C582" s="5">
        <v>5530.84</v>
      </c>
      <c r="D582" s="5">
        <v>14461.09</v>
      </c>
      <c r="E582" s="5">
        <v>61817.31</v>
      </c>
      <c r="F582" s="5">
        <v>66128.27</v>
      </c>
      <c r="G582" s="5">
        <v>54714.91</v>
      </c>
      <c r="H582" s="5">
        <v>337332.28</v>
      </c>
      <c r="I582" s="5">
        <v>283545.75</v>
      </c>
      <c r="J582" s="6">
        <v>299254.65999999997</v>
      </c>
      <c r="K582" s="2" t="s">
        <v>32</v>
      </c>
      <c r="L582" s="5">
        <v>1.9999701760000001E-5</v>
      </c>
      <c r="M582" s="5">
        <v>9.9998508799999989E-5</v>
      </c>
      <c r="N582" s="6">
        <v>4.9999254399999999E-4</v>
      </c>
    </row>
    <row r="583" spans="1:14">
      <c r="A583" s="9" t="s">
        <v>12</v>
      </c>
      <c r="B583" s="5">
        <v>0</v>
      </c>
      <c r="C583" s="5">
        <v>0</v>
      </c>
      <c r="D583" s="5">
        <v>0</v>
      </c>
      <c r="E583" s="5">
        <v>0</v>
      </c>
      <c r="F583" s="5">
        <v>0</v>
      </c>
      <c r="G583" s="5">
        <v>2794.53</v>
      </c>
      <c r="H583" s="5">
        <v>0</v>
      </c>
      <c r="I583" s="5">
        <v>0</v>
      </c>
      <c r="J583" s="6">
        <v>0</v>
      </c>
    </row>
    <row r="584" spans="1:14">
      <c r="A584" s="9" t="s">
        <v>40</v>
      </c>
      <c r="B584" s="5">
        <v>0</v>
      </c>
      <c r="C584" s="5">
        <v>0</v>
      </c>
      <c r="D584" s="5">
        <v>0</v>
      </c>
      <c r="E584" s="5">
        <v>0</v>
      </c>
      <c r="F584" s="5">
        <v>4488.5600000000004</v>
      </c>
      <c r="G584" s="5">
        <v>3990.94</v>
      </c>
      <c r="H584" s="5">
        <v>4345.3999999999996</v>
      </c>
      <c r="I584" s="5">
        <v>0</v>
      </c>
      <c r="J584" s="6">
        <v>0</v>
      </c>
    </row>
    <row r="585" spans="1:14">
      <c r="A585" s="9" t="s">
        <v>41</v>
      </c>
      <c r="B585" s="5">
        <v>76505.460000000006</v>
      </c>
      <c r="C585" s="5">
        <v>79419.679999999993</v>
      </c>
      <c r="D585" s="5">
        <v>85622.69</v>
      </c>
      <c r="E585" s="5">
        <v>81259.240000000005</v>
      </c>
      <c r="F585" s="5">
        <v>102153.85</v>
      </c>
      <c r="G585" s="5">
        <v>83776.570000000007</v>
      </c>
      <c r="H585" s="5">
        <v>90808.38</v>
      </c>
      <c r="I585" s="5">
        <v>79507.45</v>
      </c>
      <c r="J585" s="6">
        <v>71534.8</v>
      </c>
    </row>
    <row r="586" spans="1:14">
      <c r="A586" s="9" t="s">
        <v>42</v>
      </c>
      <c r="B586" s="5">
        <v>323341.65999999997</v>
      </c>
      <c r="C586" s="5">
        <v>342681.69</v>
      </c>
      <c r="D586" s="5">
        <v>354419.09</v>
      </c>
      <c r="E586" s="5">
        <v>328786.65999999997</v>
      </c>
      <c r="F586" s="5">
        <v>374722.91</v>
      </c>
      <c r="G586" s="5">
        <v>312872.40999999997</v>
      </c>
      <c r="H586" s="5">
        <v>275879.84000000003</v>
      </c>
      <c r="I586" s="5">
        <v>286146.21999999997</v>
      </c>
      <c r="J586" s="6">
        <v>318448.88</v>
      </c>
    </row>
    <row r="587" spans="1:14">
      <c r="A587" s="9" t="s">
        <v>43</v>
      </c>
      <c r="B587" s="5">
        <v>363522.16</v>
      </c>
      <c r="C587" s="5">
        <v>440361.47</v>
      </c>
      <c r="D587" s="5">
        <v>423676.97</v>
      </c>
      <c r="E587" s="5">
        <v>375253.09</v>
      </c>
      <c r="F587" s="5">
        <v>464088.75</v>
      </c>
      <c r="G587" s="5">
        <v>431992.25</v>
      </c>
      <c r="H587" s="5">
        <v>326709.25</v>
      </c>
      <c r="I587" s="5">
        <v>332462.5</v>
      </c>
      <c r="J587" s="6">
        <v>361834.91</v>
      </c>
    </row>
    <row r="588" spans="1:14">
      <c r="A588" s="9"/>
      <c r="B588" s="5"/>
      <c r="C588" s="5"/>
      <c r="D588" s="5"/>
      <c r="E588" s="5"/>
      <c r="F588" s="5"/>
      <c r="G588" s="5"/>
      <c r="H588" s="5"/>
      <c r="I588" s="5"/>
      <c r="J588" s="6"/>
    </row>
    <row r="589" spans="1:14">
      <c r="A589" s="9" t="s">
        <v>16</v>
      </c>
      <c r="B589" s="5">
        <f>SUM(B581:B582)/SUM(B581:B587)</f>
        <v>0.1814712283922065</v>
      </c>
      <c r="C589" s="5">
        <f t="shared" ref="C589:J589" si="143">SUM(C581:C582)/SUM(C581:C587)</f>
        <v>0.14194131779813748</v>
      </c>
      <c r="D589" s="5">
        <f t="shared" si="143"/>
        <v>0.15989830642404435</v>
      </c>
      <c r="E589" s="5">
        <f t="shared" si="143"/>
        <v>0.49157283314964417</v>
      </c>
      <c r="F589" s="5">
        <f t="shared" si="143"/>
        <v>0.46225981347443307</v>
      </c>
      <c r="G589" s="5">
        <f t="shared" si="143"/>
        <v>0.47018478348173431</v>
      </c>
      <c r="H589" s="5">
        <f t="shared" si="143"/>
        <v>0.84744919771341332</v>
      </c>
      <c r="I589" s="5">
        <f t="shared" si="143"/>
        <v>0.8420506864734244</v>
      </c>
      <c r="J589" s="6">
        <f t="shared" si="143"/>
        <v>0.83511771230715071</v>
      </c>
    </row>
    <row r="590" spans="1:14">
      <c r="A590" s="9" t="s">
        <v>17</v>
      </c>
      <c r="B590" s="5">
        <f>SUM(B583:B587)/SUM(B581:B582)</f>
        <v>4.5105154070966007</v>
      </c>
      <c r="C590" s="5">
        <f t="shared" ref="C590:J590" si="144">SUM(C583:C587)/SUM(C581:C582)</f>
        <v>6.04516497037286</v>
      </c>
      <c r="D590" s="5">
        <f t="shared" si="144"/>
        <v>5.2539749317171456</v>
      </c>
      <c r="E590" s="5">
        <f t="shared" si="144"/>
        <v>1.0342865442598226</v>
      </c>
      <c r="F590" s="5">
        <f t="shared" si="144"/>
        <v>1.1632856044392199</v>
      </c>
      <c r="G590" s="5">
        <f t="shared" si="144"/>
        <v>1.1268234003554223</v>
      </c>
      <c r="H590" s="5">
        <f t="shared" si="144"/>
        <v>0.1800117372205898</v>
      </c>
      <c r="I590" s="5">
        <f t="shared" si="144"/>
        <v>0.18757696664090373</v>
      </c>
      <c r="J590" s="6">
        <f t="shared" si="144"/>
        <v>0.19743598448814445</v>
      </c>
    </row>
    <row r="591" spans="1:14">
      <c r="A591" s="9" t="s">
        <v>38</v>
      </c>
      <c r="B591" s="5">
        <f>B590*$L$582</f>
        <v>9.0208962925817005E-5</v>
      </c>
      <c r="C591" s="5">
        <f t="shared" ref="C591:D591" si="145">C590*$L$582</f>
        <v>1.2090149649745644E-4</v>
      </c>
      <c r="D591" s="5">
        <f t="shared" si="145"/>
        <v>1.0507793168885928E-4</v>
      </c>
      <c r="E591" s="5">
        <f>E590*$M$582</f>
        <v>1.0342711209788745E-4</v>
      </c>
      <c r="F591" s="5">
        <f t="shared" ref="F591:G591" si="146">F590*$M$582</f>
        <v>1.1632682575242864E-4</v>
      </c>
      <c r="G591" s="5">
        <f t="shared" si="146"/>
        <v>1.126806597164876E-4</v>
      </c>
      <c r="H591" s="5">
        <f>H590*$N$582</f>
        <v>9.0004526442782177E-5</v>
      </c>
      <c r="I591" s="5">
        <f t="shared" ref="I591:J591" si="147">I590*$N$582</f>
        <v>9.3787084746588587E-5</v>
      </c>
      <c r="J591" s="6">
        <f t="shared" si="147"/>
        <v>9.8716520161371883E-5</v>
      </c>
    </row>
    <row r="592" spans="1:14">
      <c r="A592" s="9" t="s">
        <v>51</v>
      </c>
      <c r="B592" s="5">
        <f>AVERAGE(B591:D591)</f>
        <v>1.0539613037071091E-4</v>
      </c>
      <c r="C592" s="5"/>
      <c r="D592" s="5"/>
      <c r="E592" s="5">
        <f>AVERAGE(E591:G591)</f>
        <v>1.1081153252226791E-4</v>
      </c>
      <c r="F592" s="5"/>
      <c r="G592" s="5"/>
      <c r="H592" s="5">
        <f>AVERAGE(H591:J591)</f>
        <v>9.4169377116914206E-5</v>
      </c>
      <c r="I592" s="5"/>
      <c r="J592" s="6"/>
    </row>
    <row r="593" spans="1:14">
      <c r="A593" s="9" t="s">
        <v>52</v>
      </c>
      <c r="B593" s="5">
        <f>_xlfn.STDEV.P(B591:D591)</f>
        <v>1.2532194329337076E-5</v>
      </c>
      <c r="C593" s="5"/>
      <c r="D593" s="5"/>
      <c r="E593" s="5">
        <f>_xlfn.STDEV.P(E591:G591)</f>
        <v>5.4296028365137884E-6</v>
      </c>
      <c r="F593" s="5"/>
      <c r="G593" s="5"/>
      <c r="H593" s="5">
        <f>_xlfn.STDEV.P(H591:J591)</f>
        <v>3.5669145612133289E-6</v>
      </c>
      <c r="I593" s="5"/>
      <c r="J593" s="6"/>
    </row>
    <row r="594" spans="1:14">
      <c r="A594" s="9" t="s">
        <v>53</v>
      </c>
      <c r="B594" s="5">
        <f>AVERAGE(B592,E592,H592)</f>
        <v>1.0345901333663099E-4</v>
      </c>
      <c r="C594" s="5"/>
      <c r="D594" s="5"/>
      <c r="E594" s="5"/>
      <c r="F594" s="5"/>
      <c r="G594" s="5"/>
      <c r="H594" s="5"/>
      <c r="I594" s="5"/>
      <c r="J594" s="6"/>
    </row>
    <row r="595" spans="1:14" ht="15.75" thickBot="1">
      <c r="A595" s="10" t="s">
        <v>54</v>
      </c>
      <c r="B595" s="7">
        <f>_xlfn.STDEV.P(B592,E592,H592)</f>
        <v>6.9308321259320532E-6</v>
      </c>
      <c r="C595" s="7"/>
      <c r="D595" s="7"/>
      <c r="E595" s="7"/>
      <c r="F595" s="7"/>
      <c r="G595" s="7"/>
      <c r="H595" s="7"/>
      <c r="I595" s="7"/>
      <c r="J595" s="8"/>
    </row>
    <row r="596" spans="1:14" ht="15.75" thickBo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4">
      <c r="A597" s="26" t="s">
        <v>32</v>
      </c>
      <c r="B597" s="12" t="s">
        <v>57</v>
      </c>
      <c r="C597" s="12" t="s">
        <v>58</v>
      </c>
      <c r="D597" s="12" t="s">
        <v>59</v>
      </c>
      <c r="E597" s="12" t="s">
        <v>63</v>
      </c>
      <c r="F597" s="12" t="s">
        <v>64</v>
      </c>
      <c r="G597" s="12" t="s">
        <v>65</v>
      </c>
      <c r="H597" s="12"/>
      <c r="I597" s="12"/>
      <c r="J597" s="13"/>
      <c r="K597" s="80" t="s">
        <v>37</v>
      </c>
      <c r="L597" s="81"/>
      <c r="M597" s="81"/>
      <c r="N597" s="82"/>
    </row>
    <row r="598" spans="1:14">
      <c r="A598" s="9" t="s">
        <v>10</v>
      </c>
      <c r="B598" s="5">
        <v>198155.06</v>
      </c>
      <c r="C598" s="5">
        <v>151847.64000000001</v>
      </c>
      <c r="D598" s="5">
        <v>240120.14</v>
      </c>
      <c r="E598" s="5">
        <v>3004907.75</v>
      </c>
      <c r="F598" s="5">
        <v>3314100</v>
      </c>
      <c r="G598" s="5">
        <v>3116505</v>
      </c>
      <c r="H598" s="5"/>
      <c r="I598" s="5"/>
      <c r="J598" s="6"/>
      <c r="K598" s="2" t="s">
        <v>18</v>
      </c>
      <c r="L598" s="3" t="s">
        <v>19</v>
      </c>
      <c r="M598" s="3"/>
      <c r="N598" s="4" t="s">
        <v>21</v>
      </c>
    </row>
    <row r="599" spans="1:14">
      <c r="A599" s="9" t="s">
        <v>11</v>
      </c>
      <c r="B599" s="5">
        <v>15431.52</v>
      </c>
      <c r="C599" s="5">
        <v>13607.87</v>
      </c>
      <c r="D599" s="5">
        <v>26497.3</v>
      </c>
      <c r="E599" s="5">
        <v>282945.40999999997</v>
      </c>
      <c r="F599" s="5">
        <v>285945.19</v>
      </c>
      <c r="G599" s="5">
        <v>241887.42</v>
      </c>
      <c r="H599" s="5"/>
      <c r="I599" s="5"/>
      <c r="J599" s="6"/>
      <c r="K599" s="2" t="s">
        <v>32</v>
      </c>
      <c r="L599" s="5">
        <v>1.9999701760000001E-5</v>
      </c>
      <c r="N599" s="6">
        <v>4.9999254399999999E-4</v>
      </c>
    </row>
    <row r="600" spans="1:14">
      <c r="A600" s="9" t="s">
        <v>12</v>
      </c>
      <c r="B600" s="5">
        <v>65935</v>
      </c>
      <c r="C600" s="5">
        <v>0</v>
      </c>
      <c r="D600" s="5">
        <v>12466.71</v>
      </c>
      <c r="E600" s="5">
        <v>10410.469999999999</v>
      </c>
      <c r="F600" s="5">
        <v>0</v>
      </c>
      <c r="G600" s="5">
        <v>4134.1899999999996</v>
      </c>
      <c r="H600" s="5"/>
      <c r="I600" s="5"/>
      <c r="J600" s="6"/>
    </row>
    <row r="601" spans="1:14">
      <c r="A601" s="9" t="s">
        <v>13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>
        <v>3332.84</v>
      </c>
      <c r="H601" s="5"/>
      <c r="I601" s="5"/>
      <c r="J601" s="6"/>
    </row>
    <row r="602" spans="1:14">
      <c r="A602" s="9" t="s">
        <v>40</v>
      </c>
      <c r="B602" s="5">
        <v>3197.97</v>
      </c>
      <c r="C602" s="5">
        <v>0</v>
      </c>
      <c r="D602" s="5">
        <v>0</v>
      </c>
      <c r="E602" s="5">
        <v>0</v>
      </c>
      <c r="F602" s="5">
        <v>0</v>
      </c>
      <c r="G602" s="5">
        <v>3829.33</v>
      </c>
      <c r="H602" s="5"/>
      <c r="I602" s="5"/>
      <c r="J602" s="6"/>
    </row>
    <row r="603" spans="1:14">
      <c r="A603" s="9" t="s">
        <v>41</v>
      </c>
      <c r="B603" s="5">
        <v>68565.789999999994</v>
      </c>
      <c r="C603" s="5">
        <v>64951.26</v>
      </c>
      <c r="D603" s="5">
        <v>59739.58</v>
      </c>
      <c r="E603" s="5">
        <v>44793.42</v>
      </c>
      <c r="F603" s="5">
        <v>51047.25</v>
      </c>
      <c r="G603" s="5">
        <v>49410.59</v>
      </c>
      <c r="H603" s="5"/>
      <c r="I603" s="5"/>
      <c r="J603" s="6"/>
    </row>
    <row r="604" spans="1:14">
      <c r="A604" s="9" t="s">
        <v>42</v>
      </c>
      <c r="B604" s="5">
        <v>339387.75</v>
      </c>
      <c r="C604" s="5">
        <v>268380.65999999997</v>
      </c>
      <c r="D604" s="5">
        <v>328526.21999999997</v>
      </c>
      <c r="E604" s="5">
        <v>219633.45</v>
      </c>
      <c r="F604" s="5">
        <v>247573.31</v>
      </c>
      <c r="G604" s="5">
        <v>189447.08</v>
      </c>
      <c r="H604" s="5"/>
      <c r="I604" s="5"/>
      <c r="J604" s="6"/>
    </row>
    <row r="605" spans="1:14">
      <c r="A605" s="9" t="s">
        <v>43</v>
      </c>
      <c r="B605" s="5">
        <v>585458.06000000006</v>
      </c>
      <c r="C605" s="5">
        <v>453633.41</v>
      </c>
      <c r="D605" s="5">
        <v>508538.28</v>
      </c>
      <c r="E605" s="5">
        <v>357380.66</v>
      </c>
      <c r="F605" s="5">
        <v>369230</v>
      </c>
      <c r="G605" s="5">
        <v>364651.41</v>
      </c>
      <c r="H605" s="5"/>
      <c r="I605" s="5"/>
      <c r="J605" s="6"/>
    </row>
    <row r="606" spans="1:14">
      <c r="A606" s="9"/>
      <c r="B606" s="5"/>
      <c r="C606" s="5"/>
      <c r="D606" s="5"/>
      <c r="E606" s="5"/>
      <c r="F606" s="5"/>
      <c r="G606" s="5"/>
      <c r="H606" s="5"/>
      <c r="I606" s="5"/>
      <c r="J606" s="6"/>
    </row>
    <row r="607" spans="1:14">
      <c r="A607" s="9" t="s">
        <v>16</v>
      </c>
      <c r="B607" s="5">
        <f>SUM(B598:B599)/SUM(B598:B605)</f>
        <v>0.1673703991944715</v>
      </c>
      <c r="C607" s="5">
        <f>SUM(C598:C599)/SUM(C598:C605)</f>
        <v>0.17372100971667107</v>
      </c>
      <c r="D607" s="5">
        <f t="shared" ref="D607:G607" si="148">SUM(D598:D599)/SUM(D598:D605)</f>
        <v>0.22673705986494994</v>
      </c>
      <c r="E607" s="5">
        <f t="shared" si="148"/>
        <v>0.83872282563360401</v>
      </c>
      <c r="F607" s="5">
        <f t="shared" si="148"/>
        <v>0.84351760232194051</v>
      </c>
      <c r="G607" s="5">
        <f t="shared" si="148"/>
        <v>0.84526181135112155</v>
      </c>
      <c r="H607" s="5"/>
      <c r="I607" s="5"/>
      <c r="J607" s="6"/>
    </row>
    <row r="608" spans="1:14">
      <c r="A608" s="9" t="s">
        <v>17</v>
      </c>
      <c r="B608" s="5">
        <f>SUM(B600:B605)/SUM(B598:B599)</f>
        <v>4.9747721509469374</v>
      </c>
      <c r="C608" s="5">
        <f t="shared" ref="C608:G608" si="149">SUM(C600:C605)/SUM(C598:C599)</f>
        <v>4.7563561346491268</v>
      </c>
      <c r="D608" s="5">
        <f t="shared" si="149"/>
        <v>3.4103950214209546</v>
      </c>
      <c r="E608" s="5">
        <f t="shared" si="149"/>
        <v>0.19228900113045194</v>
      </c>
      <c r="F608" s="5">
        <f t="shared" si="149"/>
        <v>0.1855117157571014</v>
      </c>
      <c r="G608" s="5">
        <f t="shared" si="149"/>
        <v>0.18306539650896425</v>
      </c>
      <c r="H608" s="5"/>
      <c r="I608" s="5"/>
      <c r="J608" s="6"/>
    </row>
    <row r="609" spans="1:14">
      <c r="A609" s="9" t="s">
        <v>38</v>
      </c>
      <c r="B609" s="5">
        <f>B608*$L$599</f>
        <v>9.9493959342892457E-5</v>
      </c>
      <c r="C609" s="5">
        <f t="shared" ref="C609:D609" si="150">C608*$L$599</f>
        <v>9.5125704157328944E-5</v>
      </c>
      <c r="D609" s="5">
        <f t="shared" si="150"/>
        <v>6.82068833122079E-5</v>
      </c>
      <c r="E609" s="5">
        <f>E608*$N$599</f>
        <v>9.6143066858433534E-5</v>
      </c>
      <c r="F609" s="5">
        <f t="shared" ref="F609:G609" si="151">F608*$N$599</f>
        <v>9.2754474703198015E-5</v>
      </c>
      <c r="G609" s="5">
        <f t="shared" si="151"/>
        <v>9.1531333318885759E-5</v>
      </c>
      <c r="H609" s="5"/>
      <c r="I609" s="5"/>
      <c r="J609" s="6"/>
    </row>
    <row r="610" spans="1:14">
      <c r="A610" s="9" t="s">
        <v>51</v>
      </c>
      <c r="B610" s="5">
        <f>AVERAGE(B609:D609)</f>
        <v>8.7608848937476434E-5</v>
      </c>
      <c r="C610" s="5"/>
      <c r="D610" s="5"/>
      <c r="E610" s="5">
        <f>AVERAGE(E609:G609)</f>
        <v>9.3476291626839103E-5</v>
      </c>
      <c r="F610" s="5"/>
      <c r="G610" s="5"/>
      <c r="H610" s="5"/>
      <c r="I610" s="5"/>
      <c r="J610" s="6"/>
    </row>
    <row r="611" spans="1:14">
      <c r="A611" s="9" t="s">
        <v>52</v>
      </c>
      <c r="B611" s="5">
        <f>_xlfn.STDEV.P(B609:D609)</f>
        <v>1.3834681442775785E-5</v>
      </c>
      <c r="C611" s="5"/>
      <c r="D611" s="5"/>
      <c r="E611" s="5">
        <f>_xlfn.STDEV.P(E609:G609)</f>
        <v>1.9506898460781299E-6</v>
      </c>
      <c r="F611" s="5"/>
      <c r="G611" s="5"/>
      <c r="H611" s="5"/>
      <c r="I611" s="5"/>
      <c r="J611" s="6"/>
    </row>
    <row r="612" spans="1:14">
      <c r="A612" s="9" t="s">
        <v>53</v>
      </c>
      <c r="B612" s="5">
        <f>AVERAGE(B610,E610)</f>
        <v>9.0542570282157775E-5</v>
      </c>
      <c r="C612" s="5"/>
      <c r="D612" s="5"/>
      <c r="E612" s="5"/>
      <c r="F612" s="5"/>
      <c r="G612" s="5"/>
      <c r="H612" s="5"/>
      <c r="I612" s="5"/>
      <c r="J612" s="6"/>
    </row>
    <row r="613" spans="1:14" ht="15.75" thickBot="1">
      <c r="A613" s="10" t="s">
        <v>54</v>
      </c>
      <c r="B613" s="7">
        <f>_xlfn.STDEV.P(B610,E610)</f>
        <v>2.9337213446813346E-6</v>
      </c>
      <c r="C613" s="7"/>
      <c r="D613" s="7"/>
      <c r="E613" s="7"/>
      <c r="F613" s="7"/>
      <c r="G613" s="7"/>
      <c r="H613" s="7"/>
      <c r="I613" s="7"/>
      <c r="J613" s="8"/>
    </row>
    <row r="614" spans="1:14" ht="15.75" thickBot="1"/>
    <row r="615" spans="1:14">
      <c r="A615" s="14" t="s">
        <v>33</v>
      </c>
      <c r="B615" s="12" t="s">
        <v>1</v>
      </c>
      <c r="C615" s="12" t="s">
        <v>2</v>
      </c>
      <c r="D615" s="12" t="s">
        <v>3</v>
      </c>
      <c r="E615" s="12" t="s">
        <v>4</v>
      </c>
      <c r="F615" s="12" t="s">
        <v>5</v>
      </c>
      <c r="G615" s="12" t="s">
        <v>6</v>
      </c>
      <c r="H615" s="12" t="s">
        <v>7</v>
      </c>
      <c r="I615" s="12" t="s">
        <v>8</v>
      </c>
      <c r="J615" s="13" t="s">
        <v>9</v>
      </c>
      <c r="K615" s="80" t="s">
        <v>39</v>
      </c>
      <c r="L615" s="81"/>
      <c r="M615" s="81"/>
      <c r="N615" s="82"/>
    </row>
    <row r="616" spans="1:14">
      <c r="A616" s="9" t="s">
        <v>10</v>
      </c>
      <c r="B616" s="5">
        <v>10317060</v>
      </c>
      <c r="C616" s="5">
        <v>11595755</v>
      </c>
      <c r="D616" s="5">
        <v>12261563</v>
      </c>
      <c r="E616" s="5">
        <v>45643332</v>
      </c>
      <c r="F616" s="5">
        <v>46061388</v>
      </c>
      <c r="G616" s="5">
        <v>46804468</v>
      </c>
      <c r="H616" s="5">
        <v>161962224</v>
      </c>
      <c r="I616" s="5">
        <v>157025280</v>
      </c>
      <c r="J616" s="6">
        <v>175966176</v>
      </c>
      <c r="K616" s="2" t="s">
        <v>18</v>
      </c>
      <c r="L616" s="3" t="s">
        <v>19</v>
      </c>
      <c r="M616" s="3" t="s">
        <v>20</v>
      </c>
      <c r="N616" s="4" t="s">
        <v>21</v>
      </c>
    </row>
    <row r="617" spans="1:14">
      <c r="A617" s="9" t="s">
        <v>11</v>
      </c>
      <c r="B617" s="5">
        <v>1202049.5</v>
      </c>
      <c r="C617" s="5">
        <v>1391182.62</v>
      </c>
      <c r="D617" s="5">
        <v>1417802.38</v>
      </c>
      <c r="E617" s="5">
        <v>5456543.5</v>
      </c>
      <c r="F617" s="5">
        <v>5327938.5</v>
      </c>
      <c r="G617" s="5">
        <v>5472730.5</v>
      </c>
      <c r="H617" s="5">
        <v>19191342</v>
      </c>
      <c r="I617" s="5">
        <v>18345798</v>
      </c>
      <c r="J617" s="6">
        <v>20743538</v>
      </c>
      <c r="K617" s="2" t="s">
        <v>33</v>
      </c>
      <c r="L617" s="5">
        <v>8.1269150917416013E-4</v>
      </c>
      <c r="M617" s="5">
        <v>4.0634575458708003E-3</v>
      </c>
      <c r="N617" s="6">
        <v>2.0317287729354001E-2</v>
      </c>
    </row>
    <row r="618" spans="1:14">
      <c r="A618" s="9" t="s">
        <v>12</v>
      </c>
      <c r="B618" s="5">
        <v>345376.12</v>
      </c>
      <c r="C618" s="5">
        <v>404770.5</v>
      </c>
      <c r="D618" s="5">
        <v>377406.25</v>
      </c>
      <c r="E618" s="5">
        <v>1495210.62</v>
      </c>
      <c r="F618" s="5">
        <v>1393468.62</v>
      </c>
      <c r="G618" s="5">
        <v>1650391</v>
      </c>
      <c r="H618" s="5">
        <v>5231425.5</v>
      </c>
      <c r="I618" s="5">
        <v>5061860.5</v>
      </c>
      <c r="J618" s="6">
        <v>5196865</v>
      </c>
    </row>
    <row r="619" spans="1:14">
      <c r="A619" s="9" t="s">
        <v>13</v>
      </c>
      <c r="B619" s="5">
        <v>22984.82</v>
      </c>
      <c r="C619" s="5">
        <v>39707.5</v>
      </c>
      <c r="D619" s="5">
        <v>24966.65</v>
      </c>
      <c r="E619" s="5">
        <v>144869.75</v>
      </c>
      <c r="F619" s="5">
        <v>139020.79999999999</v>
      </c>
      <c r="G619" s="5">
        <v>200961.88</v>
      </c>
      <c r="H619" s="5">
        <v>609834.06000000006</v>
      </c>
      <c r="I619" s="5">
        <v>511243.09</v>
      </c>
      <c r="J619" s="6">
        <v>588955.81000000006</v>
      </c>
    </row>
    <row r="620" spans="1:14">
      <c r="A620" s="9" t="s">
        <v>14</v>
      </c>
      <c r="B620" s="5">
        <v>0</v>
      </c>
      <c r="C620" s="5">
        <v>0</v>
      </c>
      <c r="D620" s="5">
        <v>0</v>
      </c>
      <c r="E620" s="5">
        <v>9042.2999999999993</v>
      </c>
      <c r="F620" s="5">
        <v>0</v>
      </c>
      <c r="G620" s="5">
        <v>0</v>
      </c>
      <c r="H620" s="5">
        <v>0</v>
      </c>
      <c r="I620" s="5">
        <v>0</v>
      </c>
      <c r="J620" s="6">
        <v>0</v>
      </c>
    </row>
    <row r="621" spans="1:14">
      <c r="A621" s="9" t="s">
        <v>41</v>
      </c>
      <c r="B621" s="5">
        <v>119976.76</v>
      </c>
      <c r="C621" s="5">
        <v>132629.57999999999</v>
      </c>
      <c r="D621" s="5">
        <v>151201.35999999999</v>
      </c>
      <c r="E621" s="5">
        <v>115303.75</v>
      </c>
      <c r="F621" s="5">
        <v>136778.20000000001</v>
      </c>
      <c r="G621" s="5">
        <v>137341.98000000001</v>
      </c>
      <c r="H621" s="5">
        <v>42803.95</v>
      </c>
      <c r="I621" s="5">
        <v>64586.07</v>
      </c>
      <c r="J621" s="6">
        <v>68094.97</v>
      </c>
    </row>
    <row r="622" spans="1:14">
      <c r="A622" s="9" t="s">
        <v>42</v>
      </c>
      <c r="B622" s="5">
        <v>2823047</v>
      </c>
      <c r="C622" s="5">
        <v>2869214.75</v>
      </c>
      <c r="D622" s="5">
        <v>3092295.75</v>
      </c>
      <c r="E622" s="5">
        <v>2372087.25</v>
      </c>
      <c r="F622" s="5">
        <v>2725584</v>
      </c>
      <c r="G622" s="5">
        <v>2711721.75</v>
      </c>
      <c r="H622" s="5">
        <v>1593010.62</v>
      </c>
      <c r="I622" s="5">
        <v>1851347</v>
      </c>
      <c r="J622" s="6">
        <v>2327796.75</v>
      </c>
    </row>
    <row r="623" spans="1:14">
      <c r="A623" s="9" t="s">
        <v>43</v>
      </c>
      <c r="B623" s="5">
        <v>32997434</v>
      </c>
      <c r="C623" s="5">
        <v>34841092</v>
      </c>
      <c r="D623" s="5">
        <v>38340736</v>
      </c>
      <c r="E623" s="5">
        <v>29640434</v>
      </c>
      <c r="F623" s="5">
        <v>33346686</v>
      </c>
      <c r="G623" s="5">
        <v>34386032</v>
      </c>
      <c r="H623" s="5">
        <v>22639302</v>
      </c>
      <c r="I623" s="5">
        <v>23689978</v>
      </c>
      <c r="J623" s="6">
        <v>27124978</v>
      </c>
    </row>
    <row r="624" spans="1:14">
      <c r="A624" s="9" t="s">
        <v>44</v>
      </c>
      <c r="B624" s="5">
        <v>74065864</v>
      </c>
      <c r="C624" s="5">
        <v>76827336</v>
      </c>
      <c r="D624" s="5">
        <v>84260264</v>
      </c>
      <c r="E624" s="5">
        <v>61195780</v>
      </c>
      <c r="F624" s="5">
        <v>72631808</v>
      </c>
      <c r="G624" s="5">
        <v>73911560</v>
      </c>
      <c r="H624" s="5">
        <v>45221940</v>
      </c>
      <c r="I624" s="5">
        <v>52319476</v>
      </c>
      <c r="J624" s="6">
        <v>55043140</v>
      </c>
    </row>
    <row r="625" spans="1:14">
      <c r="A625" s="9"/>
      <c r="B625" s="5"/>
      <c r="C625" s="5"/>
      <c r="D625" s="5"/>
      <c r="E625" s="5"/>
      <c r="F625" s="5"/>
      <c r="G625" s="5"/>
      <c r="H625" s="5"/>
      <c r="I625" s="5"/>
      <c r="J625" s="6"/>
    </row>
    <row r="626" spans="1:14">
      <c r="A626" s="9" t="s">
        <v>16</v>
      </c>
      <c r="B626" s="5">
        <f>SUM(B616:B617)/SUM(B616:B624)</f>
        <v>9.4501198888781474E-2</v>
      </c>
      <c r="C626" s="5">
        <f t="shared" ref="C626:J626" si="152">SUM(C616:C617)/SUM(C616:C624)</f>
        <v>0.10137991019344722</v>
      </c>
      <c r="D626" s="5">
        <f t="shared" si="152"/>
        <v>9.7761262152684297E-2</v>
      </c>
      <c r="E626" s="5">
        <f t="shared" si="152"/>
        <v>0.34982518549717173</v>
      </c>
      <c r="F626" s="5">
        <f t="shared" si="152"/>
        <v>0.31768346693653765</v>
      </c>
      <c r="G626" s="5">
        <f t="shared" si="152"/>
        <v>0.31630393580572896</v>
      </c>
      <c r="H626" s="5">
        <f t="shared" si="152"/>
        <v>0.70627407189512681</v>
      </c>
      <c r="I626" s="5">
        <f t="shared" si="152"/>
        <v>0.67744957009733675</v>
      </c>
      <c r="J626" s="6">
        <f t="shared" si="152"/>
        <v>0.68525752844090604</v>
      </c>
    </row>
    <row r="627" spans="1:14">
      <c r="A627" s="9" t="s">
        <v>17</v>
      </c>
      <c r="B627" s="5">
        <f>SUM(B618:B624)/SUM(B616:B617)</f>
        <v>9.58187633340928</v>
      </c>
      <c r="C627" s="5">
        <f t="shared" ref="C627:J627" si="153">SUM(C618:C624)/SUM(C616:C617)</f>
        <v>8.8638872148521184</v>
      </c>
      <c r="D627" s="5">
        <f t="shared" si="153"/>
        <v>9.2290005057237536</v>
      </c>
      <c r="E627" s="5">
        <f t="shared" si="153"/>
        <v>1.8585706274372431</v>
      </c>
      <c r="F627" s="5">
        <f t="shared" si="153"/>
        <v>2.147787354636765</v>
      </c>
      <c r="G627" s="5">
        <f t="shared" si="153"/>
        <v>2.1615161457054741</v>
      </c>
      <c r="H627" s="5">
        <f t="shared" si="153"/>
        <v>0.41588094451312096</v>
      </c>
      <c r="I627" s="5">
        <f t="shared" si="153"/>
        <v>0.47612463589919884</v>
      </c>
      <c r="J627" s="6">
        <f t="shared" si="153"/>
        <v>0.45930538300716556</v>
      </c>
    </row>
    <row r="628" spans="1:14">
      <c r="A628" s="9" t="s">
        <v>38</v>
      </c>
      <c r="B628" s="5">
        <f>B627*$L$617</f>
        <v>7.7871095381185553E-3</v>
      </c>
      <c r="C628" s="5">
        <f t="shared" ref="C628:D628" si="154">C627*$L$617</f>
        <v>7.2036058777877107E-3</v>
      </c>
      <c r="D628" s="5">
        <f t="shared" si="154"/>
        <v>7.5003303491657245E-3</v>
      </c>
      <c r="E628" s="5">
        <f>E627*$M$617</f>
        <v>7.5522228405936935E-3</v>
      </c>
      <c r="F628" s="5">
        <f t="shared" ref="F628:G628" si="155">F627*$M$617</f>
        <v>8.727442733124648E-3</v>
      </c>
      <c r="G628" s="5">
        <f t="shared" si="155"/>
        <v>8.7832290927884766E-3</v>
      </c>
      <c r="H628" s="5">
        <f>H627*$N$617</f>
        <v>8.4495728108285838E-3</v>
      </c>
      <c r="I628" s="5">
        <f t="shared" ref="I628:J628" si="156">I627*$N$617</f>
        <v>9.6735612225979338E-3</v>
      </c>
      <c r="J628" s="6">
        <f t="shared" si="156"/>
        <v>9.3318396221977237E-3</v>
      </c>
    </row>
    <row r="629" spans="1:14">
      <c r="A629" s="9" t="s">
        <v>51</v>
      </c>
      <c r="B629" s="5">
        <f>AVERAGE(B628:D628)</f>
        <v>7.4970152550239968E-3</v>
      </c>
      <c r="C629" s="5"/>
      <c r="D629" s="5"/>
      <c r="E629" s="5">
        <f>AVERAGE(E628:G628)</f>
        <v>8.3542982221689391E-3</v>
      </c>
      <c r="F629" s="5"/>
      <c r="G629" s="5"/>
      <c r="H629" s="5">
        <f>AVERAGE(H628:J628)</f>
        <v>9.151657885208081E-3</v>
      </c>
      <c r="I629" s="5"/>
      <c r="J629" s="6"/>
    </row>
    <row r="630" spans="1:14">
      <c r="A630" s="9" t="s">
        <v>52</v>
      </c>
      <c r="B630" s="5">
        <f>_xlfn.STDEV.P(B628:D628)</f>
        <v>2.3822590510094941E-4</v>
      </c>
      <c r="C630" s="5"/>
      <c r="D630" s="5"/>
      <c r="E630" s="5">
        <f>_xlfn.STDEV.P(E628:G628)</f>
        <v>5.6761002914438989E-4</v>
      </c>
      <c r="F630" s="5"/>
      <c r="G630" s="5"/>
      <c r="H630" s="5">
        <f>_xlfn.STDEV.P(H628:J628)</f>
        <v>5.1567819538601639E-4</v>
      </c>
      <c r="I630" s="5"/>
      <c r="J630" s="6"/>
    </row>
    <row r="631" spans="1:14">
      <c r="A631" s="9" t="s">
        <v>53</v>
      </c>
      <c r="B631" s="5">
        <f>AVERAGE(B629,E629,H629)</f>
        <v>8.3343237874670059E-3</v>
      </c>
      <c r="C631" s="5"/>
      <c r="D631" s="5"/>
      <c r="E631" s="5"/>
      <c r="F631" s="5"/>
      <c r="G631" s="5"/>
      <c r="H631" s="5"/>
      <c r="I631" s="5"/>
      <c r="J631" s="6"/>
    </row>
    <row r="632" spans="1:14" ht="15.75" thickBot="1">
      <c r="A632" s="10" t="s">
        <v>54</v>
      </c>
      <c r="B632" s="7">
        <f>_xlfn.STDEV.P(B629,E629,H629)</f>
        <v>6.7565266813497812E-4</v>
      </c>
      <c r="C632" s="7"/>
      <c r="D632" s="7"/>
      <c r="E632" s="7"/>
      <c r="F632" s="7"/>
      <c r="G632" s="7"/>
      <c r="H632" s="7"/>
      <c r="I632" s="7"/>
      <c r="J632" s="8"/>
    </row>
    <row r="633" spans="1:14" ht="15.75" thickBot="1"/>
    <row r="634" spans="1:14">
      <c r="A634" s="25" t="s">
        <v>33</v>
      </c>
      <c r="B634" s="12" t="s">
        <v>1</v>
      </c>
      <c r="C634" s="12" t="s">
        <v>2</v>
      </c>
      <c r="D634" s="12" t="s">
        <v>3</v>
      </c>
      <c r="E634" s="12" t="s">
        <v>7</v>
      </c>
      <c r="F634" s="12" t="s">
        <v>8</v>
      </c>
      <c r="G634" s="12" t="s">
        <v>9</v>
      </c>
      <c r="H634" s="12"/>
      <c r="I634" s="12"/>
      <c r="J634" s="13"/>
      <c r="K634" s="80" t="s">
        <v>37</v>
      </c>
      <c r="L634" s="81"/>
      <c r="M634" s="81"/>
      <c r="N634" s="82"/>
    </row>
    <row r="635" spans="1:14">
      <c r="A635" s="9" t="s">
        <v>10</v>
      </c>
      <c r="B635" s="5">
        <v>15241835</v>
      </c>
      <c r="C635" s="5">
        <v>14657713</v>
      </c>
      <c r="D635" s="5">
        <v>22223222</v>
      </c>
      <c r="E635" s="5">
        <v>198710592</v>
      </c>
      <c r="F635" s="5">
        <v>192061520</v>
      </c>
      <c r="G635" s="5">
        <v>217471808</v>
      </c>
      <c r="H635" s="5"/>
      <c r="I635" s="5"/>
      <c r="J635" s="6"/>
      <c r="K635" s="2" t="s">
        <v>18</v>
      </c>
      <c r="L635" s="3" t="s">
        <v>19</v>
      </c>
      <c r="M635" s="3"/>
      <c r="N635" s="4" t="s">
        <v>21</v>
      </c>
    </row>
    <row r="636" spans="1:14">
      <c r="A636" s="9" t="s">
        <v>11</v>
      </c>
      <c r="B636" s="5">
        <v>1724954</v>
      </c>
      <c r="C636" s="5">
        <v>1736289.88</v>
      </c>
      <c r="D636" s="5">
        <v>2625696.75</v>
      </c>
      <c r="E636" s="5">
        <v>23613238</v>
      </c>
      <c r="F636" s="5">
        <v>22354872</v>
      </c>
      <c r="G636" s="5">
        <v>25959318</v>
      </c>
      <c r="H636" s="5"/>
      <c r="I636" s="5"/>
      <c r="J636" s="6"/>
      <c r="K636" s="2" t="s">
        <v>33</v>
      </c>
      <c r="L636" s="5">
        <v>8.1269150917416013E-4</v>
      </c>
      <c r="N636" s="6">
        <v>2.0317287729354001E-2</v>
      </c>
    </row>
    <row r="637" spans="1:14">
      <c r="A637" s="9" t="s">
        <v>12</v>
      </c>
      <c r="B637" s="5">
        <v>457624.88</v>
      </c>
      <c r="C637" s="5">
        <v>427155.91</v>
      </c>
      <c r="D637" s="5">
        <v>759634</v>
      </c>
      <c r="E637" s="5">
        <v>6470906.5</v>
      </c>
      <c r="F637" s="5">
        <v>6047166</v>
      </c>
      <c r="G637" s="5">
        <v>6759338</v>
      </c>
      <c r="H637" s="5"/>
      <c r="I637" s="5"/>
      <c r="J637" s="6"/>
    </row>
    <row r="638" spans="1:14">
      <c r="A638" s="9" t="s">
        <v>13</v>
      </c>
      <c r="B638" s="5">
        <v>35083.78</v>
      </c>
      <c r="C638" s="5">
        <v>16233.3</v>
      </c>
      <c r="D638" s="5">
        <v>73387.63</v>
      </c>
      <c r="E638" s="5">
        <v>0</v>
      </c>
      <c r="F638" s="5">
        <v>180211.94</v>
      </c>
      <c r="G638" s="5">
        <v>203116.92</v>
      </c>
      <c r="H638" s="5"/>
      <c r="I638" s="5"/>
      <c r="J638" s="6"/>
    </row>
    <row r="639" spans="1:14">
      <c r="A639" s="9" t="s">
        <v>15</v>
      </c>
      <c r="B639" s="5">
        <v>0</v>
      </c>
      <c r="C639" s="5">
        <v>11857.46</v>
      </c>
      <c r="D639" s="5">
        <v>0</v>
      </c>
      <c r="E639" s="5">
        <v>0</v>
      </c>
      <c r="F639" s="5">
        <v>0</v>
      </c>
      <c r="G639" s="5">
        <v>0</v>
      </c>
      <c r="H639" s="5"/>
      <c r="I639" s="5"/>
      <c r="J639" s="6"/>
    </row>
    <row r="640" spans="1:14">
      <c r="A640" s="9" t="s">
        <v>40</v>
      </c>
      <c r="B640" s="5">
        <v>0</v>
      </c>
      <c r="C640" s="5">
        <v>13630.03</v>
      </c>
      <c r="D640" s="5">
        <v>0</v>
      </c>
      <c r="E640" s="5">
        <v>0</v>
      </c>
      <c r="F640" s="5">
        <v>0</v>
      </c>
      <c r="G640" s="5">
        <v>0</v>
      </c>
      <c r="H640" s="5"/>
      <c r="I640" s="5"/>
      <c r="J640" s="6"/>
    </row>
    <row r="641" spans="1:14">
      <c r="A641" s="9" t="s">
        <v>41</v>
      </c>
      <c r="B641" s="5">
        <v>111181.04</v>
      </c>
      <c r="C641" s="5">
        <v>156131.59</v>
      </c>
      <c r="D641" s="5">
        <v>97760.49</v>
      </c>
      <c r="E641" s="5">
        <v>102853.48</v>
      </c>
      <c r="F641" s="5">
        <v>107729.49</v>
      </c>
      <c r="G641" s="5">
        <v>97233.25</v>
      </c>
      <c r="H641" s="5"/>
      <c r="I641" s="5"/>
      <c r="J641" s="6"/>
    </row>
    <row r="642" spans="1:14">
      <c r="A642" s="9" t="s">
        <v>42</v>
      </c>
      <c r="B642" s="5">
        <v>2918488</v>
      </c>
      <c r="C642" s="5">
        <v>3511601</v>
      </c>
      <c r="D642" s="5">
        <v>3185253.25</v>
      </c>
      <c r="E642" s="5">
        <v>1733047.62</v>
      </c>
      <c r="F642" s="5">
        <v>2104335.25</v>
      </c>
      <c r="G642" s="5">
        <v>1730188</v>
      </c>
      <c r="H642" s="5"/>
      <c r="I642" s="5"/>
      <c r="J642" s="6"/>
    </row>
    <row r="643" spans="1:14">
      <c r="A643" s="9" t="s">
        <v>43</v>
      </c>
      <c r="B643" s="5">
        <v>36046836</v>
      </c>
      <c r="C643" s="5">
        <v>46124876</v>
      </c>
      <c r="D643" s="5">
        <v>39094472</v>
      </c>
      <c r="E643" s="5">
        <v>22122058</v>
      </c>
      <c r="F643" s="5">
        <v>25099866</v>
      </c>
      <c r="G643" s="5">
        <v>20778086</v>
      </c>
      <c r="H643" s="5"/>
      <c r="I643" s="5"/>
      <c r="J643" s="6"/>
    </row>
    <row r="644" spans="1:14">
      <c r="A644" s="9" t="s">
        <v>44</v>
      </c>
      <c r="B644" s="5">
        <v>100745472</v>
      </c>
      <c r="C644" s="5">
        <v>119328968</v>
      </c>
      <c r="D644" s="5">
        <v>104705832</v>
      </c>
      <c r="E644" s="5">
        <v>59104572</v>
      </c>
      <c r="F644" s="5">
        <v>62801492</v>
      </c>
      <c r="G644" s="5">
        <v>53838252</v>
      </c>
      <c r="H644" s="5"/>
      <c r="I644" s="5"/>
      <c r="J644" s="6"/>
    </row>
    <row r="645" spans="1:14">
      <c r="A645" s="9"/>
      <c r="B645" s="5"/>
      <c r="C645" s="5"/>
      <c r="D645" s="5"/>
      <c r="E645" s="5"/>
      <c r="F645" s="5"/>
      <c r="G645" s="5"/>
      <c r="H645" s="5"/>
      <c r="I645" s="5"/>
      <c r="J645" s="6"/>
    </row>
    <row r="646" spans="1:14">
      <c r="A646" s="9" t="s">
        <v>16</v>
      </c>
      <c r="B646" s="5">
        <f>SUM(B635:B636)/SUM(B635:B644)</f>
        <v>0.10787531737200835</v>
      </c>
      <c r="C646" s="5">
        <f t="shared" ref="C646:G646" si="157">SUM(C635:C636)/SUM(C635:C644)</f>
        <v>8.8147166798794085E-2</v>
      </c>
      <c r="D646" s="5">
        <f t="shared" si="157"/>
        <v>0.14383053063099258</v>
      </c>
      <c r="E646" s="5">
        <f t="shared" si="157"/>
        <v>0.71290251373959002</v>
      </c>
      <c r="F646" s="5">
        <f t="shared" si="157"/>
        <v>0.68998046401067137</v>
      </c>
      <c r="G646" s="5">
        <f t="shared" si="157"/>
        <v>0.7448081846259752</v>
      </c>
      <c r="H646" s="5"/>
      <c r="I646" s="5"/>
      <c r="J646" s="6"/>
    </row>
    <row r="647" spans="1:14">
      <c r="A647" s="9" t="s">
        <v>17</v>
      </c>
      <c r="B647" s="5">
        <f>SUM(B637:B644)/SUM(B635:B636)</f>
        <v>8.2699611399658473</v>
      </c>
      <c r="C647" s="5">
        <f t="shared" ref="C647:G647" si="158">SUM(C637:C644)/SUM(C635:C636)</f>
        <v>10.344664114759507</v>
      </c>
      <c r="D647" s="5">
        <f t="shared" si="158"/>
        <v>5.9526267866282918</v>
      </c>
      <c r="E647" s="5">
        <f t="shared" si="158"/>
        <v>0.40271633319739047</v>
      </c>
      <c r="F647" s="5">
        <f t="shared" si="158"/>
        <v>0.4493163968545838</v>
      </c>
      <c r="G647" s="5">
        <f t="shared" si="158"/>
        <v>0.34262756591776189</v>
      </c>
      <c r="H647" s="5"/>
      <c r="I647" s="5"/>
      <c r="J647" s="6"/>
    </row>
    <row r="648" spans="1:14">
      <c r="A648" s="9" t="s">
        <v>38</v>
      </c>
      <c r="B648" s="5">
        <f>B647*$L$636</f>
        <v>6.7209271996505017E-3</v>
      </c>
      <c r="C648" s="5">
        <f t="shared" ref="C648:D648" si="159">C647*$L$636</f>
        <v>8.40702069132368E-3</v>
      </c>
      <c r="D648" s="5">
        <f t="shared" si="159"/>
        <v>4.8376492467754779E-3</v>
      </c>
      <c r="E648" s="5">
        <f>E647*$N$636</f>
        <v>8.1821036148817788E-3</v>
      </c>
      <c r="F648" s="5">
        <f t="shared" ref="F648:G648" si="160">F647*$N$636</f>
        <v>9.1288905164111887E-3</v>
      </c>
      <c r="G648" s="5">
        <f t="shared" si="160"/>
        <v>6.9612628407593729E-3</v>
      </c>
      <c r="H648" s="5"/>
      <c r="I648" s="5"/>
      <c r="J648" s="6"/>
    </row>
    <row r="649" spans="1:14">
      <c r="A649" s="9" t="s">
        <v>51</v>
      </c>
      <c r="B649" s="5">
        <f>AVERAGE(B648:D648)</f>
        <v>6.6551990459165532E-3</v>
      </c>
      <c r="C649" s="5"/>
      <c r="D649" s="5"/>
      <c r="E649" s="5">
        <f>AVERAGE(E648:G648)</f>
        <v>8.0907523240174462E-3</v>
      </c>
      <c r="F649" s="5"/>
      <c r="G649" s="5"/>
      <c r="H649" s="5"/>
      <c r="I649" s="5"/>
      <c r="J649" s="6"/>
    </row>
    <row r="650" spans="1:14">
      <c r="A650" s="9" t="s">
        <v>52</v>
      </c>
      <c r="B650" s="5">
        <f>_xlfn.STDEV.P(B648:D648)</f>
        <v>1.4579307870938147E-3</v>
      </c>
      <c r="C650" s="5"/>
      <c r="D650" s="5"/>
      <c r="E650" s="5">
        <f>_xlfn.STDEV.P(E648:G648)</f>
        <v>8.8728470771594619E-4</v>
      </c>
      <c r="F650" s="5"/>
      <c r="G650" s="5"/>
      <c r="H650" s="5"/>
      <c r="I650" s="5"/>
      <c r="J650" s="6"/>
    </row>
    <row r="651" spans="1:14">
      <c r="A651" s="9" t="s">
        <v>53</v>
      </c>
      <c r="B651" s="5">
        <f>AVERAGE(B649,E649)</f>
        <v>7.3729756849670001E-3</v>
      </c>
      <c r="C651" s="5"/>
      <c r="D651" s="5"/>
      <c r="E651" s="5"/>
      <c r="F651" s="5"/>
      <c r="G651" s="5"/>
      <c r="H651" s="5"/>
      <c r="I651" s="5"/>
      <c r="J651" s="6"/>
    </row>
    <row r="652" spans="1:14" ht="15.75" thickBot="1">
      <c r="A652" s="10" t="s">
        <v>54</v>
      </c>
      <c r="B652" s="7">
        <f>_xlfn.STDEV.P(B649,E649)</f>
        <v>7.1777663905044651E-4</v>
      </c>
      <c r="C652" s="7"/>
      <c r="D652" s="7"/>
      <c r="E652" s="7"/>
      <c r="F652" s="7"/>
      <c r="G652" s="7"/>
      <c r="H652" s="7"/>
      <c r="I652" s="7"/>
      <c r="J652" s="8"/>
    </row>
    <row r="653" spans="1:14" ht="15.75" thickBo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4">
      <c r="A654" s="15" t="s">
        <v>33</v>
      </c>
      <c r="B654" s="12" t="s">
        <v>57</v>
      </c>
      <c r="C654" s="12" t="s">
        <v>58</v>
      </c>
      <c r="D654" s="12" t="s">
        <v>59</v>
      </c>
      <c r="E654" s="12" t="s">
        <v>60</v>
      </c>
      <c r="F654" s="12" t="s">
        <v>61</v>
      </c>
      <c r="G654" s="12" t="s">
        <v>62</v>
      </c>
      <c r="H654" s="12" t="s">
        <v>63</v>
      </c>
      <c r="I654" s="12" t="s">
        <v>64</v>
      </c>
      <c r="J654" s="13" t="s">
        <v>65</v>
      </c>
      <c r="K654" s="80" t="s">
        <v>39</v>
      </c>
      <c r="L654" s="81"/>
      <c r="M654" s="81"/>
      <c r="N654" s="82"/>
    </row>
    <row r="655" spans="1:14">
      <c r="A655" s="9" t="s">
        <v>10</v>
      </c>
      <c r="B655" s="5">
        <v>3889668.75</v>
      </c>
      <c r="C655" s="5">
        <v>3541880</v>
      </c>
      <c r="D655" s="5">
        <v>3714071.75</v>
      </c>
      <c r="E655" s="5">
        <v>18246566</v>
      </c>
      <c r="F655" s="5">
        <v>18091638</v>
      </c>
      <c r="G655" s="5">
        <v>18040008</v>
      </c>
      <c r="H655" s="5">
        <v>70982496</v>
      </c>
      <c r="I655" s="5">
        <v>66942532</v>
      </c>
      <c r="J655" s="6">
        <v>67274368</v>
      </c>
      <c r="K655" s="2" t="s">
        <v>18</v>
      </c>
      <c r="L655" s="3" t="s">
        <v>19</v>
      </c>
      <c r="M655" s="3" t="s">
        <v>20</v>
      </c>
      <c r="N655" s="4" t="s">
        <v>21</v>
      </c>
    </row>
    <row r="656" spans="1:14">
      <c r="A656" s="9" t="s">
        <v>11</v>
      </c>
      <c r="B656" s="5">
        <v>394761.66</v>
      </c>
      <c r="C656" s="5">
        <v>325955.12</v>
      </c>
      <c r="D656" s="5">
        <v>349244.75</v>
      </c>
      <c r="E656" s="5">
        <v>1796009.5</v>
      </c>
      <c r="F656" s="5">
        <v>1876750.12</v>
      </c>
      <c r="G656" s="5">
        <v>1823422</v>
      </c>
      <c r="H656" s="5">
        <v>7261726</v>
      </c>
      <c r="I656" s="5">
        <v>6858290</v>
      </c>
      <c r="J656" s="6">
        <v>7349040</v>
      </c>
      <c r="K656" s="2" t="s">
        <v>33</v>
      </c>
      <c r="L656" s="5">
        <v>8.1269150917416013E-4</v>
      </c>
      <c r="M656" s="5">
        <v>4.0634575458708003E-3</v>
      </c>
      <c r="N656" s="6">
        <v>2.0317287729354001E-2</v>
      </c>
    </row>
    <row r="657" spans="1:10">
      <c r="A657" s="9" t="s">
        <v>12</v>
      </c>
      <c r="B657" s="5">
        <v>102869.27</v>
      </c>
      <c r="C657" s="5">
        <v>34796.39</v>
      </c>
      <c r="D657" s="5">
        <v>71032.3</v>
      </c>
      <c r="E657" s="5">
        <v>406968.66</v>
      </c>
      <c r="F657" s="5">
        <v>435104.88</v>
      </c>
      <c r="G657" s="5">
        <v>449062.75</v>
      </c>
      <c r="H657" s="5">
        <v>1769809.38</v>
      </c>
      <c r="I657" s="5">
        <v>1536953.88</v>
      </c>
      <c r="J657" s="6">
        <v>1757519</v>
      </c>
    </row>
    <row r="658" spans="1:10">
      <c r="A658" s="9" t="s">
        <v>13</v>
      </c>
      <c r="B658" s="5">
        <v>6707.54</v>
      </c>
      <c r="C658" s="5">
        <v>8224.6200000000008</v>
      </c>
      <c r="D658" s="5">
        <v>0</v>
      </c>
      <c r="E658" s="5">
        <v>40312.22</v>
      </c>
      <c r="F658" s="5">
        <v>57626.53</v>
      </c>
      <c r="G658" s="5">
        <v>54055.21</v>
      </c>
      <c r="H658" s="5">
        <v>167851.61</v>
      </c>
      <c r="I658" s="5">
        <v>166258.60999999999</v>
      </c>
      <c r="J658" s="6">
        <v>164994.06</v>
      </c>
    </row>
    <row r="659" spans="1:10">
      <c r="A659" s="9" t="s">
        <v>14</v>
      </c>
      <c r="B659" s="5">
        <v>0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7148.53</v>
      </c>
      <c r="I659" s="5">
        <v>0</v>
      </c>
      <c r="J659" s="6">
        <v>0</v>
      </c>
    </row>
    <row r="660" spans="1:10">
      <c r="A660" s="9" t="s">
        <v>41</v>
      </c>
      <c r="B660" s="5">
        <v>29627.85</v>
      </c>
      <c r="C660" s="5">
        <v>50153.120000000003</v>
      </c>
      <c r="D660" s="5">
        <v>29593.42</v>
      </c>
      <c r="E660" s="5">
        <v>29102.33</v>
      </c>
      <c r="F660" s="5">
        <v>38350.83</v>
      </c>
      <c r="G660" s="5">
        <v>40109</v>
      </c>
      <c r="H660" s="5">
        <v>24839.57</v>
      </c>
      <c r="I660" s="5">
        <v>33200.339999999997</v>
      </c>
      <c r="J660" s="6">
        <v>31564.65</v>
      </c>
    </row>
    <row r="661" spans="1:10">
      <c r="A661" s="9" t="s">
        <v>42</v>
      </c>
      <c r="B661" s="5">
        <v>827703.81</v>
      </c>
      <c r="C661" s="5">
        <v>800657.25</v>
      </c>
      <c r="D661" s="5">
        <v>930947.31</v>
      </c>
      <c r="E661" s="5">
        <v>828153.25</v>
      </c>
      <c r="F661" s="5">
        <v>1004807.69</v>
      </c>
      <c r="G661" s="5">
        <v>937130.31</v>
      </c>
      <c r="H661" s="5">
        <v>687680.69</v>
      </c>
      <c r="I661" s="5">
        <v>652640.06000000006</v>
      </c>
      <c r="J661" s="6">
        <v>722536.25</v>
      </c>
    </row>
    <row r="662" spans="1:10">
      <c r="A662" s="9" t="s">
        <v>43</v>
      </c>
      <c r="B662" s="5">
        <v>12145939</v>
      </c>
      <c r="C662" s="5">
        <v>10878147</v>
      </c>
      <c r="D662" s="5">
        <v>12408407</v>
      </c>
      <c r="E662" s="5">
        <v>11093027</v>
      </c>
      <c r="F662" s="5">
        <v>13255768</v>
      </c>
      <c r="G662" s="5">
        <v>12972200</v>
      </c>
      <c r="H662" s="5">
        <v>9297556</v>
      </c>
      <c r="I662" s="5">
        <v>9128209</v>
      </c>
      <c r="J662" s="6">
        <v>10414561</v>
      </c>
    </row>
    <row r="663" spans="1:10">
      <c r="A663" s="9" t="s">
        <v>44</v>
      </c>
      <c r="B663" s="5">
        <v>24789040</v>
      </c>
      <c r="C663" s="5">
        <v>24776138</v>
      </c>
      <c r="D663" s="5">
        <v>27628498</v>
      </c>
      <c r="E663" s="5">
        <v>23221898</v>
      </c>
      <c r="F663" s="5">
        <v>29277962</v>
      </c>
      <c r="G663" s="5">
        <v>28056994</v>
      </c>
      <c r="H663" s="5">
        <v>19109262</v>
      </c>
      <c r="I663" s="5">
        <v>20759472</v>
      </c>
      <c r="J663" s="6">
        <v>19796328</v>
      </c>
    </row>
    <row r="664" spans="1:10">
      <c r="A664" s="9"/>
      <c r="B664" s="5"/>
      <c r="C664" s="5"/>
      <c r="D664" s="5"/>
      <c r="E664" s="5"/>
      <c r="F664" s="5"/>
      <c r="G664" s="5"/>
      <c r="H664" s="5"/>
      <c r="I664" s="5"/>
      <c r="J664" s="6"/>
    </row>
    <row r="665" spans="1:10">
      <c r="A665" s="9" t="s">
        <v>16</v>
      </c>
      <c r="B665" s="5">
        <f>SUM(B655:B656)/SUM(B655:B663)</f>
        <v>0.10155971474417763</v>
      </c>
      <c r="C665" s="5">
        <f t="shared" ref="C665:J665" si="161">SUM(C655:C656)/SUM(C655:C663)</f>
        <v>9.5700706687556272E-2</v>
      </c>
      <c r="D665" s="5">
        <f t="shared" si="161"/>
        <v>9.003223874244648E-2</v>
      </c>
      <c r="E665" s="5">
        <f t="shared" si="161"/>
        <v>0.36007621342357721</v>
      </c>
      <c r="F665" s="5">
        <f t="shared" si="161"/>
        <v>0.31182088150538595</v>
      </c>
      <c r="G665" s="5">
        <f t="shared" si="161"/>
        <v>0.31846209040442108</v>
      </c>
      <c r="H665" s="5">
        <f t="shared" si="161"/>
        <v>0.71581180981363646</v>
      </c>
      <c r="I665" s="5">
        <f t="shared" si="161"/>
        <v>0.69572513601774311</v>
      </c>
      <c r="J665" s="6">
        <f t="shared" si="161"/>
        <v>0.6941007878517933</v>
      </c>
    </row>
    <row r="666" spans="1:10">
      <c r="A666" s="9" t="s">
        <v>17</v>
      </c>
      <c r="B666" s="5">
        <f>SUM(B657:B663)/SUM(B655:B656)</f>
        <v>8.8464238750466713</v>
      </c>
      <c r="C666" s="5">
        <f t="shared" ref="C666:J666" si="162">SUM(C657:C663)/SUM(C655:C656)</f>
        <v>9.4492436327016964</v>
      </c>
      <c r="D666" s="5">
        <f t="shared" si="162"/>
        <v>10.107132444642204</v>
      </c>
      <c r="E666" s="5">
        <f t="shared" si="162"/>
        <v>1.7771898357074918</v>
      </c>
      <c r="F666" s="5">
        <f t="shared" si="162"/>
        <v>2.206969318963738</v>
      </c>
      <c r="G666" s="5">
        <f t="shared" si="162"/>
        <v>2.1400911760959711</v>
      </c>
      <c r="H666" s="5">
        <f t="shared" si="162"/>
        <v>0.39701522982744974</v>
      </c>
      <c r="I666" s="5">
        <f t="shared" si="162"/>
        <v>0.43734924646232259</v>
      </c>
      <c r="J666" s="6">
        <f t="shared" si="162"/>
        <v>0.44071295912939279</v>
      </c>
    </row>
    <row r="667" spans="1:10">
      <c r="A667" s="9" t="s">
        <v>38</v>
      </c>
      <c r="B667" s="5">
        <f>B666*$L$656</f>
        <v>7.1894135698060014E-3</v>
      </c>
      <c r="C667" s="5">
        <f t="shared" ref="C667:D667" si="163">C666*$L$656</f>
        <v>7.6793200684146645E-3</v>
      </c>
      <c r="D667" s="5">
        <f t="shared" si="163"/>
        <v>8.2139807198593918E-3</v>
      </c>
      <c r="E667" s="5">
        <f>E666*$M$656</f>
        <v>7.221535448350495E-3</v>
      </c>
      <c r="F667" s="5">
        <f t="shared" ref="F667:G667" si="164">F666*$M$656</f>
        <v>8.9679261326485425E-3</v>
      </c>
      <c r="G667" s="5">
        <f t="shared" si="164"/>
        <v>8.6961696383586889E-3</v>
      </c>
      <c r="H667" s="5">
        <f>H666*$N$656</f>
        <v>8.0662726573399023E-3</v>
      </c>
      <c r="I667" s="5">
        <f t="shared" ref="I667:J667" si="165">I666*$N$656</f>
        <v>8.8857504785911662E-3</v>
      </c>
      <c r="J667" s="6">
        <f t="shared" si="165"/>
        <v>8.954091996686904E-3</v>
      </c>
    </row>
    <row r="668" spans="1:10">
      <c r="A668" s="9" t="s">
        <v>51</v>
      </c>
      <c r="B668" s="5">
        <f>AVERAGE(B667:D667)</f>
        <v>7.6942381193600183E-3</v>
      </c>
      <c r="C668" s="5"/>
      <c r="D668" s="5"/>
      <c r="E668" s="5">
        <f>AVERAGE(E667:G667)</f>
        <v>8.2952104064525755E-3</v>
      </c>
      <c r="F668" s="5"/>
      <c r="G668" s="5"/>
      <c r="H668" s="5">
        <f>AVERAGE(H667:J667)</f>
        <v>8.6353717108726569E-3</v>
      </c>
      <c r="I668" s="5"/>
      <c r="J668" s="6"/>
    </row>
    <row r="669" spans="1:10">
      <c r="A669" s="9" t="s">
        <v>52</v>
      </c>
      <c r="B669" s="5">
        <f>_xlfn.STDEV.P(B667:D667)</f>
        <v>4.1841078095187573E-4</v>
      </c>
      <c r="C669" s="5"/>
      <c r="D669" s="5"/>
      <c r="E669" s="5">
        <f>_xlfn.STDEV.P(E667:G667)</f>
        <v>7.6726628788567955E-4</v>
      </c>
      <c r="F669" s="5"/>
      <c r="G669" s="5"/>
      <c r="H669" s="5">
        <f>_xlfn.STDEV.P(H667:J667)</f>
        <v>4.0337983780618471E-4</v>
      </c>
      <c r="I669" s="5"/>
      <c r="J669" s="6"/>
    </row>
    <row r="670" spans="1:10">
      <c r="A670" s="9" t="s">
        <v>53</v>
      </c>
      <c r="B670" s="5">
        <f>AVERAGE(B668,E668,H668)</f>
        <v>8.2082734122284184E-3</v>
      </c>
      <c r="C670" s="5"/>
      <c r="D670" s="5"/>
      <c r="E670" s="5"/>
      <c r="F670" s="5"/>
      <c r="G670" s="5"/>
      <c r="H670" s="5"/>
      <c r="I670" s="5"/>
      <c r="J670" s="6"/>
    </row>
    <row r="671" spans="1:10" ht="15.75" thickBot="1">
      <c r="A671" s="10" t="s">
        <v>54</v>
      </c>
      <c r="B671" s="7">
        <f>_xlfn.STDEV.P(B668,E668,H668)</f>
        <v>3.8910293410349063E-4</v>
      </c>
      <c r="C671" s="7"/>
      <c r="D671" s="7"/>
      <c r="E671" s="7"/>
      <c r="F671" s="7"/>
      <c r="G671" s="7"/>
      <c r="H671" s="7"/>
      <c r="I671" s="7"/>
      <c r="J671" s="8"/>
    </row>
    <row r="672" spans="1:10" ht="15.75" thickBo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4">
      <c r="A673" s="26" t="s">
        <v>33</v>
      </c>
      <c r="B673" s="12" t="s">
        <v>57</v>
      </c>
      <c r="C673" s="12" t="s">
        <v>58</v>
      </c>
      <c r="D673" s="12" t="s">
        <v>59</v>
      </c>
      <c r="E673" s="12" t="s">
        <v>63</v>
      </c>
      <c r="F673" s="12" t="s">
        <v>64</v>
      </c>
      <c r="G673" s="12" t="s">
        <v>65</v>
      </c>
      <c r="H673" s="12"/>
      <c r="I673" s="12"/>
      <c r="J673" s="13"/>
      <c r="K673" s="80" t="s">
        <v>37</v>
      </c>
      <c r="L673" s="81"/>
      <c r="M673" s="81"/>
      <c r="N673" s="82"/>
    </row>
    <row r="674" spans="1:14">
      <c r="A674" s="9" t="s">
        <v>10</v>
      </c>
      <c r="B674" s="5">
        <v>4972760.5</v>
      </c>
      <c r="C674" s="5">
        <v>4162985.25</v>
      </c>
      <c r="D674" s="5">
        <v>6882630.5</v>
      </c>
      <c r="E674" s="5">
        <v>79725384</v>
      </c>
      <c r="F674" s="5">
        <v>73915424</v>
      </c>
      <c r="G674" s="5">
        <v>77433960</v>
      </c>
      <c r="H674" s="5"/>
      <c r="I674" s="5"/>
      <c r="J674" s="6"/>
      <c r="K674" s="2" t="s">
        <v>18</v>
      </c>
      <c r="L674" s="3" t="s">
        <v>19</v>
      </c>
      <c r="M674" s="3"/>
      <c r="N674" s="4" t="s">
        <v>21</v>
      </c>
    </row>
    <row r="675" spans="1:14">
      <c r="A675" s="9" t="s">
        <v>11</v>
      </c>
      <c r="B675" s="5">
        <v>501400</v>
      </c>
      <c r="C675" s="5">
        <v>413282.28</v>
      </c>
      <c r="D675" s="5">
        <v>684010.69</v>
      </c>
      <c r="E675" s="5">
        <v>8019514.5</v>
      </c>
      <c r="F675" s="5">
        <v>7688001.5</v>
      </c>
      <c r="G675" s="5">
        <v>7881079.5</v>
      </c>
      <c r="H675" s="5"/>
      <c r="I675" s="5"/>
      <c r="J675" s="6"/>
      <c r="K675" s="2" t="s">
        <v>33</v>
      </c>
      <c r="L675" s="5">
        <v>8.1269150917416013E-4</v>
      </c>
      <c r="N675" s="6">
        <v>2.0317287729354001E-2</v>
      </c>
    </row>
    <row r="676" spans="1:14">
      <c r="A676" s="9" t="s">
        <v>12</v>
      </c>
      <c r="B676" s="5">
        <v>127889.48</v>
      </c>
      <c r="C676" s="5">
        <v>122724.06</v>
      </c>
      <c r="D676" s="5">
        <v>187161.73</v>
      </c>
      <c r="E676" s="5">
        <v>1975191.38</v>
      </c>
      <c r="F676" s="5">
        <v>1830368.12</v>
      </c>
      <c r="G676" s="5">
        <v>1950679.12</v>
      </c>
      <c r="H676" s="5"/>
      <c r="I676" s="5"/>
      <c r="J676" s="6"/>
    </row>
    <row r="677" spans="1:14">
      <c r="A677" s="9" t="s">
        <v>13</v>
      </c>
      <c r="B677" s="5">
        <v>17811.22</v>
      </c>
      <c r="C677" s="5">
        <v>9786.56</v>
      </c>
      <c r="D677" s="5">
        <v>10384.94</v>
      </c>
      <c r="E677" s="5">
        <v>238673.5</v>
      </c>
      <c r="F677" s="5">
        <v>194372</v>
      </c>
      <c r="G677" s="5">
        <v>206743.05</v>
      </c>
      <c r="H677" s="5"/>
      <c r="I677" s="5"/>
      <c r="J677" s="6"/>
    </row>
    <row r="678" spans="1:14">
      <c r="A678" s="9" t="s">
        <v>14</v>
      </c>
      <c r="B678" s="5">
        <v>0</v>
      </c>
      <c r="C678" s="5">
        <v>0</v>
      </c>
      <c r="D678" s="5">
        <v>0</v>
      </c>
      <c r="E678" s="5">
        <v>16558.27</v>
      </c>
      <c r="F678" s="5">
        <v>8004.14</v>
      </c>
      <c r="G678" s="5">
        <v>0</v>
      </c>
      <c r="H678" s="5"/>
      <c r="I678" s="5"/>
      <c r="J678" s="6"/>
    </row>
    <row r="679" spans="1:14">
      <c r="A679" s="9" t="s">
        <v>15</v>
      </c>
      <c r="B679" s="5">
        <v>0</v>
      </c>
      <c r="C679" s="5">
        <v>5611.61</v>
      </c>
      <c r="D679" s="5">
        <v>0</v>
      </c>
      <c r="E679" s="5">
        <v>0</v>
      </c>
      <c r="F679" s="5">
        <v>0</v>
      </c>
      <c r="G679" s="5">
        <v>0</v>
      </c>
      <c r="H679" s="5"/>
      <c r="I679" s="5"/>
      <c r="J679" s="6"/>
    </row>
    <row r="680" spans="1:14">
      <c r="A680" s="9" t="s">
        <v>40</v>
      </c>
      <c r="B680" s="5">
        <v>0</v>
      </c>
      <c r="C680" s="5">
        <v>0</v>
      </c>
      <c r="D680" s="5">
        <v>0</v>
      </c>
      <c r="E680" s="5">
        <v>0</v>
      </c>
      <c r="F680" s="5">
        <v>0</v>
      </c>
      <c r="G680" s="5">
        <v>7928.21</v>
      </c>
      <c r="H680" s="5"/>
      <c r="I680" s="5"/>
      <c r="J680" s="6"/>
    </row>
    <row r="681" spans="1:14">
      <c r="A681" s="9" t="s">
        <v>41</v>
      </c>
      <c r="B681" s="5">
        <v>49199.360000000001</v>
      </c>
      <c r="C681" s="5">
        <v>57112.93</v>
      </c>
      <c r="D681" s="5">
        <v>40976</v>
      </c>
      <c r="E681" s="5">
        <v>38686.86</v>
      </c>
      <c r="F681" s="5">
        <v>37057.29</v>
      </c>
      <c r="G681" s="5">
        <v>27620.58</v>
      </c>
      <c r="H681" s="5"/>
      <c r="I681" s="5"/>
      <c r="J681" s="6"/>
    </row>
    <row r="682" spans="1:14">
      <c r="A682" s="9" t="s">
        <v>42</v>
      </c>
      <c r="B682" s="5">
        <v>833387.19</v>
      </c>
      <c r="C682" s="5">
        <v>936251</v>
      </c>
      <c r="D682" s="5">
        <v>925405.5</v>
      </c>
      <c r="E682" s="5">
        <v>605721.31000000006</v>
      </c>
      <c r="F682" s="5">
        <v>642571.43999999994</v>
      </c>
      <c r="G682" s="5">
        <v>491952.59</v>
      </c>
      <c r="H682" s="5"/>
      <c r="I682" s="5"/>
      <c r="J682" s="6"/>
    </row>
    <row r="683" spans="1:14">
      <c r="A683" s="9" t="s">
        <v>43</v>
      </c>
      <c r="B683" s="5">
        <v>11411107</v>
      </c>
      <c r="C683" s="5">
        <v>12781791</v>
      </c>
      <c r="D683" s="5">
        <v>12395344</v>
      </c>
      <c r="E683" s="5">
        <v>7670259.5</v>
      </c>
      <c r="F683" s="5">
        <v>9078536</v>
      </c>
      <c r="G683" s="5">
        <v>7036148</v>
      </c>
      <c r="H683" s="5"/>
      <c r="I683" s="5"/>
      <c r="J683" s="6"/>
    </row>
    <row r="684" spans="1:14">
      <c r="A684" s="9" t="s">
        <v>44</v>
      </c>
      <c r="B684" s="5">
        <v>32527008</v>
      </c>
      <c r="C684" s="5">
        <v>33751620</v>
      </c>
      <c r="D684" s="5">
        <v>33315312</v>
      </c>
      <c r="E684" s="5">
        <v>22604366</v>
      </c>
      <c r="F684" s="5">
        <v>22353450</v>
      </c>
      <c r="G684" s="5">
        <v>18015634</v>
      </c>
      <c r="H684" s="5"/>
      <c r="I684" s="5"/>
      <c r="J684" s="6"/>
    </row>
    <row r="685" spans="1:14">
      <c r="A685" s="9"/>
      <c r="B685" s="5"/>
      <c r="C685" s="5"/>
      <c r="D685" s="5"/>
      <c r="E685" s="5"/>
      <c r="F685" s="5"/>
      <c r="G685" s="5"/>
      <c r="H685" s="5"/>
      <c r="I685" s="5"/>
      <c r="J685" s="6"/>
    </row>
    <row r="686" spans="1:14">
      <c r="A686" s="9" t="s">
        <v>16</v>
      </c>
      <c r="B686" s="5">
        <f>SUM(B674:B675)/SUM(B674:B684)</f>
        <v>0.10852695135721895</v>
      </c>
      <c r="C686" s="5">
        <f t="shared" ref="C686:G686" si="166">SUM(C674:C675)/SUM(C674:C684)</f>
        <v>8.7598880253831501E-2</v>
      </c>
      <c r="D686" s="5">
        <f t="shared" si="166"/>
        <v>0.13898734166919566</v>
      </c>
      <c r="E686" s="5">
        <f t="shared" si="166"/>
        <v>0.72579814225192396</v>
      </c>
      <c r="F686" s="5">
        <f t="shared" si="166"/>
        <v>0.70501069078389234</v>
      </c>
      <c r="G686" s="5">
        <f t="shared" si="166"/>
        <v>0.75465477744078402</v>
      </c>
      <c r="H686" s="5"/>
      <c r="I686" s="5"/>
      <c r="J686" s="6"/>
    </row>
    <row r="687" spans="1:14">
      <c r="A687" s="9" t="s">
        <v>17</v>
      </c>
      <c r="B687" s="5">
        <f>SUM(B676:B684)/SUM(B674:B675)</f>
        <v>8.2143010330077093</v>
      </c>
      <c r="C687" s="5">
        <f t="shared" ref="C687:G687" si="167">SUM(C676:C684)/SUM(C674:C675)</f>
        <v>10.415671034861896</v>
      </c>
      <c r="D687" s="5">
        <f t="shared" si="167"/>
        <v>6.1948998231803305</v>
      </c>
      <c r="E687" s="5">
        <f t="shared" si="167"/>
        <v>0.37779355138236326</v>
      </c>
      <c r="F687" s="5">
        <f t="shared" si="167"/>
        <v>0.41841820708862282</v>
      </c>
      <c r="G687" s="5">
        <f t="shared" si="167"/>
        <v>0.32510921535704146</v>
      </c>
      <c r="H687" s="5"/>
      <c r="I687" s="5"/>
      <c r="J687" s="6"/>
    </row>
    <row r="688" spans="1:14">
      <c r="A688" s="9" t="s">
        <v>38</v>
      </c>
      <c r="B688" s="5">
        <f>B687*$L$675</f>
        <v>6.675692703325898E-3</v>
      </c>
      <c r="C688" s="5">
        <f t="shared" ref="C688:D688" si="168">C687*$L$675</f>
        <v>8.4647274123835006E-3</v>
      </c>
      <c r="D688" s="5">
        <f t="shared" si="168"/>
        <v>5.0345424864831605E-3</v>
      </c>
      <c r="E688" s="5">
        <f>E687*$N$675</f>
        <v>7.6757402857299591E-3</v>
      </c>
      <c r="F688" s="5">
        <f t="shared" ref="F688:G688" si="169">F687*$N$675</f>
        <v>8.5011231046199769E-3</v>
      </c>
      <c r="G688" s="5">
        <f t="shared" si="169"/>
        <v>6.6053374718735257E-3</v>
      </c>
      <c r="H688" s="5"/>
      <c r="I688" s="5"/>
      <c r="J688" s="6"/>
    </row>
    <row r="689" spans="1:14">
      <c r="A689" s="9" t="s">
        <v>51</v>
      </c>
      <c r="B689" s="5">
        <f>AVERAGE(B688:D688)</f>
        <v>6.7249875340641861E-3</v>
      </c>
      <c r="C689" s="5"/>
      <c r="D689" s="5"/>
      <c r="E689" s="5">
        <f>AVERAGE(E688:G688)</f>
        <v>7.594066954074487E-3</v>
      </c>
      <c r="F689" s="5"/>
      <c r="G689" s="5"/>
      <c r="H689" s="5"/>
      <c r="I689" s="5"/>
      <c r="J689" s="6"/>
    </row>
    <row r="690" spans="1:14">
      <c r="A690" s="9" t="s">
        <v>52</v>
      </c>
      <c r="B690" s="5">
        <f>_xlfn.STDEV.P(B688:D688)</f>
        <v>1.4008008760994829E-3</v>
      </c>
      <c r="C690" s="5"/>
      <c r="D690" s="5"/>
      <c r="E690" s="5">
        <f>_xlfn.STDEV.P(E688:G688)</f>
        <v>7.7610295329066752E-4</v>
      </c>
      <c r="F690" s="5"/>
      <c r="G690" s="5"/>
      <c r="H690" s="5"/>
      <c r="I690" s="5"/>
      <c r="J690" s="6"/>
    </row>
    <row r="691" spans="1:14">
      <c r="A691" s="9" t="s">
        <v>53</v>
      </c>
      <c r="B691" s="5">
        <f>AVERAGE(B689,E689)</f>
        <v>7.1595272440693365E-3</v>
      </c>
      <c r="C691" s="5"/>
      <c r="D691" s="5"/>
      <c r="E691" s="5"/>
      <c r="F691" s="5"/>
      <c r="G691" s="5"/>
      <c r="H691" s="5"/>
      <c r="I691" s="5"/>
      <c r="J691" s="6"/>
    </row>
    <row r="692" spans="1:14" ht="15.75" thickBot="1">
      <c r="A692" s="10" t="s">
        <v>54</v>
      </c>
      <c r="B692" s="7">
        <f>_xlfn.STDEV.P(B689,E689)</f>
        <v>4.3453971000515044E-4</v>
      </c>
      <c r="C692" s="7"/>
      <c r="D692" s="7"/>
      <c r="E692" s="7"/>
      <c r="F692" s="7"/>
      <c r="G692" s="7"/>
      <c r="H692" s="7"/>
      <c r="I692" s="7"/>
      <c r="J692" s="8"/>
    </row>
    <row r="693" spans="1:14" ht="15.75" thickBot="1"/>
    <row r="694" spans="1:14">
      <c r="A694" s="14" t="s">
        <v>34</v>
      </c>
      <c r="B694" s="12" t="s">
        <v>1</v>
      </c>
      <c r="C694" s="12" t="s">
        <v>2</v>
      </c>
      <c r="D694" s="12" t="s">
        <v>3</v>
      </c>
      <c r="E694" s="12" t="s">
        <v>4</v>
      </c>
      <c r="F694" s="12" t="s">
        <v>5</v>
      </c>
      <c r="G694" s="12" t="s">
        <v>6</v>
      </c>
      <c r="H694" s="12" t="s">
        <v>7</v>
      </c>
      <c r="I694" s="12" t="s">
        <v>8</v>
      </c>
      <c r="J694" s="13" t="s">
        <v>9</v>
      </c>
      <c r="K694" s="80" t="s">
        <v>39</v>
      </c>
      <c r="L694" s="81"/>
      <c r="M694" s="81"/>
      <c r="N694" s="82"/>
    </row>
    <row r="695" spans="1:14">
      <c r="A695" s="9" t="s">
        <v>10</v>
      </c>
      <c r="B695" s="5">
        <v>6153516</v>
      </c>
      <c r="C695" s="5">
        <v>5922613.5</v>
      </c>
      <c r="D695" s="5">
        <v>5443144</v>
      </c>
      <c r="E695" s="5">
        <v>22841570</v>
      </c>
      <c r="F695" s="5">
        <v>24001502</v>
      </c>
      <c r="G695" s="5">
        <v>21653626</v>
      </c>
      <c r="H695" s="5">
        <v>82638528</v>
      </c>
      <c r="I695" s="5">
        <v>83973320</v>
      </c>
      <c r="J695" s="6">
        <v>83324640</v>
      </c>
      <c r="K695" s="2" t="s">
        <v>18</v>
      </c>
      <c r="L695" s="3" t="s">
        <v>19</v>
      </c>
      <c r="M695" s="3" t="s">
        <v>20</v>
      </c>
      <c r="N695" s="4" t="s">
        <v>21</v>
      </c>
    </row>
    <row r="696" spans="1:14">
      <c r="A696" s="9" t="s">
        <v>11</v>
      </c>
      <c r="B696" s="5">
        <v>667872.31000000006</v>
      </c>
      <c r="C696" s="5">
        <v>639578.43999999994</v>
      </c>
      <c r="D696" s="5">
        <v>566961.68999999994</v>
      </c>
      <c r="E696" s="5">
        <v>2475839.25</v>
      </c>
      <c r="F696" s="5">
        <v>2584201.25</v>
      </c>
      <c r="G696" s="5">
        <v>2378000.25</v>
      </c>
      <c r="H696" s="5">
        <v>8964168</v>
      </c>
      <c r="I696" s="5">
        <v>9178671</v>
      </c>
      <c r="J696" s="6">
        <v>9168402</v>
      </c>
      <c r="K696" s="2" t="s">
        <v>34</v>
      </c>
      <c r="L696" s="5">
        <v>2.532140586768E-4</v>
      </c>
      <c r="M696" s="5">
        <v>1.266070293384E-3</v>
      </c>
      <c r="N696" s="6">
        <v>6.3303514669200006E-3</v>
      </c>
    </row>
    <row r="697" spans="1:14">
      <c r="A697" s="9" t="s">
        <v>12</v>
      </c>
      <c r="B697" s="5">
        <v>148970.69</v>
      </c>
      <c r="C697" s="5">
        <v>150768.81</v>
      </c>
      <c r="D697" s="5">
        <v>126413.41</v>
      </c>
      <c r="E697" s="5">
        <v>551746.75</v>
      </c>
      <c r="F697" s="5">
        <v>576607.43999999994</v>
      </c>
      <c r="G697" s="5">
        <v>561374.75</v>
      </c>
      <c r="H697" s="5">
        <v>2009814</v>
      </c>
      <c r="I697" s="5">
        <v>2220321</v>
      </c>
      <c r="J697" s="6">
        <v>2028871.62</v>
      </c>
    </row>
    <row r="698" spans="1:14">
      <c r="A698" s="9" t="s">
        <v>13</v>
      </c>
      <c r="B698" s="5">
        <v>0</v>
      </c>
      <c r="C698" s="5">
        <v>9982.08</v>
      </c>
      <c r="D698" s="5">
        <v>15052.32</v>
      </c>
      <c r="E698" s="5">
        <v>55465.89</v>
      </c>
      <c r="F698" s="5">
        <v>53524.88</v>
      </c>
      <c r="G698" s="5">
        <v>40500.89</v>
      </c>
      <c r="H698" s="5">
        <v>188747.61</v>
      </c>
      <c r="I698" s="5">
        <v>210477.61</v>
      </c>
      <c r="J698" s="6">
        <v>184251.69</v>
      </c>
    </row>
    <row r="699" spans="1:14">
      <c r="A699" s="9" t="s">
        <v>41</v>
      </c>
      <c r="B699" s="5">
        <v>100765.75</v>
      </c>
      <c r="C699" s="5">
        <v>101427.29</v>
      </c>
      <c r="D699" s="5">
        <v>104057.34</v>
      </c>
      <c r="E699" s="5">
        <v>101123.9</v>
      </c>
      <c r="F699" s="5">
        <v>106884.78</v>
      </c>
      <c r="G699" s="5">
        <v>82576.34</v>
      </c>
      <c r="H699" s="5">
        <v>59329.51</v>
      </c>
      <c r="I699" s="5">
        <v>62592.959999999999</v>
      </c>
      <c r="J699" s="6">
        <v>63401.42</v>
      </c>
    </row>
    <row r="700" spans="1:14">
      <c r="A700" s="9" t="s">
        <v>42</v>
      </c>
      <c r="B700" s="5">
        <v>2241543.75</v>
      </c>
      <c r="C700" s="5">
        <v>1834112.88</v>
      </c>
      <c r="D700" s="5">
        <v>1876690.62</v>
      </c>
      <c r="E700" s="5">
        <v>1896157.38</v>
      </c>
      <c r="F700" s="5">
        <v>1895833.62</v>
      </c>
      <c r="G700" s="5">
        <v>1793767.88</v>
      </c>
      <c r="H700" s="5">
        <v>1297201</v>
      </c>
      <c r="I700" s="5">
        <v>1143908.25</v>
      </c>
      <c r="J700" s="6">
        <v>1218313.6200000001</v>
      </c>
    </row>
    <row r="701" spans="1:14">
      <c r="A701" s="9" t="s">
        <v>43</v>
      </c>
      <c r="B701" s="5">
        <v>26539178</v>
      </c>
      <c r="C701" s="5">
        <v>24092598</v>
      </c>
      <c r="D701" s="5">
        <v>23669910</v>
      </c>
      <c r="E701" s="5">
        <v>23932330</v>
      </c>
      <c r="F701" s="5">
        <v>24284870</v>
      </c>
      <c r="G701" s="5">
        <v>22456858</v>
      </c>
      <c r="H701" s="5">
        <v>15945091</v>
      </c>
      <c r="I701" s="5">
        <v>14472397</v>
      </c>
      <c r="J701" s="6">
        <v>15660379</v>
      </c>
    </row>
    <row r="702" spans="1:14">
      <c r="A702" s="9" t="s">
        <v>44</v>
      </c>
      <c r="B702" s="5">
        <v>56804912</v>
      </c>
      <c r="C702" s="5">
        <v>52699152</v>
      </c>
      <c r="D702" s="5">
        <v>51786996</v>
      </c>
      <c r="E702" s="5">
        <v>49536784</v>
      </c>
      <c r="F702" s="5">
        <v>52826516</v>
      </c>
      <c r="G702" s="5">
        <v>48979628</v>
      </c>
      <c r="H702" s="5">
        <v>31437546</v>
      </c>
      <c r="I702" s="5">
        <v>31010718</v>
      </c>
      <c r="J702" s="6">
        <v>31977878</v>
      </c>
    </row>
    <row r="703" spans="1:14">
      <c r="A703" s="9"/>
      <c r="B703" s="5"/>
      <c r="C703" s="5"/>
      <c r="D703" s="5"/>
      <c r="E703" s="5"/>
      <c r="F703" s="5"/>
      <c r="G703" s="5"/>
      <c r="H703" s="5"/>
      <c r="I703" s="5"/>
      <c r="J703" s="6"/>
    </row>
    <row r="704" spans="1:14">
      <c r="A704" s="9" t="s">
        <v>16</v>
      </c>
      <c r="B704" s="5">
        <f>SUM(B695:B696)/SUM(B695:B702)</f>
        <v>7.3619975708517804E-2</v>
      </c>
      <c r="C704" s="5">
        <f t="shared" ref="C704:J704" si="170">SUM(C695:C696)/SUM(C695:C702)</f>
        <v>7.6795483284404845E-2</v>
      </c>
      <c r="D704" s="5">
        <f t="shared" si="170"/>
        <v>7.190048313856022E-2</v>
      </c>
      <c r="E704" s="5">
        <f t="shared" si="170"/>
        <v>0.24970071271255598</v>
      </c>
      <c r="F704" s="5">
        <f t="shared" si="170"/>
        <v>0.25003026671040074</v>
      </c>
      <c r="G704" s="5">
        <f t="shared" si="170"/>
        <v>0.24535504017660351</v>
      </c>
      <c r="H704" s="5">
        <f t="shared" si="170"/>
        <v>0.6426436284505449</v>
      </c>
      <c r="I704" s="5">
        <f t="shared" si="170"/>
        <v>0.65474390809032856</v>
      </c>
      <c r="J704" s="6">
        <f t="shared" si="170"/>
        <v>0.64398474892216395</v>
      </c>
    </row>
    <row r="705" spans="1:19">
      <c r="A705" s="9" t="s">
        <v>17</v>
      </c>
      <c r="B705" s="5">
        <f>SUM(B697:B702)/SUM(B695:B696)</f>
        <v>12.583269898910064</v>
      </c>
      <c r="C705" s="5">
        <f t="shared" ref="C705:J705" si="171">SUM(C697:C702)/SUM(C695:C696)</f>
        <v>12.021599151822434</v>
      </c>
      <c r="D705" s="5">
        <f t="shared" si="171"/>
        <v>12.908112384625969</v>
      </c>
      <c r="E705" s="5">
        <f t="shared" si="171"/>
        <v>3.0047943361345317</v>
      </c>
      <c r="F705" s="5">
        <f t="shared" si="171"/>
        <v>2.9995157912552117</v>
      </c>
      <c r="G705" s="5">
        <f t="shared" si="171"/>
        <v>3.0757263404094428</v>
      </c>
      <c r="H705" s="5">
        <f t="shared" si="171"/>
        <v>0.55607237935442433</v>
      </c>
      <c r="I705" s="5">
        <f t="shared" si="171"/>
        <v>0.52731470677851644</v>
      </c>
      <c r="J705" s="6">
        <f t="shared" si="171"/>
        <v>0.55283180490484896</v>
      </c>
    </row>
    <row r="706" spans="1:19">
      <c r="A706" s="9" t="s">
        <v>38</v>
      </c>
      <c r="B706" s="5">
        <f>B705*$L$696</f>
        <v>3.1862608425286243E-3</v>
      </c>
      <c r="C706" s="5">
        <f t="shared" ref="C706:D706" si="172">C705*$L$696</f>
        <v>3.0440379130185348E-3</v>
      </c>
      <c r="D706" s="5">
        <f t="shared" si="172"/>
        <v>3.2685155267674088E-3</v>
      </c>
      <c r="E706" s="5">
        <f>E705*$M$696</f>
        <v>3.8042808467084284E-3</v>
      </c>
      <c r="F706" s="5">
        <f t="shared" ref="F706:G706" si="173">F705*$M$696</f>
        <v>3.7975978378444269E-3</v>
      </c>
      <c r="G706" s="5">
        <f t="shared" si="173"/>
        <v>3.89408575017108E-3</v>
      </c>
      <c r="H706" s="5">
        <f>H705*$N$696</f>
        <v>3.5201336023599752E-3</v>
      </c>
      <c r="I706" s="5">
        <f t="shared" ref="I706:J706" si="174">I705*$N$696</f>
        <v>3.3380874275838715E-3</v>
      </c>
      <c r="J706" s="6">
        <f t="shared" si="174"/>
        <v>3.4996196271394422E-3</v>
      </c>
    </row>
    <row r="707" spans="1:19">
      <c r="A707" s="9" t="s">
        <v>51</v>
      </c>
      <c r="B707" s="5">
        <f>AVERAGE(B706:D706)</f>
        <v>3.1662714274381895E-3</v>
      </c>
      <c r="C707" s="5"/>
      <c r="D707" s="5"/>
      <c r="E707" s="5">
        <f>AVERAGE(E706:G706)</f>
        <v>3.8319881449079781E-3</v>
      </c>
      <c r="F707" s="5"/>
      <c r="G707" s="5"/>
      <c r="H707" s="5">
        <f>AVERAGE(H706:J706)</f>
        <v>3.4526135523610963E-3</v>
      </c>
      <c r="I707" s="5"/>
      <c r="J707" s="6"/>
    </row>
    <row r="708" spans="1:19">
      <c r="A708" s="9" t="s">
        <v>52</v>
      </c>
      <c r="B708" s="5">
        <f>_xlfn.STDEV.P(B706:D706)</f>
        <v>9.2726236148282047E-5</v>
      </c>
      <c r="C708" s="5"/>
      <c r="D708" s="5"/>
      <c r="E708" s="5">
        <f>_xlfn.STDEV.P(E706:G706)</f>
        <v>4.3994318469760531E-5</v>
      </c>
      <c r="F708" s="5"/>
      <c r="G708" s="5"/>
      <c r="H708" s="5">
        <f>_xlfn.STDEV.P(H706:J706)</f>
        <v>8.1414088613718065E-5</v>
      </c>
      <c r="I708" s="5"/>
      <c r="J708" s="6"/>
    </row>
    <row r="709" spans="1:19">
      <c r="A709" s="9" t="s">
        <v>53</v>
      </c>
      <c r="B709" s="5">
        <f>AVERAGE(B707,E707,H707)</f>
        <v>3.4836243749024214E-3</v>
      </c>
      <c r="C709" s="5"/>
      <c r="D709" s="5"/>
      <c r="E709" s="5"/>
      <c r="F709" s="5"/>
      <c r="G709" s="5"/>
      <c r="H709" s="5"/>
      <c r="I709" s="5"/>
      <c r="J709" s="6"/>
    </row>
    <row r="710" spans="1:19" ht="15.75" thickBot="1">
      <c r="A710" s="10" t="s">
        <v>54</v>
      </c>
      <c r="B710" s="7">
        <f>_xlfn.STDEV.P(B707,E707,H707)</f>
        <v>2.7266088867028556E-4</v>
      </c>
      <c r="C710" s="7"/>
      <c r="D710" s="7"/>
      <c r="E710" s="7"/>
      <c r="F710" s="7"/>
      <c r="G710" s="7"/>
      <c r="H710" s="7"/>
      <c r="I710" s="7"/>
      <c r="J710" s="8"/>
    </row>
    <row r="711" spans="1:19" ht="15.75" thickBot="1"/>
    <row r="712" spans="1:19">
      <c r="A712" s="25" t="s">
        <v>34</v>
      </c>
      <c r="B712" s="12" t="s">
        <v>1</v>
      </c>
      <c r="C712" s="12" t="s">
        <v>2</v>
      </c>
      <c r="D712" s="12" t="s">
        <v>3</v>
      </c>
      <c r="E712" s="12" t="s">
        <v>7</v>
      </c>
      <c r="F712" s="12" t="s">
        <v>8</v>
      </c>
      <c r="G712" s="12" t="s">
        <v>9</v>
      </c>
      <c r="H712" s="12"/>
      <c r="I712" s="12"/>
      <c r="J712" s="13"/>
      <c r="K712" s="80" t="s">
        <v>37</v>
      </c>
      <c r="L712" s="81"/>
      <c r="M712" s="81"/>
      <c r="N712" s="82"/>
    </row>
    <row r="713" spans="1:19">
      <c r="A713" s="9" t="s">
        <v>10</v>
      </c>
      <c r="B713" s="5">
        <v>7839000</v>
      </c>
      <c r="C713" s="5">
        <v>6506026</v>
      </c>
      <c r="D713" s="5">
        <v>8539819</v>
      </c>
      <c r="E713" s="5">
        <v>95317640</v>
      </c>
      <c r="F713" s="5">
        <v>94561272</v>
      </c>
      <c r="G713" s="5">
        <v>85831960</v>
      </c>
      <c r="H713" s="5"/>
      <c r="I713" s="5"/>
      <c r="J713" s="6"/>
      <c r="K713" s="2" t="s">
        <v>18</v>
      </c>
      <c r="L713" s="3" t="s">
        <v>19</v>
      </c>
      <c r="M713" s="3"/>
      <c r="N713" s="4" t="s">
        <v>21</v>
      </c>
    </row>
    <row r="714" spans="1:19">
      <c r="A714" s="9" t="s">
        <v>11</v>
      </c>
      <c r="B714" s="5">
        <v>876286.19</v>
      </c>
      <c r="C714" s="5">
        <v>669075.06000000006</v>
      </c>
      <c r="D714" s="5">
        <v>914451.69</v>
      </c>
      <c r="E714" s="5">
        <v>10235556</v>
      </c>
      <c r="F714" s="5">
        <v>10108755</v>
      </c>
      <c r="G714" s="5">
        <v>9337625</v>
      </c>
      <c r="H714" s="5"/>
      <c r="I714" s="5"/>
      <c r="J714" s="6"/>
      <c r="K714" s="2" t="s">
        <v>34</v>
      </c>
      <c r="L714" s="5">
        <v>2.532140586768E-4</v>
      </c>
      <c r="N714" s="6">
        <v>6.3303514669200006E-3</v>
      </c>
    </row>
    <row r="715" spans="1:19">
      <c r="A715" s="9" t="s">
        <v>12</v>
      </c>
      <c r="B715" s="5">
        <v>180218.55</v>
      </c>
      <c r="C715" s="5">
        <v>103979.68</v>
      </c>
      <c r="D715" s="5">
        <v>215422.8</v>
      </c>
      <c r="E715" s="5">
        <v>2437554</v>
      </c>
      <c r="F715" s="5">
        <v>2214764.25</v>
      </c>
      <c r="G715" s="5">
        <v>2127807.5</v>
      </c>
      <c r="H715" s="5"/>
      <c r="I715" s="5"/>
      <c r="J715" s="6"/>
    </row>
    <row r="716" spans="1:19">
      <c r="A716" s="9" t="s">
        <v>13</v>
      </c>
      <c r="B716" s="5">
        <v>9027.98</v>
      </c>
      <c r="C716" s="5">
        <v>14586.88</v>
      </c>
      <c r="D716" s="5">
        <v>18072</v>
      </c>
      <c r="E716" s="5">
        <v>216108.83</v>
      </c>
      <c r="F716" s="5">
        <v>207552.89</v>
      </c>
      <c r="G716" s="5">
        <v>194482.98</v>
      </c>
      <c r="H716" s="5"/>
      <c r="I716" s="5"/>
      <c r="J716" s="6"/>
    </row>
    <row r="717" spans="1:19">
      <c r="A717" s="9" t="s">
        <v>15</v>
      </c>
      <c r="B717" s="5">
        <v>5780.93</v>
      </c>
      <c r="C717" s="5">
        <v>14921.12</v>
      </c>
      <c r="D717" s="5">
        <v>0</v>
      </c>
      <c r="E717" s="5">
        <v>0</v>
      </c>
      <c r="F717" s="5">
        <v>7987.51</v>
      </c>
      <c r="G717" s="5">
        <v>0</v>
      </c>
      <c r="H717" s="5"/>
      <c r="I717" s="5"/>
      <c r="J717" s="6"/>
    </row>
    <row r="718" spans="1:19">
      <c r="A718" s="9" t="s">
        <v>41</v>
      </c>
      <c r="B718" s="5">
        <v>112711.47</v>
      </c>
      <c r="C718" s="5">
        <v>116025.9</v>
      </c>
      <c r="D718" s="5">
        <v>101948.65</v>
      </c>
      <c r="E718" s="5">
        <v>83432.740000000005</v>
      </c>
      <c r="F718" s="5">
        <v>68264.23</v>
      </c>
      <c r="G718" s="5">
        <v>63522.28</v>
      </c>
      <c r="H718" s="5"/>
      <c r="I718" s="5"/>
      <c r="J718" s="6"/>
    </row>
    <row r="719" spans="1:19">
      <c r="A719" s="9" t="s">
        <v>42</v>
      </c>
      <c r="B719" s="5">
        <v>2279699.25</v>
      </c>
      <c r="C719" s="5">
        <v>2032862</v>
      </c>
      <c r="D719" s="5">
        <v>1953728.62</v>
      </c>
      <c r="E719" s="5">
        <v>1579445.62</v>
      </c>
      <c r="F719" s="5">
        <v>1374668.12</v>
      </c>
      <c r="G719" s="5">
        <v>1221548.8799999999</v>
      </c>
      <c r="H719" s="5"/>
      <c r="I719" s="5"/>
      <c r="J719" s="6"/>
      <c r="S719" s="1"/>
    </row>
    <row r="720" spans="1:19">
      <c r="A720" s="9" t="s">
        <v>43</v>
      </c>
      <c r="B720" s="5">
        <v>28749886</v>
      </c>
      <c r="C720" s="5">
        <v>26211434</v>
      </c>
      <c r="D720" s="5">
        <v>25000902</v>
      </c>
      <c r="E720" s="5">
        <v>18472712</v>
      </c>
      <c r="F720" s="5">
        <v>17360506</v>
      </c>
      <c r="G720" s="5">
        <v>15126271</v>
      </c>
      <c r="H720" s="5"/>
      <c r="I720" s="5"/>
      <c r="J720" s="6"/>
    </row>
    <row r="721" spans="1:14">
      <c r="A721" s="9" t="s">
        <v>44</v>
      </c>
      <c r="B721" s="5">
        <v>79993096</v>
      </c>
      <c r="C721" s="5">
        <v>67483784</v>
      </c>
      <c r="D721" s="5">
        <v>65965268</v>
      </c>
      <c r="E721" s="5">
        <v>49518572</v>
      </c>
      <c r="F721" s="5">
        <v>43657372</v>
      </c>
      <c r="G721" s="5">
        <v>37778636</v>
      </c>
      <c r="H721" s="5"/>
      <c r="I721" s="5"/>
      <c r="J721" s="6"/>
    </row>
    <row r="722" spans="1:14">
      <c r="A722" s="9"/>
      <c r="B722" s="5"/>
      <c r="C722" s="5"/>
      <c r="D722" s="5"/>
      <c r="E722" s="5"/>
      <c r="F722" s="5"/>
      <c r="G722" s="5"/>
      <c r="H722" s="5"/>
      <c r="I722" s="5"/>
      <c r="J722" s="6"/>
    </row>
    <row r="723" spans="1:14">
      <c r="A723" s="9" t="s">
        <v>16</v>
      </c>
      <c r="B723" s="5">
        <f>SUM(B713:B714)/SUM(B713:B721)</f>
        <v>7.2599732664641065E-2</v>
      </c>
      <c r="C723" s="5">
        <f t="shared" ref="C723:G723" si="175">SUM(C713:C714)/SUM(C713:C721)</f>
        <v>6.9558057451052549E-2</v>
      </c>
      <c r="D723" s="5">
        <f t="shared" si="175"/>
        <v>9.204854770596449E-2</v>
      </c>
      <c r="E723" s="5">
        <f t="shared" si="175"/>
        <v>0.59345884384214131</v>
      </c>
      <c r="F723" s="5">
        <f t="shared" si="175"/>
        <v>0.61729961101583053</v>
      </c>
      <c r="G723" s="5">
        <f t="shared" si="175"/>
        <v>0.62742894233000623</v>
      </c>
      <c r="H723" s="5"/>
      <c r="I723" s="5"/>
      <c r="J723" s="6"/>
    </row>
    <row r="724" spans="1:14">
      <c r="A724" s="9" t="s">
        <v>17</v>
      </c>
      <c r="B724" s="5">
        <f>SUM(B715:B721)/SUM(B713:B714)</f>
        <v>12.774155403839931</v>
      </c>
      <c r="C724" s="5">
        <f t="shared" ref="C724:G724" si="176">SUM(C715:C721)/SUM(C713:C714)</f>
        <v>13.376479686824089</v>
      </c>
      <c r="D724" s="5">
        <f t="shared" si="176"/>
        <v>9.8638324549600984</v>
      </c>
      <c r="E724" s="5">
        <f t="shared" si="176"/>
        <v>0.68503681489663271</v>
      </c>
      <c r="F724" s="5">
        <f t="shared" si="176"/>
        <v>0.61995890189270708</v>
      </c>
      <c r="G724" s="5">
        <f t="shared" si="176"/>
        <v>0.59380597950490166</v>
      </c>
      <c r="H724" s="5"/>
      <c r="I724" s="5"/>
      <c r="J724" s="6"/>
    </row>
    <row r="725" spans="1:14">
      <c r="A725" s="9" t="s">
        <v>38</v>
      </c>
      <c r="B725" s="5">
        <f>B724*$L$714</f>
        <v>3.234595735974486E-3</v>
      </c>
      <c r="C725" s="5">
        <f t="shared" ref="C725:D725" si="177">C724*$L$714</f>
        <v>3.3871127123084981E-3</v>
      </c>
      <c r="D725" s="5">
        <f t="shared" si="177"/>
        <v>2.4976610500283907E-3</v>
      </c>
      <c r="E725" s="5">
        <f>E724*$N$714</f>
        <v>4.3365238060751035E-3</v>
      </c>
      <c r="F725" s="5">
        <f>F724*$N$714</f>
        <v>3.9245577440266107E-3</v>
      </c>
      <c r="G725" s="5">
        <f>G724*$N$714</f>
        <v>3.759000553424722E-3</v>
      </c>
      <c r="H725" s="5"/>
      <c r="I725" s="5"/>
      <c r="J725" s="6"/>
    </row>
    <row r="726" spans="1:14">
      <c r="A726" s="9" t="s">
        <v>51</v>
      </c>
      <c r="B726" s="5">
        <f>AVERAGE(B725:D725)</f>
        <v>3.0397898327704583E-3</v>
      </c>
      <c r="C726" s="5"/>
      <c r="D726" s="5"/>
      <c r="E726" s="5">
        <f>AVERAGE(E725:G725)</f>
        <v>4.0066940345088115E-3</v>
      </c>
      <c r="F726" s="5"/>
      <c r="G726" s="5"/>
      <c r="H726" s="5"/>
      <c r="I726" s="5"/>
      <c r="J726" s="6"/>
    </row>
    <row r="727" spans="1:14">
      <c r="A727" s="9" t="s">
        <v>52</v>
      </c>
      <c r="B727" s="5">
        <f>_xlfn.STDEV.P(B725:D725)</f>
        <v>3.883667251671323E-4</v>
      </c>
      <c r="C727" s="5"/>
      <c r="D727" s="5"/>
      <c r="E727" s="5">
        <f>_xlfn.STDEV.P(E725:G725)</f>
        <v>2.4282099648177257E-4</v>
      </c>
      <c r="F727" s="5"/>
      <c r="G727" s="5"/>
      <c r="H727" s="5"/>
      <c r="I727" s="5"/>
      <c r="J727" s="6"/>
    </row>
    <row r="728" spans="1:14">
      <c r="A728" s="9" t="s">
        <v>53</v>
      </c>
      <c r="B728" s="5">
        <f>AVERAGE(B726,E726)</f>
        <v>3.5232419336396351E-3</v>
      </c>
      <c r="C728" s="5"/>
      <c r="D728" s="5"/>
      <c r="E728" s="5"/>
      <c r="F728" s="5"/>
      <c r="G728" s="5"/>
      <c r="H728" s="5"/>
      <c r="I728" s="5"/>
      <c r="J728" s="6"/>
    </row>
    <row r="729" spans="1:14" ht="15.75" thickBot="1">
      <c r="A729" s="10" t="s">
        <v>54</v>
      </c>
      <c r="B729" s="7">
        <f>_xlfn.STDEV.P(B726,E726)</f>
        <v>4.8345210086917661E-4</v>
      </c>
      <c r="C729" s="7"/>
      <c r="D729" s="7"/>
      <c r="E729" s="7"/>
      <c r="F729" s="7"/>
      <c r="G729" s="7"/>
      <c r="H729" s="7"/>
      <c r="I729" s="7"/>
      <c r="J729" s="8"/>
    </row>
    <row r="730" spans="1:14" ht="15.75" thickBot="1"/>
    <row r="731" spans="1:14">
      <c r="A731" s="15" t="s">
        <v>34</v>
      </c>
      <c r="B731" s="12" t="s">
        <v>57</v>
      </c>
      <c r="C731" s="12" t="s">
        <v>58</v>
      </c>
      <c r="D731" s="12" t="s">
        <v>59</v>
      </c>
      <c r="E731" s="12" t="s">
        <v>60</v>
      </c>
      <c r="F731" s="12" t="s">
        <v>61</v>
      </c>
      <c r="G731" s="12" t="s">
        <v>62</v>
      </c>
      <c r="H731" s="12" t="s">
        <v>63</v>
      </c>
      <c r="I731" s="12" t="s">
        <v>64</v>
      </c>
      <c r="J731" s="13" t="s">
        <v>65</v>
      </c>
      <c r="K731" s="80" t="s">
        <v>39</v>
      </c>
      <c r="L731" s="81"/>
      <c r="M731" s="81"/>
      <c r="N731" s="82"/>
    </row>
    <row r="732" spans="1:14">
      <c r="A732" s="9" t="s">
        <v>10</v>
      </c>
      <c r="B732" s="5">
        <v>2343465.75</v>
      </c>
      <c r="C732" s="5">
        <v>2096446.5</v>
      </c>
      <c r="D732" s="5">
        <v>1666155.38</v>
      </c>
      <c r="E732" s="5">
        <v>9461377</v>
      </c>
      <c r="F732" s="5">
        <v>9257829</v>
      </c>
      <c r="G732" s="5">
        <v>8191880</v>
      </c>
      <c r="H732" s="5">
        <v>39108660</v>
      </c>
      <c r="I732" s="5">
        <v>35686224</v>
      </c>
      <c r="J732" s="6">
        <v>31736352</v>
      </c>
      <c r="K732" s="2" t="s">
        <v>18</v>
      </c>
      <c r="L732" s="3" t="s">
        <v>19</v>
      </c>
      <c r="M732" s="3" t="s">
        <v>20</v>
      </c>
      <c r="N732" s="4" t="s">
        <v>21</v>
      </c>
    </row>
    <row r="733" spans="1:14">
      <c r="A733" s="9" t="s">
        <v>11</v>
      </c>
      <c r="B733" s="5">
        <v>246349.95</v>
      </c>
      <c r="C733" s="5">
        <v>204676.89</v>
      </c>
      <c r="D733" s="5">
        <v>172003.83</v>
      </c>
      <c r="E733" s="5">
        <v>1000433.19</v>
      </c>
      <c r="F733" s="5">
        <v>998362.44</v>
      </c>
      <c r="G733" s="5">
        <v>809881.56</v>
      </c>
      <c r="H733" s="5">
        <v>3956312</v>
      </c>
      <c r="I733" s="5">
        <v>3498672.75</v>
      </c>
      <c r="J733" s="6">
        <v>3112567.75</v>
      </c>
      <c r="K733" s="2" t="s">
        <v>34</v>
      </c>
      <c r="L733" s="5">
        <v>2.532140586768E-4</v>
      </c>
      <c r="M733" s="5">
        <v>1.266070293384E-3</v>
      </c>
      <c r="N733" s="6">
        <v>6.3303514669200006E-3</v>
      </c>
    </row>
    <row r="734" spans="1:14">
      <c r="A734" s="9" t="s">
        <v>12</v>
      </c>
      <c r="B734" s="5">
        <v>36229.22</v>
      </c>
      <c r="C734" s="5">
        <v>12941.52</v>
      </c>
      <c r="D734" s="5">
        <v>11581.79</v>
      </c>
      <c r="E734" s="5">
        <v>136358.04999999999</v>
      </c>
      <c r="F734" s="5">
        <v>106547.06</v>
      </c>
      <c r="G734" s="5">
        <v>140693.39000000001</v>
      </c>
      <c r="H734" s="5">
        <v>766292.19</v>
      </c>
      <c r="I734" s="5">
        <v>455119.88</v>
      </c>
      <c r="J734" s="6">
        <v>529052.93999999994</v>
      </c>
    </row>
    <row r="735" spans="1:14">
      <c r="A735" s="9" t="s">
        <v>13</v>
      </c>
      <c r="B735" s="5">
        <v>5239.6000000000004</v>
      </c>
      <c r="C735" s="5">
        <v>0</v>
      </c>
      <c r="D735" s="5">
        <v>0</v>
      </c>
      <c r="E735" s="5">
        <v>7019.69</v>
      </c>
      <c r="F735" s="5">
        <v>8415.0499999999993</v>
      </c>
      <c r="G735" s="5">
        <v>11087.21</v>
      </c>
      <c r="H735" s="5">
        <v>49208.2</v>
      </c>
      <c r="I735" s="5">
        <v>23929.93</v>
      </c>
      <c r="J735" s="6">
        <v>25477.55</v>
      </c>
    </row>
    <row r="736" spans="1:14">
      <c r="A736" s="9" t="s">
        <v>41</v>
      </c>
      <c r="B736" s="5">
        <v>37213.279999999999</v>
      </c>
      <c r="C736" s="5">
        <v>17738.349999999999</v>
      </c>
      <c r="D736" s="5">
        <v>23652.91</v>
      </c>
      <c r="E736" s="5">
        <v>25863.27</v>
      </c>
      <c r="F736" s="5">
        <v>31470.19</v>
      </c>
      <c r="G736" s="5">
        <v>22254.91</v>
      </c>
      <c r="H736" s="5">
        <v>20261.189999999999</v>
      </c>
      <c r="I736" s="5">
        <v>9244.2099999999991</v>
      </c>
      <c r="J736" s="6">
        <v>14273.96</v>
      </c>
    </row>
    <row r="737" spans="1:14">
      <c r="A737" s="9" t="s">
        <v>42</v>
      </c>
      <c r="B737" s="5">
        <v>798024.69</v>
      </c>
      <c r="C737" s="5">
        <v>691815.62</v>
      </c>
      <c r="D737" s="5">
        <v>595860.81000000006</v>
      </c>
      <c r="E737" s="5">
        <v>674264.69</v>
      </c>
      <c r="F737" s="5">
        <v>737199.19</v>
      </c>
      <c r="G737" s="5">
        <v>644534.12</v>
      </c>
      <c r="H737" s="5">
        <v>489512.66</v>
      </c>
      <c r="I737" s="5">
        <v>442121.25</v>
      </c>
      <c r="J737" s="6">
        <v>416422.53</v>
      </c>
      <c r="K737" s="2"/>
    </row>
    <row r="738" spans="1:14">
      <c r="A738" s="9" t="s">
        <v>43</v>
      </c>
      <c r="B738" s="5">
        <v>10961340</v>
      </c>
      <c r="C738" s="5">
        <v>9171487</v>
      </c>
      <c r="D738" s="5">
        <v>7908505.5</v>
      </c>
      <c r="E738" s="5">
        <v>9731340</v>
      </c>
      <c r="F738" s="5">
        <v>9747888</v>
      </c>
      <c r="G738" s="5">
        <v>8688989</v>
      </c>
      <c r="H738" s="5">
        <v>6688836</v>
      </c>
      <c r="I738" s="5">
        <v>5694342.5</v>
      </c>
      <c r="J738" s="6">
        <v>5264616.5</v>
      </c>
      <c r="K738" s="2"/>
    </row>
    <row r="739" spans="1:14">
      <c r="A739" s="9" t="s">
        <v>44</v>
      </c>
      <c r="B739" s="5">
        <v>23481642</v>
      </c>
      <c r="C739" s="5">
        <v>20601640</v>
      </c>
      <c r="D739" s="5">
        <v>17757056</v>
      </c>
      <c r="E739" s="5">
        <v>20459054</v>
      </c>
      <c r="F739" s="5">
        <v>21978470</v>
      </c>
      <c r="G739" s="5">
        <v>17735648</v>
      </c>
      <c r="H739" s="5">
        <v>13983480</v>
      </c>
      <c r="I739" s="5">
        <v>12708008</v>
      </c>
      <c r="J739" s="6">
        <v>10830620</v>
      </c>
    </row>
    <row r="740" spans="1:14">
      <c r="A740" s="9"/>
      <c r="B740" s="5"/>
      <c r="C740" s="5"/>
      <c r="D740" s="5"/>
      <c r="E740" s="5"/>
      <c r="F740" s="5"/>
      <c r="G740" s="5"/>
      <c r="H740" s="5"/>
      <c r="I740" s="5"/>
      <c r="J740" s="6"/>
    </row>
    <row r="741" spans="1:14">
      <c r="A741" s="9" t="s">
        <v>16</v>
      </c>
      <c r="B741" s="5">
        <f>SUM(B732:B733)/SUM(B732:B739)</f>
        <v>6.8315735983390594E-2</v>
      </c>
      <c r="C741" s="5">
        <f t="shared" ref="C741:J741" si="178">SUM(C732:C733)/SUM(C732:C739)</f>
        <v>7.0163161870375176E-2</v>
      </c>
      <c r="D741" s="5">
        <f t="shared" si="178"/>
        <v>6.5333968973762854E-2</v>
      </c>
      <c r="E741" s="5">
        <f t="shared" si="178"/>
        <v>0.25211787478110304</v>
      </c>
      <c r="F741" s="5">
        <f t="shared" si="178"/>
        <v>0.23926067630676609</v>
      </c>
      <c r="G741" s="5">
        <f t="shared" si="178"/>
        <v>0.24835893117112987</v>
      </c>
      <c r="H741" s="5">
        <f t="shared" si="178"/>
        <v>0.66190095374885138</v>
      </c>
      <c r="I741" s="5">
        <f t="shared" si="178"/>
        <v>0.66962511936643909</v>
      </c>
      <c r="J741" s="6">
        <f t="shared" si="178"/>
        <v>0.67108287413410905</v>
      </c>
      <c r="K741" s="2"/>
    </row>
    <row r="742" spans="1:14">
      <c r="A742" s="9" t="s">
        <v>17</v>
      </c>
      <c r="B742" s="5">
        <f>SUM(B734:B739)/SUM(B732:B733)</f>
        <v>13.637915929693374</v>
      </c>
      <c r="C742" s="5">
        <f t="shared" ref="C742:J742" si="179">SUM(C734:C739)/SUM(C732:C733)</f>
        <v>13.252493378896991</v>
      </c>
      <c r="D742" s="5">
        <f t="shared" si="179"/>
        <v>14.305973534251148</v>
      </c>
      <c r="E742" s="5">
        <f t="shared" si="179"/>
        <v>2.9663986572480532</v>
      </c>
      <c r="F742" s="5">
        <f t="shared" si="179"/>
        <v>3.1795418095276897</v>
      </c>
      <c r="G742" s="5">
        <f t="shared" si="179"/>
        <v>3.0264305989904492</v>
      </c>
      <c r="H742" s="5">
        <f t="shared" si="179"/>
        <v>0.51080005903637882</v>
      </c>
      <c r="I742" s="5">
        <f t="shared" si="179"/>
        <v>0.49337289041089538</v>
      </c>
      <c r="J742" s="6">
        <f t="shared" si="179"/>
        <v>0.49012892228890398</v>
      </c>
      <c r="K742" s="2"/>
    </row>
    <row r="743" spans="1:14">
      <c r="A743" s="9" t="s">
        <v>38</v>
      </c>
      <c r="B743" s="5">
        <f>B742*$L$733</f>
        <v>3.4533120444506433E-3</v>
      </c>
      <c r="C743" s="5">
        <f t="shared" ref="C743:D743" si="180">C742*$L$733</f>
        <v>3.3557176360579262E-3</v>
      </c>
      <c r="D743" s="5">
        <f t="shared" si="180"/>
        <v>3.6224736219306179E-3</v>
      </c>
      <c r="E743" s="5">
        <f>E742*$M$733</f>
        <v>3.7556692182759465E-3</v>
      </c>
      <c r="F743" s="5">
        <f t="shared" ref="F743:G743" si="181">F742*$M$733</f>
        <v>4.0255234316154166E-3</v>
      </c>
      <c r="G743" s="5">
        <f t="shared" si="181"/>
        <v>3.8316738763701529E-3</v>
      </c>
      <c r="H743" s="5">
        <f>H742*$N$733</f>
        <v>3.2335439030237636E-3</v>
      </c>
      <c r="I743" s="5">
        <f t="shared" ref="I743:J743" si="182">I742*$N$733</f>
        <v>3.1232238005511723E-3</v>
      </c>
      <c r="J743" s="6">
        <f t="shared" si="182"/>
        <v>3.1026883421914823E-3</v>
      </c>
      <c r="K743" s="2"/>
    </row>
    <row r="744" spans="1:14">
      <c r="A744" s="9" t="s">
        <v>51</v>
      </c>
      <c r="B744" s="5">
        <f>AVERAGE(B743:D743)</f>
        <v>3.4771677674797288E-3</v>
      </c>
      <c r="C744" s="5"/>
      <c r="D744" s="5"/>
      <c r="E744" s="5">
        <f>AVERAGE(E743:G743)</f>
        <v>3.8709555087538387E-3</v>
      </c>
      <c r="F744" s="5"/>
      <c r="G744" s="5"/>
      <c r="H744" s="5">
        <f>AVERAGE(H743:J743)</f>
        <v>3.1531520152554729E-3</v>
      </c>
      <c r="I744" s="5"/>
      <c r="J744" s="6"/>
      <c r="K744" s="2"/>
    </row>
    <row r="745" spans="1:14">
      <c r="A745" s="9" t="s">
        <v>52</v>
      </c>
      <c r="B745" s="5">
        <f>_xlfn.STDEV.P(B743:D743)</f>
        <v>1.1020136309095957E-4</v>
      </c>
      <c r="C745" s="5"/>
      <c r="D745" s="5"/>
      <c r="E745" s="5">
        <f>_xlfn.STDEV.P(E743:G743)</f>
        <v>1.1361516652369771E-4</v>
      </c>
      <c r="F745" s="5"/>
      <c r="G745" s="5"/>
      <c r="H745" s="5">
        <f>_xlfn.STDEV.P(H743:J743)</f>
        <v>5.7460525445577242E-5</v>
      </c>
      <c r="I745" s="5"/>
      <c r="J745" s="6"/>
    </row>
    <row r="746" spans="1:14">
      <c r="A746" s="9" t="s">
        <v>53</v>
      </c>
      <c r="B746" s="5">
        <f>AVERAGE(B744,E744,H744)</f>
        <v>3.5004250971630135E-3</v>
      </c>
      <c r="C746" s="5"/>
      <c r="D746" s="5"/>
      <c r="E746" s="5"/>
      <c r="F746" s="5"/>
      <c r="G746" s="5"/>
      <c r="H746" s="5"/>
      <c r="I746" s="5"/>
      <c r="J746" s="6"/>
    </row>
    <row r="747" spans="1:14" ht="15.75" thickBot="1">
      <c r="A747" s="10" t="s">
        <v>54</v>
      </c>
      <c r="B747" s="7">
        <f>_xlfn.STDEV.P(B744,E744,H744)</f>
        <v>2.9350314178626478E-4</v>
      </c>
      <c r="C747" s="7"/>
      <c r="D747" s="7"/>
      <c r="E747" s="7"/>
      <c r="F747" s="7"/>
      <c r="G747" s="7"/>
      <c r="H747" s="7"/>
      <c r="I747" s="7"/>
      <c r="J747" s="8"/>
    </row>
    <row r="748" spans="1:14" ht="15.75" thickBo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4">
      <c r="A749" s="26" t="s">
        <v>34</v>
      </c>
      <c r="B749" s="12" t="s">
        <v>57</v>
      </c>
      <c r="C749" s="12" t="s">
        <v>58</v>
      </c>
      <c r="D749" s="12" t="s">
        <v>59</v>
      </c>
      <c r="E749" s="12" t="s">
        <v>63</v>
      </c>
      <c r="F749" s="12" t="s">
        <v>64</v>
      </c>
      <c r="G749" s="12" t="s">
        <v>65</v>
      </c>
      <c r="H749" s="12"/>
      <c r="I749" s="12"/>
      <c r="J749" s="13"/>
      <c r="K749" s="80" t="s">
        <v>37</v>
      </c>
      <c r="L749" s="81"/>
      <c r="M749" s="81"/>
      <c r="N749" s="82"/>
    </row>
    <row r="750" spans="1:14">
      <c r="A750" s="9" t="s">
        <v>10</v>
      </c>
      <c r="B750" s="5">
        <v>3426719</v>
      </c>
      <c r="C750" s="5">
        <v>2104809.25</v>
      </c>
      <c r="D750" s="5">
        <v>2808657.25</v>
      </c>
      <c r="E750" s="5">
        <v>40235932</v>
      </c>
      <c r="F750" s="5">
        <v>39994216</v>
      </c>
      <c r="G750" s="5">
        <v>35729124</v>
      </c>
      <c r="H750" s="5"/>
      <c r="I750" s="5"/>
      <c r="J750" s="6"/>
      <c r="K750" s="2" t="s">
        <v>18</v>
      </c>
      <c r="L750" s="3" t="s">
        <v>19</v>
      </c>
      <c r="M750" s="3"/>
      <c r="N750" s="4" t="s">
        <v>21</v>
      </c>
    </row>
    <row r="751" spans="1:14">
      <c r="A751" s="9" t="s">
        <v>11</v>
      </c>
      <c r="B751" s="5">
        <v>378046.34</v>
      </c>
      <c r="C751" s="5">
        <v>231733.86</v>
      </c>
      <c r="D751" s="5">
        <v>320820.28000000003</v>
      </c>
      <c r="E751" s="5">
        <v>4037380</v>
      </c>
      <c r="F751" s="5">
        <v>3880633.25</v>
      </c>
      <c r="G751" s="5">
        <v>3595331.25</v>
      </c>
      <c r="H751" s="5"/>
      <c r="I751" s="5"/>
      <c r="J751" s="6"/>
      <c r="K751" s="2" t="s">
        <v>34</v>
      </c>
      <c r="L751" s="5">
        <v>2.532140586768E-4</v>
      </c>
      <c r="N751" s="6">
        <v>6.3303514669200006E-3</v>
      </c>
    </row>
    <row r="752" spans="1:14">
      <c r="A752" s="9" t="s">
        <v>12</v>
      </c>
      <c r="B752" s="5">
        <v>68949.66</v>
      </c>
      <c r="C752" s="5">
        <v>42220.92</v>
      </c>
      <c r="D752" s="5">
        <v>46916.09</v>
      </c>
      <c r="E752" s="5">
        <v>687706.69</v>
      </c>
      <c r="F752" s="5">
        <v>668294.81000000006</v>
      </c>
      <c r="G752" s="5">
        <v>607778.06000000006</v>
      </c>
      <c r="H752" s="5"/>
      <c r="I752" s="5"/>
      <c r="J752" s="6"/>
    </row>
    <row r="753" spans="1:14">
      <c r="A753" s="9" t="s">
        <v>13</v>
      </c>
      <c r="B753" s="5">
        <v>0</v>
      </c>
      <c r="C753" s="5">
        <v>0</v>
      </c>
      <c r="D753" s="5">
        <v>0</v>
      </c>
      <c r="E753" s="5">
        <v>81236.37</v>
      </c>
      <c r="F753" s="5">
        <v>57629.74</v>
      </c>
      <c r="G753" s="5">
        <v>55388</v>
      </c>
      <c r="H753" s="5"/>
      <c r="I753" s="5"/>
      <c r="J753" s="6"/>
    </row>
    <row r="754" spans="1:14">
      <c r="A754" s="9" t="s">
        <v>41</v>
      </c>
      <c r="B754" s="5">
        <v>39632.769999999997</v>
      </c>
      <c r="C754" s="5">
        <v>26894.25</v>
      </c>
      <c r="D754" s="5">
        <v>13164.81</v>
      </c>
      <c r="E754" s="5">
        <v>24569.01</v>
      </c>
      <c r="F754" s="5">
        <v>14238.04</v>
      </c>
      <c r="G754" s="5">
        <v>26450.5</v>
      </c>
      <c r="H754" s="5"/>
      <c r="I754" s="5"/>
      <c r="J754" s="6"/>
    </row>
    <row r="755" spans="1:14">
      <c r="A755" s="9" t="s">
        <v>42</v>
      </c>
      <c r="B755" s="5">
        <v>943440.75</v>
      </c>
      <c r="C755" s="5">
        <v>719090.75</v>
      </c>
      <c r="D755" s="5">
        <v>628494.25</v>
      </c>
      <c r="E755" s="5">
        <v>540701</v>
      </c>
      <c r="F755" s="5">
        <v>529860.81000000006</v>
      </c>
      <c r="G755" s="5">
        <v>412118.34</v>
      </c>
      <c r="H755" s="5"/>
      <c r="I755" s="5"/>
      <c r="J755" s="6"/>
    </row>
    <row r="756" spans="1:14">
      <c r="A756" s="9" t="s">
        <v>43</v>
      </c>
      <c r="B756" s="5">
        <v>12428787</v>
      </c>
      <c r="C756" s="5">
        <v>9595949</v>
      </c>
      <c r="D756" s="5">
        <v>9424662</v>
      </c>
      <c r="E756" s="5">
        <v>7302264</v>
      </c>
      <c r="F756" s="5">
        <v>6618514.5</v>
      </c>
      <c r="G756" s="5">
        <v>5570124.5</v>
      </c>
      <c r="H756" s="5"/>
      <c r="I756" s="5"/>
      <c r="J756" s="6"/>
    </row>
    <row r="757" spans="1:14">
      <c r="A757" s="9" t="s">
        <v>44</v>
      </c>
      <c r="B757" s="5">
        <v>35740720</v>
      </c>
      <c r="C757" s="5">
        <v>25689530</v>
      </c>
      <c r="D757" s="5">
        <v>24723064</v>
      </c>
      <c r="E757" s="5">
        <v>19344218</v>
      </c>
      <c r="F757" s="5">
        <v>17651478</v>
      </c>
      <c r="G757" s="5">
        <v>14632588</v>
      </c>
      <c r="H757" s="5"/>
      <c r="I757" s="5"/>
      <c r="J757" s="6"/>
    </row>
    <row r="758" spans="1:14">
      <c r="A758" s="9"/>
      <c r="B758" s="5"/>
      <c r="C758" s="5"/>
      <c r="D758" s="5"/>
      <c r="E758" s="5"/>
      <c r="F758" s="5"/>
      <c r="G758" s="5"/>
      <c r="H758" s="5"/>
      <c r="I758" s="5"/>
      <c r="J758" s="6"/>
    </row>
    <row r="759" spans="1:14">
      <c r="A759" s="9" t="s">
        <v>16</v>
      </c>
      <c r="B759" s="5">
        <f>SUM(B750:B751)/SUM(B750:B757)</f>
        <v>7.1752425899051384E-2</v>
      </c>
      <c r="C759" s="5">
        <f t="shared" ref="C759:G759" si="183">SUM(C750:C751)/SUM(C750:C757)</f>
        <v>6.0831274112068838E-2</v>
      </c>
      <c r="D759" s="5">
        <f t="shared" si="183"/>
        <v>8.2428904102751319E-2</v>
      </c>
      <c r="E759" s="5">
        <f t="shared" si="183"/>
        <v>0.61274542126235054</v>
      </c>
      <c r="F759" s="5">
        <f t="shared" si="183"/>
        <v>0.6320670530035597</v>
      </c>
      <c r="G759" s="5">
        <f t="shared" si="183"/>
        <v>0.64860905494221399</v>
      </c>
      <c r="H759" s="5"/>
      <c r="I759" s="5"/>
      <c r="J759" s="6"/>
    </row>
    <row r="760" spans="1:14">
      <c r="A760" s="9" t="s">
        <v>17</v>
      </c>
      <c r="B760" s="5">
        <f>SUM(B752:B757)/SUM(B750:B751)</f>
        <v>12.936811020255982</v>
      </c>
      <c r="C760" s="5">
        <f t="shared" ref="C760:G760" si="184">SUM(C752:C757)/SUM(C750:C751)</f>
        <v>15.438912625070293</v>
      </c>
      <c r="D760" s="5">
        <f t="shared" si="184"/>
        <v>11.13166680893216</v>
      </c>
      <c r="E760" s="5">
        <f t="shared" si="184"/>
        <v>0.63199913912019956</v>
      </c>
      <c r="F760" s="5">
        <f t="shared" si="184"/>
        <v>0.5821106245738269</v>
      </c>
      <c r="G760" s="5">
        <f t="shared" si="184"/>
        <v>0.54176077620299645</v>
      </c>
      <c r="H760" s="5"/>
      <c r="I760" s="5"/>
      <c r="J760" s="6"/>
    </row>
    <row r="761" spans="1:14">
      <c r="A761" s="9" t="s">
        <v>38</v>
      </c>
      <c r="B761" s="5">
        <f>B760*$L$751</f>
        <v>3.2757824247737709E-3</v>
      </c>
      <c r="C761" s="5">
        <f t="shared" ref="C761:D761" si="185">C760*$L$751</f>
        <v>3.9093497273505369E-3</v>
      </c>
      <c r="D761" s="5">
        <f t="shared" si="185"/>
        <v>2.8186945325275347E-3</v>
      </c>
      <c r="E761" s="5">
        <f>E760*$N$751</f>
        <v>4.0007766774217326E-3</v>
      </c>
      <c r="F761" s="5">
        <f t="shared" ref="F761:G761" si="186">F760*$N$751</f>
        <v>3.6849648461806427E-3</v>
      </c>
      <c r="G761" s="5">
        <f t="shared" si="186"/>
        <v>3.4295361243563568E-3</v>
      </c>
      <c r="H761" s="5"/>
      <c r="I761" s="5"/>
      <c r="J761" s="6"/>
    </row>
    <row r="762" spans="1:14">
      <c r="A762" s="9" t="s">
        <v>51</v>
      </c>
      <c r="B762" s="5">
        <f>AVERAGE(B761:D761)</f>
        <v>3.3346088948839475E-3</v>
      </c>
      <c r="C762" s="5"/>
      <c r="D762" s="5"/>
      <c r="E762" s="5">
        <f>AVERAGE(E761:G761)</f>
        <v>3.7050925493195773E-3</v>
      </c>
      <c r="F762" s="5"/>
      <c r="G762" s="5"/>
      <c r="H762" s="5"/>
      <c r="I762" s="5"/>
      <c r="J762" s="6"/>
    </row>
    <row r="763" spans="1:14">
      <c r="A763" s="9" t="s">
        <v>52</v>
      </c>
      <c r="B763" s="5">
        <f>_xlfn.STDEV.P(B761:D761)</f>
        <v>4.4719690196289583E-4</v>
      </c>
      <c r="C763" s="5"/>
      <c r="D763" s="5"/>
      <c r="E763" s="5">
        <f>_xlfn.STDEV.P(E761:G761)</f>
        <v>2.3364187080778982E-4</v>
      </c>
      <c r="F763" s="5"/>
      <c r="G763" s="5"/>
      <c r="H763" s="5"/>
      <c r="I763" s="5"/>
      <c r="J763" s="6"/>
    </row>
    <row r="764" spans="1:14">
      <c r="A764" s="9" t="s">
        <v>53</v>
      </c>
      <c r="B764" s="5">
        <f>AVERAGE(B762,E762)</f>
        <v>3.5198507221017626E-3</v>
      </c>
      <c r="C764" s="5"/>
      <c r="D764" s="5"/>
      <c r="E764" s="5"/>
      <c r="F764" s="5"/>
      <c r="G764" s="5"/>
      <c r="H764" s="5"/>
      <c r="I764" s="5"/>
      <c r="J764" s="6"/>
    </row>
    <row r="765" spans="1:14" ht="15.75" thickBot="1">
      <c r="A765" s="10" t="s">
        <v>54</v>
      </c>
      <c r="B765" s="7">
        <f>_xlfn.STDEV.P(B762,E762)</f>
        <v>1.8524182721781491E-4</v>
      </c>
      <c r="C765" s="7"/>
      <c r="D765" s="7"/>
      <c r="E765" s="7"/>
      <c r="F765" s="7"/>
      <c r="G765" s="7"/>
      <c r="H765" s="7"/>
      <c r="I765" s="7"/>
      <c r="J765" s="8"/>
    </row>
    <row r="766" spans="1:14" ht="15.75" thickBot="1"/>
    <row r="767" spans="1:14">
      <c r="A767" s="15" t="s">
        <v>72</v>
      </c>
      <c r="B767" s="12" t="s">
        <v>57</v>
      </c>
      <c r="C767" s="12" t="s">
        <v>58</v>
      </c>
      <c r="D767" s="12" t="s">
        <v>59</v>
      </c>
      <c r="E767" s="12" t="s">
        <v>60</v>
      </c>
      <c r="F767" s="12" t="s">
        <v>61</v>
      </c>
      <c r="G767" s="12" t="s">
        <v>62</v>
      </c>
      <c r="H767" s="12" t="s">
        <v>63</v>
      </c>
      <c r="I767" s="12" t="s">
        <v>64</v>
      </c>
      <c r="J767" s="13" t="s">
        <v>65</v>
      </c>
      <c r="K767" s="80" t="s">
        <v>39</v>
      </c>
      <c r="L767" s="81"/>
      <c r="M767" s="81"/>
      <c r="N767" s="82"/>
    </row>
    <row r="768" spans="1:14">
      <c r="A768" s="9" t="s">
        <v>10</v>
      </c>
      <c r="B768" s="5">
        <v>91292.53</v>
      </c>
      <c r="C768" s="5">
        <v>86479.679999999993</v>
      </c>
      <c r="D768" s="5">
        <v>90240.4</v>
      </c>
      <c r="E768" s="5">
        <v>393643.38</v>
      </c>
      <c r="F768" s="5">
        <v>436445.75</v>
      </c>
      <c r="G768" s="5">
        <v>392730.16</v>
      </c>
      <c r="H768" s="5">
        <v>1935687.62</v>
      </c>
      <c r="I768" s="5">
        <v>2089346.5</v>
      </c>
      <c r="J768" s="6">
        <v>2018731.88</v>
      </c>
      <c r="K768" s="2" t="s">
        <v>18</v>
      </c>
      <c r="L768" s="3" t="s">
        <v>19</v>
      </c>
      <c r="M768" s="3" t="s">
        <v>20</v>
      </c>
      <c r="N768" s="4" t="s">
        <v>21</v>
      </c>
    </row>
    <row r="769" spans="1:14">
      <c r="A769" s="9" t="s">
        <v>11</v>
      </c>
      <c r="B769" s="5">
        <v>2062.06</v>
      </c>
      <c r="C769" s="5">
        <v>0</v>
      </c>
      <c r="D769" s="5">
        <v>1811.12</v>
      </c>
      <c r="E769" s="5">
        <v>9208.16</v>
      </c>
      <c r="F769" s="5">
        <v>0</v>
      </c>
      <c r="G769" s="5">
        <v>14671.41</v>
      </c>
      <c r="H769" s="5">
        <v>52230.44</v>
      </c>
      <c r="I769" s="5">
        <v>50172.5</v>
      </c>
      <c r="J769" s="6">
        <v>65776.100000000006</v>
      </c>
      <c r="K769" s="2" t="s">
        <v>30</v>
      </c>
      <c r="L769" s="5">
        <v>4.762083970363401E-4</v>
      </c>
      <c r="M769" s="5">
        <v>2.3810419851817005E-3</v>
      </c>
      <c r="N769" s="6">
        <v>1.1905209925908503E-2</v>
      </c>
    </row>
    <row r="770" spans="1:14">
      <c r="A770" s="9" t="s">
        <v>12</v>
      </c>
      <c r="B770" s="5">
        <v>26540.31</v>
      </c>
      <c r="C770" s="5">
        <v>21293.63</v>
      </c>
      <c r="D770" s="5">
        <v>25437.96</v>
      </c>
      <c r="E770" s="5">
        <v>23276.97</v>
      </c>
      <c r="F770" s="5">
        <v>29709.599999999999</v>
      </c>
      <c r="G770" s="5">
        <v>23305.94</v>
      </c>
      <c r="H770" s="5">
        <v>0</v>
      </c>
      <c r="I770" s="5">
        <v>21707.88</v>
      </c>
      <c r="J770" s="6">
        <v>15968.52</v>
      </c>
    </row>
    <row r="771" spans="1:14">
      <c r="A771" s="9" t="s">
        <v>13</v>
      </c>
      <c r="B771" s="5">
        <v>880224.56</v>
      </c>
      <c r="C771" s="5">
        <v>746967.81</v>
      </c>
      <c r="D771" s="5">
        <v>833507.69</v>
      </c>
      <c r="E771" s="5">
        <v>892569.25</v>
      </c>
      <c r="F771" s="5">
        <v>901393.75</v>
      </c>
      <c r="G771" s="5">
        <v>733606.5</v>
      </c>
      <c r="H771" s="5">
        <v>582313.88</v>
      </c>
      <c r="I771" s="5">
        <v>605357.31000000006</v>
      </c>
      <c r="J771" s="6">
        <v>618218.93999999994</v>
      </c>
    </row>
    <row r="772" spans="1:14">
      <c r="A772" s="9"/>
      <c r="B772" s="5"/>
      <c r="C772" s="5"/>
      <c r="D772" s="5"/>
      <c r="E772" s="5"/>
      <c r="F772" s="5"/>
      <c r="G772" s="5"/>
      <c r="H772" s="5"/>
      <c r="I772" s="5"/>
      <c r="J772" s="6"/>
    </row>
    <row r="773" spans="1:14">
      <c r="A773" s="9" t="s">
        <v>16</v>
      </c>
      <c r="B773" s="5">
        <f>SUM(B768:B769)/SUM(B768:B771)</f>
        <v>9.3343439192754021E-2</v>
      </c>
      <c r="C773" s="5">
        <f t="shared" ref="C773:J773" si="187">SUM(C768:C769)/SUM(C768:C771)</f>
        <v>0.10117645913653947</v>
      </c>
      <c r="D773" s="5">
        <f t="shared" si="187"/>
        <v>9.6794735992747488E-2</v>
      </c>
      <c r="E773" s="5">
        <f t="shared" si="187"/>
        <v>0.30549194229313015</v>
      </c>
      <c r="F773" s="5">
        <f t="shared" si="187"/>
        <v>0.31914448263685741</v>
      </c>
      <c r="G773" s="5">
        <f t="shared" si="187"/>
        <v>0.34990695508336273</v>
      </c>
      <c r="H773" s="5">
        <f t="shared" si="187"/>
        <v>0.77343917062986933</v>
      </c>
      <c r="I773" s="5">
        <f t="shared" si="187"/>
        <v>0.77334317449417656</v>
      </c>
      <c r="J773" s="6">
        <f t="shared" si="187"/>
        <v>0.76673096564284526</v>
      </c>
    </row>
    <row r="774" spans="1:14">
      <c r="A774" s="9" t="s">
        <v>17</v>
      </c>
      <c r="B774" s="5">
        <f>SUM(B770:B771)/SUM(B768:B769)</f>
        <v>9.7131257284724857</v>
      </c>
      <c r="C774" s="5">
        <f t="shared" ref="C774:J774" si="188">SUM(C770:C771)/SUM(C768:C769)</f>
        <v>8.883722048925252</v>
      </c>
      <c r="D774" s="5">
        <f t="shared" si="188"/>
        <v>9.3311403222890839</v>
      </c>
      <c r="E774" s="5">
        <f t="shared" si="188"/>
        <v>2.2734087599615482</v>
      </c>
      <c r="F774" s="5">
        <f t="shared" si="188"/>
        <v>2.1333770577442901</v>
      </c>
      <c r="G774" s="5">
        <f t="shared" si="188"/>
        <v>1.8579026094572979</v>
      </c>
      <c r="H774" s="5">
        <f t="shared" si="188"/>
        <v>0.29292650019991268</v>
      </c>
      <c r="I774" s="5">
        <f t="shared" si="188"/>
        <v>0.29308699291756701</v>
      </c>
      <c r="J774" s="6">
        <f t="shared" si="188"/>
        <v>0.30423844191759819</v>
      </c>
    </row>
    <row r="775" spans="1:14">
      <c r="A775" s="9" t="s">
        <v>38</v>
      </c>
      <c r="B775" s="5">
        <f>B774*$L$769</f>
        <v>4.6254720333683153E-3</v>
      </c>
      <c r="C775" s="5">
        <f t="shared" ref="C775:D775" si="189">C774*$L$769</f>
        <v>4.2305030366350848E-3</v>
      </c>
      <c r="D775" s="5">
        <f t="shared" si="189"/>
        <v>4.4435673753984422E-3</v>
      </c>
      <c r="E775" s="5">
        <f>E774*$M$769</f>
        <v>5.4130817069483125E-3</v>
      </c>
      <c r="F775" s="5">
        <f t="shared" ref="F775:G775" si="190">F774*$M$769</f>
        <v>5.0796603447125594E-3</v>
      </c>
      <c r="G775" s="5">
        <f t="shared" si="190"/>
        <v>4.423744117496466E-3</v>
      </c>
      <c r="H775" s="5">
        <f>H774*$N$769</f>
        <v>3.4873514777416393E-3</v>
      </c>
      <c r="I775" s="5">
        <f t="shared" ref="I775:J775" si="191">I774*$N$769</f>
        <v>3.4892621772368939E-3</v>
      </c>
      <c r="J775" s="6">
        <f t="shared" si="191"/>
        <v>3.6220225185603274E-3</v>
      </c>
    </row>
    <row r="776" spans="1:14">
      <c r="A776" s="9" t="s">
        <v>51</v>
      </c>
      <c r="B776" s="5">
        <f>AVERAGE(B775:D775)</f>
        <v>4.4331808151339474E-3</v>
      </c>
      <c r="C776" s="5"/>
      <c r="D776" s="5"/>
      <c r="E776" s="5">
        <f>AVERAGE(E775:G775)</f>
        <v>4.9721620563857793E-3</v>
      </c>
      <c r="F776" s="5"/>
      <c r="G776" s="5"/>
      <c r="H776" s="5">
        <f>AVERAGE(H775:J775)</f>
        <v>3.5328787245129533E-3</v>
      </c>
      <c r="I776" s="5"/>
      <c r="J776" s="6"/>
    </row>
    <row r="777" spans="1:14">
      <c r="A777" s="9" t="s">
        <v>52</v>
      </c>
      <c r="B777" s="5">
        <f>_xlfn.STDEV.P(B775:D775)</f>
        <v>1.6141259259159357E-4</v>
      </c>
      <c r="C777" s="5"/>
      <c r="D777" s="5"/>
      <c r="E777" s="5">
        <f>_xlfn.STDEV.P(E775:G775)</f>
        <v>4.1098591052126374E-4</v>
      </c>
      <c r="F777" s="5"/>
      <c r="G777" s="5"/>
      <c r="H777" s="5">
        <f>_xlfn.STDEV.P(H775:J775)</f>
        <v>6.3039007532430521E-5</v>
      </c>
      <c r="I777" s="5"/>
      <c r="J777" s="6"/>
    </row>
    <row r="778" spans="1:14">
      <c r="A778" s="9" t="s">
        <v>53</v>
      </c>
      <c r="B778" s="5">
        <f>AVERAGE(B776,E776,H776)</f>
        <v>4.3127405320108935E-3</v>
      </c>
      <c r="C778" s="5"/>
      <c r="D778" s="5"/>
      <c r="E778" s="5"/>
      <c r="F778" s="5"/>
      <c r="G778" s="5"/>
      <c r="H778" s="5"/>
      <c r="I778" s="5"/>
      <c r="J778" s="6"/>
    </row>
    <row r="779" spans="1:14" ht="15.75" thickBot="1">
      <c r="A779" s="10" t="s">
        <v>54</v>
      </c>
      <c r="B779" s="7">
        <f>_xlfn.STDEV.P(B776,E776,H776)</f>
        <v>5.9372469697709053E-4</v>
      </c>
      <c r="C779" s="7"/>
      <c r="D779" s="7"/>
      <c r="E779" s="7"/>
      <c r="F779" s="7"/>
      <c r="G779" s="7"/>
      <c r="H779" s="7"/>
      <c r="I779" s="7"/>
      <c r="J779" s="8"/>
    </row>
    <row r="780" spans="1:14" ht="15.75" thickBo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4">
      <c r="A781" s="26" t="s">
        <v>72</v>
      </c>
      <c r="B781" s="12" t="s">
        <v>57</v>
      </c>
      <c r="C781" s="12" t="s">
        <v>58</v>
      </c>
      <c r="D781" s="12" t="s">
        <v>59</v>
      </c>
      <c r="E781" s="12" t="s">
        <v>63</v>
      </c>
      <c r="F781" s="12" t="s">
        <v>64</v>
      </c>
      <c r="G781" s="12" t="s">
        <v>65</v>
      </c>
      <c r="H781" s="12"/>
      <c r="I781" s="12"/>
      <c r="J781" s="13"/>
      <c r="K781" s="80" t="s">
        <v>37</v>
      </c>
      <c r="L781" s="81"/>
      <c r="M781" s="81"/>
      <c r="N781" s="82"/>
    </row>
    <row r="782" spans="1:14">
      <c r="A782" s="9" t="s">
        <v>10</v>
      </c>
      <c r="B782" s="5">
        <v>244212.48000000001</v>
      </c>
      <c r="C782" s="5">
        <v>213513.33</v>
      </c>
      <c r="D782" s="5">
        <v>265255.19</v>
      </c>
      <c r="E782" s="5">
        <v>3984088.75</v>
      </c>
      <c r="F782" s="5">
        <v>3982573.25</v>
      </c>
      <c r="G782" s="5">
        <v>4109202.25</v>
      </c>
      <c r="H782" s="5"/>
      <c r="I782" s="5"/>
      <c r="J782" s="6"/>
      <c r="K782" s="2" t="s">
        <v>18</v>
      </c>
      <c r="L782" s="3" t="s">
        <v>19</v>
      </c>
      <c r="M782" s="3"/>
      <c r="N782" s="4" t="s">
        <v>21</v>
      </c>
    </row>
    <row r="783" spans="1:14">
      <c r="A783" s="9" t="s">
        <v>11</v>
      </c>
      <c r="B783" s="5">
        <v>8109.69</v>
      </c>
      <c r="C783" s="5">
        <v>3380.32</v>
      </c>
      <c r="D783" s="5">
        <v>5815</v>
      </c>
      <c r="E783" s="5">
        <v>111708.96</v>
      </c>
      <c r="F783" s="5">
        <v>120140.35</v>
      </c>
      <c r="G783" s="5">
        <v>108877.28</v>
      </c>
      <c r="H783" s="5"/>
      <c r="I783" s="5"/>
      <c r="J783" s="6"/>
      <c r="K783" s="2" t="s">
        <v>30</v>
      </c>
      <c r="L783" s="5">
        <v>4.762083970363401E-4</v>
      </c>
      <c r="N783" s="6">
        <v>1.1905209925908503E-2</v>
      </c>
    </row>
    <row r="784" spans="1:14">
      <c r="A784" s="9" t="s">
        <v>12</v>
      </c>
      <c r="B784" s="5">
        <v>16040.98</v>
      </c>
      <c r="C784" s="5">
        <v>22608.17</v>
      </c>
      <c r="D784" s="5">
        <v>0</v>
      </c>
      <c r="E784" s="5">
        <v>14440.41</v>
      </c>
      <c r="F784" s="5">
        <v>13180.35</v>
      </c>
      <c r="G784" s="5">
        <v>12937.23</v>
      </c>
      <c r="H784" s="5"/>
      <c r="I784" s="5"/>
      <c r="J784" s="6"/>
      <c r="K784" s="2"/>
    </row>
    <row r="785" spans="1:14">
      <c r="A785" s="9" t="s">
        <v>13</v>
      </c>
      <c r="B785" s="5">
        <v>523549.09</v>
      </c>
      <c r="C785" s="5">
        <v>489093.38</v>
      </c>
      <c r="D785" s="5">
        <v>618623.5</v>
      </c>
      <c r="E785" s="5">
        <v>436372.59</v>
      </c>
      <c r="F785" s="5">
        <v>530656.31000000006</v>
      </c>
      <c r="G785" s="5">
        <v>402319.59</v>
      </c>
      <c r="H785" s="5"/>
      <c r="I785" s="5"/>
      <c r="J785" s="6"/>
    </row>
    <row r="786" spans="1:14">
      <c r="A786" s="9"/>
      <c r="B786" s="5"/>
      <c r="C786" s="5"/>
      <c r="D786" s="5"/>
      <c r="E786" s="5"/>
      <c r="F786" s="5"/>
      <c r="G786" s="5"/>
      <c r="H786" s="5"/>
      <c r="I786" s="5"/>
      <c r="J786" s="6"/>
    </row>
    <row r="787" spans="1:14">
      <c r="A787" s="9" t="s">
        <v>16</v>
      </c>
      <c r="B787" s="5">
        <f>SUM(B782:B783)/SUM(B782:B785)</f>
        <v>0.31862390458821549</v>
      </c>
      <c r="C787" s="5">
        <f t="shared" ref="C787:G787" si="192">SUM(C782:C783)/SUM(C782:C785)</f>
        <v>0.29768745388385759</v>
      </c>
      <c r="D787" s="5">
        <f t="shared" si="192"/>
        <v>0.30467810781034088</v>
      </c>
      <c r="E787" s="5">
        <f t="shared" si="192"/>
        <v>0.90084636034299936</v>
      </c>
      <c r="F787" s="5">
        <f t="shared" si="192"/>
        <v>0.88295904927971236</v>
      </c>
      <c r="G787" s="5">
        <f t="shared" si="192"/>
        <v>0.91037628425141204</v>
      </c>
      <c r="H787" s="5"/>
      <c r="I787" s="5"/>
      <c r="J787" s="6"/>
    </row>
    <row r="788" spans="1:14">
      <c r="A788" s="9" t="s">
        <v>17</v>
      </c>
      <c r="B788" s="5">
        <f>SUM(B784:B785)/SUM(B782:B783)</f>
        <v>2.1384964706034353</v>
      </c>
      <c r="C788" s="5">
        <f t="shared" ref="C788:G788" si="193">SUM(C784:C785)/SUM(C782:C783)</f>
        <v>2.3592278980966017</v>
      </c>
      <c r="D788" s="5">
        <f t="shared" si="193"/>
        <v>2.2821524565279567</v>
      </c>
      <c r="E788" s="5">
        <f t="shared" si="193"/>
        <v>0.1100672034898911</v>
      </c>
      <c r="F788" s="5">
        <f t="shared" si="193"/>
        <v>0.13255535555784348</v>
      </c>
      <c r="G788" s="5">
        <f t="shared" si="193"/>
        <v>9.8446892014859663E-2</v>
      </c>
      <c r="H788" s="5"/>
      <c r="I788" s="5"/>
      <c r="J788" s="6"/>
    </row>
    <row r="789" spans="1:14">
      <c r="A789" s="9" t="s">
        <v>38</v>
      </c>
      <c r="B789" s="5">
        <f>B788*$L$783</f>
        <v>1.0183699763339326E-3</v>
      </c>
      <c r="C789" s="5">
        <f t="shared" ref="C789:D789" si="194">C788*$L$783</f>
        <v>1.1234841355959966E-3</v>
      </c>
      <c r="D789" s="5">
        <f t="shared" si="194"/>
        <v>1.0867801631157241E-3</v>
      </c>
      <c r="E789" s="5">
        <f>E788*$N$783</f>
        <v>1.3103731635048426E-3</v>
      </c>
      <c r="F789" s="5">
        <f>F788*$N$783</f>
        <v>1.578099334719569E-3</v>
      </c>
      <c r="G789" s="5">
        <f t="shared" ref="G789" si="195">G788*$N$783</f>
        <v>1.1720309159901497E-3</v>
      </c>
      <c r="H789" s="5"/>
      <c r="I789" s="5"/>
      <c r="J789" s="6"/>
    </row>
    <row r="790" spans="1:14">
      <c r="A790" s="9" t="s">
        <v>51</v>
      </c>
      <c r="B790" s="5">
        <f>AVERAGE(B789:D789)</f>
        <v>1.0762114250152178E-3</v>
      </c>
      <c r="C790" s="5"/>
      <c r="D790" s="5"/>
      <c r="E790" s="5">
        <f>AVERAGE(E789:G789)</f>
        <v>1.3535011380715206E-3</v>
      </c>
      <c r="F790" s="5"/>
      <c r="G790" s="5"/>
      <c r="H790" s="5"/>
      <c r="I790" s="5"/>
      <c r="J790" s="6"/>
    </row>
    <row r="791" spans="1:14">
      <c r="A791" s="9" t="s">
        <v>52</v>
      </c>
      <c r="B791" s="5">
        <f>_xlfn.STDEV.P(B789:D789)</f>
        <v>4.3558545186300373E-5</v>
      </c>
      <c r="C791" s="5"/>
      <c r="D791" s="5"/>
      <c r="E791" s="5">
        <f>_xlfn.STDEV.P(E789:G789)</f>
        <v>1.6855841087492639E-4</v>
      </c>
      <c r="F791" s="5"/>
      <c r="G791" s="5"/>
      <c r="H791" s="5"/>
      <c r="I791" s="5"/>
      <c r="J791" s="6"/>
    </row>
    <row r="792" spans="1:14">
      <c r="A792" s="9" t="s">
        <v>53</v>
      </c>
      <c r="B792" s="5">
        <f>AVERAGE(B790,E790)</f>
        <v>1.2148562815433692E-3</v>
      </c>
      <c r="C792" s="5"/>
      <c r="D792" s="5"/>
      <c r="E792" s="5"/>
      <c r="F792" s="5"/>
      <c r="G792" s="5"/>
      <c r="H792" s="5"/>
      <c r="I792" s="5"/>
      <c r="J792" s="6"/>
    </row>
    <row r="793" spans="1:14" ht="15.75" thickBot="1">
      <c r="A793" s="10" t="s">
        <v>54</v>
      </c>
      <c r="B793" s="7">
        <f>_xlfn.STDEV.P(B790,E790)</f>
        <v>1.3864485652815141E-4</v>
      </c>
      <c r="C793" s="7"/>
      <c r="D793" s="7"/>
      <c r="E793" s="7"/>
      <c r="F793" s="7"/>
      <c r="G793" s="7"/>
      <c r="H793" s="7"/>
      <c r="I793" s="7"/>
      <c r="J793" s="8"/>
    </row>
    <row r="794" spans="1:14" ht="15.75" thickBot="1"/>
    <row r="795" spans="1:14">
      <c r="A795" s="15" t="s">
        <v>73</v>
      </c>
      <c r="B795" s="12" t="s">
        <v>57</v>
      </c>
      <c r="C795" s="12" t="s">
        <v>58</v>
      </c>
      <c r="D795" s="12" t="s">
        <v>59</v>
      </c>
      <c r="E795" s="12" t="s">
        <v>60</v>
      </c>
      <c r="F795" s="12" t="s">
        <v>61</v>
      </c>
      <c r="G795" s="12" t="s">
        <v>62</v>
      </c>
      <c r="H795" s="12" t="s">
        <v>63</v>
      </c>
      <c r="I795" s="12" t="s">
        <v>64</v>
      </c>
      <c r="J795" s="13" t="s">
        <v>65</v>
      </c>
      <c r="K795" s="80" t="s">
        <v>39</v>
      </c>
      <c r="L795" s="81"/>
      <c r="M795" s="81"/>
      <c r="N795" s="82"/>
    </row>
    <row r="796" spans="1:14">
      <c r="A796" s="9" t="s">
        <v>10</v>
      </c>
      <c r="B796" s="5">
        <v>9281381</v>
      </c>
      <c r="C796" s="5">
        <v>9341256</v>
      </c>
      <c r="D796" s="5">
        <v>11313476</v>
      </c>
      <c r="E796" s="5">
        <v>37574216</v>
      </c>
      <c r="F796" s="5">
        <v>39672324</v>
      </c>
      <c r="G796" s="5">
        <v>41305040</v>
      </c>
      <c r="H796" s="5">
        <v>135355504</v>
      </c>
      <c r="I796" s="5">
        <v>148700432</v>
      </c>
      <c r="J796" s="6">
        <v>146845392</v>
      </c>
      <c r="K796" s="2" t="s">
        <v>18</v>
      </c>
      <c r="L796" s="3" t="s">
        <v>19</v>
      </c>
      <c r="M796" s="3" t="s">
        <v>20</v>
      </c>
      <c r="N796" s="4" t="s">
        <v>21</v>
      </c>
    </row>
    <row r="797" spans="1:14">
      <c r="A797" s="9" t="s">
        <v>11</v>
      </c>
      <c r="B797" s="5">
        <v>295989.09000000003</v>
      </c>
      <c r="C797" s="5">
        <v>277415.53000000003</v>
      </c>
      <c r="D797" s="5">
        <v>331858.12</v>
      </c>
      <c r="E797" s="5">
        <v>1244907.6200000001</v>
      </c>
      <c r="F797" s="5">
        <v>1364276.88</v>
      </c>
      <c r="G797" s="5">
        <v>1368699.12</v>
      </c>
      <c r="H797" s="5">
        <v>4464050</v>
      </c>
      <c r="I797" s="5">
        <v>4919770.5</v>
      </c>
      <c r="J797" s="6">
        <v>4883873</v>
      </c>
      <c r="K797" s="2" t="s">
        <v>31</v>
      </c>
      <c r="L797" s="5">
        <v>4.4670593569088E-3</v>
      </c>
      <c r="M797" s="5">
        <v>2.2335296784544E-2</v>
      </c>
      <c r="N797" s="6">
        <v>0.11167648392272</v>
      </c>
    </row>
    <row r="798" spans="1:14">
      <c r="A798" s="9" t="s">
        <v>12</v>
      </c>
      <c r="B798" s="5">
        <v>2264302.25</v>
      </c>
      <c r="C798" s="5">
        <v>2142546.25</v>
      </c>
      <c r="D798" s="5">
        <v>1943922.62</v>
      </c>
      <c r="E798" s="5">
        <v>1791820.62</v>
      </c>
      <c r="F798" s="5">
        <v>1911303</v>
      </c>
      <c r="G798" s="5">
        <v>1952945.5</v>
      </c>
      <c r="H798" s="5">
        <v>1280230.3799999999</v>
      </c>
      <c r="I798" s="5">
        <v>1416433</v>
      </c>
      <c r="J798" s="6">
        <v>1235781.3799999999</v>
      </c>
    </row>
    <row r="799" spans="1:14">
      <c r="A799" s="9" t="s">
        <v>13</v>
      </c>
      <c r="B799" s="5">
        <v>89086496</v>
      </c>
      <c r="C799" s="5">
        <v>84227432</v>
      </c>
      <c r="D799" s="5">
        <v>76569624</v>
      </c>
      <c r="E799" s="5">
        <v>67313768</v>
      </c>
      <c r="F799" s="5">
        <v>77517544</v>
      </c>
      <c r="G799" s="5">
        <v>73434784</v>
      </c>
      <c r="H799" s="5">
        <v>51034004</v>
      </c>
      <c r="I799" s="5">
        <v>54802324</v>
      </c>
      <c r="J799" s="6">
        <v>47918924</v>
      </c>
    </row>
    <row r="800" spans="1:14">
      <c r="A800" s="9"/>
      <c r="B800" s="5"/>
      <c r="C800" s="5"/>
      <c r="D800" s="5"/>
      <c r="E800" s="5"/>
      <c r="F800" s="5"/>
      <c r="G800" s="5"/>
      <c r="H800" s="5"/>
      <c r="I800" s="5"/>
      <c r="J800" s="6"/>
    </row>
    <row r="801" spans="1:14">
      <c r="A801" s="9" t="s">
        <v>16</v>
      </c>
      <c r="B801" s="5">
        <f>SUM(B796:B797)/SUM(B796:B799)</f>
        <v>9.489293472300421E-2</v>
      </c>
      <c r="C801" s="5">
        <f t="shared" ref="C801:J801" si="196">SUM(C796:C797)/SUM(C796:C799)</f>
        <v>0.10020634264619196</v>
      </c>
      <c r="D801" s="5">
        <f t="shared" si="196"/>
        <v>0.12916458172969994</v>
      </c>
      <c r="E801" s="5">
        <f t="shared" si="196"/>
        <v>0.35968707086913609</v>
      </c>
      <c r="F801" s="5">
        <f t="shared" si="196"/>
        <v>0.34065038234762596</v>
      </c>
      <c r="G801" s="5">
        <f t="shared" si="196"/>
        <v>0.36145356837252596</v>
      </c>
      <c r="H801" s="5">
        <f t="shared" si="196"/>
        <v>0.72771975808579015</v>
      </c>
      <c r="I801" s="5">
        <f t="shared" si="196"/>
        <v>0.73208618106972645</v>
      </c>
      <c r="J801" s="6">
        <f t="shared" si="196"/>
        <v>0.75530797560891982</v>
      </c>
    </row>
    <row r="802" spans="1:14">
      <c r="A802" s="9" t="s">
        <v>17</v>
      </c>
      <c r="B802" s="5">
        <f>SUM(B798:B799)/SUM(B796:B797)</f>
        <v>9.5381923629934615</v>
      </c>
      <c r="C802" s="5">
        <f t="shared" ref="C802:J802" si="197">SUM(C798:C799)/SUM(C796:C797)</f>
        <v>8.9794082249942484</v>
      </c>
      <c r="D802" s="5">
        <f t="shared" si="197"/>
        <v>6.7420604519331739</v>
      </c>
      <c r="E802" s="5">
        <f t="shared" si="197"/>
        <v>1.7801944550957385</v>
      </c>
      <c r="F802" s="5">
        <f t="shared" si="197"/>
        <v>1.9355610673570973</v>
      </c>
      <c r="G802" s="5">
        <f t="shared" si="197"/>
        <v>1.7666070762631594</v>
      </c>
      <c r="H802" s="5">
        <f t="shared" si="197"/>
        <v>0.3741553515468945</v>
      </c>
      <c r="I802" s="5">
        <f t="shared" si="197"/>
        <v>0.36595939912265119</v>
      </c>
      <c r="J802" s="6">
        <f t="shared" si="197"/>
        <v>0.32396324716922609</v>
      </c>
    </row>
    <row r="803" spans="1:14">
      <c r="A803" s="9" t="s">
        <v>38</v>
      </c>
      <c r="B803" s="5">
        <f>B802*$L$797</f>
        <v>4.2607671443106003E-2</v>
      </c>
      <c r="C803" s="5">
        <f t="shared" ref="C803:D803" si="198">C802*$L$797</f>
        <v>4.0111549530964394E-2</v>
      </c>
      <c r="D803" s="5">
        <f t="shared" si="198"/>
        <v>3.0117184226652858E-2</v>
      </c>
      <c r="E803" s="5">
        <f>E802*$M$797</f>
        <v>3.9761171488762903E-2</v>
      </c>
      <c r="F803" s="5">
        <f t="shared" ref="F803:G803" si="199">F802*$M$797</f>
        <v>4.3231330884029529E-2</v>
      </c>
      <c r="G803" s="5">
        <f t="shared" si="199"/>
        <v>3.9457693350013222E-2</v>
      </c>
      <c r="H803" s="5">
        <f>H802*$N$797</f>
        <v>4.1784354101626418E-2</v>
      </c>
      <c r="I803" s="5">
        <f t="shared" ref="I803:J803" si="200">I802*$N$797</f>
        <v>4.0869058952489032E-2</v>
      </c>
      <c r="J803" s="6">
        <f t="shared" si="200"/>
        <v>3.6179076364046242E-2</v>
      </c>
    </row>
    <row r="804" spans="1:14">
      <c r="A804" s="9" t="s">
        <v>51</v>
      </c>
      <c r="B804" s="5">
        <f>AVERAGE(B803:D803)</f>
        <v>3.7612135066907748E-2</v>
      </c>
      <c r="C804" s="5"/>
      <c r="D804" s="5"/>
      <c r="E804" s="5">
        <f>AVERAGE(E803:G803)</f>
        <v>4.0816731907601884E-2</v>
      </c>
      <c r="F804" s="5"/>
      <c r="G804" s="5"/>
      <c r="H804" s="5">
        <f>AVERAGE(H803:J803)</f>
        <v>3.9610829806053897E-2</v>
      </c>
      <c r="I804" s="5"/>
      <c r="J804" s="6"/>
    </row>
    <row r="805" spans="1:14">
      <c r="A805" s="9" t="s">
        <v>52</v>
      </c>
      <c r="B805" s="5">
        <f>_xlfn.STDEV.P(B803:D803)</f>
        <v>5.3968121592563962E-3</v>
      </c>
      <c r="C805" s="5"/>
      <c r="D805" s="5"/>
      <c r="E805" s="5">
        <f>_xlfn.STDEV.P(E803:G803)</f>
        <v>1.7118685517875513E-3</v>
      </c>
      <c r="F805" s="5"/>
      <c r="G805" s="5"/>
      <c r="H805" s="5">
        <f>_xlfn.STDEV.P(H803:J803)</f>
        <v>2.455217582694339E-3</v>
      </c>
      <c r="I805" s="5"/>
      <c r="J805" s="6"/>
    </row>
    <row r="806" spans="1:14">
      <c r="A806" s="9" t="s">
        <v>53</v>
      </c>
      <c r="B806" s="5">
        <f>AVERAGE(B804,E804,H804)</f>
        <v>3.9346565593521177E-2</v>
      </c>
      <c r="C806" s="5"/>
      <c r="D806" s="5"/>
      <c r="E806" s="5"/>
      <c r="F806" s="5"/>
      <c r="G806" s="5"/>
      <c r="H806" s="5"/>
      <c r="I806" s="5"/>
      <c r="J806" s="6"/>
    </row>
    <row r="807" spans="1:14" ht="15.75" thickBot="1">
      <c r="A807" s="10" t="s">
        <v>54</v>
      </c>
      <c r="B807" s="7">
        <f>_xlfn.STDEV.P(B804,E804,H804)</f>
        <v>1.3215488156870746E-3</v>
      </c>
      <c r="C807" s="7"/>
      <c r="D807" s="7"/>
      <c r="E807" s="7"/>
      <c r="F807" s="7"/>
      <c r="G807" s="7"/>
      <c r="H807" s="7"/>
      <c r="I807" s="7"/>
      <c r="J807" s="8"/>
    </row>
    <row r="808" spans="1:14" ht="15.75" thickBot="1"/>
    <row r="809" spans="1:14">
      <c r="A809" s="15" t="s">
        <v>84</v>
      </c>
      <c r="B809" s="12" t="s">
        <v>74</v>
      </c>
      <c r="C809" s="12" t="s">
        <v>75</v>
      </c>
      <c r="D809" s="12" t="s">
        <v>76</v>
      </c>
      <c r="E809" s="12"/>
      <c r="F809" s="37"/>
      <c r="G809" s="37"/>
      <c r="H809" s="37"/>
      <c r="I809" s="12"/>
      <c r="J809" s="13"/>
      <c r="K809" s="80" t="s">
        <v>39</v>
      </c>
      <c r="L809" s="81"/>
      <c r="M809" s="81"/>
      <c r="N809" s="82"/>
    </row>
    <row r="810" spans="1:14">
      <c r="A810" s="9" t="s">
        <v>10</v>
      </c>
      <c r="B810" s="5">
        <v>62922508</v>
      </c>
      <c r="C810" s="5">
        <v>58043412</v>
      </c>
      <c r="D810" s="5">
        <v>58613276</v>
      </c>
      <c r="E810" s="5"/>
      <c r="F810" s="30"/>
      <c r="G810" s="30"/>
      <c r="H810" s="30"/>
      <c r="I810" s="5"/>
      <c r="J810" s="6"/>
      <c r="K810" s="2" t="s">
        <v>18</v>
      </c>
      <c r="L810" s="3"/>
      <c r="M810" s="3" t="s">
        <v>19</v>
      </c>
      <c r="N810" s="4"/>
    </row>
    <row r="811" spans="1:14">
      <c r="A811" s="9" t="s">
        <v>11</v>
      </c>
      <c r="B811" s="5">
        <v>1988264.88</v>
      </c>
      <c r="C811" s="5">
        <v>1867177.12</v>
      </c>
      <c r="D811" s="5">
        <v>1973634.88</v>
      </c>
      <c r="E811" s="5"/>
      <c r="F811" s="3"/>
      <c r="G811" s="5"/>
      <c r="H811" s="5"/>
      <c r="I811" s="5"/>
      <c r="J811" s="6"/>
      <c r="K811" s="2" t="s">
        <v>31</v>
      </c>
      <c r="M811" s="5">
        <v>4.4670593569088E-3</v>
      </c>
    </row>
    <row r="812" spans="1:14" ht="15" customHeight="1">
      <c r="A812" s="9" t="s">
        <v>12</v>
      </c>
      <c r="B812" s="5">
        <v>1285090.6200000001</v>
      </c>
      <c r="C812" s="5">
        <v>1434616</v>
      </c>
      <c r="D812" s="5">
        <v>996717.69</v>
      </c>
      <c r="E812" s="5"/>
      <c r="F812" s="5"/>
      <c r="G812" s="5"/>
      <c r="H812" s="5"/>
      <c r="I812" s="5"/>
      <c r="J812" s="6"/>
    </row>
    <row r="813" spans="1:14">
      <c r="A813" s="9" t="s">
        <v>13</v>
      </c>
      <c r="B813" s="5">
        <v>51001088</v>
      </c>
      <c r="C813" s="5">
        <v>59587620</v>
      </c>
      <c r="D813" s="5">
        <v>41514004</v>
      </c>
      <c r="E813" s="5"/>
      <c r="F813" s="5"/>
      <c r="G813" s="5"/>
      <c r="H813" s="5"/>
      <c r="I813" s="5"/>
      <c r="J813" s="6"/>
    </row>
    <row r="814" spans="1:14">
      <c r="A814" s="9"/>
      <c r="B814" s="5"/>
      <c r="C814" s="5"/>
      <c r="D814" s="5"/>
      <c r="E814" s="5"/>
      <c r="F814" s="5"/>
      <c r="G814" s="5"/>
      <c r="H814" s="5"/>
      <c r="I814" s="5"/>
      <c r="J814" s="6"/>
    </row>
    <row r="815" spans="1:14">
      <c r="A815" s="9" t="s">
        <v>77</v>
      </c>
      <c r="B815" s="5">
        <f>SUM(B810:B811)</f>
        <v>64910772.880000003</v>
      </c>
      <c r="C815" s="5">
        <f t="shared" ref="C815:D815" si="201">SUM(C810:C811)</f>
        <v>59910589.119999997</v>
      </c>
      <c r="D815" s="5">
        <f t="shared" si="201"/>
        <v>60586910.880000003</v>
      </c>
      <c r="E815" s="5"/>
      <c r="F815" s="5"/>
      <c r="G815" s="5"/>
      <c r="H815" s="5"/>
      <c r="I815" s="5"/>
      <c r="J815" s="6"/>
    </row>
    <row r="816" spans="1:14">
      <c r="A816" s="9" t="s">
        <v>78</v>
      </c>
      <c r="B816" s="5">
        <f>SUM(B812:B813)</f>
        <v>52286178.619999997</v>
      </c>
      <c r="C816" s="5">
        <f t="shared" ref="C816:D816" si="202">SUM(C812:C813)</f>
        <v>61022236</v>
      </c>
      <c r="D816" s="5">
        <f t="shared" si="202"/>
        <v>42510721.689999998</v>
      </c>
      <c r="E816" s="5"/>
      <c r="F816" s="5"/>
      <c r="G816" s="5"/>
      <c r="H816" s="5"/>
      <c r="I816" s="5"/>
      <c r="J816" s="6"/>
    </row>
    <row r="817" spans="1:14">
      <c r="A817" s="9" t="s">
        <v>79</v>
      </c>
      <c r="B817" s="5">
        <f>B816-(F811*B816)</f>
        <v>52286178.619999997</v>
      </c>
      <c r="C817" s="5">
        <f>C816-(F811*C816)</f>
        <v>61022236</v>
      </c>
      <c r="D817" s="5">
        <f>D816-(F811*D816)</f>
        <v>42510721.689999998</v>
      </c>
      <c r="E817" s="5"/>
      <c r="F817" s="5"/>
      <c r="G817" s="5"/>
      <c r="H817" s="5"/>
      <c r="I817" s="5"/>
      <c r="J817" s="6"/>
    </row>
    <row r="818" spans="1:14">
      <c r="A818" s="9" t="s">
        <v>16</v>
      </c>
      <c r="B818" s="5">
        <f>B815/(SUM(B815,B817))</f>
        <v>0.5538605915018191</v>
      </c>
      <c r="C818" s="5">
        <f>C815/(SUM(C815,C817))</f>
        <v>0.49540386624187049</v>
      </c>
      <c r="D818" s="5">
        <f>D815/(SUM(D815,D817))</f>
        <v>0.58766539414824515</v>
      </c>
      <c r="E818" s="5"/>
      <c r="F818" s="5"/>
      <c r="G818" s="5"/>
      <c r="H818" s="5"/>
      <c r="I818" s="5"/>
      <c r="J818" s="6"/>
    </row>
    <row r="819" spans="1:14">
      <c r="A819" s="9" t="s">
        <v>17</v>
      </c>
      <c r="B819" s="5">
        <f>B817/B815</f>
        <v>0.80550848957939558</v>
      </c>
      <c r="C819" s="5">
        <f t="shared" ref="C819:D819" si="203">C817/C815</f>
        <v>1.0185550984613654</v>
      </c>
      <c r="D819" s="5">
        <f t="shared" si="203"/>
        <v>0.70164860813250285</v>
      </c>
      <c r="E819" s="5"/>
      <c r="F819" s="5"/>
      <c r="G819" s="5"/>
      <c r="H819" s="5"/>
      <c r="I819" s="5"/>
      <c r="J819" s="6"/>
    </row>
    <row r="820" spans="1:14">
      <c r="A820" s="9" t="s">
        <v>38</v>
      </c>
      <c r="B820" s="5">
        <f>B819*$M$811</f>
        <v>3.5982542354451139E-3</v>
      </c>
      <c r="C820" s="5">
        <f t="shared" ref="C820:D820" si="204">C819*$M$811</f>
        <v>4.5499460831090067E-3</v>
      </c>
      <c r="D820" s="5">
        <f t="shared" si="204"/>
        <v>3.1343059802203328E-3</v>
      </c>
      <c r="E820" s="5"/>
      <c r="F820" s="5"/>
      <c r="G820" s="5"/>
      <c r="H820" s="5"/>
      <c r="I820" s="5"/>
      <c r="J820" s="6"/>
    </row>
    <row r="821" spans="1:14">
      <c r="A821" s="9" t="s">
        <v>81</v>
      </c>
      <c r="B821" s="5">
        <f>AVERAGE(B820:D820)</f>
        <v>3.7608354329248177E-3</v>
      </c>
      <c r="C821" s="5"/>
      <c r="D821" s="5"/>
      <c r="E821" s="5"/>
      <c r="F821" s="5"/>
      <c r="G821" s="5"/>
      <c r="H821" s="5"/>
      <c r="I821" s="5"/>
      <c r="J821" s="6"/>
    </row>
    <row r="822" spans="1:14" ht="15.75" thickBot="1">
      <c r="A822" s="10" t="s">
        <v>82</v>
      </c>
      <c r="B822" s="7">
        <f>_xlfn.STDEV.P(B820:D820)</f>
        <v>5.892558638130608E-4</v>
      </c>
      <c r="C822" s="7"/>
      <c r="D822" s="7"/>
      <c r="E822" s="7"/>
      <c r="F822" s="7"/>
      <c r="G822" s="7"/>
      <c r="H822" s="7"/>
      <c r="I822" s="7"/>
      <c r="J822" s="8"/>
    </row>
    <row r="823" spans="1:14" ht="15.75" thickBot="1"/>
    <row r="824" spans="1:14">
      <c r="A824" s="26" t="s">
        <v>73</v>
      </c>
      <c r="B824" s="12" t="s">
        <v>57</v>
      </c>
      <c r="C824" s="12" t="s">
        <v>58</v>
      </c>
      <c r="D824" s="12" t="s">
        <v>59</v>
      </c>
      <c r="E824" s="12" t="s">
        <v>63</v>
      </c>
      <c r="F824" s="12" t="s">
        <v>64</v>
      </c>
      <c r="G824" s="12" t="s">
        <v>65</v>
      </c>
      <c r="H824" s="12"/>
      <c r="I824" s="12"/>
      <c r="J824" s="13"/>
      <c r="K824" s="80" t="s">
        <v>37</v>
      </c>
      <c r="L824" s="81"/>
      <c r="M824" s="81"/>
      <c r="N824" s="82"/>
    </row>
    <row r="825" spans="1:14">
      <c r="A825" s="9" t="s">
        <v>10</v>
      </c>
      <c r="B825" s="5">
        <v>13100056</v>
      </c>
      <c r="C825" s="5">
        <v>11039132</v>
      </c>
      <c r="D825" s="5">
        <v>18901870</v>
      </c>
      <c r="E825" s="5">
        <v>133452952</v>
      </c>
      <c r="F825" s="5">
        <v>125468064</v>
      </c>
      <c r="G825" s="5">
        <v>136077360</v>
      </c>
      <c r="H825" s="5"/>
      <c r="I825" s="5"/>
      <c r="J825" s="6"/>
      <c r="K825" s="2" t="s">
        <v>18</v>
      </c>
      <c r="L825" s="3" t="s">
        <v>19</v>
      </c>
      <c r="M825" s="3"/>
      <c r="N825" s="4" t="s">
        <v>21</v>
      </c>
    </row>
    <row r="826" spans="1:14">
      <c r="A826" s="9" t="s">
        <v>11</v>
      </c>
      <c r="B826" s="5">
        <v>452140</v>
      </c>
      <c r="C826" s="5">
        <v>328319.78000000003</v>
      </c>
      <c r="D826" s="5">
        <v>574373.5</v>
      </c>
      <c r="E826" s="5">
        <v>4402432.5</v>
      </c>
      <c r="F826" s="5">
        <v>4260499</v>
      </c>
      <c r="G826" s="5">
        <v>4558618</v>
      </c>
      <c r="H826" s="5"/>
      <c r="I826" s="5"/>
      <c r="J826" s="6"/>
      <c r="K826" s="2" t="s">
        <v>31</v>
      </c>
      <c r="L826" s="5">
        <v>4.4670593569088E-3</v>
      </c>
      <c r="N826" s="6">
        <v>0.11167648392272</v>
      </c>
    </row>
    <row r="827" spans="1:14">
      <c r="A827" s="9" t="s">
        <v>12</v>
      </c>
      <c r="B827" s="5">
        <v>2517503.5</v>
      </c>
      <c r="C827" s="5">
        <v>2596944.75</v>
      </c>
      <c r="D827" s="5">
        <v>2289929.75</v>
      </c>
      <c r="E827" s="5">
        <v>1347495.62</v>
      </c>
      <c r="F827" s="5">
        <v>1483981.88</v>
      </c>
      <c r="G827" s="5">
        <v>995505.5</v>
      </c>
      <c r="H827" s="5"/>
      <c r="I827" s="5"/>
      <c r="J827" s="6"/>
    </row>
    <row r="828" spans="1:14">
      <c r="A828" s="9" t="s">
        <v>13</v>
      </c>
      <c r="B828" s="5">
        <v>92178432</v>
      </c>
      <c r="C828" s="5">
        <v>102081824</v>
      </c>
      <c r="D828" s="5">
        <v>87905576</v>
      </c>
      <c r="E828" s="5">
        <v>49450180</v>
      </c>
      <c r="F828" s="5">
        <v>59379248</v>
      </c>
      <c r="G828" s="5">
        <v>39373500</v>
      </c>
      <c r="H828" s="5"/>
      <c r="I828" s="5"/>
      <c r="J828" s="6"/>
    </row>
    <row r="829" spans="1:14">
      <c r="A829" s="9"/>
      <c r="B829" s="5"/>
      <c r="C829" s="5"/>
      <c r="D829" s="5"/>
      <c r="E829" s="5"/>
      <c r="F829" s="5"/>
      <c r="G829" s="5"/>
      <c r="H829" s="5"/>
      <c r="I829" s="5"/>
      <c r="J829" s="6"/>
    </row>
    <row r="830" spans="1:14">
      <c r="A830" s="9" t="s">
        <v>16</v>
      </c>
      <c r="B830" s="5">
        <f>SUM(B825:B826)/SUM(B825:B828)</f>
        <v>0.12519565753428272</v>
      </c>
      <c r="C830" s="5">
        <f t="shared" ref="C830:G830" si="205">SUM(C825:C826)/SUM(C825:C828)</f>
        <v>9.7956243021816575E-2</v>
      </c>
      <c r="D830" s="5">
        <f t="shared" si="205"/>
        <v>0.17758669514428302</v>
      </c>
      <c r="E830" s="5">
        <f t="shared" si="205"/>
        <v>0.73073495024311719</v>
      </c>
      <c r="F830" s="5">
        <f t="shared" si="205"/>
        <v>0.6806618534811697</v>
      </c>
      <c r="G830" s="5">
        <f t="shared" si="205"/>
        <v>0.77697296107872083</v>
      </c>
      <c r="H830" s="5"/>
      <c r="I830" s="5"/>
      <c r="J830" s="6"/>
    </row>
    <row r="831" spans="1:14">
      <c r="A831" s="9" t="s">
        <v>17</v>
      </c>
      <c r="B831" s="5">
        <f>SUM(B827:B828)/SUM(B825:B826)</f>
        <v>6.9874974874920639</v>
      </c>
      <c r="C831" s="5">
        <f t="shared" ref="C831:G831" si="206">SUM(C827:C828)/SUM(C825:C826)</f>
        <v>9.2086397880457955</v>
      </c>
      <c r="D831" s="5">
        <f t="shared" si="206"/>
        <v>4.6310524793962449</v>
      </c>
      <c r="E831" s="5">
        <f t="shared" si="206"/>
        <v>0.36848524853956643</v>
      </c>
      <c r="F831" s="5">
        <f t="shared" si="206"/>
        <v>0.46915828305290025</v>
      </c>
      <c r="G831" s="5">
        <f t="shared" si="206"/>
        <v>0.28704607508044633</v>
      </c>
      <c r="H831" s="5"/>
      <c r="I831" s="5"/>
      <c r="J831" s="6"/>
    </row>
    <row r="832" spans="1:14">
      <c r="A832" s="9" t="s">
        <v>38</v>
      </c>
      <c r="B832" s="5">
        <f>B831*$L$826</f>
        <v>3.1213566032878157E-2</v>
      </c>
      <c r="C832" s="5">
        <f t="shared" ref="C832:D832" si="207">C831*$L$826</f>
        <v>4.1135540529592639E-2</v>
      </c>
      <c r="D832" s="5">
        <f t="shared" si="207"/>
        <v>2.0687186310422694E-2</v>
      </c>
      <c r="E832" s="5">
        <f>E831*$N$826</f>
        <v>4.1151136934288374E-2</v>
      </c>
      <c r="F832" s="5">
        <f t="shared" ref="F832:G832" si="208">F831*$N$826</f>
        <v>5.2393947454568136E-2</v>
      </c>
      <c r="G832" s="5">
        <f t="shared" si="208"/>
        <v>3.2056296388801343E-2</v>
      </c>
      <c r="H832" s="5"/>
      <c r="I832" s="5"/>
      <c r="J832" s="6"/>
    </row>
    <row r="833" spans="1:14">
      <c r="A833" s="9" t="s">
        <v>51</v>
      </c>
      <c r="B833" s="5">
        <f>AVERAGE(B832:D832)</f>
        <v>3.1012097624297828E-2</v>
      </c>
      <c r="C833" s="5"/>
      <c r="D833" s="5"/>
      <c r="E833" s="5">
        <f>AVERAGE(E832:G832)</f>
        <v>4.1867126925885949E-2</v>
      </c>
      <c r="F833" s="5"/>
      <c r="G833" s="5"/>
      <c r="H833" s="5"/>
      <c r="I833" s="5"/>
      <c r="J833" s="6"/>
    </row>
    <row r="834" spans="1:14">
      <c r="A834" s="9" t="s">
        <v>52</v>
      </c>
      <c r="B834" s="5">
        <f>_xlfn.STDEV.P(B832:D832)</f>
        <v>8.349221109696537E-3</v>
      </c>
      <c r="C834" s="5"/>
      <c r="D834" s="5"/>
      <c r="E834" s="5">
        <f>_xlfn.STDEV.P(E832:G832)</f>
        <v>8.3182327437692702E-3</v>
      </c>
      <c r="F834" s="5"/>
      <c r="G834" s="5"/>
      <c r="H834" s="5"/>
      <c r="I834" s="5"/>
      <c r="J834" s="6"/>
    </row>
    <row r="835" spans="1:14">
      <c r="A835" s="9" t="s">
        <v>53</v>
      </c>
      <c r="B835" s="5">
        <f>AVERAGE(B833,E833)</f>
        <v>3.643961227509189E-2</v>
      </c>
      <c r="C835" s="5"/>
      <c r="D835" s="5"/>
      <c r="E835" s="5"/>
      <c r="F835" s="5"/>
      <c r="G835" s="5"/>
      <c r="H835" s="5"/>
      <c r="I835" s="5"/>
      <c r="J835" s="6"/>
    </row>
    <row r="836" spans="1:14" ht="15.75" thickBot="1">
      <c r="A836" s="10" t="s">
        <v>54</v>
      </c>
      <c r="B836" s="7">
        <f>_xlfn.STDEV.P(B833,E833)</f>
        <v>5.4275146507940606E-3</v>
      </c>
      <c r="C836" s="7"/>
      <c r="D836" s="7"/>
      <c r="E836" s="7"/>
      <c r="F836" s="7"/>
      <c r="G836" s="7"/>
      <c r="H836" s="7"/>
      <c r="I836" s="7"/>
      <c r="J836" s="8"/>
    </row>
    <row r="837" spans="1:14" ht="15.75" thickBot="1"/>
    <row r="838" spans="1:14" ht="15" customHeight="1">
      <c r="A838" s="26" t="s">
        <v>84</v>
      </c>
      <c r="B838" s="12" t="s">
        <v>74</v>
      </c>
      <c r="C838" s="12" t="s">
        <v>75</v>
      </c>
      <c r="D838" s="12" t="s">
        <v>76</v>
      </c>
      <c r="E838" s="12"/>
      <c r="F838" s="20"/>
      <c r="G838" s="20"/>
      <c r="H838" s="20"/>
      <c r="I838" s="12"/>
      <c r="J838" s="13"/>
      <c r="K838" s="80" t="s">
        <v>37</v>
      </c>
      <c r="L838" s="81"/>
      <c r="M838" s="81"/>
      <c r="N838" s="82"/>
    </row>
    <row r="839" spans="1:14">
      <c r="A839" s="9" t="s">
        <v>10</v>
      </c>
      <c r="B839" s="5">
        <v>61363424</v>
      </c>
      <c r="C839" s="5">
        <v>53628356</v>
      </c>
      <c r="D839" s="5">
        <v>66260724</v>
      </c>
      <c r="E839" s="5"/>
      <c r="F839" s="19"/>
      <c r="G839" s="19"/>
      <c r="H839" s="19"/>
      <c r="I839" s="5"/>
      <c r="J839" s="6"/>
      <c r="K839" s="2" t="s">
        <v>18</v>
      </c>
      <c r="M839" s="3" t="s">
        <v>19</v>
      </c>
      <c r="N839" s="4"/>
    </row>
    <row r="840" spans="1:14">
      <c r="A840" s="9" t="s">
        <v>11</v>
      </c>
      <c r="B840" s="5">
        <v>2058365</v>
      </c>
      <c r="C840" s="5">
        <v>1686733</v>
      </c>
      <c r="D840" s="5">
        <v>2147115.75</v>
      </c>
      <c r="E840" s="5"/>
      <c r="F840" s="3"/>
      <c r="G840" s="5"/>
      <c r="H840" s="5"/>
      <c r="I840" s="5"/>
      <c r="J840" s="6"/>
      <c r="K840" s="2" t="s">
        <v>31</v>
      </c>
      <c r="M840" s="5">
        <v>4.4670593569088E-3</v>
      </c>
    </row>
    <row r="841" spans="1:14">
      <c r="A841" s="9" t="s">
        <v>12</v>
      </c>
      <c r="B841" s="5">
        <v>1383620.12</v>
      </c>
      <c r="C841" s="5">
        <v>1721808</v>
      </c>
      <c r="D841" s="5">
        <v>1286242.5</v>
      </c>
      <c r="E841" s="5"/>
      <c r="F841" s="5"/>
      <c r="G841" s="5"/>
      <c r="H841" s="5"/>
      <c r="I841" s="5"/>
      <c r="J841" s="6"/>
    </row>
    <row r="842" spans="1:14">
      <c r="A842" s="9" t="s">
        <v>13</v>
      </c>
      <c r="B842" s="5">
        <v>58787324</v>
      </c>
      <c r="C842" s="5">
        <v>66672844</v>
      </c>
      <c r="D842" s="5">
        <v>50983692</v>
      </c>
      <c r="E842" s="5"/>
      <c r="F842" s="5"/>
      <c r="G842" s="5"/>
      <c r="H842" s="5"/>
      <c r="I842" s="5"/>
      <c r="J842" s="6"/>
    </row>
    <row r="843" spans="1:14">
      <c r="A843" s="9"/>
      <c r="B843" s="5"/>
      <c r="C843" s="5"/>
      <c r="D843" s="5"/>
      <c r="E843" s="5"/>
      <c r="F843" s="5"/>
      <c r="G843" s="5"/>
      <c r="H843" s="5"/>
      <c r="I843" s="5"/>
      <c r="J843" s="6"/>
    </row>
    <row r="844" spans="1:14">
      <c r="A844" s="9" t="s">
        <v>77</v>
      </c>
      <c r="B844" s="5">
        <f>SUM(B839:B840)</f>
        <v>63421789</v>
      </c>
      <c r="C844" s="5">
        <f>SUM(C839:C840)</f>
        <v>55315089</v>
      </c>
      <c r="D844" s="5">
        <f t="shared" ref="D844" si="209">SUM(D839:D840)</f>
        <v>68407839.75</v>
      </c>
      <c r="E844" s="5"/>
      <c r="F844" s="5"/>
      <c r="G844" s="5"/>
      <c r="H844" s="5"/>
      <c r="I844" s="5"/>
      <c r="J844" s="6"/>
    </row>
    <row r="845" spans="1:14">
      <c r="A845" s="9" t="s">
        <v>78</v>
      </c>
      <c r="B845" s="5">
        <f>SUM(B841:B842)</f>
        <v>60170944.119999997</v>
      </c>
      <c r="C845" s="5">
        <f t="shared" ref="C845:D845" si="210">SUM(C841:C842)</f>
        <v>68394652</v>
      </c>
      <c r="D845" s="5">
        <f t="shared" si="210"/>
        <v>52269934.5</v>
      </c>
      <c r="E845" s="5"/>
      <c r="F845" s="5"/>
      <c r="G845" s="5"/>
      <c r="H845" s="5"/>
      <c r="I845" s="5"/>
      <c r="J845" s="6"/>
    </row>
    <row r="846" spans="1:14">
      <c r="A846" s="9" t="s">
        <v>79</v>
      </c>
      <c r="B846" s="5">
        <f>B845-(F840*B845)</f>
        <v>60170944.119999997</v>
      </c>
      <c r="C846" s="5">
        <f>C845-(F840*C845)</f>
        <v>68394652</v>
      </c>
      <c r="D846" s="5">
        <f>D845-(F840*D845)</f>
        <v>52269934.5</v>
      </c>
      <c r="E846" s="5"/>
      <c r="F846" s="5"/>
      <c r="G846" s="5"/>
      <c r="H846" s="5"/>
      <c r="I846" s="5"/>
      <c r="J846" s="6"/>
    </row>
    <row r="847" spans="1:14">
      <c r="A847" s="9" t="s">
        <v>16</v>
      </c>
      <c r="B847" s="5">
        <f>B844/(SUM(B844,B846))</f>
        <v>0.51315144020985304</v>
      </c>
      <c r="C847" s="5">
        <f>C844/(SUM(C844,C846))</f>
        <v>0.44713608284088152</v>
      </c>
      <c r="D847" s="5">
        <f>D844/(SUM(D844,D846))</f>
        <v>0.56686361821924303</v>
      </c>
      <c r="E847" s="5"/>
      <c r="F847" s="5"/>
      <c r="G847" s="5"/>
      <c r="H847" s="5"/>
      <c r="I847" s="5"/>
      <c r="J847" s="6"/>
    </row>
    <row r="848" spans="1:14">
      <c r="A848" s="9" t="s">
        <v>17</v>
      </c>
      <c r="B848" s="5">
        <f>B846/B844</f>
        <v>0.94874246010310426</v>
      </c>
      <c r="C848" s="5">
        <f t="shared" ref="C848:D848" si="211">C846/C844</f>
        <v>1.2364556079806723</v>
      </c>
      <c r="D848" s="5">
        <f t="shared" si="211"/>
        <v>0.76409275151829359</v>
      </c>
      <c r="E848" s="5"/>
      <c r="F848" s="5"/>
      <c r="G848" s="5"/>
      <c r="H848" s="5"/>
      <c r="I848" s="5"/>
      <c r="J848" s="6"/>
    </row>
    <row r="849" spans="1:10">
      <c r="A849" s="9" t="s">
        <v>38</v>
      </c>
      <c r="B849" s="5">
        <f>B848*$M$840</f>
        <v>4.2380888837002459E-3</v>
      </c>
      <c r="C849" s="5">
        <f t="shared" ref="C849:D849" si="212">C848*$M$840</f>
        <v>5.5233205930324217E-3</v>
      </c>
      <c r="D849" s="5">
        <f t="shared" si="212"/>
        <v>3.4132476752159841E-3</v>
      </c>
      <c r="E849" s="5"/>
      <c r="F849" s="5"/>
      <c r="G849" s="5"/>
      <c r="H849" s="5"/>
      <c r="I849" s="5"/>
      <c r="J849" s="6"/>
    </row>
    <row r="850" spans="1:10">
      <c r="A850" s="9" t="s">
        <v>81</v>
      </c>
      <c r="B850" s="5">
        <f>AVERAGE(B849:D849)</f>
        <v>4.3915523839828836E-3</v>
      </c>
      <c r="C850" s="5"/>
      <c r="D850" s="5"/>
      <c r="E850" s="5"/>
      <c r="F850" s="5"/>
      <c r="G850" s="5"/>
      <c r="H850" s="5"/>
      <c r="I850" s="5"/>
      <c r="J850" s="6"/>
    </row>
    <row r="851" spans="1:10" ht="15.75" thickBot="1">
      <c r="A851" s="10" t="s">
        <v>82</v>
      </c>
      <c r="B851" s="7">
        <f>_xlfn.STDEV.P(B849:D849)</f>
        <v>8.682416000418483E-4</v>
      </c>
      <c r="C851" s="7"/>
      <c r="D851" s="7"/>
      <c r="E851" s="7"/>
      <c r="F851" s="7"/>
      <c r="G851" s="7"/>
      <c r="H851" s="7"/>
      <c r="I851" s="7"/>
      <c r="J851" s="8"/>
    </row>
  </sheetData>
  <mergeCells count="85">
    <mergeCell ref="O4:Q4"/>
    <mergeCell ref="O2:Q2"/>
    <mergeCell ref="O3:Q3"/>
    <mergeCell ref="O1:Q1"/>
    <mergeCell ref="O59:O62"/>
    <mergeCell ref="O29:O32"/>
    <mergeCell ref="O6:Y6"/>
    <mergeCell ref="O7:O8"/>
    <mergeCell ref="P7:P8"/>
    <mergeCell ref="Q7:S7"/>
    <mergeCell ref="T7:V7"/>
    <mergeCell ref="W7:Y7"/>
    <mergeCell ref="O9:O12"/>
    <mergeCell ref="O14:O17"/>
    <mergeCell ref="O19:O22"/>
    <mergeCell ref="O24:O27"/>
    <mergeCell ref="O64:O67"/>
    <mergeCell ref="O69:O72"/>
    <mergeCell ref="O74:O77"/>
    <mergeCell ref="O34:O37"/>
    <mergeCell ref="O39:O42"/>
    <mergeCell ref="O44:O47"/>
    <mergeCell ref="O49:O52"/>
    <mergeCell ref="O54:O57"/>
    <mergeCell ref="K615:N615"/>
    <mergeCell ref="K272:N272"/>
    <mergeCell ref="K428:N428"/>
    <mergeCell ref="K329:N329"/>
    <mergeCell ref="K390:N390"/>
    <mergeCell ref="K469:N469"/>
    <mergeCell ref="K544:N544"/>
    <mergeCell ref="K344:N344"/>
    <mergeCell ref="K407:N407"/>
    <mergeCell ref="K446:N446"/>
    <mergeCell ref="K489:N489"/>
    <mergeCell ref="K315:N315"/>
    <mergeCell ref="K375:N375"/>
    <mergeCell ref="K526:N526"/>
    <mergeCell ref="K359:N359"/>
    <mergeCell ref="K508:N508"/>
    <mergeCell ref="A2:B2"/>
    <mergeCell ref="A1:B1"/>
    <mergeCell ref="K6:N6"/>
    <mergeCell ref="K70:N70"/>
    <mergeCell ref="K22:N22"/>
    <mergeCell ref="A4:B4"/>
    <mergeCell ref="A3:B3"/>
    <mergeCell ref="B424:J424"/>
    <mergeCell ref="B465:J465"/>
    <mergeCell ref="B426:J426"/>
    <mergeCell ref="B467:J467"/>
    <mergeCell ref="K54:N54"/>
    <mergeCell ref="K287:N287"/>
    <mergeCell ref="K767:N767"/>
    <mergeCell ref="K749:N749"/>
    <mergeCell ref="K85:N85"/>
    <mergeCell ref="K38:N38"/>
    <mergeCell ref="K99:N99"/>
    <mergeCell ref="K694:N694"/>
    <mergeCell ref="K562:N562"/>
    <mergeCell ref="K634:N634"/>
    <mergeCell ref="K712:N712"/>
    <mergeCell ref="K211:N211"/>
    <mergeCell ref="K301:N301"/>
    <mergeCell ref="K580:N580"/>
    <mergeCell ref="K654:N654"/>
    <mergeCell ref="K597:N597"/>
    <mergeCell ref="K227:N227"/>
    <mergeCell ref="K673:N673"/>
    <mergeCell ref="K824:N824"/>
    <mergeCell ref="K838:N838"/>
    <mergeCell ref="K809:N809"/>
    <mergeCell ref="K113:N113"/>
    <mergeCell ref="B178:J178"/>
    <mergeCell ref="K242:N242"/>
    <mergeCell ref="F257:H258"/>
    <mergeCell ref="K257:N257"/>
    <mergeCell ref="K152:N152"/>
    <mergeCell ref="K196:N196"/>
    <mergeCell ref="B176:J176"/>
    <mergeCell ref="K781:N781"/>
    <mergeCell ref="K795:N795"/>
    <mergeCell ref="K128:N128"/>
    <mergeCell ref="K180:N180"/>
    <mergeCell ref="K731:N731"/>
  </mergeCells>
  <conditionalFormatting sqref="Q77:Y77 Q75:Y75 W72:Y72 Q70:Y70 Q72:S72 P9:Y12 P14:Y17 P19:Y22 P24:Y27 P29:Y32 P34:Y37 P39:Y42 P44:Y47 P49:Y52 P54:Y57 P59:Y62 P64:Y67">
    <cfRule type="colorScale" priority="9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P69:P72">
    <cfRule type="colorScale" priority="8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P74:P77">
    <cfRule type="colorScale" priority="7">
      <colorScale>
        <cfvo type="min"/>
        <cfvo type="percentile" val="50"/>
        <cfvo type="max"/>
        <color rgb="FF92D050"/>
        <color rgb="FFFFEB84"/>
        <color rgb="FFFF0000"/>
      </colorScale>
    </cfRule>
  </conditionalFormatting>
  <pageMargins left="0.7" right="0.7" top="0.75" bottom="0.75" header="0.3" footer="0.3"/>
  <pageSetup orientation="portrait" r:id="rId1"/>
  <ignoredErrors>
    <ignoredError sqref="B233:E234 B815:D816 B263:D264 B844:D84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2516-26A0-4941-B40D-3D35C634E347}">
  <dimension ref="A1:AM546"/>
  <sheetViews>
    <sheetView topLeftCell="A4" workbookViewId="0">
      <selection activeCell="B14" sqref="B14"/>
    </sheetView>
  </sheetViews>
  <sheetFormatPr defaultRowHeight="15"/>
  <cols>
    <col min="1" max="1" width="26.28515625" bestFit="1" customWidth="1"/>
    <col min="2" max="2" width="17" bestFit="1" customWidth="1"/>
    <col min="3" max="4" width="17.5703125" bestFit="1" customWidth="1"/>
    <col min="5" max="5" width="14.7109375" bestFit="1" customWidth="1"/>
    <col min="6" max="7" width="14.85546875" bestFit="1" customWidth="1"/>
    <col min="8" max="8" width="14.7109375" bestFit="1" customWidth="1"/>
    <col min="9" max="10" width="14.85546875" bestFit="1" customWidth="1"/>
  </cols>
  <sheetData>
    <row r="1" spans="1:17">
      <c r="A1" s="88" t="s">
        <v>66</v>
      </c>
      <c r="B1" s="88"/>
      <c r="C1" s="5"/>
      <c r="K1" s="3"/>
    </row>
    <row r="2" spans="1:17">
      <c r="A2" s="87" t="s">
        <v>67</v>
      </c>
      <c r="B2" s="87"/>
      <c r="C2" s="5"/>
      <c r="K2" s="5"/>
      <c r="M2" s="5"/>
      <c r="N2" s="5"/>
      <c r="O2" s="5"/>
    </row>
    <row r="3" spans="1:17">
      <c r="A3" s="90" t="s">
        <v>68</v>
      </c>
      <c r="B3" s="90"/>
      <c r="C3" s="5"/>
      <c r="M3" s="5"/>
      <c r="N3" s="5"/>
      <c r="O3" s="5"/>
    </row>
    <row r="4" spans="1:17">
      <c r="A4" s="89" t="s">
        <v>69</v>
      </c>
      <c r="B4" s="89"/>
      <c r="C4" s="5"/>
      <c r="K4" s="3"/>
      <c r="L4" s="3"/>
      <c r="M4" s="3"/>
      <c r="N4" s="5"/>
      <c r="O4" s="5"/>
    </row>
    <row r="5" spans="1:17" ht="15.75" thickBot="1">
      <c r="K5" s="5"/>
      <c r="L5" s="5"/>
      <c r="M5" s="5"/>
      <c r="N5" s="5"/>
      <c r="O5" s="5"/>
    </row>
    <row r="6" spans="1:17">
      <c r="A6" s="14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3" t="s">
        <v>9</v>
      </c>
      <c r="M6" s="5"/>
      <c r="N6" s="5"/>
      <c r="O6" s="5"/>
    </row>
    <row r="7" spans="1:17">
      <c r="A7" s="9" t="s">
        <v>10</v>
      </c>
      <c r="B7" s="5">
        <v>3869248</v>
      </c>
      <c r="C7" s="5">
        <v>4241572.5</v>
      </c>
      <c r="D7" s="5">
        <v>4298409</v>
      </c>
      <c r="E7" s="5">
        <v>16071940</v>
      </c>
      <c r="F7" s="5">
        <v>16527732</v>
      </c>
      <c r="G7" s="5">
        <v>18302438</v>
      </c>
      <c r="H7" s="5">
        <v>64121264</v>
      </c>
      <c r="I7" s="5">
        <v>71409480</v>
      </c>
      <c r="J7" s="6">
        <v>68870560</v>
      </c>
      <c r="M7" s="5"/>
      <c r="N7" s="5"/>
      <c r="O7" s="5"/>
    </row>
    <row r="8" spans="1:17">
      <c r="A8" s="9" t="s">
        <v>11</v>
      </c>
      <c r="B8" s="5">
        <v>201457.08</v>
      </c>
      <c r="C8" s="5">
        <v>225355.45</v>
      </c>
      <c r="D8" s="5">
        <v>244166.08</v>
      </c>
      <c r="E8" s="5">
        <v>888458.75</v>
      </c>
      <c r="F8" s="5">
        <v>909608</v>
      </c>
      <c r="G8" s="5">
        <v>983626.25</v>
      </c>
      <c r="H8" s="5">
        <v>3571890.25</v>
      </c>
      <c r="I8" s="5">
        <v>3918675.25</v>
      </c>
      <c r="J8" s="6">
        <v>3826657.25</v>
      </c>
      <c r="M8" s="5"/>
      <c r="N8" s="5"/>
      <c r="O8" s="5"/>
    </row>
    <row r="9" spans="1:17">
      <c r="A9" s="9" t="s">
        <v>12</v>
      </c>
      <c r="B9" s="5">
        <v>991.93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6">
        <v>0</v>
      </c>
    </row>
    <row r="10" spans="1:17">
      <c r="A10" s="9" t="s">
        <v>13</v>
      </c>
      <c r="B10" s="5">
        <v>5829.82</v>
      </c>
      <c r="C10" s="5">
        <v>6413.99</v>
      </c>
      <c r="D10" s="5">
        <v>3874.18</v>
      </c>
      <c r="E10" s="5">
        <v>1960.91</v>
      </c>
      <c r="F10" s="5">
        <v>1911.04</v>
      </c>
      <c r="G10" s="5">
        <v>0</v>
      </c>
      <c r="H10" s="5">
        <v>0</v>
      </c>
      <c r="I10" s="5">
        <v>0</v>
      </c>
      <c r="J10" s="6">
        <v>0</v>
      </c>
    </row>
    <row r="11" spans="1:17">
      <c r="A11" s="9" t="s">
        <v>14</v>
      </c>
      <c r="B11" s="5">
        <v>302822.28000000003</v>
      </c>
      <c r="C11" s="5">
        <v>338840</v>
      </c>
      <c r="D11" s="5">
        <v>345222.84</v>
      </c>
      <c r="E11" s="5">
        <v>246120.58</v>
      </c>
      <c r="F11" s="5">
        <v>297817.59000000003</v>
      </c>
      <c r="G11" s="5">
        <v>324383.78000000003</v>
      </c>
      <c r="H11" s="5">
        <v>192579.48</v>
      </c>
      <c r="I11" s="5">
        <v>220320.25</v>
      </c>
      <c r="J11" s="6">
        <v>227186.88</v>
      </c>
    </row>
    <row r="12" spans="1:17">
      <c r="A12" s="9" t="s">
        <v>15</v>
      </c>
      <c r="B12" s="5">
        <v>7191892</v>
      </c>
      <c r="C12" s="5">
        <v>8024930.5</v>
      </c>
      <c r="D12" s="5">
        <v>8004630</v>
      </c>
      <c r="E12" s="5">
        <v>6103575.5</v>
      </c>
      <c r="F12" s="5">
        <v>7030398.5</v>
      </c>
      <c r="G12" s="5">
        <v>7531690.5</v>
      </c>
      <c r="H12" s="5">
        <v>4700752.5</v>
      </c>
      <c r="I12" s="5">
        <v>5558510.5</v>
      </c>
      <c r="J12" s="6">
        <v>5459610</v>
      </c>
    </row>
    <row r="13" spans="1:17">
      <c r="A13" s="9"/>
      <c r="B13" s="5"/>
      <c r="C13" s="5"/>
      <c r="D13" s="5"/>
      <c r="E13" s="5"/>
      <c r="F13" s="5"/>
      <c r="G13" s="5"/>
      <c r="H13" s="5"/>
      <c r="I13" s="5"/>
      <c r="J13" s="6"/>
    </row>
    <row r="14" spans="1:17" ht="15.75" thickBot="1">
      <c r="A14" s="10" t="s">
        <v>93</v>
      </c>
      <c r="B14" s="7">
        <f>(SUM(B9:B12))/(SUM(B7:B8))</f>
        <v>1.8428100003746772</v>
      </c>
      <c r="C14" s="7">
        <f t="shared" ref="C14:J14" si="0">(SUM(C9:C12))/(SUM(C7:C8))</f>
        <v>1.8738122897191569</v>
      </c>
      <c r="D14" s="7">
        <f t="shared" si="0"/>
        <v>1.8389849089737003</v>
      </c>
      <c r="E14" s="7">
        <f>(SUM(E9:E12))/(SUM(E7:E8))</f>
        <v>0.37449927231221497</v>
      </c>
      <c r="F14" s="7">
        <f t="shared" si="0"/>
        <v>0.42036957070287095</v>
      </c>
      <c r="G14" s="7">
        <f t="shared" si="0"/>
        <v>0.4073446079077539</v>
      </c>
      <c r="H14" s="7">
        <f t="shared" si="0"/>
        <v>7.2286954777262435E-2</v>
      </c>
      <c r="I14" s="7">
        <f t="shared" si="0"/>
        <v>7.6715415780741564E-2</v>
      </c>
      <c r="J14" s="8">
        <f t="shared" si="0"/>
        <v>7.8225784907881055E-2</v>
      </c>
    </row>
    <row r="15" spans="1:17" ht="15.75" thickBot="1">
      <c r="M15" s="114" t="s">
        <v>111</v>
      </c>
      <c r="N15" s="114"/>
      <c r="O15" s="114"/>
      <c r="P15" s="114"/>
      <c r="Q15" s="114"/>
    </row>
    <row r="16" spans="1:17">
      <c r="A16" s="25" t="s">
        <v>0</v>
      </c>
      <c r="B16" s="12" t="s">
        <v>1</v>
      </c>
      <c r="C16" s="12" t="s">
        <v>2</v>
      </c>
      <c r="D16" s="12" t="s">
        <v>3</v>
      </c>
      <c r="E16" s="12" t="s">
        <v>7</v>
      </c>
      <c r="F16" s="12" t="s">
        <v>8</v>
      </c>
      <c r="G16" s="12" t="s">
        <v>9</v>
      </c>
      <c r="H16" s="12"/>
      <c r="I16" s="12"/>
      <c r="J16" s="13"/>
      <c r="M16" s="114"/>
      <c r="N16" s="114"/>
      <c r="O16" s="114"/>
      <c r="P16" s="114"/>
      <c r="Q16" s="114"/>
    </row>
    <row r="17" spans="1:17">
      <c r="A17" s="9" t="s">
        <v>10</v>
      </c>
      <c r="B17" s="5">
        <v>4985332</v>
      </c>
      <c r="C17" s="5">
        <v>4857663.5</v>
      </c>
      <c r="D17" s="5">
        <v>6904756</v>
      </c>
      <c r="E17" s="5">
        <v>72750976</v>
      </c>
      <c r="F17" s="5">
        <v>73105560</v>
      </c>
      <c r="G17" s="5">
        <v>72396328</v>
      </c>
      <c r="H17" s="5"/>
      <c r="I17" s="5"/>
      <c r="J17" s="6"/>
      <c r="M17" s="114"/>
      <c r="N17" s="114"/>
      <c r="O17" s="114"/>
      <c r="P17" s="114"/>
      <c r="Q17" s="114"/>
    </row>
    <row r="18" spans="1:17">
      <c r="A18" s="9" t="s">
        <v>11</v>
      </c>
      <c r="B18" s="5">
        <v>267691.34000000003</v>
      </c>
      <c r="C18" s="5">
        <v>262140.33</v>
      </c>
      <c r="D18" s="5">
        <v>390233.88</v>
      </c>
      <c r="E18" s="5">
        <v>4103740</v>
      </c>
      <c r="F18" s="5">
        <v>3936698.25</v>
      </c>
      <c r="G18" s="5">
        <v>3988737</v>
      </c>
      <c r="H18" s="5"/>
      <c r="I18" s="5"/>
      <c r="J18" s="6"/>
      <c r="M18" s="114"/>
      <c r="N18" s="114"/>
      <c r="O18" s="114"/>
      <c r="P18" s="114"/>
      <c r="Q18" s="114"/>
    </row>
    <row r="19" spans="1:17">
      <c r="A19" s="9" t="s">
        <v>13</v>
      </c>
      <c r="B19" s="5">
        <v>4686.16</v>
      </c>
      <c r="C19" s="5">
        <v>4015.77</v>
      </c>
      <c r="D19" s="5">
        <v>6551.65</v>
      </c>
      <c r="E19" s="5">
        <v>0</v>
      </c>
      <c r="F19" s="5">
        <v>0</v>
      </c>
      <c r="G19" s="5">
        <v>0</v>
      </c>
      <c r="H19" s="5"/>
      <c r="I19" s="5"/>
      <c r="J19" s="6"/>
      <c r="M19" s="114"/>
      <c r="N19" s="114"/>
      <c r="O19" s="114"/>
      <c r="P19" s="114"/>
      <c r="Q19" s="114"/>
    </row>
    <row r="20" spans="1:17">
      <c r="A20" s="9" t="s">
        <v>14</v>
      </c>
      <c r="B20" s="5">
        <v>306784</v>
      </c>
      <c r="C20" s="5">
        <v>296394.96999999997</v>
      </c>
      <c r="D20" s="5">
        <v>356581.5</v>
      </c>
      <c r="E20" s="5">
        <v>230995.33</v>
      </c>
      <c r="F20" s="5">
        <v>223338.25</v>
      </c>
      <c r="G20" s="5">
        <v>195653.39</v>
      </c>
      <c r="H20" s="5"/>
      <c r="I20" s="5"/>
      <c r="J20" s="6"/>
      <c r="M20" s="114"/>
      <c r="N20" s="114"/>
      <c r="O20" s="114"/>
      <c r="P20" s="114"/>
      <c r="Q20" s="114"/>
    </row>
    <row r="21" spans="1:17">
      <c r="A21" s="9" t="s">
        <v>15</v>
      </c>
      <c r="B21" s="5">
        <v>7665814.5</v>
      </c>
      <c r="C21" s="5">
        <v>7049509.5</v>
      </c>
      <c r="D21" s="5">
        <v>8378448.5</v>
      </c>
      <c r="E21" s="5">
        <v>5342368.5</v>
      </c>
      <c r="F21" s="5">
        <v>4996652.5</v>
      </c>
      <c r="G21" s="5">
        <v>5250700</v>
      </c>
      <c r="H21" s="5"/>
      <c r="I21" s="5"/>
      <c r="J21" s="6"/>
      <c r="M21" s="114"/>
      <c r="N21" s="114"/>
      <c r="O21" s="114"/>
      <c r="P21" s="114"/>
      <c r="Q21" s="114"/>
    </row>
    <row r="22" spans="1:17">
      <c r="A22" s="9"/>
      <c r="B22" s="5"/>
      <c r="C22" s="5"/>
      <c r="D22" s="5"/>
      <c r="E22" s="5"/>
      <c r="F22" s="5"/>
      <c r="G22" s="5"/>
      <c r="H22" s="5"/>
      <c r="I22" s="5"/>
      <c r="J22" s="6"/>
      <c r="M22" s="114"/>
      <c r="N22" s="114"/>
      <c r="O22" s="114"/>
      <c r="P22" s="114"/>
      <c r="Q22" s="114"/>
    </row>
    <row r="23" spans="1:17" ht="15.75" thickBot="1">
      <c r="A23" s="10" t="s">
        <v>93</v>
      </c>
      <c r="B23" s="7">
        <f>(SUM(B19:B21))/(SUM(B17:B18))</f>
        <v>1.5186082649311055</v>
      </c>
      <c r="C23" s="7">
        <f t="shared" ref="C23:G23" si="1">(SUM(C19:C21))/(SUM(C17:C18))</f>
        <v>1.4355863005790204</v>
      </c>
      <c r="D23" s="7">
        <f t="shared" si="1"/>
        <v>1.1982993525413912</v>
      </c>
      <c r="E23" s="7">
        <f t="shared" si="1"/>
        <v>7.2518176112966182E-2</v>
      </c>
      <c r="F23" s="7">
        <f t="shared" si="1"/>
        <v>6.7754903199504793E-2</v>
      </c>
      <c r="G23" s="7">
        <f t="shared" si="1"/>
        <v>7.1301286318208923E-2</v>
      </c>
      <c r="H23" s="7"/>
      <c r="I23" s="7"/>
      <c r="J23" s="8"/>
    </row>
    <row r="24" spans="1:17" ht="15.75" thickBo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7">
      <c r="A25" s="15" t="s">
        <v>0</v>
      </c>
      <c r="B25" s="12" t="s">
        <v>57</v>
      </c>
      <c r="C25" s="12" t="s">
        <v>58</v>
      </c>
      <c r="D25" s="12" t="s">
        <v>59</v>
      </c>
      <c r="E25" s="12" t="s">
        <v>60</v>
      </c>
      <c r="F25" s="12" t="s">
        <v>61</v>
      </c>
      <c r="G25" s="12" t="s">
        <v>62</v>
      </c>
      <c r="H25" s="12" t="s">
        <v>63</v>
      </c>
      <c r="I25" s="12" t="s">
        <v>64</v>
      </c>
      <c r="J25" s="13" t="s">
        <v>65</v>
      </c>
    </row>
    <row r="26" spans="1:17">
      <c r="A26" s="9" t="s">
        <v>10</v>
      </c>
      <c r="B26" s="5">
        <v>3009208.75</v>
      </c>
      <c r="C26" s="5">
        <v>2933488.75</v>
      </c>
      <c r="D26" s="5">
        <v>2778584.25</v>
      </c>
      <c r="E26" s="5">
        <v>12960205</v>
      </c>
      <c r="F26" s="5">
        <v>13565112</v>
      </c>
      <c r="G26" s="5">
        <v>12966887</v>
      </c>
      <c r="H26" s="5">
        <v>56159296</v>
      </c>
      <c r="I26" s="5">
        <v>52826444</v>
      </c>
      <c r="J26" s="6">
        <v>59562052</v>
      </c>
    </row>
    <row r="27" spans="1:17">
      <c r="A27" s="9" t="s">
        <v>11</v>
      </c>
      <c r="B27" s="5">
        <v>142837.51999999999</v>
      </c>
      <c r="C27" s="5">
        <v>133720.91</v>
      </c>
      <c r="D27" s="5">
        <v>131244.38</v>
      </c>
      <c r="E27" s="5">
        <v>619968.81000000006</v>
      </c>
      <c r="F27" s="5">
        <v>589322</v>
      </c>
      <c r="G27" s="5">
        <v>611575</v>
      </c>
      <c r="H27" s="5">
        <v>2900245.25</v>
      </c>
      <c r="I27" s="5">
        <v>2639828</v>
      </c>
      <c r="J27" s="6">
        <v>3024293.25</v>
      </c>
    </row>
    <row r="28" spans="1:17">
      <c r="A28" s="9" t="s">
        <v>12</v>
      </c>
      <c r="B28" s="5">
        <v>2669.82</v>
      </c>
      <c r="C28" s="5">
        <v>0</v>
      </c>
      <c r="D28" s="5">
        <v>0</v>
      </c>
      <c r="E28" s="5">
        <v>10567.12</v>
      </c>
      <c r="F28" s="5">
        <v>11277.1</v>
      </c>
      <c r="G28" s="5">
        <v>11262.01</v>
      </c>
      <c r="H28" s="5">
        <v>21698.31</v>
      </c>
      <c r="I28" s="5">
        <v>28367.85</v>
      </c>
      <c r="J28" s="6">
        <v>16775.93</v>
      </c>
    </row>
    <row r="29" spans="1:17">
      <c r="A29" s="9" t="s">
        <v>13</v>
      </c>
      <c r="B29" s="5">
        <v>5367.7</v>
      </c>
      <c r="C29" s="5">
        <v>0</v>
      </c>
      <c r="D29" s="5">
        <v>2812.33</v>
      </c>
      <c r="E29" s="5">
        <v>3144.83</v>
      </c>
      <c r="F29" s="5">
        <v>4176.28</v>
      </c>
      <c r="G29" s="5">
        <v>3651.57</v>
      </c>
      <c r="H29" s="5">
        <v>0</v>
      </c>
      <c r="I29" s="5">
        <v>0</v>
      </c>
      <c r="J29" s="6">
        <v>0</v>
      </c>
    </row>
    <row r="30" spans="1:17">
      <c r="A30" s="9" t="s">
        <v>14</v>
      </c>
      <c r="B30" s="5">
        <v>193993</v>
      </c>
      <c r="C30" s="5">
        <v>201630.31</v>
      </c>
      <c r="D30" s="5">
        <v>190594.95</v>
      </c>
      <c r="E30" s="5">
        <v>165986.85999999999</v>
      </c>
      <c r="F30" s="5">
        <v>209776.81</v>
      </c>
      <c r="G30" s="5">
        <v>207720.38</v>
      </c>
      <c r="H30" s="5">
        <v>148778.82999999999</v>
      </c>
      <c r="I30" s="5">
        <v>157561.31</v>
      </c>
      <c r="J30" s="6">
        <v>160868.59</v>
      </c>
    </row>
    <row r="31" spans="1:17">
      <c r="A31" s="9" t="s">
        <v>15</v>
      </c>
      <c r="B31" s="5">
        <v>5535982.5</v>
      </c>
      <c r="C31" s="5">
        <v>5364100.5</v>
      </c>
      <c r="D31" s="5">
        <v>5159594</v>
      </c>
      <c r="E31" s="5">
        <v>4397938</v>
      </c>
      <c r="F31" s="5">
        <v>5120852.5</v>
      </c>
      <c r="G31" s="5">
        <v>4988492</v>
      </c>
      <c r="H31" s="5">
        <v>3762405.25</v>
      </c>
      <c r="I31" s="5">
        <v>3509008.25</v>
      </c>
      <c r="J31" s="6">
        <v>4303773.5</v>
      </c>
    </row>
    <row r="32" spans="1:17">
      <c r="A32" s="9"/>
      <c r="B32" s="5"/>
      <c r="C32" s="5"/>
      <c r="D32" s="5"/>
      <c r="E32" s="5"/>
      <c r="F32" s="5"/>
      <c r="G32" s="5"/>
      <c r="H32" s="5"/>
      <c r="I32" s="5"/>
      <c r="J32" s="6"/>
    </row>
    <row r="33" spans="1:10" ht="15.75" thickBot="1">
      <c r="A33" s="10" t="s">
        <v>93</v>
      </c>
      <c r="B33" s="7">
        <f t="shared" ref="B33:J33" si="2">(SUM(B28:B31))/(SUM(B26:B27))</f>
        <v>1.8204088799749756</v>
      </c>
      <c r="C33" s="7">
        <f t="shared" si="2"/>
        <v>1.8145909236605624</v>
      </c>
      <c r="D33" s="7">
        <f t="shared" si="2"/>
        <v>1.8396276759432395</v>
      </c>
      <c r="E33" s="7">
        <f t="shared" si="2"/>
        <v>0.33708234327819692</v>
      </c>
      <c r="F33" s="7">
        <f t="shared" si="2"/>
        <v>0.3776966772390899</v>
      </c>
      <c r="G33" s="7">
        <f t="shared" si="2"/>
        <v>0.38377880793863106</v>
      </c>
      <c r="H33" s="7">
        <f t="shared" si="2"/>
        <v>6.6591820843173249E-2</v>
      </c>
      <c r="I33" s="7">
        <f t="shared" si="2"/>
        <v>6.6615932110959258E-2</v>
      </c>
      <c r="J33" s="8">
        <f t="shared" si="2"/>
        <v>7.1603765998782293E-2</v>
      </c>
    </row>
    <row r="34" spans="1:10" ht="15.75" thickBo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26" t="s">
        <v>0</v>
      </c>
      <c r="B35" s="12" t="s">
        <v>57</v>
      </c>
      <c r="C35" s="12" t="s">
        <v>58</v>
      </c>
      <c r="D35" s="12" t="s">
        <v>59</v>
      </c>
      <c r="E35" s="12" t="s">
        <v>63</v>
      </c>
      <c r="F35" s="12" t="s">
        <v>64</v>
      </c>
      <c r="G35" s="12" t="s">
        <v>65</v>
      </c>
      <c r="H35" s="12"/>
      <c r="I35" s="12"/>
      <c r="J35" s="13"/>
    </row>
    <row r="36" spans="1:10">
      <c r="A36" s="9" t="s">
        <v>10</v>
      </c>
      <c r="B36" s="5">
        <v>3451183.25</v>
      </c>
      <c r="C36" s="5">
        <v>3122259</v>
      </c>
      <c r="D36" s="5">
        <v>4487263.5</v>
      </c>
      <c r="E36" s="5">
        <v>49510628</v>
      </c>
      <c r="F36" s="5">
        <v>53731216</v>
      </c>
      <c r="G36" s="5">
        <v>51968020</v>
      </c>
      <c r="H36" s="5"/>
      <c r="I36" s="5"/>
      <c r="J36" s="6"/>
    </row>
    <row r="37" spans="1:10">
      <c r="A37" s="9" t="s">
        <v>11</v>
      </c>
      <c r="B37" s="5">
        <v>168502.61</v>
      </c>
      <c r="C37" s="5">
        <v>141643.64000000001</v>
      </c>
      <c r="D37" s="5">
        <v>197990.67</v>
      </c>
      <c r="E37" s="5">
        <v>2715825.25</v>
      </c>
      <c r="F37" s="5">
        <v>2831240.75</v>
      </c>
      <c r="G37" s="5">
        <v>2642569.5</v>
      </c>
      <c r="H37" s="5"/>
      <c r="I37" s="5"/>
      <c r="J37" s="6"/>
    </row>
    <row r="38" spans="1:10">
      <c r="A38" s="9" t="s">
        <v>12</v>
      </c>
      <c r="B38" s="5">
        <v>2805.62</v>
      </c>
      <c r="C38" s="5">
        <v>0</v>
      </c>
      <c r="D38" s="5">
        <v>2473.9299999999998</v>
      </c>
      <c r="E38" s="5">
        <v>20536.73</v>
      </c>
      <c r="F38" s="5">
        <v>32437.5</v>
      </c>
      <c r="G38" s="5">
        <v>10834.86</v>
      </c>
      <c r="H38" s="5"/>
      <c r="I38" s="5"/>
      <c r="J38" s="6"/>
    </row>
    <row r="39" spans="1:10">
      <c r="A39" s="9" t="s">
        <v>13</v>
      </c>
      <c r="B39" s="5">
        <v>0</v>
      </c>
      <c r="C39" s="5">
        <v>0</v>
      </c>
      <c r="D39" s="5">
        <v>0</v>
      </c>
      <c r="E39" s="5">
        <v>5518.03</v>
      </c>
      <c r="F39" s="5">
        <v>5652.26</v>
      </c>
      <c r="G39" s="5">
        <v>5676.27</v>
      </c>
      <c r="H39" s="5"/>
      <c r="I39" s="5"/>
      <c r="J39" s="6"/>
    </row>
    <row r="40" spans="1:10">
      <c r="A40" s="9" t="s">
        <v>14</v>
      </c>
      <c r="B40" s="5">
        <v>192751.17</v>
      </c>
      <c r="C40" s="5">
        <v>167649.45000000001</v>
      </c>
      <c r="D40" s="5">
        <v>190239.33</v>
      </c>
      <c r="E40" s="5">
        <v>111946.04</v>
      </c>
      <c r="F40" s="5">
        <v>123325.66</v>
      </c>
      <c r="G40" s="5">
        <v>122050.31</v>
      </c>
      <c r="H40" s="5"/>
      <c r="I40" s="5"/>
      <c r="J40" s="6"/>
    </row>
    <row r="41" spans="1:10">
      <c r="A41" s="9" t="s">
        <v>15</v>
      </c>
      <c r="B41" s="5">
        <v>5236703.5</v>
      </c>
      <c r="C41" s="5">
        <v>4448014.5</v>
      </c>
      <c r="D41" s="5">
        <v>5002038.5</v>
      </c>
      <c r="E41" s="5">
        <v>3398949.75</v>
      </c>
      <c r="F41" s="5">
        <v>3326498.75</v>
      </c>
      <c r="G41" s="5">
        <v>3476672</v>
      </c>
      <c r="H41" s="5"/>
      <c r="I41" s="5"/>
      <c r="J41" s="6"/>
    </row>
    <row r="42" spans="1:10">
      <c r="A42" s="9"/>
      <c r="B42" s="5"/>
      <c r="C42" s="5"/>
      <c r="D42" s="5"/>
      <c r="E42" s="5"/>
      <c r="F42" s="5"/>
      <c r="G42" s="5"/>
      <c r="H42" s="5"/>
      <c r="I42" s="5"/>
      <c r="J42" s="6"/>
    </row>
    <row r="43" spans="1:10" ht="15.75" thickBot="1">
      <c r="A43" s="10" t="s">
        <v>93</v>
      </c>
      <c r="B43" s="7">
        <f t="shared" ref="B43:G43" si="3">(SUM(B38:B41))/(SUM(B36:B37))</f>
        <v>1.5007546234965263</v>
      </c>
      <c r="C43" s="7">
        <f t="shared" si="3"/>
        <v>1.4141549118021486</v>
      </c>
      <c r="D43" s="7">
        <f t="shared" si="3"/>
        <v>1.1087449200221298</v>
      </c>
      <c r="E43" s="7">
        <f t="shared" si="3"/>
        <v>6.7723353394670727E-2</v>
      </c>
      <c r="F43" s="7">
        <f t="shared" si="3"/>
        <v>6.1664828057525982E-2</v>
      </c>
      <c r="G43" s="7">
        <f t="shared" si="3"/>
        <v>6.6200227338692255E-2</v>
      </c>
      <c r="H43" s="7"/>
      <c r="I43" s="7"/>
      <c r="J43" s="8"/>
    </row>
    <row r="44" spans="1:10" ht="15.75" thickBo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14" t="s">
        <v>22</v>
      </c>
      <c r="B45" s="12" t="s">
        <v>1</v>
      </c>
      <c r="C45" s="12" t="s">
        <v>2</v>
      </c>
      <c r="D45" s="12" t="s">
        <v>3</v>
      </c>
      <c r="E45" s="12" t="s">
        <v>4</v>
      </c>
      <c r="F45" s="12" t="s">
        <v>5</v>
      </c>
      <c r="G45" s="12" t="s">
        <v>6</v>
      </c>
      <c r="H45" s="12" t="s">
        <v>7</v>
      </c>
      <c r="I45" s="12" t="s">
        <v>8</v>
      </c>
      <c r="J45" s="13" t="s">
        <v>9</v>
      </c>
    </row>
    <row r="46" spans="1:10">
      <c r="A46" s="9" t="s">
        <v>10</v>
      </c>
      <c r="B46" s="5">
        <v>165374.14000000001</v>
      </c>
      <c r="C46" s="5">
        <v>185485.64</v>
      </c>
      <c r="D46" s="5">
        <v>174330.39</v>
      </c>
      <c r="E46" s="5">
        <v>786400.81</v>
      </c>
      <c r="F46" s="5">
        <v>795168.56</v>
      </c>
      <c r="G46" s="5">
        <v>822054.5</v>
      </c>
      <c r="H46" s="5">
        <v>4021321.75</v>
      </c>
      <c r="I46" s="5">
        <v>4141820.25</v>
      </c>
      <c r="J46" s="6">
        <v>4304332.5</v>
      </c>
    </row>
    <row r="47" spans="1:10">
      <c r="A47" s="9" t="s">
        <v>11</v>
      </c>
      <c r="B47" s="5">
        <v>8717.93</v>
      </c>
      <c r="C47" s="5">
        <v>0</v>
      </c>
      <c r="D47" s="5">
        <v>6954.53</v>
      </c>
      <c r="E47" s="5">
        <v>41970.96</v>
      </c>
      <c r="F47" s="5">
        <v>43042.43</v>
      </c>
      <c r="G47" s="5">
        <v>44938.41</v>
      </c>
      <c r="H47" s="5">
        <v>204958.42</v>
      </c>
      <c r="I47" s="5">
        <v>229475.95</v>
      </c>
      <c r="J47" s="6">
        <v>222761.33</v>
      </c>
    </row>
    <row r="48" spans="1:10">
      <c r="A48" s="9" t="s">
        <v>12</v>
      </c>
      <c r="B48" s="5">
        <v>0</v>
      </c>
      <c r="C48" s="5">
        <v>0</v>
      </c>
      <c r="D48" s="5">
        <v>0</v>
      </c>
      <c r="E48" s="5">
        <v>1815.14</v>
      </c>
      <c r="F48" s="5">
        <v>0</v>
      </c>
      <c r="G48" s="5">
        <v>0</v>
      </c>
      <c r="H48" s="5">
        <v>1089.71</v>
      </c>
      <c r="I48" s="5">
        <v>0</v>
      </c>
      <c r="J48" s="6">
        <v>1275.23</v>
      </c>
    </row>
    <row r="49" spans="1:10">
      <c r="A49" s="9" t="s">
        <v>14</v>
      </c>
      <c r="B49" s="5">
        <v>22212.65</v>
      </c>
      <c r="C49" s="5">
        <v>30344.04</v>
      </c>
      <c r="D49" s="5">
        <v>27219.54</v>
      </c>
      <c r="E49" s="5">
        <v>19841.72</v>
      </c>
      <c r="F49" s="5">
        <v>21933.22</v>
      </c>
      <c r="G49" s="5">
        <v>23414.79</v>
      </c>
      <c r="H49" s="5">
        <v>19421.439999999999</v>
      </c>
      <c r="I49" s="5">
        <v>23551.61</v>
      </c>
      <c r="J49" s="6">
        <v>26820.83</v>
      </c>
    </row>
    <row r="50" spans="1:10">
      <c r="A50" s="9" t="s">
        <v>15</v>
      </c>
      <c r="B50" s="5">
        <v>508945.22</v>
      </c>
      <c r="C50" s="5">
        <v>643300</v>
      </c>
      <c r="D50" s="5">
        <v>659261.06000000006</v>
      </c>
      <c r="E50" s="5">
        <v>467315.66</v>
      </c>
      <c r="F50" s="5">
        <v>527139.75</v>
      </c>
      <c r="G50" s="5">
        <v>557109.31000000006</v>
      </c>
      <c r="H50" s="5">
        <v>508840.03</v>
      </c>
      <c r="I50" s="5">
        <v>557466.43999999994</v>
      </c>
      <c r="J50" s="6">
        <v>589860.43999999994</v>
      </c>
    </row>
    <row r="51" spans="1:10">
      <c r="A51" s="9"/>
      <c r="B51" s="5"/>
      <c r="C51" s="5"/>
      <c r="D51" s="5"/>
      <c r="E51" s="5"/>
      <c r="F51" s="5"/>
      <c r="G51" s="5"/>
      <c r="H51" s="5"/>
      <c r="I51" s="5"/>
      <c r="J51" s="6"/>
    </row>
    <row r="52" spans="1:10" ht="15.75" thickBot="1">
      <c r="A52" s="10" t="s">
        <v>93</v>
      </c>
      <c r="B52" s="7">
        <f t="shared" ref="B52:J52" si="4">SUM(B48:B50)/SUM(B46:B47)</f>
        <v>3.051017027943892</v>
      </c>
      <c r="C52" s="7">
        <f t="shared" si="4"/>
        <v>3.631785403980599</v>
      </c>
      <c r="D52" s="7">
        <f t="shared" si="4"/>
        <v>3.7867496093993922</v>
      </c>
      <c r="E52" s="7">
        <f t="shared" si="4"/>
        <v>0.59028148677736803</v>
      </c>
      <c r="F52" s="7">
        <f t="shared" si="4"/>
        <v>0.65505341322236765</v>
      </c>
      <c r="G52" s="7">
        <f t="shared" si="4"/>
        <v>0.66958344561318273</v>
      </c>
      <c r="H52" s="7">
        <f t="shared" si="4"/>
        <v>0.12525226882911553</v>
      </c>
      <c r="I52" s="7">
        <f t="shared" si="4"/>
        <v>0.13291665067217359</v>
      </c>
      <c r="J52" s="8">
        <f t="shared" si="4"/>
        <v>0.13650180959469974</v>
      </c>
    </row>
    <row r="53" spans="1:10" ht="15.75" thickBot="1"/>
    <row r="54" spans="1:10">
      <c r="A54" s="25" t="s">
        <v>22</v>
      </c>
      <c r="B54" s="12" t="s">
        <v>1</v>
      </c>
      <c r="C54" s="12" t="s">
        <v>2</v>
      </c>
      <c r="D54" s="12" t="s">
        <v>3</v>
      </c>
      <c r="E54" s="12" t="s">
        <v>7</v>
      </c>
      <c r="F54" s="12" t="s">
        <v>8</v>
      </c>
      <c r="G54" s="12" t="s">
        <v>9</v>
      </c>
      <c r="H54" s="12"/>
      <c r="I54" s="12"/>
      <c r="J54" s="13"/>
    </row>
    <row r="55" spans="1:10">
      <c r="A55" s="9" t="s">
        <v>10</v>
      </c>
      <c r="B55" s="5">
        <v>160011.64000000001</v>
      </c>
      <c r="C55" s="5">
        <v>159888.89000000001</v>
      </c>
      <c r="D55" s="5">
        <v>235377.88</v>
      </c>
      <c r="E55" s="5">
        <v>3029598</v>
      </c>
      <c r="F55" s="5">
        <v>2891667</v>
      </c>
      <c r="G55" s="5">
        <v>3246171.25</v>
      </c>
      <c r="H55" s="5"/>
      <c r="I55" s="5"/>
      <c r="J55" s="6"/>
    </row>
    <row r="56" spans="1:10">
      <c r="A56" s="9" t="s">
        <v>11</v>
      </c>
      <c r="B56" s="5">
        <v>4530.9799999999996</v>
      </c>
      <c r="C56" s="5">
        <v>9233.6</v>
      </c>
      <c r="D56" s="5">
        <v>13399.95</v>
      </c>
      <c r="E56" s="5">
        <v>173197.11</v>
      </c>
      <c r="F56" s="5">
        <v>148191.98000000001</v>
      </c>
      <c r="G56" s="5">
        <v>176078.11</v>
      </c>
      <c r="H56" s="5"/>
      <c r="I56" s="5"/>
      <c r="J56" s="6"/>
    </row>
    <row r="57" spans="1:10">
      <c r="A57" s="9" t="s">
        <v>14</v>
      </c>
      <c r="B57" s="5">
        <v>24524.16</v>
      </c>
      <c r="C57" s="5">
        <v>18798</v>
      </c>
      <c r="D57" s="5">
        <v>26542.959999999999</v>
      </c>
      <c r="E57" s="5">
        <v>18000.849999999999</v>
      </c>
      <c r="F57" s="5">
        <v>20172.11</v>
      </c>
      <c r="G57" s="5">
        <v>19281.939999999999</v>
      </c>
      <c r="H57" s="5"/>
      <c r="I57" s="5"/>
      <c r="J57" s="6"/>
    </row>
    <row r="58" spans="1:10">
      <c r="A58" s="9" t="s">
        <v>15</v>
      </c>
      <c r="B58" s="5">
        <v>541989.75</v>
      </c>
      <c r="C58" s="5">
        <v>418956.25</v>
      </c>
      <c r="D58" s="5">
        <v>575675.43999999994</v>
      </c>
      <c r="E58" s="5">
        <v>385258.16</v>
      </c>
      <c r="F58" s="5">
        <v>399164.09</v>
      </c>
      <c r="G58" s="5">
        <v>438885.5</v>
      </c>
      <c r="H58" s="5"/>
      <c r="I58" s="5"/>
      <c r="J58" s="6"/>
    </row>
    <row r="59" spans="1:10">
      <c r="A59" s="9"/>
      <c r="B59" s="5"/>
      <c r="C59" s="5"/>
      <c r="D59" s="5"/>
      <c r="E59" s="5"/>
      <c r="F59" s="5"/>
      <c r="G59" s="5"/>
      <c r="H59" s="5"/>
      <c r="I59" s="5"/>
      <c r="J59" s="6"/>
    </row>
    <row r="60" spans="1:10" ht="15.75" thickBot="1">
      <c r="A60" s="10" t="s">
        <v>93</v>
      </c>
      <c r="B60" s="7">
        <f t="shared" ref="B60:G60" si="5">SUM(B57:B58)/SUM(B55:B56)</f>
        <v>3.4429615257129123</v>
      </c>
      <c r="C60" s="7">
        <f t="shared" si="5"/>
        <v>2.5883857906775138</v>
      </c>
      <c r="D60" s="7">
        <f t="shared" si="5"/>
        <v>2.4207076651484574</v>
      </c>
      <c r="E60" s="7">
        <f t="shared" si="5"/>
        <v>0.12590846312363702</v>
      </c>
      <c r="F60" s="7">
        <f t="shared" si="5"/>
        <v>0.13794593853166176</v>
      </c>
      <c r="G60" s="7">
        <f t="shared" si="5"/>
        <v>0.13387903446053973</v>
      </c>
      <c r="H60" s="7"/>
      <c r="I60" s="7"/>
      <c r="J60" s="8"/>
    </row>
    <row r="61" spans="1:10" ht="15.75" thickBo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15" t="s">
        <v>22</v>
      </c>
      <c r="B62" s="12" t="s">
        <v>57</v>
      </c>
      <c r="C62" s="12" t="s">
        <v>58</v>
      </c>
      <c r="D62" s="12" t="s">
        <v>59</v>
      </c>
      <c r="E62" s="12" t="s">
        <v>60</v>
      </c>
      <c r="F62" s="12" t="s">
        <v>61</v>
      </c>
      <c r="G62" s="12" t="s">
        <v>62</v>
      </c>
      <c r="H62" s="12" t="s">
        <v>63</v>
      </c>
      <c r="I62" s="12" t="s">
        <v>64</v>
      </c>
      <c r="J62" s="13" t="s">
        <v>65</v>
      </c>
    </row>
    <row r="63" spans="1:10">
      <c r="A63" s="9" t="s">
        <v>10</v>
      </c>
      <c r="B63" s="5">
        <v>98932.76</v>
      </c>
      <c r="C63" s="5">
        <v>84165.1</v>
      </c>
      <c r="D63" s="5">
        <v>96473.81</v>
      </c>
      <c r="E63" s="5">
        <v>481036.59</v>
      </c>
      <c r="F63" s="5">
        <v>429424.47</v>
      </c>
      <c r="G63" s="5">
        <v>494256</v>
      </c>
      <c r="H63" s="5">
        <v>2240246.75</v>
      </c>
      <c r="I63" s="5">
        <v>2530184.25</v>
      </c>
      <c r="J63" s="6">
        <v>2561308.75</v>
      </c>
    </row>
    <row r="64" spans="1:10">
      <c r="A64" s="9" t="s">
        <v>11</v>
      </c>
      <c r="B64" s="5">
        <v>4193.92</v>
      </c>
      <c r="C64" s="5">
        <v>4293.3500000000004</v>
      </c>
      <c r="D64" s="5">
        <v>0</v>
      </c>
      <c r="E64" s="5">
        <v>22641.66</v>
      </c>
      <c r="F64" s="5">
        <v>17844.849999999999</v>
      </c>
      <c r="G64" s="5">
        <v>25672.35</v>
      </c>
      <c r="H64" s="5">
        <v>118866.32</v>
      </c>
      <c r="I64" s="5">
        <v>96869.66</v>
      </c>
      <c r="J64" s="6">
        <v>119382.41</v>
      </c>
    </row>
    <row r="65" spans="1:10">
      <c r="A65" s="9" t="s">
        <v>14</v>
      </c>
      <c r="B65" s="5">
        <v>11282.97</v>
      </c>
      <c r="C65" s="5">
        <v>8209.73</v>
      </c>
      <c r="D65" s="5">
        <v>15507.4</v>
      </c>
      <c r="E65" s="5">
        <v>5123.68</v>
      </c>
      <c r="F65" s="5">
        <v>9960.7999999999993</v>
      </c>
      <c r="G65" s="5">
        <v>10211.49</v>
      </c>
      <c r="H65" s="5">
        <v>6281.75</v>
      </c>
      <c r="I65" s="5">
        <v>7327.97</v>
      </c>
      <c r="J65" s="6">
        <v>11841.31</v>
      </c>
    </row>
    <row r="66" spans="1:10">
      <c r="A66" s="9" t="s">
        <v>15</v>
      </c>
      <c r="B66" s="5">
        <v>326022.96999999997</v>
      </c>
      <c r="C66" s="5">
        <v>361538.03</v>
      </c>
      <c r="D66" s="5">
        <v>341569.91</v>
      </c>
      <c r="E66" s="5">
        <v>293674.19</v>
      </c>
      <c r="F66" s="5">
        <v>327872.09000000003</v>
      </c>
      <c r="G66" s="5">
        <v>309477.90999999997</v>
      </c>
      <c r="H66" s="5">
        <v>277858.28000000003</v>
      </c>
      <c r="I66" s="5">
        <v>348949.88</v>
      </c>
      <c r="J66" s="6">
        <v>321748.21999999997</v>
      </c>
    </row>
    <row r="67" spans="1:10">
      <c r="A67" s="9"/>
      <c r="B67" s="5"/>
      <c r="C67" s="5"/>
      <c r="D67" s="5"/>
      <c r="E67" s="5"/>
      <c r="F67" s="5"/>
      <c r="G67" s="5"/>
      <c r="H67" s="5"/>
      <c r="I67" s="5"/>
      <c r="J67" s="6"/>
    </row>
    <row r="68" spans="1:10" ht="15.75" thickBot="1">
      <c r="A68" s="10" t="s">
        <v>93</v>
      </c>
      <c r="B68" s="7">
        <f t="shared" ref="B68:J68" si="6">SUM(B65:B66)/SUM(B63:B64)</f>
        <v>3.270792194609581</v>
      </c>
      <c r="C68" s="7">
        <f t="shared" si="6"/>
        <v>4.17990322009938</v>
      </c>
      <c r="D68" s="7">
        <f t="shared" si="6"/>
        <v>3.7012875307816704</v>
      </c>
      <c r="E68" s="7">
        <f t="shared" si="6"/>
        <v>0.5932316315028493</v>
      </c>
      <c r="F68" s="7">
        <f t="shared" si="6"/>
        <v>0.75532319095796696</v>
      </c>
      <c r="G68" s="7">
        <f t="shared" si="6"/>
        <v>0.61487202996335932</v>
      </c>
      <c r="H68" s="7">
        <f t="shared" si="6"/>
        <v>0.12044358263845321</v>
      </c>
      <c r="I68" s="7">
        <f t="shared" si="6"/>
        <v>0.13561878142043912</v>
      </c>
      <c r="J68" s="8">
        <f t="shared" si="6"/>
        <v>0.12444161228927242</v>
      </c>
    </row>
    <row r="69" spans="1:10" ht="15.75" thickBo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26" t="s">
        <v>22</v>
      </c>
      <c r="B70" s="12" t="s">
        <v>57</v>
      </c>
      <c r="C70" s="12" t="s">
        <v>58</v>
      </c>
      <c r="D70" s="12" t="s">
        <v>59</v>
      </c>
      <c r="E70" s="12" t="s">
        <v>63</v>
      </c>
      <c r="F70" s="12" t="s">
        <v>64</v>
      </c>
      <c r="G70" s="12" t="s">
        <v>65</v>
      </c>
      <c r="H70" s="12"/>
      <c r="I70" s="12"/>
      <c r="J70" s="13"/>
    </row>
    <row r="71" spans="1:10">
      <c r="A71" s="9" t="s">
        <v>10</v>
      </c>
      <c r="B71" s="5">
        <v>95221.48</v>
      </c>
      <c r="C71" s="5">
        <v>74811.789999999994</v>
      </c>
      <c r="D71" s="5">
        <v>113025</v>
      </c>
      <c r="E71" s="5">
        <v>1700325.62</v>
      </c>
      <c r="F71" s="5">
        <v>1698852.62</v>
      </c>
      <c r="G71" s="5">
        <v>1641994.38</v>
      </c>
      <c r="H71" s="5"/>
      <c r="I71" s="5"/>
      <c r="J71" s="6"/>
    </row>
    <row r="72" spans="1:10">
      <c r="A72" s="9" t="s">
        <v>11</v>
      </c>
      <c r="B72" s="5">
        <v>0</v>
      </c>
      <c r="C72" s="5">
        <v>4094.53</v>
      </c>
      <c r="D72" s="5">
        <v>4316.3999999999996</v>
      </c>
      <c r="E72" s="5">
        <v>100569.72</v>
      </c>
      <c r="F72" s="5">
        <v>85245.46</v>
      </c>
      <c r="G72" s="5">
        <v>77192.87</v>
      </c>
      <c r="H72" s="5"/>
      <c r="I72" s="5"/>
      <c r="J72" s="6"/>
    </row>
    <row r="73" spans="1:10">
      <c r="A73" s="9" t="s">
        <v>12</v>
      </c>
      <c r="B73" s="5">
        <v>0</v>
      </c>
      <c r="C73" s="5">
        <v>0</v>
      </c>
      <c r="D73" s="5">
        <v>0</v>
      </c>
      <c r="E73" s="5">
        <v>4141.29</v>
      </c>
      <c r="F73" s="5">
        <v>0</v>
      </c>
      <c r="G73" s="5">
        <v>0</v>
      </c>
      <c r="H73" s="5"/>
      <c r="I73" s="5"/>
      <c r="J73" s="6"/>
    </row>
    <row r="74" spans="1:10">
      <c r="A74" s="9" t="s">
        <v>14</v>
      </c>
      <c r="B74" s="5">
        <v>8109.44</v>
      </c>
      <c r="C74" s="5">
        <v>5462.2</v>
      </c>
      <c r="D74" s="5">
        <v>12032.2</v>
      </c>
      <c r="E74" s="5">
        <v>13518.96</v>
      </c>
      <c r="F74" s="5">
        <v>0</v>
      </c>
      <c r="G74" s="5">
        <v>9785.6</v>
      </c>
      <c r="H74" s="5"/>
      <c r="I74" s="5"/>
      <c r="J74" s="6"/>
    </row>
    <row r="75" spans="1:10">
      <c r="A75" s="9" t="s">
        <v>15</v>
      </c>
      <c r="B75" s="5">
        <v>385658.84</v>
      </c>
      <c r="C75" s="5">
        <v>233716.62</v>
      </c>
      <c r="D75" s="5">
        <v>308308.40999999997</v>
      </c>
      <c r="E75" s="5">
        <v>233285.62</v>
      </c>
      <c r="F75" s="5">
        <v>206109.23</v>
      </c>
      <c r="G75" s="5">
        <v>215063.81</v>
      </c>
      <c r="H75" s="5"/>
      <c r="I75" s="5"/>
      <c r="J75" s="6"/>
    </row>
    <row r="76" spans="1:10">
      <c r="A76" s="9"/>
      <c r="B76" s="5"/>
      <c r="C76" s="5"/>
      <c r="D76" s="5"/>
      <c r="E76" s="5"/>
      <c r="F76" s="5"/>
      <c r="G76" s="5"/>
      <c r="H76" s="5"/>
      <c r="I76" s="5"/>
      <c r="J76" s="6"/>
    </row>
    <row r="77" spans="1:10" ht="15.75" thickBot="1">
      <c r="A77" s="10" t="s">
        <v>93</v>
      </c>
      <c r="B77" s="7">
        <f t="shared" ref="B77:G77" si="7">SUM(B73:B75)/SUM(B71:B72)</f>
        <v>4.1352883824111961</v>
      </c>
      <c r="C77" s="7">
        <f t="shared" si="7"/>
        <v>3.0311744357106001</v>
      </c>
      <c r="D77" s="7">
        <f t="shared" si="7"/>
        <v>2.729987966736378</v>
      </c>
      <c r="E77" s="7">
        <f t="shared" si="7"/>
        <v>0.13934506044088046</v>
      </c>
      <c r="F77" s="7">
        <f t="shared" si="7"/>
        <v>0.11552572827162058</v>
      </c>
      <c r="G77" s="7">
        <f t="shared" si="7"/>
        <v>0.13078820239040279</v>
      </c>
      <c r="H77" s="7"/>
      <c r="I77" s="7"/>
      <c r="J77" s="8"/>
    </row>
    <row r="78" spans="1:10" ht="15.75" thickBo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14" t="s">
        <v>23</v>
      </c>
      <c r="B79" s="12" t="s">
        <v>1</v>
      </c>
      <c r="C79" s="12" t="s">
        <v>2</v>
      </c>
      <c r="D79" s="12" t="s">
        <v>3</v>
      </c>
      <c r="E79" s="12" t="s">
        <v>4</v>
      </c>
      <c r="F79" s="12" t="s">
        <v>5</v>
      </c>
      <c r="G79" s="12" t="s">
        <v>6</v>
      </c>
      <c r="H79" s="12" t="s">
        <v>7</v>
      </c>
      <c r="I79" s="12" t="s">
        <v>8</v>
      </c>
      <c r="J79" s="13" t="s">
        <v>9</v>
      </c>
    </row>
    <row r="80" spans="1:10">
      <c r="A80" s="9" t="s">
        <v>10</v>
      </c>
      <c r="B80" s="5">
        <v>50541.5</v>
      </c>
      <c r="C80" s="5">
        <v>48615.03</v>
      </c>
      <c r="D80" s="5">
        <v>54050.080000000002</v>
      </c>
      <c r="E80" s="5">
        <v>241601.77</v>
      </c>
      <c r="F80" s="5">
        <v>227256.05</v>
      </c>
      <c r="G80" s="5">
        <v>218328.42</v>
      </c>
      <c r="H80" s="5">
        <v>1133014.6200000001</v>
      </c>
      <c r="I80" s="5">
        <v>1323394.8799999999</v>
      </c>
      <c r="J80" s="6">
        <v>1356868</v>
      </c>
    </row>
    <row r="81" spans="1:10">
      <c r="A81" s="9" t="s">
        <v>11</v>
      </c>
      <c r="B81" s="5">
        <v>6854.23</v>
      </c>
      <c r="C81" s="5">
        <v>8428.69</v>
      </c>
      <c r="D81" s="5">
        <v>8645.66</v>
      </c>
      <c r="E81" s="5">
        <v>38638.19</v>
      </c>
      <c r="F81" s="5">
        <v>38549.33</v>
      </c>
      <c r="G81" s="5">
        <v>35969.379999999997</v>
      </c>
      <c r="H81" s="5">
        <v>182130.12</v>
      </c>
      <c r="I81" s="5">
        <v>212196.56</v>
      </c>
      <c r="J81" s="6">
        <v>214738.33</v>
      </c>
    </row>
    <row r="82" spans="1:10">
      <c r="A82" s="9" t="s">
        <v>12</v>
      </c>
      <c r="B82" s="5">
        <v>1559.01</v>
      </c>
      <c r="C82" s="5">
        <v>1043.1099999999999</v>
      </c>
      <c r="D82" s="5">
        <v>1738.65</v>
      </c>
      <c r="E82" s="5">
        <v>8547.33</v>
      </c>
      <c r="F82" s="5">
        <v>10533.07</v>
      </c>
      <c r="G82" s="5">
        <v>8986.86</v>
      </c>
      <c r="H82" s="5">
        <v>48642.01</v>
      </c>
      <c r="I82" s="5">
        <v>46367.35</v>
      </c>
      <c r="J82" s="6">
        <v>48444.5</v>
      </c>
    </row>
    <row r="83" spans="1:10">
      <c r="A83" s="9" t="s">
        <v>13</v>
      </c>
      <c r="B83" s="5">
        <v>0</v>
      </c>
      <c r="C83" s="5">
        <v>0</v>
      </c>
      <c r="D83" s="5">
        <v>0</v>
      </c>
      <c r="E83" s="5">
        <v>757.37</v>
      </c>
      <c r="F83" s="5">
        <v>829.23</v>
      </c>
      <c r="G83" s="5">
        <v>937.43</v>
      </c>
      <c r="H83" s="5">
        <v>5583.52</v>
      </c>
      <c r="I83" s="5">
        <v>6892.62</v>
      </c>
      <c r="J83" s="6">
        <v>3894.25</v>
      </c>
    </row>
    <row r="84" spans="1:10">
      <c r="A84" s="9" t="s">
        <v>15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1606.18</v>
      </c>
      <c r="I84" s="5">
        <v>948.42</v>
      </c>
      <c r="J84" s="6">
        <v>0</v>
      </c>
    </row>
    <row r="85" spans="1:10">
      <c r="A85" s="9" t="s">
        <v>40</v>
      </c>
      <c r="B85" s="5">
        <v>0</v>
      </c>
      <c r="C85" s="5">
        <v>0</v>
      </c>
      <c r="D85" s="5">
        <v>0</v>
      </c>
      <c r="E85" s="5">
        <v>658.32</v>
      </c>
      <c r="F85" s="5">
        <v>0</v>
      </c>
      <c r="G85" s="5">
        <v>0</v>
      </c>
      <c r="H85" s="5">
        <v>0</v>
      </c>
      <c r="I85" s="5">
        <v>0</v>
      </c>
      <c r="J85" s="6">
        <v>0</v>
      </c>
    </row>
    <row r="86" spans="1:10">
      <c r="A86" s="9" t="s">
        <v>41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592.4</v>
      </c>
      <c r="I86" s="5">
        <v>790.81</v>
      </c>
      <c r="J86" s="6">
        <v>859.38</v>
      </c>
    </row>
    <row r="87" spans="1:10">
      <c r="A87" s="9" t="s">
        <v>42</v>
      </c>
      <c r="B87" s="5">
        <v>0</v>
      </c>
      <c r="C87" s="5">
        <v>0</v>
      </c>
      <c r="D87" s="5">
        <v>0</v>
      </c>
      <c r="E87" s="5">
        <v>1018.66</v>
      </c>
      <c r="F87" s="5">
        <v>653.54999999999995</v>
      </c>
      <c r="G87" s="5">
        <v>761.77</v>
      </c>
      <c r="H87" s="5">
        <v>3966.77</v>
      </c>
      <c r="I87" s="5">
        <v>3379.59</v>
      </c>
      <c r="J87" s="6">
        <v>3291.7</v>
      </c>
    </row>
    <row r="88" spans="1:10">
      <c r="A88" s="9" t="s">
        <v>43</v>
      </c>
      <c r="B88" s="5">
        <v>0</v>
      </c>
      <c r="C88" s="5">
        <v>0</v>
      </c>
      <c r="D88" s="5">
        <v>0</v>
      </c>
      <c r="E88" s="5">
        <v>1598.43</v>
      </c>
      <c r="F88" s="5">
        <v>1726.91</v>
      </c>
      <c r="G88" s="5">
        <v>1730.24</v>
      </c>
      <c r="H88" s="5">
        <v>5863.04</v>
      </c>
      <c r="I88" s="5">
        <v>4479.95</v>
      </c>
      <c r="J88" s="6">
        <v>3821.36</v>
      </c>
    </row>
    <row r="89" spans="1:10">
      <c r="A89" s="9" t="s">
        <v>44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6">
        <v>749.53</v>
      </c>
    </row>
    <row r="90" spans="1:10">
      <c r="A90" s="9" t="s">
        <v>45</v>
      </c>
      <c r="B90" s="5">
        <v>5818.46</v>
      </c>
      <c r="C90" s="5">
        <v>6326.09</v>
      </c>
      <c r="D90" s="5">
        <v>5896.69</v>
      </c>
      <c r="E90" s="5">
        <v>5773.8</v>
      </c>
      <c r="F90" s="5">
        <v>5163.9799999999996</v>
      </c>
      <c r="G90" s="5">
        <v>5786.11</v>
      </c>
      <c r="H90" s="5">
        <v>6984.68</v>
      </c>
      <c r="I90" s="5">
        <v>4903.91</v>
      </c>
      <c r="J90" s="6">
        <v>6861.52</v>
      </c>
    </row>
    <row r="91" spans="1:10">
      <c r="A91" s="9" t="s">
        <v>46</v>
      </c>
      <c r="B91" s="5">
        <v>69584.479999999996</v>
      </c>
      <c r="C91" s="5">
        <v>69146.38</v>
      </c>
      <c r="D91" s="5">
        <v>64908.86</v>
      </c>
      <c r="E91" s="5">
        <v>60238.28</v>
      </c>
      <c r="F91" s="5">
        <v>56547.75</v>
      </c>
      <c r="G91" s="5">
        <v>63112.82</v>
      </c>
      <c r="H91" s="5">
        <v>64560.88</v>
      </c>
      <c r="I91" s="5">
        <v>66136.05</v>
      </c>
      <c r="J91" s="6">
        <v>67576.27</v>
      </c>
    </row>
    <row r="92" spans="1:10">
      <c r="A92" s="9" t="s">
        <v>47</v>
      </c>
      <c r="B92" s="5">
        <v>220544.73</v>
      </c>
      <c r="C92" s="5">
        <v>244179.38</v>
      </c>
      <c r="D92" s="5">
        <v>229654.05</v>
      </c>
      <c r="E92" s="5">
        <v>209365.33</v>
      </c>
      <c r="F92" s="5">
        <v>229263.39</v>
      </c>
      <c r="G92" s="5">
        <v>222618.52</v>
      </c>
      <c r="H92" s="5">
        <v>228134.39</v>
      </c>
      <c r="I92" s="5">
        <v>237688.42</v>
      </c>
      <c r="J92" s="6">
        <v>250246.5</v>
      </c>
    </row>
    <row r="93" spans="1:10">
      <c r="A93" s="9" t="s">
        <v>48</v>
      </c>
      <c r="B93" s="5">
        <v>253419.55</v>
      </c>
      <c r="C93" s="5">
        <v>286017.62</v>
      </c>
      <c r="D93" s="5">
        <v>275196.09000000003</v>
      </c>
      <c r="E93" s="5">
        <v>255338.56</v>
      </c>
      <c r="F93" s="5">
        <v>269410.90999999997</v>
      </c>
      <c r="G93" s="5">
        <v>258632</v>
      </c>
      <c r="H93" s="5">
        <v>251138.44</v>
      </c>
      <c r="I93" s="5">
        <v>279142.12</v>
      </c>
      <c r="J93" s="6">
        <v>288820.09000000003</v>
      </c>
    </row>
    <row r="94" spans="1:10">
      <c r="A94" s="9"/>
      <c r="B94" s="5"/>
      <c r="C94" s="5"/>
      <c r="D94" s="5"/>
      <c r="E94" s="5"/>
      <c r="F94" s="5"/>
      <c r="G94" s="5"/>
      <c r="H94" s="5"/>
      <c r="I94" s="5"/>
      <c r="J94" s="6"/>
    </row>
    <row r="95" spans="1:10" ht="15.75" thickBot="1">
      <c r="A95" s="10" t="s">
        <v>93</v>
      </c>
      <c r="B95" s="7">
        <f>SUM(B82:B93)/SUM(B80:B81)</f>
        <v>9.5987319962652276</v>
      </c>
      <c r="C95" s="7">
        <f t="shared" ref="C95:J95" si="8">SUM(C82:C93)/SUM(C80:C81)</f>
        <v>10.635922411792219</v>
      </c>
      <c r="D95" s="7">
        <f t="shared" si="8"/>
        <v>9.2094668632988466</v>
      </c>
      <c r="E95" s="7">
        <f t="shared" si="8"/>
        <v>1.9386816926465453</v>
      </c>
      <c r="F95" s="7">
        <f t="shared" si="8"/>
        <v>2.1599592528939784</v>
      </c>
      <c r="G95" s="7">
        <f t="shared" si="8"/>
        <v>2.212232075936166</v>
      </c>
      <c r="H95" s="7">
        <f t="shared" si="8"/>
        <v>0.46920486485768853</v>
      </c>
      <c r="I95" s="7">
        <f t="shared" si="8"/>
        <v>0.42376456591865347</v>
      </c>
      <c r="J95" s="8">
        <f t="shared" si="8"/>
        <v>0.4292201470071707</v>
      </c>
    </row>
    <row r="96" spans="1:10" ht="15.75" thickBot="1"/>
    <row r="97" spans="1:10">
      <c r="A97" s="25" t="s">
        <v>23</v>
      </c>
      <c r="B97" s="12" t="s">
        <v>1</v>
      </c>
      <c r="C97" s="12" t="s">
        <v>2</v>
      </c>
      <c r="D97" s="12" t="s">
        <v>3</v>
      </c>
      <c r="E97" s="12" t="s">
        <v>7</v>
      </c>
      <c r="F97" s="12" t="s">
        <v>8</v>
      </c>
      <c r="G97" s="12" t="s">
        <v>9</v>
      </c>
      <c r="H97" s="12"/>
      <c r="I97" s="12"/>
      <c r="J97" s="13"/>
    </row>
    <row r="98" spans="1:10">
      <c r="A98" s="9" t="s">
        <v>10</v>
      </c>
      <c r="B98" s="5">
        <v>90197.66</v>
      </c>
      <c r="C98" s="5">
        <v>79976.100000000006</v>
      </c>
      <c r="D98" s="5">
        <v>105217.27</v>
      </c>
      <c r="E98" s="5">
        <v>1765556.12</v>
      </c>
      <c r="F98" s="5">
        <v>1717317.38</v>
      </c>
      <c r="G98" s="5">
        <v>1778314.5</v>
      </c>
      <c r="H98" s="5"/>
      <c r="I98" s="5"/>
      <c r="J98" s="6"/>
    </row>
    <row r="99" spans="1:10">
      <c r="A99" s="9" t="s">
        <v>11</v>
      </c>
      <c r="B99" s="5">
        <v>15757.57</v>
      </c>
      <c r="C99" s="5">
        <v>14303.86</v>
      </c>
      <c r="D99" s="5">
        <v>18329.28</v>
      </c>
      <c r="E99" s="5">
        <v>275343.21999999997</v>
      </c>
      <c r="F99" s="5">
        <v>281867.34000000003</v>
      </c>
      <c r="G99" s="5">
        <v>279333.88</v>
      </c>
      <c r="H99" s="5"/>
      <c r="I99" s="5"/>
      <c r="J99" s="6"/>
    </row>
    <row r="100" spans="1:10">
      <c r="A100" s="9" t="s">
        <v>12</v>
      </c>
      <c r="B100" s="5">
        <v>1122.78</v>
      </c>
      <c r="C100" s="5">
        <v>3410.26</v>
      </c>
      <c r="D100" s="5">
        <v>2750.54</v>
      </c>
      <c r="E100" s="5">
        <v>69654.009999999995</v>
      </c>
      <c r="F100" s="5">
        <v>67473.7</v>
      </c>
      <c r="G100" s="5">
        <v>67836.55</v>
      </c>
      <c r="H100" s="5"/>
      <c r="I100" s="5"/>
      <c r="J100" s="6"/>
    </row>
    <row r="101" spans="1:10">
      <c r="A101" s="9" t="s">
        <v>13</v>
      </c>
      <c r="B101" s="5">
        <v>0</v>
      </c>
      <c r="C101" s="5">
        <v>0</v>
      </c>
      <c r="D101" s="5">
        <v>0</v>
      </c>
      <c r="E101" s="5">
        <v>8474.92</v>
      </c>
      <c r="F101" s="5">
        <v>3222.6</v>
      </c>
      <c r="G101" s="5">
        <v>7168.33</v>
      </c>
      <c r="H101" s="5"/>
      <c r="I101" s="5"/>
      <c r="J101" s="6"/>
    </row>
    <row r="102" spans="1:10">
      <c r="A102" s="9" t="s">
        <v>14</v>
      </c>
      <c r="B102" s="5">
        <v>0</v>
      </c>
      <c r="C102" s="5">
        <v>0</v>
      </c>
      <c r="D102" s="5">
        <v>0</v>
      </c>
      <c r="E102" s="5">
        <v>1215.28</v>
      </c>
      <c r="F102" s="5">
        <v>782.08</v>
      </c>
      <c r="G102" s="5">
        <v>0</v>
      </c>
      <c r="H102" s="5"/>
      <c r="I102" s="5"/>
      <c r="J102" s="6"/>
    </row>
    <row r="103" spans="1:10">
      <c r="A103" s="9" t="s">
        <v>15</v>
      </c>
      <c r="B103" s="5">
        <v>0</v>
      </c>
      <c r="C103" s="5">
        <v>0</v>
      </c>
      <c r="D103" s="5">
        <v>0</v>
      </c>
      <c r="E103" s="5">
        <v>3574.6</v>
      </c>
      <c r="F103" s="5">
        <v>704.54</v>
      </c>
      <c r="G103" s="5">
        <v>680.04</v>
      </c>
      <c r="H103" s="5"/>
      <c r="I103" s="5"/>
      <c r="J103" s="6"/>
    </row>
    <row r="104" spans="1:10">
      <c r="A104" s="9" t="s">
        <v>41</v>
      </c>
      <c r="B104" s="5">
        <v>0</v>
      </c>
      <c r="C104" s="5">
        <v>0</v>
      </c>
      <c r="D104" s="5">
        <v>0</v>
      </c>
      <c r="E104" s="5">
        <v>799.12</v>
      </c>
      <c r="F104" s="5">
        <v>769.46</v>
      </c>
      <c r="G104" s="5">
        <v>0</v>
      </c>
      <c r="H104" s="5"/>
      <c r="I104" s="5"/>
      <c r="J104" s="6"/>
    </row>
    <row r="105" spans="1:10">
      <c r="A105" s="9" t="s">
        <v>42</v>
      </c>
      <c r="B105" s="5">
        <v>0</v>
      </c>
      <c r="C105" s="5">
        <v>0</v>
      </c>
      <c r="D105" s="5">
        <v>0</v>
      </c>
      <c r="E105" s="5">
        <v>5939.06</v>
      </c>
      <c r="F105" s="5">
        <v>2843.13</v>
      </c>
      <c r="G105" s="5">
        <v>0</v>
      </c>
      <c r="H105" s="5"/>
      <c r="I105" s="5"/>
      <c r="J105" s="6"/>
    </row>
    <row r="106" spans="1:10">
      <c r="A106" s="9" t="s">
        <v>43</v>
      </c>
      <c r="B106" s="5">
        <v>764.26</v>
      </c>
      <c r="C106" s="5">
        <v>0</v>
      </c>
      <c r="D106" s="5">
        <v>0</v>
      </c>
      <c r="E106" s="5">
        <v>9927.69</v>
      </c>
      <c r="F106" s="5">
        <v>5886.05</v>
      </c>
      <c r="G106" s="5">
        <v>1777.96</v>
      </c>
      <c r="H106" s="5"/>
      <c r="I106" s="5"/>
      <c r="J106" s="6"/>
    </row>
    <row r="107" spans="1:10">
      <c r="A107" s="9" t="s">
        <v>44</v>
      </c>
      <c r="B107" s="5">
        <v>0</v>
      </c>
      <c r="C107" s="5">
        <v>0</v>
      </c>
      <c r="D107" s="5">
        <v>0</v>
      </c>
      <c r="E107" s="5">
        <v>699.94</v>
      </c>
      <c r="F107" s="5">
        <v>0</v>
      </c>
      <c r="G107" s="5">
        <v>0</v>
      </c>
      <c r="H107" s="5"/>
      <c r="I107" s="5"/>
      <c r="J107" s="6"/>
    </row>
    <row r="108" spans="1:10">
      <c r="A108" s="9" t="s">
        <v>45</v>
      </c>
      <c r="B108" s="5">
        <v>3602.95</v>
      </c>
      <c r="C108" s="5">
        <v>3871.26</v>
      </c>
      <c r="D108" s="5">
        <v>5304.3</v>
      </c>
      <c r="E108" s="5">
        <v>3787.54</v>
      </c>
      <c r="F108" s="5">
        <v>4095.97</v>
      </c>
      <c r="G108" s="5">
        <v>2830.61</v>
      </c>
      <c r="H108" s="5"/>
      <c r="I108" s="5"/>
      <c r="J108" s="6"/>
    </row>
    <row r="109" spans="1:10">
      <c r="A109" s="9" t="s">
        <v>46</v>
      </c>
      <c r="B109" s="5">
        <v>54715.1</v>
      </c>
      <c r="C109" s="5">
        <v>46147.14</v>
      </c>
      <c r="D109" s="5">
        <v>47129.760000000002</v>
      </c>
      <c r="E109" s="5">
        <v>47974.68</v>
      </c>
      <c r="F109" s="5">
        <v>43504.65</v>
      </c>
      <c r="G109" s="5">
        <v>39563.86</v>
      </c>
      <c r="H109" s="5"/>
      <c r="I109" s="5"/>
      <c r="J109" s="6"/>
    </row>
    <row r="110" spans="1:10">
      <c r="A110" s="9" t="s">
        <v>47</v>
      </c>
      <c r="B110" s="5">
        <v>254830.61</v>
      </c>
      <c r="C110" s="5">
        <v>190920.62</v>
      </c>
      <c r="D110" s="5">
        <v>194584.5</v>
      </c>
      <c r="E110" s="5">
        <v>186884.86</v>
      </c>
      <c r="F110" s="5">
        <v>180619.69</v>
      </c>
      <c r="G110" s="5">
        <v>158764.57999999999</v>
      </c>
      <c r="H110" s="5"/>
      <c r="I110" s="5"/>
      <c r="J110" s="6"/>
    </row>
    <row r="111" spans="1:10">
      <c r="A111" s="9" t="s">
        <v>48</v>
      </c>
      <c r="B111" s="5">
        <v>366147.38</v>
      </c>
      <c r="C111" s="5">
        <v>272963.12</v>
      </c>
      <c r="D111" s="5">
        <v>293523.59000000003</v>
      </c>
      <c r="E111" s="5">
        <v>315607.53000000003</v>
      </c>
      <c r="F111" s="5">
        <v>263980.96999999997</v>
      </c>
      <c r="G111" s="5">
        <v>235457.61</v>
      </c>
      <c r="H111" s="5"/>
      <c r="I111" s="5"/>
      <c r="J111" s="6"/>
    </row>
    <row r="112" spans="1:10">
      <c r="A112" s="9"/>
      <c r="B112" s="5"/>
      <c r="C112" s="5"/>
      <c r="D112" s="5"/>
      <c r="E112" s="5"/>
      <c r="F112" s="5"/>
      <c r="G112" s="5"/>
      <c r="H112" s="5"/>
      <c r="I112" s="5"/>
      <c r="J112" s="6"/>
    </row>
    <row r="113" spans="1:10" ht="15.75" thickBot="1">
      <c r="A113" s="10" t="s">
        <v>93</v>
      </c>
      <c r="B113" s="7">
        <f t="shared" ref="B113:G113" si="9">SUM(B100:B111)/SUM(B98:B99)</f>
        <v>6.4289708021019809</v>
      </c>
      <c r="C113" s="7">
        <f t="shared" si="9"/>
        <v>5.4869815388127021</v>
      </c>
      <c r="D113" s="7">
        <f t="shared" si="9"/>
        <v>4.3974735838434986</v>
      </c>
      <c r="E113" s="7">
        <f t="shared" si="9"/>
        <v>0.32071117725972703</v>
      </c>
      <c r="F113" s="7">
        <f t="shared" si="9"/>
        <v>0.28705843650105528</v>
      </c>
      <c r="G113" s="7">
        <f t="shared" si="9"/>
        <v>0.24983838103573361</v>
      </c>
      <c r="H113" s="7"/>
      <c r="I113" s="7"/>
      <c r="J113" s="8"/>
    </row>
    <row r="114" spans="1:10" ht="15.75" thickBo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5.75" thickBot="1">
      <c r="A115" s="17" t="s">
        <v>23</v>
      </c>
      <c r="B115" s="83" t="s">
        <v>70</v>
      </c>
      <c r="C115" s="83"/>
      <c r="D115" s="83"/>
      <c r="E115" s="83"/>
      <c r="F115" s="83"/>
      <c r="G115" s="83"/>
      <c r="H115" s="83"/>
      <c r="I115" s="83"/>
      <c r="J115" s="84"/>
    </row>
    <row r="116" spans="1:10" ht="15.75" thickBot="1">
      <c r="A116" s="16"/>
      <c r="B116" s="18"/>
      <c r="C116" s="18"/>
      <c r="D116" s="18"/>
      <c r="E116" s="18"/>
      <c r="F116" s="18"/>
      <c r="G116" s="18"/>
      <c r="H116" s="18"/>
      <c r="I116" s="18"/>
      <c r="J116" s="18"/>
    </row>
    <row r="117" spans="1:10" ht="15.75" thickBot="1">
      <c r="A117" s="27" t="s">
        <v>23</v>
      </c>
      <c r="B117" s="83" t="s">
        <v>70</v>
      </c>
      <c r="C117" s="83"/>
      <c r="D117" s="83"/>
      <c r="E117" s="83"/>
      <c r="F117" s="83"/>
      <c r="G117" s="83"/>
      <c r="H117" s="83"/>
      <c r="I117" s="83"/>
      <c r="J117" s="84"/>
    </row>
    <row r="118" spans="1:10" ht="15.75" thickBot="1"/>
    <row r="119" spans="1:10">
      <c r="A119" s="14" t="s">
        <v>49</v>
      </c>
      <c r="B119" s="12" t="s">
        <v>1</v>
      </c>
      <c r="C119" s="12" t="s">
        <v>2</v>
      </c>
      <c r="D119" s="12" t="s">
        <v>3</v>
      </c>
      <c r="E119" s="12" t="s">
        <v>4</v>
      </c>
      <c r="F119" s="12" t="s">
        <v>5</v>
      </c>
      <c r="G119" s="12" t="s">
        <v>6</v>
      </c>
      <c r="H119" s="12" t="s">
        <v>7</v>
      </c>
      <c r="I119" s="12" t="s">
        <v>8</v>
      </c>
      <c r="J119" s="13" t="s">
        <v>9</v>
      </c>
    </row>
    <row r="120" spans="1:10">
      <c r="A120" s="9" t="s">
        <v>10</v>
      </c>
      <c r="B120" s="5">
        <v>451014.91</v>
      </c>
      <c r="C120" s="5">
        <v>483862.16</v>
      </c>
      <c r="D120" s="5">
        <v>511939.88</v>
      </c>
      <c r="E120" s="5">
        <v>2611337.25</v>
      </c>
      <c r="F120" s="5">
        <v>2291691.75</v>
      </c>
      <c r="G120" s="5">
        <v>2393430.75</v>
      </c>
      <c r="H120" s="5">
        <v>12071844</v>
      </c>
      <c r="I120" s="5">
        <v>12137517</v>
      </c>
      <c r="J120" s="6">
        <v>13166075</v>
      </c>
    </row>
    <row r="121" spans="1:10">
      <c r="A121" s="9" t="s">
        <v>11</v>
      </c>
      <c r="B121" s="5">
        <v>25349.61</v>
      </c>
      <c r="C121" s="5">
        <v>28170.400000000001</v>
      </c>
      <c r="D121" s="5">
        <v>28359.91</v>
      </c>
      <c r="E121" s="5">
        <v>134235.10999999999</v>
      </c>
      <c r="F121" s="5">
        <v>129633</v>
      </c>
      <c r="G121" s="5">
        <v>141937.62</v>
      </c>
      <c r="H121" s="5">
        <v>699984.06</v>
      </c>
      <c r="I121" s="5">
        <v>668592.56000000006</v>
      </c>
      <c r="J121" s="6">
        <v>753851.06</v>
      </c>
    </row>
    <row r="122" spans="1:10">
      <c r="A122" s="9" t="s">
        <v>12</v>
      </c>
      <c r="B122" s="5">
        <v>0</v>
      </c>
      <c r="C122" s="5">
        <v>3254.99</v>
      </c>
      <c r="D122" s="5">
        <v>0</v>
      </c>
      <c r="E122" s="5">
        <v>0</v>
      </c>
      <c r="F122" s="5">
        <v>9586.92</v>
      </c>
      <c r="G122" s="5">
        <v>0</v>
      </c>
      <c r="H122" s="5">
        <v>0</v>
      </c>
      <c r="I122" s="5">
        <v>0</v>
      </c>
      <c r="J122" s="6">
        <v>0</v>
      </c>
    </row>
    <row r="123" spans="1:10">
      <c r="A123" s="9" t="s">
        <v>13</v>
      </c>
      <c r="B123" s="5">
        <v>3772.98</v>
      </c>
      <c r="C123" s="5">
        <v>2998.09</v>
      </c>
      <c r="D123" s="5">
        <v>6450.37</v>
      </c>
      <c r="E123" s="5">
        <v>6128.73</v>
      </c>
      <c r="F123" s="5">
        <v>3456.8</v>
      </c>
      <c r="G123" s="5">
        <v>0</v>
      </c>
      <c r="H123" s="5">
        <v>11747.16</v>
      </c>
      <c r="I123" s="5">
        <v>6048.11</v>
      </c>
      <c r="J123" s="6">
        <v>6938.35</v>
      </c>
    </row>
    <row r="124" spans="1:10">
      <c r="A124" s="9" t="s">
        <v>14</v>
      </c>
      <c r="B124" s="5">
        <v>286457.28000000003</v>
      </c>
      <c r="C124" s="5">
        <v>311410.15999999997</v>
      </c>
      <c r="D124" s="5">
        <v>314031.09000000003</v>
      </c>
      <c r="E124" s="5">
        <v>308377.40999999997</v>
      </c>
      <c r="F124" s="5">
        <v>319415.65999999997</v>
      </c>
      <c r="G124" s="5">
        <v>341273</v>
      </c>
      <c r="H124" s="5">
        <v>264251.34000000003</v>
      </c>
      <c r="I124" s="5">
        <v>299227.75</v>
      </c>
      <c r="J124" s="6">
        <v>342957.59</v>
      </c>
    </row>
    <row r="125" spans="1:10">
      <c r="A125" s="9" t="s">
        <v>15</v>
      </c>
      <c r="B125" s="5">
        <v>6608484.5</v>
      </c>
      <c r="C125" s="5">
        <v>7180867.5</v>
      </c>
      <c r="D125" s="5">
        <v>7136844</v>
      </c>
      <c r="E125" s="5">
        <v>7026338.5</v>
      </c>
      <c r="F125" s="5">
        <v>7415492</v>
      </c>
      <c r="G125" s="5">
        <v>7676547.5</v>
      </c>
      <c r="H125" s="5">
        <v>6550492</v>
      </c>
      <c r="I125" s="5">
        <v>6746780.5</v>
      </c>
      <c r="J125" s="6">
        <v>7646582.5</v>
      </c>
    </row>
    <row r="126" spans="1:10">
      <c r="A126" s="9"/>
      <c r="B126" s="5"/>
      <c r="C126" s="5"/>
      <c r="D126" s="5"/>
      <c r="E126" s="5"/>
      <c r="F126" s="5"/>
      <c r="G126" s="5"/>
      <c r="H126" s="5"/>
      <c r="I126" s="5"/>
      <c r="J126" s="6"/>
    </row>
    <row r="127" spans="1:10" ht="15.75" thickBot="1">
      <c r="A127" s="10" t="s">
        <v>93</v>
      </c>
      <c r="B127" s="7">
        <f t="shared" ref="B127:J127" si="10">SUM(B122:B125)/SUM(B120:B121)</f>
        <v>14.482007937954743</v>
      </c>
      <c r="C127" s="7">
        <f t="shared" si="10"/>
        <v>14.644636544207268</v>
      </c>
      <c r="D127" s="7">
        <f t="shared" si="10"/>
        <v>13.802199441906131</v>
      </c>
      <c r="E127" s="7">
        <f t="shared" si="10"/>
        <v>2.6737028486111361</v>
      </c>
      <c r="F127" s="7">
        <f t="shared" si="10"/>
        <v>3.199881131186554</v>
      </c>
      <c r="G127" s="7">
        <f t="shared" si="10"/>
        <v>3.1623887853424626</v>
      </c>
      <c r="H127" s="7">
        <f t="shared" si="10"/>
        <v>0.53449596000903254</v>
      </c>
      <c r="I127" s="7">
        <f t="shared" si="10"/>
        <v>0.55067905884759583</v>
      </c>
      <c r="J127" s="8">
        <f t="shared" si="10"/>
        <v>0.5744627094664323</v>
      </c>
    </row>
    <row r="128" spans="1:10" ht="15.75" thickBot="1"/>
    <row r="129" spans="1:10">
      <c r="A129" s="25" t="s">
        <v>49</v>
      </c>
      <c r="B129" s="12" t="s">
        <v>1</v>
      </c>
      <c r="C129" s="12" t="s">
        <v>2</v>
      </c>
      <c r="D129" s="12" t="s">
        <v>3</v>
      </c>
      <c r="E129" s="12" t="s">
        <v>7</v>
      </c>
      <c r="F129" s="12" t="s">
        <v>8</v>
      </c>
      <c r="G129" s="12" t="s">
        <v>9</v>
      </c>
      <c r="H129" s="12"/>
      <c r="I129" s="12"/>
      <c r="J129" s="13"/>
    </row>
    <row r="130" spans="1:10">
      <c r="A130" s="9" t="s">
        <v>10</v>
      </c>
      <c r="B130" s="5">
        <v>818070.5</v>
      </c>
      <c r="C130" s="5">
        <v>755307.81</v>
      </c>
      <c r="D130" s="5">
        <v>963196</v>
      </c>
      <c r="E130" s="5">
        <v>16288131</v>
      </c>
      <c r="F130" s="5">
        <v>15989117</v>
      </c>
      <c r="G130" s="5">
        <v>17236458</v>
      </c>
      <c r="H130" s="5"/>
      <c r="I130" s="5"/>
      <c r="J130" s="6"/>
    </row>
    <row r="131" spans="1:10">
      <c r="A131" s="9" t="s">
        <v>11</v>
      </c>
      <c r="B131" s="5">
        <v>54746.32</v>
      </c>
      <c r="C131" s="5">
        <v>37712.11</v>
      </c>
      <c r="D131" s="5">
        <v>47264.01</v>
      </c>
      <c r="E131" s="5">
        <v>956252.69</v>
      </c>
      <c r="F131" s="5">
        <v>920564.06</v>
      </c>
      <c r="G131" s="5">
        <v>981897.25</v>
      </c>
      <c r="H131" s="5"/>
      <c r="I131" s="5"/>
      <c r="J131" s="6"/>
    </row>
    <row r="132" spans="1:10">
      <c r="A132" s="9" t="s">
        <v>13</v>
      </c>
      <c r="B132" s="5">
        <v>3652.21</v>
      </c>
      <c r="C132" s="5">
        <v>4092.27</v>
      </c>
      <c r="D132" s="5">
        <v>3370.01</v>
      </c>
      <c r="E132" s="5">
        <v>2153.5300000000002</v>
      </c>
      <c r="F132" s="5">
        <v>16439.48</v>
      </c>
      <c r="G132" s="5">
        <v>0</v>
      </c>
      <c r="H132" s="5"/>
      <c r="I132" s="5"/>
      <c r="J132" s="6"/>
    </row>
    <row r="133" spans="1:10">
      <c r="A133" s="9" t="s">
        <v>14</v>
      </c>
      <c r="B133" s="5">
        <v>300164.88</v>
      </c>
      <c r="C133" s="5">
        <v>337598.97</v>
      </c>
      <c r="D133" s="5">
        <v>279554.44</v>
      </c>
      <c r="E133" s="5">
        <v>277503.78000000003</v>
      </c>
      <c r="F133" s="5">
        <v>303556.53000000003</v>
      </c>
      <c r="G133" s="5">
        <v>279055.5</v>
      </c>
      <c r="H133" s="5"/>
      <c r="I133" s="5"/>
      <c r="J133" s="6"/>
    </row>
    <row r="134" spans="1:10">
      <c r="A134" s="9" t="s">
        <v>15</v>
      </c>
      <c r="B134" s="5">
        <v>6831481.5</v>
      </c>
      <c r="C134" s="5">
        <v>7496028.5</v>
      </c>
      <c r="D134" s="5">
        <v>6343332</v>
      </c>
      <c r="E134" s="5">
        <v>6833294.5</v>
      </c>
      <c r="F134" s="5">
        <v>7192377.5</v>
      </c>
      <c r="G134" s="5">
        <v>6286120.5</v>
      </c>
      <c r="H134" s="5"/>
      <c r="I134" s="5"/>
      <c r="J134" s="6"/>
    </row>
    <row r="135" spans="1:10">
      <c r="A135" s="9"/>
      <c r="B135" s="5"/>
      <c r="C135" s="5"/>
      <c r="D135" s="5"/>
      <c r="E135" s="5"/>
      <c r="F135" s="5"/>
      <c r="G135" s="5"/>
      <c r="H135" s="5"/>
      <c r="I135" s="5"/>
      <c r="J135" s="6"/>
    </row>
    <row r="136" spans="1:10" ht="15.75" thickBot="1">
      <c r="A136" s="10" t="s">
        <v>93</v>
      </c>
      <c r="B136" s="7">
        <f t="shared" ref="B136:G136" si="11">SUM(B132:B134)/SUM(B130:B131)</f>
        <v>8.175024159135706</v>
      </c>
      <c r="C136" s="7">
        <f t="shared" si="11"/>
        <v>9.8833831815977575</v>
      </c>
      <c r="D136" s="7">
        <f t="shared" si="11"/>
        <v>6.5576632270682342</v>
      </c>
      <c r="E136" s="7">
        <f t="shared" si="11"/>
        <v>0.4124793287987899</v>
      </c>
      <c r="F136" s="7">
        <f t="shared" si="11"/>
        <v>0.44426464835996143</v>
      </c>
      <c r="G136" s="7">
        <f t="shared" si="11"/>
        <v>0.36036052156793902</v>
      </c>
      <c r="H136" s="7"/>
      <c r="I136" s="7"/>
      <c r="J136" s="8"/>
    </row>
    <row r="137" spans="1:10" ht="15.75" thickBo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15" t="s">
        <v>49</v>
      </c>
      <c r="B138" s="12" t="s">
        <v>57</v>
      </c>
      <c r="C138" s="12" t="s">
        <v>58</v>
      </c>
      <c r="D138" s="12" t="s">
        <v>59</v>
      </c>
      <c r="E138" s="12" t="s">
        <v>60</v>
      </c>
      <c r="F138" s="12" t="s">
        <v>61</v>
      </c>
      <c r="G138" s="12" t="s">
        <v>62</v>
      </c>
      <c r="H138" s="12" t="s">
        <v>63</v>
      </c>
      <c r="I138" s="12" t="s">
        <v>64</v>
      </c>
      <c r="J138" s="13" t="s">
        <v>65</v>
      </c>
    </row>
    <row r="139" spans="1:10">
      <c r="A139" s="9" t="s">
        <v>10</v>
      </c>
      <c r="B139" s="5">
        <v>224382.56</v>
      </c>
      <c r="C139" s="5">
        <v>241685.2</v>
      </c>
      <c r="D139" s="5">
        <v>250692.55</v>
      </c>
      <c r="E139" s="5">
        <v>1248916</v>
      </c>
      <c r="F139" s="5">
        <v>1263116.8799999999</v>
      </c>
      <c r="G139" s="5">
        <v>1234925.6200000001</v>
      </c>
      <c r="H139" s="5">
        <v>6665648.5</v>
      </c>
      <c r="I139" s="5">
        <v>6940637.5</v>
      </c>
      <c r="J139" s="6">
        <v>6608896.5</v>
      </c>
    </row>
    <row r="140" spans="1:10">
      <c r="A140" s="9" t="s">
        <v>11</v>
      </c>
      <c r="B140" s="5">
        <v>13525.32</v>
      </c>
      <c r="C140" s="5">
        <v>5676.51</v>
      </c>
      <c r="D140" s="5">
        <v>10227.17</v>
      </c>
      <c r="E140" s="5">
        <v>58123.839999999997</v>
      </c>
      <c r="F140" s="5">
        <v>65792.39</v>
      </c>
      <c r="G140" s="5">
        <v>65372.11</v>
      </c>
      <c r="H140" s="5">
        <v>327228.71999999997</v>
      </c>
      <c r="I140" s="5">
        <v>350954.47</v>
      </c>
      <c r="J140" s="6">
        <v>324103.5</v>
      </c>
    </row>
    <row r="141" spans="1:10">
      <c r="A141" s="9" t="s">
        <v>12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6">
        <v>2521.41</v>
      </c>
    </row>
    <row r="142" spans="1:10">
      <c r="A142" s="9" t="s">
        <v>13</v>
      </c>
      <c r="B142" s="5">
        <v>2354.9699999999998</v>
      </c>
      <c r="C142" s="5">
        <v>2680.71</v>
      </c>
      <c r="D142" s="5">
        <v>0</v>
      </c>
      <c r="E142" s="5">
        <v>0</v>
      </c>
      <c r="F142" s="5">
        <v>3910.99</v>
      </c>
      <c r="G142" s="5">
        <v>0</v>
      </c>
      <c r="H142" s="5">
        <v>0</v>
      </c>
      <c r="I142" s="5">
        <v>0</v>
      </c>
      <c r="J142" s="6">
        <v>0</v>
      </c>
    </row>
    <row r="143" spans="1:10">
      <c r="A143" s="9" t="s">
        <v>14</v>
      </c>
      <c r="B143" s="5">
        <v>150132.94</v>
      </c>
      <c r="C143" s="5">
        <v>147607.75</v>
      </c>
      <c r="D143" s="5">
        <v>166254.54999999999</v>
      </c>
      <c r="E143" s="5">
        <v>130278.16</v>
      </c>
      <c r="F143" s="5">
        <v>153698.59</v>
      </c>
      <c r="G143" s="5">
        <v>153168.23000000001</v>
      </c>
      <c r="H143" s="5">
        <v>127440.04</v>
      </c>
      <c r="I143" s="5">
        <v>129116.06</v>
      </c>
      <c r="J143" s="6">
        <v>133677.23000000001</v>
      </c>
    </row>
    <row r="144" spans="1:10">
      <c r="A144" s="9" t="s">
        <v>15</v>
      </c>
      <c r="B144" s="5">
        <v>3554340.25</v>
      </c>
      <c r="C144" s="5">
        <v>4074418.25</v>
      </c>
      <c r="D144" s="5">
        <v>3872212.75</v>
      </c>
      <c r="E144" s="5">
        <v>3514470.25</v>
      </c>
      <c r="F144" s="5">
        <v>3998208.75</v>
      </c>
      <c r="G144" s="5">
        <v>4264619.5</v>
      </c>
      <c r="H144" s="5">
        <v>3360935.25</v>
      </c>
      <c r="I144" s="5">
        <v>3660460.25</v>
      </c>
      <c r="J144" s="6">
        <v>3766223.75</v>
      </c>
    </row>
    <row r="145" spans="1:10">
      <c r="A145" s="9"/>
      <c r="B145" s="5"/>
      <c r="C145" s="5"/>
      <c r="D145" s="5"/>
      <c r="E145" s="5"/>
      <c r="F145" s="5"/>
      <c r="G145" s="5"/>
      <c r="H145" s="5"/>
      <c r="I145" s="5"/>
      <c r="J145" s="6"/>
    </row>
    <row r="146" spans="1:10" ht="15.75" thickBot="1">
      <c r="A146" s="10" t="s">
        <v>93</v>
      </c>
      <c r="B146" s="7">
        <f t="shared" ref="B146:J146" si="12">SUM(B141:B144)/SUM(B139:B140)</f>
        <v>15.580938975203344</v>
      </c>
      <c r="C146" s="7">
        <f t="shared" si="12"/>
        <v>17.079064945015134</v>
      </c>
      <c r="D146" s="7">
        <f t="shared" si="12"/>
        <v>15.477815551848668</v>
      </c>
      <c r="E146" s="7">
        <f t="shared" si="12"/>
        <v>2.7885518853044293</v>
      </c>
      <c r="F146" s="7">
        <f t="shared" si="12"/>
        <v>3.1272400786247814</v>
      </c>
      <c r="G146" s="7">
        <f t="shared" si="12"/>
        <v>3.3975201433290203</v>
      </c>
      <c r="H146" s="7">
        <f t="shared" si="12"/>
        <v>0.49884692384174312</v>
      </c>
      <c r="I146" s="7">
        <f t="shared" si="12"/>
        <v>0.51971864657149769</v>
      </c>
      <c r="J146" s="8">
        <f t="shared" si="12"/>
        <v>0.56287644454060293</v>
      </c>
    </row>
    <row r="147" spans="1:10" ht="15.75" thickBo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15" t="s">
        <v>83</v>
      </c>
      <c r="B148" s="12" t="s">
        <v>74</v>
      </c>
      <c r="C148" s="12" t="s">
        <v>75</v>
      </c>
      <c r="D148" s="12" t="s">
        <v>76</v>
      </c>
      <c r="E148" s="12"/>
      <c r="F148" s="20"/>
      <c r="G148" s="20"/>
      <c r="H148" s="20"/>
      <c r="I148" s="20"/>
      <c r="J148" s="21"/>
    </row>
    <row r="149" spans="1:10">
      <c r="A149" s="9" t="s">
        <v>10</v>
      </c>
      <c r="B149" s="5">
        <v>1321095.3799999999</v>
      </c>
      <c r="C149" s="5">
        <v>1281915.8799999999</v>
      </c>
      <c r="D149" s="5">
        <v>1220675</v>
      </c>
      <c r="E149" s="5"/>
      <c r="F149" s="19"/>
      <c r="G149" s="19"/>
      <c r="H149" s="19"/>
      <c r="I149" s="19"/>
      <c r="J149" s="22"/>
    </row>
    <row r="150" spans="1:10">
      <c r="A150" s="9" t="s">
        <v>11</v>
      </c>
      <c r="B150" s="5">
        <v>59397.86</v>
      </c>
      <c r="C150" s="5">
        <v>70852.98</v>
      </c>
      <c r="D150" s="5">
        <v>57185.41</v>
      </c>
      <c r="E150" s="5"/>
      <c r="F150" s="3"/>
      <c r="G150" s="5"/>
      <c r="H150" s="5"/>
      <c r="I150" s="5"/>
      <c r="J150" s="6"/>
    </row>
    <row r="151" spans="1:10">
      <c r="A151" s="9" t="s">
        <v>14</v>
      </c>
      <c r="B151" s="5">
        <v>22382.52</v>
      </c>
      <c r="C151" s="5">
        <v>23636.85</v>
      </c>
      <c r="D151" s="5">
        <v>24028.69</v>
      </c>
      <c r="E151" s="5"/>
      <c r="F151" s="5"/>
      <c r="G151" s="5"/>
      <c r="H151" s="5"/>
      <c r="I151" s="5"/>
      <c r="J151" s="6"/>
    </row>
    <row r="152" spans="1:10">
      <c r="A152" s="9" t="s">
        <v>15</v>
      </c>
      <c r="B152" s="5">
        <v>605903.06000000006</v>
      </c>
      <c r="C152" s="5">
        <v>480739.72</v>
      </c>
      <c r="D152" s="5">
        <v>420327.84</v>
      </c>
      <c r="E152" s="5"/>
      <c r="F152" s="5"/>
      <c r="G152" s="5"/>
      <c r="H152" s="5"/>
      <c r="I152" s="5"/>
      <c r="J152" s="6"/>
    </row>
    <row r="153" spans="1:10">
      <c r="A153" s="9"/>
      <c r="B153" s="5"/>
      <c r="C153" s="5"/>
      <c r="D153" s="5"/>
      <c r="E153" s="5"/>
      <c r="F153" s="5"/>
      <c r="G153" s="5"/>
      <c r="H153" s="5"/>
      <c r="I153" s="5"/>
      <c r="J153" s="6"/>
    </row>
    <row r="154" spans="1:10" ht="15.75" thickBot="1">
      <c r="A154" s="10" t="s">
        <v>78</v>
      </c>
      <c r="B154" s="7">
        <f>SUM(B151:B152)/SUM(B149:B150)</f>
        <v>0.45511673784074458</v>
      </c>
      <c r="C154" s="38">
        <f>SUM(C151:C152)/SUM(C149:C150)</f>
        <v>0.37284756096470167</v>
      </c>
      <c r="D154" s="7">
        <f t="shared" ref="D154" si="13">SUM(D151:D152)/SUM(D149:D150)</f>
        <v>0.34773479679208469</v>
      </c>
      <c r="E154" s="7"/>
      <c r="F154" s="7"/>
      <c r="G154" s="7"/>
      <c r="H154" s="7"/>
      <c r="I154" s="7"/>
      <c r="J154" s="8"/>
    </row>
    <row r="155" spans="1:10" ht="15.75" thickBo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26" t="s">
        <v>49</v>
      </c>
      <c r="B156" s="12" t="s">
        <v>57</v>
      </c>
      <c r="C156" s="12" t="s">
        <v>58</v>
      </c>
      <c r="D156" s="12" t="s">
        <v>59</v>
      </c>
      <c r="E156" s="12" t="s">
        <v>63</v>
      </c>
      <c r="F156" s="12" t="s">
        <v>64</v>
      </c>
      <c r="G156" s="12" t="s">
        <v>65</v>
      </c>
      <c r="H156" s="12"/>
      <c r="I156" s="12"/>
      <c r="J156" s="13"/>
    </row>
    <row r="157" spans="1:10">
      <c r="A157" s="9" t="s">
        <v>10</v>
      </c>
      <c r="B157" s="5">
        <v>464765.78</v>
      </c>
      <c r="C157" s="5">
        <v>297548.03000000003</v>
      </c>
      <c r="D157" s="5">
        <v>466118.59</v>
      </c>
      <c r="E157" s="5">
        <v>8672435</v>
      </c>
      <c r="F157" s="5">
        <v>8817429</v>
      </c>
      <c r="G157" s="5">
        <v>8985385</v>
      </c>
      <c r="H157" s="5"/>
      <c r="I157" s="5"/>
      <c r="J157" s="6"/>
    </row>
    <row r="158" spans="1:10">
      <c r="A158" s="9" t="s">
        <v>11</v>
      </c>
      <c r="B158" s="5">
        <v>15385.04</v>
      </c>
      <c r="C158" s="5">
        <v>16065.32</v>
      </c>
      <c r="D158" s="5">
        <v>20604.79</v>
      </c>
      <c r="E158" s="5">
        <v>442899.97</v>
      </c>
      <c r="F158" s="5">
        <v>462935.38</v>
      </c>
      <c r="G158" s="5">
        <v>432060.25</v>
      </c>
      <c r="H158" s="5"/>
      <c r="I158" s="5"/>
      <c r="J158" s="6"/>
    </row>
    <row r="159" spans="1:10">
      <c r="A159" s="9" t="s">
        <v>13</v>
      </c>
      <c r="B159" s="5">
        <v>3136.03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/>
      <c r="I159" s="5"/>
      <c r="J159" s="6"/>
    </row>
    <row r="160" spans="1:10">
      <c r="A160" s="9" t="s">
        <v>14</v>
      </c>
      <c r="B160" s="5">
        <v>164283.29999999999</v>
      </c>
      <c r="C160" s="5">
        <v>153183.07999999999</v>
      </c>
      <c r="D160" s="5">
        <v>154291.32999999999</v>
      </c>
      <c r="E160" s="5">
        <v>154211.20000000001</v>
      </c>
      <c r="F160" s="5">
        <v>155468.67000000001</v>
      </c>
      <c r="G160" s="5">
        <v>114135.4</v>
      </c>
      <c r="H160" s="5"/>
      <c r="I160" s="5"/>
      <c r="J160" s="6"/>
    </row>
    <row r="161" spans="1:10">
      <c r="A161" s="9" t="s">
        <v>15</v>
      </c>
      <c r="B161" s="5">
        <v>3910348.75</v>
      </c>
      <c r="C161" s="5">
        <v>4024995.25</v>
      </c>
      <c r="D161" s="5">
        <v>3524643.25</v>
      </c>
      <c r="E161" s="5">
        <v>3471012.75</v>
      </c>
      <c r="F161" s="5">
        <v>3722797</v>
      </c>
      <c r="G161" s="5">
        <v>3117153</v>
      </c>
      <c r="H161" s="5"/>
      <c r="I161" s="5"/>
      <c r="J161" s="6"/>
    </row>
    <row r="162" spans="1:10">
      <c r="A162" s="9"/>
      <c r="B162" s="5"/>
      <c r="C162" s="5"/>
      <c r="D162" s="5"/>
      <c r="E162" s="5"/>
      <c r="F162" s="5"/>
      <c r="G162" s="5"/>
      <c r="H162" s="5"/>
      <c r="I162" s="5"/>
      <c r="J162" s="6"/>
    </row>
    <row r="163" spans="1:10" ht="15.75" thickBot="1">
      <c r="A163" s="10" t="s">
        <v>93</v>
      </c>
      <c r="B163" s="7">
        <f t="shared" ref="B163:G163" si="14">SUM(B159:B161)/SUM(B157:B158)</f>
        <v>8.4926816953056541</v>
      </c>
      <c r="C163" s="7">
        <f t="shared" si="14"/>
        <v>13.322705586353386</v>
      </c>
      <c r="D163" s="7">
        <f t="shared" si="14"/>
        <v>7.5585737837372839</v>
      </c>
      <c r="E163" s="7">
        <f t="shared" si="14"/>
        <v>0.39770605928703462</v>
      </c>
      <c r="F163" s="7">
        <f t="shared" si="14"/>
        <v>0.41790015038181072</v>
      </c>
      <c r="G163" s="7">
        <f t="shared" si="14"/>
        <v>0.34311730137215291</v>
      </c>
      <c r="H163" s="7"/>
      <c r="I163" s="7"/>
      <c r="J163" s="8"/>
    </row>
    <row r="164" spans="1:10" ht="15.75" thickBo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26" t="s">
        <v>83</v>
      </c>
      <c r="B165" s="12" t="s">
        <v>74</v>
      </c>
      <c r="C165" s="24" t="s">
        <v>75</v>
      </c>
      <c r="D165" s="12" t="s">
        <v>76</v>
      </c>
      <c r="E165" s="12"/>
      <c r="F165" s="20"/>
      <c r="G165" s="20"/>
      <c r="H165" s="20"/>
      <c r="I165" s="12"/>
      <c r="J165" s="13"/>
    </row>
    <row r="166" spans="1:10">
      <c r="A166" s="9" t="s">
        <v>10</v>
      </c>
      <c r="B166" s="5">
        <v>2043780.88</v>
      </c>
      <c r="C166" s="23">
        <v>1688723.62</v>
      </c>
      <c r="D166" s="5">
        <v>1876833.5</v>
      </c>
      <c r="E166" s="5"/>
      <c r="F166" s="19"/>
      <c r="G166" s="19"/>
      <c r="H166" s="19"/>
      <c r="I166" s="5"/>
      <c r="J166" s="6"/>
    </row>
    <row r="167" spans="1:10">
      <c r="A167" s="9" t="s">
        <v>11</v>
      </c>
      <c r="B167" s="5">
        <v>107022.59</v>
      </c>
      <c r="C167" s="23">
        <v>84235.06</v>
      </c>
      <c r="D167" s="5">
        <v>96052.56</v>
      </c>
      <c r="E167" s="5"/>
      <c r="F167" s="3"/>
      <c r="G167" s="5"/>
      <c r="H167" s="5"/>
      <c r="I167" s="5"/>
      <c r="J167" s="6"/>
    </row>
    <row r="168" spans="1:10">
      <c r="A168" s="9" t="s">
        <v>14</v>
      </c>
      <c r="B168" s="5">
        <v>26333.33</v>
      </c>
      <c r="C168" s="23">
        <v>63240.02</v>
      </c>
      <c r="D168" s="5">
        <v>27042.6</v>
      </c>
      <c r="E168" s="5"/>
      <c r="F168" s="5"/>
      <c r="G168" s="5"/>
      <c r="H168" s="5"/>
      <c r="I168" s="5"/>
      <c r="J168" s="6"/>
    </row>
    <row r="169" spans="1:10">
      <c r="A169" s="9" t="s">
        <v>15</v>
      </c>
      <c r="B169" s="5">
        <v>544386.18999999994</v>
      </c>
      <c r="C169" s="23">
        <v>1629602.5</v>
      </c>
      <c r="D169" s="5">
        <v>607163.06000000006</v>
      </c>
      <c r="E169" s="5"/>
      <c r="F169" s="5"/>
      <c r="G169" s="5"/>
      <c r="H169" s="5"/>
      <c r="I169" s="5"/>
      <c r="J169" s="6"/>
    </row>
    <row r="170" spans="1:10">
      <c r="A170" s="9"/>
      <c r="B170" s="5"/>
      <c r="C170" s="23"/>
      <c r="D170" s="5"/>
      <c r="E170" s="5"/>
      <c r="F170" s="5"/>
      <c r="G170" s="5"/>
      <c r="H170" s="5"/>
      <c r="I170" s="5"/>
      <c r="J170" s="6"/>
    </row>
    <row r="171" spans="1:10" ht="15.75" thickBot="1">
      <c r="A171" s="10" t="s">
        <v>93</v>
      </c>
      <c r="B171" s="7">
        <f>SUM(B168:B169)/SUM(B166:B167)</f>
        <v>0.26535177572500379</v>
      </c>
      <c r="C171" s="39">
        <f t="shared" ref="C171:D171" si="15">SUM(C168:C169)/SUM(C166:C167)</f>
        <v>0.95481216742174713</v>
      </c>
      <c r="D171" s="7">
        <f t="shared" si="15"/>
        <v>0.32146086530714296</v>
      </c>
      <c r="E171" s="7"/>
      <c r="F171" s="7"/>
      <c r="G171" s="7"/>
      <c r="H171" s="7"/>
      <c r="I171" s="7"/>
      <c r="J171" s="8"/>
    </row>
    <row r="172" spans="1:10" ht="15.75" thickBot="1"/>
    <row r="173" spans="1:10">
      <c r="A173" s="14" t="s">
        <v>50</v>
      </c>
      <c r="B173" s="12" t="s">
        <v>1</v>
      </c>
      <c r="C173" s="12" t="s">
        <v>2</v>
      </c>
      <c r="D173" s="12" t="s">
        <v>3</v>
      </c>
      <c r="E173" s="12" t="s">
        <v>4</v>
      </c>
      <c r="F173" s="12" t="s">
        <v>5</v>
      </c>
      <c r="G173" s="12" t="s">
        <v>6</v>
      </c>
      <c r="H173" s="12" t="s">
        <v>7</v>
      </c>
      <c r="I173" s="12" t="s">
        <v>8</v>
      </c>
      <c r="J173" s="13" t="s">
        <v>9</v>
      </c>
    </row>
    <row r="174" spans="1:10">
      <c r="A174" s="9" t="s">
        <v>10</v>
      </c>
      <c r="B174" s="5">
        <v>40714.36</v>
      </c>
      <c r="C174" s="5">
        <v>51866.95</v>
      </c>
      <c r="D174" s="5">
        <v>45806.15</v>
      </c>
      <c r="E174" s="5">
        <v>192874.11</v>
      </c>
      <c r="F174" s="5">
        <v>216625.2</v>
      </c>
      <c r="G174" s="5">
        <v>218968.02</v>
      </c>
      <c r="H174" s="5">
        <v>946027.19</v>
      </c>
      <c r="I174" s="5">
        <v>1075875.5</v>
      </c>
      <c r="J174" s="6">
        <v>1179887.8799999999</v>
      </c>
    </row>
    <row r="175" spans="1:10">
      <c r="A175" s="9" t="s">
        <v>11</v>
      </c>
      <c r="B175" s="5">
        <v>0</v>
      </c>
      <c r="C175" s="5">
        <v>0</v>
      </c>
      <c r="D175" s="5">
        <v>0</v>
      </c>
      <c r="E175" s="5">
        <v>4406.74</v>
      </c>
      <c r="F175" s="5">
        <v>10214.209999999999</v>
      </c>
      <c r="G175" s="5">
        <v>10859.34</v>
      </c>
      <c r="H175" s="5">
        <v>56472.5</v>
      </c>
      <c r="I175" s="5">
        <v>50505.77</v>
      </c>
      <c r="J175" s="6">
        <v>58665.71</v>
      </c>
    </row>
    <row r="176" spans="1:10">
      <c r="A176" s="9" t="s">
        <v>13</v>
      </c>
      <c r="B176" s="5">
        <v>0</v>
      </c>
      <c r="C176" s="5">
        <v>2514.7199999999998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6">
        <v>0</v>
      </c>
    </row>
    <row r="177" spans="1:10">
      <c r="A177" s="9" t="s">
        <v>14</v>
      </c>
      <c r="B177" s="5">
        <v>0</v>
      </c>
      <c r="C177" s="5">
        <v>48194.95</v>
      </c>
      <c r="D177" s="5">
        <v>29062.76</v>
      </c>
      <c r="E177" s="5">
        <v>0</v>
      </c>
      <c r="F177" s="5">
        <v>19057.66</v>
      </c>
      <c r="G177" s="5">
        <v>25298</v>
      </c>
      <c r="H177" s="5">
        <v>14902.74</v>
      </c>
      <c r="I177" s="5">
        <v>17337.330000000002</v>
      </c>
      <c r="J177" s="6">
        <v>32358.36</v>
      </c>
    </row>
    <row r="178" spans="1:10">
      <c r="A178" s="9" t="s">
        <v>15</v>
      </c>
      <c r="B178" s="5">
        <v>214479.08</v>
      </c>
      <c r="C178" s="5">
        <v>267361.84000000003</v>
      </c>
      <c r="D178" s="5">
        <v>248853.17</v>
      </c>
      <c r="E178" s="5">
        <v>207142.11</v>
      </c>
      <c r="F178" s="5">
        <v>245708.31</v>
      </c>
      <c r="G178" s="5">
        <v>244663.55</v>
      </c>
      <c r="H178" s="5">
        <v>190637.92</v>
      </c>
      <c r="I178" s="5">
        <v>248494.69</v>
      </c>
      <c r="J178" s="6">
        <v>234282.83</v>
      </c>
    </row>
    <row r="179" spans="1:10">
      <c r="A179" s="9"/>
      <c r="B179" s="5"/>
      <c r="C179" s="5"/>
      <c r="D179" s="5"/>
      <c r="E179" s="5"/>
      <c r="F179" s="5"/>
      <c r="G179" s="5"/>
      <c r="H179" s="5"/>
      <c r="I179" s="5"/>
      <c r="J179" s="6"/>
    </row>
    <row r="180" spans="1:10" ht="15.75" thickBot="1">
      <c r="A180" s="10" t="s">
        <v>93</v>
      </c>
      <c r="B180" s="7">
        <f t="shared" ref="B180:J180" si="16">SUM(B176:B178)/SUM(B174:B175)</f>
        <v>5.267897616467506</v>
      </c>
      <c r="C180" s="7">
        <f t="shared" si="16"/>
        <v>6.1324506260730587</v>
      </c>
      <c r="D180" s="7">
        <f t="shared" si="16"/>
        <v>6.0672187031654046</v>
      </c>
      <c r="E180" s="7">
        <f t="shared" si="16"/>
        <v>1.0499858957420347</v>
      </c>
      <c r="F180" s="7">
        <f t="shared" si="16"/>
        <v>1.1671956385356494</v>
      </c>
      <c r="G180" s="7">
        <f t="shared" si="16"/>
        <v>1.17462755522232</v>
      </c>
      <c r="H180" s="7">
        <f t="shared" si="16"/>
        <v>0.20502815317578804</v>
      </c>
      <c r="I180" s="7">
        <f t="shared" si="16"/>
        <v>0.23600536255365825</v>
      </c>
      <c r="J180" s="8">
        <f t="shared" si="16"/>
        <v>0.21528433824167434</v>
      </c>
    </row>
    <row r="181" spans="1:10" ht="15.75" thickBot="1"/>
    <row r="182" spans="1:10">
      <c r="A182" s="25" t="s">
        <v>50</v>
      </c>
      <c r="B182" s="12" t="s">
        <v>1</v>
      </c>
      <c r="C182" s="12" t="s">
        <v>2</v>
      </c>
      <c r="D182" s="12" t="s">
        <v>3</v>
      </c>
      <c r="E182" s="12" t="s">
        <v>7</v>
      </c>
      <c r="F182" s="12" t="s">
        <v>8</v>
      </c>
      <c r="G182" s="12" t="s">
        <v>9</v>
      </c>
      <c r="H182" s="12"/>
      <c r="I182" s="12"/>
      <c r="J182" s="13"/>
    </row>
    <row r="183" spans="1:10">
      <c r="A183" s="9" t="s">
        <v>10</v>
      </c>
      <c r="B183" s="5">
        <v>65785.53</v>
      </c>
      <c r="C183" s="5">
        <v>67008.91</v>
      </c>
      <c r="D183" s="5">
        <v>102217.77</v>
      </c>
      <c r="E183" s="5">
        <v>1332037.25</v>
      </c>
      <c r="F183" s="5">
        <v>1361878</v>
      </c>
      <c r="G183" s="5">
        <v>1399144.38</v>
      </c>
      <c r="H183" s="5"/>
      <c r="I183" s="5"/>
      <c r="J183" s="6"/>
    </row>
    <row r="184" spans="1:10">
      <c r="A184" s="9" t="s">
        <v>11</v>
      </c>
      <c r="B184" s="5">
        <v>3788.29</v>
      </c>
      <c r="C184" s="5">
        <v>0</v>
      </c>
      <c r="D184" s="5">
        <v>3521.24</v>
      </c>
      <c r="E184" s="5">
        <v>71623.320000000007</v>
      </c>
      <c r="F184" s="5">
        <v>80876.7</v>
      </c>
      <c r="G184" s="5">
        <v>81110.759999999995</v>
      </c>
      <c r="H184" s="5"/>
      <c r="I184" s="5"/>
      <c r="J184" s="6"/>
    </row>
    <row r="185" spans="1:10">
      <c r="A185" s="9" t="s">
        <v>14</v>
      </c>
      <c r="B185" s="5">
        <v>29952.28</v>
      </c>
      <c r="C185" s="5">
        <v>23777.33</v>
      </c>
      <c r="D185" s="5">
        <v>30363.33</v>
      </c>
      <c r="E185" s="5">
        <v>7733.75</v>
      </c>
      <c r="F185" s="5">
        <v>22893.23</v>
      </c>
      <c r="G185" s="5">
        <v>6510.23</v>
      </c>
      <c r="H185" s="5"/>
      <c r="I185" s="5"/>
      <c r="J185" s="6"/>
    </row>
    <row r="186" spans="1:10">
      <c r="A186" s="9" t="s">
        <v>15</v>
      </c>
      <c r="B186" s="5">
        <v>250697.83</v>
      </c>
      <c r="C186" s="5">
        <v>293493.03000000003</v>
      </c>
      <c r="D186" s="5">
        <v>266158.90999999997</v>
      </c>
      <c r="E186" s="5">
        <v>229832.02</v>
      </c>
      <c r="F186" s="5">
        <v>305452.40999999997</v>
      </c>
      <c r="G186" s="5">
        <v>199364.39</v>
      </c>
      <c r="H186" s="5"/>
      <c r="I186" s="5"/>
      <c r="J186" s="6"/>
    </row>
    <row r="187" spans="1:10">
      <c r="A187" s="9"/>
      <c r="B187" s="5"/>
      <c r="C187" s="5"/>
      <c r="D187" s="5"/>
      <c r="E187" s="5"/>
      <c r="F187" s="5"/>
      <c r="G187" s="5"/>
      <c r="H187" s="5"/>
      <c r="I187" s="5"/>
      <c r="J187" s="6"/>
    </row>
    <row r="188" spans="1:10" ht="15.75" thickBot="1">
      <c r="A188" s="10" t="s">
        <v>93</v>
      </c>
      <c r="B188" s="7">
        <f t="shared" ref="B188:G188" si="17">SUM(B185:B186)/SUM(B183:B184)</f>
        <v>4.0338464957077251</v>
      </c>
      <c r="C188" s="7">
        <f t="shared" si="17"/>
        <v>4.7347488565326614</v>
      </c>
      <c r="D188" s="7">
        <f t="shared" si="17"/>
        <v>2.8042842466559876</v>
      </c>
      <c r="E188" s="7">
        <f t="shared" si="17"/>
        <v>0.16924730599221718</v>
      </c>
      <c r="F188" s="7">
        <f t="shared" si="17"/>
        <v>0.22758244350200346</v>
      </c>
      <c r="G188" s="7">
        <f t="shared" si="17"/>
        <v>0.1390804966230349</v>
      </c>
      <c r="H188" s="7"/>
      <c r="I188" s="7"/>
      <c r="J188" s="8"/>
    </row>
    <row r="189" spans="1:10" ht="15.75" thickBo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15" t="s">
        <v>50</v>
      </c>
      <c r="B190" s="12" t="s">
        <v>57</v>
      </c>
      <c r="C190" s="12" t="s">
        <v>58</v>
      </c>
      <c r="D190" s="12" t="s">
        <v>59</v>
      </c>
      <c r="E190" s="12" t="s">
        <v>60</v>
      </c>
      <c r="F190" s="12" t="s">
        <v>61</v>
      </c>
      <c r="G190" s="12" t="s">
        <v>62</v>
      </c>
      <c r="H190" s="12" t="s">
        <v>63</v>
      </c>
      <c r="I190" s="12" t="s">
        <v>64</v>
      </c>
      <c r="J190" s="13" t="s">
        <v>65</v>
      </c>
    </row>
    <row r="191" spans="1:10">
      <c r="A191" s="9" t="s">
        <v>10</v>
      </c>
      <c r="B191" s="5">
        <v>30245.29</v>
      </c>
      <c r="C191" s="5">
        <v>12546.1</v>
      </c>
      <c r="D191" s="5">
        <v>10913.93</v>
      </c>
      <c r="E191" s="5">
        <v>97886</v>
      </c>
      <c r="F191" s="5">
        <v>113931.12</v>
      </c>
      <c r="G191" s="5">
        <v>101565.3</v>
      </c>
      <c r="H191" s="5">
        <v>460530.09</v>
      </c>
      <c r="I191" s="5">
        <v>418659.62</v>
      </c>
      <c r="J191" s="6">
        <v>521543.53</v>
      </c>
    </row>
    <row r="192" spans="1:10">
      <c r="A192" s="9" t="s">
        <v>11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6998.51</v>
      </c>
      <c r="H192" s="5">
        <v>16730.88</v>
      </c>
      <c r="I192" s="5">
        <v>17515.89</v>
      </c>
      <c r="J192" s="6">
        <v>29252.05</v>
      </c>
    </row>
    <row r="193" spans="1:10">
      <c r="A193" s="9" t="s">
        <v>14</v>
      </c>
      <c r="B193" s="5">
        <v>0</v>
      </c>
      <c r="C193" s="5">
        <v>12738.27</v>
      </c>
      <c r="D193" s="5">
        <v>0</v>
      </c>
      <c r="E193" s="5">
        <v>11523.45</v>
      </c>
      <c r="F193" s="5">
        <v>12352.93</v>
      </c>
      <c r="G193" s="5">
        <v>12555.1</v>
      </c>
      <c r="H193" s="5">
        <v>8575.81</v>
      </c>
      <c r="I193" s="5">
        <v>11494.3</v>
      </c>
      <c r="J193" s="6">
        <v>0</v>
      </c>
    </row>
    <row r="194" spans="1:10">
      <c r="A194" s="9" t="s">
        <v>15</v>
      </c>
      <c r="B194" s="5">
        <v>110992</v>
      </c>
      <c r="C194" s="5">
        <v>116632.98</v>
      </c>
      <c r="D194" s="5">
        <v>106261.54</v>
      </c>
      <c r="E194" s="5">
        <v>127873.5</v>
      </c>
      <c r="F194" s="5">
        <v>150614.42000000001</v>
      </c>
      <c r="G194" s="5">
        <v>111925.01</v>
      </c>
      <c r="H194" s="5">
        <v>83949.18</v>
      </c>
      <c r="I194" s="5">
        <v>69788.41</v>
      </c>
      <c r="J194" s="6">
        <v>106197.75</v>
      </c>
    </row>
    <row r="195" spans="1:10">
      <c r="A195" s="9"/>
      <c r="B195" s="5"/>
      <c r="C195" s="5"/>
      <c r="D195" s="5"/>
      <c r="E195" s="5"/>
      <c r="F195" s="5"/>
      <c r="G195" s="5"/>
      <c r="H195" s="5"/>
      <c r="I195" s="5"/>
      <c r="J195" s="6"/>
    </row>
    <row r="196" spans="1:10" ht="15.75" thickBot="1">
      <c r="A196" s="10" t="s">
        <v>93</v>
      </c>
      <c r="B196" s="7">
        <f t="shared" ref="B196:J196" si="18">SUM(B193:B194)/SUM(B191:B192)</f>
        <v>3.66972841060542</v>
      </c>
      <c r="C196" s="7">
        <f t="shared" si="18"/>
        <v>10.311670558978488</v>
      </c>
      <c r="D196" s="7">
        <f t="shared" si="18"/>
        <v>9.7363222963680354</v>
      </c>
      <c r="E196" s="7">
        <f t="shared" si="18"/>
        <v>1.4240744335247126</v>
      </c>
      <c r="F196" s="7">
        <f t="shared" si="18"/>
        <v>1.4304024220950344</v>
      </c>
      <c r="G196" s="7">
        <f t="shared" si="18"/>
        <v>1.1466077876227816</v>
      </c>
      <c r="H196" s="7">
        <f t="shared" si="18"/>
        <v>0.19386665957620625</v>
      </c>
      <c r="I196" s="7">
        <f t="shared" si="18"/>
        <v>0.18635321822630529</v>
      </c>
      <c r="J196" s="8">
        <f t="shared" si="18"/>
        <v>0.19280791977306713</v>
      </c>
    </row>
    <row r="197" spans="1:10" ht="15.75" thickBo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26" t="s">
        <v>50</v>
      </c>
      <c r="B198" s="12" t="s">
        <v>57</v>
      </c>
      <c r="C198" s="12" t="s">
        <v>58</v>
      </c>
      <c r="D198" s="12" t="s">
        <v>59</v>
      </c>
      <c r="E198" s="12" t="s">
        <v>63</v>
      </c>
      <c r="F198" s="12" t="s">
        <v>64</v>
      </c>
      <c r="G198" s="12" t="s">
        <v>65</v>
      </c>
      <c r="H198" s="12"/>
      <c r="I198" s="12"/>
      <c r="J198" s="13"/>
    </row>
    <row r="199" spans="1:10">
      <c r="A199" s="9" t="s">
        <v>10</v>
      </c>
      <c r="B199" s="5">
        <v>50792.49</v>
      </c>
      <c r="C199" s="5">
        <v>22011.69</v>
      </c>
      <c r="D199" s="5">
        <v>39493.4</v>
      </c>
      <c r="E199" s="5">
        <v>600220.56000000006</v>
      </c>
      <c r="F199" s="5">
        <v>701975.25</v>
      </c>
      <c r="G199" s="5">
        <v>708933.31</v>
      </c>
      <c r="H199" s="5"/>
      <c r="I199" s="5"/>
      <c r="J199" s="6"/>
    </row>
    <row r="200" spans="1:10">
      <c r="A200" s="9" t="s">
        <v>11</v>
      </c>
      <c r="B200" s="5">
        <v>0</v>
      </c>
      <c r="C200" s="5">
        <v>0</v>
      </c>
      <c r="D200" s="5">
        <v>0</v>
      </c>
      <c r="E200" s="5">
        <v>27231.3</v>
      </c>
      <c r="F200" s="5">
        <v>22357.15</v>
      </c>
      <c r="G200" s="5">
        <v>23818.84</v>
      </c>
      <c r="H200" s="5"/>
      <c r="I200" s="5"/>
      <c r="J200" s="6"/>
    </row>
    <row r="201" spans="1:10">
      <c r="A201" s="9" t="s">
        <v>14</v>
      </c>
      <c r="B201" s="5">
        <v>8396.75</v>
      </c>
      <c r="C201" s="5">
        <v>0</v>
      </c>
      <c r="D201" s="5">
        <v>19946.400000000001</v>
      </c>
      <c r="E201" s="5">
        <v>7784.71</v>
      </c>
      <c r="F201" s="5">
        <v>8860.89</v>
      </c>
      <c r="G201" s="5">
        <v>5548.97</v>
      </c>
      <c r="H201" s="5"/>
      <c r="I201" s="5"/>
      <c r="J201" s="6"/>
    </row>
    <row r="202" spans="1:10">
      <c r="A202" s="9" t="s">
        <v>15</v>
      </c>
      <c r="B202" s="5">
        <v>138235.31</v>
      </c>
      <c r="C202" s="5">
        <v>131865.17000000001</v>
      </c>
      <c r="D202" s="5">
        <v>128503.27</v>
      </c>
      <c r="E202" s="5">
        <v>77131</v>
      </c>
      <c r="F202" s="5">
        <v>133401.38</v>
      </c>
      <c r="G202" s="5">
        <v>100038.04</v>
      </c>
      <c r="H202" s="5"/>
      <c r="I202" s="5"/>
      <c r="J202" s="6"/>
    </row>
    <row r="203" spans="1:10">
      <c r="A203" s="9"/>
      <c r="B203" s="5"/>
      <c r="C203" s="5"/>
      <c r="D203" s="5"/>
      <c r="E203" s="5"/>
      <c r="F203" s="5"/>
      <c r="G203" s="5"/>
      <c r="H203" s="5"/>
      <c r="I203" s="5"/>
      <c r="J203" s="6"/>
    </row>
    <row r="204" spans="1:10" ht="15.75" thickBot="1">
      <c r="A204" s="10" t="s">
        <v>93</v>
      </c>
      <c r="B204" s="7">
        <f t="shared" ref="B204:G204" si="19">SUM(B201:B202)/SUM(B199:B200)</f>
        <v>2.8868846555858947</v>
      </c>
      <c r="C204" s="7">
        <f t="shared" si="19"/>
        <v>5.9906881298073893</v>
      </c>
      <c r="D204" s="7">
        <f t="shared" si="19"/>
        <v>3.7588475542748916</v>
      </c>
      <c r="E204" s="7">
        <f t="shared" si="19"/>
        <v>0.13533422309083598</v>
      </c>
      <c r="F204" s="7">
        <f t="shared" si="19"/>
        <v>0.19640467553294594</v>
      </c>
      <c r="G204" s="7">
        <f t="shared" si="19"/>
        <v>0.14409648610379375</v>
      </c>
      <c r="H204" s="7"/>
      <c r="I204" s="7"/>
      <c r="J204" s="8"/>
    </row>
    <row r="205" spans="1:10" ht="15.75" thickBot="1"/>
    <row r="206" spans="1:10">
      <c r="A206" s="14" t="s">
        <v>55</v>
      </c>
      <c r="B206" s="12" t="s">
        <v>1</v>
      </c>
      <c r="C206" s="12" t="s">
        <v>2</v>
      </c>
      <c r="D206" s="12" t="s">
        <v>3</v>
      </c>
      <c r="E206" s="12" t="s">
        <v>4</v>
      </c>
      <c r="F206" s="12" t="s">
        <v>5</v>
      </c>
      <c r="G206" s="12" t="s">
        <v>6</v>
      </c>
      <c r="H206" s="12" t="s">
        <v>7</v>
      </c>
      <c r="I206" s="12" t="s">
        <v>8</v>
      </c>
      <c r="J206" s="13" t="s">
        <v>9</v>
      </c>
    </row>
    <row r="207" spans="1:10">
      <c r="A207" s="9" t="s">
        <v>10</v>
      </c>
      <c r="B207" s="5">
        <v>714646.5</v>
      </c>
      <c r="C207" s="5">
        <v>748011.06</v>
      </c>
      <c r="D207" s="5">
        <v>717060.56</v>
      </c>
      <c r="E207" s="5">
        <v>3343070.25</v>
      </c>
      <c r="F207" s="5">
        <v>3598669.25</v>
      </c>
      <c r="G207" s="5">
        <v>3768035.75</v>
      </c>
      <c r="H207" s="5">
        <v>18677222</v>
      </c>
      <c r="I207" s="5">
        <v>20251902</v>
      </c>
      <c r="J207" s="6">
        <v>21008960</v>
      </c>
    </row>
    <row r="208" spans="1:10">
      <c r="A208" s="9" t="s">
        <v>11</v>
      </c>
      <c r="B208" s="5">
        <v>43729.11</v>
      </c>
      <c r="C208" s="5">
        <v>41838.5</v>
      </c>
      <c r="D208" s="5">
        <v>43791.19</v>
      </c>
      <c r="E208" s="5">
        <v>184967.33</v>
      </c>
      <c r="F208" s="5">
        <v>201132.95</v>
      </c>
      <c r="G208" s="5">
        <v>199338.67</v>
      </c>
      <c r="H208" s="5">
        <v>1025329.81</v>
      </c>
      <c r="I208" s="5">
        <v>1132104.3799999999</v>
      </c>
      <c r="J208" s="6">
        <v>1182187.1200000001</v>
      </c>
    </row>
    <row r="209" spans="1:10">
      <c r="A209" s="9" t="s">
        <v>13</v>
      </c>
      <c r="B209" s="5">
        <v>847.79</v>
      </c>
      <c r="C209" s="5">
        <v>740.39</v>
      </c>
      <c r="D209" s="5">
        <v>980.02</v>
      </c>
      <c r="E209" s="5">
        <v>2020.43</v>
      </c>
      <c r="F209" s="5">
        <v>1707</v>
      </c>
      <c r="G209" s="5">
        <v>0</v>
      </c>
      <c r="H209" s="5">
        <v>0</v>
      </c>
      <c r="I209" s="5">
        <v>0</v>
      </c>
      <c r="J209" s="6">
        <v>0</v>
      </c>
    </row>
    <row r="210" spans="1:10">
      <c r="A210" s="9" t="s">
        <v>14</v>
      </c>
      <c r="B210" s="5">
        <v>51492.68</v>
      </c>
      <c r="C210" s="5">
        <v>65548.12</v>
      </c>
      <c r="D210" s="5">
        <v>53627.12</v>
      </c>
      <c r="E210" s="5">
        <v>52850.11</v>
      </c>
      <c r="F210" s="5">
        <v>66872.009999999995</v>
      </c>
      <c r="G210" s="5">
        <v>68573.22</v>
      </c>
      <c r="H210" s="5">
        <v>58123.28</v>
      </c>
      <c r="I210" s="5">
        <v>71976.61</v>
      </c>
      <c r="J210" s="6">
        <v>69663.66</v>
      </c>
    </row>
    <row r="211" spans="1:10">
      <c r="A211" s="9" t="s">
        <v>15</v>
      </c>
      <c r="B211" s="5">
        <v>1303737</v>
      </c>
      <c r="C211" s="5">
        <v>1485194.5</v>
      </c>
      <c r="D211" s="5">
        <v>1241174.8799999999</v>
      </c>
      <c r="E211" s="5">
        <v>1211920.6200000001</v>
      </c>
      <c r="F211" s="5">
        <v>1476160.12</v>
      </c>
      <c r="G211" s="5">
        <v>1466549.12</v>
      </c>
      <c r="H211" s="5">
        <v>1426967</v>
      </c>
      <c r="I211" s="5">
        <v>1626493</v>
      </c>
      <c r="J211" s="6">
        <v>1642259.38</v>
      </c>
    </row>
    <row r="212" spans="1:10">
      <c r="A212" s="9"/>
      <c r="B212" s="5"/>
      <c r="C212" s="5"/>
      <c r="D212" s="5"/>
      <c r="E212" s="5"/>
      <c r="F212" s="5"/>
      <c r="G212" s="5"/>
      <c r="H212" s="5"/>
      <c r="I212" s="5"/>
      <c r="J212" s="6"/>
    </row>
    <row r="213" spans="1:10" ht="15.75" thickBot="1">
      <c r="A213" s="10" t="s">
        <v>93</v>
      </c>
      <c r="B213" s="7">
        <f t="shared" ref="B213:J213" si="20">SUM(B209:B211)/SUM(B207:B208)</f>
        <v>1.7881343388667259</v>
      </c>
      <c r="C213" s="7">
        <f t="shared" si="20"/>
        <v>1.9642766022430904</v>
      </c>
      <c r="D213" s="7">
        <f t="shared" si="20"/>
        <v>1.7030676738273911</v>
      </c>
      <c r="E213" s="7">
        <f t="shared" si="20"/>
        <v>0.35906396439235211</v>
      </c>
      <c r="F213" s="7">
        <f t="shared" si="20"/>
        <v>0.40653145840065047</v>
      </c>
      <c r="G213" s="7">
        <f t="shared" si="20"/>
        <v>0.38693659268993325</v>
      </c>
      <c r="H213" s="7">
        <f t="shared" si="20"/>
        <v>7.5375529744641748E-2</v>
      </c>
      <c r="I213" s="7">
        <f t="shared" si="20"/>
        <v>7.942709985293224E-2</v>
      </c>
      <c r="J213" s="8">
        <f t="shared" si="20"/>
        <v>7.7144413974756243E-2</v>
      </c>
    </row>
    <row r="214" spans="1:10" ht="15.75" thickBot="1"/>
    <row r="215" spans="1:10">
      <c r="A215" s="25" t="s">
        <v>55</v>
      </c>
      <c r="B215" s="12" t="s">
        <v>1</v>
      </c>
      <c r="C215" s="12" t="s">
        <v>2</v>
      </c>
      <c r="D215" s="12" t="s">
        <v>3</v>
      </c>
      <c r="E215" s="12" t="s">
        <v>7</v>
      </c>
      <c r="F215" s="12" t="s">
        <v>8</v>
      </c>
      <c r="G215" s="12" t="s">
        <v>9</v>
      </c>
      <c r="H215" s="12"/>
      <c r="I215" s="12"/>
      <c r="J215" s="13"/>
    </row>
    <row r="216" spans="1:10">
      <c r="A216" s="9" t="s">
        <v>10</v>
      </c>
      <c r="B216" s="5">
        <v>1757141.38</v>
      </c>
      <c r="C216" s="5">
        <v>1925091.12</v>
      </c>
      <c r="D216" s="5">
        <v>2562394</v>
      </c>
      <c r="E216" s="5">
        <v>44013924</v>
      </c>
      <c r="F216" s="5">
        <v>44371580</v>
      </c>
      <c r="G216" s="5">
        <v>47253600</v>
      </c>
      <c r="H216" s="5"/>
      <c r="I216" s="5"/>
      <c r="J216" s="6"/>
    </row>
    <row r="217" spans="1:10">
      <c r="A217" s="9" t="s">
        <v>11</v>
      </c>
      <c r="B217" s="5">
        <v>88839.35</v>
      </c>
      <c r="C217" s="5">
        <v>107016.46</v>
      </c>
      <c r="D217" s="5">
        <v>141506.98000000001</v>
      </c>
      <c r="E217" s="5">
        <v>2478504.75</v>
      </c>
      <c r="F217" s="5">
        <v>2481290.25</v>
      </c>
      <c r="G217" s="5">
        <v>2706785.75</v>
      </c>
      <c r="H217" s="5"/>
      <c r="I217" s="5"/>
      <c r="J217" s="6"/>
    </row>
    <row r="218" spans="1:10">
      <c r="A218" s="9" t="s">
        <v>13</v>
      </c>
      <c r="B218" s="5">
        <v>765.97</v>
      </c>
      <c r="C218" s="5">
        <v>2308.9699999999998</v>
      </c>
      <c r="D218" s="5">
        <v>1318.14</v>
      </c>
      <c r="E218" s="5">
        <v>0</v>
      </c>
      <c r="F218" s="5">
        <v>0</v>
      </c>
      <c r="G218" s="5">
        <v>0</v>
      </c>
      <c r="H218" s="5"/>
      <c r="I218" s="5"/>
      <c r="J218" s="6"/>
    </row>
    <row r="219" spans="1:10">
      <c r="A219" s="9" t="s">
        <v>14</v>
      </c>
      <c r="B219" s="5">
        <v>70846</v>
      </c>
      <c r="C219" s="5">
        <v>83101.58</v>
      </c>
      <c r="D219" s="5">
        <v>64029.64</v>
      </c>
      <c r="E219" s="5">
        <v>64949.81</v>
      </c>
      <c r="F219" s="5">
        <v>92918.59</v>
      </c>
      <c r="G219" s="5">
        <v>57135.82</v>
      </c>
      <c r="H219" s="5"/>
      <c r="I219" s="5"/>
      <c r="J219" s="6"/>
    </row>
    <row r="220" spans="1:10">
      <c r="A220" s="9" t="s">
        <v>15</v>
      </c>
      <c r="B220" s="5">
        <v>1487773.62</v>
      </c>
      <c r="C220" s="5">
        <v>1953911.5</v>
      </c>
      <c r="D220" s="5">
        <v>1451091</v>
      </c>
      <c r="E220" s="5">
        <v>1613629.62</v>
      </c>
      <c r="F220" s="5">
        <v>2261765.75</v>
      </c>
      <c r="G220" s="5">
        <v>1497081.62</v>
      </c>
      <c r="H220" s="5"/>
      <c r="I220" s="5"/>
      <c r="J220" s="6"/>
    </row>
    <row r="221" spans="1:10">
      <c r="A221" s="9"/>
      <c r="B221" s="5"/>
      <c r="C221" s="5"/>
      <c r="D221" s="5"/>
      <c r="E221" s="5"/>
      <c r="F221" s="5"/>
      <c r="G221" s="5"/>
      <c r="H221" s="5"/>
      <c r="I221" s="5"/>
      <c r="J221" s="6"/>
    </row>
    <row r="222" spans="1:10" ht="15.75" thickBot="1">
      <c r="A222" s="10" t="s">
        <v>93</v>
      </c>
      <c r="B222" s="7">
        <f>SUM(B218:B220)/SUM(B216:B217)</f>
        <v>0.8447464075098986</v>
      </c>
      <c r="C222" s="7">
        <f t="shared" ref="C222:G222" si="21">SUM(C218:C220)/SUM(C216:C217)</f>
        <v>1.0035502401895475</v>
      </c>
      <c r="D222" s="7">
        <f t="shared" si="21"/>
        <v>0.56083369591441179</v>
      </c>
      <c r="E222" s="7">
        <f t="shared" si="21"/>
        <v>3.6104360970817213E-2</v>
      </c>
      <c r="F222" s="7">
        <f t="shared" si="21"/>
        <v>5.0256992313080326E-2</v>
      </c>
      <c r="G222" s="7">
        <f t="shared" si="21"/>
        <v>3.1108995990888646E-2</v>
      </c>
      <c r="H222" s="7"/>
      <c r="I222" s="7"/>
      <c r="J222" s="8"/>
    </row>
    <row r="223" spans="1:10" ht="15.75" thickBo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15" t="s">
        <v>55</v>
      </c>
      <c r="B224" s="12" t="s">
        <v>57</v>
      </c>
      <c r="C224" s="12" t="s">
        <v>58</v>
      </c>
      <c r="D224" s="12" t="s">
        <v>59</v>
      </c>
      <c r="E224" s="12" t="s">
        <v>60</v>
      </c>
      <c r="F224" s="12" t="s">
        <v>61</v>
      </c>
      <c r="G224" s="12" t="s">
        <v>62</v>
      </c>
      <c r="H224" s="12" t="s">
        <v>63</v>
      </c>
      <c r="I224" s="12" t="s">
        <v>64</v>
      </c>
      <c r="J224" s="13" t="s">
        <v>65</v>
      </c>
    </row>
    <row r="225" spans="1:10">
      <c r="A225" s="9" t="s">
        <v>10</v>
      </c>
      <c r="B225" s="5">
        <v>345149.53</v>
      </c>
      <c r="C225" s="5">
        <v>324006.88</v>
      </c>
      <c r="D225" s="5">
        <v>275561.90999999997</v>
      </c>
      <c r="E225" s="5">
        <v>1815826.62</v>
      </c>
      <c r="F225" s="5">
        <v>1793461.12</v>
      </c>
      <c r="G225" s="5">
        <v>1849088.88</v>
      </c>
      <c r="H225" s="5">
        <v>10266164</v>
      </c>
      <c r="I225" s="5">
        <v>9865158</v>
      </c>
      <c r="J225" s="6">
        <v>10241503</v>
      </c>
    </row>
    <row r="226" spans="1:10">
      <c r="A226" s="9" t="s">
        <v>11</v>
      </c>
      <c r="B226" s="5">
        <v>17506.59</v>
      </c>
      <c r="C226" s="5">
        <v>13634.24</v>
      </c>
      <c r="D226" s="5">
        <v>11821.23</v>
      </c>
      <c r="E226" s="5">
        <v>90828.3</v>
      </c>
      <c r="F226" s="5">
        <v>82984.62</v>
      </c>
      <c r="G226" s="5">
        <v>88407.19</v>
      </c>
      <c r="H226" s="5">
        <v>524241.84</v>
      </c>
      <c r="I226" s="5">
        <v>484844.88</v>
      </c>
      <c r="J226" s="6">
        <v>514847.09</v>
      </c>
    </row>
    <row r="227" spans="1:10">
      <c r="A227" s="9" t="s">
        <v>12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8487.91</v>
      </c>
      <c r="I227" s="5">
        <v>12650.95</v>
      </c>
      <c r="J227" s="6">
        <v>3997.24</v>
      </c>
    </row>
    <row r="228" spans="1:10">
      <c r="A228" s="9" t="s">
        <v>13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2363.9</v>
      </c>
      <c r="H228" s="5">
        <v>0</v>
      </c>
      <c r="I228" s="5">
        <v>0</v>
      </c>
      <c r="J228" s="6">
        <v>0</v>
      </c>
    </row>
    <row r="229" spans="1:10">
      <c r="A229" s="9" t="s">
        <v>14</v>
      </c>
      <c r="B229" s="5">
        <v>21279.19</v>
      </c>
      <c r="C229" s="5">
        <v>29003.01</v>
      </c>
      <c r="D229" s="5">
        <v>24463.13</v>
      </c>
      <c r="E229" s="5">
        <v>24128.5</v>
      </c>
      <c r="F229" s="5">
        <v>31828.18</v>
      </c>
      <c r="G229" s="5">
        <v>25291.75</v>
      </c>
      <c r="H229" s="5">
        <v>29674.25</v>
      </c>
      <c r="I229" s="5">
        <v>30447.34</v>
      </c>
      <c r="J229" s="6">
        <v>30570.48</v>
      </c>
    </row>
    <row r="230" spans="1:10">
      <c r="A230" s="9" t="s">
        <v>15</v>
      </c>
      <c r="B230" s="5">
        <v>634581.43999999994</v>
      </c>
      <c r="C230" s="5">
        <v>645190</v>
      </c>
      <c r="D230" s="5">
        <v>502910.03</v>
      </c>
      <c r="E230" s="5">
        <v>585955.93999999994</v>
      </c>
      <c r="F230" s="5">
        <v>620762.93999999994</v>
      </c>
      <c r="G230" s="5">
        <v>676061.56</v>
      </c>
      <c r="H230" s="5">
        <v>614614.25</v>
      </c>
      <c r="I230" s="5">
        <v>694906.25</v>
      </c>
      <c r="J230" s="6">
        <v>692556.5</v>
      </c>
    </row>
    <row r="231" spans="1:10">
      <c r="A231" s="9"/>
      <c r="B231" s="5"/>
      <c r="C231" s="5"/>
      <c r="D231" s="5"/>
      <c r="E231" s="5"/>
      <c r="F231" s="5"/>
      <c r="G231" s="5"/>
      <c r="H231" s="5"/>
      <c r="I231" s="5"/>
      <c r="J231" s="6"/>
    </row>
    <row r="232" spans="1:10" ht="15.75" thickBot="1">
      <c r="A232" s="10" t="s">
        <v>93</v>
      </c>
      <c r="B232" s="7">
        <f t="shared" ref="B232:J232" si="22">SUM(B227:B230)/SUM(B225:B226)</f>
        <v>1.8084918296704873</v>
      </c>
      <c r="C232" s="7">
        <f t="shared" si="22"/>
        <v>1.9967740007496717</v>
      </c>
      <c r="D232" s="7">
        <f t="shared" si="22"/>
        <v>1.8350873332374338</v>
      </c>
      <c r="E232" s="7">
        <f t="shared" si="22"/>
        <v>0.31997632796604847</v>
      </c>
      <c r="F232" s="7">
        <f t="shared" si="22"/>
        <v>0.34778043728565255</v>
      </c>
      <c r="G232" s="7">
        <f t="shared" si="22"/>
        <v>0.36320961931035045</v>
      </c>
      <c r="H232" s="7">
        <f t="shared" si="22"/>
        <v>6.049600169626243E-2</v>
      </c>
      <c r="I232" s="7">
        <f t="shared" si="22"/>
        <v>7.1304766632103583E-2</v>
      </c>
      <c r="J232" s="8">
        <f t="shared" si="22"/>
        <v>6.7599530873952804E-2</v>
      </c>
    </row>
    <row r="233" spans="1:10" ht="15.75" thickBo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26" t="s">
        <v>55</v>
      </c>
      <c r="B234" s="12" t="s">
        <v>57</v>
      </c>
      <c r="C234" s="12" t="s">
        <v>58</v>
      </c>
      <c r="D234" s="12" t="s">
        <v>59</v>
      </c>
      <c r="E234" s="12" t="s">
        <v>63</v>
      </c>
      <c r="F234" s="12" t="s">
        <v>64</v>
      </c>
      <c r="G234" s="12" t="s">
        <v>65</v>
      </c>
      <c r="H234" s="12"/>
      <c r="I234" s="12"/>
      <c r="J234" s="13"/>
    </row>
    <row r="235" spans="1:10">
      <c r="A235" s="9" t="s">
        <v>10</v>
      </c>
      <c r="B235" s="5">
        <v>1099032</v>
      </c>
      <c r="C235" s="5">
        <v>935604.94</v>
      </c>
      <c r="D235" s="5">
        <v>1092287</v>
      </c>
      <c r="E235" s="5">
        <v>24554214</v>
      </c>
      <c r="F235" s="5">
        <v>22366846</v>
      </c>
      <c r="G235" s="5">
        <v>26457114</v>
      </c>
      <c r="H235" s="5"/>
      <c r="I235" s="5"/>
      <c r="J235" s="6"/>
    </row>
    <row r="236" spans="1:10">
      <c r="A236" s="9" t="s">
        <v>11</v>
      </c>
      <c r="B236" s="5">
        <v>54976.57</v>
      </c>
      <c r="C236" s="5">
        <v>42074.6</v>
      </c>
      <c r="D236" s="5">
        <v>52317.15</v>
      </c>
      <c r="E236" s="5">
        <v>1220739.3799999999</v>
      </c>
      <c r="F236" s="5">
        <v>1146236.6200000001</v>
      </c>
      <c r="G236" s="5">
        <v>1368564.88</v>
      </c>
      <c r="H236" s="5"/>
      <c r="I236" s="5"/>
      <c r="J236" s="6"/>
    </row>
    <row r="237" spans="1:10">
      <c r="A237" s="9" t="s">
        <v>12</v>
      </c>
      <c r="B237" s="5">
        <v>0</v>
      </c>
      <c r="C237" s="5">
        <v>0</v>
      </c>
      <c r="D237" s="5">
        <v>0</v>
      </c>
      <c r="E237" s="5">
        <v>11306.84</v>
      </c>
      <c r="F237" s="5">
        <v>5614.49</v>
      </c>
      <c r="G237" s="5">
        <v>14714.31</v>
      </c>
      <c r="H237" s="5"/>
      <c r="I237" s="5"/>
      <c r="J237" s="6"/>
    </row>
    <row r="238" spans="1:10">
      <c r="A238" s="9" t="s">
        <v>14</v>
      </c>
      <c r="B238" s="5">
        <v>30537.26</v>
      </c>
      <c r="C238" s="5">
        <v>27803.16</v>
      </c>
      <c r="D238" s="5">
        <v>24190.7</v>
      </c>
      <c r="E238" s="5">
        <v>28934.39</v>
      </c>
      <c r="F238" s="5">
        <v>43176.639999999999</v>
      </c>
      <c r="G238" s="5">
        <v>47314.91</v>
      </c>
      <c r="H238" s="5"/>
      <c r="I238" s="5"/>
      <c r="J238" s="6"/>
    </row>
    <row r="239" spans="1:10">
      <c r="A239" s="9" t="s">
        <v>15</v>
      </c>
      <c r="B239" s="5">
        <v>838658.69</v>
      </c>
      <c r="C239" s="5">
        <v>894554.31</v>
      </c>
      <c r="D239" s="5">
        <v>593720.75</v>
      </c>
      <c r="E239" s="5">
        <v>746474.25</v>
      </c>
      <c r="F239" s="5">
        <v>873311.25</v>
      </c>
      <c r="G239" s="5">
        <v>768865.31</v>
      </c>
      <c r="H239" s="5"/>
      <c r="I239" s="5"/>
      <c r="J239" s="6"/>
    </row>
    <row r="240" spans="1:10">
      <c r="A240" s="9"/>
      <c r="B240" s="5"/>
      <c r="C240" s="5"/>
      <c r="D240" s="5"/>
      <c r="E240" s="5"/>
      <c r="F240" s="5"/>
      <c r="G240" s="5"/>
      <c r="H240" s="5"/>
      <c r="I240" s="5"/>
      <c r="J240" s="6"/>
    </row>
    <row r="241" spans="1:10" ht="15.75" thickBot="1">
      <c r="A241" s="10" t="s">
        <v>93</v>
      </c>
      <c r="B241" s="7">
        <f t="shared" ref="B241:G241" si="23">SUM(B237:B239)/SUM(B235:B236)</f>
        <v>0.75319713613565276</v>
      </c>
      <c r="C241" s="7">
        <f t="shared" si="23"/>
        <v>0.9434149250990771</v>
      </c>
      <c r="D241" s="7">
        <f t="shared" si="23"/>
        <v>0.53984729131027531</v>
      </c>
      <c r="E241" s="7">
        <f t="shared" si="23"/>
        <v>3.0522479261221463E-2</v>
      </c>
      <c r="F241" s="7">
        <f t="shared" si="23"/>
        <v>3.9216567002391622E-2</v>
      </c>
      <c r="G241" s="7">
        <f t="shared" si="23"/>
        <v>2.98607100866536E-2</v>
      </c>
      <c r="H241" s="7"/>
      <c r="I241" s="7"/>
      <c r="J241" s="8"/>
    </row>
    <row r="242" spans="1:10" ht="15.75" thickBo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14" t="s">
        <v>28</v>
      </c>
      <c r="B243" s="12" t="s">
        <v>1</v>
      </c>
      <c r="C243" s="12" t="s">
        <v>2</v>
      </c>
      <c r="D243" s="12" t="s">
        <v>3</v>
      </c>
      <c r="E243" s="12" t="s">
        <v>4</v>
      </c>
      <c r="F243" s="12" t="s">
        <v>5</v>
      </c>
      <c r="G243" s="12" t="s">
        <v>6</v>
      </c>
      <c r="H243" s="12" t="s">
        <v>7</v>
      </c>
      <c r="I243" s="12" t="s">
        <v>8</v>
      </c>
      <c r="J243" s="13" t="s">
        <v>9</v>
      </c>
    </row>
    <row r="244" spans="1:10">
      <c r="A244" s="9" t="s">
        <v>10</v>
      </c>
      <c r="B244" s="5">
        <v>7372915.5</v>
      </c>
      <c r="C244" s="5">
        <v>8943460</v>
      </c>
      <c r="D244" s="5">
        <v>8659691</v>
      </c>
      <c r="E244" s="5">
        <v>36153516</v>
      </c>
      <c r="F244" s="5">
        <v>39731212</v>
      </c>
      <c r="G244" s="5">
        <v>38431596</v>
      </c>
      <c r="H244" s="5">
        <v>122538456</v>
      </c>
      <c r="I244" s="5">
        <v>128091240</v>
      </c>
      <c r="J244" s="6">
        <v>132995624</v>
      </c>
    </row>
    <row r="245" spans="1:10">
      <c r="A245" s="9" t="s">
        <v>11</v>
      </c>
      <c r="B245" s="5">
        <v>819110.25</v>
      </c>
      <c r="C245" s="5">
        <v>969928.19</v>
      </c>
      <c r="D245" s="5">
        <v>951928.56</v>
      </c>
      <c r="E245" s="5">
        <v>3993804</v>
      </c>
      <c r="F245" s="5">
        <v>4382254.5</v>
      </c>
      <c r="G245" s="5">
        <v>4250466</v>
      </c>
      <c r="H245" s="5">
        <v>13408521</v>
      </c>
      <c r="I245" s="5">
        <v>14190895</v>
      </c>
      <c r="J245" s="6">
        <v>14639488</v>
      </c>
    </row>
    <row r="246" spans="1:10">
      <c r="A246" s="9" t="s">
        <v>12</v>
      </c>
      <c r="B246" s="5">
        <v>118408.13</v>
      </c>
      <c r="C246" s="5">
        <v>150936.12</v>
      </c>
      <c r="D246" s="5">
        <v>132490.06</v>
      </c>
      <c r="E246" s="5">
        <v>207807.77</v>
      </c>
      <c r="F246" s="5">
        <v>450171</v>
      </c>
      <c r="G246" s="5">
        <v>424698.16</v>
      </c>
      <c r="H246" s="5">
        <v>0</v>
      </c>
      <c r="I246" s="5">
        <v>497984.47</v>
      </c>
      <c r="J246" s="6">
        <v>0</v>
      </c>
    </row>
    <row r="247" spans="1:10">
      <c r="A247" s="9" t="s">
        <v>13</v>
      </c>
      <c r="B247" s="5">
        <v>3379.9</v>
      </c>
      <c r="C247" s="5">
        <v>3934.46</v>
      </c>
      <c r="D247" s="5">
        <v>8689.41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6">
        <v>0</v>
      </c>
    </row>
    <row r="248" spans="1:10">
      <c r="A248" s="9" t="s">
        <v>42</v>
      </c>
      <c r="B248" s="5">
        <v>0</v>
      </c>
      <c r="C248" s="5">
        <v>0</v>
      </c>
      <c r="D248" s="5">
        <v>1345.51</v>
      </c>
      <c r="E248" s="5">
        <v>0</v>
      </c>
      <c r="F248" s="5">
        <v>3095.19</v>
      </c>
      <c r="G248" s="5">
        <v>0</v>
      </c>
      <c r="H248" s="5">
        <v>0</v>
      </c>
      <c r="I248" s="5">
        <v>0</v>
      </c>
      <c r="J248" s="6">
        <v>0</v>
      </c>
    </row>
    <row r="249" spans="1:10">
      <c r="A249" s="9" t="s">
        <v>43</v>
      </c>
      <c r="B249" s="5">
        <v>49087.38</v>
      </c>
      <c r="C249" s="5">
        <v>60340.5</v>
      </c>
      <c r="D249" s="5">
        <v>59372.959999999999</v>
      </c>
      <c r="E249" s="5">
        <v>56877.53</v>
      </c>
      <c r="F249" s="5">
        <v>60255.05</v>
      </c>
      <c r="G249" s="5">
        <v>54453.26</v>
      </c>
      <c r="H249" s="5">
        <v>32330.78</v>
      </c>
      <c r="I249" s="5">
        <v>28073.31</v>
      </c>
      <c r="J249" s="6">
        <v>39093.040000000001</v>
      </c>
    </row>
    <row r="250" spans="1:10">
      <c r="A250" s="9" t="s">
        <v>44</v>
      </c>
      <c r="B250" s="5">
        <v>586510.56000000006</v>
      </c>
      <c r="C250" s="5">
        <v>707570.25</v>
      </c>
      <c r="D250" s="5">
        <v>646446.56000000006</v>
      </c>
      <c r="E250" s="5">
        <v>626247</v>
      </c>
      <c r="F250" s="5">
        <v>733229.19</v>
      </c>
      <c r="G250" s="5">
        <v>701694.06</v>
      </c>
      <c r="H250" s="5">
        <v>421760.84</v>
      </c>
      <c r="I250" s="5">
        <v>398932.12</v>
      </c>
      <c r="J250" s="6">
        <v>478698.41</v>
      </c>
    </row>
    <row r="251" spans="1:10">
      <c r="A251" s="9"/>
      <c r="B251" s="5"/>
      <c r="C251" s="5"/>
      <c r="D251" s="5"/>
      <c r="E251" s="5"/>
      <c r="F251" s="5"/>
      <c r="G251" s="5"/>
      <c r="H251" s="5"/>
      <c r="I251" s="5"/>
      <c r="J251" s="6"/>
    </row>
    <row r="252" spans="1:10" ht="15.75" thickBot="1">
      <c r="A252" s="10" t="s">
        <v>93</v>
      </c>
      <c r="B252" s="7">
        <f t="shared" ref="B252:J252" si="24">SUM(B246:B250)/SUM(B244:B245)</f>
        <v>9.2454051429220682E-2</v>
      </c>
      <c r="C252" s="7">
        <f t="shared" si="24"/>
        <v>9.308435343335425E-2</v>
      </c>
      <c r="D252" s="7">
        <f t="shared" si="24"/>
        <v>8.8262388529243868E-2</v>
      </c>
      <c r="E252" s="7">
        <f t="shared" si="24"/>
        <v>2.2191575925865039E-2</v>
      </c>
      <c r="F252" s="7">
        <f t="shared" si="24"/>
        <v>2.8262354535207517E-2</v>
      </c>
      <c r="G252" s="7">
        <f t="shared" si="24"/>
        <v>2.7666083236559658E-2</v>
      </c>
      <c r="H252" s="7">
        <f t="shared" si="24"/>
        <v>3.3402112354436538E-3</v>
      </c>
      <c r="I252" s="7">
        <f t="shared" si="24"/>
        <v>6.5010965712596312E-3</v>
      </c>
      <c r="J252" s="8">
        <f t="shared" si="24"/>
        <v>3.5072378310655526E-3</v>
      </c>
    </row>
    <row r="253" spans="1:10" ht="15.75" thickBot="1"/>
    <row r="254" spans="1:10">
      <c r="A254" s="25" t="s">
        <v>28</v>
      </c>
      <c r="B254" s="12" t="s">
        <v>1</v>
      </c>
      <c r="C254" s="12" t="s">
        <v>2</v>
      </c>
      <c r="D254" s="12" t="s">
        <v>3</v>
      </c>
      <c r="E254" s="12" t="s">
        <v>7</v>
      </c>
      <c r="F254" s="12" t="s">
        <v>8</v>
      </c>
      <c r="G254" s="12" t="s">
        <v>9</v>
      </c>
      <c r="H254" s="12"/>
      <c r="I254" s="12"/>
      <c r="J254" s="13"/>
    </row>
    <row r="255" spans="1:10">
      <c r="A255" s="9" t="s">
        <v>10</v>
      </c>
      <c r="B255" s="5">
        <v>185289.08</v>
      </c>
      <c r="C255" s="5">
        <v>311224.59000000003</v>
      </c>
      <c r="D255" s="5">
        <v>392469.88</v>
      </c>
      <c r="E255" s="5">
        <v>6477743.5</v>
      </c>
      <c r="F255" s="5">
        <v>7409269.5</v>
      </c>
      <c r="G255" s="5">
        <v>7714801.5</v>
      </c>
      <c r="H255" s="5"/>
      <c r="I255" s="5"/>
      <c r="J255" s="6"/>
    </row>
    <row r="256" spans="1:10">
      <c r="A256" s="9" t="s">
        <v>11</v>
      </c>
      <c r="B256" s="5">
        <v>20075.490000000002</v>
      </c>
      <c r="C256" s="5">
        <v>34619.94</v>
      </c>
      <c r="D256" s="5">
        <v>39385.15</v>
      </c>
      <c r="E256" s="5">
        <v>710119.75</v>
      </c>
      <c r="F256" s="5">
        <v>855976.19</v>
      </c>
      <c r="G256" s="5">
        <v>841653.25</v>
      </c>
      <c r="H256" s="5"/>
      <c r="I256" s="5"/>
      <c r="J256" s="6"/>
    </row>
    <row r="257" spans="1:10">
      <c r="A257" s="9" t="s">
        <v>12</v>
      </c>
      <c r="B257" s="5">
        <v>2121.6</v>
      </c>
      <c r="C257" s="5">
        <v>0</v>
      </c>
      <c r="D257" s="5">
        <v>3485.33</v>
      </c>
      <c r="E257" s="5">
        <v>0</v>
      </c>
      <c r="F257" s="5">
        <v>0</v>
      </c>
      <c r="G257" s="5">
        <v>0</v>
      </c>
      <c r="H257" s="5"/>
      <c r="I257" s="5"/>
      <c r="J257" s="6"/>
    </row>
    <row r="258" spans="1:10">
      <c r="A258" s="9" t="s">
        <v>15</v>
      </c>
      <c r="B258" s="5">
        <v>0</v>
      </c>
      <c r="C258" s="5">
        <v>0</v>
      </c>
      <c r="D258" s="5">
        <v>0</v>
      </c>
      <c r="E258" s="5">
        <v>12068.55</v>
      </c>
      <c r="F258" s="5">
        <v>8264.8700000000008</v>
      </c>
      <c r="G258" s="5">
        <v>14414.63</v>
      </c>
      <c r="H258" s="5"/>
      <c r="I258" s="5"/>
      <c r="J258" s="6"/>
    </row>
    <row r="259" spans="1:10">
      <c r="A259" s="9" t="s">
        <v>42</v>
      </c>
      <c r="B259" s="5">
        <v>0</v>
      </c>
      <c r="C259" s="5">
        <v>2515.5700000000002</v>
      </c>
      <c r="D259" s="5">
        <v>1756.37</v>
      </c>
      <c r="E259" s="5">
        <v>2018.07</v>
      </c>
      <c r="F259" s="5">
        <v>0</v>
      </c>
      <c r="G259" s="5">
        <v>1626.58</v>
      </c>
      <c r="H259" s="5"/>
      <c r="I259" s="5"/>
      <c r="J259" s="6"/>
    </row>
    <row r="260" spans="1:10">
      <c r="A260" s="9" t="s">
        <v>43</v>
      </c>
      <c r="B260" s="5">
        <v>41872.76</v>
      </c>
      <c r="C260" s="5">
        <v>62091.76</v>
      </c>
      <c r="D260" s="5">
        <v>64784.41</v>
      </c>
      <c r="E260" s="5">
        <v>65230.400000000001</v>
      </c>
      <c r="F260" s="5">
        <v>82018.78</v>
      </c>
      <c r="G260" s="5">
        <v>78620.289999999994</v>
      </c>
      <c r="H260" s="5"/>
      <c r="I260" s="5"/>
      <c r="J260" s="6"/>
    </row>
    <row r="261" spans="1:10">
      <c r="A261" s="9" t="s">
        <v>44</v>
      </c>
      <c r="B261" s="5">
        <v>506153.28</v>
      </c>
      <c r="C261" s="5">
        <v>648714.06000000006</v>
      </c>
      <c r="D261" s="5">
        <v>742166</v>
      </c>
      <c r="E261" s="5">
        <v>773026.31</v>
      </c>
      <c r="F261" s="5">
        <v>948673.94</v>
      </c>
      <c r="G261" s="5">
        <v>807988.31</v>
      </c>
      <c r="H261" s="5"/>
      <c r="I261" s="5"/>
      <c r="J261" s="6"/>
    </row>
    <row r="262" spans="1:10">
      <c r="A262" s="9"/>
      <c r="B262" s="5"/>
      <c r="C262" s="5"/>
      <c r="D262" s="5"/>
      <c r="E262" s="5"/>
      <c r="F262" s="5"/>
      <c r="G262" s="5"/>
      <c r="H262" s="5"/>
      <c r="I262" s="5"/>
      <c r="J262" s="6"/>
    </row>
    <row r="263" spans="1:10" ht="15.75" thickBot="1">
      <c r="A263" s="10" t="s">
        <v>93</v>
      </c>
      <c r="B263" s="7">
        <f>SUM(B257:B261)/SUM(B255:B256)</f>
        <v>2.6788829251316333</v>
      </c>
      <c r="C263" s="7">
        <f t="shared" ref="C263:G263" si="25">SUM(C257:C261)/SUM(C255:C256)</f>
        <v>2.0625492905728477</v>
      </c>
      <c r="D263" s="7">
        <f t="shared" si="25"/>
        <v>1.8807054534018046</v>
      </c>
      <c r="E263" s="7">
        <f t="shared" si="25"/>
        <v>0.11858090511112605</v>
      </c>
      <c r="F263" s="7">
        <f t="shared" si="25"/>
        <v>0.12570196083306026</v>
      </c>
      <c r="G263" s="7">
        <f t="shared" si="25"/>
        <v>0.10549343581814653</v>
      </c>
      <c r="H263" s="7"/>
      <c r="I263" s="7"/>
      <c r="J263" s="8"/>
    </row>
    <row r="264" spans="1:10" ht="15.75" thickBo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5.75" thickBot="1">
      <c r="A265" s="17" t="s">
        <v>28</v>
      </c>
      <c r="B265" s="83" t="s">
        <v>70</v>
      </c>
      <c r="C265" s="83"/>
      <c r="D265" s="83"/>
      <c r="E265" s="83"/>
      <c r="F265" s="83"/>
      <c r="G265" s="83"/>
      <c r="H265" s="83"/>
      <c r="I265" s="83"/>
      <c r="J265" s="84"/>
    </row>
    <row r="266" spans="1:10" ht="15.75" thickBot="1">
      <c r="A266" s="16"/>
      <c r="B266" s="18"/>
      <c r="C266" s="18"/>
      <c r="D266" s="18"/>
      <c r="E266" s="18"/>
      <c r="F266" s="18"/>
      <c r="G266" s="18"/>
      <c r="H266" s="18"/>
      <c r="I266" s="18"/>
      <c r="J266" s="18"/>
    </row>
    <row r="267" spans="1:10" ht="15.75" thickBot="1">
      <c r="A267" s="27" t="s">
        <v>28</v>
      </c>
      <c r="B267" s="83" t="s">
        <v>70</v>
      </c>
      <c r="C267" s="83"/>
      <c r="D267" s="83"/>
      <c r="E267" s="83"/>
      <c r="F267" s="83"/>
      <c r="G267" s="83"/>
      <c r="H267" s="83"/>
      <c r="I267" s="83"/>
      <c r="J267" s="84"/>
    </row>
    <row r="268" spans="1:10" ht="15.75" thickBot="1"/>
    <row r="269" spans="1:10">
      <c r="A269" s="14" t="s">
        <v>29</v>
      </c>
      <c r="B269" s="12" t="s">
        <v>1</v>
      </c>
      <c r="C269" s="12" t="s">
        <v>2</v>
      </c>
      <c r="D269" s="12" t="s">
        <v>3</v>
      </c>
      <c r="E269" s="12" t="s">
        <v>4</v>
      </c>
      <c r="F269" s="12" t="s">
        <v>5</v>
      </c>
      <c r="G269" s="12" t="s">
        <v>6</v>
      </c>
      <c r="H269" s="12" t="s">
        <v>7</v>
      </c>
      <c r="I269" s="12" t="s">
        <v>8</v>
      </c>
      <c r="J269" s="13" t="s">
        <v>9</v>
      </c>
    </row>
    <row r="270" spans="1:10">
      <c r="A270" s="9" t="s">
        <v>10</v>
      </c>
      <c r="B270" s="5">
        <v>343156.34</v>
      </c>
      <c r="C270" s="5">
        <v>590602.31000000006</v>
      </c>
      <c r="D270" s="5">
        <v>630860.68999999994</v>
      </c>
      <c r="E270" s="5">
        <v>1502059</v>
      </c>
      <c r="F270" s="5">
        <v>1864276.12</v>
      </c>
      <c r="G270" s="5">
        <v>1914357.88</v>
      </c>
      <c r="H270" s="5">
        <v>9319925</v>
      </c>
      <c r="I270" s="5">
        <v>9906521</v>
      </c>
      <c r="J270" s="6">
        <v>11158827</v>
      </c>
    </row>
    <row r="271" spans="1:10">
      <c r="A271" s="9" t="s">
        <v>11</v>
      </c>
      <c r="B271" s="5">
        <v>58546.89</v>
      </c>
      <c r="C271" s="5">
        <v>102623.4</v>
      </c>
      <c r="D271" s="5">
        <v>101099.09</v>
      </c>
      <c r="E271" s="5">
        <v>263052.78000000003</v>
      </c>
      <c r="F271" s="5">
        <v>301774.62</v>
      </c>
      <c r="G271" s="5">
        <v>333945.71999999997</v>
      </c>
      <c r="H271" s="5">
        <v>1556760.62</v>
      </c>
      <c r="I271" s="5">
        <v>1634817.88</v>
      </c>
      <c r="J271" s="6">
        <v>1850175</v>
      </c>
    </row>
    <row r="272" spans="1:10">
      <c r="A272" s="9" t="s">
        <v>12</v>
      </c>
      <c r="B272" s="5">
        <v>9710.27</v>
      </c>
      <c r="C272" s="5">
        <v>14424.48</v>
      </c>
      <c r="D272" s="5">
        <v>14669.05</v>
      </c>
      <c r="E272" s="5">
        <v>33529.43</v>
      </c>
      <c r="F272" s="5">
        <v>45712.6</v>
      </c>
      <c r="G272" s="5">
        <v>43968.82</v>
      </c>
      <c r="H272" s="5">
        <v>208507.92</v>
      </c>
      <c r="I272" s="5">
        <v>240360.36</v>
      </c>
      <c r="J272" s="6">
        <v>248893.67</v>
      </c>
    </row>
    <row r="273" spans="1:10">
      <c r="A273" s="9" t="s">
        <v>13</v>
      </c>
      <c r="B273" s="5">
        <v>0</v>
      </c>
      <c r="C273" s="5">
        <v>0</v>
      </c>
      <c r="D273" s="5">
        <v>0</v>
      </c>
      <c r="E273" s="5">
        <v>2061.61</v>
      </c>
      <c r="F273" s="5">
        <v>0</v>
      </c>
      <c r="G273" s="5">
        <v>2621.42</v>
      </c>
      <c r="H273" s="5">
        <v>24179.55</v>
      </c>
      <c r="I273" s="5">
        <v>24361.65</v>
      </c>
      <c r="J273" s="6">
        <v>26094.959999999999</v>
      </c>
    </row>
    <row r="274" spans="1:10">
      <c r="A274" s="9" t="s">
        <v>45</v>
      </c>
      <c r="B274" s="5">
        <v>0</v>
      </c>
      <c r="C274" s="5">
        <v>0</v>
      </c>
      <c r="D274" s="5">
        <v>0</v>
      </c>
      <c r="E274" s="5">
        <v>1904.18</v>
      </c>
      <c r="F274" s="5">
        <v>0</v>
      </c>
      <c r="G274" s="5">
        <v>0</v>
      </c>
      <c r="H274" s="5">
        <v>0</v>
      </c>
      <c r="I274" s="5">
        <v>0</v>
      </c>
      <c r="J274" s="6">
        <v>0</v>
      </c>
    </row>
    <row r="275" spans="1:10">
      <c r="A275" s="9" t="s">
        <v>47</v>
      </c>
      <c r="B275" s="5">
        <v>16173.96</v>
      </c>
      <c r="C275" s="5">
        <v>21392.76</v>
      </c>
      <c r="D275" s="5">
        <v>22945.9</v>
      </c>
      <c r="E275" s="5">
        <v>21065.23</v>
      </c>
      <c r="F275" s="5">
        <v>25211.73</v>
      </c>
      <c r="G275" s="5">
        <v>30602.95</v>
      </c>
      <c r="H275" s="5">
        <v>25653.82</v>
      </c>
      <c r="I275" s="5">
        <v>33888</v>
      </c>
      <c r="J275" s="6">
        <v>39365.94</v>
      </c>
    </row>
    <row r="276" spans="1:10">
      <c r="A276" s="9" t="s">
        <v>48</v>
      </c>
      <c r="B276" s="5">
        <v>291630.25</v>
      </c>
      <c r="C276" s="5">
        <v>336825.25</v>
      </c>
      <c r="D276" s="5">
        <v>353337.5</v>
      </c>
      <c r="E276" s="5">
        <v>295608.71999999997</v>
      </c>
      <c r="F276" s="5">
        <v>383899.97</v>
      </c>
      <c r="G276" s="5">
        <v>398210.91</v>
      </c>
      <c r="H276" s="5">
        <v>345687.34</v>
      </c>
      <c r="I276" s="5">
        <v>405750.62</v>
      </c>
      <c r="J276" s="6">
        <v>440307.03</v>
      </c>
    </row>
    <row r="277" spans="1:10">
      <c r="A277" s="9" t="s">
        <v>56</v>
      </c>
      <c r="B277" s="5">
        <v>2207460</v>
      </c>
      <c r="C277" s="5">
        <v>2509150.25</v>
      </c>
      <c r="D277" s="5">
        <v>2682572.25</v>
      </c>
      <c r="E277" s="5">
        <v>2230815.75</v>
      </c>
      <c r="F277" s="5">
        <v>2888040</v>
      </c>
      <c r="G277" s="5">
        <v>3051474</v>
      </c>
      <c r="H277" s="5">
        <v>2715934</v>
      </c>
      <c r="I277" s="5">
        <v>3059932</v>
      </c>
      <c r="J277" s="6">
        <v>3469590.75</v>
      </c>
    </row>
    <row r="278" spans="1:10">
      <c r="A278" s="9"/>
      <c r="B278" s="5"/>
      <c r="C278" s="5"/>
      <c r="D278" s="5"/>
      <c r="E278" s="5"/>
      <c r="F278" s="5"/>
      <c r="G278" s="5"/>
      <c r="H278" s="5"/>
      <c r="I278" s="5"/>
      <c r="J278" s="6"/>
    </row>
    <row r="279" spans="1:10" ht="15.75" thickBot="1">
      <c r="A279" s="10" t="s">
        <v>93</v>
      </c>
      <c r="B279" s="7">
        <f t="shared" ref="B279:J279" si="26">SUM(B272:B277)/SUM(B270:B271)</f>
        <v>6.2856713400088911</v>
      </c>
      <c r="C279" s="7">
        <f t="shared" si="26"/>
        <v>4.1570771228320424</v>
      </c>
      <c r="D279" s="7">
        <f t="shared" si="26"/>
        <v>4.1990349524396002</v>
      </c>
      <c r="E279" s="7">
        <f t="shared" si="26"/>
        <v>1.4644879430808624</v>
      </c>
      <c r="F279" s="7">
        <f t="shared" si="26"/>
        <v>1.5432991657434578</v>
      </c>
      <c r="G279" s="7">
        <f t="shared" si="26"/>
        <v>1.5686840958667685</v>
      </c>
      <c r="H279" s="7">
        <f t="shared" si="26"/>
        <v>0.3052366084660264</v>
      </c>
      <c r="I279" s="7">
        <f t="shared" si="26"/>
        <v>0.32615736086938296</v>
      </c>
      <c r="J279" s="8">
        <f t="shared" si="26"/>
        <v>0.32471763398914072</v>
      </c>
    </row>
    <row r="280" spans="1:10" ht="15.75" thickBot="1"/>
    <row r="281" spans="1:10">
      <c r="A281" s="25" t="s">
        <v>29</v>
      </c>
      <c r="B281" s="12" t="s">
        <v>1</v>
      </c>
      <c r="C281" s="12" t="s">
        <v>2</v>
      </c>
      <c r="D281" s="12" t="s">
        <v>3</v>
      </c>
      <c r="E281" s="12" t="s">
        <v>7</v>
      </c>
      <c r="F281" s="12" t="s">
        <v>8</v>
      </c>
      <c r="G281" s="12" t="s">
        <v>9</v>
      </c>
      <c r="H281" s="12"/>
      <c r="I281" s="12"/>
      <c r="J281" s="13"/>
    </row>
    <row r="282" spans="1:10">
      <c r="A282" s="9" t="s">
        <v>10</v>
      </c>
      <c r="B282" s="5">
        <v>304286.81</v>
      </c>
      <c r="C282" s="5">
        <v>679938.88</v>
      </c>
      <c r="D282" s="5">
        <v>798156.75</v>
      </c>
      <c r="E282" s="5">
        <v>9113532</v>
      </c>
      <c r="F282" s="5">
        <v>9887388</v>
      </c>
      <c r="G282" s="5">
        <v>11433685</v>
      </c>
      <c r="H282" s="5"/>
      <c r="I282" s="5"/>
      <c r="J282" s="6"/>
    </row>
    <row r="283" spans="1:10">
      <c r="A283" s="9" t="s">
        <v>11</v>
      </c>
      <c r="B283" s="5">
        <v>51779.22</v>
      </c>
      <c r="C283" s="5">
        <v>107032.5</v>
      </c>
      <c r="D283" s="5">
        <v>121332.59</v>
      </c>
      <c r="E283" s="5">
        <v>1495951.38</v>
      </c>
      <c r="F283" s="5">
        <v>1648725.88</v>
      </c>
      <c r="G283" s="5">
        <v>1907342</v>
      </c>
      <c r="H283" s="5"/>
      <c r="I283" s="5"/>
      <c r="J283" s="6"/>
    </row>
    <row r="284" spans="1:10">
      <c r="A284" s="9" t="s">
        <v>12</v>
      </c>
      <c r="B284" s="5">
        <v>3659.62</v>
      </c>
      <c r="C284" s="5">
        <v>13169.3</v>
      </c>
      <c r="D284" s="5">
        <v>21558.62</v>
      </c>
      <c r="E284" s="5">
        <v>218795.12</v>
      </c>
      <c r="F284" s="5">
        <v>244737.44</v>
      </c>
      <c r="G284" s="5">
        <v>263723</v>
      </c>
      <c r="H284" s="5"/>
      <c r="I284" s="5"/>
      <c r="J284" s="6"/>
    </row>
    <row r="285" spans="1:10">
      <c r="A285" s="9" t="s">
        <v>13</v>
      </c>
      <c r="B285" s="5">
        <v>0</v>
      </c>
      <c r="C285" s="5">
        <v>0</v>
      </c>
      <c r="D285" s="5">
        <v>0</v>
      </c>
      <c r="E285" s="5">
        <v>15728.52</v>
      </c>
      <c r="F285" s="5">
        <v>18982.05</v>
      </c>
      <c r="G285" s="5">
        <v>32223.200000000001</v>
      </c>
      <c r="H285" s="5"/>
      <c r="I285" s="5"/>
      <c r="J285" s="6"/>
    </row>
    <row r="286" spans="1:10">
      <c r="A286" s="9" t="s">
        <v>15</v>
      </c>
      <c r="B286" s="5">
        <v>2245.31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/>
      <c r="I286" s="5"/>
      <c r="J286" s="6"/>
    </row>
    <row r="287" spans="1:10">
      <c r="A287" s="9" t="s">
        <v>44</v>
      </c>
      <c r="B287" s="5">
        <v>0</v>
      </c>
      <c r="C287" s="5">
        <v>0</v>
      </c>
      <c r="D287" s="5">
        <v>0</v>
      </c>
      <c r="E287" s="5">
        <v>2672.29</v>
      </c>
      <c r="F287" s="5">
        <v>2675.81</v>
      </c>
      <c r="G287" s="5">
        <v>1985.01</v>
      </c>
      <c r="H287" s="5"/>
      <c r="I287" s="5"/>
      <c r="J287" s="6"/>
    </row>
    <row r="288" spans="1:10">
      <c r="A288" s="9" t="s">
        <v>47</v>
      </c>
      <c r="B288" s="5">
        <v>16122.89</v>
      </c>
      <c r="C288" s="5">
        <v>29899.1</v>
      </c>
      <c r="D288" s="5">
        <v>30938.14</v>
      </c>
      <c r="E288" s="5">
        <v>25826.26</v>
      </c>
      <c r="F288" s="5">
        <v>27665.83</v>
      </c>
      <c r="G288" s="5">
        <v>30659.42</v>
      </c>
      <c r="H288" s="5"/>
      <c r="I288" s="5"/>
      <c r="J288" s="6"/>
    </row>
    <row r="289" spans="1:10">
      <c r="A289" s="9" t="s">
        <v>48</v>
      </c>
      <c r="B289" s="5">
        <v>287915.03000000003</v>
      </c>
      <c r="C289" s="5">
        <v>395251.91</v>
      </c>
      <c r="D289" s="5">
        <v>367363.12</v>
      </c>
      <c r="E289" s="5">
        <v>390510.5</v>
      </c>
      <c r="F289" s="5">
        <v>447239.66</v>
      </c>
      <c r="G289" s="5">
        <v>418582.59</v>
      </c>
      <c r="H289" s="5"/>
      <c r="I289" s="5"/>
      <c r="J289" s="6"/>
    </row>
    <row r="290" spans="1:10">
      <c r="A290" s="9" t="s">
        <v>56</v>
      </c>
      <c r="B290" s="5">
        <v>2229240.25</v>
      </c>
      <c r="C290" s="5">
        <v>2904592.75</v>
      </c>
      <c r="D290" s="5">
        <v>2960300</v>
      </c>
      <c r="E290" s="5">
        <v>3000684.75</v>
      </c>
      <c r="F290" s="5">
        <v>3433483.25</v>
      </c>
      <c r="G290" s="5">
        <v>2951016</v>
      </c>
      <c r="H290" s="5"/>
      <c r="I290" s="5"/>
      <c r="J290" s="6"/>
    </row>
    <row r="291" spans="1:10">
      <c r="A291" s="9"/>
      <c r="B291" s="5"/>
      <c r="C291" s="5"/>
      <c r="D291" s="5"/>
      <c r="E291" s="5"/>
      <c r="F291" s="5"/>
      <c r="G291" s="5"/>
      <c r="H291" s="5"/>
      <c r="I291" s="5"/>
      <c r="J291" s="6"/>
    </row>
    <row r="292" spans="1:10" ht="15.75" thickBot="1">
      <c r="A292" s="10" t="s">
        <v>93</v>
      </c>
      <c r="B292" s="7">
        <f t="shared" ref="B292:G292" si="27">SUM(B284:B290)/SUM(B282:B283)</f>
        <v>7.1312141177859623</v>
      </c>
      <c r="C292" s="7">
        <f t="shared" si="27"/>
        <v>4.2478203718158083</v>
      </c>
      <c r="D292" s="7">
        <f t="shared" si="27"/>
        <v>3.676127316495045</v>
      </c>
      <c r="E292" s="7">
        <f t="shared" si="27"/>
        <v>0.34442934769930339</v>
      </c>
      <c r="F292" s="7">
        <f t="shared" si="27"/>
        <v>0.36188824793397412</v>
      </c>
      <c r="G292" s="7">
        <f t="shared" si="27"/>
        <v>0.27720423772472685</v>
      </c>
      <c r="H292" s="7"/>
      <c r="I292" s="7"/>
      <c r="J292" s="8"/>
    </row>
    <row r="293" spans="1:10" ht="15.75" thickBo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5.75" thickBot="1">
      <c r="A294" s="17" t="s">
        <v>29</v>
      </c>
      <c r="B294" s="83" t="s">
        <v>71</v>
      </c>
      <c r="C294" s="83"/>
      <c r="D294" s="83"/>
      <c r="E294" s="83"/>
      <c r="F294" s="83"/>
      <c r="G294" s="83"/>
      <c r="H294" s="83"/>
      <c r="I294" s="83"/>
      <c r="J294" s="84"/>
    </row>
    <row r="295" spans="1:10" ht="15.75" thickBot="1">
      <c r="A295" s="16"/>
      <c r="B295" s="18"/>
      <c r="C295" s="18"/>
      <c r="D295" s="18"/>
      <c r="E295" s="18"/>
      <c r="F295" s="18"/>
      <c r="G295" s="18"/>
      <c r="H295" s="18"/>
      <c r="I295" s="18"/>
      <c r="J295" s="18"/>
    </row>
    <row r="296" spans="1:10" ht="15.75" thickBot="1">
      <c r="A296" s="27" t="s">
        <v>29</v>
      </c>
      <c r="B296" s="83" t="s">
        <v>71</v>
      </c>
      <c r="C296" s="83"/>
      <c r="D296" s="83"/>
      <c r="E296" s="83"/>
      <c r="F296" s="83"/>
      <c r="G296" s="83"/>
      <c r="H296" s="83"/>
      <c r="I296" s="83"/>
      <c r="J296" s="84"/>
    </row>
    <row r="297" spans="1:10" ht="15.75" thickBot="1"/>
    <row r="298" spans="1:10">
      <c r="A298" s="14" t="s">
        <v>35</v>
      </c>
      <c r="B298" s="12" t="s">
        <v>1</v>
      </c>
      <c r="C298" s="12" t="s">
        <v>2</v>
      </c>
      <c r="D298" s="12" t="s">
        <v>3</v>
      </c>
      <c r="E298" s="12" t="s">
        <v>4</v>
      </c>
      <c r="F298" s="12" t="s">
        <v>5</v>
      </c>
      <c r="G298" s="12" t="s">
        <v>6</v>
      </c>
      <c r="H298" s="12" t="s">
        <v>7</v>
      </c>
      <c r="I298" s="12" t="s">
        <v>8</v>
      </c>
      <c r="J298" s="13" t="s">
        <v>9</v>
      </c>
    </row>
    <row r="299" spans="1:10">
      <c r="A299" s="9" t="s">
        <v>10</v>
      </c>
      <c r="B299" s="5">
        <v>5352590</v>
      </c>
      <c r="C299" s="5">
        <v>5640318.5</v>
      </c>
      <c r="D299" s="5">
        <v>5316858.5</v>
      </c>
      <c r="E299" s="5">
        <v>24442330</v>
      </c>
      <c r="F299" s="5">
        <v>23887240</v>
      </c>
      <c r="G299" s="5">
        <v>26873506</v>
      </c>
      <c r="H299" s="5">
        <v>99635240</v>
      </c>
      <c r="I299" s="5">
        <v>101919848</v>
      </c>
      <c r="J299" s="6">
        <v>109327560</v>
      </c>
    </row>
    <row r="300" spans="1:10">
      <c r="A300" s="9" t="s">
        <v>11</v>
      </c>
      <c r="B300" s="5">
        <v>555620.31000000006</v>
      </c>
      <c r="C300" s="5">
        <v>575575.06000000006</v>
      </c>
      <c r="D300" s="5">
        <v>559388.31000000006</v>
      </c>
      <c r="E300" s="5">
        <v>2578802.75</v>
      </c>
      <c r="F300" s="5">
        <v>2344808.25</v>
      </c>
      <c r="G300" s="5">
        <v>2838057.25</v>
      </c>
      <c r="H300" s="5">
        <v>10314993</v>
      </c>
      <c r="I300" s="5">
        <v>10434548</v>
      </c>
      <c r="J300" s="6">
        <v>11418632</v>
      </c>
    </row>
    <row r="301" spans="1:10">
      <c r="A301" s="9" t="s">
        <v>12</v>
      </c>
      <c r="B301" s="5">
        <v>166240.95000000001</v>
      </c>
      <c r="C301" s="5">
        <v>182107.31</v>
      </c>
      <c r="D301" s="5">
        <v>169042.52</v>
      </c>
      <c r="E301" s="5">
        <v>780256.81</v>
      </c>
      <c r="F301" s="5">
        <v>786359.31</v>
      </c>
      <c r="G301" s="5">
        <v>864259.19</v>
      </c>
      <c r="H301" s="5">
        <v>3218918</v>
      </c>
      <c r="I301" s="5">
        <v>3409456.75</v>
      </c>
      <c r="J301" s="6">
        <v>3448731.25</v>
      </c>
    </row>
    <row r="302" spans="1:10">
      <c r="A302" s="9" t="s">
        <v>13</v>
      </c>
      <c r="B302" s="5">
        <v>7999.28</v>
      </c>
      <c r="C302" s="5">
        <v>22389.99</v>
      </c>
      <c r="D302" s="5">
        <v>15226.44</v>
      </c>
      <c r="E302" s="5">
        <v>48559.54</v>
      </c>
      <c r="F302" s="5">
        <v>73382.41</v>
      </c>
      <c r="G302" s="5">
        <v>77020.899999999994</v>
      </c>
      <c r="H302" s="5">
        <v>324078.84000000003</v>
      </c>
      <c r="I302" s="5">
        <v>318566.71999999997</v>
      </c>
      <c r="J302" s="6">
        <v>354437.5</v>
      </c>
    </row>
    <row r="303" spans="1:10">
      <c r="A303" s="9" t="s">
        <v>14</v>
      </c>
      <c r="B303" s="5">
        <v>0</v>
      </c>
      <c r="C303" s="5">
        <v>0</v>
      </c>
      <c r="D303" s="5">
        <v>5890.7</v>
      </c>
      <c r="E303" s="5">
        <v>7920.49</v>
      </c>
      <c r="F303" s="5">
        <v>7297.47</v>
      </c>
      <c r="G303" s="5">
        <v>6484.14</v>
      </c>
      <c r="H303" s="5">
        <v>5690.2</v>
      </c>
      <c r="I303" s="5">
        <v>3931.58</v>
      </c>
      <c r="J303" s="6">
        <v>13620.92</v>
      </c>
    </row>
    <row r="304" spans="1:10">
      <c r="A304" s="9" t="s">
        <v>15</v>
      </c>
      <c r="B304" s="5">
        <v>5043.6099999999997</v>
      </c>
      <c r="C304" s="5">
        <v>4402.62</v>
      </c>
      <c r="D304" s="5">
        <v>0</v>
      </c>
      <c r="E304" s="5">
        <v>0</v>
      </c>
      <c r="F304" s="5">
        <v>4552.8500000000004</v>
      </c>
      <c r="G304" s="5">
        <v>3255.5</v>
      </c>
      <c r="H304" s="5">
        <v>0</v>
      </c>
      <c r="I304" s="5">
        <v>0</v>
      </c>
      <c r="J304" s="6">
        <v>0</v>
      </c>
    </row>
    <row r="305" spans="1:10">
      <c r="A305" s="9" t="s">
        <v>40</v>
      </c>
      <c r="B305" s="5">
        <v>231042</v>
      </c>
      <c r="C305" s="5">
        <v>228569.92</v>
      </c>
      <c r="D305" s="5">
        <v>221338.02</v>
      </c>
      <c r="E305" s="5">
        <v>221652.69</v>
      </c>
      <c r="F305" s="5">
        <v>230088.36</v>
      </c>
      <c r="G305" s="5">
        <v>245371.77</v>
      </c>
      <c r="H305" s="5">
        <v>188148.77</v>
      </c>
      <c r="I305" s="5">
        <v>188503.36</v>
      </c>
      <c r="J305" s="6">
        <v>184280.67</v>
      </c>
    </row>
    <row r="306" spans="1:10">
      <c r="A306" s="9" t="s">
        <v>41</v>
      </c>
      <c r="B306" s="5">
        <v>4370819.5</v>
      </c>
      <c r="C306" s="5">
        <v>4077453.75</v>
      </c>
      <c r="D306" s="5">
        <v>3714175</v>
      </c>
      <c r="E306" s="5">
        <v>4276048.5</v>
      </c>
      <c r="F306" s="5">
        <v>3965318</v>
      </c>
      <c r="G306" s="5">
        <v>4586742.5</v>
      </c>
      <c r="H306" s="5">
        <v>3459818</v>
      </c>
      <c r="I306" s="5">
        <v>3487110.75</v>
      </c>
      <c r="J306" s="6">
        <v>3515902</v>
      </c>
    </row>
    <row r="307" spans="1:10">
      <c r="A307" s="9" t="s">
        <v>42</v>
      </c>
      <c r="B307" s="5">
        <v>17039030</v>
      </c>
      <c r="C307" s="5">
        <v>16353395</v>
      </c>
      <c r="D307" s="5">
        <v>14874580</v>
      </c>
      <c r="E307" s="5">
        <v>15694232</v>
      </c>
      <c r="F307" s="5">
        <v>17237574</v>
      </c>
      <c r="G307" s="5">
        <v>18059206</v>
      </c>
      <c r="H307" s="5">
        <v>12389875</v>
      </c>
      <c r="I307" s="5">
        <v>14208464</v>
      </c>
      <c r="J307" s="6">
        <v>13340040</v>
      </c>
    </row>
    <row r="308" spans="1:10">
      <c r="A308" s="9" t="s">
        <v>43</v>
      </c>
      <c r="B308" s="5">
        <v>19714230</v>
      </c>
      <c r="C308" s="5">
        <v>20141872</v>
      </c>
      <c r="D308" s="5">
        <v>18571230</v>
      </c>
      <c r="E308" s="5">
        <v>18216866</v>
      </c>
      <c r="F308" s="5">
        <v>19641370</v>
      </c>
      <c r="G308" s="5">
        <v>22710536</v>
      </c>
      <c r="H308" s="5">
        <v>14815008</v>
      </c>
      <c r="I308" s="5">
        <v>18021104</v>
      </c>
      <c r="J308" s="6">
        <v>16069899</v>
      </c>
    </row>
    <row r="309" spans="1:10">
      <c r="A309" s="9"/>
      <c r="B309" s="5"/>
      <c r="C309" s="5"/>
      <c r="D309" s="5"/>
      <c r="E309" s="5"/>
      <c r="F309" s="5"/>
      <c r="G309" s="5"/>
      <c r="H309" s="5"/>
      <c r="I309" s="5"/>
      <c r="J309" s="6"/>
    </row>
    <row r="310" spans="1:10" ht="15.75" thickBot="1">
      <c r="A310" s="10" t="s">
        <v>93</v>
      </c>
      <c r="B310" s="7">
        <f t="shared" ref="B310:J310" si="28">SUM(B301:B308)/SUM(B299:B300)</f>
        <v>7.0299469992969836</v>
      </c>
      <c r="C310" s="7">
        <f t="shared" si="28"/>
        <v>6.5976339836166691</v>
      </c>
      <c r="D310" s="7">
        <f t="shared" si="28"/>
        <v>6.3937890791214054</v>
      </c>
      <c r="E310" s="7">
        <f t="shared" si="28"/>
        <v>1.4524015848299328</v>
      </c>
      <c r="F310" s="7">
        <f t="shared" si="28"/>
        <v>1.599034204277205</v>
      </c>
      <c r="G310" s="7">
        <f t="shared" si="28"/>
        <v>1.5668268817865045</v>
      </c>
      <c r="H310" s="7">
        <f t="shared" si="28"/>
        <v>0.31288280043935879</v>
      </c>
      <c r="I310" s="7">
        <f t="shared" si="28"/>
        <v>0.35278670502576503</v>
      </c>
      <c r="J310" s="8">
        <f t="shared" si="28"/>
        <v>0.30582257484360253</v>
      </c>
    </row>
    <row r="311" spans="1:10" ht="15.75" thickBot="1"/>
    <row r="312" spans="1:10">
      <c r="A312" s="25" t="s">
        <v>35</v>
      </c>
      <c r="B312" s="12" t="s">
        <v>1</v>
      </c>
      <c r="C312" s="12" t="s">
        <v>2</v>
      </c>
      <c r="D312" s="12" t="s">
        <v>3</v>
      </c>
      <c r="E312" s="12" t="s">
        <v>7</v>
      </c>
      <c r="F312" s="12" t="s">
        <v>8</v>
      </c>
      <c r="G312" s="12" t="s">
        <v>9</v>
      </c>
      <c r="H312" s="12"/>
      <c r="I312" s="12"/>
      <c r="J312" s="13"/>
    </row>
    <row r="313" spans="1:10">
      <c r="A313" s="9" t="s">
        <v>10</v>
      </c>
      <c r="B313" s="5">
        <v>6154695.5</v>
      </c>
      <c r="C313" s="5">
        <v>5582825</v>
      </c>
      <c r="D313" s="5">
        <v>8432492</v>
      </c>
      <c r="E313" s="5">
        <v>110072552</v>
      </c>
      <c r="F313" s="5">
        <v>103662080</v>
      </c>
      <c r="G313" s="5">
        <v>117010816</v>
      </c>
      <c r="H313" s="5"/>
      <c r="I313" s="5"/>
      <c r="J313" s="6"/>
    </row>
    <row r="314" spans="1:10">
      <c r="A314" s="9" t="s">
        <v>11</v>
      </c>
      <c r="B314" s="5">
        <v>597190.56000000006</v>
      </c>
      <c r="C314" s="5">
        <v>580851.75</v>
      </c>
      <c r="D314" s="5">
        <v>843322.69</v>
      </c>
      <c r="E314" s="5">
        <v>11467333</v>
      </c>
      <c r="F314" s="5">
        <v>10793055</v>
      </c>
      <c r="G314" s="5">
        <v>12139215</v>
      </c>
      <c r="H314" s="5"/>
      <c r="I314" s="5"/>
      <c r="J314" s="6"/>
    </row>
    <row r="315" spans="1:10">
      <c r="A315" s="9" t="s">
        <v>12</v>
      </c>
      <c r="B315" s="5">
        <v>193182.17</v>
      </c>
      <c r="C315" s="5">
        <v>170408.61</v>
      </c>
      <c r="D315" s="5">
        <v>273348.28000000003</v>
      </c>
      <c r="E315" s="5">
        <v>3623558</v>
      </c>
      <c r="F315" s="5">
        <v>3407012</v>
      </c>
      <c r="G315" s="5">
        <v>3601102.25</v>
      </c>
      <c r="H315" s="5"/>
      <c r="I315" s="5"/>
      <c r="J315" s="6"/>
    </row>
    <row r="316" spans="1:10">
      <c r="A316" s="9" t="s">
        <v>13</v>
      </c>
      <c r="B316" s="5">
        <v>15727.29</v>
      </c>
      <c r="C316" s="5">
        <v>8356.8799999999992</v>
      </c>
      <c r="D316" s="5">
        <v>11099.08</v>
      </c>
      <c r="E316" s="5">
        <v>83664.149999999994</v>
      </c>
      <c r="F316" s="5">
        <v>19546.48</v>
      </c>
      <c r="G316" s="5">
        <v>134624.79999999999</v>
      </c>
      <c r="H316" s="5"/>
      <c r="I316" s="5"/>
      <c r="J316" s="6"/>
    </row>
    <row r="317" spans="1:10">
      <c r="A317" s="9" t="s">
        <v>15</v>
      </c>
      <c r="B317" s="5">
        <v>8448.42</v>
      </c>
      <c r="C317" s="5">
        <v>7543.4</v>
      </c>
      <c r="D317" s="5">
        <v>0</v>
      </c>
      <c r="E317" s="5">
        <v>0</v>
      </c>
      <c r="F317" s="5">
        <v>0</v>
      </c>
      <c r="G317" s="5">
        <v>0</v>
      </c>
      <c r="H317" s="5"/>
      <c r="I317" s="5"/>
      <c r="J317" s="6"/>
    </row>
    <row r="318" spans="1:10">
      <c r="A318" s="9" t="s">
        <v>40</v>
      </c>
      <c r="B318" s="5">
        <v>189191.25</v>
      </c>
      <c r="C318" s="5">
        <v>227784.31</v>
      </c>
      <c r="D318" s="5">
        <v>191548.88</v>
      </c>
      <c r="E318" s="5">
        <v>155089.39000000001</v>
      </c>
      <c r="F318" s="5">
        <v>141468.17000000001</v>
      </c>
      <c r="G318" s="5">
        <v>131037.18</v>
      </c>
      <c r="H318" s="5"/>
      <c r="I318" s="5"/>
      <c r="J318" s="6"/>
    </row>
    <row r="319" spans="1:10">
      <c r="A319" s="9" t="s">
        <v>41</v>
      </c>
      <c r="B319" s="5">
        <v>3610189.25</v>
      </c>
      <c r="C319" s="5">
        <v>4202597</v>
      </c>
      <c r="D319" s="5">
        <v>3275426</v>
      </c>
      <c r="E319" s="5">
        <v>2962481.75</v>
      </c>
      <c r="F319" s="5">
        <v>2944059.25</v>
      </c>
      <c r="G319" s="5">
        <v>2110959.5</v>
      </c>
      <c r="H319" s="5"/>
      <c r="I319" s="5"/>
      <c r="J319" s="6"/>
    </row>
    <row r="320" spans="1:10">
      <c r="A320" s="9" t="s">
        <v>42</v>
      </c>
      <c r="B320" s="5">
        <v>17509338</v>
      </c>
      <c r="C320" s="5">
        <v>19295494</v>
      </c>
      <c r="D320" s="5">
        <v>15606215</v>
      </c>
      <c r="E320" s="5">
        <v>14425517</v>
      </c>
      <c r="F320" s="5">
        <v>13339941</v>
      </c>
      <c r="G320" s="5">
        <v>10449407</v>
      </c>
      <c r="H320" s="5"/>
      <c r="I320" s="5"/>
      <c r="J320" s="6"/>
    </row>
    <row r="321" spans="1:10">
      <c r="A321" s="9" t="s">
        <v>43</v>
      </c>
      <c r="B321" s="5">
        <v>28032510</v>
      </c>
      <c r="C321" s="5">
        <v>29682406</v>
      </c>
      <c r="D321" s="5">
        <v>24288886</v>
      </c>
      <c r="E321" s="5">
        <v>23759502</v>
      </c>
      <c r="F321" s="5">
        <v>20091604</v>
      </c>
      <c r="G321" s="5">
        <v>15941355</v>
      </c>
      <c r="H321" s="5"/>
      <c r="I321" s="5"/>
      <c r="J321" s="6"/>
    </row>
    <row r="322" spans="1:10">
      <c r="A322" s="9"/>
      <c r="B322" s="5"/>
      <c r="C322" s="5"/>
      <c r="D322" s="5"/>
      <c r="E322" s="5"/>
      <c r="F322" s="5"/>
      <c r="G322" s="5"/>
      <c r="H322" s="5"/>
      <c r="I322" s="5"/>
      <c r="J322" s="6"/>
    </row>
    <row r="323" spans="1:10" ht="15.75" thickBot="1">
      <c r="A323" s="10" t="s">
        <v>93</v>
      </c>
      <c r="B323" s="7">
        <f t="shared" ref="B323:G323" si="29">SUM(B315:B321)/SUM(B313:B314)</f>
        <v>7.3399618920701979</v>
      </c>
      <c r="C323" s="7">
        <f t="shared" si="29"/>
        <v>8.6952305212955885</v>
      </c>
      <c r="D323" s="7">
        <f t="shared" si="29"/>
        <v>4.7054112979482134</v>
      </c>
      <c r="E323" s="7">
        <f t="shared" si="29"/>
        <v>0.37032956127941047</v>
      </c>
      <c r="F323" s="7">
        <f t="shared" si="29"/>
        <v>0.34898941755649493</v>
      </c>
      <c r="G323" s="7">
        <f t="shared" si="29"/>
        <v>0.25062700705042806</v>
      </c>
      <c r="H323" s="7"/>
      <c r="I323" s="7"/>
      <c r="J323" s="8"/>
    </row>
    <row r="324" spans="1:10" ht="15.75" thickBo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>
      <c r="A325" s="15" t="s">
        <v>35</v>
      </c>
      <c r="B325" s="12" t="s">
        <v>57</v>
      </c>
      <c r="C325" s="12" t="s">
        <v>58</v>
      </c>
      <c r="D325" s="12" t="s">
        <v>59</v>
      </c>
      <c r="E325" s="12" t="s">
        <v>60</v>
      </c>
      <c r="F325" s="12" t="s">
        <v>61</v>
      </c>
      <c r="G325" s="12" t="s">
        <v>62</v>
      </c>
      <c r="H325" s="12" t="s">
        <v>63</v>
      </c>
      <c r="I325" s="12" t="s">
        <v>64</v>
      </c>
      <c r="J325" s="13" t="s">
        <v>65</v>
      </c>
    </row>
    <row r="326" spans="1:10">
      <c r="A326" s="9" t="s">
        <v>10</v>
      </c>
      <c r="B326" s="5">
        <v>1755580.12</v>
      </c>
      <c r="C326" s="5">
        <v>1618618.62</v>
      </c>
      <c r="D326" s="5">
        <v>1430398.12</v>
      </c>
      <c r="E326" s="5">
        <v>7751455.5</v>
      </c>
      <c r="F326" s="5">
        <v>7833566.5</v>
      </c>
      <c r="G326" s="5">
        <v>7369709.5</v>
      </c>
      <c r="H326" s="5">
        <v>37886620</v>
      </c>
      <c r="I326" s="5">
        <v>37666740</v>
      </c>
      <c r="J326" s="6">
        <v>42253068</v>
      </c>
    </row>
    <row r="327" spans="1:10">
      <c r="A327" s="9" t="s">
        <v>11</v>
      </c>
      <c r="B327" s="5">
        <v>156701.82999999999</v>
      </c>
      <c r="C327" s="5">
        <v>141798.19</v>
      </c>
      <c r="D327" s="5">
        <v>127746.94</v>
      </c>
      <c r="E327" s="5">
        <v>687996.06</v>
      </c>
      <c r="F327" s="5">
        <v>636496.31000000006</v>
      </c>
      <c r="G327" s="5">
        <v>691108.38</v>
      </c>
      <c r="H327" s="5">
        <v>3508007.25</v>
      </c>
      <c r="I327" s="5">
        <v>3625268</v>
      </c>
      <c r="J327" s="6">
        <v>3982733</v>
      </c>
    </row>
    <row r="328" spans="1:10">
      <c r="A328" s="9" t="s">
        <v>12</v>
      </c>
      <c r="B328" s="5">
        <v>43195.64</v>
      </c>
      <c r="C328" s="5">
        <v>42033.31</v>
      </c>
      <c r="D328" s="5">
        <v>31223.57</v>
      </c>
      <c r="E328" s="5">
        <v>212461.3</v>
      </c>
      <c r="F328" s="5">
        <v>198656.55</v>
      </c>
      <c r="G328" s="5">
        <v>149615.92000000001</v>
      </c>
      <c r="H328" s="5">
        <v>1040599.81</v>
      </c>
      <c r="I328" s="5">
        <v>1024549.06</v>
      </c>
      <c r="J328" s="6">
        <v>1175472.1200000001</v>
      </c>
    </row>
    <row r="329" spans="1:10">
      <c r="A329" s="9" t="s">
        <v>13</v>
      </c>
      <c r="B329" s="5">
        <v>8409.75</v>
      </c>
      <c r="C329" s="5">
        <v>5417.08</v>
      </c>
      <c r="D329" s="5">
        <v>0</v>
      </c>
      <c r="E329" s="5">
        <v>24394.57</v>
      </c>
      <c r="F329" s="5">
        <v>7273.58</v>
      </c>
      <c r="G329" s="5">
        <v>6536.72</v>
      </c>
      <c r="H329" s="5">
        <v>94828.69</v>
      </c>
      <c r="I329" s="5">
        <v>90965</v>
      </c>
      <c r="J329" s="6">
        <v>102861.01</v>
      </c>
    </row>
    <row r="330" spans="1:10">
      <c r="A330" s="9" t="s">
        <v>40</v>
      </c>
      <c r="B330" s="5">
        <v>78618.509999999995</v>
      </c>
      <c r="C330" s="5">
        <v>45799.5</v>
      </c>
      <c r="D330" s="5">
        <v>52441.71</v>
      </c>
      <c r="E330" s="5">
        <v>64339.6</v>
      </c>
      <c r="F330" s="5">
        <v>67048.160000000003</v>
      </c>
      <c r="G330" s="5">
        <v>67594.5</v>
      </c>
      <c r="H330" s="5">
        <v>67130.34</v>
      </c>
      <c r="I330" s="5">
        <v>69259.899999999994</v>
      </c>
      <c r="J330" s="6">
        <v>43680.86</v>
      </c>
    </row>
    <row r="331" spans="1:10">
      <c r="A331" s="9" t="s">
        <v>41</v>
      </c>
      <c r="B331" s="5">
        <v>1369629.88</v>
      </c>
      <c r="C331" s="5">
        <v>1089932.3799999999</v>
      </c>
      <c r="D331" s="5">
        <v>987065.06</v>
      </c>
      <c r="E331" s="5">
        <v>1214299.8799999999</v>
      </c>
      <c r="F331" s="5">
        <v>1226187.6200000001</v>
      </c>
      <c r="G331" s="5">
        <v>1135027.3799999999</v>
      </c>
      <c r="H331" s="5">
        <v>1151993.3799999999</v>
      </c>
      <c r="I331" s="5">
        <v>1134050</v>
      </c>
      <c r="J331" s="6">
        <v>1166533.25</v>
      </c>
    </row>
    <row r="332" spans="1:10">
      <c r="A332" s="9" t="s">
        <v>42</v>
      </c>
      <c r="B332" s="5">
        <v>5517501</v>
      </c>
      <c r="C332" s="5">
        <v>4731048.5</v>
      </c>
      <c r="D332" s="5">
        <v>3980502</v>
      </c>
      <c r="E332" s="5">
        <v>4852187.5</v>
      </c>
      <c r="F332" s="5">
        <v>5404348.5</v>
      </c>
      <c r="G332" s="5">
        <v>4738510.5</v>
      </c>
      <c r="H332" s="5">
        <v>4433323</v>
      </c>
      <c r="I332" s="5">
        <v>4955538</v>
      </c>
      <c r="J332" s="6">
        <v>4898141.5</v>
      </c>
    </row>
    <row r="333" spans="1:10">
      <c r="A333" s="9" t="s">
        <v>43</v>
      </c>
      <c r="B333" s="5">
        <v>6333093.5</v>
      </c>
      <c r="C333" s="5">
        <v>5963584</v>
      </c>
      <c r="D333" s="5">
        <v>4988928.5</v>
      </c>
      <c r="E333" s="5">
        <v>5692864</v>
      </c>
      <c r="F333" s="5">
        <v>6880466</v>
      </c>
      <c r="G333" s="5">
        <v>5934424</v>
      </c>
      <c r="H333" s="5">
        <v>5257932.5</v>
      </c>
      <c r="I333" s="5">
        <v>6130105.5</v>
      </c>
      <c r="J333" s="6">
        <v>5820333.5</v>
      </c>
    </row>
    <row r="334" spans="1:10">
      <c r="A334" s="9"/>
      <c r="B334" s="5"/>
      <c r="C334" s="5"/>
      <c r="D334" s="5"/>
      <c r="E334" s="5"/>
      <c r="F334" s="5"/>
      <c r="G334" s="5"/>
      <c r="H334" s="5"/>
      <c r="I334" s="5"/>
      <c r="J334" s="6"/>
    </row>
    <row r="335" spans="1:10" ht="15.75" thickBot="1">
      <c r="A335" s="10" t="s">
        <v>93</v>
      </c>
      <c r="B335" s="7">
        <f t="shared" ref="B335:J335" si="30">SUM(B328:B333)/SUM(B326:B327)</f>
        <v>6.9814225250622686</v>
      </c>
      <c r="C335" s="7">
        <f t="shared" si="30"/>
        <v>6.7471605034264579</v>
      </c>
      <c r="D335" s="7">
        <f t="shared" si="30"/>
        <v>6.4436624661891235</v>
      </c>
      <c r="E335" s="7">
        <f t="shared" si="30"/>
        <v>1.429067607563826</v>
      </c>
      <c r="F335" s="7">
        <f t="shared" si="30"/>
        <v>1.6273764102110595</v>
      </c>
      <c r="G335" s="7">
        <f t="shared" si="30"/>
        <v>1.4926164068105705</v>
      </c>
      <c r="H335" s="7">
        <f t="shared" si="30"/>
        <v>0.2909993040219972</v>
      </c>
      <c r="I335" s="7">
        <f t="shared" si="30"/>
        <v>0.32462619546135901</v>
      </c>
      <c r="J335" s="8">
        <f t="shared" si="30"/>
        <v>0.28564493215982134</v>
      </c>
    </row>
    <row r="336" spans="1:10" ht="15.75" thickBo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>
      <c r="A337" s="26" t="s">
        <v>35</v>
      </c>
      <c r="B337" s="12" t="s">
        <v>57</v>
      </c>
      <c r="C337" s="12" t="s">
        <v>58</v>
      </c>
      <c r="D337" s="12" t="s">
        <v>59</v>
      </c>
      <c r="E337" s="12" t="s">
        <v>63</v>
      </c>
      <c r="F337" s="12" t="s">
        <v>64</v>
      </c>
      <c r="G337" s="12" t="s">
        <v>65</v>
      </c>
      <c r="H337" s="12"/>
      <c r="I337" s="12"/>
      <c r="J337" s="13"/>
    </row>
    <row r="338" spans="1:10">
      <c r="A338" s="9" t="s">
        <v>10</v>
      </c>
      <c r="B338" s="5">
        <v>1716063.12</v>
      </c>
      <c r="C338" s="5">
        <v>1444670.38</v>
      </c>
      <c r="D338" s="5">
        <v>2166044.25</v>
      </c>
      <c r="E338" s="5">
        <v>36200944</v>
      </c>
      <c r="F338" s="5">
        <v>38196212</v>
      </c>
      <c r="G338" s="5">
        <v>37925744</v>
      </c>
      <c r="H338" s="5"/>
      <c r="I338" s="5"/>
      <c r="J338" s="6"/>
    </row>
    <row r="339" spans="1:10">
      <c r="A339" s="9" t="s">
        <v>11</v>
      </c>
      <c r="B339" s="5">
        <v>171713.64</v>
      </c>
      <c r="C339" s="5">
        <v>128202.78</v>
      </c>
      <c r="D339" s="5">
        <v>200266.5</v>
      </c>
      <c r="E339" s="5">
        <v>3380086.75</v>
      </c>
      <c r="F339" s="5">
        <v>3303578</v>
      </c>
      <c r="G339" s="5">
        <v>3217074.25</v>
      </c>
      <c r="H339" s="5"/>
      <c r="I339" s="5"/>
      <c r="J339" s="6"/>
    </row>
    <row r="340" spans="1:10">
      <c r="A340" s="9" t="s">
        <v>12</v>
      </c>
      <c r="B340" s="5">
        <v>48276.36</v>
      </c>
      <c r="C340" s="5">
        <v>39283.29</v>
      </c>
      <c r="D340" s="5">
        <v>64871.49</v>
      </c>
      <c r="E340" s="5">
        <v>1005198.19</v>
      </c>
      <c r="F340" s="5">
        <v>913165</v>
      </c>
      <c r="G340" s="5">
        <v>1036296.19</v>
      </c>
      <c r="H340" s="5"/>
      <c r="I340" s="5"/>
      <c r="J340" s="6"/>
    </row>
    <row r="341" spans="1:10">
      <c r="A341" s="9" t="s">
        <v>13</v>
      </c>
      <c r="B341" s="5">
        <v>0</v>
      </c>
      <c r="C341" s="5">
        <v>0</v>
      </c>
      <c r="D341" s="5">
        <v>0</v>
      </c>
      <c r="E341" s="5">
        <v>87857.31</v>
      </c>
      <c r="F341" s="5">
        <v>85429.86</v>
      </c>
      <c r="G341" s="5">
        <v>89967.07</v>
      </c>
      <c r="H341" s="5"/>
      <c r="I341" s="5"/>
      <c r="J341" s="6"/>
    </row>
    <row r="342" spans="1:10">
      <c r="A342" s="9" t="s">
        <v>40</v>
      </c>
      <c r="B342" s="5">
        <v>52141.74</v>
      </c>
      <c r="C342" s="5">
        <v>54517.46</v>
      </c>
      <c r="D342" s="5">
        <v>48031.72</v>
      </c>
      <c r="E342" s="5">
        <v>32526.55</v>
      </c>
      <c r="F342" s="5">
        <v>31832.76</v>
      </c>
      <c r="G342" s="5">
        <v>23781.77</v>
      </c>
      <c r="H342" s="5"/>
      <c r="I342" s="5"/>
      <c r="J342" s="6"/>
    </row>
    <row r="343" spans="1:10">
      <c r="A343" s="9" t="s">
        <v>41</v>
      </c>
      <c r="B343" s="5">
        <v>888155.94</v>
      </c>
      <c r="C343" s="5">
        <v>992465.19</v>
      </c>
      <c r="D343" s="5">
        <v>826992.75</v>
      </c>
      <c r="E343" s="5">
        <v>834601.06</v>
      </c>
      <c r="F343" s="5">
        <v>864757.56</v>
      </c>
      <c r="G343" s="5">
        <v>624367.68999999994</v>
      </c>
      <c r="H343" s="5"/>
      <c r="I343" s="5"/>
      <c r="J343" s="6"/>
    </row>
    <row r="344" spans="1:10">
      <c r="A344" s="9" t="s">
        <v>42</v>
      </c>
      <c r="B344" s="5">
        <v>4708147.5</v>
      </c>
      <c r="C344" s="5">
        <v>5148316.5</v>
      </c>
      <c r="D344" s="5">
        <v>4121694.25</v>
      </c>
      <c r="E344" s="5">
        <v>4363738</v>
      </c>
      <c r="F344" s="5">
        <v>4142052</v>
      </c>
      <c r="G344" s="5">
        <v>3107156</v>
      </c>
      <c r="H344" s="5"/>
      <c r="I344" s="5"/>
      <c r="J344" s="6"/>
    </row>
    <row r="345" spans="1:10">
      <c r="A345" s="9" t="s">
        <v>43</v>
      </c>
      <c r="B345" s="5">
        <v>8405383</v>
      </c>
      <c r="C345" s="5">
        <v>8173747.5</v>
      </c>
      <c r="D345" s="5">
        <v>6683985.5</v>
      </c>
      <c r="E345" s="5">
        <v>7596468</v>
      </c>
      <c r="F345" s="5">
        <v>6620505.5</v>
      </c>
      <c r="G345" s="5">
        <v>4827424.5</v>
      </c>
      <c r="H345" s="5"/>
      <c r="I345" s="5"/>
      <c r="J345" s="6"/>
    </row>
    <row r="346" spans="1:10">
      <c r="A346" s="9"/>
      <c r="B346" s="5"/>
      <c r="C346" s="5"/>
      <c r="D346" s="5"/>
      <c r="E346" s="5"/>
      <c r="F346" s="5"/>
      <c r="G346" s="5"/>
      <c r="H346" s="5"/>
      <c r="I346" s="5"/>
      <c r="J346" s="6"/>
    </row>
    <row r="347" spans="1:10" ht="15.75" thickBot="1">
      <c r="A347" s="10" t="s">
        <v>93</v>
      </c>
      <c r="B347" s="7">
        <f t="shared" ref="B347:G347" si="31">SUM(B340:B345)/SUM(B338:B339)</f>
        <v>7.4702183217892761</v>
      </c>
      <c r="C347" s="7">
        <f t="shared" si="31"/>
        <v>9.1605161219738793</v>
      </c>
      <c r="D347" s="7">
        <f t="shared" si="31"/>
        <v>4.9636657864990896</v>
      </c>
      <c r="E347" s="7">
        <f t="shared" si="31"/>
        <v>0.35169344623497456</v>
      </c>
      <c r="F347" s="7">
        <f t="shared" si="31"/>
        <v>0.30500739112173819</v>
      </c>
      <c r="G347" s="7">
        <f t="shared" si="31"/>
        <v>0.23598269717461562</v>
      </c>
      <c r="H347" s="7"/>
      <c r="I347" s="7"/>
      <c r="J347" s="8"/>
    </row>
    <row r="348" spans="1:10" ht="15.75" thickBot="1"/>
    <row r="349" spans="1:10">
      <c r="A349" s="14" t="s">
        <v>32</v>
      </c>
      <c r="B349" s="12" t="s">
        <v>1</v>
      </c>
      <c r="C349" s="12" t="s">
        <v>2</v>
      </c>
      <c r="D349" s="12" t="s">
        <v>3</v>
      </c>
      <c r="E349" s="12" t="s">
        <v>4</v>
      </c>
      <c r="F349" s="12" t="s">
        <v>5</v>
      </c>
      <c r="G349" s="12" t="s">
        <v>6</v>
      </c>
      <c r="H349" s="12" t="s">
        <v>7</v>
      </c>
      <c r="I349" s="12" t="s">
        <v>8</v>
      </c>
      <c r="J349" s="13" t="s">
        <v>9</v>
      </c>
    </row>
    <row r="350" spans="1:10">
      <c r="A350" s="9" t="s">
        <v>10</v>
      </c>
      <c r="B350" s="5">
        <v>426388.53</v>
      </c>
      <c r="C350" s="5">
        <v>463890.38</v>
      </c>
      <c r="D350" s="5">
        <v>461663.53</v>
      </c>
      <c r="E350" s="5">
        <v>1900819</v>
      </c>
      <c r="F350" s="5">
        <v>2043603.38</v>
      </c>
      <c r="G350" s="5">
        <v>2000791.62</v>
      </c>
      <c r="H350" s="5">
        <v>9091928</v>
      </c>
      <c r="I350" s="5">
        <v>8833749</v>
      </c>
      <c r="J350" s="6">
        <v>9712311</v>
      </c>
    </row>
    <row r="351" spans="1:10">
      <c r="A351" s="9" t="s">
        <v>11</v>
      </c>
      <c r="B351" s="5">
        <v>37636.68</v>
      </c>
      <c r="C351" s="5">
        <v>38928.07</v>
      </c>
      <c r="D351" s="5">
        <v>44256.76</v>
      </c>
      <c r="E351" s="5">
        <v>178604.31</v>
      </c>
      <c r="F351" s="5">
        <v>185125.7</v>
      </c>
      <c r="G351" s="5">
        <v>199581.55</v>
      </c>
      <c r="H351" s="5">
        <v>886940</v>
      </c>
      <c r="I351" s="5">
        <v>843945.25</v>
      </c>
      <c r="J351" s="6">
        <v>939567.69</v>
      </c>
    </row>
    <row r="352" spans="1:10">
      <c r="A352" s="9" t="s">
        <v>12</v>
      </c>
      <c r="B352" s="5">
        <v>3939.14</v>
      </c>
      <c r="C352" s="5">
        <v>12689.07</v>
      </c>
      <c r="D352" s="5">
        <v>6549.31</v>
      </c>
      <c r="E352" s="5">
        <v>16353.41</v>
      </c>
      <c r="F352" s="5">
        <v>24753.26</v>
      </c>
      <c r="G352" s="5">
        <v>37579.910000000003</v>
      </c>
      <c r="H352" s="5">
        <v>151802.47</v>
      </c>
      <c r="I352" s="5">
        <v>145239.67000000001</v>
      </c>
      <c r="J352" s="6">
        <v>162708.70000000001</v>
      </c>
    </row>
    <row r="353" spans="1:10">
      <c r="A353" s="9" t="s">
        <v>13</v>
      </c>
      <c r="B353" s="5">
        <v>1078.92</v>
      </c>
      <c r="C353" s="5">
        <v>2273.98</v>
      </c>
      <c r="D353" s="5">
        <v>0</v>
      </c>
      <c r="E353" s="5">
        <v>4011.5</v>
      </c>
      <c r="F353" s="5">
        <v>2828.42</v>
      </c>
      <c r="G353" s="5">
        <v>4743.75</v>
      </c>
      <c r="H353" s="5">
        <v>16214.52</v>
      </c>
      <c r="I353" s="5">
        <v>17362.46</v>
      </c>
      <c r="J353" s="6">
        <v>18350.52</v>
      </c>
    </row>
    <row r="354" spans="1:10">
      <c r="A354" s="9" t="s">
        <v>40</v>
      </c>
      <c r="B354" s="5">
        <v>12469.13</v>
      </c>
      <c r="C354" s="5">
        <v>12895.91</v>
      </c>
      <c r="D354" s="5">
        <v>11800.29</v>
      </c>
      <c r="E354" s="5">
        <v>13366.23</v>
      </c>
      <c r="F354" s="5">
        <v>12172.8</v>
      </c>
      <c r="G354" s="5">
        <v>11890.7</v>
      </c>
      <c r="H354" s="5">
        <v>14962.65</v>
      </c>
      <c r="I354" s="5">
        <v>7714.1</v>
      </c>
      <c r="J354" s="6">
        <v>11830.07</v>
      </c>
    </row>
    <row r="355" spans="1:10">
      <c r="A355" s="9" t="s">
        <v>41</v>
      </c>
      <c r="B355" s="5">
        <v>224949.38</v>
      </c>
      <c r="C355" s="5">
        <v>244952.38</v>
      </c>
      <c r="D355" s="5">
        <v>226315.55</v>
      </c>
      <c r="E355" s="5">
        <v>206153.38</v>
      </c>
      <c r="F355" s="5">
        <v>239866.11</v>
      </c>
      <c r="G355" s="5">
        <v>228963.56</v>
      </c>
      <c r="H355" s="5">
        <v>179337.2</v>
      </c>
      <c r="I355" s="5">
        <v>174177.53</v>
      </c>
      <c r="J355" s="6">
        <v>214936.45</v>
      </c>
    </row>
    <row r="356" spans="1:10">
      <c r="A356" s="9" t="s">
        <v>42</v>
      </c>
      <c r="B356" s="5">
        <v>897246.25</v>
      </c>
      <c r="C356" s="5">
        <v>906560.5</v>
      </c>
      <c r="D356" s="5">
        <v>919606.81</v>
      </c>
      <c r="E356" s="5">
        <v>783761.81</v>
      </c>
      <c r="F356" s="5">
        <v>924985.31</v>
      </c>
      <c r="G356" s="5">
        <v>872056.69</v>
      </c>
      <c r="H356" s="5">
        <v>727715</v>
      </c>
      <c r="I356" s="5">
        <v>701085.81</v>
      </c>
      <c r="J356" s="6">
        <v>826147.06</v>
      </c>
    </row>
    <row r="357" spans="1:10">
      <c r="A357" s="9" t="s">
        <v>43</v>
      </c>
      <c r="B357" s="5">
        <v>974182.75</v>
      </c>
      <c r="C357" s="5">
        <v>1164766.8799999999</v>
      </c>
      <c r="D357" s="5">
        <v>1130016</v>
      </c>
      <c r="E357" s="5">
        <v>916458.25</v>
      </c>
      <c r="F357" s="5">
        <v>1188245.1200000001</v>
      </c>
      <c r="G357" s="5">
        <v>1090824.8799999999</v>
      </c>
      <c r="H357" s="5">
        <v>831356.81</v>
      </c>
      <c r="I357" s="5">
        <v>903373.56</v>
      </c>
      <c r="J357" s="6">
        <v>1000898.19</v>
      </c>
    </row>
    <row r="358" spans="1:10">
      <c r="A358" s="9"/>
      <c r="B358" s="5"/>
      <c r="C358" s="5"/>
      <c r="D358" s="5"/>
      <c r="E358" s="5"/>
      <c r="F358" s="5"/>
      <c r="G358" s="5"/>
      <c r="H358" s="5"/>
      <c r="I358" s="5"/>
      <c r="J358" s="6"/>
    </row>
    <row r="359" spans="1:10" ht="15.75" thickBot="1">
      <c r="A359" s="10" t="s">
        <v>93</v>
      </c>
      <c r="B359" s="7">
        <f t="shared" ref="B359:J359" si="32">SUM(B352:B357)/SUM(B350:B351)</f>
        <v>4.5554972541254823</v>
      </c>
      <c r="C359" s="7">
        <f t="shared" si="32"/>
        <v>4.6619982222211611</v>
      </c>
      <c r="D359" s="7">
        <f t="shared" si="32"/>
        <v>4.5348803069353076</v>
      </c>
      <c r="E359" s="7">
        <f t="shared" si="32"/>
        <v>0.93300126562493912</v>
      </c>
      <c r="F359" s="7">
        <f t="shared" si="32"/>
        <v>1.0736392509402712</v>
      </c>
      <c r="G359" s="7">
        <f t="shared" si="32"/>
        <v>1.020762987216391</v>
      </c>
      <c r="H359" s="7">
        <f t="shared" si="32"/>
        <v>0.19254575268457302</v>
      </c>
      <c r="I359" s="7">
        <f t="shared" si="32"/>
        <v>0.20138610289325892</v>
      </c>
      <c r="J359" s="8">
        <f t="shared" si="32"/>
        <v>0.20981003023420655</v>
      </c>
    </row>
    <row r="360" spans="1:10" ht="15.75" thickBot="1"/>
    <row r="361" spans="1:10">
      <c r="A361" s="25" t="s">
        <v>32</v>
      </c>
      <c r="B361" s="12" t="s">
        <v>1</v>
      </c>
      <c r="C361" s="12" t="s">
        <v>2</v>
      </c>
      <c r="D361" s="12" t="s">
        <v>3</v>
      </c>
      <c r="E361" s="12" t="s">
        <v>7</v>
      </c>
      <c r="F361" s="12" t="s">
        <v>8</v>
      </c>
      <c r="G361" s="12" t="s">
        <v>9</v>
      </c>
      <c r="H361" s="12"/>
      <c r="I361" s="12"/>
      <c r="J361" s="13"/>
    </row>
    <row r="362" spans="1:10">
      <c r="A362" s="9" t="s">
        <v>10</v>
      </c>
      <c r="B362" s="5">
        <v>521756.88</v>
      </c>
      <c r="C362" s="5">
        <v>498964.97</v>
      </c>
      <c r="D362" s="5">
        <v>732712.56</v>
      </c>
      <c r="E362" s="5">
        <v>8794251</v>
      </c>
      <c r="F362" s="5">
        <v>8781096</v>
      </c>
      <c r="G362" s="5">
        <v>9167053</v>
      </c>
      <c r="H362" s="5"/>
      <c r="I362" s="5"/>
      <c r="J362" s="6"/>
    </row>
    <row r="363" spans="1:10">
      <c r="A363" s="9" t="s">
        <v>11</v>
      </c>
      <c r="B363" s="5">
        <v>50971.14</v>
      </c>
      <c r="C363" s="5">
        <v>46775.9</v>
      </c>
      <c r="D363" s="5">
        <v>78201.7</v>
      </c>
      <c r="E363" s="5">
        <v>852813</v>
      </c>
      <c r="F363" s="5">
        <v>756435.06</v>
      </c>
      <c r="G363" s="5">
        <v>870049.94</v>
      </c>
      <c r="H363" s="5"/>
      <c r="I363" s="5"/>
      <c r="J363" s="6"/>
    </row>
    <row r="364" spans="1:10">
      <c r="A364" s="9" t="s">
        <v>12</v>
      </c>
      <c r="B364" s="5">
        <v>2103.5</v>
      </c>
      <c r="C364" s="5">
        <v>2775.2</v>
      </c>
      <c r="D364" s="5">
        <v>0</v>
      </c>
      <c r="E364" s="5">
        <v>0</v>
      </c>
      <c r="F364" s="5">
        <v>32350.18</v>
      </c>
      <c r="G364" s="5">
        <v>0</v>
      </c>
      <c r="H364" s="5"/>
      <c r="I364" s="5"/>
      <c r="J364" s="6"/>
    </row>
    <row r="365" spans="1:10">
      <c r="A365" s="9" t="s">
        <v>13</v>
      </c>
      <c r="B365" s="5">
        <v>0</v>
      </c>
      <c r="C365" s="5">
        <v>0</v>
      </c>
      <c r="D365" s="5">
        <v>0</v>
      </c>
      <c r="E365" s="5">
        <v>11177.83</v>
      </c>
      <c r="F365" s="5">
        <v>4657.47</v>
      </c>
      <c r="G365" s="5">
        <v>5918.93</v>
      </c>
      <c r="H365" s="5"/>
      <c r="I365" s="5"/>
      <c r="J365" s="6"/>
    </row>
    <row r="366" spans="1:10">
      <c r="A366" s="9" t="s">
        <v>40</v>
      </c>
      <c r="B366" s="5">
        <v>8016.25</v>
      </c>
      <c r="C366" s="5">
        <v>11522.74</v>
      </c>
      <c r="D366" s="5">
        <v>11365.81</v>
      </c>
      <c r="E366" s="5">
        <v>6826.69</v>
      </c>
      <c r="F366" s="5">
        <v>11917.36</v>
      </c>
      <c r="G366" s="5">
        <v>7237.38</v>
      </c>
      <c r="H366" s="5"/>
      <c r="I366" s="5"/>
      <c r="J366" s="6"/>
    </row>
    <row r="367" spans="1:10">
      <c r="A367" s="9" t="s">
        <v>41</v>
      </c>
      <c r="B367" s="5">
        <v>173141.17</v>
      </c>
      <c r="C367" s="5">
        <v>183324.69</v>
      </c>
      <c r="D367" s="5">
        <v>193441.02</v>
      </c>
      <c r="E367" s="5">
        <v>141276.98000000001</v>
      </c>
      <c r="F367" s="5">
        <v>128237.44</v>
      </c>
      <c r="G367" s="5">
        <v>141943.22</v>
      </c>
      <c r="H367" s="5"/>
      <c r="I367" s="5"/>
      <c r="J367" s="6"/>
    </row>
    <row r="368" spans="1:10">
      <c r="A368" s="9" t="s">
        <v>42</v>
      </c>
      <c r="B368" s="5">
        <v>858270.81</v>
      </c>
      <c r="C368" s="5">
        <v>867236.19</v>
      </c>
      <c r="D368" s="5">
        <v>901907.56</v>
      </c>
      <c r="E368" s="5">
        <v>666087.12</v>
      </c>
      <c r="F368" s="5">
        <v>612402.31000000006</v>
      </c>
      <c r="G368" s="5">
        <v>669656.56000000006</v>
      </c>
      <c r="H368" s="5"/>
      <c r="I368" s="5"/>
      <c r="J368" s="6"/>
    </row>
    <row r="369" spans="1:10">
      <c r="A369" s="9" t="s">
        <v>43</v>
      </c>
      <c r="B369" s="5">
        <v>1402859</v>
      </c>
      <c r="C369" s="5">
        <v>1285312.5</v>
      </c>
      <c r="D369" s="5">
        <v>1409762.5</v>
      </c>
      <c r="E369" s="5">
        <v>1080316.1200000001</v>
      </c>
      <c r="F369" s="5">
        <v>875137</v>
      </c>
      <c r="G369" s="5">
        <v>1110914.6200000001</v>
      </c>
      <c r="H369" s="5"/>
      <c r="I369" s="5"/>
      <c r="J369" s="6"/>
    </row>
    <row r="370" spans="1:10">
      <c r="A370" s="9"/>
      <c r="B370" s="5"/>
      <c r="C370" s="5"/>
      <c r="D370" s="5"/>
      <c r="E370" s="5"/>
      <c r="F370" s="5"/>
      <c r="G370" s="5"/>
      <c r="H370" s="5"/>
      <c r="I370" s="5"/>
      <c r="J370" s="6"/>
    </row>
    <row r="371" spans="1:10" ht="15.75" thickBot="1">
      <c r="A371" s="10" t="s">
        <v>93</v>
      </c>
      <c r="B371" s="7">
        <f t="shared" ref="B371:G371" si="33">SUM(B364:B369)/SUM(B362:B363)</f>
        <v>4.2679782455902888</v>
      </c>
      <c r="C371" s="7">
        <f t="shared" si="33"/>
        <v>4.3063868755147476</v>
      </c>
      <c r="D371" s="7">
        <f t="shared" si="33"/>
        <v>3.1032588944730115</v>
      </c>
      <c r="E371" s="7">
        <f t="shared" si="33"/>
        <v>0.1975403853441835</v>
      </c>
      <c r="F371" s="7">
        <f t="shared" si="33"/>
        <v>0.1745422111369774</v>
      </c>
      <c r="G371" s="7">
        <f t="shared" si="33"/>
        <v>0.19285153510640396</v>
      </c>
      <c r="H371" s="7"/>
      <c r="I371" s="7"/>
      <c r="J371" s="8"/>
    </row>
    <row r="372" spans="1:10" ht="15.75" thickBo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>
      <c r="A373" s="15" t="s">
        <v>32</v>
      </c>
      <c r="B373" s="12" t="s">
        <v>57</v>
      </c>
      <c r="C373" s="12" t="s">
        <v>58</v>
      </c>
      <c r="D373" s="12" t="s">
        <v>59</v>
      </c>
      <c r="E373" s="12" t="s">
        <v>60</v>
      </c>
      <c r="F373" s="12" t="s">
        <v>61</v>
      </c>
      <c r="G373" s="12" t="s">
        <v>62</v>
      </c>
      <c r="H373" s="12" t="s">
        <v>63</v>
      </c>
      <c r="I373" s="12" t="s">
        <v>64</v>
      </c>
      <c r="J373" s="13" t="s">
        <v>65</v>
      </c>
    </row>
    <row r="374" spans="1:10">
      <c r="A374" s="9" t="s">
        <v>10</v>
      </c>
      <c r="B374" s="5">
        <v>160724.5</v>
      </c>
      <c r="C374" s="5">
        <v>137139.01999999999</v>
      </c>
      <c r="D374" s="5">
        <v>149932.29999999999</v>
      </c>
      <c r="E374" s="5">
        <v>697449.06</v>
      </c>
      <c r="F374" s="5">
        <v>746616.31</v>
      </c>
      <c r="G374" s="5">
        <v>686684.94</v>
      </c>
      <c r="H374" s="5">
        <v>3538764.25</v>
      </c>
      <c r="I374" s="5">
        <v>3438212.75</v>
      </c>
      <c r="J374" s="6">
        <v>3508656</v>
      </c>
    </row>
    <row r="375" spans="1:10">
      <c r="A375" s="9" t="s">
        <v>11</v>
      </c>
      <c r="B375" s="5">
        <v>8517.64</v>
      </c>
      <c r="C375" s="5">
        <v>5530.84</v>
      </c>
      <c r="D375" s="5">
        <v>14461.09</v>
      </c>
      <c r="E375" s="5">
        <v>61817.31</v>
      </c>
      <c r="F375" s="5">
        <v>66128.27</v>
      </c>
      <c r="G375" s="5">
        <v>54714.91</v>
      </c>
      <c r="H375" s="5">
        <v>337332.28</v>
      </c>
      <c r="I375" s="5">
        <v>283545.75</v>
      </c>
      <c r="J375" s="6">
        <v>299254.65999999997</v>
      </c>
    </row>
    <row r="376" spans="1:10">
      <c r="A376" s="9" t="s">
        <v>12</v>
      </c>
      <c r="B376" s="5">
        <v>0</v>
      </c>
      <c r="C376" s="5">
        <v>0</v>
      </c>
      <c r="D376" s="5">
        <v>0</v>
      </c>
      <c r="E376" s="5">
        <v>0</v>
      </c>
      <c r="F376" s="5">
        <v>0</v>
      </c>
      <c r="G376" s="5">
        <v>2794.53</v>
      </c>
      <c r="H376" s="5">
        <v>0</v>
      </c>
      <c r="I376" s="5">
        <v>0</v>
      </c>
      <c r="J376" s="6">
        <v>0</v>
      </c>
    </row>
    <row r="377" spans="1:10">
      <c r="A377" s="9" t="s">
        <v>40</v>
      </c>
      <c r="B377" s="5">
        <v>0</v>
      </c>
      <c r="C377" s="5">
        <v>0</v>
      </c>
      <c r="D377" s="5">
        <v>0</v>
      </c>
      <c r="E377" s="5">
        <v>0</v>
      </c>
      <c r="F377" s="5">
        <v>4488.5600000000004</v>
      </c>
      <c r="G377" s="5">
        <v>3990.94</v>
      </c>
      <c r="H377" s="5">
        <v>4345.3999999999996</v>
      </c>
      <c r="I377" s="5">
        <v>0</v>
      </c>
      <c r="J377" s="6">
        <v>0</v>
      </c>
    </row>
    <row r="378" spans="1:10">
      <c r="A378" s="9" t="s">
        <v>41</v>
      </c>
      <c r="B378" s="5">
        <v>76505.460000000006</v>
      </c>
      <c r="C378" s="5">
        <v>79419.679999999993</v>
      </c>
      <c r="D378" s="5">
        <v>85622.69</v>
      </c>
      <c r="E378" s="5">
        <v>81259.240000000005</v>
      </c>
      <c r="F378" s="5">
        <v>102153.85</v>
      </c>
      <c r="G378" s="5">
        <v>83776.570000000007</v>
      </c>
      <c r="H378" s="5">
        <v>90808.38</v>
      </c>
      <c r="I378" s="5">
        <v>79507.45</v>
      </c>
      <c r="J378" s="6">
        <v>71534.8</v>
      </c>
    </row>
    <row r="379" spans="1:10">
      <c r="A379" s="9" t="s">
        <v>42</v>
      </c>
      <c r="B379" s="5">
        <v>323341.65999999997</v>
      </c>
      <c r="C379" s="5">
        <v>342681.69</v>
      </c>
      <c r="D379" s="5">
        <v>354419.09</v>
      </c>
      <c r="E379" s="5">
        <v>328786.65999999997</v>
      </c>
      <c r="F379" s="5">
        <v>374722.91</v>
      </c>
      <c r="G379" s="5">
        <v>312872.40999999997</v>
      </c>
      <c r="H379" s="5">
        <v>275879.84000000003</v>
      </c>
      <c r="I379" s="5">
        <v>286146.21999999997</v>
      </c>
      <c r="J379" s="6">
        <v>318448.88</v>
      </c>
    </row>
    <row r="380" spans="1:10">
      <c r="A380" s="9" t="s">
        <v>43</v>
      </c>
      <c r="B380" s="5">
        <v>363522.16</v>
      </c>
      <c r="C380" s="5">
        <v>440361.47</v>
      </c>
      <c r="D380" s="5">
        <v>423676.97</v>
      </c>
      <c r="E380" s="5">
        <v>375253.09</v>
      </c>
      <c r="F380" s="5">
        <v>464088.75</v>
      </c>
      <c r="G380" s="5">
        <v>431992.25</v>
      </c>
      <c r="H380" s="5">
        <v>326709.25</v>
      </c>
      <c r="I380" s="5">
        <v>332462.5</v>
      </c>
      <c r="J380" s="6">
        <v>361834.91</v>
      </c>
    </row>
    <row r="381" spans="1:10">
      <c r="A381" s="9"/>
      <c r="B381" s="5"/>
      <c r="C381" s="5"/>
      <c r="D381" s="5"/>
      <c r="E381" s="5"/>
      <c r="F381" s="5"/>
      <c r="G381" s="5"/>
      <c r="H381" s="5"/>
      <c r="I381" s="5"/>
      <c r="J381" s="6"/>
    </row>
    <row r="382" spans="1:10" ht="15.75" thickBot="1">
      <c r="A382" s="10" t="s">
        <v>93</v>
      </c>
      <c r="B382" s="7">
        <f t="shared" ref="B382:J382" si="34">SUM(B376:B380)/SUM(B374:B375)</f>
        <v>4.5105154070966007</v>
      </c>
      <c r="C382" s="7">
        <f t="shared" si="34"/>
        <v>6.04516497037286</v>
      </c>
      <c r="D382" s="7">
        <f t="shared" si="34"/>
        <v>5.2539749317171456</v>
      </c>
      <c r="E382" s="7">
        <f t="shared" si="34"/>
        <v>1.0342865442598226</v>
      </c>
      <c r="F382" s="7">
        <f t="shared" si="34"/>
        <v>1.1632856044392199</v>
      </c>
      <c r="G382" s="7">
        <f t="shared" si="34"/>
        <v>1.1268234003554223</v>
      </c>
      <c r="H382" s="7">
        <f t="shared" si="34"/>
        <v>0.1800117372205898</v>
      </c>
      <c r="I382" s="7">
        <f t="shared" si="34"/>
        <v>0.18757696664090373</v>
      </c>
      <c r="J382" s="8">
        <f t="shared" si="34"/>
        <v>0.19743598448814445</v>
      </c>
    </row>
    <row r="383" spans="1:10" ht="15.75" thickBo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>
      <c r="A384" s="26" t="s">
        <v>32</v>
      </c>
      <c r="B384" s="12" t="s">
        <v>57</v>
      </c>
      <c r="C384" s="12" t="s">
        <v>58</v>
      </c>
      <c r="D384" s="12" t="s">
        <v>59</v>
      </c>
      <c r="E384" s="12" t="s">
        <v>63</v>
      </c>
      <c r="F384" s="12" t="s">
        <v>64</v>
      </c>
      <c r="G384" s="12" t="s">
        <v>65</v>
      </c>
      <c r="H384" s="12"/>
      <c r="I384" s="12"/>
      <c r="J384" s="13"/>
    </row>
    <row r="385" spans="1:10">
      <c r="A385" s="9" t="s">
        <v>10</v>
      </c>
      <c r="B385" s="5">
        <v>198155.06</v>
      </c>
      <c r="C385" s="5">
        <v>151847.64000000001</v>
      </c>
      <c r="D385" s="5">
        <v>240120.14</v>
      </c>
      <c r="E385" s="5">
        <v>3004907.75</v>
      </c>
      <c r="F385" s="5">
        <v>3314100</v>
      </c>
      <c r="G385" s="5">
        <v>3116505</v>
      </c>
      <c r="H385" s="5"/>
      <c r="I385" s="5"/>
      <c r="J385" s="6"/>
    </row>
    <row r="386" spans="1:10">
      <c r="A386" s="9" t="s">
        <v>11</v>
      </c>
      <c r="B386" s="5">
        <v>15431.52</v>
      </c>
      <c r="C386" s="5">
        <v>13607.87</v>
      </c>
      <c r="D386" s="5">
        <v>26497.3</v>
      </c>
      <c r="E386" s="5">
        <v>282945.40999999997</v>
      </c>
      <c r="F386" s="5">
        <v>285945.19</v>
      </c>
      <c r="G386" s="5">
        <v>241887.42</v>
      </c>
      <c r="H386" s="5"/>
      <c r="I386" s="5"/>
      <c r="J386" s="6"/>
    </row>
    <row r="387" spans="1:10">
      <c r="A387" s="9" t="s">
        <v>12</v>
      </c>
      <c r="B387" s="5">
        <v>65935</v>
      </c>
      <c r="C387" s="5">
        <v>0</v>
      </c>
      <c r="D387" s="5">
        <v>12466.71</v>
      </c>
      <c r="E387" s="5">
        <v>10410.469999999999</v>
      </c>
      <c r="F387" s="5">
        <v>0</v>
      </c>
      <c r="G387" s="5">
        <v>4134.1899999999996</v>
      </c>
      <c r="H387" s="5"/>
      <c r="I387" s="5"/>
      <c r="J387" s="6"/>
    </row>
    <row r="388" spans="1:10">
      <c r="A388" s="9" t="s">
        <v>13</v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  <c r="G388" s="5">
        <v>3332.84</v>
      </c>
      <c r="H388" s="5"/>
      <c r="I388" s="5"/>
      <c r="J388" s="6"/>
    </row>
    <row r="389" spans="1:10">
      <c r="A389" s="9" t="s">
        <v>40</v>
      </c>
      <c r="B389" s="5">
        <v>3197.97</v>
      </c>
      <c r="C389" s="5">
        <v>0</v>
      </c>
      <c r="D389" s="5">
        <v>0</v>
      </c>
      <c r="E389" s="5">
        <v>0</v>
      </c>
      <c r="F389" s="5">
        <v>0</v>
      </c>
      <c r="G389" s="5">
        <v>3829.33</v>
      </c>
      <c r="H389" s="5"/>
      <c r="I389" s="5"/>
      <c r="J389" s="6"/>
    </row>
    <row r="390" spans="1:10">
      <c r="A390" s="9" t="s">
        <v>41</v>
      </c>
      <c r="B390" s="5">
        <v>68565.789999999994</v>
      </c>
      <c r="C390" s="5">
        <v>64951.26</v>
      </c>
      <c r="D390" s="5">
        <v>59739.58</v>
      </c>
      <c r="E390" s="5">
        <v>44793.42</v>
      </c>
      <c r="F390" s="5">
        <v>51047.25</v>
      </c>
      <c r="G390" s="5">
        <v>49410.59</v>
      </c>
      <c r="H390" s="5"/>
      <c r="I390" s="5"/>
      <c r="J390" s="6"/>
    </row>
    <row r="391" spans="1:10">
      <c r="A391" s="9" t="s">
        <v>42</v>
      </c>
      <c r="B391" s="5">
        <v>339387.75</v>
      </c>
      <c r="C391" s="5">
        <v>268380.65999999997</v>
      </c>
      <c r="D391" s="5">
        <v>328526.21999999997</v>
      </c>
      <c r="E391" s="5">
        <v>219633.45</v>
      </c>
      <c r="F391" s="5">
        <v>247573.31</v>
      </c>
      <c r="G391" s="5">
        <v>189447.08</v>
      </c>
      <c r="H391" s="5"/>
      <c r="I391" s="5"/>
      <c r="J391" s="6"/>
    </row>
    <row r="392" spans="1:10">
      <c r="A392" s="9" t="s">
        <v>43</v>
      </c>
      <c r="B392" s="5">
        <v>585458.06000000006</v>
      </c>
      <c r="C392" s="5">
        <v>453633.41</v>
      </c>
      <c r="D392" s="5">
        <v>508538.28</v>
      </c>
      <c r="E392" s="5">
        <v>357380.66</v>
      </c>
      <c r="F392" s="5">
        <v>369230</v>
      </c>
      <c r="G392" s="5">
        <v>364651.41</v>
      </c>
      <c r="H392" s="5"/>
      <c r="I392" s="5"/>
      <c r="J392" s="6"/>
    </row>
    <row r="393" spans="1:10">
      <c r="A393" s="9"/>
      <c r="B393" s="5"/>
      <c r="C393" s="5"/>
      <c r="D393" s="5"/>
      <c r="E393" s="5"/>
      <c r="F393" s="5"/>
      <c r="G393" s="5"/>
      <c r="H393" s="5"/>
      <c r="I393" s="5"/>
      <c r="J393" s="6"/>
    </row>
    <row r="394" spans="1:10" ht="15.75" thickBot="1">
      <c r="A394" s="10" t="s">
        <v>93</v>
      </c>
      <c r="B394" s="7">
        <f t="shared" ref="B394:G394" si="35">SUM(B387:B392)/SUM(B385:B386)</f>
        <v>4.9747721509469374</v>
      </c>
      <c r="C394" s="7">
        <f t="shared" si="35"/>
        <v>4.7563561346491268</v>
      </c>
      <c r="D394" s="7">
        <f t="shared" si="35"/>
        <v>3.4103950214209546</v>
      </c>
      <c r="E394" s="7">
        <f t="shared" si="35"/>
        <v>0.19228900113045194</v>
      </c>
      <c r="F394" s="7">
        <f t="shared" si="35"/>
        <v>0.1855117157571014</v>
      </c>
      <c r="G394" s="7">
        <f t="shared" si="35"/>
        <v>0.18306539650896425</v>
      </c>
      <c r="H394" s="7"/>
      <c r="I394" s="7"/>
      <c r="J394" s="8"/>
    </row>
    <row r="395" spans="1:10" ht="15.75" thickBot="1"/>
    <row r="396" spans="1:10">
      <c r="A396" s="14" t="s">
        <v>33</v>
      </c>
      <c r="B396" s="12" t="s">
        <v>1</v>
      </c>
      <c r="C396" s="12" t="s">
        <v>2</v>
      </c>
      <c r="D396" s="12" t="s">
        <v>3</v>
      </c>
      <c r="E396" s="12" t="s">
        <v>4</v>
      </c>
      <c r="F396" s="12" t="s">
        <v>5</v>
      </c>
      <c r="G396" s="12" t="s">
        <v>6</v>
      </c>
      <c r="H396" s="12" t="s">
        <v>7</v>
      </c>
      <c r="I396" s="12" t="s">
        <v>8</v>
      </c>
      <c r="J396" s="13" t="s">
        <v>9</v>
      </c>
    </row>
    <row r="397" spans="1:10">
      <c r="A397" s="9" t="s">
        <v>10</v>
      </c>
      <c r="B397" s="5">
        <v>10317060</v>
      </c>
      <c r="C397" s="5">
        <v>11595755</v>
      </c>
      <c r="D397" s="5">
        <v>12261563</v>
      </c>
      <c r="E397" s="5">
        <v>45643332</v>
      </c>
      <c r="F397" s="5">
        <v>46061388</v>
      </c>
      <c r="G397" s="5">
        <v>46804468</v>
      </c>
      <c r="H397" s="5">
        <v>161962224</v>
      </c>
      <c r="I397" s="5">
        <v>157025280</v>
      </c>
      <c r="J397" s="6">
        <v>175966176</v>
      </c>
    </row>
    <row r="398" spans="1:10">
      <c r="A398" s="9" t="s">
        <v>11</v>
      </c>
      <c r="B398" s="5">
        <v>1202049.5</v>
      </c>
      <c r="C398" s="5">
        <v>1391182.62</v>
      </c>
      <c r="D398" s="5">
        <v>1417802.38</v>
      </c>
      <c r="E398" s="5">
        <v>5456543.5</v>
      </c>
      <c r="F398" s="5">
        <v>5327938.5</v>
      </c>
      <c r="G398" s="5">
        <v>5472730.5</v>
      </c>
      <c r="H398" s="5">
        <v>19191342</v>
      </c>
      <c r="I398" s="5">
        <v>18345798</v>
      </c>
      <c r="J398" s="6">
        <v>20743538</v>
      </c>
    </row>
    <row r="399" spans="1:10">
      <c r="A399" s="9" t="s">
        <v>12</v>
      </c>
      <c r="B399" s="5">
        <v>345376.12</v>
      </c>
      <c r="C399" s="5">
        <v>404770.5</v>
      </c>
      <c r="D399" s="5">
        <v>377406.25</v>
      </c>
      <c r="E399" s="5">
        <v>1495210.62</v>
      </c>
      <c r="F399" s="5">
        <v>1393468.62</v>
      </c>
      <c r="G399" s="5">
        <v>1650391</v>
      </c>
      <c r="H399" s="5">
        <v>5231425.5</v>
      </c>
      <c r="I399" s="5">
        <v>5061860.5</v>
      </c>
      <c r="J399" s="6">
        <v>5196865</v>
      </c>
    </row>
    <row r="400" spans="1:10">
      <c r="A400" s="9" t="s">
        <v>13</v>
      </c>
      <c r="B400" s="5">
        <v>22984.82</v>
      </c>
      <c r="C400" s="5">
        <v>39707.5</v>
      </c>
      <c r="D400" s="5">
        <v>24966.65</v>
      </c>
      <c r="E400" s="5">
        <v>144869.75</v>
      </c>
      <c r="F400" s="5">
        <v>139020.79999999999</v>
      </c>
      <c r="G400" s="5">
        <v>200961.88</v>
      </c>
      <c r="H400" s="5">
        <v>609834.06000000006</v>
      </c>
      <c r="I400" s="5">
        <v>511243.09</v>
      </c>
      <c r="J400" s="6">
        <v>588955.81000000006</v>
      </c>
    </row>
    <row r="401" spans="1:39">
      <c r="A401" s="9" t="s">
        <v>14</v>
      </c>
      <c r="B401" s="5">
        <v>0</v>
      </c>
      <c r="C401" s="5">
        <v>0</v>
      </c>
      <c r="D401" s="5">
        <v>0</v>
      </c>
      <c r="E401" s="5">
        <v>9042.2999999999993</v>
      </c>
      <c r="F401" s="5">
        <v>0</v>
      </c>
      <c r="G401" s="5">
        <v>0</v>
      </c>
      <c r="H401" s="5">
        <v>0</v>
      </c>
      <c r="I401" s="5">
        <v>0</v>
      </c>
      <c r="J401" s="6">
        <v>0</v>
      </c>
    </row>
    <row r="402" spans="1:39">
      <c r="A402" s="9" t="s">
        <v>41</v>
      </c>
      <c r="B402" s="5">
        <v>119976.76</v>
      </c>
      <c r="C402" s="5">
        <v>132629.57999999999</v>
      </c>
      <c r="D402" s="5">
        <v>151201.35999999999</v>
      </c>
      <c r="E402" s="5">
        <v>115303.75</v>
      </c>
      <c r="F402" s="5">
        <v>136778.20000000001</v>
      </c>
      <c r="G402" s="5">
        <v>137341.98000000001</v>
      </c>
      <c r="H402" s="5">
        <v>42803.95</v>
      </c>
      <c r="I402" s="5">
        <v>64586.07</v>
      </c>
      <c r="J402" s="6">
        <v>68094.97</v>
      </c>
    </row>
    <row r="403" spans="1:39">
      <c r="A403" s="9" t="s">
        <v>42</v>
      </c>
      <c r="B403" s="5">
        <v>2823047</v>
      </c>
      <c r="C403" s="5">
        <v>2869214.75</v>
      </c>
      <c r="D403" s="5">
        <v>3092295.75</v>
      </c>
      <c r="E403" s="5">
        <v>2372087.25</v>
      </c>
      <c r="F403" s="5">
        <v>2725584</v>
      </c>
      <c r="G403" s="5">
        <v>2711721.75</v>
      </c>
      <c r="H403" s="5">
        <v>1593010.62</v>
      </c>
      <c r="I403" s="5">
        <v>1851347</v>
      </c>
      <c r="J403" s="6">
        <v>2327796.75</v>
      </c>
    </row>
    <row r="404" spans="1:39">
      <c r="A404" s="9" t="s">
        <v>43</v>
      </c>
      <c r="B404" s="5">
        <v>32997434</v>
      </c>
      <c r="C404" s="5">
        <v>34841092</v>
      </c>
      <c r="D404" s="5">
        <v>38340736</v>
      </c>
      <c r="E404" s="5">
        <v>29640434</v>
      </c>
      <c r="F404" s="5">
        <v>33346686</v>
      </c>
      <c r="G404" s="5">
        <v>34386032</v>
      </c>
      <c r="H404" s="5">
        <v>22639302</v>
      </c>
      <c r="I404" s="5">
        <v>23689978</v>
      </c>
      <c r="J404" s="6">
        <v>27124978</v>
      </c>
    </row>
    <row r="405" spans="1:39">
      <c r="A405" s="9" t="s">
        <v>44</v>
      </c>
      <c r="B405" s="5">
        <v>74065864</v>
      </c>
      <c r="C405" s="5">
        <v>76827336</v>
      </c>
      <c r="D405" s="5">
        <v>84260264</v>
      </c>
      <c r="E405" s="5">
        <v>61195780</v>
      </c>
      <c r="F405" s="5">
        <v>72631808</v>
      </c>
      <c r="G405" s="5">
        <v>73911560</v>
      </c>
      <c r="H405" s="5">
        <v>45221940</v>
      </c>
      <c r="I405" s="5">
        <v>52319476</v>
      </c>
      <c r="J405" s="6">
        <v>55043140</v>
      </c>
    </row>
    <row r="406" spans="1:39">
      <c r="A406" s="9"/>
      <c r="B406" s="5"/>
      <c r="C406" s="5"/>
      <c r="D406" s="5"/>
      <c r="E406" s="5"/>
      <c r="F406" s="5"/>
      <c r="G406" s="5"/>
      <c r="H406" s="5"/>
      <c r="I406" s="5"/>
      <c r="J406" s="6"/>
      <c r="V406" t="s">
        <v>106</v>
      </c>
      <c r="Z406" t="s">
        <v>107</v>
      </c>
      <c r="AB406" t="s">
        <v>110</v>
      </c>
      <c r="AG406" t="s">
        <v>109</v>
      </c>
      <c r="AK406" t="s">
        <v>108</v>
      </c>
    </row>
    <row r="407" spans="1:39" ht="15.75" thickBot="1">
      <c r="A407" s="10" t="s">
        <v>93</v>
      </c>
      <c r="B407" s="7">
        <f>SUM(B399:B405)/SUM(B397:B398)</f>
        <v>9.58187633340928</v>
      </c>
      <c r="C407" s="7">
        <f t="shared" ref="C407:J407" si="36">SUM(C399:C405)/SUM(C397:C398)</f>
        <v>8.8638872148521184</v>
      </c>
      <c r="D407" s="7">
        <f t="shared" si="36"/>
        <v>9.2290005057237536</v>
      </c>
      <c r="E407" s="7">
        <f t="shared" si="36"/>
        <v>1.8585706274372431</v>
      </c>
      <c r="F407" s="7">
        <f t="shared" si="36"/>
        <v>2.147787354636765</v>
      </c>
      <c r="G407" s="7">
        <f t="shared" si="36"/>
        <v>2.1615161457054741</v>
      </c>
      <c r="H407" s="7">
        <f t="shared" si="36"/>
        <v>0.41588094451312096</v>
      </c>
      <c r="I407" s="7">
        <f t="shared" si="36"/>
        <v>0.47612463589919884</v>
      </c>
      <c r="J407" s="8">
        <f t="shared" si="36"/>
        <v>0.45930538300716556</v>
      </c>
      <c r="L407">
        <f>(B405/B397)*0.9893^10</f>
        <v>6.4467707667522323</v>
      </c>
      <c r="M407">
        <f>(C405/C397)*0.9893^10</f>
        <v>5.9497241963719896</v>
      </c>
      <c r="N407">
        <f t="shared" ref="N407:T407" si="37">(D405/D397)*0.9893^10</f>
        <v>6.1710216830154945</v>
      </c>
      <c r="O407">
        <f t="shared" si="37"/>
        <v>1.2039937283950271</v>
      </c>
      <c r="P407">
        <f t="shared" si="37"/>
        <v>1.416021753122094</v>
      </c>
      <c r="Q407">
        <f t="shared" si="37"/>
        <v>1.4180944139146499</v>
      </c>
      <c r="R407">
        <f t="shared" si="37"/>
        <v>0.25073533909011847</v>
      </c>
      <c r="S407">
        <f t="shared" si="37"/>
        <v>0.29920848144270068</v>
      </c>
      <c r="T407">
        <f t="shared" si="37"/>
        <v>0.28090152388890754</v>
      </c>
      <c r="V407">
        <f>EXP((SUM(LN(L407),LN(M407),LN(N407)))/COUNT(L407:N407))</f>
        <v>6.1858404121085693</v>
      </c>
      <c r="W407">
        <f>EXP((SUM(LN(O407),LN(P407),LN(Q407)))/COUNT(O407:Q407))</f>
        <v>1.3421460122292341</v>
      </c>
      <c r="X407">
        <f>EXP((SUM(LN(R407),LN(S407),LN(T407)))/COUNT(R407:T407))</f>
        <v>0.27621537425911197</v>
      </c>
      <c r="Z407">
        <v>0.39119164722824246</v>
      </c>
      <c r="AB407">
        <v>2.1580493972078004E-2</v>
      </c>
      <c r="AG407">
        <v>2.9549243897192528E-2</v>
      </c>
      <c r="AH407">
        <v>0.14774621948596262</v>
      </c>
      <c r="AI407">
        <v>0.73873109742981302</v>
      </c>
      <c r="AK407">
        <f>((V407)/($Z$407*(1-(V407*$AB$407))))*AG407</f>
        <v>0.53924196431387628</v>
      </c>
      <c r="AL407">
        <f t="shared" ref="AL407:AM407" si="38">((W407)/($Z$407*(1-(W407*$AB$407))))*AH407</f>
        <v>0.52202501664488499</v>
      </c>
      <c r="AM407">
        <f t="shared" si="38"/>
        <v>0.52473637777457793</v>
      </c>
    </row>
    <row r="408" spans="1:39" ht="15.75" thickBot="1"/>
    <row r="409" spans="1:39">
      <c r="A409" s="25" t="s">
        <v>33</v>
      </c>
      <c r="B409" s="12" t="s">
        <v>1</v>
      </c>
      <c r="C409" s="12" t="s">
        <v>2</v>
      </c>
      <c r="D409" s="12" t="s">
        <v>3</v>
      </c>
      <c r="E409" s="12" t="s">
        <v>7</v>
      </c>
      <c r="F409" s="12" t="s">
        <v>8</v>
      </c>
      <c r="G409" s="12" t="s">
        <v>9</v>
      </c>
      <c r="H409" s="12"/>
      <c r="I409" s="12"/>
      <c r="J409" s="13"/>
    </row>
    <row r="410" spans="1:39">
      <c r="A410" s="9" t="s">
        <v>10</v>
      </c>
      <c r="B410" s="5">
        <v>15241835</v>
      </c>
      <c r="C410" s="5">
        <v>14657713</v>
      </c>
      <c r="D410" s="5">
        <v>22223222</v>
      </c>
      <c r="E410" s="5">
        <v>198710592</v>
      </c>
      <c r="F410" s="5">
        <v>192061520</v>
      </c>
      <c r="G410" s="5">
        <v>217471808</v>
      </c>
      <c r="H410" s="5"/>
      <c r="I410" s="5"/>
      <c r="J410" s="6"/>
    </row>
    <row r="411" spans="1:39">
      <c r="A411" s="9" t="s">
        <v>11</v>
      </c>
      <c r="B411" s="5">
        <v>1724954</v>
      </c>
      <c r="C411" s="5">
        <v>1736289.88</v>
      </c>
      <c r="D411" s="5">
        <v>2625696.75</v>
      </c>
      <c r="E411" s="5">
        <v>23613238</v>
      </c>
      <c r="F411" s="5">
        <v>22354872</v>
      </c>
      <c r="G411" s="5">
        <v>25959318</v>
      </c>
      <c r="H411" s="5"/>
      <c r="I411" s="5"/>
      <c r="J411" s="6"/>
    </row>
    <row r="412" spans="1:39">
      <c r="A412" s="9" t="s">
        <v>12</v>
      </c>
      <c r="B412" s="5">
        <v>457624.88</v>
      </c>
      <c r="C412" s="5">
        <v>427155.91</v>
      </c>
      <c r="D412" s="5">
        <v>759634</v>
      </c>
      <c r="E412" s="5">
        <v>6470906.5</v>
      </c>
      <c r="F412" s="5">
        <v>6047166</v>
      </c>
      <c r="G412" s="5">
        <v>6759338</v>
      </c>
      <c r="H412" s="5"/>
      <c r="I412" s="5"/>
      <c r="J412" s="6"/>
    </row>
    <row r="413" spans="1:39">
      <c r="A413" s="9" t="s">
        <v>13</v>
      </c>
      <c r="B413" s="5">
        <v>35083.78</v>
      </c>
      <c r="C413" s="5">
        <v>16233.3</v>
      </c>
      <c r="D413" s="5">
        <v>73387.63</v>
      </c>
      <c r="E413" s="5">
        <v>0</v>
      </c>
      <c r="F413" s="5">
        <v>180211.94</v>
      </c>
      <c r="G413" s="5">
        <v>203116.92</v>
      </c>
      <c r="H413" s="5"/>
      <c r="I413" s="5"/>
      <c r="J413" s="6"/>
    </row>
    <row r="414" spans="1:39">
      <c r="A414" s="9" t="s">
        <v>15</v>
      </c>
      <c r="B414" s="5">
        <v>0</v>
      </c>
      <c r="C414" s="5">
        <v>11857.46</v>
      </c>
      <c r="D414" s="5">
        <v>0</v>
      </c>
      <c r="E414" s="5">
        <v>0</v>
      </c>
      <c r="F414" s="5">
        <v>0</v>
      </c>
      <c r="G414" s="5">
        <v>0</v>
      </c>
      <c r="H414" s="5"/>
      <c r="I414" s="5"/>
      <c r="J414" s="6"/>
    </row>
    <row r="415" spans="1:39">
      <c r="A415" s="9" t="s">
        <v>40</v>
      </c>
      <c r="B415" s="5">
        <v>0</v>
      </c>
      <c r="C415" s="5">
        <v>13630.03</v>
      </c>
      <c r="D415" s="5">
        <v>0</v>
      </c>
      <c r="E415" s="5">
        <v>0</v>
      </c>
      <c r="F415" s="5">
        <v>0</v>
      </c>
      <c r="G415" s="5">
        <v>0</v>
      </c>
      <c r="H415" s="5"/>
      <c r="I415" s="5"/>
      <c r="J415" s="6"/>
    </row>
    <row r="416" spans="1:39">
      <c r="A416" s="9" t="s">
        <v>41</v>
      </c>
      <c r="B416" s="5">
        <v>111181.04</v>
      </c>
      <c r="C416" s="5">
        <v>156131.59</v>
      </c>
      <c r="D416" s="5">
        <v>97760.49</v>
      </c>
      <c r="E416" s="5">
        <v>102853.48</v>
      </c>
      <c r="F416" s="5">
        <v>107729.49</v>
      </c>
      <c r="G416" s="5">
        <v>97233.25</v>
      </c>
      <c r="H416" s="5"/>
      <c r="I416" s="5"/>
      <c r="J416" s="6"/>
    </row>
    <row r="417" spans="1:10">
      <c r="A417" s="9" t="s">
        <v>42</v>
      </c>
      <c r="B417" s="5">
        <v>2918488</v>
      </c>
      <c r="C417" s="5">
        <v>3511601</v>
      </c>
      <c r="D417" s="5">
        <v>3185253.25</v>
      </c>
      <c r="E417" s="5">
        <v>1733047.62</v>
      </c>
      <c r="F417" s="5">
        <v>2104335.25</v>
      </c>
      <c r="G417" s="5">
        <v>1730188</v>
      </c>
      <c r="H417" s="5"/>
      <c r="I417" s="5"/>
      <c r="J417" s="6"/>
    </row>
    <row r="418" spans="1:10">
      <c r="A418" s="9" t="s">
        <v>43</v>
      </c>
      <c r="B418" s="5">
        <v>36046836</v>
      </c>
      <c r="C418" s="5">
        <v>46124876</v>
      </c>
      <c r="D418" s="5">
        <v>39094472</v>
      </c>
      <c r="E418" s="5">
        <v>22122058</v>
      </c>
      <c r="F418" s="5">
        <v>25099866</v>
      </c>
      <c r="G418" s="5">
        <v>20778086</v>
      </c>
      <c r="H418" s="5"/>
      <c r="I418" s="5"/>
      <c r="J418" s="6"/>
    </row>
    <row r="419" spans="1:10">
      <c r="A419" s="9" t="s">
        <v>44</v>
      </c>
      <c r="B419" s="5">
        <v>100745472</v>
      </c>
      <c r="C419" s="5">
        <v>119328968</v>
      </c>
      <c r="D419" s="5">
        <v>104705832</v>
      </c>
      <c r="E419" s="5">
        <v>59104572</v>
      </c>
      <c r="F419" s="5">
        <v>62801492</v>
      </c>
      <c r="G419" s="5">
        <v>53838252</v>
      </c>
      <c r="H419" s="5"/>
      <c r="I419" s="5"/>
      <c r="J419" s="6"/>
    </row>
    <row r="420" spans="1:10">
      <c r="A420" s="9"/>
      <c r="B420" s="5"/>
      <c r="C420" s="5"/>
      <c r="D420" s="5"/>
      <c r="E420" s="5"/>
      <c r="F420" s="5"/>
      <c r="G420" s="5"/>
      <c r="H420" s="5"/>
      <c r="I420" s="5"/>
      <c r="J420" s="6"/>
    </row>
    <row r="421" spans="1:10" ht="15.75" thickBot="1">
      <c r="A421" s="10" t="s">
        <v>93</v>
      </c>
      <c r="B421" s="7">
        <f t="shared" ref="B421:G421" si="39">SUM(B412:B419)/SUM(B410:B411)</f>
        <v>8.2699611399658473</v>
      </c>
      <c r="C421" s="7">
        <f t="shared" si="39"/>
        <v>10.344664114759507</v>
      </c>
      <c r="D421" s="7">
        <f t="shared" si="39"/>
        <v>5.9526267866282918</v>
      </c>
      <c r="E421" s="7">
        <f t="shared" si="39"/>
        <v>0.40271633319739047</v>
      </c>
      <c r="F421" s="7">
        <f t="shared" si="39"/>
        <v>0.4493163968545838</v>
      </c>
      <c r="G421" s="7">
        <f t="shared" si="39"/>
        <v>0.34262756591776189</v>
      </c>
      <c r="H421" s="7"/>
      <c r="I421" s="7"/>
      <c r="J421" s="8"/>
    </row>
    <row r="422" spans="1:10" ht="15.75" thickBo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>
      <c r="A423" s="15" t="s">
        <v>33</v>
      </c>
      <c r="B423" s="12" t="s">
        <v>57</v>
      </c>
      <c r="C423" s="12" t="s">
        <v>58</v>
      </c>
      <c r="D423" s="12" t="s">
        <v>59</v>
      </c>
      <c r="E423" s="12" t="s">
        <v>60</v>
      </c>
      <c r="F423" s="12" t="s">
        <v>61</v>
      </c>
      <c r="G423" s="12" t="s">
        <v>62</v>
      </c>
      <c r="H423" s="12" t="s">
        <v>63</v>
      </c>
      <c r="I423" s="12" t="s">
        <v>64</v>
      </c>
      <c r="J423" s="13" t="s">
        <v>65</v>
      </c>
    </row>
    <row r="424" spans="1:10">
      <c r="A424" s="9" t="s">
        <v>10</v>
      </c>
      <c r="B424" s="5">
        <v>3889668.75</v>
      </c>
      <c r="C424" s="5">
        <v>3541880</v>
      </c>
      <c r="D424" s="5">
        <v>3714071.75</v>
      </c>
      <c r="E424" s="5">
        <v>18246566</v>
      </c>
      <c r="F424" s="5">
        <v>18091638</v>
      </c>
      <c r="G424" s="5">
        <v>18040008</v>
      </c>
      <c r="H424" s="5">
        <v>70982496</v>
      </c>
      <c r="I424" s="5">
        <v>66942532</v>
      </c>
      <c r="J424" s="6">
        <v>67274368</v>
      </c>
    </row>
    <row r="425" spans="1:10">
      <c r="A425" s="9" t="s">
        <v>11</v>
      </c>
      <c r="B425" s="5">
        <v>394761.66</v>
      </c>
      <c r="C425" s="5">
        <v>325955.12</v>
      </c>
      <c r="D425" s="5">
        <v>349244.75</v>
      </c>
      <c r="E425" s="5">
        <v>1796009.5</v>
      </c>
      <c r="F425" s="5">
        <v>1876750.12</v>
      </c>
      <c r="G425" s="5">
        <v>1823422</v>
      </c>
      <c r="H425" s="5">
        <v>7261726</v>
      </c>
      <c r="I425" s="5">
        <v>6858290</v>
      </c>
      <c r="J425" s="6">
        <v>7349040</v>
      </c>
    </row>
    <row r="426" spans="1:10">
      <c r="A426" s="9" t="s">
        <v>12</v>
      </c>
      <c r="B426" s="5">
        <v>102869.27</v>
      </c>
      <c r="C426" s="5">
        <v>34796.39</v>
      </c>
      <c r="D426" s="5">
        <v>71032.3</v>
      </c>
      <c r="E426" s="5">
        <v>406968.66</v>
      </c>
      <c r="F426" s="5">
        <v>435104.88</v>
      </c>
      <c r="G426" s="5">
        <v>449062.75</v>
      </c>
      <c r="H426" s="5">
        <v>1769809.38</v>
      </c>
      <c r="I426" s="5">
        <v>1536953.88</v>
      </c>
      <c r="J426" s="6">
        <v>1757519</v>
      </c>
    </row>
    <row r="427" spans="1:10">
      <c r="A427" s="9" t="s">
        <v>13</v>
      </c>
      <c r="B427" s="5">
        <v>6707.54</v>
      </c>
      <c r="C427" s="5">
        <v>8224.6200000000008</v>
      </c>
      <c r="D427" s="5">
        <v>0</v>
      </c>
      <c r="E427" s="5">
        <v>40312.22</v>
      </c>
      <c r="F427" s="5">
        <v>57626.53</v>
      </c>
      <c r="G427" s="5">
        <v>54055.21</v>
      </c>
      <c r="H427" s="5">
        <v>167851.61</v>
      </c>
      <c r="I427" s="5">
        <v>166258.60999999999</v>
      </c>
      <c r="J427" s="6">
        <v>164994.06</v>
      </c>
    </row>
    <row r="428" spans="1:10">
      <c r="A428" s="9" t="s">
        <v>14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7148.53</v>
      </c>
      <c r="I428" s="5">
        <v>0</v>
      </c>
      <c r="J428" s="6">
        <v>0</v>
      </c>
    </row>
    <row r="429" spans="1:10">
      <c r="A429" s="9" t="s">
        <v>41</v>
      </c>
      <c r="B429" s="5">
        <v>29627.85</v>
      </c>
      <c r="C429" s="5">
        <v>50153.120000000003</v>
      </c>
      <c r="D429" s="5">
        <v>29593.42</v>
      </c>
      <c r="E429" s="5">
        <v>29102.33</v>
      </c>
      <c r="F429" s="5">
        <v>38350.83</v>
      </c>
      <c r="G429" s="5">
        <v>40109</v>
      </c>
      <c r="H429" s="5">
        <v>24839.57</v>
      </c>
      <c r="I429" s="5">
        <v>33200.339999999997</v>
      </c>
      <c r="J429" s="6">
        <v>31564.65</v>
      </c>
    </row>
    <row r="430" spans="1:10">
      <c r="A430" s="9" t="s">
        <v>42</v>
      </c>
      <c r="B430" s="5">
        <v>827703.81</v>
      </c>
      <c r="C430" s="5">
        <v>800657.25</v>
      </c>
      <c r="D430" s="5">
        <v>930947.31</v>
      </c>
      <c r="E430" s="5">
        <v>828153.25</v>
      </c>
      <c r="F430" s="5">
        <v>1004807.69</v>
      </c>
      <c r="G430" s="5">
        <v>937130.31</v>
      </c>
      <c r="H430" s="5">
        <v>687680.69</v>
      </c>
      <c r="I430" s="5">
        <v>652640.06000000006</v>
      </c>
      <c r="J430" s="6">
        <v>722536.25</v>
      </c>
    </row>
    <row r="431" spans="1:10">
      <c r="A431" s="9" t="s">
        <v>43</v>
      </c>
      <c r="B431" s="5">
        <v>12145939</v>
      </c>
      <c r="C431" s="5">
        <v>10878147</v>
      </c>
      <c r="D431" s="5">
        <v>12408407</v>
      </c>
      <c r="E431" s="5">
        <v>11093027</v>
      </c>
      <c r="F431" s="5">
        <v>13255768</v>
      </c>
      <c r="G431" s="5">
        <v>12972200</v>
      </c>
      <c r="H431" s="5">
        <v>9297556</v>
      </c>
      <c r="I431" s="5">
        <v>9128209</v>
      </c>
      <c r="J431" s="6">
        <v>10414561</v>
      </c>
    </row>
    <row r="432" spans="1:10">
      <c r="A432" s="9" t="s">
        <v>44</v>
      </c>
      <c r="B432" s="5">
        <v>24789040</v>
      </c>
      <c r="C432" s="5">
        <v>24776138</v>
      </c>
      <c r="D432" s="5">
        <v>27628498</v>
      </c>
      <c r="E432" s="5">
        <v>23221898</v>
      </c>
      <c r="F432" s="5">
        <v>29277962</v>
      </c>
      <c r="G432" s="5">
        <v>28056994</v>
      </c>
      <c r="H432" s="5">
        <v>19109262</v>
      </c>
      <c r="I432" s="5">
        <v>20759472</v>
      </c>
      <c r="J432" s="6">
        <v>19796328</v>
      </c>
    </row>
    <row r="433" spans="1:10">
      <c r="A433" s="9"/>
      <c r="B433" s="5"/>
      <c r="C433" s="5"/>
      <c r="D433" s="5"/>
      <c r="E433" s="5"/>
      <c r="F433" s="5"/>
      <c r="G433" s="5"/>
      <c r="H433" s="5"/>
      <c r="I433" s="5"/>
      <c r="J433" s="6"/>
    </row>
    <row r="434" spans="1:10" ht="15.75" thickBot="1">
      <c r="A434" s="10" t="s">
        <v>93</v>
      </c>
      <c r="B434" s="7">
        <f t="shared" ref="B434:J434" si="40">SUM(B426:B432)/SUM(B424:B425)</f>
        <v>8.8464238750466713</v>
      </c>
      <c r="C434" s="7">
        <f t="shared" si="40"/>
        <v>9.4492436327016964</v>
      </c>
      <c r="D434" s="7">
        <f t="shared" si="40"/>
        <v>10.107132444642204</v>
      </c>
      <c r="E434" s="7">
        <f t="shared" si="40"/>
        <v>1.7771898357074918</v>
      </c>
      <c r="F434" s="7">
        <f t="shared" si="40"/>
        <v>2.206969318963738</v>
      </c>
      <c r="G434" s="7">
        <f t="shared" si="40"/>
        <v>2.1400911760959711</v>
      </c>
      <c r="H434" s="7">
        <f t="shared" si="40"/>
        <v>0.39701522982744974</v>
      </c>
      <c r="I434" s="7">
        <f t="shared" si="40"/>
        <v>0.43734924646232259</v>
      </c>
      <c r="J434" s="8">
        <f t="shared" si="40"/>
        <v>0.44071295912939279</v>
      </c>
    </row>
    <row r="435" spans="1:10" ht="15.75" thickBo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>
      <c r="A436" s="26" t="s">
        <v>33</v>
      </c>
      <c r="B436" s="12" t="s">
        <v>57</v>
      </c>
      <c r="C436" s="12" t="s">
        <v>58</v>
      </c>
      <c r="D436" s="12" t="s">
        <v>59</v>
      </c>
      <c r="E436" s="12" t="s">
        <v>63</v>
      </c>
      <c r="F436" s="12" t="s">
        <v>64</v>
      </c>
      <c r="G436" s="12" t="s">
        <v>65</v>
      </c>
      <c r="H436" s="12"/>
      <c r="I436" s="12"/>
      <c r="J436" s="13"/>
    </row>
    <row r="437" spans="1:10">
      <c r="A437" s="9" t="s">
        <v>10</v>
      </c>
      <c r="B437" s="5">
        <v>4972760.5</v>
      </c>
      <c r="C437" s="5">
        <v>4162985.25</v>
      </c>
      <c r="D437" s="5">
        <v>6882630.5</v>
      </c>
      <c r="E437" s="5">
        <v>79725384</v>
      </c>
      <c r="F437" s="5">
        <v>73915424</v>
      </c>
      <c r="G437" s="5">
        <v>77433960</v>
      </c>
      <c r="H437" s="5"/>
      <c r="I437" s="5"/>
      <c r="J437" s="6"/>
    </row>
    <row r="438" spans="1:10">
      <c r="A438" s="9" t="s">
        <v>11</v>
      </c>
      <c r="B438" s="5">
        <v>501400</v>
      </c>
      <c r="C438" s="5">
        <v>413282.28</v>
      </c>
      <c r="D438" s="5">
        <v>684010.69</v>
      </c>
      <c r="E438" s="5">
        <v>8019514.5</v>
      </c>
      <c r="F438" s="5">
        <v>7688001.5</v>
      </c>
      <c r="G438" s="5">
        <v>7881079.5</v>
      </c>
      <c r="H438" s="5"/>
      <c r="I438" s="5"/>
      <c r="J438" s="6"/>
    </row>
    <row r="439" spans="1:10">
      <c r="A439" s="9" t="s">
        <v>12</v>
      </c>
      <c r="B439" s="5">
        <v>127889.48</v>
      </c>
      <c r="C439" s="5">
        <v>122724.06</v>
      </c>
      <c r="D439" s="5">
        <v>187161.73</v>
      </c>
      <c r="E439" s="5">
        <v>1975191.38</v>
      </c>
      <c r="F439" s="5">
        <v>1830368.12</v>
      </c>
      <c r="G439" s="5">
        <v>1950679.12</v>
      </c>
      <c r="H439" s="5"/>
      <c r="I439" s="5"/>
      <c r="J439" s="6"/>
    </row>
    <row r="440" spans="1:10">
      <c r="A440" s="9" t="s">
        <v>13</v>
      </c>
      <c r="B440" s="5">
        <v>17811.22</v>
      </c>
      <c r="C440" s="5">
        <v>9786.56</v>
      </c>
      <c r="D440" s="5">
        <v>10384.94</v>
      </c>
      <c r="E440" s="5">
        <v>238673.5</v>
      </c>
      <c r="F440" s="5">
        <v>194372</v>
      </c>
      <c r="G440" s="5">
        <v>206743.05</v>
      </c>
      <c r="H440" s="5"/>
      <c r="I440" s="5"/>
      <c r="J440" s="6"/>
    </row>
    <row r="441" spans="1:10">
      <c r="A441" s="9" t="s">
        <v>14</v>
      </c>
      <c r="B441" s="5">
        <v>0</v>
      </c>
      <c r="C441" s="5">
        <v>0</v>
      </c>
      <c r="D441" s="5">
        <v>0</v>
      </c>
      <c r="E441" s="5">
        <v>16558.27</v>
      </c>
      <c r="F441" s="5">
        <v>8004.14</v>
      </c>
      <c r="G441" s="5">
        <v>0</v>
      </c>
      <c r="H441" s="5"/>
      <c r="I441" s="5"/>
      <c r="J441" s="6"/>
    </row>
    <row r="442" spans="1:10">
      <c r="A442" s="9" t="s">
        <v>15</v>
      </c>
      <c r="B442" s="5">
        <v>0</v>
      </c>
      <c r="C442" s="5">
        <v>5611.61</v>
      </c>
      <c r="D442" s="5">
        <v>0</v>
      </c>
      <c r="E442" s="5">
        <v>0</v>
      </c>
      <c r="F442" s="5">
        <v>0</v>
      </c>
      <c r="G442" s="5">
        <v>0</v>
      </c>
      <c r="H442" s="5"/>
      <c r="I442" s="5"/>
      <c r="J442" s="6"/>
    </row>
    <row r="443" spans="1:10">
      <c r="A443" s="9" t="s">
        <v>40</v>
      </c>
      <c r="B443" s="5">
        <v>0</v>
      </c>
      <c r="C443" s="5">
        <v>0</v>
      </c>
      <c r="D443" s="5">
        <v>0</v>
      </c>
      <c r="E443" s="5">
        <v>0</v>
      </c>
      <c r="F443" s="5">
        <v>0</v>
      </c>
      <c r="G443" s="5">
        <v>7928.21</v>
      </c>
      <c r="H443" s="5"/>
      <c r="I443" s="5"/>
      <c r="J443" s="6"/>
    </row>
    <row r="444" spans="1:10">
      <c r="A444" s="9" t="s">
        <v>41</v>
      </c>
      <c r="B444" s="5">
        <v>49199.360000000001</v>
      </c>
      <c r="C444" s="5">
        <v>57112.93</v>
      </c>
      <c r="D444" s="5">
        <v>40976</v>
      </c>
      <c r="E444" s="5">
        <v>38686.86</v>
      </c>
      <c r="F444" s="5">
        <v>37057.29</v>
      </c>
      <c r="G444" s="5">
        <v>27620.58</v>
      </c>
      <c r="H444" s="5"/>
      <c r="I444" s="5"/>
      <c r="J444" s="6"/>
    </row>
    <row r="445" spans="1:10">
      <c r="A445" s="9" t="s">
        <v>42</v>
      </c>
      <c r="B445" s="5">
        <v>833387.19</v>
      </c>
      <c r="C445" s="5">
        <v>936251</v>
      </c>
      <c r="D445" s="5">
        <v>925405.5</v>
      </c>
      <c r="E445" s="5">
        <v>605721.31000000006</v>
      </c>
      <c r="F445" s="5">
        <v>642571.43999999994</v>
      </c>
      <c r="G445" s="5">
        <v>491952.59</v>
      </c>
      <c r="H445" s="5"/>
      <c r="I445" s="5"/>
      <c r="J445" s="6"/>
    </row>
    <row r="446" spans="1:10">
      <c r="A446" s="9" t="s">
        <v>43</v>
      </c>
      <c r="B446" s="5">
        <v>11411107</v>
      </c>
      <c r="C446" s="5">
        <v>12781791</v>
      </c>
      <c r="D446" s="5">
        <v>12395344</v>
      </c>
      <c r="E446" s="5">
        <v>7670259.5</v>
      </c>
      <c r="F446" s="5">
        <v>9078536</v>
      </c>
      <c r="G446" s="5">
        <v>7036148</v>
      </c>
      <c r="H446" s="5"/>
      <c r="I446" s="5"/>
      <c r="J446" s="6"/>
    </row>
    <row r="447" spans="1:10">
      <c r="A447" s="9" t="s">
        <v>44</v>
      </c>
      <c r="B447" s="5">
        <v>32527008</v>
      </c>
      <c r="C447" s="5">
        <v>33751620</v>
      </c>
      <c r="D447" s="5">
        <v>33315312</v>
      </c>
      <c r="E447" s="5">
        <v>22604366</v>
      </c>
      <c r="F447" s="5">
        <v>22353450</v>
      </c>
      <c r="G447" s="5">
        <v>18015634</v>
      </c>
      <c r="H447" s="5"/>
      <c r="I447" s="5"/>
      <c r="J447" s="6"/>
    </row>
    <row r="448" spans="1:10">
      <c r="A448" s="9"/>
      <c r="B448" s="5"/>
      <c r="C448" s="5"/>
      <c r="D448" s="5"/>
      <c r="E448" s="5"/>
      <c r="F448" s="5"/>
      <c r="G448" s="5"/>
      <c r="H448" s="5"/>
      <c r="I448" s="5"/>
      <c r="J448" s="6"/>
    </row>
    <row r="449" spans="1:10" ht="15.75" thickBot="1">
      <c r="A449" s="10" t="s">
        <v>93</v>
      </c>
      <c r="B449" s="7">
        <f t="shared" ref="B449:G449" si="41">SUM(B439:B447)/SUM(B437:B438)</f>
        <v>8.2143010330077093</v>
      </c>
      <c r="C449" s="7">
        <f t="shared" si="41"/>
        <v>10.415671034861896</v>
      </c>
      <c r="D449" s="7">
        <f t="shared" si="41"/>
        <v>6.1948998231803305</v>
      </c>
      <c r="E449" s="7">
        <f t="shared" si="41"/>
        <v>0.37779355138236326</v>
      </c>
      <c r="F449" s="7">
        <f t="shared" si="41"/>
        <v>0.41841820708862282</v>
      </c>
      <c r="G449" s="7">
        <f t="shared" si="41"/>
        <v>0.32510921535704146</v>
      </c>
      <c r="H449" s="7"/>
      <c r="I449" s="7"/>
      <c r="J449" s="8"/>
    </row>
    <row r="450" spans="1:10" ht="15.75" thickBot="1"/>
    <row r="451" spans="1:10">
      <c r="A451" s="14" t="s">
        <v>34</v>
      </c>
      <c r="B451" s="12" t="s">
        <v>1</v>
      </c>
      <c r="C451" s="12" t="s">
        <v>2</v>
      </c>
      <c r="D451" s="12" t="s">
        <v>3</v>
      </c>
      <c r="E451" s="12" t="s">
        <v>4</v>
      </c>
      <c r="F451" s="12" t="s">
        <v>5</v>
      </c>
      <c r="G451" s="12" t="s">
        <v>6</v>
      </c>
      <c r="H451" s="12" t="s">
        <v>7</v>
      </c>
      <c r="I451" s="12" t="s">
        <v>8</v>
      </c>
      <c r="J451" s="13" t="s">
        <v>9</v>
      </c>
    </row>
    <row r="452" spans="1:10">
      <c r="A452" s="9" t="s">
        <v>10</v>
      </c>
      <c r="B452" s="5">
        <v>6153516</v>
      </c>
      <c r="C452" s="5">
        <v>5922613.5</v>
      </c>
      <c r="D452" s="5">
        <v>5443144</v>
      </c>
      <c r="E452" s="5">
        <v>22841570</v>
      </c>
      <c r="F452" s="5">
        <v>24001502</v>
      </c>
      <c r="G452" s="5">
        <v>21653626</v>
      </c>
      <c r="H452" s="5">
        <v>82638528</v>
      </c>
      <c r="I452" s="5">
        <v>83973320</v>
      </c>
      <c r="J452" s="6">
        <v>83324640</v>
      </c>
    </row>
    <row r="453" spans="1:10">
      <c r="A453" s="9" t="s">
        <v>11</v>
      </c>
      <c r="B453" s="5">
        <v>667872.31000000006</v>
      </c>
      <c r="C453" s="5">
        <v>639578.43999999994</v>
      </c>
      <c r="D453" s="5">
        <v>566961.68999999994</v>
      </c>
      <c r="E453" s="5">
        <v>2475839.25</v>
      </c>
      <c r="F453" s="5">
        <v>2584201.25</v>
      </c>
      <c r="G453" s="5">
        <v>2378000.25</v>
      </c>
      <c r="H453" s="5">
        <v>8964168</v>
      </c>
      <c r="I453" s="5">
        <v>9178671</v>
      </c>
      <c r="J453" s="6">
        <v>9168402</v>
      </c>
    </row>
    <row r="454" spans="1:10">
      <c r="A454" s="9" t="s">
        <v>12</v>
      </c>
      <c r="B454" s="5">
        <v>148970.69</v>
      </c>
      <c r="C454" s="5">
        <v>150768.81</v>
      </c>
      <c r="D454" s="5">
        <v>126413.41</v>
      </c>
      <c r="E454" s="5">
        <v>551746.75</v>
      </c>
      <c r="F454" s="5">
        <v>576607.43999999994</v>
      </c>
      <c r="G454" s="5">
        <v>561374.75</v>
      </c>
      <c r="H454" s="5">
        <v>2009814</v>
      </c>
      <c r="I454" s="5">
        <v>2220321</v>
      </c>
      <c r="J454" s="6">
        <v>2028871.62</v>
      </c>
    </row>
    <row r="455" spans="1:10">
      <c r="A455" s="9" t="s">
        <v>13</v>
      </c>
      <c r="B455" s="5">
        <v>0</v>
      </c>
      <c r="C455" s="5">
        <v>9982.08</v>
      </c>
      <c r="D455" s="5">
        <v>15052.32</v>
      </c>
      <c r="E455" s="5">
        <v>55465.89</v>
      </c>
      <c r="F455" s="5">
        <v>53524.88</v>
      </c>
      <c r="G455" s="5">
        <v>40500.89</v>
      </c>
      <c r="H455" s="5">
        <v>188747.61</v>
      </c>
      <c r="I455" s="5">
        <v>210477.61</v>
      </c>
      <c r="J455" s="6">
        <v>184251.69</v>
      </c>
    </row>
    <row r="456" spans="1:10">
      <c r="A456" s="9" t="s">
        <v>41</v>
      </c>
      <c r="B456" s="5">
        <v>100765.75</v>
      </c>
      <c r="C456" s="5">
        <v>101427.29</v>
      </c>
      <c r="D456" s="5">
        <v>104057.34</v>
      </c>
      <c r="E456" s="5">
        <v>101123.9</v>
      </c>
      <c r="F456" s="5">
        <v>106884.78</v>
      </c>
      <c r="G456" s="5">
        <v>82576.34</v>
      </c>
      <c r="H456" s="5">
        <v>59329.51</v>
      </c>
      <c r="I456" s="5">
        <v>62592.959999999999</v>
      </c>
      <c r="J456" s="6">
        <v>63401.42</v>
      </c>
    </row>
    <row r="457" spans="1:10">
      <c r="A457" s="9" t="s">
        <v>42</v>
      </c>
      <c r="B457" s="5">
        <v>2241543.75</v>
      </c>
      <c r="C457" s="5">
        <v>1834112.88</v>
      </c>
      <c r="D457" s="5">
        <v>1876690.62</v>
      </c>
      <c r="E457" s="5">
        <v>1896157.38</v>
      </c>
      <c r="F457" s="5">
        <v>1895833.62</v>
      </c>
      <c r="G457" s="5">
        <v>1793767.88</v>
      </c>
      <c r="H457" s="5">
        <v>1297201</v>
      </c>
      <c r="I457" s="5">
        <v>1143908.25</v>
      </c>
      <c r="J457" s="6">
        <v>1218313.6200000001</v>
      </c>
    </row>
    <row r="458" spans="1:10">
      <c r="A458" s="9" t="s">
        <v>43</v>
      </c>
      <c r="B458" s="5">
        <v>26539178</v>
      </c>
      <c r="C458" s="5">
        <v>24092598</v>
      </c>
      <c r="D458" s="5">
        <v>23669910</v>
      </c>
      <c r="E458" s="5">
        <v>23932330</v>
      </c>
      <c r="F458" s="5">
        <v>24284870</v>
      </c>
      <c r="G458" s="5">
        <v>22456858</v>
      </c>
      <c r="H458" s="5">
        <v>15945091</v>
      </c>
      <c r="I458" s="5">
        <v>14472397</v>
      </c>
      <c r="J458" s="6">
        <v>15660379</v>
      </c>
    </row>
    <row r="459" spans="1:10">
      <c r="A459" s="9" t="s">
        <v>44</v>
      </c>
      <c r="B459" s="5">
        <v>56804912</v>
      </c>
      <c r="C459" s="5">
        <v>52699152</v>
      </c>
      <c r="D459" s="5">
        <v>51786996</v>
      </c>
      <c r="E459" s="5">
        <v>49536784</v>
      </c>
      <c r="F459" s="5">
        <v>52826516</v>
      </c>
      <c r="G459" s="5">
        <v>48979628</v>
      </c>
      <c r="H459" s="5">
        <v>31437546</v>
      </c>
      <c r="I459" s="5">
        <v>31010718</v>
      </c>
      <c r="J459" s="6">
        <v>31977878</v>
      </c>
    </row>
    <row r="460" spans="1:10">
      <c r="A460" s="9"/>
      <c r="B460" s="5"/>
      <c r="C460" s="5"/>
      <c r="D460" s="5"/>
      <c r="E460" s="5"/>
      <c r="F460" s="5"/>
      <c r="G460" s="5"/>
      <c r="H460" s="5"/>
      <c r="I460" s="5"/>
      <c r="J460" s="6"/>
    </row>
    <row r="461" spans="1:10" ht="15.75" thickBot="1">
      <c r="A461" s="10" t="s">
        <v>93</v>
      </c>
      <c r="B461" s="7">
        <f t="shared" ref="B461:J461" si="42">SUM(B454:B459)/SUM(B452:B453)</f>
        <v>12.583269898910064</v>
      </c>
      <c r="C461" s="7">
        <f t="shared" si="42"/>
        <v>12.021599151822434</v>
      </c>
      <c r="D461" s="7">
        <f t="shared" si="42"/>
        <v>12.908112384625969</v>
      </c>
      <c r="E461" s="7">
        <f t="shared" si="42"/>
        <v>3.0047943361345317</v>
      </c>
      <c r="F461" s="7">
        <f t="shared" si="42"/>
        <v>2.9995157912552117</v>
      </c>
      <c r="G461" s="7">
        <f t="shared" si="42"/>
        <v>3.0757263404094428</v>
      </c>
      <c r="H461" s="7">
        <f t="shared" si="42"/>
        <v>0.55607237935442433</v>
      </c>
      <c r="I461" s="7">
        <f t="shared" si="42"/>
        <v>0.52731470677851644</v>
      </c>
      <c r="J461" s="8">
        <f t="shared" si="42"/>
        <v>0.55283180490484896</v>
      </c>
    </row>
    <row r="462" spans="1:10" ht="15.75" thickBot="1"/>
    <row r="463" spans="1:10">
      <c r="A463" s="25" t="s">
        <v>34</v>
      </c>
      <c r="B463" s="12" t="s">
        <v>1</v>
      </c>
      <c r="C463" s="12" t="s">
        <v>2</v>
      </c>
      <c r="D463" s="12" t="s">
        <v>3</v>
      </c>
      <c r="E463" s="12" t="s">
        <v>7</v>
      </c>
      <c r="F463" s="12" t="s">
        <v>8</v>
      </c>
      <c r="G463" s="12" t="s">
        <v>9</v>
      </c>
      <c r="H463" s="12"/>
      <c r="I463" s="12"/>
      <c r="J463" s="13"/>
    </row>
    <row r="464" spans="1:10">
      <c r="A464" s="9" t="s">
        <v>10</v>
      </c>
      <c r="B464" s="5">
        <v>7839000</v>
      </c>
      <c r="C464" s="5">
        <v>6506026</v>
      </c>
      <c r="D464" s="5">
        <v>8539819</v>
      </c>
      <c r="E464" s="5">
        <v>95317640</v>
      </c>
      <c r="F464" s="5">
        <v>94561272</v>
      </c>
      <c r="G464" s="5">
        <v>85831960</v>
      </c>
      <c r="H464" s="5"/>
      <c r="I464" s="5"/>
      <c r="J464" s="6"/>
    </row>
    <row r="465" spans="1:10">
      <c r="A465" s="9" t="s">
        <v>11</v>
      </c>
      <c r="B465" s="5">
        <v>876286.19</v>
      </c>
      <c r="C465" s="5">
        <v>669075.06000000006</v>
      </c>
      <c r="D465" s="5">
        <v>914451.69</v>
      </c>
      <c r="E465" s="5">
        <v>10235556</v>
      </c>
      <c r="F465" s="5">
        <v>10108755</v>
      </c>
      <c r="G465" s="5">
        <v>9337625</v>
      </c>
      <c r="H465" s="5"/>
      <c r="I465" s="5"/>
      <c r="J465" s="6"/>
    </row>
    <row r="466" spans="1:10">
      <c r="A466" s="9" t="s">
        <v>12</v>
      </c>
      <c r="B466" s="5">
        <v>180218.55</v>
      </c>
      <c r="C466" s="5">
        <v>103979.68</v>
      </c>
      <c r="D466" s="5">
        <v>215422.8</v>
      </c>
      <c r="E466" s="5">
        <v>2437554</v>
      </c>
      <c r="F466" s="5">
        <v>2214764.25</v>
      </c>
      <c r="G466" s="5">
        <v>2127807.5</v>
      </c>
      <c r="H466" s="5"/>
      <c r="I466" s="5"/>
      <c r="J466" s="6"/>
    </row>
    <row r="467" spans="1:10">
      <c r="A467" s="9" t="s">
        <v>13</v>
      </c>
      <c r="B467" s="5">
        <v>9027.98</v>
      </c>
      <c r="C467" s="5">
        <v>14586.88</v>
      </c>
      <c r="D467" s="5">
        <v>18072</v>
      </c>
      <c r="E467" s="5">
        <v>216108.83</v>
      </c>
      <c r="F467" s="5">
        <v>207552.89</v>
      </c>
      <c r="G467" s="5">
        <v>194482.98</v>
      </c>
      <c r="H467" s="5"/>
      <c r="I467" s="5"/>
      <c r="J467" s="6"/>
    </row>
    <row r="468" spans="1:10">
      <c r="A468" s="9" t="s">
        <v>15</v>
      </c>
      <c r="B468" s="5">
        <v>5780.93</v>
      </c>
      <c r="C468" s="5">
        <v>14921.12</v>
      </c>
      <c r="D468" s="5">
        <v>0</v>
      </c>
      <c r="E468" s="5">
        <v>0</v>
      </c>
      <c r="F468" s="5">
        <v>7987.51</v>
      </c>
      <c r="G468" s="5">
        <v>0</v>
      </c>
      <c r="H468" s="5"/>
      <c r="I468" s="5"/>
      <c r="J468" s="6"/>
    </row>
    <row r="469" spans="1:10">
      <c r="A469" s="9" t="s">
        <v>41</v>
      </c>
      <c r="B469" s="5">
        <v>112711.47</v>
      </c>
      <c r="C469" s="5">
        <v>116025.9</v>
      </c>
      <c r="D469" s="5">
        <v>101948.65</v>
      </c>
      <c r="E469" s="5">
        <v>83432.740000000005</v>
      </c>
      <c r="F469" s="5">
        <v>68264.23</v>
      </c>
      <c r="G469" s="5">
        <v>63522.28</v>
      </c>
      <c r="H469" s="5"/>
      <c r="I469" s="5"/>
      <c r="J469" s="6"/>
    </row>
    <row r="470" spans="1:10">
      <c r="A470" s="9" t="s">
        <v>42</v>
      </c>
      <c r="B470" s="5">
        <v>2279699.25</v>
      </c>
      <c r="C470" s="5">
        <v>2032862</v>
      </c>
      <c r="D470" s="5">
        <v>1953728.62</v>
      </c>
      <c r="E470" s="5">
        <v>1579445.62</v>
      </c>
      <c r="F470" s="5">
        <v>1374668.12</v>
      </c>
      <c r="G470" s="5">
        <v>1221548.8799999999</v>
      </c>
      <c r="H470" s="5"/>
      <c r="I470" s="5"/>
      <c r="J470" s="6"/>
    </row>
    <row r="471" spans="1:10">
      <c r="A471" s="9" t="s">
        <v>43</v>
      </c>
      <c r="B471" s="5">
        <v>28749886</v>
      </c>
      <c r="C471" s="5">
        <v>26211434</v>
      </c>
      <c r="D471" s="5">
        <v>25000902</v>
      </c>
      <c r="E471" s="5">
        <v>18472712</v>
      </c>
      <c r="F471" s="5">
        <v>17360506</v>
      </c>
      <c r="G471" s="5">
        <v>15126271</v>
      </c>
      <c r="H471" s="5"/>
      <c r="I471" s="5"/>
      <c r="J471" s="6"/>
    </row>
    <row r="472" spans="1:10">
      <c r="A472" s="9" t="s">
        <v>44</v>
      </c>
      <c r="B472" s="5">
        <v>79993096</v>
      </c>
      <c r="C472" s="5">
        <v>67483784</v>
      </c>
      <c r="D472" s="5">
        <v>65965268</v>
      </c>
      <c r="E472" s="5">
        <v>49518572</v>
      </c>
      <c r="F472" s="5">
        <v>43657372</v>
      </c>
      <c r="G472" s="5">
        <v>37778636</v>
      </c>
      <c r="H472" s="5"/>
      <c r="I472" s="5"/>
      <c r="J472" s="6"/>
    </row>
    <row r="473" spans="1:10">
      <c r="A473" s="9"/>
      <c r="B473" s="5"/>
      <c r="C473" s="5"/>
      <c r="D473" s="5"/>
      <c r="E473" s="5"/>
      <c r="F473" s="5"/>
      <c r="G473" s="5"/>
      <c r="H473" s="5"/>
      <c r="I473" s="5"/>
      <c r="J473" s="6"/>
    </row>
    <row r="474" spans="1:10" ht="15.75" thickBot="1">
      <c r="A474" s="10" t="s">
        <v>93</v>
      </c>
      <c r="B474" s="7">
        <f t="shared" ref="B474:G474" si="43">SUM(B466:B472)/SUM(B464:B465)</f>
        <v>12.774155403839931</v>
      </c>
      <c r="C474" s="7">
        <f t="shared" si="43"/>
        <v>13.376479686824089</v>
      </c>
      <c r="D474" s="7">
        <f t="shared" si="43"/>
        <v>9.8638324549600984</v>
      </c>
      <c r="E474" s="7">
        <f t="shared" si="43"/>
        <v>0.68503681489663271</v>
      </c>
      <c r="F474" s="7">
        <f t="shared" si="43"/>
        <v>0.61995890189270708</v>
      </c>
      <c r="G474" s="7">
        <f t="shared" si="43"/>
        <v>0.59380597950490166</v>
      </c>
      <c r="H474" s="7"/>
      <c r="I474" s="7"/>
      <c r="J474" s="8"/>
    </row>
    <row r="475" spans="1:10" ht="15.75" thickBot="1"/>
    <row r="476" spans="1:10">
      <c r="A476" s="15" t="s">
        <v>34</v>
      </c>
      <c r="B476" s="12" t="s">
        <v>57</v>
      </c>
      <c r="C476" s="12" t="s">
        <v>58</v>
      </c>
      <c r="D476" s="12" t="s">
        <v>59</v>
      </c>
      <c r="E476" s="12" t="s">
        <v>60</v>
      </c>
      <c r="F476" s="12" t="s">
        <v>61</v>
      </c>
      <c r="G476" s="12" t="s">
        <v>62</v>
      </c>
      <c r="H476" s="12" t="s">
        <v>63</v>
      </c>
      <c r="I476" s="12" t="s">
        <v>64</v>
      </c>
      <c r="J476" s="13" t="s">
        <v>65</v>
      </c>
    </row>
    <row r="477" spans="1:10">
      <c r="A477" s="9" t="s">
        <v>10</v>
      </c>
      <c r="B477" s="5">
        <v>2343465.75</v>
      </c>
      <c r="C477" s="5">
        <v>2096446.5</v>
      </c>
      <c r="D477" s="5">
        <v>1666155.38</v>
      </c>
      <c r="E477" s="5">
        <v>9461377</v>
      </c>
      <c r="F477" s="5">
        <v>9257829</v>
      </c>
      <c r="G477" s="5">
        <v>8191880</v>
      </c>
      <c r="H477" s="5">
        <v>39108660</v>
      </c>
      <c r="I477" s="5">
        <v>35686224</v>
      </c>
      <c r="J477" s="6">
        <v>31736352</v>
      </c>
    </row>
    <row r="478" spans="1:10">
      <c r="A478" s="9" t="s">
        <v>11</v>
      </c>
      <c r="B478" s="5">
        <v>246349.95</v>
      </c>
      <c r="C478" s="5">
        <v>204676.89</v>
      </c>
      <c r="D478" s="5">
        <v>172003.83</v>
      </c>
      <c r="E478" s="5">
        <v>1000433.19</v>
      </c>
      <c r="F478" s="5">
        <v>998362.44</v>
      </c>
      <c r="G478" s="5">
        <v>809881.56</v>
      </c>
      <c r="H478" s="5">
        <v>3956312</v>
      </c>
      <c r="I478" s="5">
        <v>3498672.75</v>
      </c>
      <c r="J478" s="6">
        <v>3112567.75</v>
      </c>
    </row>
    <row r="479" spans="1:10">
      <c r="A479" s="9" t="s">
        <v>12</v>
      </c>
      <c r="B479" s="5">
        <v>36229.22</v>
      </c>
      <c r="C479" s="5">
        <v>12941.52</v>
      </c>
      <c r="D479" s="5">
        <v>11581.79</v>
      </c>
      <c r="E479" s="5">
        <v>136358.04999999999</v>
      </c>
      <c r="F479" s="5">
        <v>106547.06</v>
      </c>
      <c r="G479" s="5">
        <v>140693.39000000001</v>
      </c>
      <c r="H479" s="5">
        <v>766292.19</v>
      </c>
      <c r="I479" s="5">
        <v>455119.88</v>
      </c>
      <c r="J479" s="6">
        <v>529052.93999999994</v>
      </c>
    </row>
    <row r="480" spans="1:10">
      <c r="A480" s="9" t="s">
        <v>13</v>
      </c>
      <c r="B480" s="5">
        <v>5239.6000000000004</v>
      </c>
      <c r="C480" s="5">
        <v>0</v>
      </c>
      <c r="D480" s="5">
        <v>0</v>
      </c>
      <c r="E480" s="5">
        <v>7019.69</v>
      </c>
      <c r="F480" s="5">
        <v>8415.0499999999993</v>
      </c>
      <c r="G480" s="5">
        <v>11087.21</v>
      </c>
      <c r="H480" s="5">
        <v>49208.2</v>
      </c>
      <c r="I480" s="5">
        <v>23929.93</v>
      </c>
      <c r="J480" s="6">
        <v>25477.55</v>
      </c>
    </row>
    <row r="481" spans="1:10">
      <c r="A481" s="9" t="s">
        <v>41</v>
      </c>
      <c r="B481" s="5">
        <v>37213.279999999999</v>
      </c>
      <c r="C481" s="5">
        <v>17738.349999999999</v>
      </c>
      <c r="D481" s="5">
        <v>23652.91</v>
      </c>
      <c r="E481" s="5">
        <v>25863.27</v>
      </c>
      <c r="F481" s="5">
        <v>31470.19</v>
      </c>
      <c r="G481" s="5">
        <v>22254.91</v>
      </c>
      <c r="H481" s="5">
        <v>20261.189999999999</v>
      </c>
      <c r="I481" s="5">
        <v>9244.2099999999991</v>
      </c>
      <c r="J481" s="6">
        <v>14273.96</v>
      </c>
    </row>
    <row r="482" spans="1:10">
      <c r="A482" s="9" t="s">
        <v>42</v>
      </c>
      <c r="B482" s="5">
        <v>798024.69</v>
      </c>
      <c r="C482" s="5">
        <v>691815.62</v>
      </c>
      <c r="D482" s="5">
        <v>595860.81000000006</v>
      </c>
      <c r="E482" s="5">
        <v>674264.69</v>
      </c>
      <c r="F482" s="5">
        <v>737199.19</v>
      </c>
      <c r="G482" s="5">
        <v>644534.12</v>
      </c>
      <c r="H482" s="5">
        <v>489512.66</v>
      </c>
      <c r="I482" s="5">
        <v>442121.25</v>
      </c>
      <c r="J482" s="6">
        <v>416422.53</v>
      </c>
    </row>
    <row r="483" spans="1:10">
      <c r="A483" s="9" t="s">
        <v>43</v>
      </c>
      <c r="B483" s="5">
        <v>10961340</v>
      </c>
      <c r="C483" s="5">
        <v>9171487</v>
      </c>
      <c r="D483" s="5">
        <v>7908505.5</v>
      </c>
      <c r="E483" s="5">
        <v>9731340</v>
      </c>
      <c r="F483" s="5">
        <v>9747888</v>
      </c>
      <c r="G483" s="5">
        <v>8688989</v>
      </c>
      <c r="H483" s="5">
        <v>6688836</v>
      </c>
      <c r="I483" s="5">
        <v>5694342.5</v>
      </c>
      <c r="J483" s="6">
        <v>5264616.5</v>
      </c>
    </row>
    <row r="484" spans="1:10">
      <c r="A484" s="9" t="s">
        <v>44</v>
      </c>
      <c r="B484" s="5">
        <v>23481642</v>
      </c>
      <c r="C484" s="5">
        <v>20601640</v>
      </c>
      <c r="D484" s="5">
        <v>17757056</v>
      </c>
      <c r="E484" s="5">
        <v>20459054</v>
      </c>
      <c r="F484" s="5">
        <v>21978470</v>
      </c>
      <c r="G484" s="5">
        <v>17735648</v>
      </c>
      <c r="H484" s="5">
        <v>13983480</v>
      </c>
      <c r="I484" s="5">
        <v>12708008</v>
      </c>
      <c r="J484" s="6">
        <v>10830620</v>
      </c>
    </row>
    <row r="485" spans="1:10">
      <c r="A485" s="9"/>
      <c r="B485" s="5"/>
      <c r="C485" s="5"/>
      <c r="D485" s="5"/>
      <c r="E485" s="5"/>
      <c r="F485" s="5"/>
      <c r="G485" s="5"/>
      <c r="H485" s="5"/>
      <c r="I485" s="5"/>
      <c r="J485" s="6"/>
    </row>
    <row r="486" spans="1:10" ht="15.75" thickBot="1">
      <c r="A486" s="10" t="s">
        <v>93</v>
      </c>
      <c r="B486" s="7">
        <f t="shared" ref="B486:J486" si="44">SUM(B479:B484)/SUM(B477:B478)</f>
        <v>13.637915929693374</v>
      </c>
      <c r="C486" s="7">
        <f t="shared" si="44"/>
        <v>13.252493378896991</v>
      </c>
      <c r="D486" s="7">
        <f t="shared" si="44"/>
        <v>14.305973534251148</v>
      </c>
      <c r="E486" s="7">
        <f t="shared" si="44"/>
        <v>2.9663986572480532</v>
      </c>
      <c r="F486" s="7">
        <f t="shared" si="44"/>
        <v>3.1795418095276897</v>
      </c>
      <c r="G486" s="7">
        <f t="shared" si="44"/>
        <v>3.0264305989904492</v>
      </c>
      <c r="H486" s="7">
        <f t="shared" si="44"/>
        <v>0.51080005903637882</v>
      </c>
      <c r="I486" s="7">
        <f t="shared" si="44"/>
        <v>0.49337289041089538</v>
      </c>
      <c r="J486" s="8">
        <f t="shared" si="44"/>
        <v>0.49012892228890398</v>
      </c>
    </row>
    <row r="487" spans="1:10" ht="15.75" thickBo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>
      <c r="A488" s="26" t="s">
        <v>34</v>
      </c>
      <c r="B488" s="12" t="s">
        <v>57</v>
      </c>
      <c r="C488" s="12" t="s">
        <v>58</v>
      </c>
      <c r="D488" s="12" t="s">
        <v>59</v>
      </c>
      <c r="E488" s="12" t="s">
        <v>63</v>
      </c>
      <c r="F488" s="12" t="s">
        <v>64</v>
      </c>
      <c r="G488" s="12" t="s">
        <v>65</v>
      </c>
      <c r="H488" s="12"/>
      <c r="I488" s="12"/>
      <c r="J488" s="13"/>
    </row>
    <row r="489" spans="1:10">
      <c r="A489" s="9" t="s">
        <v>10</v>
      </c>
      <c r="B489" s="5">
        <v>3426719</v>
      </c>
      <c r="C489" s="5">
        <v>2104809.25</v>
      </c>
      <c r="D489" s="5">
        <v>2808657.25</v>
      </c>
      <c r="E489" s="5">
        <v>40235932</v>
      </c>
      <c r="F489" s="5">
        <v>39994216</v>
      </c>
      <c r="G489" s="5">
        <v>35729124</v>
      </c>
      <c r="H489" s="5"/>
      <c r="I489" s="5"/>
      <c r="J489" s="6"/>
    </row>
    <row r="490" spans="1:10">
      <c r="A490" s="9" t="s">
        <v>11</v>
      </c>
      <c r="B490" s="5">
        <v>378046.34</v>
      </c>
      <c r="C490" s="5">
        <v>231733.86</v>
      </c>
      <c r="D490" s="5">
        <v>320820.28000000003</v>
      </c>
      <c r="E490" s="5">
        <v>4037380</v>
      </c>
      <c r="F490" s="5">
        <v>3880633.25</v>
      </c>
      <c r="G490" s="5">
        <v>3595331.25</v>
      </c>
      <c r="H490" s="5"/>
      <c r="I490" s="5"/>
      <c r="J490" s="6"/>
    </row>
    <row r="491" spans="1:10">
      <c r="A491" s="9" t="s">
        <v>12</v>
      </c>
      <c r="B491" s="5">
        <v>68949.66</v>
      </c>
      <c r="C491" s="5">
        <v>42220.92</v>
      </c>
      <c r="D491" s="5">
        <v>46916.09</v>
      </c>
      <c r="E491" s="5">
        <v>687706.69</v>
      </c>
      <c r="F491" s="5">
        <v>668294.81000000006</v>
      </c>
      <c r="G491" s="5">
        <v>607778.06000000006</v>
      </c>
      <c r="H491" s="5"/>
      <c r="I491" s="5"/>
      <c r="J491" s="6"/>
    </row>
    <row r="492" spans="1:10">
      <c r="A492" s="9" t="s">
        <v>13</v>
      </c>
      <c r="B492" s="5">
        <v>0</v>
      </c>
      <c r="C492" s="5">
        <v>0</v>
      </c>
      <c r="D492" s="5">
        <v>0</v>
      </c>
      <c r="E492" s="5">
        <v>81236.37</v>
      </c>
      <c r="F492" s="5">
        <v>57629.74</v>
      </c>
      <c r="G492" s="5">
        <v>55388</v>
      </c>
      <c r="H492" s="5"/>
      <c r="I492" s="5"/>
      <c r="J492" s="6"/>
    </row>
    <row r="493" spans="1:10">
      <c r="A493" s="9" t="s">
        <v>41</v>
      </c>
      <c r="B493" s="5">
        <v>39632.769999999997</v>
      </c>
      <c r="C493" s="5">
        <v>26894.25</v>
      </c>
      <c r="D493" s="5">
        <v>13164.81</v>
      </c>
      <c r="E493" s="5">
        <v>24569.01</v>
      </c>
      <c r="F493" s="5">
        <v>14238.04</v>
      </c>
      <c r="G493" s="5">
        <v>26450.5</v>
      </c>
      <c r="H493" s="5"/>
      <c r="I493" s="5"/>
      <c r="J493" s="6"/>
    </row>
    <row r="494" spans="1:10">
      <c r="A494" s="9" t="s">
        <v>42</v>
      </c>
      <c r="B494" s="5">
        <v>943440.75</v>
      </c>
      <c r="C494" s="5">
        <v>719090.75</v>
      </c>
      <c r="D494" s="5">
        <v>628494.25</v>
      </c>
      <c r="E494" s="5">
        <v>540701</v>
      </c>
      <c r="F494" s="5">
        <v>529860.81000000006</v>
      </c>
      <c r="G494" s="5">
        <v>412118.34</v>
      </c>
      <c r="H494" s="5"/>
      <c r="I494" s="5"/>
      <c r="J494" s="6"/>
    </row>
    <row r="495" spans="1:10">
      <c r="A495" s="9" t="s">
        <v>43</v>
      </c>
      <c r="B495" s="5">
        <v>12428787</v>
      </c>
      <c r="C495" s="5">
        <v>9595949</v>
      </c>
      <c r="D495" s="5">
        <v>9424662</v>
      </c>
      <c r="E495" s="5">
        <v>7302264</v>
      </c>
      <c r="F495" s="5">
        <v>6618514.5</v>
      </c>
      <c r="G495" s="5">
        <v>5570124.5</v>
      </c>
      <c r="H495" s="5"/>
      <c r="I495" s="5"/>
      <c r="J495" s="6"/>
    </row>
    <row r="496" spans="1:10">
      <c r="A496" s="9" t="s">
        <v>44</v>
      </c>
      <c r="B496" s="5">
        <v>35740720</v>
      </c>
      <c r="C496" s="5">
        <v>25689530</v>
      </c>
      <c r="D496" s="5">
        <v>24723064</v>
      </c>
      <c r="E496" s="5">
        <v>19344218</v>
      </c>
      <c r="F496" s="5">
        <v>17651478</v>
      </c>
      <c r="G496" s="5">
        <v>14632588</v>
      </c>
      <c r="H496" s="5"/>
      <c r="I496" s="5"/>
      <c r="J496" s="6"/>
    </row>
    <row r="497" spans="1:10">
      <c r="A497" s="9"/>
      <c r="B497" s="5"/>
      <c r="C497" s="5"/>
      <c r="D497" s="5"/>
      <c r="E497" s="5"/>
      <c r="F497" s="5"/>
      <c r="G497" s="5"/>
      <c r="H497" s="5"/>
      <c r="I497" s="5"/>
      <c r="J497" s="6"/>
    </row>
    <row r="498" spans="1:10" ht="15.75" thickBot="1">
      <c r="A498" s="10" t="s">
        <v>93</v>
      </c>
      <c r="B498" s="7">
        <f t="shared" ref="B498:G498" si="45">SUM(B491:B496)/SUM(B489:B490)</f>
        <v>12.936811020255982</v>
      </c>
      <c r="C498" s="7">
        <f t="shared" si="45"/>
        <v>15.438912625070293</v>
      </c>
      <c r="D498" s="7">
        <f t="shared" si="45"/>
        <v>11.13166680893216</v>
      </c>
      <c r="E498" s="7">
        <f t="shared" si="45"/>
        <v>0.63199913912019956</v>
      </c>
      <c r="F498" s="7">
        <f t="shared" si="45"/>
        <v>0.5821106245738269</v>
      </c>
      <c r="G498" s="7">
        <f t="shared" si="45"/>
        <v>0.54176077620299645</v>
      </c>
      <c r="H498" s="7"/>
      <c r="I498" s="7"/>
      <c r="J498" s="8"/>
    </row>
    <row r="499" spans="1:10" ht="15.75" thickBot="1"/>
    <row r="500" spans="1:10">
      <c r="A500" s="15" t="s">
        <v>72</v>
      </c>
      <c r="B500" s="12" t="s">
        <v>57</v>
      </c>
      <c r="C500" s="12" t="s">
        <v>58</v>
      </c>
      <c r="D500" s="12" t="s">
        <v>59</v>
      </c>
      <c r="E500" s="12" t="s">
        <v>60</v>
      </c>
      <c r="F500" s="12" t="s">
        <v>61</v>
      </c>
      <c r="G500" s="12" t="s">
        <v>62</v>
      </c>
      <c r="H500" s="12" t="s">
        <v>63</v>
      </c>
      <c r="I500" s="12" t="s">
        <v>64</v>
      </c>
      <c r="J500" s="13" t="s">
        <v>65</v>
      </c>
    </row>
    <row r="501" spans="1:10">
      <c r="A501" s="9" t="s">
        <v>10</v>
      </c>
      <c r="B501" s="5">
        <v>91292.53</v>
      </c>
      <c r="C501" s="5">
        <v>86479.679999999993</v>
      </c>
      <c r="D501" s="5">
        <v>90240.4</v>
      </c>
      <c r="E501" s="5">
        <v>393643.38</v>
      </c>
      <c r="F501" s="5">
        <v>436445.75</v>
      </c>
      <c r="G501" s="5">
        <v>392730.16</v>
      </c>
      <c r="H501" s="5">
        <v>1935687.62</v>
      </c>
      <c r="I501" s="5">
        <v>2089346.5</v>
      </c>
      <c r="J501" s="6">
        <v>2018731.88</v>
      </c>
    </row>
    <row r="502" spans="1:10">
      <c r="A502" s="9" t="s">
        <v>11</v>
      </c>
      <c r="B502" s="5">
        <v>2062.06</v>
      </c>
      <c r="C502" s="5">
        <v>0</v>
      </c>
      <c r="D502" s="5">
        <v>1811.12</v>
      </c>
      <c r="E502" s="5">
        <v>9208.16</v>
      </c>
      <c r="F502" s="5">
        <v>0</v>
      </c>
      <c r="G502" s="5">
        <v>14671.41</v>
      </c>
      <c r="H502" s="5">
        <v>52230.44</v>
      </c>
      <c r="I502" s="5">
        <v>50172.5</v>
      </c>
      <c r="J502" s="6">
        <v>65776.100000000006</v>
      </c>
    </row>
    <row r="503" spans="1:10">
      <c r="A503" s="9" t="s">
        <v>12</v>
      </c>
      <c r="B503" s="5">
        <v>26540.31</v>
      </c>
      <c r="C503" s="5">
        <v>21293.63</v>
      </c>
      <c r="D503" s="5">
        <v>25437.96</v>
      </c>
      <c r="E503" s="5">
        <v>23276.97</v>
      </c>
      <c r="F503" s="5">
        <v>29709.599999999999</v>
      </c>
      <c r="G503" s="5">
        <v>23305.94</v>
      </c>
      <c r="H503" s="5">
        <v>0</v>
      </c>
      <c r="I503" s="5">
        <v>21707.88</v>
      </c>
      <c r="J503" s="6">
        <v>15968.52</v>
      </c>
    </row>
    <row r="504" spans="1:10">
      <c r="A504" s="9" t="s">
        <v>13</v>
      </c>
      <c r="B504" s="5">
        <v>880224.56</v>
      </c>
      <c r="C504" s="5">
        <v>746967.81</v>
      </c>
      <c r="D504" s="5">
        <v>833507.69</v>
      </c>
      <c r="E504" s="5">
        <v>892569.25</v>
      </c>
      <c r="F504" s="5">
        <v>901393.75</v>
      </c>
      <c r="G504" s="5">
        <v>733606.5</v>
      </c>
      <c r="H504" s="5">
        <v>582313.88</v>
      </c>
      <c r="I504" s="5">
        <v>605357.31000000006</v>
      </c>
      <c r="J504" s="6">
        <v>618218.93999999994</v>
      </c>
    </row>
    <row r="505" spans="1:10">
      <c r="A505" s="9"/>
      <c r="B505" s="5"/>
      <c r="C505" s="5"/>
      <c r="D505" s="5"/>
      <c r="E505" s="5"/>
      <c r="F505" s="5"/>
      <c r="G505" s="5"/>
      <c r="H505" s="5"/>
      <c r="I505" s="5"/>
      <c r="J505" s="6"/>
    </row>
    <row r="506" spans="1:10" ht="15.75" thickBot="1">
      <c r="A506" s="10" t="s">
        <v>93</v>
      </c>
      <c r="B506" s="7">
        <f t="shared" ref="B506:J506" si="46">SUM(B503:B504)/SUM(B501:B502)</f>
        <v>9.7131257284724857</v>
      </c>
      <c r="C506" s="7">
        <f t="shared" si="46"/>
        <v>8.883722048925252</v>
      </c>
      <c r="D506" s="7">
        <f t="shared" si="46"/>
        <v>9.3311403222890839</v>
      </c>
      <c r="E506" s="7">
        <f t="shared" si="46"/>
        <v>2.2734087599615482</v>
      </c>
      <c r="F506" s="7">
        <f t="shared" si="46"/>
        <v>2.1333770577442901</v>
      </c>
      <c r="G506" s="7">
        <f t="shared" si="46"/>
        <v>1.8579026094572979</v>
      </c>
      <c r="H506" s="7">
        <f t="shared" si="46"/>
        <v>0.29292650019991268</v>
      </c>
      <c r="I506" s="7">
        <f t="shared" si="46"/>
        <v>0.29308699291756701</v>
      </c>
      <c r="J506" s="8">
        <f t="shared" si="46"/>
        <v>0.30423844191759819</v>
      </c>
    </row>
    <row r="507" spans="1:10" ht="15.75" thickBo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>
      <c r="A508" s="26" t="s">
        <v>72</v>
      </c>
      <c r="B508" s="12" t="s">
        <v>57</v>
      </c>
      <c r="C508" s="12" t="s">
        <v>58</v>
      </c>
      <c r="D508" s="12" t="s">
        <v>59</v>
      </c>
      <c r="E508" s="12" t="s">
        <v>63</v>
      </c>
      <c r="F508" s="12" t="s">
        <v>64</v>
      </c>
      <c r="G508" s="12" t="s">
        <v>65</v>
      </c>
      <c r="H508" s="12"/>
      <c r="I508" s="12"/>
      <c r="J508" s="13"/>
    </row>
    <row r="509" spans="1:10">
      <c r="A509" s="9" t="s">
        <v>10</v>
      </c>
      <c r="B509" s="5">
        <v>244212.48000000001</v>
      </c>
      <c r="C509" s="5">
        <v>213513.33</v>
      </c>
      <c r="D509" s="5">
        <v>265255.19</v>
      </c>
      <c r="E509" s="5">
        <v>3984088.75</v>
      </c>
      <c r="F509" s="5">
        <v>3982573.25</v>
      </c>
      <c r="G509" s="5">
        <v>4109202.25</v>
      </c>
      <c r="H509" s="5"/>
      <c r="I509" s="5"/>
      <c r="J509" s="6"/>
    </row>
    <row r="510" spans="1:10">
      <c r="A510" s="9" t="s">
        <v>11</v>
      </c>
      <c r="B510" s="5">
        <v>8109.69</v>
      </c>
      <c r="C510" s="5">
        <v>3380.32</v>
      </c>
      <c r="D510" s="5">
        <v>5815</v>
      </c>
      <c r="E510" s="5">
        <v>111708.96</v>
      </c>
      <c r="F510" s="5">
        <v>120140.35</v>
      </c>
      <c r="G510" s="5">
        <v>108877.28</v>
      </c>
      <c r="H510" s="5"/>
      <c r="I510" s="5"/>
      <c r="J510" s="6"/>
    </row>
    <row r="511" spans="1:10">
      <c r="A511" s="9" t="s">
        <v>12</v>
      </c>
      <c r="B511" s="5">
        <v>16040.98</v>
      </c>
      <c r="C511" s="5">
        <v>22608.17</v>
      </c>
      <c r="D511" s="5">
        <v>0</v>
      </c>
      <c r="E511" s="5">
        <v>14440.41</v>
      </c>
      <c r="F511" s="5">
        <v>13180.35</v>
      </c>
      <c r="G511" s="5">
        <v>12937.23</v>
      </c>
      <c r="H511" s="5"/>
      <c r="I511" s="5"/>
      <c r="J511" s="6"/>
    </row>
    <row r="512" spans="1:10">
      <c r="A512" s="9" t="s">
        <v>13</v>
      </c>
      <c r="B512" s="5">
        <v>523549.09</v>
      </c>
      <c r="C512" s="5">
        <v>489093.38</v>
      </c>
      <c r="D512" s="5">
        <v>618623.5</v>
      </c>
      <c r="E512" s="5">
        <v>436372.59</v>
      </c>
      <c r="F512" s="5">
        <v>530656.31000000006</v>
      </c>
      <c r="G512" s="5">
        <v>402319.59</v>
      </c>
      <c r="H512" s="5"/>
      <c r="I512" s="5"/>
      <c r="J512" s="6"/>
    </row>
    <row r="513" spans="1:10">
      <c r="A513" s="9"/>
      <c r="B513" s="5"/>
      <c r="C513" s="5"/>
      <c r="D513" s="5"/>
      <c r="E513" s="5"/>
      <c r="F513" s="5"/>
      <c r="G513" s="5"/>
      <c r="H513" s="5"/>
      <c r="I513" s="5"/>
      <c r="J513" s="6"/>
    </row>
    <row r="514" spans="1:10" ht="15.75" thickBot="1">
      <c r="A514" s="10" t="s">
        <v>93</v>
      </c>
      <c r="B514" s="7">
        <f t="shared" ref="B514:G514" si="47">SUM(B511:B512)/SUM(B509:B510)</f>
        <v>2.1384964706034353</v>
      </c>
      <c r="C514" s="7">
        <f t="shared" si="47"/>
        <v>2.3592278980966017</v>
      </c>
      <c r="D514" s="7">
        <f t="shared" si="47"/>
        <v>2.2821524565279567</v>
      </c>
      <c r="E514" s="7">
        <f t="shared" si="47"/>
        <v>0.1100672034898911</v>
      </c>
      <c r="F514" s="7">
        <f t="shared" si="47"/>
        <v>0.13255535555784348</v>
      </c>
      <c r="G514" s="7">
        <f t="shared" si="47"/>
        <v>9.8446892014859663E-2</v>
      </c>
      <c r="H514" s="7"/>
      <c r="I514" s="7"/>
      <c r="J514" s="8"/>
    </row>
    <row r="515" spans="1:10" ht="15.75" thickBot="1"/>
    <row r="516" spans="1:10">
      <c r="A516" s="15" t="s">
        <v>73</v>
      </c>
      <c r="B516" s="12" t="s">
        <v>57</v>
      </c>
      <c r="C516" s="12" t="s">
        <v>58</v>
      </c>
      <c r="D516" s="12" t="s">
        <v>59</v>
      </c>
      <c r="E516" s="12" t="s">
        <v>60</v>
      </c>
      <c r="F516" s="12" t="s">
        <v>61</v>
      </c>
      <c r="G516" s="12" t="s">
        <v>62</v>
      </c>
      <c r="H516" s="12" t="s">
        <v>63</v>
      </c>
      <c r="I516" s="12" t="s">
        <v>64</v>
      </c>
      <c r="J516" s="13" t="s">
        <v>65</v>
      </c>
    </row>
    <row r="517" spans="1:10">
      <c r="A517" s="9" t="s">
        <v>10</v>
      </c>
      <c r="B517" s="5">
        <v>9281381</v>
      </c>
      <c r="C517" s="5">
        <v>9341256</v>
      </c>
      <c r="D517" s="5">
        <v>11313476</v>
      </c>
      <c r="E517" s="5">
        <v>37574216</v>
      </c>
      <c r="F517" s="5">
        <v>39672324</v>
      </c>
      <c r="G517" s="5">
        <v>41305040</v>
      </c>
      <c r="H517" s="5">
        <v>135355504</v>
      </c>
      <c r="I517" s="5">
        <v>148700432</v>
      </c>
      <c r="J517" s="6">
        <v>146845392</v>
      </c>
    </row>
    <row r="518" spans="1:10">
      <c r="A518" s="9" t="s">
        <v>11</v>
      </c>
      <c r="B518" s="5">
        <v>295989.09000000003</v>
      </c>
      <c r="C518" s="5">
        <v>277415.53000000003</v>
      </c>
      <c r="D518" s="5">
        <v>331858.12</v>
      </c>
      <c r="E518" s="5">
        <v>1244907.6200000001</v>
      </c>
      <c r="F518" s="5">
        <v>1364276.88</v>
      </c>
      <c r="G518" s="5">
        <v>1368699.12</v>
      </c>
      <c r="H518" s="5">
        <v>4464050</v>
      </c>
      <c r="I518" s="5">
        <v>4919770.5</v>
      </c>
      <c r="J518" s="6">
        <v>4883873</v>
      </c>
    </row>
    <row r="519" spans="1:10">
      <c r="A519" s="9" t="s">
        <v>12</v>
      </c>
      <c r="B519" s="5">
        <v>2264302.25</v>
      </c>
      <c r="C519" s="5">
        <v>2142546.25</v>
      </c>
      <c r="D519" s="5">
        <v>1943922.62</v>
      </c>
      <c r="E519" s="5">
        <v>1791820.62</v>
      </c>
      <c r="F519" s="5">
        <v>1911303</v>
      </c>
      <c r="G519" s="5">
        <v>1952945.5</v>
      </c>
      <c r="H519" s="5">
        <v>1280230.3799999999</v>
      </c>
      <c r="I519" s="5">
        <v>1416433</v>
      </c>
      <c r="J519" s="6">
        <v>1235781.3799999999</v>
      </c>
    </row>
    <row r="520" spans="1:10">
      <c r="A520" s="9" t="s">
        <v>13</v>
      </c>
      <c r="B520" s="5">
        <v>89086496</v>
      </c>
      <c r="C520" s="5">
        <v>84227432</v>
      </c>
      <c r="D520" s="5">
        <v>76569624</v>
      </c>
      <c r="E520" s="5">
        <v>67313768</v>
      </c>
      <c r="F520" s="5">
        <v>77517544</v>
      </c>
      <c r="G520" s="5">
        <v>73434784</v>
      </c>
      <c r="H520" s="5">
        <v>51034004</v>
      </c>
      <c r="I520" s="5">
        <v>54802324</v>
      </c>
      <c r="J520" s="6">
        <v>47918924</v>
      </c>
    </row>
    <row r="521" spans="1:10">
      <c r="A521" s="9"/>
      <c r="B521" s="5"/>
      <c r="C521" s="5"/>
      <c r="D521" s="5"/>
      <c r="E521" s="5"/>
      <c r="F521" s="5"/>
      <c r="G521" s="5"/>
      <c r="H521" s="5"/>
      <c r="I521" s="5"/>
      <c r="J521" s="6"/>
    </row>
    <row r="522" spans="1:10" ht="15.75" thickBot="1">
      <c r="A522" s="10" t="s">
        <v>93</v>
      </c>
      <c r="B522" s="7">
        <f t="shared" ref="B522:J522" si="48">SUM(B519:B520)/SUM(B517:B518)</f>
        <v>9.5381923629934615</v>
      </c>
      <c r="C522" s="7">
        <f t="shared" si="48"/>
        <v>8.9794082249942484</v>
      </c>
      <c r="D522" s="7">
        <f t="shared" si="48"/>
        <v>6.7420604519331739</v>
      </c>
      <c r="E522" s="7">
        <f t="shared" si="48"/>
        <v>1.7801944550957385</v>
      </c>
      <c r="F522" s="7">
        <f t="shared" si="48"/>
        <v>1.9355610673570973</v>
      </c>
      <c r="G522" s="7">
        <f t="shared" si="48"/>
        <v>1.7666070762631594</v>
      </c>
      <c r="H522" s="7">
        <f t="shared" si="48"/>
        <v>0.3741553515468945</v>
      </c>
      <c r="I522" s="7">
        <f t="shared" si="48"/>
        <v>0.36595939912265119</v>
      </c>
      <c r="J522" s="8">
        <f t="shared" si="48"/>
        <v>0.32396324716922609</v>
      </c>
    </row>
    <row r="523" spans="1:10" ht="15.75" thickBot="1"/>
    <row r="524" spans="1:10">
      <c r="A524" s="15" t="s">
        <v>84</v>
      </c>
      <c r="B524" s="12" t="s">
        <v>74</v>
      </c>
      <c r="C524" s="12" t="s">
        <v>75</v>
      </c>
      <c r="D524" s="12" t="s">
        <v>76</v>
      </c>
      <c r="E524" s="12"/>
      <c r="F524" s="37"/>
      <c r="G524" s="37"/>
      <c r="H524" s="37"/>
      <c r="I524" s="12"/>
      <c r="J524" s="13"/>
    </row>
    <row r="525" spans="1:10">
      <c r="A525" s="9" t="s">
        <v>10</v>
      </c>
      <c r="B525" s="5">
        <v>62922508</v>
      </c>
      <c r="C525" s="5">
        <v>58043412</v>
      </c>
      <c r="D525" s="5">
        <v>58613276</v>
      </c>
      <c r="E525" s="5"/>
      <c r="F525" s="30"/>
      <c r="G525" s="30"/>
      <c r="H525" s="30"/>
      <c r="I525" s="5"/>
      <c r="J525" s="6"/>
    </row>
    <row r="526" spans="1:10">
      <c r="A526" s="9" t="s">
        <v>11</v>
      </c>
      <c r="B526" s="5">
        <v>1988264.88</v>
      </c>
      <c r="C526" s="5">
        <v>1867177.12</v>
      </c>
      <c r="D526" s="5">
        <v>1973634.88</v>
      </c>
      <c r="E526" s="5"/>
      <c r="F526" s="3"/>
      <c r="G526" s="5"/>
      <c r="H526" s="5"/>
      <c r="I526" s="5"/>
      <c r="J526" s="6"/>
    </row>
    <row r="527" spans="1:10">
      <c r="A527" s="9" t="s">
        <v>12</v>
      </c>
      <c r="B527" s="5">
        <v>1285090.6200000001</v>
      </c>
      <c r="C527" s="5">
        <v>1434616</v>
      </c>
      <c r="D527" s="5">
        <v>996717.69</v>
      </c>
      <c r="E527" s="5"/>
      <c r="F527" s="5"/>
      <c r="G527" s="5"/>
      <c r="H527" s="5"/>
      <c r="I527" s="5"/>
      <c r="J527" s="6"/>
    </row>
    <row r="528" spans="1:10">
      <c r="A528" s="9" t="s">
        <v>13</v>
      </c>
      <c r="B528" s="5">
        <v>51001088</v>
      </c>
      <c r="C528" s="5">
        <v>59587620</v>
      </c>
      <c r="D528" s="5">
        <v>41514004</v>
      </c>
      <c r="E528" s="5"/>
      <c r="F528" s="5"/>
      <c r="G528" s="5"/>
      <c r="H528" s="5"/>
      <c r="I528" s="5"/>
      <c r="J528" s="6"/>
    </row>
    <row r="529" spans="1:10">
      <c r="A529" s="9"/>
      <c r="B529" s="5"/>
      <c r="C529" s="5"/>
      <c r="D529" s="5"/>
      <c r="E529" s="5"/>
      <c r="F529" s="5"/>
      <c r="G529" s="5"/>
      <c r="H529" s="5"/>
      <c r="I529" s="5"/>
      <c r="J529" s="6"/>
    </row>
    <row r="530" spans="1:10" ht="15.75" thickBot="1">
      <c r="A530" s="10" t="s">
        <v>93</v>
      </c>
      <c r="B530" s="7">
        <f>SUM(B527:B528)/SUM(B525:B526)</f>
        <v>0.80550848957939558</v>
      </c>
      <c r="C530" s="7">
        <f t="shared" ref="C530:D530" si="49">SUM(C527:C528)/SUM(C525:C526)</f>
        <v>1.0185550984613654</v>
      </c>
      <c r="D530" s="7">
        <f t="shared" si="49"/>
        <v>0.70164860813250285</v>
      </c>
      <c r="E530" s="7"/>
      <c r="F530" s="7"/>
      <c r="G530" s="7"/>
      <c r="H530" s="7"/>
      <c r="I530" s="7"/>
      <c r="J530" s="8"/>
    </row>
    <row r="531" spans="1:10" ht="15.75" thickBot="1"/>
    <row r="532" spans="1:10">
      <c r="A532" s="26" t="s">
        <v>73</v>
      </c>
      <c r="B532" s="12" t="s">
        <v>57</v>
      </c>
      <c r="C532" s="12" t="s">
        <v>58</v>
      </c>
      <c r="D532" s="12" t="s">
        <v>59</v>
      </c>
      <c r="E532" s="12" t="s">
        <v>63</v>
      </c>
      <c r="F532" s="12" t="s">
        <v>64</v>
      </c>
      <c r="G532" s="12" t="s">
        <v>65</v>
      </c>
      <c r="H532" s="12"/>
      <c r="I532" s="12"/>
      <c r="J532" s="13"/>
    </row>
    <row r="533" spans="1:10">
      <c r="A533" s="9" t="s">
        <v>10</v>
      </c>
      <c r="B533" s="5">
        <v>13100056</v>
      </c>
      <c r="C533" s="5">
        <v>11039132</v>
      </c>
      <c r="D533" s="5">
        <v>18901870</v>
      </c>
      <c r="E533" s="5">
        <v>133452952</v>
      </c>
      <c r="F533" s="5">
        <v>125468064</v>
      </c>
      <c r="G533" s="5">
        <v>136077360</v>
      </c>
      <c r="H533" s="5"/>
      <c r="I533" s="5"/>
      <c r="J533" s="6"/>
    </row>
    <row r="534" spans="1:10">
      <c r="A534" s="9" t="s">
        <v>11</v>
      </c>
      <c r="B534" s="5">
        <v>452140</v>
      </c>
      <c r="C534" s="5">
        <v>328319.78000000003</v>
      </c>
      <c r="D534" s="5">
        <v>574373.5</v>
      </c>
      <c r="E534" s="5">
        <v>4402432.5</v>
      </c>
      <c r="F534" s="5">
        <v>4260499</v>
      </c>
      <c r="G534" s="5">
        <v>4558618</v>
      </c>
      <c r="H534" s="5"/>
      <c r="I534" s="5"/>
      <c r="J534" s="6"/>
    </row>
    <row r="535" spans="1:10">
      <c r="A535" s="9" t="s">
        <v>12</v>
      </c>
      <c r="B535" s="5">
        <v>2517503.5</v>
      </c>
      <c r="C535" s="5">
        <v>2596944.75</v>
      </c>
      <c r="D535" s="5">
        <v>2289929.75</v>
      </c>
      <c r="E535" s="5">
        <v>1347495.62</v>
      </c>
      <c r="F535" s="5">
        <v>1483981.88</v>
      </c>
      <c r="G535" s="5">
        <v>995505.5</v>
      </c>
      <c r="H535" s="5"/>
      <c r="I535" s="5"/>
      <c r="J535" s="6"/>
    </row>
    <row r="536" spans="1:10">
      <c r="A536" s="9" t="s">
        <v>13</v>
      </c>
      <c r="B536" s="5">
        <v>92178432</v>
      </c>
      <c r="C536" s="5">
        <v>102081824</v>
      </c>
      <c r="D536" s="5">
        <v>87905576</v>
      </c>
      <c r="E536" s="5">
        <v>49450180</v>
      </c>
      <c r="F536" s="5">
        <v>59379248</v>
      </c>
      <c r="G536" s="5">
        <v>39373500</v>
      </c>
      <c r="H536" s="5"/>
      <c r="I536" s="5"/>
      <c r="J536" s="6"/>
    </row>
    <row r="537" spans="1:10">
      <c r="A537" s="9"/>
      <c r="B537" s="5"/>
      <c r="C537" s="5"/>
      <c r="D537" s="5"/>
      <c r="E537" s="5"/>
      <c r="F537" s="5"/>
      <c r="G537" s="5"/>
      <c r="H537" s="5"/>
      <c r="I537" s="5"/>
      <c r="J537" s="6"/>
    </row>
    <row r="538" spans="1:10" ht="15.75" thickBot="1">
      <c r="A538" s="10" t="s">
        <v>93</v>
      </c>
      <c r="B538" s="7">
        <f t="shared" ref="B538:G538" si="50">SUM(B535:B536)/SUM(B533:B534)</f>
        <v>6.9874974874920639</v>
      </c>
      <c r="C538" s="7">
        <f t="shared" si="50"/>
        <v>9.2086397880457955</v>
      </c>
      <c r="D538" s="7">
        <f t="shared" si="50"/>
        <v>4.6310524793962449</v>
      </c>
      <c r="E538" s="7">
        <f t="shared" si="50"/>
        <v>0.36848524853956643</v>
      </c>
      <c r="F538" s="7">
        <f t="shared" si="50"/>
        <v>0.46915828305290025</v>
      </c>
      <c r="G538" s="7">
        <f t="shared" si="50"/>
        <v>0.28704607508044633</v>
      </c>
      <c r="H538" s="7"/>
      <c r="I538" s="7"/>
      <c r="J538" s="8"/>
    </row>
    <row r="539" spans="1:10" ht="15.75" thickBot="1"/>
    <row r="540" spans="1:10">
      <c r="A540" s="26" t="s">
        <v>84</v>
      </c>
      <c r="B540" s="12" t="s">
        <v>74</v>
      </c>
      <c r="C540" s="12" t="s">
        <v>75</v>
      </c>
      <c r="D540" s="12" t="s">
        <v>76</v>
      </c>
      <c r="E540" s="12"/>
      <c r="F540" s="20"/>
      <c r="G540" s="20"/>
      <c r="H540" s="20"/>
      <c r="I540" s="12"/>
      <c r="J540" s="13"/>
    </row>
    <row r="541" spans="1:10">
      <c r="A541" s="9" t="s">
        <v>10</v>
      </c>
      <c r="B541" s="5">
        <v>61363424</v>
      </c>
      <c r="C541" s="5">
        <v>53628356</v>
      </c>
      <c r="D541" s="5">
        <v>66260724</v>
      </c>
      <c r="E541" s="5"/>
      <c r="F541" s="19"/>
      <c r="G541" s="19"/>
      <c r="H541" s="19"/>
      <c r="I541" s="5"/>
      <c r="J541" s="6"/>
    </row>
    <row r="542" spans="1:10">
      <c r="A542" s="9" t="s">
        <v>11</v>
      </c>
      <c r="B542" s="5">
        <v>2058365</v>
      </c>
      <c r="C542" s="5">
        <v>1686733</v>
      </c>
      <c r="D542" s="5">
        <v>2147115.75</v>
      </c>
      <c r="E542" s="5"/>
      <c r="F542" s="3"/>
      <c r="G542" s="5"/>
      <c r="H542" s="5"/>
      <c r="I542" s="5"/>
      <c r="J542" s="6"/>
    </row>
    <row r="543" spans="1:10">
      <c r="A543" s="9" t="s">
        <v>12</v>
      </c>
      <c r="B543" s="5">
        <v>1383620.12</v>
      </c>
      <c r="C543" s="5">
        <v>1721808</v>
      </c>
      <c r="D543" s="5">
        <v>1286242.5</v>
      </c>
      <c r="E543" s="5"/>
      <c r="F543" s="5"/>
      <c r="G543" s="5"/>
      <c r="H543" s="5"/>
      <c r="I543" s="5"/>
      <c r="J543" s="6"/>
    </row>
    <row r="544" spans="1:10">
      <c r="A544" s="9" t="s">
        <v>13</v>
      </c>
      <c r="B544" s="5">
        <v>58787324</v>
      </c>
      <c r="C544" s="5">
        <v>66672844</v>
      </c>
      <c r="D544" s="5">
        <v>50983692</v>
      </c>
      <c r="E544" s="5"/>
      <c r="F544" s="5"/>
      <c r="G544" s="5"/>
      <c r="H544" s="5"/>
      <c r="I544" s="5"/>
      <c r="J544" s="6"/>
    </row>
    <row r="545" spans="1:10">
      <c r="A545" s="9"/>
      <c r="B545" s="5"/>
      <c r="C545" s="5"/>
      <c r="D545" s="5"/>
      <c r="E545" s="5"/>
      <c r="F545" s="5"/>
      <c r="G545" s="5"/>
      <c r="H545" s="5"/>
      <c r="I545" s="5"/>
      <c r="J545" s="6"/>
    </row>
    <row r="546" spans="1:10" ht="15.75" thickBot="1">
      <c r="A546" s="10" t="s">
        <v>93</v>
      </c>
      <c r="B546" s="7">
        <f>SUM(B543:B544)/SUM(B541:B542)</f>
        <v>0.94874246010310426</v>
      </c>
      <c r="C546" s="7">
        <f t="shared" ref="C546:D546" si="51">SUM(C543:C544)/SUM(C541:C542)</f>
        <v>1.2364556079806723</v>
      </c>
      <c r="D546" s="7">
        <f t="shared" si="51"/>
        <v>0.76409275151829359</v>
      </c>
      <c r="E546" s="7"/>
      <c r="F546" s="7"/>
      <c r="G546" s="7"/>
      <c r="H546" s="7"/>
      <c r="I546" s="7"/>
      <c r="J546" s="8"/>
    </row>
  </sheetData>
  <mergeCells count="11">
    <mergeCell ref="A1:B1"/>
    <mergeCell ref="A2:B2"/>
    <mergeCell ref="A3:B3"/>
    <mergeCell ref="A4:B4"/>
    <mergeCell ref="B117:J117"/>
    <mergeCell ref="M15:Q22"/>
    <mergeCell ref="B294:J294"/>
    <mergeCell ref="B296:J296"/>
    <mergeCell ref="B265:J265"/>
    <mergeCell ref="B267:J267"/>
    <mergeCell ref="B115:J11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13EC-FB3E-4004-80D2-B8AA6944352C}">
  <dimension ref="A1:J31"/>
  <sheetViews>
    <sheetView workbookViewId="0"/>
  </sheetViews>
  <sheetFormatPr defaultRowHeight="15"/>
  <cols>
    <col min="1" max="1" width="31.85546875" bestFit="1" customWidth="1"/>
    <col min="2" max="7" width="12" bestFit="1" customWidth="1"/>
  </cols>
  <sheetData>
    <row r="1" spans="1:10">
      <c r="B1" s="115" t="s">
        <v>94</v>
      </c>
      <c r="C1" s="115"/>
      <c r="D1" s="115"/>
      <c r="E1" s="115" t="s">
        <v>95</v>
      </c>
      <c r="F1" s="115"/>
      <c r="G1" s="115"/>
    </row>
    <row r="2" spans="1:10">
      <c r="B2" s="43" t="s">
        <v>87</v>
      </c>
      <c r="C2" s="43" t="s">
        <v>88</v>
      </c>
      <c r="D2" s="43" t="s">
        <v>89</v>
      </c>
      <c r="E2" s="43" t="s">
        <v>87</v>
      </c>
      <c r="F2" s="43" t="s">
        <v>88</v>
      </c>
      <c r="G2" s="43" t="s">
        <v>89</v>
      </c>
    </row>
    <row r="3" spans="1:10">
      <c r="A3" t="s">
        <v>92</v>
      </c>
      <c r="B3">
        <v>0.438</v>
      </c>
      <c r="C3">
        <v>0.437</v>
      </c>
      <c r="D3">
        <v>0.44400000000000001</v>
      </c>
      <c r="E3">
        <v>0.439</v>
      </c>
      <c r="F3">
        <v>0.436</v>
      </c>
      <c r="G3">
        <v>0.433</v>
      </c>
    </row>
    <row r="4" spans="1:10">
      <c r="A4" t="s">
        <v>99</v>
      </c>
      <c r="B4" s="116">
        <v>0.01</v>
      </c>
      <c r="C4" s="116"/>
      <c r="D4" s="116"/>
      <c r="E4" s="116"/>
      <c r="F4" s="116"/>
      <c r="G4" s="116"/>
    </row>
    <row r="5" spans="1:10">
      <c r="A5" t="s">
        <v>96</v>
      </c>
      <c r="B5" s="116">
        <v>0.41139241809999999</v>
      </c>
      <c r="C5" s="116"/>
      <c r="D5" s="116"/>
      <c r="E5" s="116"/>
      <c r="F5" s="116"/>
      <c r="G5" s="116"/>
    </row>
    <row r="6" spans="1:10">
      <c r="A6" s="30" t="s">
        <v>97</v>
      </c>
      <c r="B6" s="116">
        <v>2.3E-3</v>
      </c>
      <c r="C6" s="116"/>
      <c r="D6" s="116"/>
      <c r="E6" s="116"/>
      <c r="F6" s="116"/>
      <c r="G6" s="116"/>
    </row>
    <row r="7" spans="1:10">
      <c r="A7" s="44" t="s">
        <v>98</v>
      </c>
      <c r="B7">
        <f>B3*$B$4*$B$5*$B$6</f>
        <v>4.1443672199394005E-6</v>
      </c>
      <c r="C7">
        <f t="shared" ref="C7:G7" si="0">C3*$B$4*$B$5*$B$6</f>
        <v>4.1349051943230999E-6</v>
      </c>
      <c r="D7">
        <f t="shared" si="0"/>
        <v>4.2011393736371999E-6</v>
      </c>
      <c r="E7">
        <f t="shared" si="0"/>
        <v>4.1538292455556994E-6</v>
      </c>
      <c r="F7">
        <f t="shared" si="0"/>
        <v>4.1254431687068001E-6</v>
      </c>
      <c r="G7">
        <f t="shared" si="0"/>
        <v>4.0970570918579E-6</v>
      </c>
    </row>
    <row r="8" spans="1:10">
      <c r="A8" s="30" t="s">
        <v>81</v>
      </c>
      <c r="B8">
        <f>AVERAGE(B7:D7)</f>
        <v>4.1601372626332334E-6</v>
      </c>
      <c r="E8">
        <f>AVERAGE(E7:G7)</f>
        <v>4.1254431687068001E-6</v>
      </c>
    </row>
    <row r="9" spans="1:10">
      <c r="A9" s="30"/>
    </row>
    <row r="10" spans="1:10">
      <c r="A10" s="42"/>
    </row>
    <row r="11" spans="1:10">
      <c r="I11" s="42"/>
      <c r="J11" s="42"/>
    </row>
    <row r="12" spans="1:10">
      <c r="I12" s="42"/>
      <c r="J12" s="42"/>
    </row>
    <row r="13" spans="1:10">
      <c r="D13" s="42"/>
      <c r="I13" s="42"/>
      <c r="J13" s="42"/>
    </row>
    <row r="14" spans="1:10">
      <c r="D14" s="42"/>
      <c r="I14" s="30"/>
      <c r="J14" s="42"/>
    </row>
    <row r="15" spans="1:10">
      <c r="D15" s="42"/>
      <c r="I15" s="30"/>
      <c r="J15" s="42"/>
    </row>
    <row r="16" spans="1:10">
      <c r="D16" s="42"/>
      <c r="I16" s="30"/>
      <c r="J16" s="42"/>
    </row>
    <row r="17" spans="4:10">
      <c r="D17" s="42"/>
      <c r="I17" s="30"/>
      <c r="J17" s="42"/>
    </row>
    <row r="18" spans="4:10">
      <c r="D18" s="30"/>
      <c r="I18" s="42"/>
      <c r="J18" s="42"/>
    </row>
    <row r="19" spans="4:10">
      <c r="D19" s="30"/>
      <c r="I19" s="42"/>
      <c r="J19" s="42"/>
    </row>
    <row r="20" spans="4:10">
      <c r="D20" s="30"/>
      <c r="I20" s="42"/>
      <c r="J20" s="42"/>
    </row>
    <row r="21" spans="4:10">
      <c r="D21" s="30"/>
      <c r="I21" s="42"/>
      <c r="J21" s="42"/>
    </row>
    <row r="22" spans="4:10">
      <c r="D22" s="42"/>
    </row>
    <row r="23" spans="4:10">
      <c r="D23" s="42"/>
    </row>
    <row r="24" spans="4:10">
      <c r="D24" s="42"/>
    </row>
    <row r="25" spans="4:10">
      <c r="D25" s="42"/>
    </row>
    <row r="26" spans="4:10">
      <c r="D26" s="42"/>
    </row>
    <row r="27" spans="4:10">
      <c r="D27" s="42"/>
    </row>
    <row r="28" spans="4:10">
      <c r="D28" s="42"/>
    </row>
    <row r="29" spans="4:10">
      <c r="D29" s="42"/>
    </row>
    <row r="30" spans="4:10">
      <c r="D30" s="42"/>
    </row>
    <row r="31" spans="4:10">
      <c r="D31" s="42"/>
    </row>
  </sheetData>
  <mergeCells count="5">
    <mergeCell ref="B1:D1"/>
    <mergeCell ref="E1:G1"/>
    <mergeCell ref="B4:G4"/>
    <mergeCell ref="B5:G5"/>
    <mergeCell ref="B6:G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800B-F89D-4746-A47C-04A782DAA702}">
  <dimension ref="A1:BK55"/>
  <sheetViews>
    <sheetView zoomScale="85" zoomScaleNormal="85" workbookViewId="0">
      <pane xSplit="1" topLeftCell="AS1" activePane="topRight" state="frozen"/>
      <selection pane="topRight" activeCell="AU8" sqref="AU8"/>
    </sheetView>
  </sheetViews>
  <sheetFormatPr defaultRowHeight="15"/>
  <cols>
    <col min="1" max="1" width="26.28515625" bestFit="1" customWidth="1"/>
    <col min="2" max="2" width="14.28515625" bestFit="1" customWidth="1"/>
    <col min="3" max="4" width="12.140625" bestFit="1" customWidth="1"/>
    <col min="5" max="5" width="14.28515625" bestFit="1" customWidth="1"/>
    <col min="6" max="7" width="12.140625" bestFit="1" customWidth="1"/>
    <col min="8" max="8" width="14.28515625" bestFit="1" customWidth="1"/>
    <col min="9" max="10" width="12.140625" bestFit="1" customWidth="1"/>
    <col min="24" max="24" width="14.28515625" bestFit="1" customWidth="1"/>
    <col min="25" max="26" width="12.140625" bestFit="1" customWidth="1"/>
    <col min="27" max="27" width="14.28515625" bestFit="1" customWidth="1"/>
    <col min="28" max="29" width="12.140625" bestFit="1" customWidth="1"/>
    <col min="30" max="30" width="14.28515625" bestFit="1" customWidth="1"/>
    <col min="31" max="32" width="12.140625" bestFit="1" customWidth="1"/>
    <col min="34" max="34" width="23.5703125" bestFit="1" customWidth="1"/>
    <col min="35" max="35" width="14.5703125" bestFit="1" customWidth="1"/>
    <col min="36" max="37" width="12.28515625" bestFit="1" customWidth="1"/>
    <col min="38" max="38" width="14.5703125" bestFit="1" customWidth="1"/>
    <col min="39" max="40" width="12.28515625" bestFit="1" customWidth="1"/>
    <col min="41" max="41" width="14.5703125" bestFit="1" customWidth="1"/>
    <col min="42" max="43" width="12.28515625" bestFit="1" customWidth="1"/>
    <col min="45" max="45" width="21.7109375" bestFit="1" customWidth="1"/>
    <col min="46" max="48" width="15" bestFit="1" customWidth="1"/>
    <col min="50" max="51" width="21.42578125" bestFit="1" customWidth="1"/>
    <col min="53" max="53" width="12" bestFit="1" customWidth="1"/>
    <col min="55" max="55" width="13" bestFit="1" customWidth="1"/>
    <col min="57" max="57" width="20.28515625" bestFit="1" customWidth="1"/>
    <col min="58" max="58" width="25.5703125" bestFit="1" customWidth="1"/>
    <col min="59" max="59" width="12" bestFit="1" customWidth="1"/>
    <col min="60" max="60" width="12" customWidth="1"/>
    <col min="62" max="62" width="12.85546875" bestFit="1" customWidth="1"/>
    <col min="63" max="63" width="8.85546875" bestFit="1" customWidth="1"/>
  </cols>
  <sheetData>
    <row r="1" spans="1:63" ht="18.75" thickBot="1">
      <c r="B1" s="116" t="s">
        <v>112</v>
      </c>
      <c r="C1" s="116"/>
      <c r="D1" s="116"/>
      <c r="E1" s="116" t="s">
        <v>113</v>
      </c>
      <c r="F1" s="116"/>
      <c r="G1" s="116"/>
      <c r="H1" s="116" t="s">
        <v>114</v>
      </c>
      <c r="I1" s="116"/>
      <c r="J1" s="116"/>
      <c r="N1" s="119" t="s">
        <v>103</v>
      </c>
      <c r="O1" s="119"/>
      <c r="P1" s="119"/>
      <c r="T1" s="79" t="s">
        <v>104</v>
      </c>
      <c r="U1" s="79"/>
      <c r="V1" s="79"/>
      <c r="X1" s="116" t="s">
        <v>112</v>
      </c>
      <c r="Y1" s="116"/>
      <c r="Z1" s="116"/>
      <c r="AA1" s="116" t="s">
        <v>113</v>
      </c>
      <c r="AB1" s="116"/>
      <c r="AC1" s="116"/>
      <c r="AD1" s="116" t="s">
        <v>114</v>
      </c>
      <c r="AE1" s="116"/>
      <c r="AF1" s="116"/>
      <c r="AH1" s="56">
        <v>43700</v>
      </c>
      <c r="AI1" s="116" t="s">
        <v>112</v>
      </c>
      <c r="AJ1" s="116"/>
      <c r="AK1" s="116"/>
      <c r="AL1" s="116" t="s">
        <v>113</v>
      </c>
      <c r="AM1" s="116"/>
      <c r="AN1" s="116"/>
      <c r="AO1" s="116" t="s">
        <v>114</v>
      </c>
      <c r="AP1" s="116"/>
      <c r="AQ1" s="116"/>
      <c r="AX1" s="120">
        <v>44066</v>
      </c>
      <c r="AY1" s="121"/>
      <c r="AZ1" s="121"/>
      <c r="BA1" s="121"/>
      <c r="BB1" s="121"/>
      <c r="BC1" s="122"/>
    </row>
    <row r="2" spans="1:63" ht="18">
      <c r="A2" s="3" t="s">
        <v>93</v>
      </c>
      <c r="B2" s="3" t="s">
        <v>1</v>
      </c>
      <c r="C2" s="3" t="s">
        <v>4</v>
      </c>
      <c r="D2" s="3" t="s">
        <v>7</v>
      </c>
      <c r="E2" s="3" t="s">
        <v>2</v>
      </c>
      <c r="F2" s="3" t="s">
        <v>5</v>
      </c>
      <c r="G2" s="3" t="s">
        <v>8</v>
      </c>
      <c r="H2" s="3" t="s">
        <v>3</v>
      </c>
      <c r="I2" s="3" t="s">
        <v>6</v>
      </c>
      <c r="J2" s="3" t="s">
        <v>9</v>
      </c>
      <c r="L2" s="16" t="s">
        <v>100</v>
      </c>
      <c r="N2" s="16" t="s">
        <v>19</v>
      </c>
      <c r="O2" s="1" t="s">
        <v>20</v>
      </c>
      <c r="P2" s="45" t="s">
        <v>21</v>
      </c>
      <c r="R2" s="1" t="s">
        <v>102</v>
      </c>
      <c r="T2" s="16" t="s">
        <v>19</v>
      </c>
      <c r="U2" s="1" t="s">
        <v>20</v>
      </c>
      <c r="V2" s="45" t="s">
        <v>21</v>
      </c>
      <c r="X2" s="3" t="s">
        <v>1</v>
      </c>
      <c r="Y2" s="3" t="s">
        <v>4</v>
      </c>
      <c r="Z2" s="3" t="s">
        <v>7</v>
      </c>
      <c r="AA2" s="3" t="s">
        <v>2</v>
      </c>
      <c r="AB2" s="3" t="s">
        <v>5</v>
      </c>
      <c r="AC2" s="3" t="s">
        <v>8</v>
      </c>
      <c r="AD2" s="3" t="s">
        <v>3</v>
      </c>
      <c r="AE2" s="3" t="s">
        <v>6</v>
      </c>
      <c r="AF2" s="3" t="s">
        <v>9</v>
      </c>
      <c r="AG2" s="5"/>
      <c r="AH2" s="11" t="s">
        <v>115</v>
      </c>
      <c r="AI2" s="40" t="s">
        <v>1</v>
      </c>
      <c r="AJ2" s="40" t="s">
        <v>4</v>
      </c>
      <c r="AK2" s="40" t="s">
        <v>7</v>
      </c>
      <c r="AL2" s="40" t="s">
        <v>2</v>
      </c>
      <c r="AM2" s="40" t="s">
        <v>5</v>
      </c>
      <c r="AN2" s="40" t="s">
        <v>8</v>
      </c>
      <c r="AO2" s="40" t="s">
        <v>3</v>
      </c>
      <c r="AP2" s="40" t="s">
        <v>6</v>
      </c>
      <c r="AQ2" s="41" t="s">
        <v>9</v>
      </c>
      <c r="AS2" s="52" t="s">
        <v>116</v>
      </c>
      <c r="AT2" s="57" t="s">
        <v>112</v>
      </c>
      <c r="AU2" s="57" t="s">
        <v>113</v>
      </c>
      <c r="AV2" s="58" t="s">
        <v>114</v>
      </c>
      <c r="AX2" s="53" t="s">
        <v>18</v>
      </c>
      <c r="AY2" s="16" t="s">
        <v>117</v>
      </c>
      <c r="AZ2" s="16" t="s">
        <v>118</v>
      </c>
      <c r="BA2" s="16" t="s">
        <v>120</v>
      </c>
      <c r="BB2" s="16" t="s">
        <v>122</v>
      </c>
      <c r="BC2" s="60" t="s">
        <v>123</v>
      </c>
      <c r="BD2" s="16"/>
    </row>
    <row r="3" spans="1:63">
      <c r="A3" s="47" t="s">
        <v>0</v>
      </c>
      <c r="B3" s="5">
        <v>1.8428100003746772</v>
      </c>
      <c r="C3" s="5">
        <v>0.37449927231221497</v>
      </c>
      <c r="D3" s="5">
        <v>7.2286954777262435E-2</v>
      </c>
      <c r="E3" s="5">
        <v>1.8738122897191569</v>
      </c>
      <c r="F3" s="5">
        <v>0.42036957070287095</v>
      </c>
      <c r="G3" s="5">
        <v>7.6715415780741564E-2</v>
      </c>
      <c r="H3" s="5">
        <v>1.8389849089737003</v>
      </c>
      <c r="I3" s="5">
        <v>0.4073446079077539</v>
      </c>
      <c r="J3" s="5">
        <v>7.8225784907881096E-2</v>
      </c>
      <c r="L3">
        <v>4.1254431687068001E-6</v>
      </c>
      <c r="N3">
        <v>2.7411167512690399E-4</v>
      </c>
      <c r="O3">
        <v>1.37055837563452E-3</v>
      </c>
      <c r="P3">
        <v>6.852791878172588E-3</v>
      </c>
      <c r="R3">
        <v>1.5E-3</v>
      </c>
      <c r="T3">
        <f>(N3*$R3)/$L3</f>
        <v>9.9666265144368563E-2</v>
      </c>
      <c r="U3">
        <f>(O3*$R3)/$L3</f>
        <v>0.49833132572184291</v>
      </c>
      <c r="V3">
        <f>(P3*$R3)/$L3</f>
        <v>2.4916566286092103</v>
      </c>
      <c r="X3">
        <f t="shared" ref="X3:Z18" si="0">T3*B3</f>
        <v>0.18366599010803653</v>
      </c>
      <c r="Y3">
        <f t="shared" si="0"/>
        <v>0.18662471885321155</v>
      </c>
      <c r="Z3">
        <f t="shared" si="0"/>
        <v>0.18011427003274016</v>
      </c>
      <c r="AA3">
        <f t="shared" ref="AA3:AC18" si="1">T3*E3</f>
        <v>0.18675587249792586</v>
      </c>
      <c r="AB3">
        <f t="shared" si="1"/>
        <v>0.20948332546148365</v>
      </c>
      <c r="AC3">
        <f t="shared" si="1"/>
        <v>0.19114847424659634</v>
      </c>
      <c r="AD3">
        <f t="shared" ref="AD3:AF18" si="2">T3*H3</f>
        <v>0.18328475753426529</v>
      </c>
      <c r="AE3">
        <f t="shared" si="2"/>
        <v>0.20299257848431529</v>
      </c>
      <c r="AF3">
        <f t="shared" si="2"/>
        <v>0.19491179549388027</v>
      </c>
      <c r="AG3" s="5"/>
      <c r="AH3" s="2" t="s">
        <v>0</v>
      </c>
      <c r="AI3" s="5">
        <f>AVERAGE(X3:X4)</f>
        <v>0.18254967210539258</v>
      </c>
      <c r="AJ3" s="5">
        <f t="shared" ref="AJ3:AQ3" si="3">AVERAGE(Y3:Y4)</f>
        <v>0.17730170492823022</v>
      </c>
      <c r="AK3" s="5">
        <f t="shared" si="3"/>
        <v>0.17301911092389488</v>
      </c>
      <c r="AL3" s="5">
        <f t="shared" si="3"/>
        <v>0.1838046863120219</v>
      </c>
      <c r="AM3" s="5">
        <f t="shared" si="3"/>
        <v>0.19885070567538699</v>
      </c>
      <c r="AN3" s="5">
        <f t="shared" si="3"/>
        <v>0.17856625153092456</v>
      </c>
      <c r="AO3" s="5">
        <f t="shared" si="3"/>
        <v>0.18331678862587122</v>
      </c>
      <c r="AP3" s="5">
        <f t="shared" si="3"/>
        <v>0.19712079031416074</v>
      </c>
      <c r="AQ3" s="6">
        <f t="shared" si="3"/>
        <v>0.18666189683906448</v>
      </c>
      <c r="AS3" s="2" t="s">
        <v>0</v>
      </c>
      <c r="AT3" s="5">
        <f>AVERAGE(AI3:AK3)</f>
        <v>0.17762349598583924</v>
      </c>
      <c r="AU3" s="5">
        <f>AVERAGE(AL3:AN3)</f>
        <v>0.18707388117277782</v>
      </c>
      <c r="AV3" s="6">
        <f>AVERAGE(AO3:AQ3)</f>
        <v>0.18903315859303213</v>
      </c>
      <c r="AX3" s="2" t="s">
        <v>0</v>
      </c>
      <c r="AY3" s="5">
        <f>AVERAGE(AT3:AV3)</f>
        <v>0.18457684525054974</v>
      </c>
      <c r="AZ3" s="5">
        <f>_xlfn.STDEV.S(AT3:AV3)</f>
        <v>6.1009418535310639E-3</v>
      </c>
      <c r="BA3" s="5">
        <f>_xlfn.VAR.S(AT3:AV3)</f>
        <v>3.7221491500167051E-5</v>
      </c>
      <c r="BB3" s="5">
        <f t="shared" ref="BB3:BB7" si="4">_xlfn.STDEV.P(AT3:AV3)</f>
        <v>4.9813981638469774E-3</v>
      </c>
      <c r="BC3" s="6">
        <f>_xlfn.VAR.P(AT3:AV3)</f>
        <v>2.4814327666778035E-5</v>
      </c>
    </row>
    <row r="4" spans="1:63">
      <c r="A4" s="49" t="s">
        <v>0</v>
      </c>
      <c r="B4" s="5">
        <v>1.8204088799749756</v>
      </c>
      <c r="C4" s="5">
        <v>0.33708234327819692</v>
      </c>
      <c r="D4" s="5">
        <v>6.6591820843173249E-2</v>
      </c>
      <c r="E4" s="5">
        <v>1.8145909236605624</v>
      </c>
      <c r="F4" s="5">
        <v>0.3776966772390899</v>
      </c>
      <c r="G4" s="5">
        <v>6.6615932110959258E-2</v>
      </c>
      <c r="H4" s="5">
        <v>1.8396276759432395</v>
      </c>
      <c r="I4" s="5">
        <v>0.38377880793863106</v>
      </c>
      <c r="J4" s="5">
        <v>7.1603765998782293E-2</v>
      </c>
      <c r="L4">
        <v>4.1254431687068001E-6</v>
      </c>
      <c r="N4">
        <v>2.7411167512690355E-4</v>
      </c>
      <c r="O4">
        <v>1.3705583756345177E-3</v>
      </c>
      <c r="P4">
        <v>6.852791878172588E-3</v>
      </c>
      <c r="R4">
        <v>1.5E-3</v>
      </c>
      <c r="T4">
        <f>(N4*$R4)/$L4</f>
        <v>9.966626514436841E-2</v>
      </c>
      <c r="U4">
        <f t="shared" ref="U4:V27" si="5">(O4*$R4)/$L4</f>
        <v>0.49833132572184197</v>
      </c>
      <c r="V4">
        <f t="shared" si="5"/>
        <v>2.4916566286092103</v>
      </c>
      <c r="X4">
        <f t="shared" si="0"/>
        <v>0.18143335410274863</v>
      </c>
      <c r="Y4">
        <f t="shared" si="0"/>
        <v>0.16797869100324889</v>
      </c>
      <c r="Z4">
        <f t="shared" si="0"/>
        <v>0.1659239518150496</v>
      </c>
      <c r="AA4">
        <f t="shared" si="1"/>
        <v>0.18085350012611798</v>
      </c>
      <c r="AB4">
        <f t="shared" si="1"/>
        <v>0.18821808588929032</v>
      </c>
      <c r="AC4">
        <f t="shared" si="1"/>
        <v>0.16598402881525279</v>
      </c>
      <c r="AD4">
        <f t="shared" si="2"/>
        <v>0.18334881971747716</v>
      </c>
      <c r="AE4">
        <f t="shared" si="2"/>
        <v>0.1912490021440062</v>
      </c>
      <c r="AF4">
        <f t="shared" si="2"/>
        <v>0.17841199818424869</v>
      </c>
      <c r="AG4" s="5"/>
      <c r="AH4" s="2" t="s">
        <v>22</v>
      </c>
      <c r="AI4" s="5">
        <f>AVERAGE(X5:X6)</f>
        <v>1.3618868299542623E-2</v>
      </c>
      <c r="AJ4" s="5">
        <f>AVERAGE(Y5:Y6)</f>
        <v>1.274801937326491E-2</v>
      </c>
      <c r="AK4" s="5">
        <f>AVERAGE(Z5:Z6)</f>
        <v>1.3232364838468132E-2</v>
      </c>
      <c r="AL4" s="5">
        <f>AVERAGE(AA5:AA6)</f>
        <v>1.682846710856762E-2</v>
      </c>
      <c r="AM4" s="5">
        <f>AVERAGE(AB5:AB6)</f>
        <v>1.5191642573271012E-2</v>
      </c>
      <c r="AN4" s="5">
        <f t="shared" ref="AN4:AQ4" si="6">AVERAGE(AC5:AC6)</f>
        <v>1.4462429008387916E-2</v>
      </c>
      <c r="AO4" s="5">
        <f t="shared" si="6"/>
        <v>1.6131235227788004E-2</v>
      </c>
      <c r="AP4" s="5">
        <f t="shared" si="6"/>
        <v>1.3835303583740303E-2</v>
      </c>
      <c r="AQ4" s="6">
        <f t="shared" si="6"/>
        <v>1.4053548482575021E-2</v>
      </c>
      <c r="AS4" s="2" t="s">
        <v>22</v>
      </c>
      <c r="AT4" s="5">
        <f>AVERAGE(AI4:AK4)</f>
        <v>1.3199750837091887E-2</v>
      </c>
      <c r="AU4" s="5">
        <f>AVERAGE(AL4:AN4)</f>
        <v>1.5494179563408849E-2</v>
      </c>
      <c r="AV4" s="6">
        <f>AVERAGE(AO4:AQ4)</f>
        <v>1.4673362431367775E-2</v>
      </c>
      <c r="AX4" s="2" t="s">
        <v>22</v>
      </c>
      <c r="AY4" s="5">
        <f t="shared" ref="AY4:AY7" si="7">AVERAGE(AT4:AV4)</f>
        <v>1.4455764277289505E-2</v>
      </c>
      <c r="AZ4" s="5">
        <f t="shared" ref="AZ4:AZ6" si="8">_xlfn.STDEV.S(AT4:AV4)</f>
        <v>1.1625887116821767E-3</v>
      </c>
      <c r="BA4" s="5">
        <f t="shared" ref="BA4:BA7" si="9">_xlfn.VAR.S(AT4:AV4)</f>
        <v>1.3516125125308232E-6</v>
      </c>
      <c r="BB4" s="5">
        <f t="shared" si="4"/>
        <v>9.4924970811366709E-4</v>
      </c>
      <c r="BC4" s="6">
        <f t="shared" ref="BC4:BC34" si="10">_xlfn.VAR.P(AT4:AV4)</f>
        <v>9.0107500835388212E-7</v>
      </c>
    </row>
    <row r="5" spans="1:63">
      <c r="A5" s="47" t="s">
        <v>22</v>
      </c>
      <c r="B5" s="5">
        <v>3.051017027943892</v>
      </c>
      <c r="C5" s="5">
        <v>0.59028148677736803</v>
      </c>
      <c r="D5" s="5">
        <v>0.12525226882911553</v>
      </c>
      <c r="E5" s="5">
        <v>3.631785403980599</v>
      </c>
      <c r="F5" s="5">
        <v>0.65505341322236765</v>
      </c>
      <c r="G5" s="5">
        <v>0.13291665067217359</v>
      </c>
      <c r="H5" s="5">
        <v>3.7867496093993922</v>
      </c>
      <c r="I5" s="5">
        <v>0.66958344561318273</v>
      </c>
      <c r="J5" s="5">
        <v>0.13650180959469974</v>
      </c>
      <c r="L5">
        <v>4.1254431687068001E-6</v>
      </c>
      <c r="N5">
        <v>1.1849744319274097E-5</v>
      </c>
      <c r="O5">
        <v>5.9248721596370485E-5</v>
      </c>
      <c r="P5">
        <v>2.9624360798185243E-4</v>
      </c>
      <c r="R5">
        <v>1.5E-3</v>
      </c>
      <c r="T5">
        <f t="shared" ref="T5:T27" si="11">(N5*$R5)/$L5</f>
        <v>4.3085350475165901E-3</v>
      </c>
      <c r="U5">
        <f t="shared" si="5"/>
        <v>2.1542675237582951E-2</v>
      </c>
      <c r="V5">
        <f t="shared" si="5"/>
        <v>0.10771337618791477</v>
      </c>
      <c r="X5">
        <f t="shared" si="0"/>
        <v>1.3145413795466162E-2</v>
      </c>
      <c r="Y5">
        <f t="shared" si="0"/>
        <v>1.2716242368402454E-2</v>
      </c>
      <c r="Z5">
        <f t="shared" si="0"/>
        <v>1.3491344750780352E-2</v>
      </c>
      <c r="AA5">
        <f t="shared" si="1"/>
        <v>1.5647674698109609E-2</v>
      </c>
      <c r="AB5">
        <f t="shared" si="1"/>
        <v>1.4111602944319691E-2</v>
      </c>
      <c r="AC5">
        <f t="shared" si="1"/>
        <v>1.4316901195489487E-2</v>
      </c>
      <c r="AD5">
        <f t="shared" si="2"/>
        <v>1.6315343408267038E-2</v>
      </c>
      <c r="AE5">
        <f t="shared" si="2"/>
        <v>1.4424618713306582E-2</v>
      </c>
      <c r="AF5">
        <f t="shared" si="2"/>
        <v>1.4703070767205006E-2</v>
      </c>
      <c r="AG5" s="5"/>
      <c r="AH5" s="2" t="s">
        <v>23</v>
      </c>
      <c r="AI5" s="5">
        <f>AVERAGE(X7)</f>
        <v>4.1362059797629101E-2</v>
      </c>
      <c r="AJ5" s="5">
        <f t="shared" ref="AJ5:AQ5" si="12">AVERAGE(Y7)</f>
        <v>4.1770031776601074E-2</v>
      </c>
      <c r="AK5" s="5">
        <f t="shared" si="12"/>
        <v>5.0546467192576522E-2</v>
      </c>
      <c r="AL5" s="5">
        <f t="shared" si="12"/>
        <v>4.5831434711445559E-2</v>
      </c>
      <c r="AM5" s="5">
        <f t="shared" si="12"/>
        <v>4.6537586325675347E-2</v>
      </c>
      <c r="AN5" s="5">
        <f t="shared" si="12"/>
        <v>4.5651278008552509E-2</v>
      </c>
      <c r="AO5" s="5">
        <f t="shared" si="12"/>
        <v>3.9684670772375336E-2</v>
      </c>
      <c r="AP5" s="5">
        <f t="shared" si="12"/>
        <v>4.766383489335236E-2</v>
      </c>
      <c r="AQ5" s="6">
        <f t="shared" si="12"/>
        <v>4.6238996447044864E-2</v>
      </c>
      <c r="AS5" s="2" t="s">
        <v>23</v>
      </c>
      <c r="AT5" s="5">
        <f>AVERAGE(AI5:AK5)</f>
        <v>4.4559519588935566E-2</v>
      </c>
      <c r="AU5" s="5">
        <f>AVERAGE(AL5:AN5)</f>
        <v>4.6006766348557805E-2</v>
      </c>
      <c r="AV5" s="6">
        <f>AVERAGE(AO5:AQ5)</f>
        <v>4.4529167370924182E-2</v>
      </c>
      <c r="AX5" s="2" t="s">
        <v>23</v>
      </c>
      <c r="AY5" s="5">
        <f t="shared" si="7"/>
        <v>4.5031817769472515E-2</v>
      </c>
      <c r="AZ5" s="5">
        <f t="shared" si="8"/>
        <v>8.4446661460348365E-4</v>
      </c>
      <c r="BA5" s="5">
        <f t="shared" si="9"/>
        <v>7.1312386317986856E-7</v>
      </c>
      <c r="BB5" s="5">
        <f t="shared" si="4"/>
        <v>6.8950410353135609E-4</v>
      </c>
      <c r="BC5" s="6">
        <f t="shared" si="10"/>
        <v>4.7541590878657903E-7</v>
      </c>
    </row>
    <row r="6" spans="1:63">
      <c r="A6" s="49" t="s">
        <v>22</v>
      </c>
      <c r="B6" s="5">
        <v>3.270792194609581</v>
      </c>
      <c r="C6" s="5">
        <v>0.5932316315028493</v>
      </c>
      <c r="D6" s="5">
        <v>0.12044358263845321</v>
      </c>
      <c r="E6" s="5">
        <v>4.17990322009938</v>
      </c>
      <c r="F6" s="5">
        <v>0.75532319095796696</v>
      </c>
      <c r="G6" s="5">
        <v>0.13561878142043912</v>
      </c>
      <c r="H6" s="5">
        <v>3.7012875307816704</v>
      </c>
      <c r="I6" s="5">
        <v>0.61487202996335932</v>
      </c>
      <c r="J6" s="5">
        <v>0.12444161228927242</v>
      </c>
      <c r="L6">
        <v>4.1254431687068001E-6</v>
      </c>
      <c r="N6">
        <v>1.1849744319274097E-5</v>
      </c>
      <c r="O6">
        <v>5.9248721596370485E-5</v>
      </c>
      <c r="P6">
        <v>2.9624360798185243E-4</v>
      </c>
      <c r="R6">
        <v>1.5E-3</v>
      </c>
      <c r="T6">
        <f t="shared" si="11"/>
        <v>4.3085350475165901E-3</v>
      </c>
      <c r="U6">
        <f t="shared" si="5"/>
        <v>2.1542675237582951E-2</v>
      </c>
      <c r="V6">
        <f t="shared" si="5"/>
        <v>0.10771337618791477</v>
      </c>
      <c r="X6">
        <f t="shared" si="0"/>
        <v>1.4092322803619084E-2</v>
      </c>
      <c r="Y6">
        <f t="shared" si="0"/>
        <v>1.2779796378127366E-2</v>
      </c>
      <c r="Z6">
        <f t="shared" si="0"/>
        <v>1.2973384926155912E-2</v>
      </c>
      <c r="AA6">
        <f t="shared" si="1"/>
        <v>1.8009259519025631E-2</v>
      </c>
      <c r="AB6">
        <f t="shared" si="1"/>
        <v>1.6271682202222332E-2</v>
      </c>
      <c r="AC6">
        <f t="shared" si="1"/>
        <v>1.4607956821286345E-2</v>
      </c>
      <c r="AD6">
        <f t="shared" si="2"/>
        <v>1.5947127047308968E-2</v>
      </c>
      <c r="AE6">
        <f t="shared" si="2"/>
        <v>1.3245988454174023E-2</v>
      </c>
      <c r="AF6">
        <f t="shared" si="2"/>
        <v>1.3404026197945037E-2</v>
      </c>
      <c r="AG6" s="5"/>
      <c r="AH6" s="2" t="s">
        <v>125</v>
      </c>
      <c r="AI6" s="5">
        <f>AVERAGE(X8:X9)</f>
        <v>0.19259790134411603</v>
      </c>
      <c r="AJ6" s="5">
        <f t="shared" ref="AJ6:AQ6" si="13">AVERAGE(Y8:Y9)</f>
        <v>0.17496934039733947</v>
      </c>
      <c r="AK6" s="5">
        <f t="shared" si="13"/>
        <v>0.16550246335916269</v>
      </c>
      <c r="AL6" s="5">
        <f t="shared" si="13"/>
        <v>0.2032375052033647</v>
      </c>
      <c r="AM6" s="5">
        <f t="shared" si="13"/>
        <v>0.20267312284447891</v>
      </c>
      <c r="AN6" s="5">
        <f t="shared" si="13"/>
        <v>0.17143724487721732</v>
      </c>
      <c r="AO6" s="5">
        <f t="shared" si="13"/>
        <v>0.18758205758774779</v>
      </c>
      <c r="AP6" s="5">
        <f t="shared" si="13"/>
        <v>0.21012988119898429</v>
      </c>
      <c r="AQ6" s="6">
        <f t="shared" si="13"/>
        <v>0.18215873414789296</v>
      </c>
      <c r="AS6" s="2" t="s">
        <v>125</v>
      </c>
      <c r="AT6" s="5">
        <f>AVERAGE(AI6:AK6)</f>
        <v>0.17768990170020604</v>
      </c>
      <c r="AU6" s="5">
        <f t="shared" ref="AU6" si="14">AVERAGE(AL6:AN6)</f>
        <v>0.19244929097502031</v>
      </c>
      <c r="AV6" s="6">
        <f t="shared" ref="AV6:AV7" si="15">AVERAGE(AO6:AQ6)</f>
        <v>0.19329022431154166</v>
      </c>
      <c r="AX6" s="2" t="s">
        <v>125</v>
      </c>
      <c r="AY6" s="5">
        <f t="shared" si="7"/>
        <v>0.187809805662256</v>
      </c>
      <c r="AZ6" s="5">
        <f t="shared" si="8"/>
        <v>8.7741742842249344E-3</v>
      </c>
      <c r="BA6" s="5">
        <f t="shared" si="9"/>
        <v>7.6986134369954126E-5</v>
      </c>
      <c r="BB6" s="5">
        <f t="shared" si="4"/>
        <v>7.1640833035336365E-3</v>
      </c>
      <c r="BC6" s="6">
        <f t="shared" si="10"/>
        <v>5.1324089579969417E-5</v>
      </c>
    </row>
    <row r="7" spans="1:63">
      <c r="A7" s="47" t="s">
        <v>23</v>
      </c>
      <c r="B7" s="5">
        <v>9.5987319962652276</v>
      </c>
      <c r="C7" s="5">
        <v>1.9386816926465453</v>
      </c>
      <c r="D7" s="5">
        <v>0.46920486485768853</v>
      </c>
      <c r="E7" s="5">
        <v>10.635922411792219</v>
      </c>
      <c r="F7" s="5">
        <v>2.1599592528939784</v>
      </c>
      <c r="G7" s="5">
        <v>0.42376456591865347</v>
      </c>
      <c r="H7" s="5">
        <v>9.2094668632988466</v>
      </c>
      <c r="I7" s="5">
        <v>2.212232075936166</v>
      </c>
      <c r="J7" s="5">
        <v>0.4292201470071707</v>
      </c>
      <c r="L7">
        <v>4.1254431687068001E-6</v>
      </c>
      <c r="N7">
        <v>1.1851345025027909E-5</v>
      </c>
      <c r="O7">
        <v>5.9256725125139536E-5</v>
      </c>
      <c r="P7">
        <v>2.9628362562569767E-4</v>
      </c>
      <c r="R7">
        <v>1.5E-3</v>
      </c>
      <c r="T7">
        <f>(N7*$R7)/$L7</f>
        <v>4.3091170598077615E-3</v>
      </c>
      <c r="U7">
        <f t="shared" si="5"/>
        <v>2.1545585299038807E-2</v>
      </c>
      <c r="V7">
        <f t="shared" si="5"/>
        <v>0.10772792649519404</v>
      </c>
      <c r="X7">
        <f t="shared" si="0"/>
        <v>4.1362059797629101E-2</v>
      </c>
      <c r="Y7">
        <f t="shared" si="0"/>
        <v>4.1770031776601074E-2</v>
      </c>
      <c r="Z7">
        <f t="shared" si="0"/>
        <v>5.0546467192576522E-2</v>
      </c>
      <c r="AA7">
        <f t="shared" si="1"/>
        <v>4.5831434711445559E-2</v>
      </c>
      <c r="AB7">
        <f t="shared" si="1"/>
        <v>4.6537586325675347E-2</v>
      </c>
      <c r="AC7">
        <f t="shared" si="1"/>
        <v>4.5651278008552509E-2</v>
      </c>
      <c r="AD7">
        <f t="shared" si="2"/>
        <v>3.9684670772375336E-2</v>
      </c>
      <c r="AE7">
        <f t="shared" si="2"/>
        <v>4.766383489335236E-2</v>
      </c>
      <c r="AF7">
        <f t="shared" si="2"/>
        <v>4.6238996447044864E-2</v>
      </c>
      <c r="AG7" s="5"/>
      <c r="AH7" s="53" t="s">
        <v>83</v>
      </c>
      <c r="AI7" s="5"/>
      <c r="AJ7" s="5">
        <f t="shared" ref="AJ7:AP7" si="16">AVERAGE(Y10)</f>
        <v>2.9156998090677066E-2</v>
      </c>
      <c r="AK7" s="5"/>
      <c r="AL7" s="5"/>
      <c r="AM7" s="5">
        <f t="shared" si="16"/>
        <v>2.3886433346174695E-2</v>
      </c>
      <c r="AN7" s="5"/>
      <c r="AO7" s="5"/>
      <c r="AP7" s="5">
        <f t="shared" si="16"/>
        <v>2.2277587183964696E-2</v>
      </c>
      <c r="AQ7" s="6"/>
      <c r="AS7" s="53" t="s">
        <v>83</v>
      </c>
      <c r="AT7" s="5">
        <f>AVERAGE(AI7:AK7)</f>
        <v>2.9156998090677066E-2</v>
      </c>
      <c r="AU7" s="5">
        <f>AVERAGE(AL7:AN7)</f>
        <v>2.3886433346174695E-2</v>
      </c>
      <c r="AV7" s="6">
        <f t="shared" si="15"/>
        <v>2.2277587183964696E-2</v>
      </c>
      <c r="AX7" s="53" t="s">
        <v>83</v>
      </c>
      <c r="AY7" s="5">
        <f t="shared" si="7"/>
        <v>2.5107006206938818E-2</v>
      </c>
      <c r="AZ7" s="5">
        <f t="shared" ref="AZ7:AZ19" si="17">_xlfn.STDEV.S(AT7:AV7)</f>
        <v>3.5984610859607362E-3</v>
      </c>
      <c r="BA7" s="5">
        <f t="shared" si="9"/>
        <v>1.294892218717372E-5</v>
      </c>
      <c r="BB7" s="5">
        <f t="shared" si="4"/>
        <v>2.9381311732884132E-3</v>
      </c>
      <c r="BC7" s="6">
        <f t="shared" si="10"/>
        <v>8.632614791449147E-6</v>
      </c>
    </row>
    <row r="8" spans="1:63">
      <c r="A8" s="47" t="s">
        <v>49</v>
      </c>
      <c r="B8" s="5">
        <v>14.482007937954743</v>
      </c>
      <c r="C8" s="5">
        <v>2.6737028486111361</v>
      </c>
      <c r="D8" s="5">
        <v>0.53449596000903254</v>
      </c>
      <c r="E8" s="5">
        <v>14.644636544207268</v>
      </c>
      <c r="F8" s="5">
        <v>3.199881131186554</v>
      </c>
      <c r="G8" s="5">
        <v>0.55067905884759583</v>
      </c>
      <c r="H8" s="5">
        <v>13.802199441906131</v>
      </c>
      <c r="I8" s="5">
        <v>3.1623887853424626</v>
      </c>
      <c r="J8" s="5">
        <v>0.5744627094664323</v>
      </c>
      <c r="L8">
        <v>4.1254431687068001E-6</v>
      </c>
      <c r="N8">
        <v>3.5239468204388914E-5</v>
      </c>
      <c r="O8">
        <v>1.7619734102194455E-4</v>
      </c>
      <c r="P8">
        <v>8.8098670510972272E-4</v>
      </c>
      <c r="R8">
        <v>1.5E-3</v>
      </c>
      <c r="T8">
        <f t="shared" si="11"/>
        <v>1.2812975514374401E-2</v>
      </c>
      <c r="U8">
        <f t="shared" si="5"/>
        <v>6.4064877571872E-2</v>
      </c>
      <c r="V8">
        <f t="shared" si="5"/>
        <v>0.32032438785935996</v>
      </c>
      <c r="X8">
        <f t="shared" si="0"/>
        <v>0.18555761310798982</v>
      </c>
      <c r="Y8">
        <f t="shared" si="0"/>
        <v>0.17129044565983784</v>
      </c>
      <c r="Z8">
        <f t="shared" si="0"/>
        <v>0.17121209120319428</v>
      </c>
      <c r="AA8">
        <f t="shared" si="1"/>
        <v>0.18764136945784027</v>
      </c>
      <c r="AB8">
        <f t="shared" si="1"/>
        <v>0.20499999291400986</v>
      </c>
      <c r="AC8">
        <f t="shared" si="1"/>
        <v>0.1763959324323246</v>
      </c>
      <c r="AD8">
        <f t="shared" si="2"/>
        <v>0.1768472434936553</v>
      </c>
      <c r="AE8">
        <f t="shared" si="2"/>
        <v>0.20259805036762588</v>
      </c>
      <c r="AF8">
        <f t="shared" si="2"/>
        <v>0.18401441575786429</v>
      </c>
      <c r="AG8" s="5"/>
      <c r="AH8" s="2" t="s">
        <v>50</v>
      </c>
      <c r="AI8" s="5">
        <f>AVERAGE(X11:X12)</f>
        <v>6.5267872235047139E-3</v>
      </c>
      <c r="AJ8" s="5">
        <f t="shared" ref="AJ8:AQ8" si="18">AVERAGE(Y11:Y12)</f>
        <v>9.0335315543105307E-3</v>
      </c>
      <c r="AK8" s="5">
        <f t="shared" si="18"/>
        <v>7.2824191779387653E-3</v>
      </c>
      <c r="AL8" s="5">
        <f>AVERAGE(AA11:AA12)</f>
        <v>1.2008477388431003E-2</v>
      </c>
      <c r="AM8" s="5">
        <f t="shared" si="18"/>
        <v>9.4846046268717045E-3</v>
      </c>
      <c r="AN8" s="5">
        <f t="shared" si="18"/>
        <v>7.7107852253554491E-3</v>
      </c>
      <c r="AO8" s="5">
        <f t="shared" si="18"/>
        <v>1.1540687557238086E-2</v>
      </c>
      <c r="AP8" s="5">
        <f t="shared" si="18"/>
        <v>8.4755219856690999E-3</v>
      </c>
      <c r="AQ8" s="6">
        <f t="shared" si="18"/>
        <v>7.4503322458159245E-3</v>
      </c>
      <c r="AS8" s="53" t="s">
        <v>124</v>
      </c>
      <c r="AT8" s="46">
        <f>AT6-AT7</f>
        <v>0.14853290360952898</v>
      </c>
      <c r="AU8" s="46">
        <f t="shared" ref="AU8:AV8" si="19">AU6-AU7</f>
        <v>0.16856285762884562</v>
      </c>
      <c r="AV8" s="64">
        <f t="shared" si="19"/>
        <v>0.17101263712757697</v>
      </c>
      <c r="AX8" s="53" t="s">
        <v>124</v>
      </c>
      <c r="AY8" s="46">
        <f>AVERAGE(AT8:AV8)</f>
        <v>0.16270279945531718</v>
      </c>
      <c r="AZ8" s="5">
        <f t="shared" si="17"/>
        <v>1.2332469992198064E-2</v>
      </c>
      <c r="BA8" s="5">
        <f t="shared" ref="BA8" si="20">_xlfn.VAR.S(AT8:AV8)</f>
        <v>1.5208981610846569E-4</v>
      </c>
      <c r="BB8" s="5">
        <f t="shared" ref="BB8" si="21">_xlfn.STDEV.P(AT8:AV8)</f>
        <v>1.0069419583023499E-2</v>
      </c>
      <c r="BC8" s="6">
        <f t="shared" ref="BC8" si="22">_xlfn.VAR.P(AT8:AV8)</f>
        <v>1.0139321073897713E-4</v>
      </c>
    </row>
    <row r="9" spans="1:63">
      <c r="A9" s="49" t="s">
        <v>49</v>
      </c>
      <c r="B9" s="5">
        <v>15.580938975203344</v>
      </c>
      <c r="C9" s="5">
        <v>2.7885518853044293</v>
      </c>
      <c r="D9" s="5">
        <v>0.49884692384174312</v>
      </c>
      <c r="E9" s="5">
        <v>17.079064945015134</v>
      </c>
      <c r="F9" s="5">
        <v>3.1272400786247814</v>
      </c>
      <c r="G9" s="5">
        <v>0.51971864657149769</v>
      </c>
      <c r="H9" s="5">
        <v>15.477815551848668</v>
      </c>
      <c r="I9" s="5">
        <v>3.3975201433290203</v>
      </c>
      <c r="J9" s="5">
        <v>0.56287644454060293</v>
      </c>
      <c r="L9">
        <v>4.1254431687068001E-6</v>
      </c>
      <c r="N9">
        <v>3.5239468204388914E-5</v>
      </c>
      <c r="O9">
        <v>1.7619734102194455E-4</v>
      </c>
      <c r="P9">
        <v>8.8098670510972272E-4</v>
      </c>
      <c r="R9">
        <v>1.5E-3</v>
      </c>
      <c r="T9">
        <f t="shared" si="11"/>
        <v>1.2812975514374401E-2</v>
      </c>
      <c r="U9">
        <f t="shared" si="5"/>
        <v>6.4064877571872E-2</v>
      </c>
      <c r="V9">
        <f t="shared" si="5"/>
        <v>0.32032438785935996</v>
      </c>
      <c r="X9">
        <f t="shared" si="0"/>
        <v>0.19963818958024221</v>
      </c>
      <c r="Y9">
        <f t="shared" si="0"/>
        <v>0.17864823513484113</v>
      </c>
      <c r="Z9">
        <f t="shared" si="0"/>
        <v>0.15979283551513113</v>
      </c>
      <c r="AA9">
        <f t="shared" si="1"/>
        <v>0.2188336409488891</v>
      </c>
      <c r="AB9">
        <f t="shared" si="1"/>
        <v>0.200346252774948</v>
      </c>
      <c r="AC9">
        <f t="shared" si="1"/>
        <v>0.16647855732211003</v>
      </c>
      <c r="AD9">
        <f t="shared" si="2"/>
        <v>0.19831687168184028</v>
      </c>
      <c r="AE9">
        <f t="shared" si="2"/>
        <v>0.21766171203034271</v>
      </c>
      <c r="AF9">
        <f t="shared" si="2"/>
        <v>0.18030305253792162</v>
      </c>
      <c r="AG9" s="5"/>
      <c r="AH9" s="2" t="s">
        <v>55</v>
      </c>
      <c r="AI9" s="51">
        <f t="shared" ref="AI9:AQ9" si="23">AVERAGE(X13:X14)</f>
        <v>7.3135357932978418E-3</v>
      </c>
      <c r="AJ9" s="51">
        <f t="shared" si="23"/>
        <v>6.9039500500470349E-3</v>
      </c>
      <c r="AK9" s="51">
        <f t="shared" si="23"/>
        <v>6.9071767673271629E-3</v>
      </c>
      <c r="AL9" s="51">
        <f t="shared" si="23"/>
        <v>8.0545722592664341E-3</v>
      </c>
      <c r="AM9" s="51">
        <f t="shared" si="23"/>
        <v>7.6692527801072823E-3</v>
      </c>
      <c r="AN9" s="51">
        <f t="shared" si="23"/>
        <v>7.6626180277811016E-3</v>
      </c>
      <c r="AO9" s="51">
        <f t="shared" si="23"/>
        <v>7.1946379951210761E-3</v>
      </c>
      <c r="AP9" s="51">
        <f t="shared" si="23"/>
        <v>7.6268993698366087E-3</v>
      </c>
      <c r="AQ9" s="54">
        <f t="shared" si="23"/>
        <v>7.3582155324798636E-3</v>
      </c>
      <c r="AS9" s="2" t="s">
        <v>50</v>
      </c>
      <c r="AT9" s="5">
        <f t="shared" ref="AT9:AT19" si="24">AVERAGE(AI8:AK8)</f>
        <v>7.6142459852513366E-3</v>
      </c>
      <c r="AU9" s="5">
        <f t="shared" ref="AU9:AU19" si="25">AVERAGE(AL8:AN8)</f>
        <v>9.7346224135527182E-3</v>
      </c>
      <c r="AV9" s="6">
        <f t="shared" ref="AV9:AV19" si="26">AVERAGE(AO8:AQ8)</f>
        <v>9.1555139295743694E-3</v>
      </c>
      <c r="AX9" s="2" t="s">
        <v>50</v>
      </c>
      <c r="AY9" s="5">
        <f t="shared" ref="AY8:AY20" si="27">AVERAGE(AT9:AV9)</f>
        <v>8.8347941094594745E-3</v>
      </c>
      <c r="AZ9" s="5">
        <f t="shared" si="17"/>
        <v>1.0959675869682136E-3</v>
      </c>
      <c r="BA9" s="5">
        <f t="shared" ref="BA9:BA19" si="28">_xlfn.VAR.S(AT9:AV9)</f>
        <v>1.2011449516849288E-6</v>
      </c>
      <c r="BB9" s="5">
        <f t="shared" ref="BB9:BB19" si="29">_xlfn.STDEV.P(AT9:AV9)</f>
        <v>8.948537875671566E-4</v>
      </c>
      <c r="BC9" s="6">
        <f t="shared" ref="BC9:BC19" si="30">_xlfn.VAR.P(AT9:AV9)</f>
        <v>8.0076330112328585E-7</v>
      </c>
    </row>
    <row r="10" spans="1:63">
      <c r="A10" s="49" t="s">
        <v>83</v>
      </c>
      <c r="B10" s="5"/>
      <c r="C10" s="5">
        <v>0.45511673784074458</v>
      </c>
      <c r="D10" s="5"/>
      <c r="E10" s="5"/>
      <c r="F10" s="51">
        <v>0.37284756096470167</v>
      </c>
      <c r="G10" s="5"/>
      <c r="H10" s="5"/>
      <c r="I10" s="5">
        <v>0.34773479679208469</v>
      </c>
      <c r="J10" s="5"/>
      <c r="L10">
        <v>4.1254431687068001E-6</v>
      </c>
      <c r="N10">
        <v>3.5239468204388914E-5</v>
      </c>
      <c r="O10">
        <v>1.7619734102194455E-4</v>
      </c>
      <c r="P10">
        <v>8.8098670510972272E-4</v>
      </c>
      <c r="R10">
        <v>1.5E-3</v>
      </c>
      <c r="T10">
        <f t="shared" si="11"/>
        <v>1.2812975514374401E-2</v>
      </c>
      <c r="U10">
        <f t="shared" si="5"/>
        <v>6.4064877571872E-2</v>
      </c>
      <c r="V10">
        <f t="shared" si="5"/>
        <v>0.32032438785935996</v>
      </c>
      <c r="Y10">
        <f t="shared" si="0"/>
        <v>2.9156998090677066E-2</v>
      </c>
      <c r="AB10">
        <f t="shared" si="1"/>
        <v>2.3886433346174695E-2</v>
      </c>
      <c r="AE10">
        <f t="shared" si="2"/>
        <v>2.2277587183964696E-2</v>
      </c>
      <c r="AG10" s="5"/>
      <c r="AH10" s="2" t="s">
        <v>28</v>
      </c>
      <c r="AI10" s="5">
        <f>AVERAGE(X15)</f>
        <v>5.9630977848548891E-3</v>
      </c>
      <c r="AJ10" s="5">
        <f t="shared" ref="AJ10:AQ11" si="31">AVERAGE(Y15)</f>
        <v>7.1565569707495256E-3</v>
      </c>
      <c r="AK10" s="5">
        <f t="shared" si="31"/>
        <v>5.3859203331586645E-3</v>
      </c>
      <c r="AL10" s="5">
        <f t="shared" si="31"/>
        <v>6.0037509788094653E-3</v>
      </c>
      <c r="AM10" s="5">
        <f t="shared" si="31"/>
        <v>9.1143211745945245E-3</v>
      </c>
      <c r="AN10" s="5">
        <f t="shared" si="31"/>
        <v>1.0482686795203431E-2</v>
      </c>
      <c r="AO10" s="5">
        <f t="shared" si="31"/>
        <v>5.6927440754466476E-3</v>
      </c>
      <c r="AP10" s="5">
        <f t="shared" si="31"/>
        <v>8.9220297603636606E-3</v>
      </c>
      <c r="AQ10" s="6">
        <f t="shared" si="31"/>
        <v>5.6552422035818593E-3</v>
      </c>
      <c r="AS10" s="2" t="s">
        <v>55</v>
      </c>
      <c r="AT10" s="5">
        <f t="shared" si="24"/>
        <v>7.0415542035573465E-3</v>
      </c>
      <c r="AU10" s="5">
        <f t="shared" si="25"/>
        <v>7.7954810223849385E-3</v>
      </c>
      <c r="AV10" s="6">
        <f t="shared" si="26"/>
        <v>7.3932509658125164E-3</v>
      </c>
      <c r="AX10" s="2" t="s">
        <v>55</v>
      </c>
      <c r="AY10" s="5">
        <f t="shared" si="27"/>
        <v>7.4100953972516008E-3</v>
      </c>
      <c r="AZ10" s="5">
        <f t="shared" si="17"/>
        <v>3.7724556086155957E-4</v>
      </c>
      <c r="BA10" s="5">
        <f t="shared" si="28"/>
        <v>1.4231421318975266E-7</v>
      </c>
      <c r="BB10" s="5">
        <f t="shared" si="29"/>
        <v>3.0801971061362576E-4</v>
      </c>
      <c r="BC10" s="6">
        <f t="shared" si="30"/>
        <v>9.4876142126501771E-8</v>
      </c>
    </row>
    <row r="11" spans="1:63">
      <c r="A11" s="47" t="s">
        <v>50</v>
      </c>
      <c r="B11" s="5">
        <v>5.267897616467506</v>
      </c>
      <c r="C11" s="5">
        <v>1.0499858957420347</v>
      </c>
      <c r="D11" s="5">
        <v>0.20502815317578804</v>
      </c>
      <c r="E11" s="5">
        <v>6.1324506260730587</v>
      </c>
      <c r="F11" s="5">
        <v>1.1671956385356494</v>
      </c>
      <c r="G11" s="5">
        <v>0.23600536255365825</v>
      </c>
      <c r="H11" s="5">
        <v>6.0672187031654046</v>
      </c>
      <c r="I11" s="5">
        <v>1.17462755522232</v>
      </c>
      <c r="J11" s="5">
        <v>0.21528433824167434</v>
      </c>
      <c r="L11">
        <v>4.1254431687068001E-6</v>
      </c>
      <c r="N11">
        <v>4.0168593141324472E-6</v>
      </c>
      <c r="O11">
        <v>2.0084296570662233E-5</v>
      </c>
      <c r="P11">
        <v>1.0042148285331116E-4</v>
      </c>
      <c r="R11">
        <v>1.5E-3</v>
      </c>
      <c r="T11">
        <f t="shared" si="11"/>
        <v>1.46051920358593E-3</v>
      </c>
      <c r="U11">
        <f t="shared" si="5"/>
        <v>7.302596017929648E-3</v>
      </c>
      <c r="V11">
        <f t="shared" si="5"/>
        <v>3.6512980089648241E-2</v>
      </c>
      <c r="X11">
        <f t="shared" ref="X11:Z26" si="32">T11*B11</f>
        <v>7.6938656313753403E-3</v>
      </c>
      <c r="Y11">
        <f t="shared" si="0"/>
        <v>7.6676228211280768E-3</v>
      </c>
      <c r="Z11">
        <f t="shared" si="0"/>
        <v>7.4861888747248988E-3</v>
      </c>
      <c r="AA11">
        <f t="shared" ref="AA11:AC26" si="33">T11*E11</f>
        <v>8.9565619044222611E-3</v>
      </c>
      <c r="AB11">
        <f t="shared" si="1"/>
        <v>8.5235582221152868E-3</v>
      </c>
      <c r="AC11">
        <f t="shared" si="1"/>
        <v>8.6172591039719391E-3</v>
      </c>
      <c r="AD11">
        <f t="shared" ref="AD11:AF26" si="34">T11*H11</f>
        <v>8.8612894283287957E-3</v>
      </c>
      <c r="AE11">
        <f t="shared" si="2"/>
        <v>8.5778305073169522E-3</v>
      </c>
      <c r="AF11">
        <f t="shared" si="2"/>
        <v>7.8606727558313532E-3</v>
      </c>
      <c r="AG11" s="5"/>
      <c r="AH11" s="2" t="s">
        <v>29</v>
      </c>
      <c r="AI11" s="5">
        <f>AVERAGE(X16)</f>
        <v>2.4017483132929042E-2</v>
      </c>
      <c r="AJ11" s="5">
        <f>AVERAGE(Y16)</f>
        <v>2.7978964034789004E-2</v>
      </c>
      <c r="AK11" s="5">
        <f>AVERAGE(Z16)</f>
        <v>2.9157645615046128E-2</v>
      </c>
      <c r="AL11" s="5">
        <f t="shared" si="31"/>
        <v>1.5884147337516145E-2</v>
      </c>
      <c r="AM11" s="5">
        <f t="shared" si="31"/>
        <v>2.9484648239860505E-2</v>
      </c>
      <c r="AN11" s="5">
        <f t="shared" si="31"/>
        <v>3.1156094908670388E-2</v>
      </c>
      <c r="AO11" s="5">
        <f t="shared" si="31"/>
        <v>1.604446775682913E-2</v>
      </c>
      <c r="AP11" s="5">
        <f t="shared" si="31"/>
        <v>2.9969625975799791E-2</v>
      </c>
      <c r="AQ11" s="6">
        <f t="shared" si="31"/>
        <v>3.1018565382420156E-2</v>
      </c>
      <c r="AS11" s="2" t="s">
        <v>28</v>
      </c>
      <c r="AT11" s="5">
        <f t="shared" si="24"/>
        <v>6.1685250295876919E-3</v>
      </c>
      <c r="AU11" s="5">
        <f t="shared" si="25"/>
        <v>8.5335863162024749E-3</v>
      </c>
      <c r="AV11" s="6">
        <f t="shared" si="26"/>
        <v>6.7566720131307214E-3</v>
      </c>
      <c r="AX11" s="2" t="s">
        <v>28</v>
      </c>
      <c r="AY11" s="23">
        <f t="shared" si="27"/>
        <v>7.152927786306963E-3</v>
      </c>
      <c r="AZ11" s="23">
        <f t="shared" si="17"/>
        <v>1.2313174654379831E-3</v>
      </c>
      <c r="BA11" s="5">
        <f t="shared" si="28"/>
        <v>1.5161427006926189E-6</v>
      </c>
      <c r="BB11" s="5">
        <f t="shared" si="29"/>
        <v>1.0053665005667067E-3</v>
      </c>
      <c r="BC11" s="6">
        <f t="shared" si="30"/>
        <v>1.0107618004617459E-6</v>
      </c>
    </row>
    <row r="12" spans="1:63">
      <c r="A12" s="49" t="s">
        <v>50</v>
      </c>
      <c r="B12" s="5">
        <v>3.66972841060542</v>
      </c>
      <c r="C12" s="5">
        <v>1.4240744335247126</v>
      </c>
      <c r="D12" s="5">
        <v>0.19386665957620625</v>
      </c>
      <c r="E12" s="5">
        <v>10.311670558978488</v>
      </c>
      <c r="F12" s="5">
        <v>1.4304024220950344</v>
      </c>
      <c r="G12" s="5">
        <v>0.18635321822630529</v>
      </c>
      <c r="H12" s="5">
        <v>9.7363222963680354</v>
      </c>
      <c r="I12" s="5">
        <v>1.1466077876227816</v>
      </c>
      <c r="J12" s="5">
        <v>0.19280791977306713</v>
      </c>
      <c r="L12">
        <v>4.1254431687068001E-6</v>
      </c>
      <c r="N12">
        <v>4.0168593141324472E-6</v>
      </c>
      <c r="O12">
        <v>2.0084296570662233E-5</v>
      </c>
      <c r="P12">
        <v>1.0042148285331116E-4</v>
      </c>
      <c r="R12">
        <v>1.5E-3</v>
      </c>
      <c r="T12">
        <f t="shared" si="11"/>
        <v>1.46051920358593E-3</v>
      </c>
      <c r="U12">
        <f t="shared" si="5"/>
        <v>7.302596017929648E-3</v>
      </c>
      <c r="V12">
        <f t="shared" si="5"/>
        <v>3.6512980089648241E-2</v>
      </c>
      <c r="X12">
        <f t="shared" si="32"/>
        <v>5.3597088156340884E-3</v>
      </c>
      <c r="Y12">
        <f t="shared" si="0"/>
        <v>1.0399440287492985E-2</v>
      </c>
      <c r="Z12">
        <f t="shared" si="0"/>
        <v>7.0786494811526319E-3</v>
      </c>
      <c r="AA12">
        <f t="shared" si="33"/>
        <v>1.5060392872439743E-2</v>
      </c>
      <c r="AB12">
        <f t="shared" si="1"/>
        <v>1.0445651031628122E-2</v>
      </c>
      <c r="AC12">
        <f t="shared" si="1"/>
        <v>6.8043113467389591E-3</v>
      </c>
      <c r="AD12">
        <f t="shared" si="34"/>
        <v>1.4220085686147375E-2</v>
      </c>
      <c r="AE12">
        <f t="shared" si="2"/>
        <v>8.3732134640212477E-3</v>
      </c>
      <c r="AF12">
        <f t="shared" si="2"/>
        <v>7.0399917358004958E-3</v>
      </c>
      <c r="AG12" s="5"/>
      <c r="AH12" s="2" t="s">
        <v>35</v>
      </c>
      <c r="AI12" s="5">
        <f>AVERAGE(X17:X18)</f>
        <v>1.0631252372779902</v>
      </c>
      <c r="AJ12" s="5">
        <f>AVERAGE(Y17:Y18)</f>
        <v>1.0931703048538797</v>
      </c>
      <c r="AK12" s="5">
        <f>AVERAGE(Z17:Z18)</f>
        <v>1.1455024158724596</v>
      </c>
      <c r="AL12" s="5">
        <f t="shared" ref="AL12:AQ12" si="35">AVERAGE(AA17:AA18)</f>
        <v>1.0125482580984551</v>
      </c>
      <c r="AM12" s="5">
        <f t="shared" si="35"/>
        <v>1.2240340047133689</v>
      </c>
      <c r="AN12" s="5">
        <f t="shared" si="35"/>
        <v>1.2849827943540717</v>
      </c>
      <c r="AO12" s="5">
        <f t="shared" si="35"/>
        <v>0.97405315707545581</v>
      </c>
      <c r="AP12" s="5">
        <f t="shared" si="35"/>
        <v>1.1606900262224942</v>
      </c>
      <c r="AQ12" s="6">
        <f t="shared" si="35"/>
        <v>1.1219531977799146</v>
      </c>
      <c r="AS12" s="2" t="s">
        <v>29</v>
      </c>
      <c r="AT12" s="5">
        <f t="shared" si="24"/>
        <v>2.705136426092139E-2</v>
      </c>
      <c r="AU12" s="5">
        <f t="shared" si="25"/>
        <v>2.5508296828682345E-2</v>
      </c>
      <c r="AV12" s="6">
        <f t="shared" si="26"/>
        <v>2.5677553038349694E-2</v>
      </c>
      <c r="AX12" s="2" t="s">
        <v>29</v>
      </c>
      <c r="AY12" s="5">
        <f t="shared" si="27"/>
        <v>2.6079071375984475E-2</v>
      </c>
      <c r="AZ12" s="5">
        <f t="shared" si="17"/>
        <v>8.462724187293058E-4</v>
      </c>
      <c r="BA12" s="5">
        <f t="shared" si="28"/>
        <v>7.1617700670194959E-7</v>
      </c>
      <c r="BB12" s="5">
        <f t="shared" si="29"/>
        <v>6.9097853642591516E-4</v>
      </c>
      <c r="BC12" s="6">
        <f t="shared" si="30"/>
        <v>4.7745133780129969E-7</v>
      </c>
    </row>
    <row r="13" spans="1:63" ht="15.75" thickBot="1">
      <c r="A13" s="47" t="s">
        <v>55</v>
      </c>
      <c r="B13" s="5">
        <v>1.7881343388667259</v>
      </c>
      <c r="C13" s="5">
        <v>0.35906396439235211</v>
      </c>
      <c r="D13" s="5">
        <v>7.5375529744641748E-2</v>
      </c>
      <c r="E13" s="5">
        <v>1.9642766022430904</v>
      </c>
      <c r="F13" s="5">
        <v>0.40653145840065047</v>
      </c>
      <c r="G13" s="5">
        <v>7.942709985293224E-2</v>
      </c>
      <c r="H13" s="5">
        <v>1.7030676738273911</v>
      </c>
      <c r="I13" s="5">
        <v>0.38693659268993325</v>
      </c>
      <c r="J13" s="5">
        <v>7.7144413974756243E-2</v>
      </c>
      <c r="L13">
        <v>4.1254431687068001E-6</v>
      </c>
      <c r="N13">
        <v>1.118514031899859E-5</v>
      </c>
      <c r="O13">
        <v>5.5925701594992949E-5</v>
      </c>
      <c r="P13">
        <v>2.7962850797496474E-4</v>
      </c>
      <c r="R13">
        <v>1.5E-3</v>
      </c>
      <c r="T13">
        <f t="shared" si="11"/>
        <v>4.066886827035647E-3</v>
      </c>
      <c r="U13">
        <f t="shared" si="5"/>
        <v>2.0334434135178235E-2</v>
      </c>
      <c r="V13">
        <f t="shared" si="5"/>
        <v>0.10167217067589118</v>
      </c>
      <c r="X13">
        <f t="shared" si="32"/>
        <v>7.2721399877071838E-3</v>
      </c>
      <c r="Y13">
        <f t="shared" si="0"/>
        <v>7.301362534252267E-3</v>
      </c>
      <c r="Z13">
        <f t="shared" si="0"/>
        <v>7.6635937249829285E-3</v>
      </c>
      <c r="AA13">
        <f t="shared" si="33"/>
        <v>7.9884906383167632E-3</v>
      </c>
      <c r="AB13">
        <f t="shared" si="1"/>
        <v>8.2665871647259782E-3</v>
      </c>
      <c r="AC13">
        <f t="shared" si="1"/>
        <v>8.0755256525383776E-3</v>
      </c>
      <c r="AD13">
        <f t="shared" si="34"/>
        <v>6.9261834882388589E-3</v>
      </c>
      <c r="AE13">
        <f t="shared" si="2"/>
        <v>7.8681366585437364E-3</v>
      </c>
      <c r="AF13">
        <f t="shared" si="2"/>
        <v>7.8434400243330218E-3</v>
      </c>
      <c r="AG13" s="5"/>
      <c r="AH13" s="2" t="s">
        <v>32</v>
      </c>
      <c r="AI13" s="5">
        <f>AVERAGE(X19:X20)</f>
        <v>3.2963285754157488E-2</v>
      </c>
      <c r="AJ13" s="5">
        <f>AVERAGE(Y19:Y20)</f>
        <v>3.5764493532684197E-2</v>
      </c>
      <c r="AK13" s="5">
        <f>AVERAGE(Z19:Z20)</f>
        <v>3.3864719415525574E-2</v>
      </c>
      <c r="AL13" s="5">
        <f>AVERAGE(AA19:AA20)</f>
        <v>3.8930375802750945E-2</v>
      </c>
      <c r="AM13" s="5">
        <f t="shared" ref="AM13:AQ13" si="36">AVERAGE(AB19:AB20)</f>
        <v>4.0666385529022651E-2</v>
      </c>
      <c r="AN13" s="5">
        <f t="shared" si="36"/>
        <v>3.5355953294964063E-2</v>
      </c>
      <c r="AO13" s="5">
        <f t="shared" si="36"/>
        <v>3.559148266116436E-2</v>
      </c>
      <c r="AP13" s="5">
        <f t="shared" si="36"/>
        <v>3.9042248461699104E-2</v>
      </c>
      <c r="AQ13" s="6">
        <f t="shared" si="36"/>
        <v>3.7017835892050058E-2</v>
      </c>
      <c r="AS13" s="2" t="s">
        <v>35</v>
      </c>
      <c r="AT13" s="5">
        <f t="shared" si="24"/>
        <v>1.1005993193347765</v>
      </c>
      <c r="AU13" s="5">
        <f t="shared" si="25"/>
        <v>1.1738550190552985</v>
      </c>
      <c r="AV13" s="6">
        <f t="shared" si="26"/>
        <v>1.0855654603592881</v>
      </c>
      <c r="AX13" s="2" t="s">
        <v>35</v>
      </c>
      <c r="AY13" s="5">
        <f t="shared" si="27"/>
        <v>1.120006599583121</v>
      </c>
      <c r="AZ13" s="5">
        <f t="shared" si="17"/>
        <v>4.7236039616614829E-2</v>
      </c>
      <c r="BA13" s="5">
        <f t="shared" si="28"/>
        <v>2.2312434386624054E-3</v>
      </c>
      <c r="BB13" s="5">
        <f t="shared" si="29"/>
        <v>3.8568064843532625E-2</v>
      </c>
      <c r="BC13" s="6">
        <f t="shared" si="30"/>
        <v>1.487495625774937E-3</v>
      </c>
    </row>
    <row r="14" spans="1:63">
      <c r="A14" s="49" t="s">
        <v>55</v>
      </c>
      <c r="B14" s="5">
        <v>1.8084918296704873</v>
      </c>
      <c r="C14" s="5">
        <v>0.31997632796604847</v>
      </c>
      <c r="D14" s="5">
        <v>6.049600169626243E-2</v>
      </c>
      <c r="E14" s="5">
        <v>1.9967740007496717</v>
      </c>
      <c r="F14" s="5">
        <v>0.34778043728565255</v>
      </c>
      <c r="G14" s="5">
        <v>7.1304766632103583E-2</v>
      </c>
      <c r="H14" s="5">
        <v>1.8350873332374338</v>
      </c>
      <c r="I14" s="5">
        <v>0.36320961931035045</v>
      </c>
      <c r="J14" s="5">
        <v>6.7599530873952804E-2</v>
      </c>
      <c r="L14">
        <v>4.1254431687068001E-6</v>
      </c>
      <c r="N14">
        <v>1.118514031899859E-5</v>
      </c>
      <c r="O14">
        <v>5.5925701594992949E-5</v>
      </c>
      <c r="P14">
        <v>2.7962850797496474E-4</v>
      </c>
      <c r="R14">
        <v>1.5E-3</v>
      </c>
      <c r="T14">
        <f t="shared" si="11"/>
        <v>4.066886827035647E-3</v>
      </c>
      <c r="U14">
        <f t="shared" si="5"/>
        <v>2.0334434135178235E-2</v>
      </c>
      <c r="V14">
        <f t="shared" si="5"/>
        <v>0.10167217067589118</v>
      </c>
      <c r="X14">
        <f t="shared" si="32"/>
        <v>7.3549315988884999E-3</v>
      </c>
      <c r="Y14">
        <f t="shared" si="0"/>
        <v>6.506537565841802E-3</v>
      </c>
      <c r="Z14">
        <f t="shared" si="0"/>
        <v>6.1507598096713963E-3</v>
      </c>
      <c r="AA14">
        <f t="shared" si="33"/>
        <v>8.1206538802161068E-3</v>
      </c>
      <c r="AB14">
        <f t="shared" si="1"/>
        <v>7.0719183954885871E-3</v>
      </c>
      <c r="AC14">
        <f t="shared" si="1"/>
        <v>7.2497104030238256E-3</v>
      </c>
      <c r="AD14">
        <f t="shared" si="34"/>
        <v>7.4630925020032941E-3</v>
      </c>
      <c r="AE14">
        <f t="shared" si="2"/>
        <v>7.3856620811294819E-3</v>
      </c>
      <c r="AF14">
        <f t="shared" si="2"/>
        <v>6.8729910406267053E-3</v>
      </c>
      <c r="AG14" s="5"/>
      <c r="AH14" s="2" t="s">
        <v>33</v>
      </c>
      <c r="AI14" s="5">
        <f>AVERAGE(X21:X22)</f>
        <v>2.7227116873517438</v>
      </c>
      <c r="AJ14" s="5">
        <f>AVERAGE(Y21:Y22)</f>
        <v>2.6858493169308355</v>
      </c>
      <c r="AK14" s="5">
        <f t="shared" ref="AK14:AQ14" si="37">AVERAGE(Z21:Z22)</f>
        <v>3.0025584148355327</v>
      </c>
      <c r="AL14" s="5">
        <f t="shared" si="37"/>
        <v>2.7056958496778392</v>
      </c>
      <c r="AM14" s="5">
        <f t="shared" si="37"/>
        <v>3.216994176528702</v>
      </c>
      <c r="AN14" s="5">
        <f t="shared" si="37"/>
        <v>3.3740578179519938</v>
      </c>
      <c r="AO14" s="5">
        <f t="shared" si="37"/>
        <v>2.8568405428945232</v>
      </c>
      <c r="AP14" s="5">
        <f t="shared" si="37"/>
        <v>3.1777310975465012</v>
      </c>
      <c r="AQ14" s="6">
        <f t="shared" si="37"/>
        <v>3.3243576879675039</v>
      </c>
      <c r="AS14" s="2" t="s">
        <v>32</v>
      </c>
      <c r="AT14" s="5">
        <f t="shared" si="24"/>
        <v>3.4197499567455748E-2</v>
      </c>
      <c r="AU14" s="5">
        <f t="shared" si="25"/>
        <v>3.8317571542245889E-2</v>
      </c>
      <c r="AV14" s="6">
        <f t="shared" si="26"/>
        <v>3.7217189004971174E-2</v>
      </c>
      <c r="AX14" s="2" t="s">
        <v>32</v>
      </c>
      <c r="AY14" s="5">
        <f t="shared" si="27"/>
        <v>3.657742003822427E-2</v>
      </c>
      <c r="AZ14" s="5">
        <f t="shared" si="17"/>
        <v>2.1332431922947937E-3</v>
      </c>
      <c r="BA14" s="5">
        <f t="shared" si="28"/>
        <v>4.5507265174720826E-6</v>
      </c>
      <c r="BB14" s="5">
        <f t="shared" si="29"/>
        <v>1.7417857727960468E-3</v>
      </c>
      <c r="BC14" s="6">
        <f t="shared" si="30"/>
        <v>3.0338176783147219E-6</v>
      </c>
      <c r="BE14" s="117" t="s">
        <v>119</v>
      </c>
      <c r="BF14" s="118"/>
      <c r="BJ14" s="66"/>
      <c r="BK14" s="66"/>
    </row>
    <row r="15" spans="1:63">
      <c r="A15" s="47" t="s">
        <v>28</v>
      </c>
      <c r="B15" s="5">
        <v>9.2454051429220682E-2</v>
      </c>
      <c r="C15" s="5">
        <v>2.2191575925865039E-2</v>
      </c>
      <c r="D15" s="5">
        <v>3.3402112354436538E-3</v>
      </c>
      <c r="E15" s="5">
        <v>9.308435343335425E-2</v>
      </c>
      <c r="F15" s="5">
        <v>2.8262354535207517E-2</v>
      </c>
      <c r="G15" s="5">
        <v>6.5010965712596312E-3</v>
      </c>
      <c r="H15" s="5">
        <v>8.8262388529243868E-2</v>
      </c>
      <c r="I15" s="5">
        <v>2.7666083236559658E-2</v>
      </c>
      <c r="J15" s="5">
        <v>3.5072378310655526E-3</v>
      </c>
      <c r="L15">
        <v>4.1254431687068001E-6</v>
      </c>
      <c r="N15">
        <v>1.7738844785108131E-4</v>
      </c>
      <c r="O15">
        <v>8.8694223925540644E-4</v>
      </c>
      <c r="P15">
        <v>4.434711196277032E-3</v>
      </c>
      <c r="R15">
        <v>1.5E-3</v>
      </c>
      <c r="T15">
        <f t="shared" si="11"/>
        <v>6.4497960799695303E-2</v>
      </c>
      <c r="U15">
        <f t="shared" si="5"/>
        <v>0.32248980399847649</v>
      </c>
      <c r="V15">
        <f t="shared" si="5"/>
        <v>1.6124490199923824</v>
      </c>
      <c r="X15">
        <f t="shared" si="32"/>
        <v>5.9630977848548891E-3</v>
      </c>
      <c r="Y15">
        <f t="shared" si="0"/>
        <v>7.1565569707495256E-3</v>
      </c>
      <c r="Z15">
        <f t="shared" si="0"/>
        <v>5.3859203331586645E-3</v>
      </c>
      <c r="AA15">
        <f t="shared" si="33"/>
        <v>6.0037509788094653E-3</v>
      </c>
      <c r="AB15">
        <f t="shared" si="1"/>
        <v>9.1143211745945245E-3</v>
      </c>
      <c r="AC15">
        <f t="shared" si="1"/>
        <v>1.0482686795203431E-2</v>
      </c>
      <c r="AD15">
        <f t="shared" si="34"/>
        <v>5.6927440754466476E-3</v>
      </c>
      <c r="AE15">
        <f t="shared" si="2"/>
        <v>8.9220297603636606E-3</v>
      </c>
      <c r="AF15">
        <f t="shared" si="2"/>
        <v>5.6552422035818593E-3</v>
      </c>
      <c r="AG15" s="5"/>
      <c r="AH15" s="2" t="s">
        <v>34</v>
      </c>
      <c r="AI15" s="5">
        <f>AVERAGE(X23:X24)</f>
        <v>1.2070653894852774</v>
      </c>
      <c r="AJ15" s="5">
        <f>AVERAGE(Y23:Y24)</f>
        <v>1.3743887182223964</v>
      </c>
      <c r="AK15" s="5">
        <f>AVERAGE(Z23:Z24)</f>
        <v>1.227809455105306</v>
      </c>
      <c r="AL15" s="5">
        <f>AVERAGE(AA23:AA24)</f>
        <v>1.1634669211336974</v>
      </c>
      <c r="AM15" s="5">
        <f t="shared" ref="AM15:AQ15" si="38">AVERAGE(AB23:AB24)</f>
        <v>1.4222328879963975</v>
      </c>
      <c r="AN15" s="5">
        <f t="shared" si="38"/>
        <v>1.1746576605054408</v>
      </c>
      <c r="AO15" s="5">
        <f t="shared" si="38"/>
        <v>1.2527725265316421</v>
      </c>
      <c r="AP15" s="5">
        <f t="shared" si="38"/>
        <v>1.4045326727218657</v>
      </c>
      <c r="AQ15" s="6">
        <f t="shared" si="38"/>
        <v>1.2002906777529088</v>
      </c>
      <c r="AS15" s="2" t="s">
        <v>33</v>
      </c>
      <c r="AT15" s="5">
        <f t="shared" si="24"/>
        <v>2.8037064730393708</v>
      </c>
      <c r="AU15" s="5">
        <f t="shared" si="25"/>
        <v>3.098915948052845</v>
      </c>
      <c r="AV15" s="6">
        <f t="shared" si="26"/>
        <v>3.1196431094695094</v>
      </c>
      <c r="AX15" s="2" t="s">
        <v>33</v>
      </c>
      <c r="AY15" s="5">
        <f t="shared" si="27"/>
        <v>3.0074218435205751</v>
      </c>
      <c r="AZ15" s="5">
        <f t="shared" si="17"/>
        <v>0.17672681724293812</v>
      </c>
      <c r="BA15" s="5">
        <f t="shared" si="28"/>
        <v>3.1232367932818847E-2</v>
      </c>
      <c r="BB15" s="5">
        <f t="shared" si="29"/>
        <v>0.14429684203709806</v>
      </c>
      <c r="BC15" s="6">
        <f t="shared" si="30"/>
        <v>2.0821578621879232E-2</v>
      </c>
      <c r="BE15" s="53" t="s">
        <v>18</v>
      </c>
      <c r="BF15" s="60" t="s">
        <v>135</v>
      </c>
      <c r="BJ15" s="16"/>
      <c r="BK15" s="16"/>
    </row>
    <row r="16" spans="1:63">
      <c r="A16" s="47" t="s">
        <v>29</v>
      </c>
      <c r="B16" s="5">
        <v>6.2856713400088911</v>
      </c>
      <c r="C16" s="5">
        <v>1.4644879430808624</v>
      </c>
      <c r="D16" s="5">
        <v>0.3052366084660264</v>
      </c>
      <c r="E16" s="5">
        <v>4.1570771228320424</v>
      </c>
      <c r="F16" s="5">
        <v>1.5432991657434578</v>
      </c>
      <c r="G16" s="5">
        <v>0.32615736086938296</v>
      </c>
      <c r="H16" s="5">
        <v>4.1990349524396002</v>
      </c>
      <c r="I16" s="5">
        <v>1.5686840958667685</v>
      </c>
      <c r="J16" s="5">
        <v>0.32471763398914072</v>
      </c>
      <c r="L16">
        <v>4.1254431687068001E-6</v>
      </c>
      <c r="N16">
        <v>1.0508849557522125E-5</v>
      </c>
      <c r="O16">
        <v>5.2544247787610617E-5</v>
      </c>
      <c r="P16">
        <v>2.6272123893805309E-4</v>
      </c>
      <c r="R16">
        <v>1.5E-3</v>
      </c>
      <c r="T16">
        <f t="shared" si="11"/>
        <v>3.8209893317290543E-3</v>
      </c>
      <c r="U16">
        <f t="shared" si="5"/>
        <v>1.9104946658645268E-2</v>
      </c>
      <c r="V16">
        <f t="shared" si="5"/>
        <v>9.5524733293226347E-2</v>
      </c>
      <c r="X16">
        <f t="shared" si="32"/>
        <v>2.4017483132929042E-2</v>
      </c>
      <c r="Y16">
        <f t="shared" si="0"/>
        <v>2.7978964034789004E-2</v>
      </c>
      <c r="Z16">
        <f t="shared" si="0"/>
        <v>2.9157645615046128E-2</v>
      </c>
      <c r="AA16">
        <f t="shared" si="33"/>
        <v>1.5884147337516145E-2</v>
      </c>
      <c r="AB16">
        <f t="shared" si="1"/>
        <v>2.9484648239860505E-2</v>
      </c>
      <c r="AC16">
        <f t="shared" si="1"/>
        <v>3.1156094908670388E-2</v>
      </c>
      <c r="AD16">
        <f t="shared" si="34"/>
        <v>1.604446775682913E-2</v>
      </c>
      <c r="AE16">
        <f t="shared" si="2"/>
        <v>2.9969625975799791E-2</v>
      </c>
      <c r="AF16">
        <f t="shared" si="2"/>
        <v>3.1018565382420156E-2</v>
      </c>
      <c r="AG16" s="5"/>
      <c r="AH16" s="2" t="s">
        <v>30</v>
      </c>
      <c r="AI16" s="5">
        <f>AVERAGE(X25)</f>
        <v>1.6818091454226454</v>
      </c>
      <c r="AJ16" s="5">
        <f t="shared" ref="AJ16:AQ18" si="39">AVERAGE(Y25)</f>
        <v>1.9681818966779567</v>
      </c>
      <c r="AK16" s="5">
        <f t="shared" si="39"/>
        <v>1.2679915836174822</v>
      </c>
      <c r="AL16" s="5">
        <f t="shared" si="39"/>
        <v>1.5381994843821416</v>
      </c>
      <c r="AM16" s="5">
        <f t="shared" si="39"/>
        <v>1.8469507894002373</v>
      </c>
      <c r="AN16" s="5">
        <f t="shared" si="39"/>
        <v>1.2686863087962512</v>
      </c>
      <c r="AO16" s="5">
        <f t="shared" si="39"/>
        <v>1.6156691028147279</v>
      </c>
      <c r="AP16" s="5">
        <f t="shared" si="39"/>
        <v>1.6084614197520899</v>
      </c>
      <c r="AQ16" s="6">
        <f t="shared" si="39"/>
        <v>1.3169576105307448</v>
      </c>
      <c r="AS16" s="2" t="s">
        <v>34</v>
      </c>
      <c r="AT16" s="5">
        <f t="shared" si="24"/>
        <v>1.2697545209376599</v>
      </c>
      <c r="AU16" s="5">
        <f t="shared" si="25"/>
        <v>1.253452489878512</v>
      </c>
      <c r="AV16" s="6">
        <f t="shared" si="26"/>
        <v>1.2858652923354723</v>
      </c>
      <c r="AX16" s="2" t="s">
        <v>34</v>
      </c>
      <c r="AY16" s="5">
        <f t="shared" si="27"/>
        <v>1.2696907677172149</v>
      </c>
      <c r="AZ16" s="5">
        <f t="shared" si="17"/>
        <v>1.6206495276071292E-2</v>
      </c>
      <c r="BA16" s="5">
        <f t="shared" si="28"/>
        <v>2.626504891333211E-4</v>
      </c>
      <c r="BB16" s="5">
        <f t="shared" si="29"/>
        <v>1.3232547981733553E-2</v>
      </c>
      <c r="BC16" s="6">
        <f t="shared" si="30"/>
        <v>1.7510032608888072E-4</v>
      </c>
      <c r="BE16" s="2" t="s">
        <v>0</v>
      </c>
      <c r="BF16" s="59">
        <f>AVERAGE(AT3:AV3,AT30:AV30)/1000</f>
        <v>1.678775673266092E-4</v>
      </c>
      <c r="BJ16" s="67"/>
      <c r="BK16" s="61"/>
    </row>
    <row r="17" spans="1:63">
      <c r="A17" s="47" t="s">
        <v>35</v>
      </c>
      <c r="B17" s="5">
        <v>7.0299469992969836</v>
      </c>
      <c r="C17" s="5">
        <v>1.4524015848299328</v>
      </c>
      <c r="D17" s="5">
        <v>0.31288280043935879</v>
      </c>
      <c r="E17" s="5">
        <v>6.5976339836166691</v>
      </c>
      <c r="F17" s="5">
        <v>1.599034204277205</v>
      </c>
      <c r="G17" s="5">
        <v>0.35278670502576503</v>
      </c>
      <c r="H17" s="5">
        <v>6.3937890791214054</v>
      </c>
      <c r="I17" s="5">
        <v>1.5668268817865045</v>
      </c>
      <c r="J17" s="5">
        <v>0.30582257484360253</v>
      </c>
      <c r="L17">
        <v>4.1254431687068001E-6</v>
      </c>
      <c r="N17">
        <v>4.1736227045075126E-4</v>
      </c>
      <c r="O17">
        <v>2.0868113522537562E-3</v>
      </c>
      <c r="P17">
        <v>1.0434056761268781E-2</v>
      </c>
      <c r="R17">
        <v>1.5E-3</v>
      </c>
      <c r="T17">
        <f t="shared" si="11"/>
        <v>0.15175179491622287</v>
      </c>
      <c r="U17">
        <f t="shared" si="5"/>
        <v>0.75875897458111419</v>
      </c>
      <c r="V17">
        <f t="shared" si="5"/>
        <v>3.793794872905571</v>
      </c>
      <c r="X17">
        <f t="shared" si="32"/>
        <v>1.0668070753092322</v>
      </c>
      <c r="Y17">
        <f t="shared" si="0"/>
        <v>1.1020227371855449</v>
      </c>
      <c r="Z17">
        <f t="shared" si="0"/>
        <v>1.1870131641271764</v>
      </c>
      <c r="AA17">
        <f t="shared" si="33"/>
        <v>1.0012027992140993</v>
      </c>
      <c r="AB17">
        <f t="shared" si="1"/>
        <v>1.2132815531574999</v>
      </c>
      <c r="AC17">
        <f t="shared" si="1"/>
        <v>1.3384003927559975</v>
      </c>
      <c r="AD17">
        <f t="shared" si="34"/>
        <v>0.970268969072417</v>
      </c>
      <c r="AE17">
        <f t="shared" si="2"/>
        <v>1.1888439581704529</v>
      </c>
      <c r="AF17">
        <f t="shared" si="2"/>
        <v>1.1602281164604396</v>
      </c>
      <c r="AG17" s="5"/>
      <c r="AH17" s="2" t="s">
        <v>127</v>
      </c>
      <c r="AI17" s="5">
        <f>AVERAGE(X26)</f>
        <v>15.492034322386095</v>
      </c>
      <c r="AJ17" s="5">
        <f t="shared" si="39"/>
        <v>14.457054622774072</v>
      </c>
      <c r="AK17" s="5">
        <f t="shared" si="39"/>
        <v>15.192678359471085</v>
      </c>
      <c r="AL17" s="5">
        <f t="shared" si="39"/>
        <v>14.584451133114799</v>
      </c>
      <c r="AM17" s="5">
        <f t="shared" si="39"/>
        <v>15.718795211611615</v>
      </c>
      <c r="AN17" s="5">
        <f t="shared" si="39"/>
        <v>14.859879513974819</v>
      </c>
      <c r="AO17" s="5">
        <f t="shared" si="39"/>
        <v>10.950526887064234</v>
      </c>
      <c r="AP17" s="5">
        <f t="shared" si="39"/>
        <v>14.346710790727727</v>
      </c>
      <c r="AQ17" s="6">
        <f t="shared" si="39"/>
        <v>13.154614504865647</v>
      </c>
      <c r="AS17" s="2" t="s">
        <v>30</v>
      </c>
      <c r="AT17" s="5">
        <f t="shared" si="24"/>
        <v>1.639327541906028</v>
      </c>
      <c r="AU17" s="5">
        <f t="shared" si="25"/>
        <v>1.5512788608595434</v>
      </c>
      <c r="AV17" s="6">
        <f t="shared" si="26"/>
        <v>1.5136960443658543</v>
      </c>
      <c r="AX17" s="2" t="s">
        <v>30</v>
      </c>
      <c r="AY17" s="5">
        <f t="shared" si="27"/>
        <v>1.5681008157104752</v>
      </c>
      <c r="AZ17" s="5">
        <f t="shared" si="17"/>
        <v>6.4482958347936895E-2</v>
      </c>
      <c r="BA17" s="5">
        <f t="shared" si="28"/>
        <v>4.1580519173017652E-3</v>
      </c>
      <c r="BB17" s="5">
        <f t="shared" si="29"/>
        <v>5.2650115019195448E-2</v>
      </c>
      <c r="BC17" s="6">
        <f t="shared" si="30"/>
        <v>2.7720346115345101E-3</v>
      </c>
      <c r="BE17" s="2" t="s">
        <v>22</v>
      </c>
      <c r="BF17" s="59">
        <f t="shared" ref="BF17:BF23" si="40">AVERAGE(AT4:AV4,AT31:AV31)/1000</f>
        <v>1.3980966122118794E-5</v>
      </c>
      <c r="BJ17" s="67"/>
      <c r="BK17" s="61"/>
    </row>
    <row r="18" spans="1:63" ht="15.75" thickBot="1">
      <c r="A18" s="49" t="s">
        <v>35</v>
      </c>
      <c r="B18" s="5">
        <v>6.9814225250622686</v>
      </c>
      <c r="C18" s="5">
        <v>1.429067607563826</v>
      </c>
      <c r="D18" s="5">
        <v>0.2909993040219972</v>
      </c>
      <c r="E18" s="5">
        <v>6.7471605034264579</v>
      </c>
      <c r="F18" s="5">
        <v>1.6273764102110595</v>
      </c>
      <c r="G18" s="5">
        <v>0.32462619546135901</v>
      </c>
      <c r="H18" s="5">
        <v>6.4436624661891235</v>
      </c>
      <c r="I18" s="5">
        <v>1.4926164068105705</v>
      </c>
      <c r="J18" s="5">
        <v>0.28564493215982134</v>
      </c>
      <c r="L18">
        <v>4.1254431687068001E-6</v>
      </c>
      <c r="N18">
        <v>4.1736227045075126E-4</v>
      </c>
      <c r="O18">
        <v>2.0868113522537562E-3</v>
      </c>
      <c r="P18">
        <v>1.0434056761268781E-2</v>
      </c>
      <c r="R18">
        <v>1.5E-3</v>
      </c>
      <c r="T18">
        <f t="shared" si="11"/>
        <v>0.15175179491622287</v>
      </c>
      <c r="U18">
        <f t="shared" si="5"/>
        <v>0.75875897458111419</v>
      </c>
      <c r="V18">
        <f t="shared" si="5"/>
        <v>3.793794872905571</v>
      </c>
      <c r="X18">
        <f t="shared" si="32"/>
        <v>1.0594433992467482</v>
      </c>
      <c r="Y18">
        <f t="shared" si="0"/>
        <v>1.0843178725222147</v>
      </c>
      <c r="Z18">
        <f t="shared" si="0"/>
        <v>1.1039916676177426</v>
      </c>
      <c r="AA18">
        <f t="shared" si="33"/>
        <v>1.0238937169828108</v>
      </c>
      <c r="AB18">
        <f t="shared" si="1"/>
        <v>1.2347864562692381</v>
      </c>
      <c r="AC18">
        <f t="shared" si="1"/>
        <v>1.2315651959521456</v>
      </c>
      <c r="AD18">
        <f t="shared" si="34"/>
        <v>0.97783734507849474</v>
      </c>
      <c r="AE18">
        <f t="shared" si="2"/>
        <v>1.1325360942745357</v>
      </c>
      <c r="AF18">
        <f t="shared" si="2"/>
        <v>1.08367827909939</v>
      </c>
      <c r="AH18" s="55" t="s">
        <v>105</v>
      </c>
      <c r="AI18" s="7"/>
      <c r="AJ18" s="7">
        <f t="shared" si="39"/>
        <v>6.5415776347484922</v>
      </c>
      <c r="AK18" s="7"/>
      <c r="AL18" s="7"/>
      <c r="AM18" s="7">
        <f t="shared" si="39"/>
        <v>8.2717405689082764</v>
      </c>
      <c r="AN18" s="7"/>
      <c r="AO18" s="7"/>
      <c r="AP18" s="7">
        <f t="shared" si="39"/>
        <v>5.6981259686147396</v>
      </c>
      <c r="AQ18" s="8"/>
      <c r="AS18" s="2" t="s">
        <v>127</v>
      </c>
      <c r="AT18" s="5">
        <f t="shared" si="24"/>
        <v>15.047255768210418</v>
      </c>
      <c r="AU18" s="5">
        <f t="shared" si="25"/>
        <v>15.054375286233745</v>
      </c>
      <c r="AV18" s="6">
        <f t="shared" si="26"/>
        <v>12.81728406088587</v>
      </c>
      <c r="AX18" s="2" t="s">
        <v>127</v>
      </c>
      <c r="AY18" s="5">
        <f t="shared" si="27"/>
        <v>14.306305038443343</v>
      </c>
      <c r="AZ18" s="5">
        <f t="shared" si="17"/>
        <v>1.2895349066965514</v>
      </c>
      <c r="BA18" s="5">
        <f t="shared" si="28"/>
        <v>1.6629002755888835</v>
      </c>
      <c r="BB18" s="5">
        <f t="shared" si="29"/>
        <v>1.0529008423046884</v>
      </c>
      <c r="BC18" s="6">
        <f t="shared" si="30"/>
        <v>1.1086001837259223</v>
      </c>
      <c r="BE18" s="2" t="s">
        <v>23</v>
      </c>
      <c r="BF18" s="59">
        <f t="shared" si="40"/>
        <v>3.5959913763412747E-5</v>
      </c>
      <c r="BJ18" s="67"/>
      <c r="BK18" s="61"/>
    </row>
    <row r="19" spans="1:63">
      <c r="A19" s="47" t="s">
        <v>32</v>
      </c>
      <c r="B19" s="5">
        <v>4.5554972541254823</v>
      </c>
      <c r="C19" s="5">
        <v>0.93300126562493912</v>
      </c>
      <c r="D19" s="5">
        <v>0.19254575268457302</v>
      </c>
      <c r="E19" s="5">
        <v>4.6619982222211611</v>
      </c>
      <c r="F19" s="5">
        <v>1.0736392509402712</v>
      </c>
      <c r="G19" s="5">
        <v>0.20138610289325892</v>
      </c>
      <c r="H19" s="5">
        <v>4.5348803069353076</v>
      </c>
      <c r="I19" s="5">
        <v>1.020762987216391</v>
      </c>
      <c r="J19" s="5">
        <v>0.20981003023420655</v>
      </c>
      <c r="L19">
        <v>4.1254431687068001E-6</v>
      </c>
      <c r="N19">
        <v>1.9999701760000001E-5</v>
      </c>
      <c r="O19">
        <v>9.9998508799999989E-5</v>
      </c>
      <c r="P19">
        <v>4.9999254399999999E-4</v>
      </c>
      <c r="R19">
        <v>1.5E-3</v>
      </c>
      <c r="T19">
        <f t="shared" si="11"/>
        <v>7.2718375731264627E-3</v>
      </c>
      <c r="U19">
        <f t="shared" si="5"/>
        <v>3.635918786563231E-2</v>
      </c>
      <c r="V19">
        <f t="shared" si="5"/>
        <v>0.18179593932816157</v>
      </c>
      <c r="X19">
        <f t="shared" si="32"/>
        <v>3.3126836096824111E-2</v>
      </c>
      <c r="Y19">
        <f t="shared" si="32"/>
        <v>3.3923168295729875E-2</v>
      </c>
      <c r="Z19">
        <f t="shared" si="32"/>
        <v>3.5004035972939843E-2</v>
      </c>
      <c r="AA19">
        <f t="shared" si="33"/>
        <v>3.3901293838196608E-2</v>
      </c>
      <c r="AB19">
        <f t="shared" si="33"/>
        <v>3.9036651224854071E-2</v>
      </c>
      <c r="AC19">
        <f t="shared" si="33"/>
        <v>3.6611175743117799E-2</v>
      </c>
      <c r="AD19">
        <f t="shared" si="34"/>
        <v>3.2976913005603438E-2</v>
      </c>
      <c r="AE19">
        <f t="shared" si="34"/>
        <v>3.7114113218484797E-2</v>
      </c>
      <c r="AF19">
        <f t="shared" si="34"/>
        <v>3.814261152689756E-2</v>
      </c>
      <c r="AS19" s="53" t="s">
        <v>105</v>
      </c>
      <c r="AT19" s="5">
        <f t="shared" si="24"/>
        <v>6.5415776347484922</v>
      </c>
      <c r="AU19" s="5">
        <f t="shared" si="25"/>
        <v>8.2717405689082764</v>
      </c>
      <c r="AV19" s="6">
        <f t="shared" si="26"/>
        <v>5.6981259686147396</v>
      </c>
      <c r="AX19" s="53" t="s">
        <v>105</v>
      </c>
      <c r="AY19" s="5">
        <f t="shared" si="27"/>
        <v>6.8371480574238364</v>
      </c>
      <c r="AZ19" s="5">
        <f t="shared" si="17"/>
        <v>1.3120192200502896</v>
      </c>
      <c r="BA19" s="5">
        <f t="shared" si="28"/>
        <v>1.72139443378137</v>
      </c>
      <c r="BB19" s="5">
        <f t="shared" si="29"/>
        <v>1.0712592072825231</v>
      </c>
      <c r="BC19" s="6">
        <f t="shared" si="30"/>
        <v>1.1475962891875799</v>
      </c>
      <c r="BE19" s="2" t="s">
        <v>125</v>
      </c>
      <c r="BF19" s="59">
        <f t="shared" si="40"/>
        <v>1.5393376487755027E-4</v>
      </c>
      <c r="BJ19" s="67"/>
      <c r="BK19" s="62"/>
    </row>
    <row r="20" spans="1:63" ht="15.75" thickBot="1">
      <c r="A20" s="49" t="s">
        <v>32</v>
      </c>
      <c r="B20" s="5">
        <v>4.5105154070966007</v>
      </c>
      <c r="C20" s="5">
        <v>1.0342865442598226</v>
      </c>
      <c r="D20" s="5">
        <v>0.1800117372205898</v>
      </c>
      <c r="E20" s="5">
        <v>6.04516497037286</v>
      </c>
      <c r="F20" s="5">
        <v>1.1632856044392199</v>
      </c>
      <c r="G20" s="5">
        <v>0.18757696664090373</v>
      </c>
      <c r="H20" s="5">
        <v>5.2539749317171456</v>
      </c>
      <c r="I20" s="5">
        <v>1.1268234003554223</v>
      </c>
      <c r="J20" s="5">
        <v>0.19743598448814445</v>
      </c>
      <c r="L20">
        <v>4.1254431687068001E-6</v>
      </c>
      <c r="N20">
        <v>1.9999701760000001E-5</v>
      </c>
      <c r="O20">
        <v>9.9998508799999989E-5</v>
      </c>
      <c r="P20">
        <v>4.9999254399999999E-4</v>
      </c>
      <c r="R20">
        <v>1.5E-3</v>
      </c>
      <c r="T20">
        <f t="shared" si="11"/>
        <v>7.2718375731264627E-3</v>
      </c>
      <c r="U20">
        <f t="shared" si="5"/>
        <v>3.635918786563231E-2</v>
      </c>
      <c r="V20">
        <f t="shared" si="5"/>
        <v>0.18179593932816157</v>
      </c>
      <c r="X20">
        <f t="shared" si="32"/>
        <v>3.2799735411490866E-2</v>
      </c>
      <c r="Y20">
        <f t="shared" si="32"/>
        <v>3.7605818769638519E-2</v>
      </c>
      <c r="Z20">
        <f t="shared" si="32"/>
        <v>3.2725402858111305E-2</v>
      </c>
      <c r="AA20">
        <f t="shared" si="33"/>
        <v>4.3959457767305282E-2</v>
      </c>
      <c r="AB20">
        <f t="shared" si="33"/>
        <v>4.2296119833191231E-2</v>
      </c>
      <c r="AC20">
        <f t="shared" si="33"/>
        <v>3.4100730846810319E-2</v>
      </c>
      <c r="AD20">
        <f t="shared" si="34"/>
        <v>3.8206052316725282E-2</v>
      </c>
      <c r="AE20">
        <f t="shared" si="34"/>
        <v>4.0970383704913411E-2</v>
      </c>
      <c r="AF20">
        <f t="shared" si="34"/>
        <v>3.5893060257202555E-2</v>
      </c>
      <c r="AS20" s="55" t="s">
        <v>126</v>
      </c>
      <c r="AT20" s="7">
        <f>AT18-AT19</f>
        <v>8.5056781334619256</v>
      </c>
      <c r="AU20" s="7">
        <f t="shared" ref="AU20:AV20" si="41">AU18-AU19</f>
        <v>6.7826347173254682</v>
      </c>
      <c r="AV20" s="8">
        <f t="shared" si="41"/>
        <v>7.1191580922711299</v>
      </c>
      <c r="AX20" s="55" t="s">
        <v>126</v>
      </c>
      <c r="AY20" s="7">
        <f t="shared" si="27"/>
        <v>7.4691569810195082</v>
      </c>
      <c r="AZ20" s="7">
        <f t="shared" ref="AZ20:AZ27" si="42">_xlfn.STDEV.S(AT20:AV20)</f>
        <v>0.91328750679434068</v>
      </c>
      <c r="BA20" s="7">
        <f t="shared" ref="BA20:BA27" si="43">_xlfn.VAR.S(AT20:AV20)</f>
        <v>0.83409407006662284</v>
      </c>
      <c r="BB20" s="7">
        <f t="shared" ref="BB20:BB27" si="44">_xlfn.STDEV.P(AT20:AV20)</f>
        <v>0.74569612670158658</v>
      </c>
      <c r="BC20" s="8">
        <f t="shared" ref="BC20:BC27" si="45">_xlfn.VAR.P(AT20:AV20)</f>
        <v>0.5560627133777486</v>
      </c>
      <c r="BE20" s="53" t="s">
        <v>83</v>
      </c>
      <c r="BF20" s="59">
        <f t="shared" si="40"/>
        <v>2.8876894313589457E-5</v>
      </c>
      <c r="BJ20" s="67"/>
    </row>
    <row r="21" spans="1:63">
      <c r="A21" s="47" t="s">
        <v>33</v>
      </c>
      <c r="B21" s="5">
        <v>9.58187633340928</v>
      </c>
      <c r="C21" s="5">
        <v>1.8585706274372431</v>
      </c>
      <c r="D21" s="5">
        <v>0.41588094451312096</v>
      </c>
      <c r="E21" s="5">
        <v>8.8638872148521184</v>
      </c>
      <c r="F21" s="5">
        <v>2.147787354636765</v>
      </c>
      <c r="G21" s="5">
        <v>0.47612463589919884</v>
      </c>
      <c r="H21" s="5">
        <v>9.2290005057237536</v>
      </c>
      <c r="I21" s="5">
        <v>2.1615161457054741</v>
      </c>
      <c r="J21" s="5">
        <v>0.45930538300716556</v>
      </c>
      <c r="L21">
        <v>4.1254431687068001E-6</v>
      </c>
      <c r="N21">
        <v>8.1269150917416013E-4</v>
      </c>
      <c r="O21">
        <v>4.0634575458708003E-3</v>
      </c>
      <c r="P21">
        <v>2.0317287729354001E-2</v>
      </c>
      <c r="R21">
        <v>1.5E-3</v>
      </c>
      <c r="T21">
        <f t="shared" si="11"/>
        <v>0.29549243897192529</v>
      </c>
      <c r="U21">
        <f t="shared" si="5"/>
        <v>1.4774621948596263</v>
      </c>
      <c r="V21">
        <f t="shared" si="5"/>
        <v>7.3873109742981313</v>
      </c>
      <c r="X21">
        <f t="shared" si="32"/>
        <v>2.8313720076864768</v>
      </c>
      <c r="Y21">
        <f t="shared" si="32"/>
        <v>2.7459678385150621</v>
      </c>
      <c r="Z21">
        <f t="shared" si="32"/>
        <v>3.0722418654032508</v>
      </c>
      <c r="AA21">
        <f t="shared" si="33"/>
        <v>2.6192116518887185</v>
      </c>
      <c r="AB21">
        <f t="shared" si="33"/>
        <v>3.1732746190733851</v>
      </c>
      <c r="AC21">
        <f t="shared" si="33"/>
        <v>3.5172807479118537</v>
      </c>
      <c r="AD21">
        <f t="shared" si="34"/>
        <v>2.7270998687094439</v>
      </c>
      <c r="AE21">
        <f t="shared" si="34"/>
        <v>3.1935583888585297</v>
      </c>
      <c r="AF21">
        <f t="shared" si="34"/>
        <v>3.3930316964430407</v>
      </c>
      <c r="AS21" s="52" t="s">
        <v>128</v>
      </c>
      <c r="AT21" s="12"/>
      <c r="AU21" s="12"/>
      <c r="AV21" s="13"/>
      <c r="AX21" s="53" t="s">
        <v>128</v>
      </c>
      <c r="AZ21" s="5"/>
      <c r="BA21" s="5"/>
      <c r="BB21" s="5"/>
      <c r="BC21" s="6"/>
      <c r="BE21" s="53" t="s">
        <v>124</v>
      </c>
      <c r="BF21" s="59">
        <f>AVERAGE(AT8:AV8,AT35:AV35)/1000</f>
        <v>1.2505687056396083E-4</v>
      </c>
      <c r="BJ21" s="67"/>
    </row>
    <row r="22" spans="1:63">
      <c r="A22" s="49" t="s">
        <v>33</v>
      </c>
      <c r="B22" s="5">
        <v>8.8464238750466713</v>
      </c>
      <c r="C22" s="5">
        <v>1.7771898357074918</v>
      </c>
      <c r="D22" s="5">
        <v>0.39701522982744974</v>
      </c>
      <c r="E22" s="5">
        <v>9.4492436327016964</v>
      </c>
      <c r="F22" s="5">
        <v>2.206969318963738</v>
      </c>
      <c r="G22" s="5">
        <v>0.43734924646232259</v>
      </c>
      <c r="H22" s="5">
        <v>10.107132444642204</v>
      </c>
      <c r="I22" s="5">
        <v>2.1400911760959711</v>
      </c>
      <c r="J22" s="5">
        <v>0.44071295912939279</v>
      </c>
      <c r="L22">
        <v>4.1254431687068001E-6</v>
      </c>
      <c r="N22">
        <v>8.1269150917416013E-4</v>
      </c>
      <c r="O22">
        <v>4.0634575458708003E-3</v>
      </c>
      <c r="P22">
        <v>2.0317287729354001E-2</v>
      </c>
      <c r="R22">
        <v>1.5E-3</v>
      </c>
      <c r="T22">
        <f t="shared" si="11"/>
        <v>0.29549243897192529</v>
      </c>
      <c r="U22">
        <f t="shared" si="5"/>
        <v>1.4774621948596263</v>
      </c>
      <c r="V22">
        <f t="shared" si="5"/>
        <v>7.3873109742981313</v>
      </c>
      <c r="X22">
        <f t="shared" si="32"/>
        <v>2.6140513670170114</v>
      </c>
      <c r="Y22">
        <f t="shared" si="32"/>
        <v>2.6257307953466094</v>
      </c>
      <c r="Z22">
        <f t="shared" si="32"/>
        <v>2.9328749642678145</v>
      </c>
      <c r="AA22">
        <f t="shared" si="33"/>
        <v>2.7921800474669598</v>
      </c>
      <c r="AB22">
        <f t="shared" si="33"/>
        <v>3.2607137339840189</v>
      </c>
      <c r="AC22">
        <f t="shared" si="33"/>
        <v>3.2308348879921338</v>
      </c>
      <c r="AD22">
        <f t="shared" si="34"/>
        <v>2.9865812170796024</v>
      </c>
      <c r="AE22">
        <f t="shared" si="34"/>
        <v>3.1619038062344722</v>
      </c>
      <c r="AF22">
        <f t="shared" si="34"/>
        <v>3.255683679491967</v>
      </c>
      <c r="AS22" s="2" t="s">
        <v>125</v>
      </c>
      <c r="AT22" s="5">
        <f>AJ6</f>
        <v>0.17496934039733947</v>
      </c>
      <c r="AU22" s="5">
        <f>AM6</f>
        <v>0.20267312284447891</v>
      </c>
      <c r="AV22" s="6">
        <f>AP6</f>
        <v>0.21012988119898429</v>
      </c>
      <c r="AX22" s="2" t="s">
        <v>125</v>
      </c>
      <c r="AY22">
        <f>AVERAGE(AT22:AV22)</f>
        <v>0.19592411481360092</v>
      </c>
      <c r="AZ22" s="5">
        <f t="shared" si="42"/>
        <v>1.8526406543544129E-2</v>
      </c>
      <c r="BA22" s="5">
        <f t="shared" si="43"/>
        <v>3.4322773941667468E-4</v>
      </c>
      <c r="BB22" s="5">
        <f t="shared" si="44"/>
        <v>1.512674759968083E-2</v>
      </c>
      <c r="BC22" s="6">
        <f t="shared" si="45"/>
        <v>2.2881849294444979E-4</v>
      </c>
      <c r="BE22" s="2" t="s">
        <v>50</v>
      </c>
      <c r="BF22" s="59">
        <f t="shared" si="40"/>
        <v>7.4047736710721762E-6</v>
      </c>
      <c r="BJ22" s="67"/>
      <c r="BK22" s="61"/>
    </row>
    <row r="23" spans="1:63">
      <c r="A23" s="47" t="s">
        <v>34</v>
      </c>
      <c r="B23" s="5">
        <v>12.583269898910064</v>
      </c>
      <c r="C23" s="5">
        <v>3.0047943361345317</v>
      </c>
      <c r="D23" s="5">
        <v>0.55607237935442433</v>
      </c>
      <c r="E23" s="5">
        <v>12.021599151822434</v>
      </c>
      <c r="F23" s="5">
        <v>2.9995157912552117</v>
      </c>
      <c r="G23" s="5">
        <v>0.52731470677851644</v>
      </c>
      <c r="H23" s="5">
        <v>12.908112384625969</v>
      </c>
      <c r="I23" s="5">
        <v>3.0757263404094428</v>
      </c>
      <c r="J23" s="5">
        <v>0.55283180490484896</v>
      </c>
      <c r="L23">
        <v>4.1254431687068001E-6</v>
      </c>
      <c r="N23">
        <v>2.532140586768E-4</v>
      </c>
      <c r="O23">
        <v>1.266070293384E-3</v>
      </c>
      <c r="P23">
        <v>6.3303514669200006E-3</v>
      </c>
      <c r="R23">
        <v>1.5E-3</v>
      </c>
      <c r="T23">
        <f t="shared" si="11"/>
        <v>9.2067948213733916E-2</v>
      </c>
      <c r="U23">
        <f t="shared" si="5"/>
        <v>0.46033974106866954</v>
      </c>
      <c r="V23">
        <f t="shared" si="5"/>
        <v>2.3016987053433478</v>
      </c>
      <c r="X23">
        <f t="shared" si="32"/>
        <v>1.1585158414122887</v>
      </c>
      <c r="Y23">
        <f t="shared" si="32"/>
        <v>1.3832262466607752</v>
      </c>
      <c r="Z23">
        <f t="shared" si="32"/>
        <v>1.2799110756372734</v>
      </c>
      <c r="AA23">
        <f t="shared" si="33"/>
        <v>1.1068039681562554</v>
      </c>
      <c r="AB23">
        <f t="shared" si="33"/>
        <v>1.3807963226778095</v>
      </c>
      <c r="AC23">
        <f t="shared" si="33"/>
        <v>1.2137195779006182</v>
      </c>
      <c r="AD23">
        <f t="shared" si="34"/>
        <v>1.1884234225648012</v>
      </c>
      <c r="AE23">
        <f t="shared" si="34"/>
        <v>1.4158790671421695</v>
      </c>
      <c r="AF23">
        <f t="shared" si="34"/>
        <v>1.2724522496221171</v>
      </c>
      <c r="AS23" s="53" t="s">
        <v>83</v>
      </c>
      <c r="AT23" s="5">
        <f>AJ7</f>
        <v>2.9156998090677066E-2</v>
      </c>
      <c r="AU23" s="5">
        <f>AM7</f>
        <v>2.3886433346174695E-2</v>
      </c>
      <c r="AV23" s="6">
        <f>AP7</f>
        <v>2.2277587183964696E-2</v>
      </c>
      <c r="AX23" s="53" t="s">
        <v>83</v>
      </c>
      <c r="AY23">
        <f t="shared" ref="AY23:AY27" si="46">AVERAGE(AT23:AV23)</f>
        <v>2.5107006206938818E-2</v>
      </c>
      <c r="AZ23" s="5">
        <f t="shared" si="42"/>
        <v>3.5984610859607362E-3</v>
      </c>
      <c r="BA23" s="5">
        <f t="shared" si="43"/>
        <v>1.294892218717372E-5</v>
      </c>
      <c r="BB23" s="5">
        <f t="shared" si="44"/>
        <v>2.9381311732884132E-3</v>
      </c>
      <c r="BC23" s="6">
        <f t="shared" si="45"/>
        <v>8.632614791449147E-6</v>
      </c>
      <c r="BE23" s="2" t="s">
        <v>55</v>
      </c>
      <c r="BF23" s="59">
        <f t="shared" si="40"/>
        <v>7.0860956964711276E-6</v>
      </c>
      <c r="BJ23" s="67"/>
      <c r="BK23" s="61"/>
    </row>
    <row r="24" spans="1:63">
      <c r="A24" s="49" t="s">
        <v>34</v>
      </c>
      <c r="B24" s="5">
        <v>13.637915929693374</v>
      </c>
      <c r="C24" s="5">
        <v>2.9663986572480532</v>
      </c>
      <c r="D24" s="5">
        <v>0.51080005903637882</v>
      </c>
      <c r="E24" s="5">
        <v>13.252493378896991</v>
      </c>
      <c r="F24" s="5">
        <v>3.1795418095276897</v>
      </c>
      <c r="G24" s="5">
        <v>0.49337289041089538</v>
      </c>
      <c r="H24" s="5">
        <v>14.305973534251148</v>
      </c>
      <c r="I24" s="5">
        <v>3.0264305989904492</v>
      </c>
      <c r="J24" s="5">
        <v>0.49012892228890398</v>
      </c>
      <c r="L24">
        <v>4.1254431687068001E-6</v>
      </c>
      <c r="N24">
        <v>2.532140586768E-4</v>
      </c>
      <c r="O24">
        <v>1.266070293384E-3</v>
      </c>
      <c r="P24">
        <v>6.3303514669200006E-3</v>
      </c>
      <c r="R24">
        <v>1.5E-3</v>
      </c>
      <c r="T24">
        <f t="shared" si="11"/>
        <v>9.2067948213733916E-2</v>
      </c>
      <c r="U24">
        <f t="shared" si="5"/>
        <v>0.46033974106866954</v>
      </c>
      <c r="V24">
        <f t="shared" si="5"/>
        <v>2.3016987053433478</v>
      </c>
      <c r="X24">
        <f t="shared" si="32"/>
        <v>1.2556149375582664</v>
      </c>
      <c r="Y24">
        <f t="shared" si="32"/>
        <v>1.3655511897840178</v>
      </c>
      <c r="Z24">
        <f t="shared" si="32"/>
        <v>1.1757078345733387</v>
      </c>
      <c r="AA24">
        <f t="shared" si="33"/>
        <v>1.2201298741111397</v>
      </c>
      <c r="AB24">
        <f t="shared" si="33"/>
        <v>1.4636694533149857</v>
      </c>
      <c r="AC24">
        <f t="shared" si="33"/>
        <v>1.1355957431102632</v>
      </c>
      <c r="AD24">
        <f t="shared" si="34"/>
        <v>1.3171216304984827</v>
      </c>
      <c r="AE24">
        <f t="shared" si="34"/>
        <v>1.3931862783015618</v>
      </c>
      <c r="AF24">
        <f t="shared" si="34"/>
        <v>1.1281291058837006</v>
      </c>
      <c r="AS24" s="53" t="s">
        <v>124</v>
      </c>
      <c r="AT24" s="5">
        <f>AT22-AT23</f>
        <v>0.1458123423066624</v>
      </c>
      <c r="AU24" s="5">
        <f t="shared" ref="AU24:AV24" si="47">AU22-AU23</f>
        <v>0.17878668949830423</v>
      </c>
      <c r="AV24" s="6">
        <f t="shared" si="47"/>
        <v>0.1878522940150196</v>
      </c>
      <c r="AX24" s="53" t="s">
        <v>124</v>
      </c>
      <c r="AY24">
        <f t="shared" si="46"/>
        <v>0.17081710860666208</v>
      </c>
      <c r="AZ24" s="5">
        <f t="shared" si="42"/>
        <v>2.2124083022841485E-2</v>
      </c>
      <c r="BA24" s="5">
        <f t="shared" si="43"/>
        <v>4.8947504960158289E-4</v>
      </c>
      <c r="BB24" s="5">
        <f t="shared" si="44"/>
        <v>1.8064238144311181E-2</v>
      </c>
      <c r="BC24" s="6">
        <f t="shared" si="45"/>
        <v>3.2631669973438708E-4</v>
      </c>
      <c r="BE24" s="2" t="s">
        <v>28</v>
      </c>
      <c r="BF24" s="78">
        <f>AVERAGE(AT38:AV38)/1000</f>
        <v>3.2761510403521628E-6</v>
      </c>
      <c r="BJ24" s="67"/>
      <c r="BK24" s="61"/>
    </row>
    <row r="25" spans="1:63">
      <c r="A25" s="49" t="s">
        <v>72</v>
      </c>
      <c r="B25" s="5">
        <v>9.7131257284724857</v>
      </c>
      <c r="C25" s="5">
        <v>2.2734087599615482</v>
      </c>
      <c r="D25" s="5">
        <v>0.29292650019991268</v>
      </c>
      <c r="E25" s="5">
        <v>8.883722048925252</v>
      </c>
      <c r="F25" s="5">
        <v>2.1333770577442901</v>
      </c>
      <c r="G25" s="5">
        <v>0.29308699291756701</v>
      </c>
      <c r="H25" s="5">
        <v>9.3311403222890839</v>
      </c>
      <c r="I25" s="5">
        <v>1.8579026094572979</v>
      </c>
      <c r="J25" s="5">
        <v>0.30423844191759819</v>
      </c>
      <c r="L25">
        <v>4.1254431687068001E-6</v>
      </c>
      <c r="N25">
        <v>4.762083970363401E-4</v>
      </c>
      <c r="O25">
        <v>2.3810419851817005E-3</v>
      </c>
      <c r="P25">
        <v>1.1905209925908503E-2</v>
      </c>
      <c r="R25">
        <v>1.5E-3</v>
      </c>
      <c r="T25">
        <f t="shared" si="11"/>
        <v>0.17314808769464282</v>
      </c>
      <c r="U25">
        <f t="shared" si="5"/>
        <v>0.86574043847321414</v>
      </c>
      <c r="V25">
        <f t="shared" si="5"/>
        <v>4.3287021923660705</v>
      </c>
      <c r="X25">
        <f t="shared" si="32"/>
        <v>1.6818091454226454</v>
      </c>
      <c r="Y25">
        <f t="shared" si="32"/>
        <v>1.9681818966779567</v>
      </c>
      <c r="Z25">
        <f t="shared" si="32"/>
        <v>1.2679915836174822</v>
      </c>
      <c r="AA25">
        <f t="shared" si="33"/>
        <v>1.5381994843821416</v>
      </c>
      <c r="AB25">
        <f t="shared" si="33"/>
        <v>1.8469507894002373</v>
      </c>
      <c r="AC25">
        <f t="shared" si="33"/>
        <v>1.2686863087962512</v>
      </c>
      <c r="AD25">
        <f t="shared" si="34"/>
        <v>1.6156691028147279</v>
      </c>
      <c r="AE25">
        <f t="shared" si="34"/>
        <v>1.6084614197520899</v>
      </c>
      <c r="AF25">
        <f t="shared" si="34"/>
        <v>1.3169576105307448</v>
      </c>
      <c r="AS25" s="2" t="s">
        <v>127</v>
      </c>
      <c r="AT25" s="5">
        <f>AJ17</f>
        <v>14.457054622774072</v>
      </c>
      <c r="AU25" s="5">
        <f>AM17</f>
        <v>15.718795211611615</v>
      </c>
      <c r="AV25" s="6">
        <f>AP17</f>
        <v>14.346710790727727</v>
      </c>
      <c r="AX25" s="2" t="s">
        <v>127</v>
      </c>
      <c r="AY25">
        <f t="shared" si="46"/>
        <v>14.840853541704471</v>
      </c>
      <c r="AZ25" s="5">
        <f t="shared" si="42"/>
        <v>0.76231891104522431</v>
      </c>
      <c r="BA25" s="5">
        <f t="shared" si="43"/>
        <v>0.58113012213717663</v>
      </c>
      <c r="BB25" s="5">
        <f t="shared" si="44"/>
        <v>0.62243078444497302</v>
      </c>
      <c r="BC25" s="6">
        <f t="shared" si="45"/>
        <v>0.3874200814247844</v>
      </c>
      <c r="BE25" s="2" t="s">
        <v>29</v>
      </c>
      <c r="BF25" s="59">
        <f>AVERAGE(AT12:AV12,AT39:AV39)/1000</f>
        <v>2.5557286869210698E-5</v>
      </c>
      <c r="BJ25" s="67"/>
      <c r="BK25" s="61"/>
    </row>
    <row r="26" spans="1:63">
      <c r="A26" s="49" t="s">
        <v>73</v>
      </c>
      <c r="B26" s="5">
        <v>9.5381923629934615</v>
      </c>
      <c r="C26" s="5">
        <v>1.7801944550957385</v>
      </c>
      <c r="D26" s="5">
        <v>0.3741553515468945</v>
      </c>
      <c r="E26" s="5">
        <v>8.9794082249942484</v>
      </c>
      <c r="F26" s="5">
        <v>1.9355610673570973</v>
      </c>
      <c r="G26" s="5">
        <v>0.36595939912265119</v>
      </c>
      <c r="H26" s="5">
        <v>6.7420604519331739</v>
      </c>
      <c r="I26" s="5">
        <v>1.7666070762631594</v>
      </c>
      <c r="J26" s="5">
        <v>0.32396324716922609</v>
      </c>
      <c r="L26">
        <v>4.1254431687068001E-6</v>
      </c>
      <c r="N26">
        <v>4.4670593569088E-3</v>
      </c>
      <c r="O26">
        <v>2.2335296784544E-2</v>
      </c>
      <c r="P26">
        <v>0.11167648392272</v>
      </c>
      <c r="R26">
        <v>1.5E-3</v>
      </c>
      <c r="T26">
        <f t="shared" si="11"/>
        <v>1.6242107238780916</v>
      </c>
      <c r="U26">
        <f t="shared" si="5"/>
        <v>8.1210536193904588</v>
      </c>
      <c r="V26">
        <f t="shared" si="5"/>
        <v>40.605268096952294</v>
      </c>
      <c r="X26">
        <f t="shared" si="32"/>
        <v>15.492034322386095</v>
      </c>
      <c r="Y26">
        <f t="shared" si="32"/>
        <v>14.457054622774072</v>
      </c>
      <c r="Z26">
        <f t="shared" si="32"/>
        <v>15.192678359471085</v>
      </c>
      <c r="AA26">
        <f t="shared" si="33"/>
        <v>14.584451133114799</v>
      </c>
      <c r="AB26">
        <f t="shared" si="33"/>
        <v>15.718795211611615</v>
      </c>
      <c r="AC26">
        <f t="shared" si="33"/>
        <v>14.859879513974819</v>
      </c>
      <c r="AD26">
        <f t="shared" si="34"/>
        <v>10.950526887064234</v>
      </c>
      <c r="AE26">
        <f t="shared" si="34"/>
        <v>14.346710790727727</v>
      </c>
      <c r="AF26">
        <f t="shared" si="34"/>
        <v>13.154614504865647</v>
      </c>
      <c r="AS26" s="53" t="s">
        <v>105</v>
      </c>
      <c r="AT26" s="5">
        <f>AJ18</f>
        <v>6.5415776347484922</v>
      </c>
      <c r="AU26" s="5">
        <f>AM18</f>
        <v>8.2717405689082764</v>
      </c>
      <c r="AV26" s="6">
        <f>AP18</f>
        <v>5.6981259686147396</v>
      </c>
      <c r="AX26" s="53" t="s">
        <v>105</v>
      </c>
      <c r="AY26">
        <f t="shared" si="46"/>
        <v>6.8371480574238364</v>
      </c>
      <c r="AZ26" s="5">
        <f t="shared" si="42"/>
        <v>1.3120192200502896</v>
      </c>
      <c r="BA26" s="5">
        <f t="shared" si="43"/>
        <v>1.72139443378137</v>
      </c>
      <c r="BB26" s="5">
        <f t="shared" si="44"/>
        <v>1.0712592072825231</v>
      </c>
      <c r="BC26" s="6">
        <f t="shared" si="45"/>
        <v>1.1475962891875799</v>
      </c>
      <c r="BE26" s="2" t="s">
        <v>35</v>
      </c>
      <c r="BF26" s="59">
        <f t="shared" ref="BF26:BF33" si="48">AVERAGE(AT13:AV13,AT40:AV40)/1000</f>
        <v>1.1174340581333684E-3</v>
      </c>
      <c r="BJ26" s="67"/>
      <c r="BK26" s="61"/>
    </row>
    <row r="27" spans="1:63" ht="15.75" thickBot="1">
      <c r="A27" s="49" t="s">
        <v>84</v>
      </c>
      <c r="B27" s="5"/>
      <c r="C27" s="5">
        <v>0.80550848957939558</v>
      </c>
      <c r="D27" s="5"/>
      <c r="E27" s="5"/>
      <c r="F27" s="5">
        <v>1.0185550984613654</v>
      </c>
      <c r="G27" s="5"/>
      <c r="H27" s="5"/>
      <c r="I27" s="5">
        <v>0.70164860813250285</v>
      </c>
      <c r="J27" s="5"/>
      <c r="L27">
        <v>4.1254431687068001E-6</v>
      </c>
      <c r="N27">
        <v>4.4670593569088E-3</v>
      </c>
      <c r="O27">
        <v>2.2335296784544E-2</v>
      </c>
      <c r="P27">
        <v>0.11167648392272</v>
      </c>
      <c r="R27">
        <v>1.5E-3</v>
      </c>
      <c r="T27">
        <f t="shared" si="11"/>
        <v>1.6242107238780916</v>
      </c>
      <c r="U27">
        <f t="shared" si="5"/>
        <v>8.1210536193904588</v>
      </c>
      <c r="V27">
        <f t="shared" si="5"/>
        <v>40.605268096952294</v>
      </c>
      <c r="Y27">
        <f t="shared" ref="Y27" si="49">U27*C27</f>
        <v>6.5415776347484922</v>
      </c>
      <c r="AB27">
        <f t="shared" ref="AB27" si="50">U27*F27</f>
        <v>8.2717405689082764</v>
      </c>
      <c r="AE27">
        <f t="shared" ref="AE27" si="51">U27*I27</f>
        <v>5.6981259686147396</v>
      </c>
      <c r="AS27" s="55" t="s">
        <v>126</v>
      </c>
      <c r="AT27" s="7">
        <f>AT25-AT26</f>
        <v>7.9154769880255795</v>
      </c>
      <c r="AU27" s="7">
        <f t="shared" ref="AU27:AV27" si="52">AU25-AU26</f>
        <v>7.4470546427033391</v>
      </c>
      <c r="AV27" s="8">
        <f t="shared" si="52"/>
        <v>8.6485848221129871</v>
      </c>
      <c r="AX27" s="55" t="s">
        <v>126</v>
      </c>
      <c r="AY27">
        <f t="shared" si="46"/>
        <v>8.0037054842806352</v>
      </c>
      <c r="AZ27" s="5">
        <f t="shared" si="42"/>
        <v>0.60560456873410107</v>
      </c>
      <c r="BA27" s="5">
        <f t="shared" si="43"/>
        <v>0.36675689367161651</v>
      </c>
      <c r="BB27" s="5">
        <f t="shared" si="44"/>
        <v>0.49447405976560355</v>
      </c>
      <c r="BC27" s="6">
        <f t="shared" si="45"/>
        <v>0.24450459578107767</v>
      </c>
      <c r="BE27" s="2" t="s">
        <v>32</v>
      </c>
      <c r="BF27" s="59">
        <f t="shared" si="48"/>
        <v>3.4202657174613205E-5</v>
      </c>
      <c r="BJ27" s="67"/>
      <c r="BK27" s="61"/>
    </row>
    <row r="28" spans="1:63" ht="18.75" thickBot="1">
      <c r="B28" s="116" t="s">
        <v>112</v>
      </c>
      <c r="C28" s="116"/>
      <c r="D28" s="116"/>
      <c r="E28" s="116" t="s">
        <v>113</v>
      </c>
      <c r="F28" s="116"/>
      <c r="G28" s="116"/>
      <c r="H28" s="116" t="s">
        <v>114</v>
      </c>
      <c r="I28" s="116"/>
      <c r="J28" s="116"/>
      <c r="N28" s="119" t="s">
        <v>103</v>
      </c>
      <c r="O28" s="119"/>
      <c r="P28" s="119"/>
      <c r="T28" s="79" t="s">
        <v>104</v>
      </c>
      <c r="U28" s="79"/>
      <c r="V28" s="79"/>
      <c r="X28" s="116" t="s">
        <v>112</v>
      </c>
      <c r="Y28" s="116"/>
      <c r="Z28" s="116"/>
      <c r="AA28" s="116" t="s">
        <v>113</v>
      </c>
      <c r="AB28" s="116"/>
      <c r="AC28" s="116"/>
      <c r="AD28" s="116" t="s">
        <v>114</v>
      </c>
      <c r="AE28" s="116"/>
      <c r="AF28" s="116"/>
      <c r="AH28" s="56">
        <v>43699</v>
      </c>
      <c r="AI28" s="116" t="s">
        <v>112</v>
      </c>
      <c r="AJ28" s="116"/>
      <c r="AK28" s="116"/>
      <c r="AL28" s="116" t="s">
        <v>113</v>
      </c>
      <c r="AM28" s="116"/>
      <c r="AN28" s="116"/>
      <c r="AO28" s="116" t="s">
        <v>114</v>
      </c>
      <c r="AP28" s="116"/>
      <c r="AQ28" s="116"/>
      <c r="AX28" s="120">
        <v>44065</v>
      </c>
      <c r="AY28" s="121"/>
      <c r="AZ28" s="121"/>
      <c r="BA28" s="121"/>
      <c r="BB28" s="121"/>
      <c r="BC28" s="122"/>
      <c r="BE28" s="2" t="s">
        <v>33</v>
      </c>
      <c r="BF28" s="59">
        <f t="shared" si="48"/>
        <v>2.8136889956421936E-3</v>
      </c>
      <c r="BJ28" s="67"/>
      <c r="BK28" s="61"/>
    </row>
    <row r="29" spans="1:63" ht="18">
      <c r="B29" s="3" t="s">
        <v>1</v>
      </c>
      <c r="C29" s="3" t="s">
        <v>4</v>
      </c>
      <c r="D29" s="3" t="s">
        <v>7</v>
      </c>
      <c r="E29" s="3" t="s">
        <v>2</v>
      </c>
      <c r="F29" s="3" t="s">
        <v>5</v>
      </c>
      <c r="G29" s="3" t="s">
        <v>8</v>
      </c>
      <c r="H29" s="3" t="s">
        <v>3</v>
      </c>
      <c r="I29" s="3" t="s">
        <v>6</v>
      </c>
      <c r="J29" s="3" t="s">
        <v>9</v>
      </c>
      <c r="L29" s="16" t="s">
        <v>101</v>
      </c>
      <c r="N29" s="16" t="s">
        <v>19</v>
      </c>
      <c r="O29" s="1" t="s">
        <v>20</v>
      </c>
      <c r="P29" s="45" t="s">
        <v>21</v>
      </c>
      <c r="R29" s="1" t="s">
        <v>102</v>
      </c>
      <c r="T29" s="16" t="s">
        <v>19</v>
      </c>
      <c r="U29" s="1" t="s">
        <v>20</v>
      </c>
      <c r="V29" s="45" t="s">
        <v>21</v>
      </c>
      <c r="X29" s="3" t="s">
        <v>1</v>
      </c>
      <c r="Y29" s="3" t="s">
        <v>4</v>
      </c>
      <c r="Z29" s="3" t="s">
        <v>7</v>
      </c>
      <c r="AA29" s="3" t="s">
        <v>2</v>
      </c>
      <c r="AB29" s="3" t="s">
        <v>5</v>
      </c>
      <c r="AC29" s="3" t="s">
        <v>8</v>
      </c>
      <c r="AD29" s="3" t="s">
        <v>3</v>
      </c>
      <c r="AE29" s="3" t="s">
        <v>6</v>
      </c>
      <c r="AF29" s="3" t="s">
        <v>9</v>
      </c>
      <c r="AH29" s="11" t="s">
        <v>115</v>
      </c>
      <c r="AI29" s="40" t="s">
        <v>1</v>
      </c>
      <c r="AJ29" s="40" t="s">
        <v>4</v>
      </c>
      <c r="AK29" s="40" t="s">
        <v>7</v>
      </c>
      <c r="AL29" s="40" t="s">
        <v>2</v>
      </c>
      <c r="AM29" s="40" t="s">
        <v>5</v>
      </c>
      <c r="AN29" s="40" t="s">
        <v>8</v>
      </c>
      <c r="AO29" s="40" t="s">
        <v>3</v>
      </c>
      <c r="AP29" s="40" t="s">
        <v>6</v>
      </c>
      <c r="AQ29" s="41" t="s">
        <v>9</v>
      </c>
      <c r="AS29" s="52" t="s">
        <v>116</v>
      </c>
      <c r="AT29" s="57" t="s">
        <v>112</v>
      </c>
      <c r="AU29" s="57" t="s">
        <v>113</v>
      </c>
      <c r="AV29" s="58" t="s">
        <v>114</v>
      </c>
      <c r="AX29" s="53" t="s">
        <v>18</v>
      </c>
      <c r="AY29" s="16" t="s">
        <v>117</v>
      </c>
      <c r="AZ29" s="16" t="s">
        <v>118</v>
      </c>
      <c r="BA29" s="16" t="s">
        <v>120</v>
      </c>
      <c r="BB29" s="16" t="s">
        <v>122</v>
      </c>
      <c r="BC29" s="60" t="s">
        <v>123</v>
      </c>
      <c r="BE29" s="2" t="s">
        <v>34</v>
      </c>
      <c r="BF29" s="59">
        <f t="shared" si="48"/>
        <v>1.2697186053809316E-3</v>
      </c>
      <c r="BJ29" s="67"/>
      <c r="BK29" s="61"/>
    </row>
    <row r="30" spans="1:63">
      <c r="A30" s="48" t="s">
        <v>0</v>
      </c>
      <c r="B30" s="5">
        <v>1.5186082649311055</v>
      </c>
      <c r="C30" s="5"/>
      <c r="D30" s="5">
        <v>7.2518176112966182E-2</v>
      </c>
      <c r="E30" s="5">
        <v>1.4355863005790204</v>
      </c>
      <c r="F30" s="5"/>
      <c r="G30" s="5">
        <v>6.7754903199504793E-2</v>
      </c>
      <c r="H30" s="5">
        <v>1.1982993525413912</v>
      </c>
      <c r="I30" s="5"/>
      <c r="J30" s="5">
        <v>7.1301286318208923E-2</v>
      </c>
      <c r="L30">
        <v>4.1601372626332334E-6</v>
      </c>
      <c r="N30">
        <v>2.7411167512690355E-4</v>
      </c>
      <c r="O30">
        <v>1.3705583756345177E-3</v>
      </c>
      <c r="P30">
        <v>6.852791878172588E-3</v>
      </c>
      <c r="R30">
        <v>1.5E-3</v>
      </c>
      <c r="T30">
        <f>(N30*$R30)/$L30</f>
        <v>9.88350832515799E-2</v>
      </c>
      <c r="U30">
        <f t="shared" ref="U30:V45" si="53">(O30*$R30)/$L30</f>
        <v>0.4941754162578994</v>
      </c>
      <c r="V30">
        <f t="shared" si="53"/>
        <v>2.4708770812894976</v>
      </c>
      <c r="X30">
        <f t="shared" ref="X30:X36" si="54">T30*B30</f>
        <v>0.15009177429100312</v>
      </c>
      <c r="Z30">
        <f t="shared" ref="Z30:Z36" si="55">V30*D30</f>
        <v>0.17918349933444364</v>
      </c>
      <c r="AA30">
        <f t="shared" ref="AA30:AA36" si="56">T30*E30</f>
        <v>0.14188629153255508</v>
      </c>
      <c r="AC30">
        <f t="shared" ref="AC30:AC36" si="57">V30*G30</f>
        <v>0.16741403746064484</v>
      </c>
      <c r="AD30">
        <f t="shared" ref="AD30:AD36" si="58">T30*H30</f>
        <v>0.11843401626874268</v>
      </c>
      <c r="AF30">
        <f t="shared" ref="AF30:AF36" si="59">V30*J30</f>
        <v>0.17617671423012285</v>
      </c>
      <c r="AH30" s="2" t="s">
        <v>0</v>
      </c>
      <c r="AI30" s="5">
        <f>AVERAGE(X30:X31)</f>
        <v>0.14920949122223787</v>
      </c>
      <c r="AJ30" s="5"/>
      <c r="AK30" s="5">
        <f>AVERAGE(Z30:Z31)</f>
        <v>0.17325979055270241</v>
      </c>
      <c r="AL30" s="5">
        <f>AVERAGE(AA30:AA31)</f>
        <v>0.14082720498557555</v>
      </c>
      <c r="AM30" s="5"/>
      <c r="AN30" s="5">
        <f>AVERAGE(AC30:AC31)</f>
        <v>0.15989012391482169</v>
      </c>
      <c r="AO30" s="5">
        <f>AVERAGE(AD30:AD31)</f>
        <v>0.11400845637194809</v>
      </c>
      <c r="AP30" s="5"/>
      <c r="AQ30" s="6">
        <f>AVERAGE(AF30:AF31)</f>
        <v>0.16987466936872597</v>
      </c>
      <c r="AS30" s="2" t="s">
        <v>0</v>
      </c>
      <c r="AT30" s="5">
        <f>AVERAGE(AI30:AK30)</f>
        <v>0.16123464088747014</v>
      </c>
      <c r="AU30" s="5">
        <f>AVERAGE(AL30:AN30)</f>
        <v>0.15035866445019863</v>
      </c>
      <c r="AV30" s="6">
        <f>AVERAGE(AO30:AQ30)</f>
        <v>0.14194156287033705</v>
      </c>
      <c r="AX30" s="2" t="s">
        <v>0</v>
      </c>
      <c r="AY30" s="5">
        <f>AVERAGE(AT30:AV30)</f>
        <v>0.15117828940266861</v>
      </c>
      <c r="AZ30" s="5">
        <f>_xlfn.STDEV.S(AT30:AV30)</f>
        <v>9.6726187581662494E-3</v>
      </c>
      <c r="BA30" s="5">
        <f>_xlfn.VAR.S(AT30:AV30)</f>
        <v>9.3559553640829582E-5</v>
      </c>
      <c r="BB30" s="5">
        <f>_xlfn.STDEV.P(AT30:AV30)</f>
        <v>7.8976601446601302E-3</v>
      </c>
      <c r="BC30" s="6">
        <f>_xlfn.VAR.P(AT30:AV30)</f>
        <v>6.2373035760553055E-5</v>
      </c>
      <c r="BE30" s="2" t="s">
        <v>30</v>
      </c>
      <c r="BF30" s="59">
        <f t="shared" si="48"/>
        <v>1.0030677511870304E-3</v>
      </c>
      <c r="BJ30" s="67"/>
      <c r="BK30" s="61"/>
    </row>
    <row r="31" spans="1:63">
      <c r="A31" s="50" t="s">
        <v>0</v>
      </c>
      <c r="B31" s="5">
        <v>1.5007546234965263</v>
      </c>
      <c r="C31" s="5"/>
      <c r="D31" s="5">
        <v>6.7723353394670727E-2</v>
      </c>
      <c r="E31" s="5">
        <v>1.4141549118021486</v>
      </c>
      <c r="F31" s="5"/>
      <c r="G31" s="5">
        <v>6.1664828057525982E-2</v>
      </c>
      <c r="H31" s="5">
        <v>1.1087449200221298</v>
      </c>
      <c r="I31" s="5"/>
      <c r="J31" s="5">
        <v>6.6200227338692255E-2</v>
      </c>
      <c r="L31">
        <v>4.1601372626332334E-6</v>
      </c>
      <c r="N31">
        <v>2.7411167512690355E-4</v>
      </c>
      <c r="O31">
        <v>1.3705583756345177E-3</v>
      </c>
      <c r="P31">
        <v>6.852791878172588E-3</v>
      </c>
      <c r="R31">
        <v>1.5E-3</v>
      </c>
      <c r="T31">
        <f>(N31*$R31)/$L31</f>
        <v>9.88350832515799E-2</v>
      </c>
      <c r="U31">
        <f>(O31*$R31)/$L31</f>
        <v>0.4941754162578994</v>
      </c>
      <c r="V31">
        <f t="shared" si="53"/>
        <v>2.4708770812894976</v>
      </c>
      <c r="X31">
        <f t="shared" si="54"/>
        <v>0.14832720815347264</v>
      </c>
      <c r="Z31">
        <f t="shared" si="55"/>
        <v>0.16733608177096118</v>
      </c>
      <c r="AA31">
        <f t="shared" si="56"/>
        <v>0.13976811843859599</v>
      </c>
      <c r="AC31">
        <f t="shared" si="57"/>
        <v>0.15236621036899853</v>
      </c>
      <c r="AD31">
        <f t="shared" si="58"/>
        <v>0.1095828964751535</v>
      </c>
      <c r="AF31">
        <f t="shared" si="59"/>
        <v>0.16357262450732912</v>
      </c>
      <c r="AH31" s="2" t="s">
        <v>22</v>
      </c>
      <c r="AI31" s="5">
        <f>AVERAGE(X32:X33)</f>
        <v>1.6189428039808062E-2</v>
      </c>
      <c r="AJ31" s="5"/>
      <c r="AK31" s="5">
        <f>AVERAGE(Z32:Z33)</f>
        <v>1.416653872634125E-2</v>
      </c>
      <c r="AL31" s="5">
        <f>AVERAGE(AA32:AA33)</f>
        <v>1.2005075974460454E-2</v>
      </c>
      <c r="AM31" s="5"/>
      <c r="AN31" s="5">
        <f t="shared" ref="AN31:AO31" si="60">AVERAGE(AC32:AC33)</f>
        <v>1.3537298715376248E-2</v>
      </c>
      <c r="AO31" s="5">
        <f t="shared" si="60"/>
        <v>1.1003439751697833E-2</v>
      </c>
      <c r="AP31" s="5"/>
      <c r="AQ31" s="6">
        <f t="shared" ref="AQ31" si="61">AVERAGE(AF32:AF33)</f>
        <v>1.413522659400466E-2</v>
      </c>
      <c r="AS31" s="2" t="s">
        <v>22</v>
      </c>
      <c r="AT31" s="5">
        <f>AVERAGE(AI31:AK31)</f>
        <v>1.5177983383074656E-2</v>
      </c>
      <c r="AU31" s="5">
        <f>AVERAGE(AL31:AN31)</f>
        <v>1.2771187344918351E-2</v>
      </c>
      <c r="AV31" s="6">
        <f>AVERAGE(AO31:AQ31)</f>
        <v>1.2569333172851246E-2</v>
      </c>
      <c r="AX31" s="2" t="s">
        <v>22</v>
      </c>
      <c r="AY31" s="5">
        <f t="shared" ref="AY31:AY33" si="62">AVERAGE(AT31:AV31)</f>
        <v>1.3506167966948085E-2</v>
      </c>
      <c r="AZ31" s="5">
        <f t="shared" ref="AZ31:AZ34" si="63">_xlfn.STDEV.S(AT31:AV31)</f>
        <v>1.4513481201607254E-3</v>
      </c>
      <c r="BA31" s="5">
        <f t="shared" ref="BA31:BA34" si="64">_xlfn.VAR.S(AT31:AV31)</f>
        <v>2.1064113658940715E-6</v>
      </c>
      <c r="BB31" s="5">
        <f t="shared" ref="BB31:BB34" si="65">_xlfn.STDEV.P(AT31:AV31)</f>
        <v>1.1850207778471148E-3</v>
      </c>
      <c r="BC31" s="6">
        <f t="shared" si="10"/>
        <v>1.404274243929381E-6</v>
      </c>
      <c r="BE31" s="2" t="s">
        <v>127</v>
      </c>
      <c r="BF31" s="59">
        <f t="shared" si="48"/>
        <v>1.3722577391760636E-2</v>
      </c>
      <c r="BJ31" s="67"/>
      <c r="BK31" s="62"/>
    </row>
    <row r="32" spans="1:63" ht="15" customHeight="1">
      <c r="A32" s="48" t="s">
        <v>22</v>
      </c>
      <c r="B32" s="5">
        <v>3.4429615257129123</v>
      </c>
      <c r="C32" s="5"/>
      <c r="D32" s="5">
        <v>0.12590846312363702</v>
      </c>
      <c r="E32" s="5">
        <v>2.5883857906775138</v>
      </c>
      <c r="F32" s="5"/>
      <c r="G32" s="5">
        <v>0.13794593853166176</v>
      </c>
      <c r="H32" s="5">
        <v>2.4207076651484574</v>
      </c>
      <c r="I32" s="5"/>
      <c r="J32" s="5">
        <v>0.13387903446053973</v>
      </c>
      <c r="L32">
        <v>4.1601372626332334E-6</v>
      </c>
      <c r="N32">
        <v>1.1849744319274097E-5</v>
      </c>
      <c r="O32">
        <v>5.9248721596370485E-5</v>
      </c>
      <c r="P32">
        <v>2.9624360798185243E-4</v>
      </c>
      <c r="R32">
        <v>1.5E-3</v>
      </c>
      <c r="T32">
        <f t="shared" ref="T32:V54" si="66">(N32*$R32)/$L32</f>
        <v>4.2726033678178168E-3</v>
      </c>
      <c r="U32">
        <f t="shared" si="66"/>
        <v>2.1363016839089082E-2</v>
      </c>
      <c r="V32">
        <f t="shared" si="53"/>
        <v>0.10681508419544543</v>
      </c>
      <c r="X32">
        <f t="shared" si="54"/>
        <v>1.4710409010028158E-2</v>
      </c>
      <c r="Z32">
        <f t="shared" si="55"/>
        <v>1.3448923089470424E-2</v>
      </c>
      <c r="AA32">
        <f t="shared" si="56"/>
        <v>1.1059145846460528E-2</v>
      </c>
      <c r="AC32">
        <f t="shared" si="57"/>
        <v>1.4734707038679191E-2</v>
      </c>
      <c r="AD32">
        <f t="shared" si="58"/>
        <v>1.0342723722615703E-2</v>
      </c>
      <c r="AF32">
        <f t="shared" si="59"/>
        <v>1.430030033790749E-2</v>
      </c>
      <c r="AH32" s="2" t="s">
        <v>23</v>
      </c>
      <c r="AI32" s="5">
        <f>AVERAGE(X34)</f>
        <v>2.7472152835882845E-2</v>
      </c>
      <c r="AJ32" s="5"/>
      <c r="AK32" s="5">
        <f t="shared" ref="AK32:AL32" si="67">AVERAGE(Z34)</f>
        <v>3.4261418931061494E-2</v>
      </c>
      <c r="AL32" s="5">
        <f t="shared" si="67"/>
        <v>2.3446862659983667E-2</v>
      </c>
      <c r="AM32" s="5"/>
      <c r="AN32" s="5">
        <f t="shared" ref="AN32:AO32" si="68">AVERAGE(AC34)</f>
        <v>3.0666313019372251E-2</v>
      </c>
      <c r="AO32" s="5">
        <f t="shared" si="68"/>
        <v>1.8791198483528237E-2</v>
      </c>
      <c r="AP32" s="5"/>
      <c r="AQ32" s="6">
        <f t="shared" ref="AQ32" si="69">AVERAGE(AF34)</f>
        <v>2.6690112614289382E-2</v>
      </c>
      <c r="AS32" s="2" t="s">
        <v>23</v>
      </c>
      <c r="AT32" s="5">
        <f>AVERAGE(AI32:AK32)</f>
        <v>3.0866785883472171E-2</v>
      </c>
      <c r="AU32" s="5">
        <f>AVERAGE(AL32:AN32)</f>
        <v>2.7056587839677959E-2</v>
      </c>
      <c r="AV32" s="6">
        <f>AVERAGE(AO32:AQ32)</f>
        <v>2.2740655548908809E-2</v>
      </c>
      <c r="AX32" s="2" t="s">
        <v>23</v>
      </c>
      <c r="AY32" s="5">
        <f t="shared" si="62"/>
        <v>2.688800975735298E-2</v>
      </c>
      <c r="AZ32" s="5">
        <f t="shared" si="63"/>
        <v>4.0656872089424182E-3</v>
      </c>
      <c r="BA32" s="5">
        <f t="shared" si="64"/>
        <v>1.6529812480957991E-5</v>
      </c>
      <c r="BB32" s="5">
        <f t="shared" si="65"/>
        <v>3.3196197052230737E-3</v>
      </c>
      <c r="BC32" s="6">
        <f t="shared" si="10"/>
        <v>1.1019874987305327E-5</v>
      </c>
      <c r="BE32" s="53" t="s">
        <v>105</v>
      </c>
      <c r="BF32" s="59">
        <f t="shared" si="48"/>
        <v>7.3771745267906513E-3</v>
      </c>
      <c r="BJ32" s="67"/>
    </row>
    <row r="33" spans="1:62" ht="15.75" thickBot="1">
      <c r="A33" s="50" t="s">
        <v>22</v>
      </c>
      <c r="B33" s="5">
        <v>4.1352883824111961</v>
      </c>
      <c r="C33" s="5"/>
      <c r="D33" s="5">
        <v>0.13934506044088046</v>
      </c>
      <c r="E33" s="5">
        <v>3.0311744357106001</v>
      </c>
      <c r="F33" s="5"/>
      <c r="G33" s="5">
        <v>0.11552572827162058</v>
      </c>
      <c r="H33" s="5">
        <v>2.729987966736378</v>
      </c>
      <c r="I33" s="5"/>
      <c r="J33" s="5">
        <v>0.13078820239040279</v>
      </c>
      <c r="L33">
        <v>4.1601372626332334E-6</v>
      </c>
      <c r="N33">
        <v>1.1849744319274097E-5</v>
      </c>
      <c r="O33">
        <v>5.9248721596370485E-5</v>
      </c>
      <c r="P33">
        <v>2.9624360798185243E-4</v>
      </c>
      <c r="R33">
        <v>1.5E-3</v>
      </c>
      <c r="T33">
        <f t="shared" si="66"/>
        <v>4.2726033678178168E-3</v>
      </c>
      <c r="U33">
        <f t="shared" si="66"/>
        <v>2.1363016839089082E-2</v>
      </c>
      <c r="V33">
        <f t="shared" si="53"/>
        <v>0.10681508419544543</v>
      </c>
      <c r="X33">
        <f t="shared" si="54"/>
        <v>1.7668447069587968E-2</v>
      </c>
      <c r="Z33">
        <f t="shared" si="55"/>
        <v>1.4884154363212079E-2</v>
      </c>
      <c r="AA33">
        <f t="shared" si="56"/>
        <v>1.295100610246038E-2</v>
      </c>
      <c r="AC33">
        <f t="shared" si="57"/>
        <v>1.2339890392073302E-2</v>
      </c>
      <c r="AD33">
        <f t="shared" si="58"/>
        <v>1.1664155780779962E-2</v>
      </c>
      <c r="AF33">
        <f t="shared" si="59"/>
        <v>1.3970152850101831E-2</v>
      </c>
      <c r="AH33" s="2" t="s">
        <v>125</v>
      </c>
      <c r="AI33" s="5">
        <f>AVERAGE(X35:X36)</f>
        <v>0.10589093341464276</v>
      </c>
      <c r="AJ33" s="5"/>
      <c r="AK33" s="5">
        <f>AVERAGE(Z35:Z36)</f>
        <v>0.12867890718213654</v>
      </c>
      <c r="AL33" s="5">
        <f>AVERAGE(AA35:AA36)</f>
        <v>0.14742967160574266</v>
      </c>
      <c r="AM33" s="5"/>
      <c r="AN33" s="5">
        <f>AVERAGE(AC35:AC36)</f>
        <v>0.13693461489735678</v>
      </c>
      <c r="AO33" s="5">
        <f>AVERAGE(AD35:AD36)</f>
        <v>8.9681299060015277E-2</v>
      </c>
      <c r="AP33" s="5"/>
      <c r="AQ33" s="6">
        <f>AVERAGE(AF35:AF36)</f>
        <v>0.11173091839717347</v>
      </c>
      <c r="AS33" s="2" t="s">
        <v>125</v>
      </c>
      <c r="AT33" s="5">
        <f t="shared" ref="AT33" si="70">AVERAGE(AI33:AK33)</f>
        <v>0.11728492029838965</v>
      </c>
      <c r="AU33" s="5">
        <f t="shared" ref="AU33:AU34" si="71">AVERAGE(AL33:AN33)</f>
        <v>0.14218214325154971</v>
      </c>
      <c r="AV33" s="6">
        <f t="shared" ref="AV33:AV34" si="72">AVERAGE(AO33:AQ33)</f>
        <v>0.10070610872859437</v>
      </c>
      <c r="AX33" s="2" t="s">
        <v>125</v>
      </c>
      <c r="AY33" s="5">
        <f t="shared" si="62"/>
        <v>0.12005772409284458</v>
      </c>
      <c r="AZ33" s="5">
        <f t="shared" si="63"/>
        <v>2.0876582349590951E-2</v>
      </c>
      <c r="BA33" s="5">
        <f t="shared" si="64"/>
        <v>4.358316905992525E-4</v>
      </c>
      <c r="BB33" s="5">
        <f t="shared" si="65"/>
        <v>1.7045658109897104E-2</v>
      </c>
      <c r="BC33" s="6">
        <f t="shared" si="10"/>
        <v>2.9055446039950091E-4</v>
      </c>
      <c r="BE33" s="55" t="s">
        <v>126</v>
      </c>
      <c r="BF33" s="65">
        <f t="shared" si="48"/>
        <v>6.3454028649699836E-3</v>
      </c>
      <c r="BJ33" s="67"/>
    </row>
    <row r="34" spans="1:62">
      <c r="A34" s="48" t="s">
        <v>23</v>
      </c>
      <c r="B34" s="5">
        <v>6.4289708021019809</v>
      </c>
      <c r="C34" s="5"/>
      <c r="D34" s="5">
        <v>0.32071117725972703</v>
      </c>
      <c r="E34" s="5">
        <v>5.4869815388127021</v>
      </c>
      <c r="F34" s="5"/>
      <c r="G34" s="5">
        <v>0.28705843650105528</v>
      </c>
      <c r="H34" s="5">
        <v>4.3974735838434986</v>
      </c>
      <c r="I34" s="5"/>
      <c r="J34" s="5">
        <v>0.24983838103573361</v>
      </c>
      <c r="L34">
        <v>4.1601372626332334E-6</v>
      </c>
      <c r="N34">
        <v>1.1851345025027909E-5</v>
      </c>
      <c r="O34">
        <v>5.9256725125139536E-5</v>
      </c>
      <c r="P34">
        <v>2.9628362562569767E-4</v>
      </c>
      <c r="R34">
        <v>1.5E-3</v>
      </c>
      <c r="T34">
        <f t="shared" si="66"/>
        <v>4.2731805263294554E-3</v>
      </c>
      <c r="U34">
        <f t="shared" si="66"/>
        <v>2.1365902631647279E-2</v>
      </c>
      <c r="V34">
        <f t="shared" si="53"/>
        <v>0.1068295131582364</v>
      </c>
      <c r="X34">
        <f t="shared" si="54"/>
        <v>2.7472152835882845E-2</v>
      </c>
      <c r="Z34">
        <f t="shared" si="55"/>
        <v>3.4261418931061494E-2</v>
      </c>
      <c r="AA34">
        <f t="shared" si="56"/>
        <v>2.3446862659983667E-2</v>
      </c>
      <c r="AC34">
        <f t="shared" si="57"/>
        <v>3.0666313019372251E-2</v>
      </c>
      <c r="AD34">
        <f t="shared" si="58"/>
        <v>1.8791198483528237E-2</v>
      </c>
      <c r="AF34">
        <f t="shared" si="59"/>
        <v>2.6690112614289382E-2</v>
      </c>
      <c r="AH34" s="53" t="s">
        <v>83</v>
      </c>
      <c r="AI34" s="5"/>
      <c r="AJ34" s="5">
        <f>AVERAGE(Y37)</f>
        <v>1.6857957213869582E-2</v>
      </c>
      <c r="AK34" s="5"/>
      <c r="AL34" s="5"/>
      <c r="AM34" s="5">
        <f t="shared" ref="AM34" si="73">AVERAGE(AB37)</f>
        <v>6.0659788771713762E-2</v>
      </c>
      <c r="AN34" s="5"/>
      <c r="AO34" s="5"/>
      <c r="AP34" s="5">
        <f t="shared" ref="AP34" si="74">AVERAGE(AE37)</f>
        <v>2.0422601275136922E-2</v>
      </c>
      <c r="AQ34" s="6"/>
      <c r="AS34" s="53" t="s">
        <v>83</v>
      </c>
      <c r="AT34" s="5">
        <f>AVERAGE(AI34:AK34)</f>
        <v>1.6857957213869582E-2</v>
      </c>
      <c r="AU34" s="5">
        <f t="shared" si="71"/>
        <v>6.0659788771713762E-2</v>
      </c>
      <c r="AV34" s="6">
        <f t="shared" si="72"/>
        <v>2.0422601275136922E-2</v>
      </c>
      <c r="AX34" s="53" t="s">
        <v>83</v>
      </c>
      <c r="AY34" s="5">
        <f>AVERAGE(AT34:AV34)</f>
        <v>3.2646782420240085E-2</v>
      </c>
      <c r="AZ34" s="5">
        <f t="shared" si="63"/>
        <v>2.4325358485676223E-2</v>
      </c>
      <c r="BA34" s="5">
        <f t="shared" si="64"/>
        <v>5.9172306545666022E-4</v>
      </c>
      <c r="BB34" s="5">
        <f t="shared" si="65"/>
        <v>1.9861572033395881E-2</v>
      </c>
      <c r="BC34" s="6">
        <f t="shared" si="10"/>
        <v>3.9448204363777339E-4</v>
      </c>
      <c r="BJ34" s="63"/>
    </row>
    <row r="35" spans="1:62">
      <c r="A35" s="48" t="s">
        <v>49</v>
      </c>
      <c r="B35" s="5">
        <v>8.175024159135706</v>
      </c>
      <c r="C35" s="5"/>
      <c r="D35" s="5">
        <v>0.4124793287987899</v>
      </c>
      <c r="E35" s="5">
        <v>9.8833831815977575</v>
      </c>
      <c r="F35" s="5"/>
      <c r="G35" s="5">
        <v>0.44426464835996143</v>
      </c>
      <c r="H35" s="5">
        <v>6.5576632270682342</v>
      </c>
      <c r="I35" s="5"/>
      <c r="J35" s="5">
        <v>0.36036052156793902</v>
      </c>
      <c r="L35">
        <v>4.1601372626332334E-6</v>
      </c>
      <c r="N35">
        <v>3.5239468204388914E-5</v>
      </c>
      <c r="O35">
        <v>1.7619734102194455E-4</v>
      </c>
      <c r="P35">
        <v>8.8098670510972272E-4</v>
      </c>
      <c r="R35">
        <v>1.5E-3</v>
      </c>
      <c r="T35">
        <f t="shared" si="66"/>
        <v>1.2706119767097587E-2</v>
      </c>
      <c r="U35">
        <f t="shared" si="66"/>
        <v>6.3530598835487936E-2</v>
      </c>
      <c r="V35">
        <f t="shared" si="53"/>
        <v>0.31765299417743964</v>
      </c>
      <c r="X35">
        <f t="shared" si="54"/>
        <v>0.10387283606489452</v>
      </c>
      <c r="Z35">
        <f t="shared" si="55"/>
        <v>0.13102529382923622</v>
      </c>
      <c r="AA35">
        <f t="shared" si="56"/>
        <v>0.12557945040949911</v>
      </c>
      <c r="AC35">
        <f t="shared" si="57"/>
        <v>0.14112199575872911</v>
      </c>
      <c r="AD35">
        <f t="shared" si="58"/>
        <v>8.3322454355420641E-2</v>
      </c>
      <c r="AF35">
        <f t="shared" si="59"/>
        <v>0.11446959865939965</v>
      </c>
      <c r="AH35" s="2" t="s">
        <v>50</v>
      </c>
      <c r="AI35" s="5">
        <f>AVERAGE(X38:X39)</f>
        <v>5.0117823578886122E-3</v>
      </c>
      <c r="AJ35" s="5"/>
      <c r="AK35" s="5">
        <f t="shared" ref="AK35" si="75">AVERAGE(Z38:Z39)</f>
        <v>5.5142162750819006E-3</v>
      </c>
      <c r="AL35" s="5">
        <f>AVERAGE(AA38:AA39)</f>
        <v>7.7670342473479103E-3</v>
      </c>
      <c r="AM35" s="5"/>
      <c r="AN35" s="5">
        <f t="shared" ref="AN35:AO35" si="76">AVERAGE(AC38:AC39)</f>
        <v>7.6759634087006368E-3</v>
      </c>
      <c r="AO35" s="5">
        <f t="shared" si="76"/>
        <v>4.7528198182145483E-3</v>
      </c>
      <c r="AP35" s="5"/>
      <c r="AQ35" s="6">
        <f t="shared" ref="AQ35" si="77">AVERAGE(AF38:AF39)</f>
        <v>5.126703288875655E-3</v>
      </c>
      <c r="AS35" s="53" t="s">
        <v>124</v>
      </c>
      <c r="AT35" s="46">
        <f>AT33-AT34</f>
        <v>0.10042696308452007</v>
      </c>
      <c r="AU35" s="46">
        <f>AU33-AU34</f>
        <v>8.152235447983594E-2</v>
      </c>
      <c r="AV35" s="64">
        <f>AV33-AV34</f>
        <v>8.0283507453457442E-2</v>
      </c>
      <c r="AX35" s="53" t="s">
        <v>124</v>
      </c>
      <c r="AY35" s="5">
        <f>AVERAGE(AT35:AV35)</f>
        <v>8.7410941672604478E-2</v>
      </c>
      <c r="AZ35" s="5">
        <f t="shared" ref="AZ35:AZ47" si="78">_xlfn.STDEV.S(AT35:AV35)</f>
        <v>1.1289211466496602E-2</v>
      </c>
      <c r="BA35" s="5">
        <f t="shared" ref="BA35:BA47" si="79">_xlfn.VAR.S(AT35:AV35)</f>
        <v>1.2744629553527835E-4</v>
      </c>
      <c r="BB35" s="5">
        <f t="shared" ref="BB35:BB47" si="80">_xlfn.STDEV.P(AT35:AV35)</f>
        <v>9.2176025637644484E-3</v>
      </c>
      <c r="BC35" s="6">
        <f t="shared" ref="BC35:BC47" si="81">_xlfn.VAR.P(AT35:AV35)</f>
        <v>8.4964197023516935E-5</v>
      </c>
      <c r="BJ35" s="63"/>
    </row>
    <row r="36" spans="1:62">
      <c r="A36" s="50" t="s">
        <v>49</v>
      </c>
      <c r="B36" s="5">
        <v>8.4926816953056541</v>
      </c>
      <c r="C36" s="5"/>
      <c r="D36" s="5">
        <v>0.39770605928703462</v>
      </c>
      <c r="E36" s="5">
        <v>13.322705586353386</v>
      </c>
      <c r="F36" s="5"/>
      <c r="G36" s="5">
        <v>0.41790015038181072</v>
      </c>
      <c r="H36" s="5">
        <v>7.5585737837372839</v>
      </c>
      <c r="I36" s="5"/>
      <c r="J36" s="5">
        <v>0.34311730137215291</v>
      </c>
      <c r="L36">
        <v>4.1601372626332334E-6</v>
      </c>
      <c r="N36">
        <v>3.5239468204388914E-5</v>
      </c>
      <c r="O36">
        <v>1.7619734102194455E-4</v>
      </c>
      <c r="P36">
        <v>8.8098670510972272E-4</v>
      </c>
      <c r="R36">
        <v>1.5E-3</v>
      </c>
      <c r="T36">
        <f t="shared" si="66"/>
        <v>1.2706119767097587E-2</v>
      </c>
      <c r="U36">
        <f t="shared" si="66"/>
        <v>6.3530598835487936E-2</v>
      </c>
      <c r="V36">
        <f t="shared" si="53"/>
        <v>0.31765299417743964</v>
      </c>
      <c r="X36">
        <f t="shared" si="54"/>
        <v>0.10790903076439101</v>
      </c>
      <c r="Z36">
        <f t="shared" si="55"/>
        <v>0.12633252053503688</v>
      </c>
      <c r="AA36">
        <f t="shared" si="56"/>
        <v>0.16927989280198621</v>
      </c>
      <c r="AC36">
        <f t="shared" si="57"/>
        <v>0.13274723403598446</v>
      </c>
      <c r="AD36">
        <f t="shared" si="58"/>
        <v>9.6040143764609912E-2</v>
      </c>
      <c r="AF36">
        <f t="shared" si="59"/>
        <v>0.10899223813494729</v>
      </c>
      <c r="AH36" s="2" t="s">
        <v>55</v>
      </c>
      <c r="AI36" s="51">
        <f>AVERAGE(X40:X41)</f>
        <v>6.4367039621138133E-3</v>
      </c>
      <c r="AJ36" s="51"/>
      <c r="AK36" s="51">
        <f>AVERAGE(Z40:Z41)</f>
        <v>6.7095181211204065E-3</v>
      </c>
      <c r="AL36" s="51">
        <f>AVERAGE(AA40:AA41)</f>
        <v>7.8426039789367338E-3</v>
      </c>
      <c r="AM36" s="51"/>
      <c r="AN36" s="51">
        <f>AVERAGE(AC40:AC41)</f>
        <v>9.0102497056377615E-3</v>
      </c>
      <c r="AO36" s="51">
        <f t="shared" ref="AO36" si="82">AVERAGE(AD40:AD41)</f>
        <v>4.4336720778816174E-3</v>
      </c>
      <c r="AP36" s="51"/>
      <c r="AQ36" s="54">
        <f t="shared" ref="AQ36" si="83">AVERAGE(AF40:AF41)</f>
        <v>6.1398281284535949E-3</v>
      </c>
      <c r="AS36" s="2" t="s">
        <v>50</v>
      </c>
      <c r="AT36" s="5">
        <f t="shared" ref="AT36:AT46" si="84">AVERAGE(AI35:AK35)</f>
        <v>5.2629993164852564E-3</v>
      </c>
      <c r="AU36" s="5">
        <f t="shared" ref="AU36:AU46" si="85">AVERAGE(AL35:AN35)</f>
        <v>7.7214988280242735E-3</v>
      </c>
      <c r="AV36" s="6">
        <f t="shared" ref="AV36:AV46" si="86">AVERAGE(AO35:AQ35)</f>
        <v>4.9397615535451012E-3</v>
      </c>
      <c r="AX36" s="2" t="s">
        <v>50</v>
      </c>
      <c r="AY36" s="5">
        <f t="shared" ref="AY35:AY47" si="87">AVERAGE(AT36:AV36)</f>
        <v>5.9747532326848776E-3</v>
      </c>
      <c r="AZ36" s="5">
        <f t="shared" si="78"/>
        <v>1.5213352010572247E-3</v>
      </c>
      <c r="BA36" s="5">
        <f t="shared" si="79"/>
        <v>2.314460793975826E-6</v>
      </c>
      <c r="BB36" s="5">
        <f t="shared" si="80"/>
        <v>1.2421649901082185E-3</v>
      </c>
      <c r="BC36" s="6">
        <f t="shared" si="81"/>
        <v>1.5429738626505507E-6</v>
      </c>
      <c r="BJ36" s="63"/>
    </row>
    <row r="37" spans="1:62">
      <c r="A37" s="50" t="s">
        <v>83</v>
      </c>
      <c r="B37" s="5"/>
      <c r="C37" s="5">
        <v>0.26535177572500379</v>
      </c>
      <c r="D37" s="5"/>
      <c r="E37" s="5"/>
      <c r="F37" s="23">
        <v>0.95481216742174713</v>
      </c>
      <c r="G37" s="5"/>
      <c r="H37" s="5"/>
      <c r="I37" s="5">
        <v>0.32146086530714296</v>
      </c>
      <c r="J37" s="5"/>
      <c r="L37">
        <v>4.1601372626332334E-6</v>
      </c>
      <c r="N37">
        <v>3.5239468204388914E-5</v>
      </c>
      <c r="O37">
        <v>1.7619734102194455E-4</v>
      </c>
      <c r="P37">
        <v>8.8098670510972272E-4</v>
      </c>
      <c r="R37">
        <v>1.5E-3</v>
      </c>
      <c r="T37">
        <f t="shared" si="66"/>
        <v>1.2706119767097587E-2</v>
      </c>
      <c r="U37">
        <f t="shared" si="66"/>
        <v>6.3530598835487936E-2</v>
      </c>
      <c r="V37">
        <f t="shared" si="53"/>
        <v>0.31765299417743964</v>
      </c>
      <c r="Y37">
        <f>U37*C37</f>
        <v>1.6857957213869582E-2</v>
      </c>
      <c r="AB37">
        <f>U37*F37</f>
        <v>6.0659788771713762E-2</v>
      </c>
      <c r="AE37">
        <f>U37*I37</f>
        <v>2.0422601275136922E-2</v>
      </c>
      <c r="AH37" s="2" t="s">
        <v>28</v>
      </c>
      <c r="AI37" s="5">
        <f>AVERAGE(X42)</f>
        <v>3.4268308043500233E-3</v>
      </c>
      <c r="AJ37" s="5"/>
      <c r="AK37" s="5">
        <f t="shared" ref="AK37:AL38" si="88">AVERAGE(Z42)</f>
        <v>3.7922215135861763E-3</v>
      </c>
      <c r="AL37" s="5">
        <f t="shared" si="88"/>
        <v>2.6384159524545175E-3</v>
      </c>
      <c r="AM37" s="5"/>
      <c r="AN37" s="5">
        <f t="shared" ref="AN37:AO38" si="89">AVERAGE(AC42)</f>
        <v>4.0199531258795548E-3</v>
      </c>
      <c r="AO37" s="5">
        <f t="shared" si="89"/>
        <v>2.4058010602720529E-3</v>
      </c>
      <c r="AP37" s="5"/>
      <c r="AQ37" s="6">
        <f t="shared" ref="AQ37:AQ38" si="90">AVERAGE(AF42)</f>
        <v>3.3736837855706499E-3</v>
      </c>
      <c r="AS37" s="2" t="s">
        <v>55</v>
      </c>
      <c r="AT37" s="5">
        <f t="shared" si="84"/>
        <v>6.5731110416171103E-3</v>
      </c>
      <c r="AU37" s="5">
        <f t="shared" si="85"/>
        <v>8.4264268422872476E-3</v>
      </c>
      <c r="AV37" s="6">
        <f t="shared" si="86"/>
        <v>5.2867501031676062E-3</v>
      </c>
      <c r="AX37" s="2" t="s">
        <v>55</v>
      </c>
      <c r="AY37" s="5">
        <f t="shared" si="87"/>
        <v>6.762095995690655E-3</v>
      </c>
      <c r="AZ37" s="5">
        <f t="shared" si="78"/>
        <v>1.5783469172497759E-3</v>
      </c>
      <c r="BA37" s="5">
        <f t="shared" si="79"/>
        <v>2.4911789911918713E-6</v>
      </c>
      <c r="BB37" s="5">
        <f t="shared" si="80"/>
        <v>1.2887148614522585E-3</v>
      </c>
      <c r="BC37" s="6">
        <f t="shared" si="81"/>
        <v>1.6607859941279141E-6</v>
      </c>
      <c r="BJ37" s="63"/>
    </row>
    <row r="38" spans="1:62">
      <c r="A38" s="48" t="s">
        <v>50</v>
      </c>
      <c r="B38" s="5">
        <v>4.0338464957077251</v>
      </c>
      <c r="C38" s="5"/>
      <c r="D38" s="5">
        <v>0.16924730599221718</v>
      </c>
      <c r="E38" s="5">
        <v>4.7347488565326614</v>
      </c>
      <c r="F38" s="5"/>
      <c r="G38" s="5">
        <v>0.22758244350200346</v>
      </c>
      <c r="H38" s="5">
        <v>2.8042842466559876</v>
      </c>
      <c r="I38" s="5"/>
      <c r="J38" s="5">
        <v>0.1390804966230349</v>
      </c>
      <c r="L38">
        <v>4.1601372626332334E-6</v>
      </c>
      <c r="N38">
        <v>4.0168593141324472E-6</v>
      </c>
      <c r="O38">
        <v>2.0084296570662233E-5</v>
      </c>
      <c r="P38">
        <v>1.0042148285331116E-4</v>
      </c>
      <c r="R38">
        <v>1.5E-3</v>
      </c>
      <c r="T38">
        <f t="shared" si="66"/>
        <v>1.4483389827827115E-3</v>
      </c>
      <c r="U38">
        <f t="shared" si="66"/>
        <v>7.2416949139135559E-3</v>
      </c>
      <c r="V38">
        <f t="shared" si="53"/>
        <v>3.6208474569567779E-2</v>
      </c>
      <c r="X38">
        <f t="shared" ref="X38:X53" si="91">T38*B38</f>
        <v>5.8423771302949321E-3</v>
      </c>
      <c r="Z38">
        <f t="shared" ref="Z38:Z53" si="92">V38*D38</f>
        <v>6.1281867749870527E-3</v>
      </c>
      <c r="AA38">
        <f t="shared" ref="AA38:AA53" si="93">T38*E38</f>
        <v>6.8575213426021213E-3</v>
      </c>
      <c r="AC38">
        <f t="shared" ref="AC38:AC53" si="94">V38*G38</f>
        <v>8.240413118022389E-3</v>
      </c>
      <c r="AD38">
        <f t="shared" ref="AD38:AD53" si="95">T38*H38</f>
        <v>4.061554193235316E-3</v>
      </c>
      <c r="AF38">
        <f t="shared" ref="AF38:AF53" si="96">V38*J38</f>
        <v>5.0358926250980169E-3</v>
      </c>
      <c r="AH38" s="2" t="s">
        <v>29</v>
      </c>
      <c r="AI38" s="5">
        <f>AVERAGE(X43)</f>
        <v>2.7021051804978928E-2</v>
      </c>
      <c r="AJ38" s="5"/>
      <c r="AK38" s="5">
        <f>AVERAGE(Z43)</f>
        <v>3.2627134361755364E-2</v>
      </c>
      <c r="AL38" s="5">
        <f t="shared" si="88"/>
        <v>1.6095516475771714E-2</v>
      </c>
      <c r="AM38" s="5"/>
      <c r="AN38" s="5">
        <f t="shared" si="89"/>
        <v>3.4280982640277763E-2</v>
      </c>
      <c r="AO38" s="5">
        <f t="shared" si="89"/>
        <v>1.3929300820313999E-2</v>
      </c>
      <c r="AP38" s="5"/>
      <c r="AQ38" s="6">
        <f t="shared" si="90"/>
        <v>2.6259028071523798E-2</v>
      </c>
      <c r="AS38" s="2" t="s">
        <v>28</v>
      </c>
      <c r="AT38" s="5">
        <f t="shared" si="84"/>
        <v>3.6095261589681E-3</v>
      </c>
      <c r="AU38" s="5">
        <f t="shared" si="85"/>
        <v>3.3291845391670363E-3</v>
      </c>
      <c r="AV38" s="6">
        <f t="shared" si="86"/>
        <v>2.8897424229213514E-3</v>
      </c>
      <c r="AX38" s="2" t="s">
        <v>28</v>
      </c>
      <c r="AY38" s="5">
        <f t="shared" si="87"/>
        <v>3.2761510403521627E-3</v>
      </c>
      <c r="AZ38" s="5">
        <f t="shared" si="78"/>
        <v>3.6281065401496174E-4</v>
      </c>
      <c r="BA38" s="5">
        <f t="shared" si="79"/>
        <v>1.3163157066676427E-7</v>
      </c>
      <c r="BB38" s="5">
        <f t="shared" si="80"/>
        <v>2.962336585273684E-4</v>
      </c>
      <c r="BC38" s="6">
        <f t="shared" si="81"/>
        <v>8.7754380444509518E-8</v>
      </c>
      <c r="BJ38" s="63"/>
    </row>
    <row r="39" spans="1:62">
      <c r="A39" s="50" t="s">
        <v>50</v>
      </c>
      <c r="B39" s="5">
        <v>2.8868846555858947</v>
      </c>
      <c r="C39" s="5"/>
      <c r="D39" s="5">
        <v>0.13533422309083598</v>
      </c>
      <c r="E39" s="5">
        <v>5.9906881298073893</v>
      </c>
      <c r="F39" s="5"/>
      <c r="G39" s="5">
        <v>0.19640467553294594</v>
      </c>
      <c r="H39" s="5">
        <v>3.7588475542748916</v>
      </c>
      <c r="I39" s="5"/>
      <c r="J39" s="5">
        <v>0.14409648610379375</v>
      </c>
      <c r="L39">
        <v>4.1601372626332334E-6</v>
      </c>
      <c r="N39">
        <v>4.0168593141324472E-6</v>
      </c>
      <c r="O39">
        <v>2.0084296570662233E-5</v>
      </c>
      <c r="P39">
        <v>1.0042148285331116E-4</v>
      </c>
      <c r="R39">
        <v>1.5E-3</v>
      </c>
      <c r="T39">
        <f t="shared" si="66"/>
        <v>1.4483389827827115E-3</v>
      </c>
      <c r="U39">
        <f t="shared" si="66"/>
        <v>7.2416949139135559E-3</v>
      </c>
      <c r="V39">
        <f t="shared" si="53"/>
        <v>3.6208474569567779E-2</v>
      </c>
      <c r="X39">
        <f t="shared" si="91"/>
        <v>4.1811875854822931E-3</v>
      </c>
      <c r="Z39">
        <f t="shared" si="92"/>
        <v>4.9002457751767476E-3</v>
      </c>
      <c r="AA39">
        <f t="shared" si="93"/>
        <v>8.6765471520936985E-3</v>
      </c>
      <c r="AC39">
        <f t="shared" si="94"/>
        <v>7.1115136993788837E-3</v>
      </c>
      <c r="AD39">
        <f t="shared" si="95"/>
        <v>5.4440854431937798E-3</v>
      </c>
      <c r="AF39">
        <f t="shared" si="96"/>
        <v>5.2175139526532931E-3</v>
      </c>
      <c r="AH39" s="2" t="s">
        <v>35</v>
      </c>
      <c r="AI39" s="5">
        <f>AVERAGE(X44:X45)</f>
        <v>1.1143641512795917</v>
      </c>
      <c r="AJ39" s="5"/>
      <c r="AK39" s="5">
        <f>AVERAGE(Z44:Z45)</f>
        <v>1.3581815757045255</v>
      </c>
      <c r="AL39" s="5">
        <f t="shared" ref="AL39" si="97">AVERAGE(AA44:AA45)</f>
        <v>1.3435220683520037</v>
      </c>
      <c r="AM39" s="5"/>
      <c r="AN39" s="5">
        <f t="shared" ref="AN39:AO39" si="98">AVERAGE(AC44:AC45)</f>
        <v>1.2302189914614834</v>
      </c>
      <c r="AO39" s="5">
        <f t="shared" si="98"/>
        <v>0.72753151705634644</v>
      </c>
      <c r="AP39" s="5"/>
      <c r="AQ39" s="6">
        <f t="shared" ref="AQ39" si="99">AVERAGE(AF44:AF45)</f>
        <v>0.91535079624774374</v>
      </c>
      <c r="AS39" s="2" t="s">
        <v>29</v>
      </c>
      <c r="AT39" s="5">
        <f t="shared" si="84"/>
        <v>2.9824093083367146E-2</v>
      </c>
      <c r="AU39" s="5">
        <f t="shared" si="85"/>
        <v>2.518824955802474E-2</v>
      </c>
      <c r="AV39" s="6">
        <f t="shared" si="86"/>
        <v>2.0094164445918897E-2</v>
      </c>
      <c r="AX39" s="2" t="s">
        <v>29</v>
      </c>
      <c r="AY39" s="5">
        <f t="shared" si="87"/>
        <v>2.5035502362436929E-2</v>
      </c>
      <c r="AZ39" s="5">
        <f t="shared" si="78"/>
        <v>4.8667624353135258E-3</v>
      </c>
      <c r="BA39" s="5">
        <f t="shared" si="79"/>
        <v>2.3685376601778843E-5</v>
      </c>
      <c r="BB39" s="5">
        <f t="shared" si="80"/>
        <v>3.9736948886209874E-3</v>
      </c>
      <c r="BC39" s="6">
        <f t="shared" si="81"/>
        <v>1.5790251067852563E-5</v>
      </c>
      <c r="BJ39" s="63"/>
    </row>
    <row r="40" spans="1:62">
      <c r="A40" s="48" t="s">
        <v>55</v>
      </c>
      <c r="B40" s="5">
        <v>0.8447464075098986</v>
      </c>
      <c r="C40" s="5"/>
      <c r="D40" s="5">
        <v>3.6104360970817213E-2</v>
      </c>
      <c r="E40" s="5">
        <v>1.0035502401895475</v>
      </c>
      <c r="F40" s="5"/>
      <c r="G40" s="5">
        <v>5.0256992313080326E-2</v>
      </c>
      <c r="H40" s="5">
        <v>0.56083369591441179</v>
      </c>
      <c r="I40" s="5"/>
      <c r="J40" s="5">
        <v>3.1108995990888646E-2</v>
      </c>
      <c r="L40">
        <v>4.1601372626332334E-6</v>
      </c>
      <c r="N40">
        <v>2.2343360926038096E-5</v>
      </c>
      <c r="O40">
        <v>1.1171680463019048E-4</v>
      </c>
      <c r="P40">
        <v>5.5858402315095239E-4</v>
      </c>
      <c r="R40">
        <v>1.5E-3</v>
      </c>
      <c r="T40">
        <f t="shared" si="66"/>
        <v>8.0562345118014682E-3</v>
      </c>
      <c r="U40">
        <f t="shared" si="66"/>
        <v>4.0281172559007344E-2</v>
      </c>
      <c r="V40">
        <f t="shared" si="53"/>
        <v>0.20140586279503672</v>
      </c>
      <c r="X40">
        <f t="shared" si="91"/>
        <v>6.8054751619015521E-3</v>
      </c>
      <c r="Z40">
        <f t="shared" si="92"/>
        <v>7.2716299719908905E-3</v>
      </c>
      <c r="AA40">
        <f t="shared" si="93"/>
        <v>8.0848360793416858E-3</v>
      </c>
      <c r="AC40">
        <f t="shared" si="94"/>
        <v>1.0122052898299471E-2</v>
      </c>
      <c r="AD40">
        <f t="shared" si="95"/>
        <v>4.5182077764068544E-3</v>
      </c>
      <c r="AF40">
        <f t="shared" si="96"/>
        <v>6.2655341782322663E-3</v>
      </c>
      <c r="AH40" s="2" t="s">
        <v>32</v>
      </c>
      <c r="AI40" s="5">
        <f>AVERAGE(X46:X47)</f>
        <v>3.3325628405322272E-2</v>
      </c>
      <c r="AJ40" s="5"/>
      <c r="AK40" s="5">
        <f>AVERAGE(Z46:Z47)</f>
        <v>3.5139186707875456E-2</v>
      </c>
      <c r="AL40" s="5">
        <f>AVERAGE(AA46:AA47)</f>
        <v>3.2676594404497251E-2</v>
      </c>
      <c r="AM40" s="5"/>
      <c r="AN40" s="5">
        <f t="shared" ref="AN40:AO40" si="100">AVERAGE(AC46:AC47)</f>
        <v>3.2455229392661475E-2</v>
      </c>
      <c r="AO40" s="5">
        <f t="shared" si="100"/>
        <v>2.3485607708640485E-2</v>
      </c>
      <c r="AP40" s="5"/>
      <c r="AQ40" s="6">
        <f t="shared" ref="AQ40" si="101">AVERAGE(AF46:AF47)</f>
        <v>3.3885119247015913E-2</v>
      </c>
      <c r="AS40" s="2" t="s">
        <v>35</v>
      </c>
      <c r="AT40" s="5">
        <f t="shared" si="84"/>
        <v>1.2362728634920586</v>
      </c>
      <c r="AU40" s="5">
        <f t="shared" si="85"/>
        <v>1.2868705299067436</v>
      </c>
      <c r="AV40" s="6">
        <f t="shared" si="86"/>
        <v>0.82144115665204509</v>
      </c>
      <c r="AX40" s="2" t="s">
        <v>35</v>
      </c>
      <c r="AY40" s="5">
        <f t="shared" si="87"/>
        <v>1.1148615166836158</v>
      </c>
      <c r="AZ40" s="5">
        <f t="shared" si="78"/>
        <v>0.25536574109000054</v>
      </c>
      <c r="BA40" s="5">
        <f t="shared" si="79"/>
        <v>6.5211661722445191E-2</v>
      </c>
      <c r="BB40" s="5">
        <f t="shared" si="80"/>
        <v>0.20850525448606025</v>
      </c>
      <c r="BC40" s="6">
        <f t="shared" si="81"/>
        <v>4.3474441148296745E-2</v>
      </c>
      <c r="BJ40" s="63"/>
    </row>
    <row r="41" spans="1:62">
      <c r="A41" s="50" t="s">
        <v>55</v>
      </c>
      <c r="B41" s="5">
        <v>0.75319713613565276</v>
      </c>
      <c r="C41" s="5"/>
      <c r="D41" s="5">
        <v>3.0522479261221463E-2</v>
      </c>
      <c r="E41" s="5">
        <v>0.9434149250990771</v>
      </c>
      <c r="F41" s="5"/>
      <c r="G41" s="5">
        <v>3.9216567002391622E-2</v>
      </c>
      <c r="H41" s="5">
        <v>0.53984729131027531</v>
      </c>
      <c r="I41" s="5"/>
      <c r="J41" s="5">
        <v>2.98607100866536E-2</v>
      </c>
      <c r="L41">
        <v>4.1601372626332334E-6</v>
      </c>
      <c r="N41">
        <v>2.2343360926038096E-5</v>
      </c>
      <c r="O41">
        <v>1.1171680463019048E-4</v>
      </c>
      <c r="P41">
        <v>5.5858402315095239E-4</v>
      </c>
      <c r="R41">
        <v>1.5E-3</v>
      </c>
      <c r="T41">
        <f t="shared" si="66"/>
        <v>8.0562345118014682E-3</v>
      </c>
      <c r="U41">
        <f t="shared" si="66"/>
        <v>4.0281172559007344E-2</v>
      </c>
      <c r="V41">
        <f t="shared" si="53"/>
        <v>0.20140586279503672</v>
      </c>
      <c r="X41">
        <f t="shared" si="91"/>
        <v>6.0679327623260745E-3</v>
      </c>
      <c r="Z41">
        <f t="shared" si="92"/>
        <v>6.1474062702499234E-3</v>
      </c>
      <c r="AA41">
        <f t="shared" si="93"/>
        <v>7.6003718785317819E-3</v>
      </c>
      <c r="AC41">
        <f t="shared" si="94"/>
        <v>7.8984465129760522E-3</v>
      </c>
      <c r="AD41">
        <f t="shared" si="95"/>
        <v>4.3491363793563805E-3</v>
      </c>
      <c r="AF41">
        <f t="shared" si="96"/>
        <v>6.0141220786749236E-3</v>
      </c>
      <c r="AH41" s="2" t="s">
        <v>33</v>
      </c>
      <c r="AI41" s="5">
        <f>AVERAGE(X48:X49)</f>
        <v>2.4151763013878482</v>
      </c>
      <c r="AJ41" s="5"/>
      <c r="AK41" s="5">
        <f t="shared" ref="AK41:AL41" si="102">AVERAGE(Z48:Z49)</f>
        <v>2.8588919486590871</v>
      </c>
      <c r="AL41" s="5">
        <f t="shared" si="102"/>
        <v>3.0416811463021123</v>
      </c>
      <c r="AM41" s="5"/>
      <c r="AN41" s="5">
        <f t="shared" ref="AN41:AO41" si="103">AVERAGE(AC48:AC49)</f>
        <v>3.1783831592623821</v>
      </c>
      <c r="AO41" s="5">
        <f t="shared" si="103"/>
        <v>1.7797835341753587</v>
      </c>
      <c r="AP41" s="5"/>
      <c r="AQ41" s="6">
        <f t="shared" ref="AQ41" si="104">AVERAGE(AF48:AF49)</f>
        <v>2.4458207967960792</v>
      </c>
      <c r="AS41" s="2" t="s">
        <v>32</v>
      </c>
      <c r="AT41" s="5">
        <f t="shared" si="84"/>
        <v>3.4232407556598864E-2</v>
      </c>
      <c r="AU41" s="5">
        <f t="shared" si="85"/>
        <v>3.2565911898579367E-2</v>
      </c>
      <c r="AV41" s="6">
        <f t="shared" si="86"/>
        <v>2.8685363477828199E-2</v>
      </c>
      <c r="AX41" s="2" t="s">
        <v>32</v>
      </c>
      <c r="AY41" s="5">
        <f t="shared" si="87"/>
        <v>3.1827894311002143E-2</v>
      </c>
      <c r="AZ41" s="5">
        <f t="shared" si="78"/>
        <v>2.8462127419847153E-3</v>
      </c>
      <c r="BA41" s="5">
        <f t="shared" si="79"/>
        <v>8.1009269726361512E-6</v>
      </c>
      <c r="BB41" s="5">
        <f t="shared" si="80"/>
        <v>2.3239229724234482E-3</v>
      </c>
      <c r="BC41" s="6">
        <f t="shared" si="81"/>
        <v>5.4006179817574341E-6</v>
      </c>
      <c r="BJ41" s="63"/>
    </row>
    <row r="42" spans="1:62">
      <c r="A42" s="48" t="s">
        <v>28</v>
      </c>
      <c r="B42" s="5">
        <v>2.6788829251316333</v>
      </c>
      <c r="C42" s="5"/>
      <c r="D42" s="5">
        <v>0.11858090511112605</v>
      </c>
      <c r="E42" s="5">
        <v>2.0625492905728477</v>
      </c>
      <c r="F42" s="5"/>
      <c r="G42" s="5">
        <v>0.12570196083306026</v>
      </c>
      <c r="H42" s="5">
        <v>1.8807054534018046</v>
      </c>
      <c r="I42" s="5"/>
      <c r="J42" s="5">
        <v>0.10549343581814653</v>
      </c>
      <c r="L42">
        <v>4.1601372626332334E-6</v>
      </c>
      <c r="N42">
        <v>3.5477689570216265E-6</v>
      </c>
      <c r="O42">
        <v>1.7738844785108131E-5</v>
      </c>
      <c r="P42">
        <v>8.8694223925540655E-5</v>
      </c>
      <c r="R42">
        <v>1.5E-3</v>
      </c>
      <c r="T42">
        <f t="shared" si="66"/>
        <v>1.2792014060045711E-3</v>
      </c>
      <c r="U42">
        <f t="shared" si="66"/>
        <v>6.3960070300228553E-3</v>
      </c>
      <c r="V42">
        <f t="shared" si="53"/>
        <v>3.1980035150114272E-2</v>
      </c>
      <c r="X42">
        <f t="shared" si="91"/>
        <v>3.4268308043500233E-3</v>
      </c>
      <c r="Z42">
        <f t="shared" si="92"/>
        <v>3.7922215135861763E-3</v>
      </c>
      <c r="AA42">
        <f t="shared" si="93"/>
        <v>2.6384159524545175E-3</v>
      </c>
      <c r="AC42">
        <f t="shared" si="94"/>
        <v>4.0199531258795548E-3</v>
      </c>
      <c r="AD42">
        <f t="shared" si="95"/>
        <v>2.4058010602720529E-3</v>
      </c>
      <c r="AF42">
        <f t="shared" si="96"/>
        <v>3.3736837855706499E-3</v>
      </c>
      <c r="AH42" s="2" t="s">
        <v>34</v>
      </c>
      <c r="AI42" s="5">
        <f>AVERAGE(X50:X51)</f>
        <v>1.173707335192721</v>
      </c>
      <c r="AJ42" s="5"/>
      <c r="AK42" s="5">
        <f>AVERAGE(Z50:Z51)</f>
        <v>1.503069482535462</v>
      </c>
      <c r="AL42" s="5">
        <f>AVERAGE(AA50:AA51)</f>
        <v>1.3154245843995196</v>
      </c>
      <c r="AM42" s="5"/>
      <c r="AN42" s="5">
        <f t="shared" ref="AN42:AO42" si="105">AVERAGE(AC50:AC51)</f>
        <v>1.3718638550505431</v>
      </c>
      <c r="AO42" s="5">
        <f t="shared" si="105"/>
        <v>0.95844594425548635</v>
      </c>
      <c r="AP42" s="5"/>
      <c r="AQ42" s="6">
        <f t="shared" ref="AQ42" si="106">AVERAGE(AF50:AF51)</f>
        <v>1.2959674568341586</v>
      </c>
      <c r="AS42" s="2" t="s">
        <v>33</v>
      </c>
      <c r="AT42" s="5">
        <f t="shared" si="84"/>
        <v>2.6370341250234679</v>
      </c>
      <c r="AU42" s="5">
        <f t="shared" si="85"/>
        <v>3.1100321527822472</v>
      </c>
      <c r="AV42" s="6">
        <f t="shared" si="86"/>
        <v>2.1128021654857188</v>
      </c>
      <c r="AX42" s="2" t="s">
        <v>33</v>
      </c>
      <c r="AY42" s="5">
        <f t="shared" si="87"/>
        <v>2.6199561477638111</v>
      </c>
      <c r="AZ42" s="5">
        <f t="shared" si="78"/>
        <v>0.49883429600551676</v>
      </c>
      <c r="BA42" s="5">
        <f t="shared" si="79"/>
        <v>0.24883565487131953</v>
      </c>
      <c r="BB42" s="5">
        <f t="shared" si="80"/>
        <v>0.40729649713799321</v>
      </c>
      <c r="BC42" s="6">
        <f t="shared" si="81"/>
        <v>0.16589043658087929</v>
      </c>
      <c r="BJ42" s="63"/>
    </row>
    <row r="43" spans="1:62">
      <c r="A43" s="48" t="s">
        <v>29</v>
      </c>
      <c r="B43" s="5">
        <v>7.1312141177859623</v>
      </c>
      <c r="C43" s="5"/>
      <c r="D43" s="5">
        <v>0.34442934769930339</v>
      </c>
      <c r="E43" s="5">
        <v>4.2478203718158083</v>
      </c>
      <c r="F43" s="5"/>
      <c r="G43" s="5">
        <v>0.36188824793397412</v>
      </c>
      <c r="H43" s="5">
        <v>3.676127316495045</v>
      </c>
      <c r="I43" s="5"/>
      <c r="J43" s="5">
        <v>0.27720423772472685</v>
      </c>
      <c r="L43">
        <v>4.1601372626332334E-6</v>
      </c>
      <c r="N43">
        <v>1.0508849557522125E-5</v>
      </c>
      <c r="O43">
        <v>5.2544247787610617E-5</v>
      </c>
      <c r="P43">
        <v>2.6272123893805309E-4</v>
      </c>
      <c r="R43">
        <v>1.5E-3</v>
      </c>
      <c r="T43">
        <f t="shared" si="66"/>
        <v>3.7891236132688425E-3</v>
      </c>
      <c r="U43">
        <f t="shared" si="66"/>
        <v>1.8945618066344205E-2</v>
      </c>
      <c r="V43">
        <f t="shared" si="53"/>
        <v>9.472809033172104E-2</v>
      </c>
      <c r="X43">
        <f t="shared" si="91"/>
        <v>2.7021051804978928E-2</v>
      </c>
      <c r="Z43">
        <f t="shared" si="92"/>
        <v>3.2627134361755364E-2</v>
      </c>
      <c r="AA43">
        <f t="shared" si="93"/>
        <v>1.6095516475771714E-2</v>
      </c>
      <c r="AC43">
        <f t="shared" si="94"/>
        <v>3.4280982640277763E-2</v>
      </c>
      <c r="AD43">
        <f t="shared" si="95"/>
        <v>1.3929300820313999E-2</v>
      </c>
      <c r="AF43">
        <f t="shared" si="96"/>
        <v>2.6259028071523798E-2</v>
      </c>
      <c r="AH43" s="2" t="s">
        <v>30</v>
      </c>
      <c r="AI43" s="5">
        <f>AVERAGE(X52)</f>
        <v>0.36718859692961325</v>
      </c>
      <c r="AJ43" s="5"/>
      <c r="AK43" s="5">
        <f t="shared" ref="AK43:AL44" si="107">AVERAGE(Z52)</f>
        <v>0.47247473368538018</v>
      </c>
      <c r="AL43" s="5">
        <f t="shared" si="107"/>
        <v>0.40508908649021375</v>
      </c>
      <c r="AM43" s="5"/>
      <c r="AN43" s="5">
        <f t="shared" ref="AN43:AO44" si="108">AVERAGE(AC52)</f>
        <v>0.56900742755324951</v>
      </c>
      <c r="AO43" s="5">
        <f t="shared" si="108"/>
        <v>0.39185491770089831</v>
      </c>
      <c r="AP43" s="5"/>
      <c r="AQ43" s="6">
        <f t="shared" ref="AQ43:AQ44" si="109">AVERAGE(AF52)</f>
        <v>0.42259335762215633</v>
      </c>
      <c r="AS43" s="2" t="s">
        <v>34</v>
      </c>
      <c r="AT43" s="5">
        <f t="shared" si="84"/>
        <v>1.3383884088640916</v>
      </c>
      <c r="AU43" s="5">
        <f t="shared" si="85"/>
        <v>1.3436442197250313</v>
      </c>
      <c r="AV43" s="6">
        <f t="shared" si="86"/>
        <v>1.1272067005448225</v>
      </c>
      <c r="AX43" s="2" t="s">
        <v>34</v>
      </c>
      <c r="AY43" s="5">
        <f t="shared" si="87"/>
        <v>1.2697464430446486</v>
      </c>
      <c r="AZ43" s="5">
        <f t="shared" si="78"/>
        <v>0.12347100684326265</v>
      </c>
      <c r="BA43" s="5">
        <f t="shared" si="79"/>
        <v>1.5245089530889013E-2</v>
      </c>
      <c r="BB43" s="5">
        <f t="shared" si="80"/>
        <v>0.10081365493122782</v>
      </c>
      <c r="BC43" s="6">
        <f t="shared" si="81"/>
        <v>1.0163393020592675E-2</v>
      </c>
      <c r="BJ43" s="63"/>
    </row>
    <row r="44" spans="1:62" ht="15.75" thickBot="1">
      <c r="A44" s="48" t="s">
        <v>35</v>
      </c>
      <c r="B44" s="5">
        <v>7.3399618920701979</v>
      </c>
      <c r="C44" s="5"/>
      <c r="D44" s="5">
        <v>0.37032956127941047</v>
      </c>
      <c r="E44" s="5">
        <v>8.6952305212955885</v>
      </c>
      <c r="F44" s="5"/>
      <c r="G44" s="5">
        <v>0.34898941755649493</v>
      </c>
      <c r="H44" s="5">
        <v>4.7054112979482134</v>
      </c>
      <c r="I44" s="5"/>
      <c r="J44" s="5">
        <v>0.25062700705042806</v>
      </c>
      <c r="L44">
        <v>4.1601372626332334E-6</v>
      </c>
      <c r="N44">
        <v>4.1736227045075126E-4</v>
      </c>
      <c r="O44">
        <v>2.0868113522537562E-3</v>
      </c>
      <c r="P44">
        <v>1.0434056761268781E-2</v>
      </c>
      <c r="R44">
        <v>1.5E-3</v>
      </c>
      <c r="T44">
        <f t="shared" si="66"/>
        <v>0.15048623786991622</v>
      </c>
      <c r="U44">
        <f t="shared" si="66"/>
        <v>0.75243118934958109</v>
      </c>
      <c r="V44">
        <f t="shared" si="53"/>
        <v>3.7621559467479053</v>
      </c>
      <c r="X44">
        <f t="shared" si="91"/>
        <v>1.104563251246196</v>
      </c>
      <c r="Z44">
        <f t="shared" si="92"/>
        <v>1.393237561223877</v>
      </c>
      <c r="AA44">
        <f t="shared" si="93"/>
        <v>1.3085125285614436</v>
      </c>
      <c r="AC44">
        <f t="shared" si="94"/>
        <v>1.3129526126122553</v>
      </c>
      <c r="AD44">
        <f t="shared" si="95"/>
        <v>0.70809964385882607</v>
      </c>
      <c r="AF44">
        <f t="shared" si="96"/>
        <v>0.94289788499039717</v>
      </c>
      <c r="AH44" s="2" t="s">
        <v>127</v>
      </c>
      <c r="AI44" s="5">
        <f>AVERAGE(X53)</f>
        <v>11.254520246209726</v>
      </c>
      <c r="AJ44" s="5"/>
      <c r="AK44" s="5">
        <f>AVERAGE(Z53)</f>
        <v>14.837660756020712</v>
      </c>
      <c r="AL44" s="5">
        <f t="shared" si="107"/>
        <v>14.832037237957081</v>
      </c>
      <c r="AM44" s="5"/>
      <c r="AN44" s="5">
        <f t="shared" si="108"/>
        <v>18.891425022862506</v>
      </c>
      <c r="AO44" s="5">
        <f>AVERAGE(AD53)</f>
        <v>7.4590758685670266</v>
      </c>
      <c r="AP44" s="5"/>
      <c r="AQ44" s="6">
        <f t="shared" si="109"/>
        <v>11.558379338850493</v>
      </c>
      <c r="AS44" s="2" t="s">
        <v>30</v>
      </c>
      <c r="AT44" s="5">
        <f t="shared" si="84"/>
        <v>0.41983166530749672</v>
      </c>
      <c r="AU44" s="5">
        <f t="shared" si="85"/>
        <v>0.4870482570217316</v>
      </c>
      <c r="AV44" s="6">
        <f t="shared" si="86"/>
        <v>0.40722413766152732</v>
      </c>
      <c r="AX44" s="2" t="s">
        <v>30</v>
      </c>
      <c r="AY44" s="5">
        <f t="shared" si="87"/>
        <v>0.43803468666358519</v>
      </c>
      <c r="AZ44" s="5">
        <f t="shared" si="78"/>
        <v>4.2912527282551134E-2</v>
      </c>
      <c r="BA44" s="5">
        <f t="shared" si="79"/>
        <v>1.8414849977756954E-3</v>
      </c>
      <c r="BB44" s="5">
        <f t="shared" si="80"/>
        <v>3.5037931805170765E-2</v>
      </c>
      <c r="BC44" s="6">
        <f t="shared" si="81"/>
        <v>1.2276566651837969E-3</v>
      </c>
    </row>
    <row r="45" spans="1:62" ht="15.75" thickBot="1">
      <c r="A45" s="50" t="s">
        <v>35</v>
      </c>
      <c r="B45" s="5">
        <v>7.4702183217892761</v>
      </c>
      <c r="C45" s="5"/>
      <c r="D45" s="5">
        <v>0.35169344623497456</v>
      </c>
      <c r="E45" s="5">
        <v>9.1605161219738793</v>
      </c>
      <c r="F45" s="5"/>
      <c r="G45" s="5">
        <v>0.30500739112173819</v>
      </c>
      <c r="H45" s="5">
        <v>4.9636657864990896</v>
      </c>
      <c r="I45" s="5"/>
      <c r="J45" s="5">
        <v>0.23598269717461562</v>
      </c>
      <c r="L45">
        <v>4.1601372626332334E-6</v>
      </c>
      <c r="N45">
        <v>4.1736227045075126E-4</v>
      </c>
      <c r="O45">
        <v>2.0868113522537562E-3</v>
      </c>
      <c r="P45">
        <v>1.0434056761268781E-2</v>
      </c>
      <c r="R45">
        <v>1.5E-3</v>
      </c>
      <c r="T45">
        <f t="shared" si="66"/>
        <v>0.15048623786991622</v>
      </c>
      <c r="U45">
        <f t="shared" si="66"/>
        <v>0.75243118934958109</v>
      </c>
      <c r="V45">
        <f t="shared" si="53"/>
        <v>3.7621559467479053</v>
      </c>
      <c r="X45">
        <f t="shared" si="91"/>
        <v>1.1241650513129873</v>
      </c>
      <c r="Z45">
        <f t="shared" si="92"/>
        <v>1.3231255901851742</v>
      </c>
      <c r="AA45">
        <f t="shared" si="93"/>
        <v>1.3785316081425636</v>
      </c>
      <c r="AC45">
        <f t="shared" si="94"/>
        <v>1.1474853703107115</v>
      </c>
      <c r="AD45">
        <f t="shared" si="95"/>
        <v>0.74696339025386682</v>
      </c>
      <c r="AF45">
        <f t="shared" si="96"/>
        <v>0.8878037075050903</v>
      </c>
      <c r="AH45" s="55" t="s">
        <v>105</v>
      </c>
      <c r="AI45" s="7"/>
      <c r="AJ45" s="7">
        <f>AVERAGE(Y54)</f>
        <v>7.6405331413590272</v>
      </c>
      <c r="AK45" s="7"/>
      <c r="AL45" s="7"/>
      <c r="AM45" s="7">
        <f t="shared" ref="AM45" si="110">AVERAGE(AB54)</f>
        <v>9.9575811644067063</v>
      </c>
      <c r="AN45" s="7"/>
      <c r="AO45" s="7"/>
      <c r="AP45" s="7">
        <f t="shared" ref="AP45" si="111">AVERAGE(AE54)</f>
        <v>6.1534886827066639</v>
      </c>
      <c r="AQ45" s="8"/>
      <c r="AS45" s="2" t="s">
        <v>127</v>
      </c>
      <c r="AT45" s="5">
        <f t="shared" si="84"/>
        <v>13.04609050111522</v>
      </c>
      <c r="AU45" s="5">
        <f t="shared" si="85"/>
        <v>16.861731130409794</v>
      </c>
      <c r="AV45" s="6">
        <f t="shared" si="86"/>
        <v>9.5087276037087598</v>
      </c>
      <c r="AX45" s="2" t="s">
        <v>127</v>
      </c>
      <c r="AY45" s="5">
        <f t="shared" si="87"/>
        <v>13.138849745077925</v>
      </c>
      <c r="AZ45" s="5">
        <f t="shared" si="78"/>
        <v>3.6773792874715565</v>
      </c>
      <c r="BA45" s="5">
        <f t="shared" si="79"/>
        <v>13.523118423924814</v>
      </c>
      <c r="BB45" s="5">
        <f t="shared" si="80"/>
        <v>3.0025676149949656</v>
      </c>
      <c r="BC45" s="6">
        <f t="shared" si="81"/>
        <v>9.0154122826165555</v>
      </c>
      <c r="BE45" s="123" t="s">
        <v>121</v>
      </c>
      <c r="BF45" s="124"/>
      <c r="BG45" s="124"/>
      <c r="BH45" s="125"/>
    </row>
    <row r="46" spans="1:62" ht="15.75" thickBot="1">
      <c r="A46" s="48" t="s">
        <v>32</v>
      </c>
      <c r="B46" s="5">
        <v>4.2679782455902888</v>
      </c>
      <c r="C46" s="5"/>
      <c r="D46" s="5">
        <v>0.1975403853441835</v>
      </c>
      <c r="E46" s="5">
        <v>4.3063868755147476</v>
      </c>
      <c r="F46" s="5"/>
      <c r="G46" s="5">
        <v>0.1745422111369774</v>
      </c>
      <c r="H46" s="5">
        <v>3.1032588944730115</v>
      </c>
      <c r="I46" s="5"/>
      <c r="J46" s="5">
        <v>0.19285153510640396</v>
      </c>
      <c r="L46">
        <v>4.1601372626332334E-6</v>
      </c>
      <c r="N46">
        <v>1.9999701760000001E-5</v>
      </c>
      <c r="O46">
        <v>9.9998508799999989E-5</v>
      </c>
      <c r="P46">
        <v>4.9999254399999999E-4</v>
      </c>
      <c r="R46">
        <v>1.5E-3</v>
      </c>
      <c r="T46">
        <f t="shared" si="66"/>
        <v>7.2111929838130509E-3</v>
      </c>
      <c r="U46">
        <f t="shared" si="66"/>
        <v>3.605596491906525E-2</v>
      </c>
      <c r="V46">
        <f t="shared" si="66"/>
        <v>0.18027982459532624</v>
      </c>
      <c r="X46">
        <f t="shared" si="91"/>
        <v>3.0777214779667425E-2</v>
      </c>
      <c r="Z46">
        <f t="shared" si="92"/>
        <v>3.5612546020342556E-2</v>
      </c>
      <c r="AA46">
        <f t="shared" si="93"/>
        <v>3.1054186822296555E-2</v>
      </c>
      <c r="AC46">
        <f t="shared" si="94"/>
        <v>3.1466439208254683E-2</v>
      </c>
      <c r="AD46">
        <f t="shared" si="95"/>
        <v>2.2378198766779225E-2</v>
      </c>
      <c r="AF46">
        <f t="shared" si="96"/>
        <v>3.4767240921921905E-2</v>
      </c>
      <c r="AS46" s="53" t="s">
        <v>105</v>
      </c>
      <c r="AT46" s="5">
        <f t="shared" si="84"/>
        <v>7.6405331413590272</v>
      </c>
      <c r="AU46" s="5">
        <f t="shared" si="85"/>
        <v>9.9575811644067063</v>
      </c>
      <c r="AV46" s="6">
        <f t="shared" si="86"/>
        <v>6.1534886827066639</v>
      </c>
      <c r="AX46" s="53" t="s">
        <v>105</v>
      </c>
      <c r="AY46" s="5">
        <f t="shared" si="87"/>
        <v>7.9172009961574661</v>
      </c>
      <c r="AZ46" s="5">
        <f t="shared" si="78"/>
        <v>1.9170781749163919</v>
      </c>
      <c r="BA46" s="5">
        <f t="shared" si="79"/>
        <v>3.6751887287407641</v>
      </c>
      <c r="BB46" s="5">
        <f t="shared" si="80"/>
        <v>1.5652877751904002</v>
      </c>
      <c r="BC46" s="6">
        <f t="shared" si="81"/>
        <v>2.4501258191605126</v>
      </c>
      <c r="BE46" s="126"/>
      <c r="BF46" s="127"/>
      <c r="BG46" s="127"/>
      <c r="BH46" s="128"/>
    </row>
    <row r="47" spans="1:62" ht="15.75" thickBot="1">
      <c r="A47" s="50" t="s">
        <v>32</v>
      </c>
      <c r="B47" s="5">
        <v>4.9747721509469374</v>
      </c>
      <c r="C47" s="5"/>
      <c r="D47" s="5">
        <v>0.19228900113045194</v>
      </c>
      <c r="E47" s="5">
        <v>4.7563561346491268</v>
      </c>
      <c r="F47" s="5"/>
      <c r="G47" s="5">
        <v>0.1855117157571014</v>
      </c>
      <c r="H47" s="5">
        <v>3.4103950214209546</v>
      </c>
      <c r="I47" s="5"/>
      <c r="J47" s="5">
        <v>0.18306539650896425</v>
      </c>
      <c r="L47">
        <v>4.1601372626332334E-6</v>
      </c>
      <c r="N47">
        <v>1.9999701760000001E-5</v>
      </c>
      <c r="O47">
        <v>9.9998508799999989E-5</v>
      </c>
      <c r="P47">
        <v>4.9999254399999999E-4</v>
      </c>
      <c r="R47">
        <v>1.5E-3</v>
      </c>
      <c r="T47">
        <f t="shared" si="66"/>
        <v>7.2111929838130509E-3</v>
      </c>
      <c r="U47">
        <f t="shared" si="66"/>
        <v>3.605596491906525E-2</v>
      </c>
      <c r="V47">
        <f t="shared" si="66"/>
        <v>0.18027982459532624</v>
      </c>
      <c r="X47">
        <f t="shared" si="91"/>
        <v>3.5874042030977112E-2</v>
      </c>
      <c r="Z47">
        <f t="shared" si="92"/>
        <v>3.4665827395408362E-2</v>
      </c>
      <c r="AA47">
        <f t="shared" si="93"/>
        <v>3.4299001986697948E-2</v>
      </c>
      <c r="AC47">
        <f t="shared" si="94"/>
        <v>3.344401957706826E-2</v>
      </c>
      <c r="AD47">
        <f t="shared" si="95"/>
        <v>2.4593016650501748E-2</v>
      </c>
      <c r="AF47">
        <f t="shared" si="96"/>
        <v>3.3002997572109921E-2</v>
      </c>
      <c r="AS47" s="55" t="s">
        <v>126</v>
      </c>
      <c r="AT47" s="7">
        <f>AT45-AT46</f>
        <v>5.4055573597561928</v>
      </c>
      <c r="AU47" s="7">
        <f t="shared" ref="AU47" si="112">AU45-AU46</f>
        <v>6.9041499660030876</v>
      </c>
      <c r="AV47" s="8">
        <f>AV45-AV46</f>
        <v>3.3552389210020959</v>
      </c>
      <c r="AX47" s="55" t="s">
        <v>126</v>
      </c>
      <c r="AY47" s="7">
        <f t="shared" si="87"/>
        <v>5.221648748920459</v>
      </c>
      <c r="AZ47" s="7">
        <f t="shared" si="78"/>
        <v>1.781588949277346</v>
      </c>
      <c r="BA47" s="7">
        <f t="shared" si="79"/>
        <v>3.1740591841871577</v>
      </c>
      <c r="BB47" s="7">
        <f t="shared" si="80"/>
        <v>1.454661285703573</v>
      </c>
      <c r="BC47" s="8">
        <f t="shared" si="81"/>
        <v>2.116039456124772</v>
      </c>
    </row>
    <row r="48" spans="1:62">
      <c r="A48" s="48" t="s">
        <v>33</v>
      </c>
      <c r="B48" s="5">
        <v>8.2699611399658473</v>
      </c>
      <c r="C48" s="5"/>
      <c r="D48" s="5">
        <v>0.40271633319739047</v>
      </c>
      <c r="E48" s="5">
        <v>10.344664114759507</v>
      </c>
      <c r="F48" s="5"/>
      <c r="G48" s="5">
        <v>0.4493163968545838</v>
      </c>
      <c r="H48" s="5">
        <v>5.9526267866282918</v>
      </c>
      <c r="I48" s="5"/>
      <c r="J48" s="5">
        <v>0.34262756591776189</v>
      </c>
      <c r="L48">
        <v>4.1601372626332334E-6</v>
      </c>
      <c r="N48">
        <v>8.1269150917416013E-4</v>
      </c>
      <c r="O48">
        <v>4.0634575458708003E-3</v>
      </c>
      <c r="P48">
        <v>2.0317287729354001E-2</v>
      </c>
      <c r="R48">
        <v>1.5E-3</v>
      </c>
      <c r="T48">
        <f t="shared" si="66"/>
        <v>0.29302813508360748</v>
      </c>
      <c r="U48">
        <f t="shared" si="66"/>
        <v>1.4651406754180372</v>
      </c>
      <c r="V48">
        <f t="shared" si="66"/>
        <v>7.3257033770901865</v>
      </c>
      <c r="X48">
        <f t="shared" si="91"/>
        <v>2.4233312900580968</v>
      </c>
      <c r="Z48">
        <f t="shared" si="92"/>
        <v>2.9501804021135003</v>
      </c>
      <c r="AA48">
        <f t="shared" si="93"/>
        <v>3.0312776336142955</v>
      </c>
      <c r="AC48">
        <f t="shared" si="94"/>
        <v>3.2915586458196189</v>
      </c>
      <c r="AD48">
        <f t="shared" si="95"/>
        <v>1.7442871261344155</v>
      </c>
      <c r="AF48">
        <f t="shared" si="96"/>
        <v>2.5099879167279386</v>
      </c>
      <c r="AS48" s="16"/>
      <c r="AT48" s="5"/>
      <c r="AX48" s="5"/>
      <c r="AY48" s="5"/>
      <c r="AZ48" s="5"/>
      <c r="BA48" s="5"/>
      <c r="BB48" s="5"/>
      <c r="BC48" s="5"/>
    </row>
    <row r="49" spans="1:55">
      <c r="A49" s="50" t="s">
        <v>33</v>
      </c>
      <c r="B49" s="5">
        <v>8.2143010330077093</v>
      </c>
      <c r="C49" s="5"/>
      <c r="D49" s="5">
        <v>0.37779355138236326</v>
      </c>
      <c r="E49" s="5">
        <v>10.415671034861896</v>
      </c>
      <c r="F49" s="5"/>
      <c r="G49" s="5">
        <v>0.41841820708862282</v>
      </c>
      <c r="H49" s="5">
        <v>6.1948998231803305</v>
      </c>
      <c r="I49" s="5"/>
      <c r="J49" s="5">
        <v>0.32510921535704146</v>
      </c>
      <c r="L49">
        <v>4.1601372626332334E-6</v>
      </c>
      <c r="N49">
        <v>8.1269150917416013E-4</v>
      </c>
      <c r="O49">
        <v>4.0634575458708003E-3</v>
      </c>
      <c r="P49">
        <v>2.0317287729354001E-2</v>
      </c>
      <c r="R49">
        <v>1.5E-3</v>
      </c>
      <c r="T49">
        <f t="shared" si="66"/>
        <v>0.29302813508360748</v>
      </c>
      <c r="U49">
        <f t="shared" si="66"/>
        <v>1.4651406754180372</v>
      </c>
      <c r="V49">
        <f t="shared" si="66"/>
        <v>7.3257033770901865</v>
      </c>
      <c r="X49">
        <f t="shared" si="91"/>
        <v>2.4070213127175997</v>
      </c>
      <c r="Z49">
        <f t="shared" si="92"/>
        <v>2.7676034952046735</v>
      </c>
      <c r="AA49">
        <f t="shared" si="93"/>
        <v>3.0520846589899295</v>
      </c>
      <c r="AC49">
        <f t="shared" si="94"/>
        <v>3.0652076727051454</v>
      </c>
      <c r="AD49">
        <f t="shared" si="95"/>
        <v>1.815279942216302</v>
      </c>
      <c r="AF49">
        <f t="shared" si="96"/>
        <v>2.3816536768642194</v>
      </c>
      <c r="AS49" s="3"/>
      <c r="AT49" s="5"/>
      <c r="AX49" s="5"/>
      <c r="AY49" s="5"/>
      <c r="AZ49" s="5"/>
      <c r="BA49" s="5"/>
      <c r="BB49" s="5"/>
      <c r="BC49" s="5"/>
    </row>
    <row r="50" spans="1:55">
      <c r="A50" s="48" t="s">
        <v>34</v>
      </c>
      <c r="B50" s="5">
        <v>12.774155403839931</v>
      </c>
      <c r="C50" s="5"/>
      <c r="D50" s="5">
        <v>0.68503681489663271</v>
      </c>
      <c r="E50" s="5">
        <v>13.376479686824089</v>
      </c>
      <c r="F50" s="5"/>
      <c r="G50" s="5">
        <v>0.61995890189270708</v>
      </c>
      <c r="H50" s="5">
        <v>9.8638324549600984</v>
      </c>
      <c r="I50" s="5"/>
      <c r="J50" s="5">
        <v>0.59380597950490166</v>
      </c>
      <c r="L50">
        <v>4.1601372626332334E-6</v>
      </c>
      <c r="N50">
        <v>2.532140586768E-4</v>
      </c>
      <c r="O50">
        <v>1.266070293384E-3</v>
      </c>
      <c r="P50">
        <v>6.3303514669200006E-3</v>
      </c>
      <c r="R50">
        <v>1.5E-3</v>
      </c>
      <c r="T50">
        <f t="shared" si="66"/>
        <v>9.1300133634241054E-2</v>
      </c>
      <c r="U50">
        <f t="shared" si="66"/>
        <v>0.45650066817120527</v>
      </c>
      <c r="V50">
        <f t="shared" si="66"/>
        <v>2.2825033408560267</v>
      </c>
      <c r="X50">
        <f t="shared" si="91"/>
        <v>1.1662820954351483</v>
      </c>
      <c r="Z50">
        <f t="shared" si="92"/>
        <v>1.5635988186109357</v>
      </c>
      <c r="AA50">
        <f t="shared" si="93"/>
        <v>1.2212743829627501</v>
      </c>
      <c r="AC50">
        <f t="shared" si="94"/>
        <v>1.4150582647635377</v>
      </c>
      <c r="AD50">
        <f t="shared" si="95"/>
        <v>0.90056922128362094</v>
      </c>
      <c r="AF50">
        <f t="shared" si="96"/>
        <v>1.3553641320402234</v>
      </c>
      <c r="AS50" s="16"/>
      <c r="AT50" s="5"/>
    </row>
    <row r="51" spans="1:55">
      <c r="A51" s="50" t="s">
        <v>34</v>
      </c>
      <c r="B51" s="5">
        <v>12.936811020255982</v>
      </c>
      <c r="C51" s="5"/>
      <c r="D51" s="5">
        <v>0.63199913912019956</v>
      </c>
      <c r="E51" s="5">
        <v>15.438912625070293</v>
      </c>
      <c r="F51" s="5"/>
      <c r="G51" s="5">
        <v>0.5821106245738269</v>
      </c>
      <c r="H51" s="5">
        <v>11.13166680893216</v>
      </c>
      <c r="I51" s="5"/>
      <c r="J51" s="5">
        <v>0.54176077620299645</v>
      </c>
      <c r="L51">
        <v>4.1601372626332334E-6</v>
      </c>
      <c r="N51">
        <v>2.532140586768E-4</v>
      </c>
      <c r="O51">
        <v>1.266070293384E-3</v>
      </c>
      <c r="P51">
        <v>6.3303514669200006E-3</v>
      </c>
      <c r="R51">
        <v>1.5E-3</v>
      </c>
      <c r="T51">
        <f t="shared" si="66"/>
        <v>9.1300133634241054E-2</v>
      </c>
      <c r="U51">
        <f t="shared" si="66"/>
        <v>0.45650066817120527</v>
      </c>
      <c r="V51">
        <f t="shared" si="66"/>
        <v>2.2825033408560267</v>
      </c>
      <c r="X51">
        <f t="shared" si="91"/>
        <v>1.1811325749502934</v>
      </c>
      <c r="Z51">
        <f t="shared" si="92"/>
        <v>1.4425401464599883</v>
      </c>
      <c r="AA51">
        <f t="shared" si="93"/>
        <v>1.409574785836289</v>
      </c>
      <c r="AC51">
        <f t="shared" si="94"/>
        <v>1.3286694453375483</v>
      </c>
      <c r="AD51">
        <f t="shared" si="95"/>
        <v>1.0163226672273518</v>
      </c>
      <c r="AF51">
        <f t="shared" si="96"/>
        <v>1.2365707816280935</v>
      </c>
      <c r="AS51" s="16"/>
      <c r="AT51" s="5"/>
    </row>
    <row r="52" spans="1:55">
      <c r="A52" s="50" t="s">
        <v>72</v>
      </c>
      <c r="B52" s="5">
        <v>2.1384964706034353</v>
      </c>
      <c r="C52" s="5"/>
      <c r="D52" s="5">
        <v>0.1100672034898911</v>
      </c>
      <c r="E52" s="5">
        <v>2.3592278980966017</v>
      </c>
      <c r="F52" s="5"/>
      <c r="G52" s="5">
        <v>0.13255535555784348</v>
      </c>
      <c r="H52" s="5">
        <v>2.2821524565279567</v>
      </c>
      <c r="I52" s="5"/>
      <c r="J52" s="5">
        <v>9.8446892014859663E-2</v>
      </c>
      <c r="L52">
        <v>4.1601372626332334E-6</v>
      </c>
      <c r="N52">
        <v>4.762083970363401E-4</v>
      </c>
      <c r="O52">
        <v>2.3810419851817005E-3</v>
      </c>
      <c r="P52">
        <v>1.1905209925908503E-2</v>
      </c>
      <c r="R52">
        <v>1.5E-3</v>
      </c>
      <c r="T52">
        <f t="shared" si="66"/>
        <v>0.17170409302850098</v>
      </c>
      <c r="U52">
        <f t="shared" si="66"/>
        <v>0.85852046514250502</v>
      </c>
      <c r="V52">
        <f t="shared" si="66"/>
        <v>4.2926023257125241</v>
      </c>
      <c r="X52">
        <f t="shared" si="91"/>
        <v>0.36718859692961325</v>
      </c>
      <c r="Z52">
        <f t="shared" si="92"/>
        <v>0.47247473368538018</v>
      </c>
      <c r="AA52">
        <f t="shared" si="93"/>
        <v>0.40508908649021375</v>
      </c>
      <c r="AC52">
        <f t="shared" si="94"/>
        <v>0.56900742755324951</v>
      </c>
      <c r="AD52">
        <f t="shared" si="95"/>
        <v>0.39185491770089831</v>
      </c>
      <c r="AF52">
        <f t="shared" si="96"/>
        <v>0.42259335762215633</v>
      </c>
      <c r="AS52" s="3"/>
      <c r="AT52" s="5"/>
    </row>
    <row r="53" spans="1:55">
      <c r="A53" s="50" t="s">
        <v>73</v>
      </c>
      <c r="B53" s="5">
        <v>6.9874974874920639</v>
      </c>
      <c r="C53" s="5"/>
      <c r="D53" s="5">
        <v>0.36848524853956643</v>
      </c>
      <c r="E53" s="5">
        <v>9.2086397880457955</v>
      </c>
      <c r="F53" s="5"/>
      <c r="G53" s="5">
        <v>0.46915828305290025</v>
      </c>
      <c r="H53" s="5">
        <v>4.6310524793962449</v>
      </c>
      <c r="I53" s="5"/>
      <c r="J53" s="5">
        <v>0.28704607508044633</v>
      </c>
      <c r="L53">
        <v>4.1601372626332334E-6</v>
      </c>
      <c r="N53">
        <v>4.4670593569088E-3</v>
      </c>
      <c r="O53">
        <v>2.2335296784544E-2</v>
      </c>
      <c r="P53">
        <v>0.11167648392272</v>
      </c>
      <c r="R53">
        <v>1.5E-3</v>
      </c>
      <c r="T53">
        <f t="shared" si="66"/>
        <v>1.610665372882899</v>
      </c>
      <c r="U53">
        <f t="shared" si="66"/>
        <v>8.0533268644144957</v>
      </c>
      <c r="V53">
        <f t="shared" si="66"/>
        <v>40.266634322072477</v>
      </c>
      <c r="X53">
        <f t="shared" si="91"/>
        <v>11.254520246209726</v>
      </c>
      <c r="Z53">
        <f t="shared" si="92"/>
        <v>14.837660756020712</v>
      </c>
      <c r="AA53">
        <f t="shared" si="93"/>
        <v>14.832037237957081</v>
      </c>
      <c r="AC53">
        <f t="shared" si="94"/>
        <v>18.891425022862506</v>
      </c>
      <c r="AD53">
        <f t="shared" si="95"/>
        <v>7.4590758685670266</v>
      </c>
      <c r="AF53">
        <f t="shared" si="96"/>
        <v>11.558379338850493</v>
      </c>
      <c r="AS53" s="16"/>
      <c r="AT53" s="5"/>
    </row>
    <row r="54" spans="1:55">
      <c r="A54" s="50" t="s">
        <v>84</v>
      </c>
      <c r="B54" s="5"/>
      <c r="C54" s="5">
        <v>0.94874246010310426</v>
      </c>
      <c r="D54" s="5"/>
      <c r="E54" s="5"/>
      <c r="F54" s="5">
        <v>1.2364556079806723</v>
      </c>
      <c r="G54" s="5"/>
      <c r="H54" s="5"/>
      <c r="I54" s="5">
        <v>0.76409275151829359</v>
      </c>
      <c r="J54" s="5"/>
      <c r="L54">
        <v>4.1601372626332334E-6</v>
      </c>
      <c r="N54">
        <v>4.4670593569088E-3</v>
      </c>
      <c r="O54">
        <v>2.2335296784544E-2</v>
      </c>
      <c r="P54">
        <v>0.11167648392272</v>
      </c>
      <c r="R54">
        <v>1.5E-3</v>
      </c>
      <c r="T54">
        <f t="shared" si="66"/>
        <v>1.610665372882899</v>
      </c>
      <c r="U54">
        <f t="shared" si="66"/>
        <v>8.0533268644144957</v>
      </c>
      <c r="V54">
        <f t="shared" si="66"/>
        <v>40.266634322072477</v>
      </c>
      <c r="Y54">
        <f t="shared" ref="Y54" si="113">U54*C54</f>
        <v>7.6405331413590272</v>
      </c>
      <c r="AB54">
        <f>U54*F54</f>
        <v>9.9575811644067063</v>
      </c>
      <c r="AE54">
        <f>U54*I54</f>
        <v>6.1534886827066639</v>
      </c>
      <c r="AS54" s="16"/>
      <c r="AT54" s="5"/>
    </row>
    <row r="55" spans="1:55">
      <c r="AS55" s="5"/>
      <c r="AT55" s="5"/>
    </row>
  </sheetData>
  <mergeCells count="26">
    <mergeCell ref="B1:D1"/>
    <mergeCell ref="BE45:BH46"/>
    <mergeCell ref="AD28:AF28"/>
    <mergeCell ref="AI28:AK28"/>
    <mergeCell ref="AL28:AN28"/>
    <mergeCell ref="AO28:AQ28"/>
    <mergeCell ref="AX28:BC28"/>
    <mergeCell ref="X28:Z28"/>
    <mergeCell ref="AA28:AC28"/>
    <mergeCell ref="AA1:AC1"/>
    <mergeCell ref="AD1:AF1"/>
    <mergeCell ref="AI1:AK1"/>
    <mergeCell ref="B28:D28"/>
    <mergeCell ref="E28:G28"/>
    <mergeCell ref="H28:J28"/>
    <mergeCell ref="N28:P28"/>
    <mergeCell ref="T28:V28"/>
    <mergeCell ref="BE14:BF14"/>
    <mergeCell ref="E1:G1"/>
    <mergeCell ref="H1:J1"/>
    <mergeCell ref="N1:P1"/>
    <mergeCell ref="T1:V1"/>
    <mergeCell ref="X1:Z1"/>
    <mergeCell ref="AL1:AN1"/>
    <mergeCell ref="AO1:AQ1"/>
    <mergeCell ref="AX1:BC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A0FB-8600-427D-96CC-1EAEB96971AA}">
  <dimension ref="A1:M61"/>
  <sheetViews>
    <sheetView tabSelected="1" zoomScale="85" zoomScaleNormal="85" workbookViewId="0">
      <selection activeCell="H16" sqref="H16"/>
    </sheetView>
  </sheetViews>
  <sheetFormatPr defaultRowHeight="15"/>
  <cols>
    <col min="1" max="1" width="20.28515625" bestFit="1" customWidth="1"/>
    <col min="2" max="6" width="15" bestFit="1" customWidth="1"/>
    <col min="7" max="7" width="20.85546875" bestFit="1" customWidth="1"/>
    <col min="8" max="8" width="13.85546875" bestFit="1" customWidth="1"/>
    <col min="9" max="9" width="8.28515625" bestFit="1" customWidth="1"/>
    <col min="10" max="10" width="14.7109375" bestFit="1" customWidth="1"/>
    <col min="11" max="11" width="12.5703125" bestFit="1" customWidth="1"/>
    <col min="12" max="12" width="12.7109375" bestFit="1" customWidth="1"/>
  </cols>
  <sheetData>
    <row r="1" spans="1:12" ht="15.75" thickBot="1">
      <c r="B1" s="129" t="s">
        <v>129</v>
      </c>
      <c r="C1" s="129"/>
      <c r="D1" s="129"/>
      <c r="E1" s="129" t="s">
        <v>130</v>
      </c>
      <c r="F1" s="129"/>
      <c r="G1" s="129"/>
      <c r="H1" s="68"/>
    </row>
    <row r="2" spans="1:12">
      <c r="A2" s="11" t="s">
        <v>18</v>
      </c>
      <c r="B2" s="11" t="s">
        <v>112</v>
      </c>
      <c r="C2" s="40" t="s">
        <v>113</v>
      </c>
      <c r="D2" s="41" t="s">
        <v>114</v>
      </c>
      <c r="E2" s="40" t="s">
        <v>112</v>
      </c>
      <c r="F2" s="40" t="s">
        <v>113</v>
      </c>
      <c r="G2" s="41" t="s">
        <v>114</v>
      </c>
      <c r="H2" s="1" t="s">
        <v>134</v>
      </c>
      <c r="I2" s="1" t="s">
        <v>118</v>
      </c>
      <c r="J2" s="1" t="s">
        <v>131</v>
      </c>
      <c r="K2" s="1" t="s">
        <v>132</v>
      </c>
      <c r="L2" s="1" t="s">
        <v>133</v>
      </c>
    </row>
    <row r="3" spans="1:12">
      <c r="A3" s="2" t="s">
        <v>0</v>
      </c>
      <c r="B3" s="69">
        <v>0.16123464088747014</v>
      </c>
      <c r="C3" s="70">
        <v>0.15035866445019863</v>
      </c>
      <c r="D3" s="71">
        <v>0.14194156287033705</v>
      </c>
      <c r="E3" s="70">
        <v>0.17762349598583924</v>
      </c>
      <c r="F3" s="70">
        <v>0.18707388117277782</v>
      </c>
      <c r="G3" s="71">
        <v>0.18903315859303213</v>
      </c>
      <c r="H3" s="72">
        <f>AVERAGE(B3:G3)/1000</f>
        <v>1.6787756732660917E-4</v>
      </c>
      <c r="I3" s="72">
        <f>_xlfn.STDEV.S(B3:G3)/1000</f>
        <v>1.9671082275096341E-5</v>
      </c>
      <c r="J3" s="72">
        <f>_xlfn.CONFIDENCE.NORM(0.05,I3,6)</f>
        <v>1.5739854763509331E-5</v>
      </c>
      <c r="K3" s="72">
        <f>H3-J3</f>
        <v>1.5213771256309983E-4</v>
      </c>
      <c r="L3" s="72">
        <f>H3+J3</f>
        <v>1.8361742209011851E-4</v>
      </c>
    </row>
    <row r="4" spans="1:12">
      <c r="A4" s="2" t="s">
        <v>22</v>
      </c>
      <c r="B4" s="69">
        <v>1.5177983383074656E-2</v>
      </c>
      <c r="C4" s="70">
        <v>1.2771187344918351E-2</v>
      </c>
      <c r="D4" s="71">
        <v>1.2569333172851246E-2</v>
      </c>
      <c r="E4" s="70">
        <v>1.3199750837091887E-2</v>
      </c>
      <c r="F4" s="70">
        <v>1.5494179563408849E-2</v>
      </c>
      <c r="G4" s="71">
        <v>1.4673362431367775E-2</v>
      </c>
      <c r="H4" s="72">
        <f t="shared" ref="H4:H20" si="0">AVERAGE(B4:G4)/1000</f>
        <v>1.3980966122118794E-5</v>
      </c>
      <c r="I4" s="72">
        <f>_xlfn.STDEV.S(B4:G4)/1000</f>
        <v>1.2859741432681174E-6</v>
      </c>
      <c r="J4" s="72">
        <f t="shared" ref="J4:J20" si="1">_xlfn.CONFIDENCE.NORM(0.05,I4,6)</f>
        <v>1.0289747133178202E-6</v>
      </c>
      <c r="K4" s="72">
        <f t="shared" ref="K4:K20" si="2">H4-J4</f>
        <v>1.2951991408800973E-5</v>
      </c>
      <c r="L4" s="72">
        <f t="shared" ref="L4:L20" si="3">H4+J4</f>
        <v>1.5009940835436615E-5</v>
      </c>
    </row>
    <row r="5" spans="1:12">
      <c r="A5" s="2" t="s">
        <v>23</v>
      </c>
      <c r="B5" s="69">
        <v>3.0866785883472171E-2</v>
      </c>
      <c r="C5" s="70">
        <v>2.7056587839677959E-2</v>
      </c>
      <c r="D5" s="71">
        <v>2.2740655548908809E-2</v>
      </c>
      <c r="E5" s="70">
        <v>4.4559519588935566E-2</v>
      </c>
      <c r="F5" s="70">
        <v>4.6006766348557805E-2</v>
      </c>
      <c r="G5" s="71">
        <v>4.4529167370924182E-2</v>
      </c>
      <c r="H5" s="72">
        <f t="shared" si="0"/>
        <v>3.5959913763412754E-5</v>
      </c>
      <c r="I5" s="72">
        <f>_xlfn.STDEV.S(B5:G5)/1000</f>
        <v>1.0278935027124709E-5</v>
      </c>
      <c r="J5" s="72">
        <f t="shared" si="1"/>
        <v>8.2247098653700982E-6</v>
      </c>
      <c r="K5" s="72">
        <f t="shared" si="2"/>
        <v>2.7735203898042654E-5</v>
      </c>
      <c r="L5" s="72">
        <f t="shared" si="3"/>
        <v>4.4184623628782853E-5</v>
      </c>
    </row>
    <row r="6" spans="1:12">
      <c r="A6" s="2" t="s">
        <v>125</v>
      </c>
      <c r="B6" s="69">
        <v>0.11728492029838965</v>
      </c>
      <c r="C6" s="70">
        <v>0.14218214325154971</v>
      </c>
      <c r="D6" s="71">
        <v>0.10070610872859437</v>
      </c>
      <c r="E6" s="70">
        <v>0.17768990170020604</v>
      </c>
      <c r="F6" s="70">
        <v>0.19244929097502031</v>
      </c>
      <c r="G6" s="71">
        <v>0.19329022431154166</v>
      </c>
      <c r="H6" s="72">
        <f t="shared" si="0"/>
        <v>1.5393376487755027E-4</v>
      </c>
      <c r="I6" s="72">
        <f t="shared" ref="I4:I20" si="4">_xlfn.STDEV.S(B6:G6)/1000</f>
        <v>3.977726105558471E-5</v>
      </c>
      <c r="J6" s="72">
        <f t="shared" si="1"/>
        <v>3.1827852842531654E-5</v>
      </c>
      <c r="K6" s="72">
        <f t="shared" si="2"/>
        <v>1.2210591203501862E-4</v>
      </c>
      <c r="L6" s="72">
        <f t="shared" si="3"/>
        <v>1.8576161772008193E-4</v>
      </c>
    </row>
    <row r="7" spans="1:12">
      <c r="A7" s="2" t="s">
        <v>83</v>
      </c>
      <c r="B7" s="69">
        <v>1.6857957213869582E-2</v>
      </c>
      <c r="C7" s="70">
        <v>6.0659788771713762E-2</v>
      </c>
      <c r="D7" s="71">
        <v>2.0422601275136922E-2</v>
      </c>
      <c r="E7" s="70">
        <v>2.9156998090677066E-2</v>
      </c>
      <c r="F7" s="70">
        <v>2.3886433346174695E-2</v>
      </c>
      <c r="G7" s="71">
        <v>2.2277587183964696E-2</v>
      </c>
      <c r="H7" s="72">
        <f t="shared" si="0"/>
        <v>2.8876894313589451E-5</v>
      </c>
      <c r="I7" s="72">
        <f t="shared" si="4"/>
        <v>1.6091092649709433E-5</v>
      </c>
      <c r="J7" s="72">
        <f t="shared" si="1"/>
        <v>1.2875319097884185E-5</v>
      </c>
      <c r="K7" s="72">
        <f t="shared" si="2"/>
        <v>1.6001575215705266E-5</v>
      </c>
      <c r="L7" s="72">
        <f t="shared" si="3"/>
        <v>4.1752213411473636E-5</v>
      </c>
    </row>
    <row r="8" spans="1:12">
      <c r="A8" s="2" t="s">
        <v>124</v>
      </c>
      <c r="B8" s="69">
        <v>0.10042696308452</v>
      </c>
      <c r="C8" s="70">
        <v>8.152235447983594E-2</v>
      </c>
      <c r="D8" s="71">
        <v>8.0283507453457442E-2</v>
      </c>
      <c r="E8" s="70">
        <v>0.14853290360952898</v>
      </c>
      <c r="F8" s="70">
        <v>0.16856285762884562</v>
      </c>
      <c r="G8" s="71">
        <v>0.17101263712757697</v>
      </c>
      <c r="H8" s="72">
        <f>AVERAGE(B8:G8)/1000</f>
        <v>1.2505687056396083E-4</v>
      </c>
      <c r="I8" s="72">
        <f t="shared" si="4"/>
        <v>4.2573155851653367E-5</v>
      </c>
      <c r="J8" s="72">
        <f t="shared" si="1"/>
        <v>3.4064993504582833E-5</v>
      </c>
      <c r="K8" s="72">
        <f t="shared" si="2"/>
        <v>9.0991877059378001E-5</v>
      </c>
      <c r="L8" s="72">
        <f t="shared" si="3"/>
        <v>1.5912186406854368E-4</v>
      </c>
    </row>
    <row r="9" spans="1:12">
      <c r="A9" s="2" t="s">
        <v>50</v>
      </c>
      <c r="B9" s="69">
        <v>5.2629993164852564E-3</v>
      </c>
      <c r="C9" s="70">
        <v>7.7214988280242735E-3</v>
      </c>
      <c r="D9" s="71">
        <v>4.9397615535451012E-3</v>
      </c>
      <c r="E9" s="70">
        <v>7.6142459852513366E-3</v>
      </c>
      <c r="F9" s="70">
        <v>9.7346224135527182E-3</v>
      </c>
      <c r="G9" s="71">
        <v>9.1555139295743694E-3</v>
      </c>
      <c r="H9" s="72">
        <f t="shared" si="0"/>
        <v>7.4047736710721762E-6</v>
      </c>
      <c r="I9" s="72">
        <f t="shared" si="4"/>
        <v>1.9647372453615225E-6</v>
      </c>
      <c r="J9" s="72">
        <f t="shared" si="1"/>
        <v>1.5720883303710497E-6</v>
      </c>
      <c r="K9" s="72">
        <f t="shared" si="2"/>
        <v>5.8326853407011263E-6</v>
      </c>
      <c r="L9" s="72">
        <f t="shared" si="3"/>
        <v>8.9768620014432253E-6</v>
      </c>
    </row>
    <row r="10" spans="1:12">
      <c r="A10" s="2" t="s">
        <v>55</v>
      </c>
      <c r="B10" s="69">
        <v>6.5731110416171103E-3</v>
      </c>
      <c r="C10" s="70">
        <v>8.4264268422872476E-3</v>
      </c>
      <c r="D10" s="71">
        <v>5.2867501031676062E-3</v>
      </c>
      <c r="E10" s="70">
        <v>7.0415542035573465E-3</v>
      </c>
      <c r="F10" s="70">
        <v>7.7954810223849385E-3</v>
      </c>
      <c r="G10" s="71">
        <v>7.3932509658125164E-3</v>
      </c>
      <c r="H10" s="72">
        <f t="shared" si="0"/>
        <v>7.0860956964711276E-6</v>
      </c>
      <c r="I10" s="72">
        <f>_xlfn.STDEV.S(B10:G10)/1000</f>
        <v>1.0859872232580145E-6</v>
      </c>
      <c r="J10" s="72">
        <f>_xlfn.CONFIDENCE.NORM(0.05,I10,6)</f>
        <v>8.6895479008534701E-7</v>
      </c>
      <c r="K10" s="72">
        <f t="shared" si="2"/>
        <v>6.2171409063857804E-6</v>
      </c>
      <c r="L10" s="72">
        <f t="shared" si="3"/>
        <v>7.9550504865564748E-6</v>
      </c>
    </row>
    <row r="11" spans="1:12">
      <c r="A11" s="2" t="s">
        <v>28</v>
      </c>
      <c r="B11" s="69">
        <v>3.6095261589681E-3</v>
      </c>
      <c r="C11" s="70">
        <v>3.3291845391670363E-3</v>
      </c>
      <c r="D11" s="71">
        <v>2.8897424229213514E-3</v>
      </c>
      <c r="E11" s="73">
        <v>6.1685250295876919E-3</v>
      </c>
      <c r="F11" s="73">
        <v>8.5335863162024749E-3</v>
      </c>
      <c r="G11" s="74">
        <v>6.7566720131307214E-3</v>
      </c>
      <c r="H11" s="72">
        <f>AVERAGE(B11:D11)/1000</f>
        <v>3.2761510403521628E-6</v>
      </c>
      <c r="I11" s="72">
        <f>_xlfn.STDEV.S(B11:D11)/1000</f>
        <v>3.6281065401496172E-7</v>
      </c>
      <c r="J11" s="72">
        <f>_xlfn.CONFIDENCE.NORM(0.05,I11,3)</f>
        <v>4.1055136025417631E-7</v>
      </c>
      <c r="K11" s="72">
        <f>H11-J11</f>
        <v>2.8655996800979863E-6</v>
      </c>
      <c r="L11" s="72">
        <f t="shared" si="3"/>
        <v>3.6867024006063392E-6</v>
      </c>
    </row>
    <row r="12" spans="1:12">
      <c r="A12" s="2" t="s">
        <v>29</v>
      </c>
      <c r="B12" s="69">
        <v>2.9824093083367146E-2</v>
      </c>
      <c r="C12" s="70">
        <v>2.518824955802474E-2</v>
      </c>
      <c r="D12" s="71">
        <v>2.0094164445918897E-2</v>
      </c>
      <c r="E12" s="70">
        <v>2.705136426092139E-2</v>
      </c>
      <c r="F12" s="70">
        <v>2.5508296828682345E-2</v>
      </c>
      <c r="G12" s="71">
        <v>2.5677553038349694E-2</v>
      </c>
      <c r="H12" s="72">
        <f t="shared" si="0"/>
        <v>2.5557286869210701E-5</v>
      </c>
      <c r="I12" s="72">
        <f>_xlfn.STDEV.S(B12:G12)/1000</f>
        <v>3.176056096671357E-6</v>
      </c>
      <c r="J12" s="72">
        <f t="shared" si="1"/>
        <v>2.5413274665448307E-6</v>
      </c>
      <c r="K12" s="72">
        <f t="shared" si="2"/>
        <v>2.3015959402665869E-5</v>
      </c>
      <c r="L12" s="72">
        <f t="shared" si="3"/>
        <v>2.8098614335755533E-5</v>
      </c>
    </row>
    <row r="13" spans="1:12">
      <c r="A13" s="2" t="s">
        <v>35</v>
      </c>
      <c r="B13" s="69">
        <v>1.2362728634920586</v>
      </c>
      <c r="C13" s="70">
        <v>1.2868705299067436</v>
      </c>
      <c r="D13" s="71">
        <v>0.82144115665204509</v>
      </c>
      <c r="E13" s="70">
        <v>1.1005993193347765</v>
      </c>
      <c r="F13" s="70">
        <v>1.1738550190552985</v>
      </c>
      <c r="G13" s="71">
        <v>1.0855654603592881</v>
      </c>
      <c r="H13" s="72">
        <f t="shared" si="0"/>
        <v>1.1174340581333684E-3</v>
      </c>
      <c r="I13" s="72">
        <f t="shared" si="4"/>
        <v>1.6427143278079667E-4</v>
      </c>
      <c r="J13" s="72">
        <f t="shared" si="1"/>
        <v>1.3144210662149051E-4</v>
      </c>
      <c r="K13" s="72">
        <f t="shared" si="2"/>
        <v>9.8599195151187783E-4</v>
      </c>
      <c r="L13" s="72">
        <f t="shared" si="3"/>
        <v>1.248876164754859E-3</v>
      </c>
    </row>
    <row r="14" spans="1:12">
      <c r="A14" s="2" t="s">
        <v>32</v>
      </c>
      <c r="B14" s="69">
        <v>3.4232407556598864E-2</v>
      </c>
      <c r="C14" s="70">
        <v>3.2565911898579367E-2</v>
      </c>
      <c r="D14" s="71">
        <v>2.8685363477828199E-2</v>
      </c>
      <c r="E14" s="70">
        <v>3.4197499567455748E-2</v>
      </c>
      <c r="F14" s="70">
        <v>3.8317571542245889E-2</v>
      </c>
      <c r="G14" s="71">
        <v>3.7217189004971174E-2</v>
      </c>
      <c r="H14" s="72">
        <f t="shared" si="0"/>
        <v>3.4202657174613205E-5</v>
      </c>
      <c r="I14" s="72">
        <f t="shared" si="4"/>
        <v>3.4391946420792695E-6</v>
      </c>
      <c r="J14" s="72">
        <f t="shared" si="1"/>
        <v>2.7518782857361637E-6</v>
      </c>
      <c r="K14" s="72">
        <f t="shared" si="2"/>
        <v>3.1450778888877039E-5</v>
      </c>
      <c r="L14" s="72">
        <f t="shared" si="3"/>
        <v>3.6954535460349372E-5</v>
      </c>
    </row>
    <row r="15" spans="1:12">
      <c r="A15" s="2" t="s">
        <v>33</v>
      </c>
      <c r="B15" s="69">
        <v>2.6370341250234679</v>
      </c>
      <c r="C15" s="70">
        <v>3.1100321527822472</v>
      </c>
      <c r="D15" s="71">
        <v>2.1128021654857188</v>
      </c>
      <c r="E15" s="70">
        <v>2.8037064730393708</v>
      </c>
      <c r="F15" s="70">
        <v>3.098915948052845</v>
      </c>
      <c r="G15" s="71">
        <v>3.1196431094695094</v>
      </c>
      <c r="H15" s="72">
        <f t="shared" si="0"/>
        <v>2.8136889956421932E-3</v>
      </c>
      <c r="I15" s="72">
        <f t="shared" si="4"/>
        <v>3.9631566804522971E-4</v>
      </c>
      <c r="J15" s="72">
        <f t="shared" si="1"/>
        <v>3.1711275304014964E-4</v>
      </c>
      <c r="K15" s="72">
        <f t="shared" si="2"/>
        <v>2.4965762426020434E-3</v>
      </c>
      <c r="L15" s="72">
        <f t="shared" si="3"/>
        <v>3.130801748682343E-3</v>
      </c>
    </row>
    <row r="16" spans="1:12">
      <c r="A16" s="2" t="s">
        <v>34</v>
      </c>
      <c r="B16" s="69">
        <v>1.3383884088640916</v>
      </c>
      <c r="C16" s="70">
        <v>1.3436442197250313</v>
      </c>
      <c r="D16" s="71">
        <v>1.1272067005448225</v>
      </c>
      <c r="E16" s="70">
        <v>1.2697545209376599</v>
      </c>
      <c r="F16" s="70">
        <v>1.253452489878512</v>
      </c>
      <c r="G16" s="71">
        <v>1.2858652923354723</v>
      </c>
      <c r="H16" s="72">
        <f t="shared" si="0"/>
        <v>1.2697186053809318E-3</v>
      </c>
      <c r="I16" s="72">
        <f t="shared" si="4"/>
        <v>7.8759741860493402E-5</v>
      </c>
      <c r="J16" s="72">
        <f t="shared" si="1"/>
        <v>6.3019760720795466E-5</v>
      </c>
      <c r="K16" s="72">
        <f t="shared" si="2"/>
        <v>1.2066988446601363E-3</v>
      </c>
      <c r="L16" s="72">
        <f t="shared" si="3"/>
        <v>1.3327383661017273E-3</v>
      </c>
    </row>
    <row r="17" spans="1:13">
      <c r="A17" s="2" t="s">
        <v>30</v>
      </c>
      <c r="B17" s="69">
        <v>0.41983166530749672</v>
      </c>
      <c r="C17" s="70">
        <v>0.4870482570217316</v>
      </c>
      <c r="D17" s="71">
        <v>0.40722413766152732</v>
      </c>
      <c r="E17" s="70">
        <v>1.639327541906028</v>
      </c>
      <c r="F17" s="70">
        <v>1.5512788608595434</v>
      </c>
      <c r="G17" s="71">
        <v>1.5136960443658543</v>
      </c>
      <c r="H17" s="72">
        <f t="shared" si="0"/>
        <v>1.0030677511870304E-3</v>
      </c>
      <c r="I17" s="72">
        <f t="shared" si="4"/>
        <v>6.2089826185272705E-4</v>
      </c>
      <c r="J17" s="72">
        <f t="shared" si="1"/>
        <v>4.9681295252624561E-4</v>
      </c>
      <c r="K17" s="72">
        <f t="shared" si="2"/>
        <v>5.0625479866078479E-4</v>
      </c>
      <c r="L17" s="72">
        <f t="shared" si="3"/>
        <v>1.4998807037132759E-3</v>
      </c>
    </row>
    <row r="18" spans="1:13">
      <c r="A18" s="2" t="s">
        <v>127</v>
      </c>
      <c r="B18" s="69">
        <v>13.04609050111522</v>
      </c>
      <c r="C18" s="70">
        <v>16.861731130409794</v>
      </c>
      <c r="D18" s="71">
        <v>9.5087276037087598</v>
      </c>
      <c r="E18" s="70">
        <v>15.047255768210418</v>
      </c>
      <c r="F18" s="70">
        <v>15.054375286233745</v>
      </c>
      <c r="G18" s="71">
        <v>12.81728406088587</v>
      </c>
      <c r="H18" s="72">
        <f t="shared" si="0"/>
        <v>1.3722577391760636E-2</v>
      </c>
      <c r="I18" s="72">
        <f t="shared" si="4"/>
        <v>2.5462311439473657E-3</v>
      </c>
      <c r="J18" s="72">
        <f t="shared" si="1"/>
        <v>2.0373718049460738E-3</v>
      </c>
      <c r="K18" s="72">
        <f t="shared" si="2"/>
        <v>1.1685205586814563E-2</v>
      </c>
      <c r="L18" s="72">
        <f t="shared" si="3"/>
        <v>1.5759949196706709E-2</v>
      </c>
    </row>
    <row r="19" spans="1:13">
      <c r="A19" s="2" t="s">
        <v>105</v>
      </c>
      <c r="B19" s="69">
        <v>7.6405331413590272</v>
      </c>
      <c r="C19" s="70">
        <v>9.9575811644067063</v>
      </c>
      <c r="D19" s="71">
        <v>6.1534886827066639</v>
      </c>
      <c r="E19" s="70">
        <v>6.5415776347484922</v>
      </c>
      <c r="F19" s="70">
        <v>8.2717405689082764</v>
      </c>
      <c r="G19" s="71">
        <v>5.6981259686147396</v>
      </c>
      <c r="H19" s="72">
        <f t="shared" si="0"/>
        <v>7.3771745267906513E-3</v>
      </c>
      <c r="I19" s="72">
        <f t="shared" si="4"/>
        <v>1.5838521301399973E-3</v>
      </c>
      <c r="J19" s="72">
        <f t="shared" si="1"/>
        <v>1.2673223642015569E-3</v>
      </c>
      <c r="K19" s="72">
        <f t="shared" si="2"/>
        <v>6.1098521625890939E-3</v>
      </c>
      <c r="L19" s="72">
        <f t="shared" si="3"/>
        <v>8.6444968909922086E-3</v>
      </c>
    </row>
    <row r="20" spans="1:13" ht="15.75" thickBot="1">
      <c r="A20" s="36" t="s">
        <v>126</v>
      </c>
      <c r="B20" s="75">
        <v>5.4055573597561928</v>
      </c>
      <c r="C20" s="76">
        <v>6.9041499660030876</v>
      </c>
      <c r="D20" s="77">
        <v>3.3552389210020959</v>
      </c>
      <c r="E20" s="76">
        <v>8.5056781334619256</v>
      </c>
      <c r="F20" s="76">
        <v>6.7826347173254682</v>
      </c>
      <c r="G20" s="77">
        <v>7.1191580922711299</v>
      </c>
      <c r="H20" s="72">
        <f t="shared" si="0"/>
        <v>6.3454028649699836E-3</v>
      </c>
      <c r="I20" s="72">
        <f t="shared" si="4"/>
        <v>1.7659697839168731E-3</v>
      </c>
      <c r="J20" s="72">
        <f t="shared" si="1"/>
        <v>1.4130441592828632E-3</v>
      </c>
      <c r="K20" s="72">
        <f t="shared" si="2"/>
        <v>4.9323587056871203E-3</v>
      </c>
      <c r="L20" s="72">
        <f t="shared" si="3"/>
        <v>7.758447024252847E-3</v>
      </c>
    </row>
    <row r="21" spans="1:13" ht="15.75" thickBot="1"/>
    <row r="22" spans="1:13">
      <c r="A22" s="123" t="s">
        <v>121</v>
      </c>
      <c r="B22" s="124"/>
      <c r="C22" s="124"/>
      <c r="D22" s="125"/>
    </row>
    <row r="23" spans="1:13" ht="15.75" thickBot="1">
      <c r="A23" s="126"/>
      <c r="B23" s="127"/>
      <c r="C23" s="127"/>
      <c r="D23" s="128"/>
    </row>
    <row r="24" spans="1:13">
      <c r="G24" s="5"/>
      <c r="H24" s="5"/>
      <c r="I24" s="5"/>
      <c r="J24" s="5"/>
      <c r="K24" s="5"/>
      <c r="L24" s="5"/>
      <c r="M24" s="5"/>
    </row>
    <row r="25" spans="1:13">
      <c r="G25" s="5"/>
      <c r="H25" s="5"/>
      <c r="I25" s="5"/>
      <c r="J25" s="61"/>
      <c r="K25" s="61"/>
      <c r="L25" s="5"/>
      <c r="M25" s="5"/>
    </row>
    <row r="26" spans="1:13">
      <c r="G26" s="5"/>
      <c r="H26" s="5"/>
      <c r="I26" s="5"/>
      <c r="J26" s="61"/>
      <c r="K26" s="61"/>
      <c r="L26" s="5"/>
      <c r="M26" s="5"/>
    </row>
    <row r="27" spans="1:13">
      <c r="G27" s="5"/>
      <c r="H27" s="5"/>
      <c r="I27" s="5"/>
      <c r="J27" s="61"/>
      <c r="K27" s="61"/>
      <c r="L27" s="5"/>
      <c r="M27" s="5"/>
    </row>
    <row r="28" spans="1:13">
      <c r="G28" s="3"/>
      <c r="H28" s="5"/>
      <c r="I28" s="5"/>
      <c r="J28" s="61"/>
      <c r="K28" s="61"/>
      <c r="L28" s="5"/>
      <c r="M28" s="5"/>
    </row>
    <row r="29" spans="1:13">
      <c r="G29" s="3"/>
      <c r="H29" s="5"/>
      <c r="I29" s="5"/>
      <c r="J29" s="61"/>
      <c r="K29" s="61"/>
      <c r="L29" s="5"/>
      <c r="M29" s="5"/>
    </row>
    <row r="30" spans="1:13">
      <c r="G30" s="5"/>
      <c r="H30" s="5"/>
      <c r="I30" s="5"/>
      <c r="J30" s="61"/>
      <c r="K30" s="61"/>
      <c r="L30" s="5"/>
      <c r="M30" s="5"/>
    </row>
    <row r="31" spans="1:13">
      <c r="G31" s="5"/>
      <c r="H31" s="5"/>
      <c r="I31" s="5"/>
      <c r="J31" s="61"/>
      <c r="K31" s="61"/>
      <c r="L31" s="5"/>
      <c r="M31" s="5"/>
    </row>
    <row r="32" spans="1:13">
      <c r="G32" s="3"/>
      <c r="H32" s="5"/>
      <c r="I32" s="5"/>
      <c r="J32" s="61"/>
      <c r="K32" s="61"/>
      <c r="L32" s="5"/>
      <c r="M32" s="5"/>
    </row>
    <row r="33" spans="7:13">
      <c r="G33" s="3"/>
      <c r="H33" s="5"/>
      <c r="I33" s="5"/>
      <c r="J33" s="61"/>
      <c r="K33" s="61"/>
      <c r="L33" s="5"/>
      <c r="M33" s="5"/>
    </row>
    <row r="34" spans="7:13">
      <c r="G34" s="3"/>
      <c r="H34" s="5"/>
      <c r="I34" s="5"/>
      <c r="J34" s="61"/>
      <c r="K34" s="61"/>
      <c r="L34" s="5"/>
      <c r="M34" s="5"/>
    </row>
    <row r="35" spans="7:13">
      <c r="G35" s="3"/>
      <c r="H35" s="5"/>
      <c r="I35" s="5"/>
      <c r="J35" s="61"/>
      <c r="K35" s="61"/>
      <c r="L35" s="5"/>
      <c r="M35" s="5"/>
    </row>
    <row r="36" spans="7:13">
      <c r="G36" s="3"/>
      <c r="H36" s="5"/>
      <c r="I36" s="5"/>
      <c r="J36" s="61"/>
      <c r="K36" s="61"/>
      <c r="L36" s="5"/>
      <c r="M36" s="5"/>
    </row>
    <row r="37" spans="7:13">
      <c r="G37" s="3"/>
      <c r="H37" s="5"/>
      <c r="I37" s="5"/>
      <c r="J37" s="61"/>
      <c r="K37" s="61"/>
      <c r="L37" s="5"/>
      <c r="M37" s="5"/>
    </row>
    <row r="38" spans="7:13">
      <c r="G38" s="3"/>
      <c r="H38" s="5"/>
      <c r="I38" s="5"/>
      <c r="J38" s="61"/>
      <c r="K38" s="61"/>
      <c r="L38" s="5"/>
      <c r="M38" s="5"/>
    </row>
    <row r="39" spans="7:13">
      <c r="G39" s="3"/>
      <c r="H39" s="5"/>
      <c r="I39" s="5"/>
      <c r="J39" s="61"/>
      <c r="K39" s="61"/>
      <c r="L39" s="5"/>
      <c r="M39" s="5"/>
    </row>
    <row r="40" spans="7:13">
      <c r="G40" s="3"/>
      <c r="H40" s="5"/>
      <c r="I40" s="5"/>
      <c r="J40" s="61"/>
      <c r="K40" s="61"/>
      <c r="L40" s="5"/>
      <c r="M40" s="5"/>
    </row>
    <row r="41" spans="7:13">
      <c r="G41" s="3"/>
      <c r="H41" s="5"/>
      <c r="I41" s="5"/>
      <c r="J41" s="61"/>
      <c r="K41" s="61"/>
      <c r="L41" s="5"/>
      <c r="M41" s="5"/>
    </row>
    <row r="42" spans="7:13">
      <c r="G42" s="5"/>
      <c r="H42" s="5"/>
      <c r="I42" s="5"/>
      <c r="J42" s="61"/>
      <c r="K42" s="61"/>
      <c r="L42" s="5"/>
      <c r="M42" s="5"/>
    </row>
    <row r="43" spans="7:13">
      <c r="G43" s="5"/>
      <c r="H43" s="5"/>
      <c r="I43" s="5"/>
      <c r="J43" s="61"/>
      <c r="K43" s="61"/>
      <c r="L43" s="5"/>
      <c r="M43" s="5"/>
    </row>
    <row r="44" spans="7:13">
      <c r="G44" s="5"/>
      <c r="H44" s="5"/>
      <c r="I44" s="5"/>
      <c r="J44" s="61"/>
      <c r="K44" s="61"/>
      <c r="L44" s="5"/>
      <c r="M44" s="5"/>
    </row>
    <row r="45" spans="7:13">
      <c r="G45" s="5"/>
      <c r="H45" s="5"/>
      <c r="I45" s="5"/>
      <c r="J45" s="61"/>
      <c r="K45" s="61"/>
      <c r="L45" s="5"/>
      <c r="M45" s="5"/>
    </row>
    <row r="46" spans="7:13">
      <c r="G46" s="5"/>
      <c r="H46" s="5"/>
      <c r="I46" s="5"/>
      <c r="J46" s="61"/>
      <c r="K46" s="61"/>
      <c r="L46" s="5"/>
      <c r="M46" s="5"/>
    </row>
    <row r="47" spans="7:13">
      <c r="G47" s="5"/>
      <c r="H47" s="5"/>
      <c r="I47" s="5"/>
      <c r="J47" s="61"/>
      <c r="K47" s="61"/>
      <c r="L47" s="5"/>
      <c r="M47" s="5"/>
    </row>
    <row r="48" spans="7:13">
      <c r="G48" s="5"/>
      <c r="H48" s="5"/>
      <c r="I48" s="5"/>
      <c r="J48" s="61"/>
      <c r="K48" s="61"/>
      <c r="L48" s="5"/>
      <c r="M48" s="5"/>
    </row>
    <row r="49" spans="7:13">
      <c r="G49" s="3"/>
      <c r="H49" s="5"/>
      <c r="I49" s="5"/>
      <c r="J49" s="61"/>
      <c r="K49" s="61"/>
      <c r="L49" s="5"/>
      <c r="M49" s="5"/>
    </row>
    <row r="50" spans="7:13">
      <c r="G50" s="3"/>
      <c r="H50" s="5"/>
      <c r="I50" s="5"/>
      <c r="J50" s="61"/>
      <c r="K50" s="61"/>
      <c r="L50" s="5"/>
      <c r="M50" s="5"/>
    </row>
    <row r="51" spans="7:13">
      <c r="G51" s="5"/>
      <c r="H51" s="5"/>
      <c r="I51" s="5"/>
      <c r="J51" s="61"/>
      <c r="K51" s="61"/>
      <c r="L51" s="5"/>
      <c r="M51" s="5"/>
    </row>
    <row r="52" spans="7:13">
      <c r="G52" s="5"/>
      <c r="H52" s="5"/>
      <c r="I52" s="5"/>
      <c r="J52" s="61"/>
      <c r="K52" s="61"/>
      <c r="L52" s="5"/>
      <c r="M52" s="5"/>
    </row>
    <row r="53" spans="7:13">
      <c r="G53" s="5"/>
      <c r="H53" s="5"/>
      <c r="I53" s="5"/>
      <c r="J53" s="61"/>
      <c r="K53" s="61"/>
      <c r="L53" s="5"/>
      <c r="M53" s="5"/>
    </row>
    <row r="54" spans="7:13">
      <c r="G54" s="5"/>
      <c r="H54" s="5"/>
      <c r="I54" s="5"/>
      <c r="J54" s="61"/>
      <c r="K54" s="61"/>
      <c r="L54" s="5"/>
      <c r="M54" s="5"/>
    </row>
    <row r="55" spans="7:13">
      <c r="G55" s="5"/>
      <c r="H55" s="5"/>
      <c r="I55" s="5"/>
      <c r="J55" s="5"/>
      <c r="K55" s="5"/>
      <c r="L55" s="5"/>
      <c r="M55" s="5"/>
    </row>
    <row r="56" spans="7:13">
      <c r="G56" s="5"/>
      <c r="H56" s="5"/>
      <c r="I56" s="5"/>
      <c r="J56" s="5"/>
      <c r="K56" s="5"/>
      <c r="L56" s="5"/>
      <c r="M56" s="5"/>
    </row>
    <row r="57" spans="7:13">
      <c r="G57" s="5"/>
      <c r="H57" s="5"/>
      <c r="I57" s="5"/>
      <c r="J57" s="5"/>
      <c r="K57" s="5"/>
      <c r="L57" s="5"/>
      <c r="M57" s="5"/>
    </row>
    <row r="61" spans="7:13">
      <c r="J61" s="72"/>
      <c r="K61" s="72"/>
    </row>
  </sheetData>
  <mergeCells count="3">
    <mergeCell ref="B1:D1"/>
    <mergeCell ref="E1:G1"/>
    <mergeCell ref="A22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 Concs. (08-22 &amp; 23)</vt:lpstr>
      <vt:lpstr>Raw Analysis (8-22 &amp; 23)</vt:lpstr>
      <vt:lpstr>Ri</vt:lpstr>
      <vt:lpstr>F</vt:lpstr>
      <vt:lpstr>Full Calulations</vt:lpstr>
      <vt:lpstr>Confidence Intervals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DAVEN B KHANA</dc:creator>
  <cp:lastModifiedBy>DAVEN B KHANA</cp:lastModifiedBy>
  <dcterms:created xsi:type="dcterms:W3CDTF">2019-08-26T19:37:02Z</dcterms:created>
  <dcterms:modified xsi:type="dcterms:W3CDTF">2022-09-12T19:53:19Z</dcterms:modified>
</cp:coreProperties>
</file>